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1" sheetId="2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14.1'!$A$1:$H$53</definedName>
  </definedNames>
  <calcPr calcId="145621"/>
</workbook>
</file>

<file path=xl/calcChain.xml><?xml version="1.0" encoding="utf-8"?>
<calcChain xmlns="http://schemas.openxmlformats.org/spreadsheetml/2006/main">
  <c r="G7" i="22" l="1"/>
  <c r="G44" i="22" l="1"/>
  <c r="G43" i="22"/>
  <c r="G42" i="22"/>
  <c r="G41" i="22"/>
  <c r="G40" i="22"/>
  <c r="G39" i="22"/>
  <c r="G38" i="22"/>
  <c r="G37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E45" i="22"/>
  <c r="E35" i="22"/>
  <c r="E46" i="22" s="1"/>
  <c r="C45" i="22" l="1"/>
  <c r="C46" i="22" s="1"/>
  <c r="D45" i="22"/>
  <c r="D46" i="22" s="1"/>
  <c r="F45" i="22"/>
  <c r="G45" i="22" s="1"/>
  <c r="C35" i="22"/>
  <c r="D35" i="22"/>
  <c r="F35" i="22" l="1"/>
  <c r="G35" i="22" s="1"/>
  <c r="F46" i="22" l="1"/>
  <c r="G46" i="22" s="1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K43" i="3" l="1"/>
  <c r="D42" i="3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C33" i="3"/>
  <c r="C43" i="3" s="1"/>
  <c r="F4" i="1" l="1"/>
  <c r="E32" i="1"/>
  <c r="J22" i="1"/>
  <c r="F5" i="1" l="1"/>
  <c r="F6" i="1"/>
  <c r="F7" i="1"/>
  <c r="F8" i="1"/>
  <c r="F9" i="1"/>
  <c r="F10" i="1"/>
  <c r="F11" i="1"/>
  <c r="F12" i="1"/>
  <c r="F32" i="1" s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10" i="1"/>
  <c r="D34" i="1"/>
  <c r="D19" i="1"/>
  <c r="D27" i="1"/>
  <c r="D28" i="1"/>
  <c r="D7" i="1"/>
  <c r="D15" i="1"/>
  <c r="D23" i="1"/>
  <c r="D31" i="1"/>
  <c r="D39" i="1"/>
  <c r="D8" i="1"/>
  <c r="D16" i="1"/>
  <c r="D24" i="1"/>
  <c r="D40" i="1"/>
  <c r="D9" i="1"/>
  <c r="D25" i="1"/>
  <c r="D26" i="1"/>
  <c r="D42" i="1"/>
  <c r="D12" i="1"/>
  <c r="D17" i="1"/>
  <c r="D33" i="1"/>
  <c r="D18" i="1"/>
  <c r="D11" i="1"/>
  <c r="D35" i="1"/>
  <c r="D20" i="1"/>
  <c r="D36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<sst xmlns="http://schemas.openxmlformats.org/spreadsheetml/2006/main" count="255" uniqueCount="100">
  <si>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</si>
  <si>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</si>
  <si>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</si>
  <si>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</si>
  <si>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</si>
  <si>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</si>
  <si>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</si>
  <si>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</si>
  <si>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</si>
  <si>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</si>
  <si>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</si>
  <si>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</si>
  <si>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</si>
  <si>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</si>
  <si>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</si>
  <si>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</si>
  <si>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</si>
  <si>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</si>
  <si>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</si>
  <si>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</si>
  <si>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</si>
  <si>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</si>
  <si>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</si>
  <si>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</si>
  <si>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</si>
  <si>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</si>
  <si>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</si>
  <si>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</si>
  <si>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</si>
  <si>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</si>
  <si>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</si>
  <si>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</si>
  <si>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</si>
  <si>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</si>
  <si>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</si>
  <si>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</si>
  <si>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</si>
  <si>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</si>
  <si>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</si>
  <si>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</si>
  <si>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</si>
  <si>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</si>
  <si>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</si>
  <si>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</si>
  <si>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</si>
  <si>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</si>
  <si>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</si>
  <si>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</si>
  <si>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</si>
  <si>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</si>
  <si>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</si>
  <si>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</si>
  <si>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</si>
  <si>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</si>
  <si>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</si>
  <si>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</si>
  <si>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</si>
  <si>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</si>
  <si>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</si>
  <si>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</si>
  <si>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</si>
  <si>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</si>
  <si>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</si>
  <si>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</si>
  <si>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</si>
  <si>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</si>
  <si>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</si>
  <si>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</si>
  <si>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</si>
  <si>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</si>
  <si>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</si>
  <si>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</si>
  <si>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</si>
  <si>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</si>
  <si>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</si>
  <si>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</si>
  <si>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</si>
  <si>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</si>
  <si>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</si>
  <si>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</si>
  <si>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</si>
  <si>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14.1</t>
  </si>
  <si>
    <t>UNION TERRITORIES</t>
  </si>
  <si>
    <t>STATES:</t>
  </si>
  <si>
    <t xml:space="preserve">Chargesheeting Rate </t>
  </si>
  <si>
    <t>TABLE 14.1 - Page 1 of 1</t>
  </si>
  <si>
    <t>Mid-Year Projected Population (In Lakhs)</t>
  </si>
  <si>
    <t>• Population Source : Report of Technical group on Population Projections (July, 2020) National Commission on Population, MoHFW</t>
  </si>
  <si>
    <t>(1)</t>
  </si>
  <si>
    <t>(2)</t>
  </si>
  <si>
    <t>(4)</t>
  </si>
  <si>
    <t>(5)</t>
  </si>
  <si>
    <t>(6)</t>
  </si>
  <si>
    <t>(7)</t>
  </si>
  <si>
    <t>(8)</t>
  </si>
  <si>
    <t>DNH  and  Daman &amp; Diu</t>
  </si>
  <si>
    <t>Ladakh</t>
  </si>
  <si>
    <t>''++" Rate refers to Cases Reported per 1 lakh population</t>
  </si>
  <si>
    <t>Note:  Human Trafficking data published is based on annual data as provided by States/UTs from their Anti Human Trafficking Units</t>
  </si>
  <si>
    <t>Human Trafficking Cases (IPC)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</si>
</sst>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88">
    <xf numFmtId="0" fontId="0" fillId="0" borderId="0" xfId="0"/>
    <xf numFmtId="0" fontId="0" fillId="0" borderId="0" xfId="0" applyBorder="1"/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3" borderId="3" xfId="0" applyFont="1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0" fillId="0" borderId="3" xfId="0" applyFont="1" applyBorder="1"/>
    <xf numFmtId="0" fontId="0" fillId="0" borderId="0" xfId="0" applyFont="1"/>
    <xf numFmtId="164" fontId="0" fillId="0" borderId="3" xfId="0" applyNumberFormat="1" applyBorder="1"/>
    <xf numFmtId="164" fontId="1" fillId="2" borderId="3" xfId="0" applyNumberFormat="1" applyFont="1" applyFill="1" applyBorder="1"/>
    <xf numFmtId="164" fontId="1" fillId="3" borderId="3" xfId="0" applyNumberFormat="1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164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3" xfId="0" applyNumberForma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6" borderId="9" xfId="0" applyFill="1" applyBorder="1" applyAlignment="1">
      <alignment horizontal="center"/>
    </xf>
    <xf numFmtId="0" fontId="0" fillId="6" borderId="0" xfId="0" applyFont="1" applyFill="1" applyBorder="1"/>
    <xf numFmtId="0" fontId="0" fillId="6" borderId="0" xfId="0" applyFill="1" applyBorder="1"/>
    <xf numFmtId="164" fontId="0" fillId="6" borderId="0" xfId="0" applyNumberFormat="1" applyFill="1" applyBorder="1"/>
    <xf numFmtId="164" fontId="0" fillId="6" borderId="10" xfId="0" applyNumberFormat="1" applyFill="1" applyBorder="1" applyAlignment="1">
      <alignment horizontal="right"/>
    </xf>
    <xf numFmtId="0" fontId="0" fillId="0" borderId="9" xfId="0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ill="1" applyBorder="1"/>
    <xf numFmtId="164" fontId="0" fillId="0" borderId="10" xfId="0" applyNumberFormat="1" applyFill="1" applyBorder="1" applyAlignment="1">
      <alignment horizontal="right"/>
    </xf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164" fontId="12" fillId="8" borderId="0" xfId="0" applyNumberFormat="1" applyFont="1" applyFill="1" applyBorder="1" applyAlignment="1">
      <alignment horizontal="right" vertical="center" wrapText="1"/>
    </xf>
    <xf numFmtId="164" fontId="12" fillId="8" borderId="10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right" vertical="center" wrapText="1"/>
    </xf>
    <xf numFmtId="164" fontId="12" fillId="8" borderId="2" xfId="0" applyNumberFormat="1" applyFont="1" applyFill="1" applyBorder="1" applyAlignment="1">
      <alignment horizontal="right" vertical="center" wrapText="1"/>
    </xf>
    <xf numFmtId="164" fontId="12" fillId="8" borderId="5" xfId="0" applyNumberFormat="1" applyFont="1" applyFill="1" applyBorder="1" applyAlignment="1">
      <alignment horizontal="right" vertical="center" wrapText="1"/>
    </xf>
    <xf numFmtId="0" fontId="12" fillId="0" borderId="7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12" fillId="8" borderId="3" xfId="0" quotePrefix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4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F4F4F4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28" zoomScale="110" zoomScaleNormal="110" workbookViewId="0">
      <selection activeCell="K16" sqref="K16"/>
    </sheetView>
  </sheetViews>
  <sheetFormatPr defaultRowHeight="15" x14ac:dyDescent="0.25"/>
  <cols>
    <col min="1" max="1" width="8" customWidth="1"/>
    <col min="2" max="2" width="29.5703125" customWidth="1"/>
    <col min="3" max="5" width="7.140625" customWidth="1"/>
    <col min="6" max="6" width="8.42578125" customWidth="1"/>
    <col min="7" max="7" width="9.5703125" bestFit="1" customWidth="1"/>
    <col min="8" max="8" width="11.85546875" customWidth="1"/>
    <col min="9" max="9" width="9.140625" customWidth="1"/>
  </cols>
  <sheetData>
    <row r="1" spans="1:8" ht="15.75" x14ac:dyDescent="0.25">
      <c r="A1" s="76" t="s">
        <v>81</v>
      </c>
      <c r="B1" s="76"/>
      <c r="C1" s="76"/>
      <c r="D1" s="76"/>
      <c r="E1" s="76"/>
      <c r="F1" s="76"/>
      <c r="G1" s="76"/>
      <c r="H1" s="76"/>
    </row>
    <row r="2" spans="1:8" ht="19.5" customHeight="1" x14ac:dyDescent="0.25">
      <c r="A2" s="75" t="s">
        <v>99</v>
      </c>
      <c r="B2" s="75"/>
      <c r="C2" s="75"/>
      <c r="D2" s="75"/>
      <c r="E2" s="75"/>
      <c r="F2" s="75"/>
      <c r="G2" s="75"/>
      <c r="H2" s="75"/>
    </row>
    <row r="3" spans="1:8" ht="16.5" customHeight="1" x14ac:dyDescent="0.25">
      <c r="A3" s="82" t="s">
        <v>38</v>
      </c>
      <c r="B3" s="82" t="s">
        <v>34</v>
      </c>
      <c r="C3" s="79" t="s">
        <v>39</v>
      </c>
      <c r="D3" s="80"/>
      <c r="E3" s="81"/>
      <c r="F3" s="77" t="s">
        <v>86</v>
      </c>
      <c r="G3" s="77" t="s">
        <v>41</v>
      </c>
      <c r="H3" s="77" t="s">
        <v>84</v>
      </c>
    </row>
    <row r="4" spans="1:8" ht="40.5" customHeight="1" x14ac:dyDescent="0.25">
      <c r="A4" s="83"/>
      <c r="B4" s="83"/>
      <c r="C4" s="70">
        <v>2021</v>
      </c>
      <c r="D4" s="69">
        <v>2022</v>
      </c>
      <c r="E4" s="69">
        <v>2023</v>
      </c>
      <c r="F4" s="78"/>
      <c r="G4" s="78"/>
      <c r="H4" s="78"/>
    </row>
    <row r="5" spans="1:8" x14ac:dyDescent="0.25">
      <c r="A5" s="67" t="s">
        <v>88</v>
      </c>
      <c r="B5" s="67" t="s">
        <v>89</v>
      </c>
      <c r="C5" s="67" t="s">
        <v>90</v>
      </c>
      <c r="D5" s="67" t="s">
        <v>91</v>
      </c>
      <c r="E5" s="67"/>
      <c r="F5" s="67" t="s">
        <v>92</v>
      </c>
      <c r="G5" s="67" t="s">
        <v>93</v>
      </c>
      <c r="H5" s="67" t="s">
        <v>94</v>
      </c>
    </row>
    <row r="6" spans="1:8" ht="13.5" customHeight="1" x14ac:dyDescent="0.25">
      <c r="A6" s="64" t="s">
        <v>83</v>
      </c>
      <c r="B6" s="65"/>
      <c r="C6" s="65"/>
      <c r="D6" s="65"/>
      <c r="E6" s="65"/>
      <c r="F6" s="65"/>
      <c r="G6" s="65"/>
      <c r="H6" s="66"/>
    </row>
    <row r="7" spans="1:8" x14ac:dyDescent="0.25">
      <c r="A7" s="43">
        <v>1</v>
      </c>
      <c r="B7" s="44" t="s">
        <v>0</v>
      </c>
      <c r="C7" s="45">
        <v>168</v>
      </c>
      <c r="D7" s="45">
        <v>163</v>
      </c>
      <c r="E7" s="45">
        <v>120</v>
      </c>
      <c r="F7" s="46">
        <v>532.16999999999996</v>
      </c>
      <c r="G7" s="46">
        <f t="shared" ref="G7:G35" si="0">E7/F7</f>
        <v>0.22549185410677042</v>
      </c>
      <c r="H7" s="47">
        <v>99.453551912568301</v>
      </c>
    </row>
    <row r="8" spans="1:8" x14ac:dyDescent="0.25">
      <c r="A8" s="48">
        <v>2</v>
      </c>
      <c r="B8" s="49" t="s">
        <v>1</v>
      </c>
      <c r="C8" s="31">
        <v>3</v>
      </c>
      <c r="D8" s="31">
        <v>4</v>
      </c>
      <c r="E8" s="31">
        <v>6</v>
      </c>
      <c r="F8" s="50">
        <v>15.65</v>
      </c>
      <c r="G8" s="50">
        <f t="shared" si="0"/>
        <v>0.38338658146964855</v>
      </c>
      <c r="H8" s="51">
        <v>50</v>
      </c>
    </row>
    <row r="9" spans="1:8" x14ac:dyDescent="0.25">
      <c r="A9" s="43">
        <v>3</v>
      </c>
      <c r="B9" s="52" t="s">
        <v>46</v>
      </c>
      <c r="C9" s="45">
        <v>203</v>
      </c>
      <c r="D9" s="45">
        <v>140</v>
      </c>
      <c r="E9" s="45">
        <v>118</v>
      </c>
      <c r="F9" s="46">
        <v>358.24</v>
      </c>
      <c r="G9" s="46">
        <f t="shared" si="0"/>
        <v>0.329388119696293</v>
      </c>
      <c r="H9" s="47">
        <v>61.6</v>
      </c>
    </row>
    <row r="10" spans="1:8" x14ac:dyDescent="0.25">
      <c r="A10" s="48">
        <v>4</v>
      </c>
      <c r="B10" s="49" t="s">
        <v>2</v>
      </c>
      <c r="C10" s="31">
        <v>111</v>
      </c>
      <c r="D10" s="31">
        <v>260</v>
      </c>
      <c r="E10" s="31">
        <v>132</v>
      </c>
      <c r="F10" s="50">
        <v>1273.68</v>
      </c>
      <c r="G10" s="50">
        <f t="shared" si="0"/>
        <v>0.10363670623704541</v>
      </c>
      <c r="H10" s="51">
        <v>95.798319327731093</v>
      </c>
    </row>
    <row r="11" spans="1:8" x14ac:dyDescent="0.25">
      <c r="A11" s="43">
        <v>5</v>
      </c>
      <c r="B11" s="44" t="s">
        <v>3</v>
      </c>
      <c r="C11" s="45">
        <v>29</v>
      </c>
      <c r="D11" s="45">
        <v>26</v>
      </c>
      <c r="E11" s="45">
        <v>22</v>
      </c>
      <c r="F11" s="46">
        <v>302.94</v>
      </c>
      <c r="G11" s="46">
        <f t="shared" si="0"/>
        <v>7.2621641249092234E-2</v>
      </c>
      <c r="H11" s="47">
        <v>80</v>
      </c>
    </row>
    <row r="12" spans="1:8" x14ac:dyDescent="0.25">
      <c r="A12" s="48">
        <v>6</v>
      </c>
      <c r="B12" s="49" t="s">
        <v>4</v>
      </c>
      <c r="C12" s="31">
        <v>15</v>
      </c>
      <c r="D12" s="31">
        <v>1</v>
      </c>
      <c r="E12" s="31">
        <v>8</v>
      </c>
      <c r="F12" s="50">
        <v>15.77</v>
      </c>
      <c r="G12" s="50">
        <f t="shared" si="0"/>
        <v>0.50729232720355111</v>
      </c>
      <c r="H12" s="51">
        <v>90</v>
      </c>
    </row>
    <row r="13" spans="1:8" x14ac:dyDescent="0.25">
      <c r="A13" s="43">
        <v>7</v>
      </c>
      <c r="B13" s="44" t="s">
        <v>5</v>
      </c>
      <c r="C13" s="45">
        <v>13</v>
      </c>
      <c r="D13" s="45">
        <v>9</v>
      </c>
      <c r="E13" s="45">
        <v>13</v>
      </c>
      <c r="F13" s="46">
        <v>717.94</v>
      </c>
      <c r="G13" s="46">
        <f t="shared" si="0"/>
        <v>1.8107362732261746E-2</v>
      </c>
      <c r="H13" s="47">
        <v>100</v>
      </c>
    </row>
    <row r="14" spans="1:8" x14ac:dyDescent="0.25">
      <c r="A14" s="48">
        <v>8</v>
      </c>
      <c r="B14" s="49" t="s">
        <v>6</v>
      </c>
      <c r="C14" s="31">
        <v>37</v>
      </c>
      <c r="D14" s="31">
        <v>13</v>
      </c>
      <c r="E14" s="31">
        <v>80</v>
      </c>
      <c r="F14" s="50">
        <v>303.31</v>
      </c>
      <c r="G14" s="50">
        <f t="shared" si="0"/>
        <v>0.26375655270185616</v>
      </c>
      <c r="H14" s="51">
        <v>81.25</v>
      </c>
    </row>
    <row r="15" spans="1:8" x14ac:dyDescent="0.25">
      <c r="A15" s="43">
        <v>9</v>
      </c>
      <c r="B15" s="44" t="s">
        <v>7</v>
      </c>
      <c r="C15" s="45">
        <v>5</v>
      </c>
      <c r="D15" s="45">
        <v>5</v>
      </c>
      <c r="E15" s="45">
        <v>15</v>
      </c>
      <c r="F15" s="46">
        <v>74.8</v>
      </c>
      <c r="G15" s="46">
        <f t="shared" si="0"/>
        <v>0.20053475935828877</v>
      </c>
      <c r="H15" s="47">
        <v>100</v>
      </c>
    </row>
    <row r="16" spans="1:8" x14ac:dyDescent="0.25">
      <c r="A16" s="48">
        <v>10</v>
      </c>
      <c r="B16" s="53" t="s">
        <v>47</v>
      </c>
      <c r="C16" s="31">
        <v>92</v>
      </c>
      <c r="D16" s="31">
        <v>100</v>
      </c>
      <c r="E16" s="31">
        <v>78</v>
      </c>
      <c r="F16" s="50">
        <v>396.32</v>
      </c>
      <c r="G16" s="50">
        <f t="shared" si="0"/>
        <v>0.1968106580540977</v>
      </c>
      <c r="H16" s="51">
        <v>53.503184713375795</v>
      </c>
    </row>
    <row r="17" spans="1:8" x14ac:dyDescent="0.25">
      <c r="A17" s="43">
        <v>11</v>
      </c>
      <c r="B17" s="44" t="s">
        <v>9</v>
      </c>
      <c r="C17" s="45">
        <v>13</v>
      </c>
      <c r="D17" s="45">
        <v>18</v>
      </c>
      <c r="E17" s="45">
        <v>14</v>
      </c>
      <c r="F17" s="46">
        <v>678.33</v>
      </c>
      <c r="G17" s="46">
        <f t="shared" si="0"/>
        <v>2.0638922058585054E-2</v>
      </c>
      <c r="H17" s="47">
        <v>78.571428571428569</v>
      </c>
    </row>
    <row r="18" spans="1:8" x14ac:dyDescent="0.25">
      <c r="A18" s="48">
        <v>12</v>
      </c>
      <c r="B18" s="49" t="s">
        <v>10</v>
      </c>
      <c r="C18" s="31">
        <v>201</v>
      </c>
      <c r="D18" s="31">
        <v>135</v>
      </c>
      <c r="E18" s="31">
        <v>105</v>
      </c>
      <c r="F18" s="50">
        <v>358.24</v>
      </c>
      <c r="G18" s="50">
        <f t="shared" si="0"/>
        <v>0.29309959803483698</v>
      </c>
      <c r="H18" s="51">
        <v>94.392523364485982</v>
      </c>
    </row>
    <row r="19" spans="1:8" x14ac:dyDescent="0.25">
      <c r="A19" s="43">
        <v>13</v>
      </c>
      <c r="B19" s="44" t="s">
        <v>11</v>
      </c>
      <c r="C19" s="45">
        <v>89</v>
      </c>
      <c r="D19" s="45">
        <v>81</v>
      </c>
      <c r="E19" s="45">
        <v>59</v>
      </c>
      <c r="F19" s="46">
        <v>869.23</v>
      </c>
      <c r="G19" s="46">
        <f t="shared" si="0"/>
        <v>6.7876166262094043E-2</v>
      </c>
      <c r="H19" s="47">
        <v>98.412698412698404</v>
      </c>
    </row>
    <row r="20" spans="1:8" x14ac:dyDescent="0.25">
      <c r="A20" s="48">
        <v>14</v>
      </c>
      <c r="B20" s="31" t="s">
        <v>12</v>
      </c>
      <c r="C20" s="31">
        <v>320</v>
      </c>
      <c r="D20" s="31">
        <v>295</v>
      </c>
      <c r="E20" s="31">
        <v>388</v>
      </c>
      <c r="F20" s="50">
        <v>1267.0999999999999</v>
      </c>
      <c r="G20" s="50">
        <f t="shared" si="0"/>
        <v>0.30621103306763475</v>
      </c>
      <c r="H20" s="51">
        <v>100</v>
      </c>
    </row>
    <row r="21" spans="1:8" x14ac:dyDescent="0.25">
      <c r="A21" s="43">
        <v>15</v>
      </c>
      <c r="B21" s="45" t="s">
        <v>13</v>
      </c>
      <c r="C21" s="45">
        <v>1</v>
      </c>
      <c r="D21" s="45">
        <v>0</v>
      </c>
      <c r="E21" s="45">
        <v>2</v>
      </c>
      <c r="F21" s="46">
        <v>32.31</v>
      </c>
      <c r="G21" s="46">
        <f t="shared" si="0"/>
        <v>6.1900340451872482E-2</v>
      </c>
      <c r="H21" s="47">
        <v>0</v>
      </c>
    </row>
    <row r="22" spans="1:8" x14ac:dyDescent="0.25">
      <c r="A22" s="48">
        <v>16</v>
      </c>
      <c r="B22" s="31" t="s">
        <v>14</v>
      </c>
      <c r="C22" s="31">
        <v>1</v>
      </c>
      <c r="D22" s="31">
        <v>2</v>
      </c>
      <c r="E22" s="31">
        <v>0</v>
      </c>
      <c r="F22" s="50">
        <v>33.56</v>
      </c>
      <c r="G22" s="50">
        <f t="shared" si="0"/>
        <v>0</v>
      </c>
      <c r="H22" s="51">
        <v>0</v>
      </c>
    </row>
    <row r="23" spans="1:8" x14ac:dyDescent="0.25">
      <c r="A23" s="43">
        <v>17</v>
      </c>
      <c r="B23" s="45" t="s">
        <v>15</v>
      </c>
      <c r="C23" s="45">
        <v>0</v>
      </c>
      <c r="D23" s="45">
        <v>0</v>
      </c>
      <c r="E23" s="45">
        <v>0</v>
      </c>
      <c r="F23" s="46">
        <v>12.41</v>
      </c>
      <c r="G23" s="46">
        <f t="shared" si="0"/>
        <v>0</v>
      </c>
      <c r="H23" s="47" t="s">
        <v>70</v>
      </c>
    </row>
    <row r="24" spans="1:8" x14ac:dyDescent="0.25">
      <c r="A24" s="48">
        <v>18</v>
      </c>
      <c r="B24" s="31" t="s">
        <v>16</v>
      </c>
      <c r="C24" s="31">
        <v>0</v>
      </c>
      <c r="D24" s="31">
        <v>0</v>
      </c>
      <c r="E24" s="31">
        <v>0</v>
      </c>
      <c r="F24" s="50">
        <v>22.38</v>
      </c>
      <c r="G24" s="50">
        <f t="shared" si="0"/>
        <v>0</v>
      </c>
      <c r="H24" s="51" t="s">
        <v>70</v>
      </c>
    </row>
    <row r="25" spans="1:8" x14ac:dyDescent="0.25">
      <c r="A25" s="43">
        <v>19</v>
      </c>
      <c r="B25" s="45" t="s">
        <v>17</v>
      </c>
      <c r="C25" s="45">
        <v>136</v>
      </c>
      <c r="D25" s="45">
        <v>121</v>
      </c>
      <c r="E25" s="45">
        <v>162</v>
      </c>
      <c r="F25" s="46">
        <v>463.73</v>
      </c>
      <c r="G25" s="46">
        <f t="shared" si="0"/>
        <v>0.34934121148081859</v>
      </c>
      <c r="H25" s="47">
        <v>86.486486486486484</v>
      </c>
    </row>
    <row r="26" spans="1:8" x14ac:dyDescent="0.25">
      <c r="A26" s="48">
        <v>20</v>
      </c>
      <c r="B26" s="31" t="s">
        <v>18</v>
      </c>
      <c r="C26" s="31">
        <v>15</v>
      </c>
      <c r="D26" s="31">
        <v>21</v>
      </c>
      <c r="E26" s="31">
        <v>48</v>
      </c>
      <c r="F26" s="50">
        <v>307.95999999999998</v>
      </c>
      <c r="G26" s="50">
        <f t="shared" si="0"/>
        <v>0.15586439797376284</v>
      </c>
      <c r="H26" s="51">
        <v>93.023255813953483</v>
      </c>
    </row>
    <row r="27" spans="1:8" x14ac:dyDescent="0.25">
      <c r="A27" s="43">
        <v>21</v>
      </c>
      <c r="B27" s="45" t="s">
        <v>19</v>
      </c>
      <c r="C27" s="45">
        <v>100</v>
      </c>
      <c r="D27" s="45">
        <v>117</v>
      </c>
      <c r="E27" s="45">
        <v>81</v>
      </c>
      <c r="F27" s="46">
        <v>813.16</v>
      </c>
      <c r="G27" s="46">
        <f t="shared" si="0"/>
        <v>9.9611392591863843E-2</v>
      </c>
      <c r="H27" s="47">
        <v>100</v>
      </c>
    </row>
    <row r="28" spans="1:8" x14ac:dyDescent="0.25">
      <c r="A28" s="48">
        <v>22</v>
      </c>
      <c r="B28" s="53" t="s">
        <v>48</v>
      </c>
      <c r="C28" s="31">
        <v>0</v>
      </c>
      <c r="D28" s="31">
        <v>0</v>
      </c>
      <c r="E28" s="31">
        <v>0</v>
      </c>
      <c r="F28" s="50">
        <v>6.91</v>
      </c>
      <c r="G28" s="50">
        <f t="shared" si="0"/>
        <v>0</v>
      </c>
      <c r="H28" s="51">
        <v>0</v>
      </c>
    </row>
    <row r="29" spans="1:8" x14ac:dyDescent="0.25">
      <c r="A29" s="43">
        <v>23</v>
      </c>
      <c r="B29" s="45" t="s">
        <v>20</v>
      </c>
      <c r="C29" s="45">
        <v>3</v>
      </c>
      <c r="D29" s="45">
        <v>1</v>
      </c>
      <c r="E29" s="45">
        <v>0</v>
      </c>
      <c r="F29" s="46">
        <v>769.36</v>
      </c>
      <c r="G29" s="46">
        <f t="shared" si="0"/>
        <v>0</v>
      </c>
      <c r="H29" s="47">
        <v>0</v>
      </c>
    </row>
    <row r="30" spans="1:8" x14ac:dyDescent="0.25">
      <c r="A30" s="48">
        <v>24</v>
      </c>
      <c r="B30" s="31" t="s">
        <v>21</v>
      </c>
      <c r="C30" s="31">
        <v>347</v>
      </c>
      <c r="D30" s="31">
        <v>391</v>
      </c>
      <c r="E30" s="31">
        <v>336</v>
      </c>
      <c r="F30" s="50">
        <v>381.35</v>
      </c>
      <c r="G30" s="50">
        <f t="shared" si="0"/>
        <v>0.88108037236134784</v>
      </c>
      <c r="H30" s="51">
        <v>100</v>
      </c>
    </row>
    <row r="31" spans="1:8" x14ac:dyDescent="0.25">
      <c r="A31" s="43">
        <v>25</v>
      </c>
      <c r="B31" s="45" t="s">
        <v>22</v>
      </c>
      <c r="C31" s="45">
        <v>1</v>
      </c>
      <c r="D31" s="45">
        <v>0</v>
      </c>
      <c r="E31" s="45">
        <v>18</v>
      </c>
      <c r="F31" s="46">
        <v>41.56</v>
      </c>
      <c r="G31" s="46">
        <f t="shared" si="0"/>
        <v>0.43310875842155916</v>
      </c>
      <c r="H31" s="47">
        <v>100</v>
      </c>
    </row>
    <row r="32" spans="1:8" x14ac:dyDescent="0.25">
      <c r="A32" s="48">
        <v>26</v>
      </c>
      <c r="B32" s="31" t="s">
        <v>23</v>
      </c>
      <c r="C32" s="31">
        <v>103</v>
      </c>
      <c r="D32" s="31">
        <v>126</v>
      </c>
      <c r="E32" s="31">
        <v>155</v>
      </c>
      <c r="F32" s="50">
        <v>2364.84</v>
      </c>
      <c r="G32" s="50">
        <f t="shared" si="0"/>
        <v>6.5543546286429527E-2</v>
      </c>
      <c r="H32" s="51">
        <v>92.41379310344827</v>
      </c>
    </row>
    <row r="33" spans="1:8" x14ac:dyDescent="0.25">
      <c r="A33" s="43">
        <v>27</v>
      </c>
      <c r="B33" s="45" t="s">
        <v>24</v>
      </c>
      <c r="C33" s="45">
        <v>16</v>
      </c>
      <c r="D33" s="45">
        <v>16</v>
      </c>
      <c r="E33" s="45">
        <v>21</v>
      </c>
      <c r="F33" s="46">
        <v>116.76</v>
      </c>
      <c r="G33" s="46">
        <f t="shared" si="0"/>
        <v>0.17985611510791366</v>
      </c>
      <c r="H33" s="47">
        <v>100</v>
      </c>
    </row>
    <row r="34" spans="1:8" x14ac:dyDescent="0.25">
      <c r="A34" s="48">
        <v>28</v>
      </c>
      <c r="B34" s="53" t="s">
        <v>49</v>
      </c>
      <c r="C34" s="31">
        <v>61</v>
      </c>
      <c r="D34" s="31">
        <v>67</v>
      </c>
      <c r="E34" s="31">
        <v>56</v>
      </c>
      <c r="F34" s="50">
        <v>992.43</v>
      </c>
      <c r="G34" s="50">
        <f t="shared" si="0"/>
        <v>5.6427153552391605E-2</v>
      </c>
      <c r="H34" s="51">
        <v>94.117647058823522</v>
      </c>
    </row>
    <row r="35" spans="1:8" x14ac:dyDescent="0.25">
      <c r="A35" s="54"/>
      <c r="B35" s="55" t="s">
        <v>25</v>
      </c>
      <c r="C35" s="56">
        <f t="shared" ref="C35:E35" si="1">SUM(C7:C34)</f>
        <v>2083</v>
      </c>
      <c r="D35" s="56">
        <f t="shared" si="1"/>
        <v>2112</v>
      </c>
      <c r="E35" s="56">
        <f t="shared" si="1"/>
        <v>2037</v>
      </c>
      <c r="F35" s="57">
        <f>SUM(F7:F34)</f>
        <v>13522.440000000004</v>
      </c>
      <c r="G35" s="57">
        <f t="shared" si="0"/>
        <v>0.15063849423624726</v>
      </c>
      <c r="H35" s="58">
        <v>90.502237692690201</v>
      </c>
    </row>
    <row r="36" spans="1:8" ht="17.25" customHeight="1" x14ac:dyDescent="0.25">
      <c r="A36" s="72" t="s">
        <v>82</v>
      </c>
      <c r="B36" s="73"/>
      <c r="C36" s="73"/>
      <c r="D36" s="73"/>
      <c r="E36" s="73"/>
      <c r="F36" s="73"/>
      <c r="G36" s="73"/>
      <c r="H36" s="74"/>
    </row>
    <row r="37" spans="1:8" x14ac:dyDescent="0.25">
      <c r="A37" s="43">
        <v>29</v>
      </c>
      <c r="B37" s="45" t="s">
        <v>26</v>
      </c>
      <c r="C37" s="45">
        <v>0</v>
      </c>
      <c r="D37" s="45">
        <v>0</v>
      </c>
      <c r="E37" s="45">
        <v>0</v>
      </c>
      <c r="F37" s="46">
        <v>4.03</v>
      </c>
      <c r="G37" s="46">
        <f t="shared" ref="G37:G46" si="2">E37/F37</f>
        <v>0</v>
      </c>
      <c r="H37" s="47" t="s">
        <v>70</v>
      </c>
    </row>
    <row r="38" spans="1:8" x14ac:dyDescent="0.25">
      <c r="A38" s="48">
        <v>30</v>
      </c>
      <c r="B38" s="31" t="s">
        <v>27</v>
      </c>
      <c r="C38" s="31">
        <v>2</v>
      </c>
      <c r="D38" s="31">
        <v>1</v>
      </c>
      <c r="E38" s="31">
        <v>4</v>
      </c>
      <c r="F38" s="50">
        <v>12.35</v>
      </c>
      <c r="G38" s="50">
        <f t="shared" si="2"/>
        <v>0.32388663967611336</v>
      </c>
      <c r="H38" s="51">
        <v>100</v>
      </c>
    </row>
    <row r="39" spans="1:8" ht="16.5" customHeight="1" x14ac:dyDescent="0.25">
      <c r="A39" s="43">
        <v>31</v>
      </c>
      <c r="B39" s="45" t="s">
        <v>95</v>
      </c>
      <c r="C39" s="45">
        <v>0</v>
      </c>
      <c r="D39" s="45">
        <v>0</v>
      </c>
      <c r="E39" s="45">
        <v>0</v>
      </c>
      <c r="F39" s="46">
        <v>12.93</v>
      </c>
      <c r="G39" s="46">
        <f t="shared" si="2"/>
        <v>0</v>
      </c>
      <c r="H39" s="47" t="s">
        <v>70</v>
      </c>
    </row>
    <row r="40" spans="1:8" x14ac:dyDescent="0.25">
      <c r="A40" s="48">
        <v>32</v>
      </c>
      <c r="B40" s="49" t="s">
        <v>28</v>
      </c>
      <c r="C40" s="31">
        <v>92</v>
      </c>
      <c r="D40" s="31">
        <v>106</v>
      </c>
      <c r="E40" s="31">
        <v>117</v>
      </c>
      <c r="F40" s="50">
        <v>214.9</v>
      </c>
      <c r="G40" s="50">
        <f t="shared" si="2"/>
        <v>0.54443927408096793</v>
      </c>
      <c r="H40" s="51">
        <v>100</v>
      </c>
    </row>
    <row r="41" spans="1:8" x14ac:dyDescent="0.25">
      <c r="A41" s="43">
        <v>33</v>
      </c>
      <c r="B41" s="44" t="s">
        <v>8</v>
      </c>
      <c r="C41" s="45">
        <v>4</v>
      </c>
      <c r="D41" s="45">
        <v>8</v>
      </c>
      <c r="E41" s="45">
        <v>10</v>
      </c>
      <c r="F41" s="46">
        <v>136.36000000000001</v>
      </c>
      <c r="G41" s="46">
        <f t="shared" si="2"/>
        <v>7.3335288941038426E-2</v>
      </c>
      <c r="H41" s="47">
        <v>91.666666666666657</v>
      </c>
    </row>
    <row r="42" spans="1:8" x14ac:dyDescent="0.25">
      <c r="A42" s="48">
        <v>34</v>
      </c>
      <c r="B42" s="49" t="s">
        <v>96</v>
      </c>
      <c r="C42" s="31">
        <v>0</v>
      </c>
      <c r="D42" s="31">
        <v>0</v>
      </c>
      <c r="E42" s="31">
        <v>0</v>
      </c>
      <c r="F42" s="50">
        <v>3.01</v>
      </c>
      <c r="G42" s="50">
        <f t="shared" si="2"/>
        <v>0</v>
      </c>
      <c r="H42" s="51" t="s">
        <v>70</v>
      </c>
    </row>
    <row r="43" spans="1:8" x14ac:dyDescent="0.25">
      <c r="A43" s="43">
        <v>35</v>
      </c>
      <c r="B43" s="45" t="s">
        <v>29</v>
      </c>
      <c r="C43" s="45">
        <v>0</v>
      </c>
      <c r="D43" s="45">
        <v>0</v>
      </c>
      <c r="E43" s="45">
        <v>0</v>
      </c>
      <c r="F43" s="46">
        <v>0.69</v>
      </c>
      <c r="G43" s="46">
        <f t="shared" si="2"/>
        <v>0</v>
      </c>
      <c r="H43" s="47" t="s">
        <v>70</v>
      </c>
    </row>
    <row r="44" spans="1:8" x14ac:dyDescent="0.25">
      <c r="A44" s="48">
        <v>36</v>
      </c>
      <c r="B44" s="31" t="s">
        <v>30</v>
      </c>
      <c r="C44" s="31">
        <v>8</v>
      </c>
      <c r="D44" s="31">
        <v>23</v>
      </c>
      <c r="E44" s="31">
        <v>15</v>
      </c>
      <c r="F44" s="50">
        <v>16.579999999999998</v>
      </c>
      <c r="G44" s="50">
        <f t="shared" si="2"/>
        <v>0.90470446320868525</v>
      </c>
      <c r="H44" s="51">
        <v>100</v>
      </c>
    </row>
    <row r="45" spans="1:8" x14ac:dyDescent="0.25">
      <c r="A45" s="54"/>
      <c r="B45" s="55" t="s">
        <v>31</v>
      </c>
      <c r="C45" s="56">
        <f t="shared" ref="C45:F45" si="3">SUM(C37:C44)</f>
        <v>106</v>
      </c>
      <c r="D45" s="56">
        <f t="shared" si="3"/>
        <v>138</v>
      </c>
      <c r="E45" s="56">
        <f t="shared" si="3"/>
        <v>146</v>
      </c>
      <c r="F45" s="57">
        <f t="shared" si="3"/>
        <v>400.85</v>
      </c>
      <c r="G45" s="57">
        <f t="shared" si="2"/>
        <v>0.36422601970812024</v>
      </c>
      <c r="H45" s="58">
        <v>98.888888888888886</v>
      </c>
    </row>
    <row r="46" spans="1:8" x14ac:dyDescent="0.25">
      <c r="A46" s="59"/>
      <c r="B46" s="60" t="s">
        <v>32</v>
      </c>
      <c r="C46" s="61">
        <f t="shared" ref="C46:F46" si="4">SUM(C35,C45)</f>
        <v>2189</v>
      </c>
      <c r="D46" s="61">
        <f t="shared" si="4"/>
        <v>2250</v>
      </c>
      <c r="E46" s="61">
        <f t="shared" si="4"/>
        <v>2183</v>
      </c>
      <c r="F46" s="61">
        <f t="shared" si="4"/>
        <v>13923.290000000005</v>
      </c>
      <c r="G46" s="62">
        <f t="shared" si="2"/>
        <v>0.15678765579112403</v>
      </c>
      <c r="H46" s="63">
        <v>90.861494526415996</v>
      </c>
    </row>
    <row r="47" spans="1:8" ht="16.5" customHeight="1" x14ac:dyDescent="0.25">
      <c r="A47" s="71" t="s">
        <v>85</v>
      </c>
      <c r="B47" s="71"/>
      <c r="C47" s="71"/>
      <c r="D47" s="71"/>
      <c r="E47" s="71"/>
      <c r="F47" s="71"/>
      <c r="G47" s="71"/>
      <c r="H47" s="71"/>
    </row>
    <row r="48" spans="1:8" x14ac:dyDescent="0.25">
      <c r="A48" s="32" t="s">
        <v>98</v>
      </c>
      <c r="B48" s="1"/>
      <c r="C48" s="1"/>
      <c r="D48" s="1"/>
      <c r="E48" s="1"/>
      <c r="F48" s="1"/>
      <c r="G48" s="34"/>
      <c r="H48" s="1"/>
    </row>
    <row r="49" spans="1:8" x14ac:dyDescent="0.25">
      <c r="A49" s="32" t="s">
        <v>97</v>
      </c>
      <c r="B49" s="1"/>
      <c r="C49" s="1"/>
      <c r="D49" s="1"/>
      <c r="E49" s="1"/>
      <c r="F49" s="1"/>
      <c r="G49" s="34"/>
      <c r="H49" s="1"/>
    </row>
    <row r="50" spans="1:8" x14ac:dyDescent="0.25">
      <c r="A50" s="32" t="s">
        <v>87</v>
      </c>
      <c r="B50" s="1"/>
      <c r="C50" s="1"/>
      <c r="D50" s="1"/>
      <c r="E50" s="1"/>
    </row>
    <row r="51" spans="1:8" x14ac:dyDescent="0.25">
      <c r="A51" s="42"/>
    </row>
    <row r="53" spans="1:8" ht="15.75" x14ac:dyDescent="0.25">
      <c r="C53" s="68"/>
    </row>
  </sheetData>
  <mergeCells count="10">
    <mergeCell ref="A47:H47"/>
    <mergeCell ref="A36:H36"/>
    <mergeCell ref="A2:H2"/>
    <mergeCell ref="A1:H1"/>
    <mergeCell ref="H3:H4"/>
    <mergeCell ref="C3:E3"/>
    <mergeCell ref="F3:F4"/>
    <mergeCell ref="G3:G4"/>
    <mergeCell ref="A3:A4"/>
    <mergeCell ref="B3:B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4" t="s">
        <v>67</v>
      </c>
      <c r="B1" s="84"/>
      <c r="C1" s="84"/>
      <c r="D1" s="84"/>
      <c r="E1" s="84"/>
      <c r="F1" s="84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5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5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5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6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5" t="s">
        <v>78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22" x14ac:dyDescent="0.25">
      <c r="A2" s="86" t="s">
        <v>42</v>
      </c>
      <c r="B2" s="86" t="s">
        <v>43</v>
      </c>
      <c r="C2" s="87" t="s">
        <v>44</v>
      </c>
      <c r="D2" s="87"/>
      <c r="E2" s="87"/>
      <c r="F2" s="87" t="s">
        <v>45</v>
      </c>
      <c r="G2" s="87"/>
      <c r="H2" s="87"/>
      <c r="I2" s="87" t="s">
        <v>37</v>
      </c>
      <c r="J2" s="87"/>
      <c r="K2" s="87"/>
    </row>
    <row r="3" spans="1:22" x14ac:dyDescent="0.25">
      <c r="A3" s="86"/>
      <c r="B3" s="86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5" t="s">
        <v>69</v>
      </c>
      <c r="B1" s="85"/>
      <c r="C1" s="85"/>
      <c r="D1" s="85"/>
      <c r="E1" s="85"/>
      <c r="F1" s="85"/>
      <c r="G1" s="85"/>
      <c r="H1" s="85"/>
      <c r="I1" s="85"/>
      <c r="J1" s="85"/>
    </row>
    <row r="2" spans="1:13" x14ac:dyDescent="0.25">
      <c r="A2" s="86" t="s">
        <v>42</v>
      </c>
      <c r="B2" s="86" t="s">
        <v>43</v>
      </c>
      <c r="C2" s="86" t="s">
        <v>50</v>
      </c>
      <c r="D2" s="87" t="s">
        <v>51</v>
      </c>
      <c r="E2" s="87"/>
      <c r="F2" s="87"/>
      <c r="G2" s="87" t="s">
        <v>52</v>
      </c>
      <c r="H2" s="87"/>
      <c r="I2" s="87"/>
      <c r="J2" s="87"/>
    </row>
    <row r="3" spans="1:13" ht="78.75" customHeight="1" x14ac:dyDescent="0.25">
      <c r="A3" s="86"/>
      <c r="B3" s="86"/>
      <c r="C3" s="86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7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7" t="s">
        <v>70</v>
      </c>
      <c r="G39" s="18">
        <v>0</v>
      </c>
      <c r="H39" s="18">
        <v>0</v>
      </c>
      <c r="I39" s="18"/>
      <c r="J39" s="38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70</v>
      </c>
      <c r="G40" s="18">
        <v>0</v>
      </c>
      <c r="H40" s="6">
        <v>0</v>
      </c>
      <c r="I40" s="6">
        <f t="shared" ref="I40:I42" si="4">G40+H40</f>
        <v>0</v>
      </c>
      <c r="J40" s="37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14.1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2024-08-28T07:45:29Z</dcterms:modified>
</cp:coreProperties>
</file>