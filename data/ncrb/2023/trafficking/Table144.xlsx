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4" sheetId="19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14.4'!$A$1:$W$48</definedName>
  </definedNames>
  <calcPr calcId="145621"/>
</workbook>
</file>

<file path=xl/calcChain.xml><?xml version="1.0" encoding="utf-8"?>
<calcChain xmlns="http://schemas.openxmlformats.org/spreadsheetml/2006/main">
  <c r="T41" i="19" l="1"/>
  <c r="T40" i="19"/>
  <c r="T34" i="19"/>
  <c r="T30" i="19"/>
  <c r="T20" i="19"/>
  <c r="T12" i="19"/>
  <c r="T9" i="19"/>
  <c r="T7" i="19"/>
  <c r="Q41" i="19"/>
  <c r="Q34" i="19"/>
  <c r="Q30" i="19"/>
  <c r="Q26" i="19"/>
  <c r="Q20" i="19"/>
  <c r="Q17" i="19"/>
  <c r="Q14" i="19"/>
  <c r="Q13" i="19"/>
  <c r="K40" i="19"/>
  <c r="K20" i="19"/>
  <c r="K14" i="19"/>
  <c r="K12" i="19"/>
  <c r="K10" i="19"/>
  <c r="E38" i="19"/>
  <c r="E44" i="19"/>
  <c r="E41" i="19"/>
  <c r="E40" i="19"/>
  <c r="E34" i="19"/>
  <c r="E33" i="19"/>
  <c r="E32" i="19"/>
  <c r="E31" i="19"/>
  <c r="E30" i="19"/>
  <c r="E28" i="19"/>
  <c r="E27" i="19"/>
  <c r="E26" i="19"/>
  <c r="E25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8" i="19"/>
  <c r="E7" i="19"/>
  <c r="V34" i="19"/>
  <c r="U34" i="19"/>
  <c r="W34" i="19"/>
  <c r="U26" i="19"/>
  <c r="V10" i="19"/>
  <c r="U10" i="19"/>
  <c r="E35" i="19" l="1"/>
  <c r="U41" i="19"/>
  <c r="V30" i="19" l="1"/>
  <c r="V38" i="19"/>
  <c r="V39" i="19"/>
  <c r="V40" i="19"/>
  <c r="V41" i="19"/>
  <c r="W41" i="19" s="1"/>
  <c r="V42" i="19"/>
  <c r="V43" i="19"/>
  <c r="V44" i="19"/>
  <c r="V37" i="19"/>
  <c r="V20" i="19"/>
  <c r="V21" i="19"/>
  <c r="V22" i="19"/>
  <c r="V23" i="19"/>
  <c r="V24" i="19"/>
  <c r="V25" i="19"/>
  <c r="V26" i="19"/>
  <c r="V27" i="19"/>
  <c r="V28" i="19"/>
  <c r="V29" i="19"/>
  <c r="V31" i="19"/>
  <c r="V32" i="19"/>
  <c r="V33" i="19"/>
  <c r="V8" i="19"/>
  <c r="V9" i="19"/>
  <c r="V11" i="19"/>
  <c r="V12" i="19"/>
  <c r="V13" i="19"/>
  <c r="V14" i="19"/>
  <c r="V15" i="19"/>
  <c r="V16" i="19"/>
  <c r="V17" i="19"/>
  <c r="V18" i="19"/>
  <c r="V19" i="19"/>
  <c r="V7" i="19"/>
  <c r="U38" i="19"/>
  <c r="U39" i="19"/>
  <c r="U40" i="19"/>
  <c r="U42" i="19"/>
  <c r="U43" i="19"/>
  <c r="U44" i="19"/>
  <c r="U37" i="19"/>
  <c r="U8" i="19"/>
  <c r="U9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7" i="19"/>
  <c r="U28" i="19"/>
  <c r="U29" i="19"/>
  <c r="U30" i="19"/>
  <c r="U31" i="19"/>
  <c r="U32" i="19"/>
  <c r="U33" i="19"/>
  <c r="U7" i="19"/>
  <c r="P45" i="19" l="1"/>
  <c r="R45" i="19"/>
  <c r="S45" i="19"/>
  <c r="T45" i="19"/>
  <c r="U45" i="19"/>
  <c r="V45" i="19"/>
  <c r="O45" i="19"/>
  <c r="W38" i="19"/>
  <c r="W39" i="19"/>
  <c r="W40" i="19"/>
  <c r="W42" i="19"/>
  <c r="W43" i="19"/>
  <c r="W44" i="19"/>
  <c r="W37" i="19"/>
  <c r="Q45" i="19"/>
  <c r="P35" i="19"/>
  <c r="R35" i="19"/>
  <c r="S35" i="19"/>
  <c r="V35" i="19"/>
  <c r="O35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7" i="19"/>
  <c r="D45" i="19"/>
  <c r="F45" i="19"/>
  <c r="G45" i="19"/>
  <c r="I45" i="19"/>
  <c r="J45" i="19"/>
  <c r="C45" i="19"/>
  <c r="K45" i="19"/>
  <c r="H38" i="19"/>
  <c r="H39" i="19"/>
  <c r="H40" i="19"/>
  <c r="H41" i="19"/>
  <c r="H42" i="19"/>
  <c r="H43" i="19"/>
  <c r="H44" i="19"/>
  <c r="H37" i="19"/>
  <c r="E45" i="19"/>
  <c r="D35" i="19"/>
  <c r="D46" i="19" s="1"/>
  <c r="F35" i="19"/>
  <c r="G35" i="19"/>
  <c r="G46" i="19" s="1"/>
  <c r="I35" i="19"/>
  <c r="J35" i="19"/>
  <c r="C35" i="19"/>
  <c r="C46" i="19" s="1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7" i="19"/>
  <c r="H45" i="19" l="1"/>
  <c r="H35" i="19"/>
  <c r="H46" i="19" s="1"/>
  <c r="S46" i="19"/>
  <c r="R46" i="19"/>
  <c r="J46" i="19"/>
  <c r="P46" i="19"/>
  <c r="F46" i="19"/>
  <c r="O46" i="19"/>
  <c r="E46" i="19"/>
  <c r="V46" i="19"/>
  <c r="I46" i="19"/>
  <c r="U35" i="19"/>
  <c r="U46" i="19" s="1"/>
  <c r="W45" i="19"/>
  <c r="W35" i="19"/>
  <c r="T35" i="19"/>
  <c r="T46" i="19" s="1"/>
  <c r="Q35" i="19"/>
  <c r="Q46" i="19" s="1"/>
  <c r="K35" i="19"/>
  <c r="K46" i="19" s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W46" i="19" l="1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D42" i="3" l="1"/>
  <c r="E42" i="3"/>
  <c r="F42" i="3"/>
  <c r="G42" i="3"/>
  <c r="H42" i="3"/>
  <c r="I42" i="3"/>
  <c r="J42" i="3"/>
  <c r="K42" i="3"/>
  <c r="C42" i="3"/>
  <c r="D33" i="3"/>
  <c r="D43" i="3" s="1"/>
  <c r="E33" i="3"/>
  <c r="E43" i="3" s="1"/>
  <c r="F33" i="3"/>
  <c r="F43" i="3" s="1"/>
  <c r="G33" i="3"/>
  <c r="G43" i="3" s="1"/>
  <c r="H33" i="3"/>
  <c r="H43" i="3" s="1"/>
  <c r="I33" i="3"/>
  <c r="I43" i="3" s="1"/>
  <c r="J33" i="3"/>
  <c r="J43" i="3" s="1"/>
  <c r="K33" i="3"/>
  <c r="K43" i="3" s="1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D41" i="1" l="1"/>
  <c r="F33" i="6"/>
  <c r="F42" i="6"/>
  <c r="E43" i="6"/>
  <c r="D43" i="6"/>
  <c r="F43" i="6" s="1"/>
  <c r="C43" i="6"/>
  <c r="C42" i="1"/>
  <c r="D32" i="1" s="1"/>
  <c r="D5" i="1" l="1"/>
  <c r="D6" i="1"/>
  <c r="D14" i="1"/>
  <c r="D22" i="1"/>
  <c r="D30" i="1"/>
  <c r="D38" i="1"/>
  <c r="D31" i="1"/>
  <c r="D16" i="1"/>
  <c r="D24" i="1"/>
  <c r="D17" i="1"/>
  <c r="D25" i="1"/>
  <c r="D18" i="1"/>
  <c r="D42" i="1"/>
  <c r="D11" i="1"/>
  <c r="D12" i="1"/>
  <c r="D36" i="1"/>
  <c r="D37" i="1"/>
  <c r="D7" i="1"/>
  <c r="D15" i="1"/>
  <c r="D23" i="1"/>
  <c r="D39" i="1"/>
  <c r="D40" i="1"/>
  <c r="D9" i="1"/>
  <c r="D33" i="1"/>
  <c r="D10" i="1"/>
  <c r="D34" i="1"/>
  <c r="D19" i="1"/>
  <c r="D35" i="1"/>
  <c r="D13" i="1"/>
  <c r="D8" i="1"/>
  <c r="D26" i="1"/>
  <c r="D27" i="1"/>
  <c r="D20" i="1"/>
  <c r="D28" i="1"/>
  <c r="D21" i="1"/>
  <c r="D29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 s="1"/>
  <c r="J43" i="6" s="1"/>
  <c r="J33" i="6" l="1"/>
</calcChain>
</file>

<file path=xl/sharedStrings.xml><?xml version="1.0" encoding="utf-8"?>
<sst xmlns="http://schemas.openxmlformats.org/spreadsheetml/2006/main" count="331" uniqueCount="120">
  <si>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</si>
  <si>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</si>
  <si>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</si>
  <si>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</si>
  <si>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</si>
  <si>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</si>
  <si>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</si>
  <si>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</si>
  <si>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</si>
  <si>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</si>
  <si>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</si>
  <si>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</si>
  <si>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</si>
  <si>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</si>
  <si>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</si>
  <si>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</si>
  <si>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</si>
  <si>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</si>
  <si>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</si>
  <si>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</si>
  <si>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</si>
  <si>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</si>
  <si>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</si>
  <si>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</si>
  <si>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</si>
  <si>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</si>
  <si>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</si>
  <si>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</si>
  <si>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</si>
  <si>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</si>
  <si>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</si>
  <si>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</si>
  <si>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</si>
  <si>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</si>
  <si>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</si>
  <si>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</si>
  <si>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</si>
  <si>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</si>
  <si>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</si>
  <si>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</si>
  <si>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</si>
  <si>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</si>
  <si>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</si>
  <si>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</si>
  <si>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</si>
  <si>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</si>
  <si>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</si>
  <si>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</si>
  <si>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</si>
  <si>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</si>
  <si>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</si>
  <si>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</si>
  <si>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</si>
  <si>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</si>
  <si>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</si>
  <si>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</si>
  <si>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</si>
  <si>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</si>
  <si>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</si>
  <si>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</si>
  <si>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Indian</t>
  </si>
  <si>
    <t>Sri Lanka</t>
  </si>
  <si>
    <t>Nepal</t>
  </si>
  <si>
    <t xml:space="preserve">Male </t>
  </si>
  <si>
    <t xml:space="preserve">Total  </t>
  </si>
  <si>
    <t>States/UTs</t>
  </si>
  <si>
    <t>Bangladesh</t>
  </si>
  <si>
    <t>Others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</si>
  <si>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</si>
  <si>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</si>
  <si>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</si>
  <si>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</si>
  <si>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</si>
  <si>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</si>
  <si>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</si>
  <si>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</si>
  <si>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</si>
  <si>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</si>
  <si>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</si>
  <si>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</si>
  <si>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</si>
  <si>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</si>
  <si>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</si>
  <si>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</si>
  <si>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</si>
  <si>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</si>
  <si>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</si>
  <si>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</si>
  <si>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</si>
  <si>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>TABLE 14.4</t>
  </si>
  <si>
    <t xml:space="preserve">Note:   </t>
  </si>
  <si>
    <t>Human Trafficking data published is based on annual data as provided by States/UTs from their Anti Human Trafficking Units</t>
  </si>
  <si>
    <t>STATES:</t>
  </si>
  <si>
    <t>UNION TERRITORIES:</t>
  </si>
  <si>
    <t>TABLE 14.4 (Concluded)</t>
  </si>
  <si>
    <t>TABLE 14.4 - Page 1 of 2</t>
  </si>
  <si>
    <t>TABLE 14.4 - Page 2 of 2</t>
  </si>
  <si>
    <t>DNH  and  Daman &amp; Diu</t>
  </si>
  <si>
    <t>Ladakh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</si>
  <si>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</si>
  <si>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</si>
  <si>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</si>
  <si>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</si>
  <si>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</si>
  <si>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</si>
  <si>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</si>
  <si>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</si>
  <si>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</si>
  <si>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</si>
  <si>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</si>
  <si>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</si>
  <si>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</si>
  <si>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</si>
  <si>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</si>
  <si>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</si>
  <si>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</si>
  <si>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</si>
  <si>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</si>
  <si>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</si>
  <si>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Nationality-wise profile of Victim Rescued under Human Trafficking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</si>
</sst>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81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0" fontId="11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2" fillId="0" borderId="0" xfId="0" applyFont="1" applyBorder="1"/>
    <xf numFmtId="2" fontId="0" fillId="0" borderId="0" xfId="0" applyNumberFormat="1" applyBorder="1"/>
    <xf numFmtId="0" fontId="13" fillId="6" borderId="0" xfId="0" applyFont="1" applyFill="1" applyAlignment="1">
      <alignment horizontal="right" vertical="center" wrapText="1"/>
    </xf>
    <xf numFmtId="0" fontId="13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8" fillId="0" borderId="0" xfId="0" applyFont="1"/>
    <xf numFmtId="0" fontId="0" fillId="8" borderId="0" xfId="0" applyFill="1"/>
    <xf numFmtId="0" fontId="14" fillId="8" borderId="2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0" fillId="6" borderId="0" xfId="0" applyFill="1" applyBorder="1"/>
    <xf numFmtId="0" fontId="10" fillId="0" borderId="0" xfId="0" applyFont="1" applyFill="1" applyBorder="1"/>
    <xf numFmtId="0" fontId="0" fillId="0" borderId="0" xfId="0" applyFont="1" applyFill="1" applyBorder="1"/>
    <xf numFmtId="0" fontId="14" fillId="8" borderId="0" xfId="0" applyFont="1" applyFill="1" applyBorder="1" applyAlignment="1">
      <alignment horizontal="left" vertical="center" wrapText="1"/>
    </xf>
    <xf numFmtId="0" fontId="14" fillId="8" borderId="0" xfId="0" applyFont="1" applyFill="1" applyBorder="1" applyAlignment="1">
      <alignment horizontal="right" vertical="center" wrapText="1"/>
    </xf>
    <xf numFmtId="0" fontId="0" fillId="6" borderId="0" xfId="0" applyFont="1" applyFill="1" applyBorder="1"/>
    <xf numFmtId="0" fontId="14" fillId="8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/>
    <xf numFmtId="0" fontId="0" fillId="0" borderId="4" xfId="0" applyBorder="1" applyAlignment="1"/>
    <xf numFmtId="0" fontId="0" fillId="6" borderId="3" xfId="0" applyFill="1" applyBorder="1" applyAlignment="1">
      <alignment horizontal="center"/>
    </xf>
    <xf numFmtId="0" fontId="0" fillId="6" borderId="4" xfId="0" applyFill="1" applyBorder="1"/>
    <xf numFmtId="0" fontId="0" fillId="0" borderId="3" xfId="0" applyFill="1" applyBorder="1" applyAlignment="1">
      <alignment horizontal="center"/>
    </xf>
    <xf numFmtId="0" fontId="0" fillId="0" borderId="4" xfId="0" applyFill="1" applyBorder="1"/>
    <xf numFmtId="0" fontId="14" fillId="8" borderId="4" xfId="0" applyFont="1" applyFill="1" applyBorder="1" applyAlignment="1">
      <alignment horizontal="right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right" vertical="center" wrapText="1"/>
    </xf>
    <xf numFmtId="0" fontId="14" fillId="8" borderId="6" xfId="0" applyFont="1" applyFill="1" applyBorder="1" applyAlignment="1">
      <alignment horizontal="right" vertical="center" wrapText="1"/>
    </xf>
    <xf numFmtId="0" fontId="14" fillId="8" borderId="2" xfId="0" quotePrefix="1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1" fillId="8" borderId="0" xfId="0" applyFont="1" applyFill="1" applyBorder="1"/>
    <xf numFmtId="0" fontId="0" fillId="0" borderId="0" xfId="0" applyFill="1"/>
    <xf numFmtId="0" fontId="11" fillId="0" borderId="0" xfId="0" applyFont="1" applyFill="1"/>
    <xf numFmtId="0" fontId="17" fillId="0" borderId="0" xfId="0" applyFont="1" applyAlignment="1">
      <alignment horizontal="center"/>
    </xf>
    <xf numFmtId="0" fontId="5" fillId="0" borderId="0" xfId="0" applyFont="1" applyFill="1" applyBorder="1" applyAlignment="1">
      <alignment horizontal="right" vertical="center" wrapText="1"/>
    </xf>
    <xf numFmtId="0" fontId="16" fillId="0" borderId="0" xfId="0" applyFont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CCFFCC"/>
      <color rgb="FF000000"/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dakh@" TargetMode="External"/><Relationship Id="rId1" Type="http://schemas.openxmlformats.org/officeDocument/2006/relationships/hyperlink" Target="mailto:Ladakh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0"/>
  <sheetViews>
    <sheetView tabSelected="1" zoomScale="112" zoomScaleNormal="112" workbookViewId="0">
      <selection activeCell="W7" sqref="W7"/>
    </sheetView>
  </sheetViews>
  <sheetFormatPr defaultRowHeight="15" x14ac:dyDescent="0.25"/>
  <cols>
    <col min="1" max="1" width="4.140625" style="13" customWidth="1"/>
    <col min="2" max="2" width="25.85546875" customWidth="1"/>
    <col min="3" max="3" width="5.85546875" customWidth="1"/>
    <col min="4" max="4" width="7.5703125" bestFit="1" customWidth="1"/>
    <col min="5" max="5" width="7" customWidth="1"/>
    <col min="6" max="6" width="7.140625" customWidth="1"/>
    <col min="7" max="7" width="7.5703125" bestFit="1" customWidth="1"/>
    <col min="8" max="8" width="6" customWidth="1"/>
    <col min="9" max="9" width="7.85546875" customWidth="1"/>
    <col min="10" max="10" width="7.5703125" bestFit="1" customWidth="1"/>
    <col min="11" max="11" width="7.140625" customWidth="1"/>
    <col min="12" max="12" width="2.42578125" customWidth="1"/>
    <col min="13" max="13" width="4.140625" style="13" customWidth="1"/>
    <col min="14" max="14" width="21.140625" customWidth="1"/>
    <col min="15" max="15" width="11.140625" customWidth="1"/>
    <col min="16" max="16" width="8" customWidth="1"/>
    <col min="17" max="17" width="6.28515625" customWidth="1"/>
    <col min="18" max="18" width="7.85546875" customWidth="1"/>
    <col min="19" max="19" width="8.7109375" customWidth="1"/>
    <col min="20" max="20" width="6.85546875" customWidth="1"/>
    <col min="21" max="21" width="6.5703125" customWidth="1"/>
    <col min="22" max="22" width="7.7109375" customWidth="1"/>
    <col min="23" max="23" width="6" customWidth="1"/>
    <col min="24" max="46" width="9.140625" style="69"/>
  </cols>
  <sheetData>
    <row r="1" spans="1:46" ht="15.75" x14ac:dyDescent="0.25">
      <c r="A1" s="73" t="s">
        <v>89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65"/>
      <c r="M1" s="73" t="s">
        <v>94</v>
      </c>
      <c r="N1" s="73"/>
      <c r="O1" s="73"/>
      <c r="P1" s="73"/>
      <c r="Q1" s="73"/>
      <c r="R1" s="73"/>
      <c r="S1" s="73"/>
      <c r="T1" s="73"/>
      <c r="U1" s="73"/>
      <c r="V1" s="73"/>
      <c r="W1" s="73"/>
    </row>
    <row r="2" spans="1:46" ht="18.75" customHeight="1" x14ac:dyDescent="0.25">
      <c r="A2" s="73" t="s">
        <v>119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65"/>
      <c r="M2" s="73" t="s">
        <v>119</v>
      </c>
      <c r="N2" s="73"/>
      <c r="O2" s="73"/>
      <c r="P2" s="73"/>
      <c r="Q2" s="73"/>
      <c r="R2" s="73"/>
      <c r="S2" s="73"/>
      <c r="T2" s="73"/>
      <c r="U2" s="73"/>
      <c r="V2" s="73"/>
      <c r="W2" s="73"/>
    </row>
    <row r="3" spans="1:46" ht="30" customHeight="1" x14ac:dyDescent="0.25">
      <c r="A3" s="74" t="s">
        <v>38</v>
      </c>
      <c r="B3" s="75" t="s">
        <v>65</v>
      </c>
      <c r="C3" s="74" t="s">
        <v>60</v>
      </c>
      <c r="D3" s="74"/>
      <c r="E3" s="74"/>
      <c r="F3" s="74" t="s">
        <v>61</v>
      </c>
      <c r="G3" s="74"/>
      <c r="H3" s="74"/>
      <c r="I3" s="74" t="s">
        <v>62</v>
      </c>
      <c r="J3" s="74"/>
      <c r="K3" s="74"/>
      <c r="L3" s="32"/>
      <c r="M3" s="74" t="s">
        <v>38</v>
      </c>
      <c r="N3" s="75" t="s">
        <v>65</v>
      </c>
      <c r="O3" s="74" t="s">
        <v>66</v>
      </c>
      <c r="P3" s="74"/>
      <c r="Q3" s="74"/>
      <c r="R3" s="74" t="s">
        <v>67</v>
      </c>
      <c r="S3" s="74"/>
      <c r="T3" s="74"/>
      <c r="U3" s="74" t="s">
        <v>37</v>
      </c>
      <c r="V3" s="74"/>
      <c r="W3" s="74"/>
    </row>
    <row r="4" spans="1:46" x14ac:dyDescent="0.25">
      <c r="A4" s="74"/>
      <c r="B4" s="76"/>
      <c r="C4" s="66" t="s">
        <v>63</v>
      </c>
      <c r="D4" s="66" t="s">
        <v>36</v>
      </c>
      <c r="E4" s="66" t="s">
        <v>64</v>
      </c>
      <c r="F4" s="66" t="s">
        <v>63</v>
      </c>
      <c r="G4" s="66" t="s">
        <v>36</v>
      </c>
      <c r="H4" s="66" t="s">
        <v>64</v>
      </c>
      <c r="I4" s="66" t="s">
        <v>63</v>
      </c>
      <c r="J4" s="66" t="s">
        <v>36</v>
      </c>
      <c r="K4" s="66" t="s">
        <v>64</v>
      </c>
      <c r="L4" s="32"/>
      <c r="M4" s="74"/>
      <c r="N4" s="76"/>
      <c r="O4" s="44" t="s">
        <v>63</v>
      </c>
      <c r="P4" s="44" t="s">
        <v>36</v>
      </c>
      <c r="Q4" s="44" t="s">
        <v>64</v>
      </c>
      <c r="R4" s="44" t="s">
        <v>63</v>
      </c>
      <c r="S4" s="44" t="s">
        <v>36</v>
      </c>
      <c r="T4" s="44" t="s">
        <v>64</v>
      </c>
      <c r="U4" s="44" t="s">
        <v>63</v>
      </c>
      <c r="V4" s="44" t="s">
        <v>36</v>
      </c>
      <c r="W4" s="44" t="s">
        <v>64</v>
      </c>
    </row>
    <row r="5" spans="1:46" x14ac:dyDescent="0.25">
      <c r="A5" s="64" t="s">
        <v>99</v>
      </c>
      <c r="B5" s="64" t="s">
        <v>100</v>
      </c>
      <c r="C5" s="64" t="s">
        <v>101</v>
      </c>
      <c r="D5" s="64" t="s">
        <v>102</v>
      </c>
      <c r="E5" s="64" t="s">
        <v>103</v>
      </c>
      <c r="F5" s="64" t="s">
        <v>104</v>
      </c>
      <c r="G5" s="64" t="s">
        <v>105</v>
      </c>
      <c r="H5" s="64" t="s">
        <v>106</v>
      </c>
      <c r="I5" s="64" t="s">
        <v>107</v>
      </c>
      <c r="J5" s="64" t="s">
        <v>108</v>
      </c>
      <c r="K5" s="64" t="s">
        <v>109</v>
      </c>
      <c r="L5" s="32"/>
      <c r="M5" s="64" t="s">
        <v>99</v>
      </c>
      <c r="N5" s="64" t="s">
        <v>100</v>
      </c>
      <c r="O5" s="64" t="s">
        <v>110</v>
      </c>
      <c r="P5" s="64" t="s">
        <v>111</v>
      </c>
      <c r="Q5" s="64" t="s">
        <v>112</v>
      </c>
      <c r="R5" s="64" t="s">
        <v>113</v>
      </c>
      <c r="S5" s="64" t="s">
        <v>114</v>
      </c>
      <c r="T5" s="64" t="s">
        <v>115</v>
      </c>
      <c r="U5" s="64" t="s">
        <v>116</v>
      </c>
      <c r="V5" s="64" t="s">
        <v>117</v>
      </c>
      <c r="W5" s="64" t="s">
        <v>118</v>
      </c>
    </row>
    <row r="6" spans="1:46" ht="15.75" customHeight="1" x14ac:dyDescent="0.25">
      <c r="A6" s="53" t="s">
        <v>92</v>
      </c>
      <c r="B6" s="45"/>
      <c r="C6" s="45"/>
      <c r="D6" s="45"/>
      <c r="E6" s="45"/>
      <c r="F6" s="45"/>
      <c r="G6" s="45"/>
      <c r="H6" s="45"/>
      <c r="I6" s="45"/>
      <c r="J6" s="45"/>
      <c r="K6" s="54"/>
      <c r="L6" s="45"/>
      <c r="M6" s="53" t="s">
        <v>92</v>
      </c>
      <c r="N6" s="45"/>
      <c r="O6" s="45"/>
      <c r="P6" s="45"/>
      <c r="Q6" s="45"/>
      <c r="R6" s="45"/>
      <c r="S6" s="45"/>
      <c r="T6" s="45"/>
      <c r="U6" s="45"/>
      <c r="V6" s="45"/>
      <c r="W6" s="54"/>
    </row>
    <row r="7" spans="1:46" ht="15.75" customHeight="1" x14ac:dyDescent="0.25">
      <c r="A7" s="55">
        <v>1</v>
      </c>
      <c r="B7" s="46" t="s">
        <v>0</v>
      </c>
      <c r="C7" s="46">
        <v>9</v>
      </c>
      <c r="D7" s="46">
        <v>190</v>
      </c>
      <c r="E7" s="46">
        <f>SUM(C7:D7)</f>
        <v>199</v>
      </c>
      <c r="F7" s="46">
        <v>0</v>
      </c>
      <c r="G7" s="46">
        <v>0</v>
      </c>
      <c r="H7" s="46">
        <f>F7+G7</f>
        <v>0</v>
      </c>
      <c r="I7" s="46">
        <v>0</v>
      </c>
      <c r="J7" s="46">
        <v>0</v>
      </c>
      <c r="K7" s="56">
        <v>0</v>
      </c>
      <c r="L7" s="45"/>
      <c r="M7" s="55">
        <v>1</v>
      </c>
      <c r="N7" s="46" t="s">
        <v>0</v>
      </c>
      <c r="O7" s="46">
        <v>0</v>
      </c>
      <c r="P7" s="46">
        <v>0</v>
      </c>
      <c r="Q7" s="46">
        <v>0</v>
      </c>
      <c r="R7" s="46">
        <v>0</v>
      </c>
      <c r="S7" s="46">
        <v>2</v>
      </c>
      <c r="T7" s="46">
        <f>+S7+R7</f>
        <v>2</v>
      </c>
      <c r="U7" s="46">
        <f>+R7+O7+I7+F7+C7</f>
        <v>9</v>
      </c>
      <c r="V7" s="46">
        <f>+S7+P7+J7+G7+D7</f>
        <v>192</v>
      </c>
      <c r="W7" s="56">
        <f>U7+V7</f>
        <v>201</v>
      </c>
    </row>
    <row r="8" spans="1:46" ht="15.75" customHeight="1" x14ac:dyDescent="0.25">
      <c r="A8" s="57">
        <v>2</v>
      </c>
      <c r="B8" s="32" t="s">
        <v>1</v>
      </c>
      <c r="C8" s="32">
        <v>4</v>
      </c>
      <c r="D8" s="32">
        <v>14</v>
      </c>
      <c r="E8" s="32">
        <f>+C8+D8</f>
        <v>18</v>
      </c>
      <c r="F8" s="32">
        <v>0</v>
      </c>
      <c r="G8" s="32">
        <v>0</v>
      </c>
      <c r="H8" s="32">
        <f t="shared" ref="H8:H34" si="0">F8+G8</f>
        <v>0</v>
      </c>
      <c r="I8" s="32">
        <v>0</v>
      </c>
      <c r="J8" s="32">
        <v>0</v>
      </c>
      <c r="K8" s="58">
        <v>0</v>
      </c>
      <c r="L8" s="45"/>
      <c r="M8" s="57">
        <v>2</v>
      </c>
      <c r="N8" s="32" t="s">
        <v>1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f t="shared" ref="U8:U35" si="1">+R8+O8+I8+F8+C8</f>
        <v>4</v>
      </c>
      <c r="V8" s="32">
        <f t="shared" ref="V8:V33" si="2">+S8+P8+J8+G8+D8</f>
        <v>14</v>
      </c>
      <c r="W8" s="58">
        <f t="shared" ref="W8:W33" si="3">U8+V8</f>
        <v>18</v>
      </c>
    </row>
    <row r="9" spans="1:46" s="43" customFormat="1" ht="15.75" customHeight="1" x14ac:dyDescent="0.25">
      <c r="A9" s="55">
        <v>3</v>
      </c>
      <c r="B9" s="46" t="s">
        <v>46</v>
      </c>
      <c r="C9" s="46">
        <v>38</v>
      </c>
      <c r="D9" s="46">
        <v>134</v>
      </c>
      <c r="E9" s="46">
        <v>172</v>
      </c>
      <c r="F9" s="46">
        <v>0</v>
      </c>
      <c r="G9" s="46">
        <v>0</v>
      </c>
      <c r="H9" s="46">
        <f t="shared" si="0"/>
        <v>0</v>
      </c>
      <c r="I9" s="46">
        <v>0</v>
      </c>
      <c r="J9" s="46">
        <v>0</v>
      </c>
      <c r="K9" s="56">
        <v>0</v>
      </c>
      <c r="L9" s="45"/>
      <c r="M9" s="55">
        <v>3</v>
      </c>
      <c r="N9" s="46" t="s">
        <v>46</v>
      </c>
      <c r="O9" s="46">
        <v>0</v>
      </c>
      <c r="P9" s="46">
        <v>0</v>
      </c>
      <c r="Q9" s="46">
        <v>0</v>
      </c>
      <c r="R9" s="46">
        <v>2</v>
      </c>
      <c r="S9" s="46">
        <v>1</v>
      </c>
      <c r="T9" s="46">
        <f>+S9+R9</f>
        <v>3</v>
      </c>
      <c r="U9" s="46">
        <f t="shared" si="1"/>
        <v>40</v>
      </c>
      <c r="V9" s="46">
        <f t="shared" si="2"/>
        <v>135</v>
      </c>
      <c r="W9" s="56">
        <f t="shared" si="3"/>
        <v>175</v>
      </c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</row>
    <row r="10" spans="1:46" ht="15.75" customHeight="1" x14ac:dyDescent="0.25">
      <c r="A10" s="57">
        <v>4</v>
      </c>
      <c r="B10" s="32" t="s">
        <v>2</v>
      </c>
      <c r="C10" s="32">
        <v>327</v>
      </c>
      <c r="D10" s="32">
        <v>177</v>
      </c>
      <c r="E10" s="32">
        <f t="shared" ref="E10:E21" si="4">+D10+C10</f>
        <v>504</v>
      </c>
      <c r="F10" s="32">
        <v>0</v>
      </c>
      <c r="G10" s="32">
        <v>0</v>
      </c>
      <c r="H10" s="32">
        <f t="shared" si="0"/>
        <v>0</v>
      </c>
      <c r="I10" s="32">
        <v>0</v>
      </c>
      <c r="J10" s="32">
        <v>6</v>
      </c>
      <c r="K10" s="58">
        <f>+J10+I10</f>
        <v>6</v>
      </c>
      <c r="L10" s="45"/>
      <c r="M10" s="57">
        <v>4</v>
      </c>
      <c r="N10" s="32" t="s">
        <v>2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f>+R10+O10+I10+F10+C10</f>
        <v>327</v>
      </c>
      <c r="V10" s="32">
        <f>+S10+P10+J10+G10+D10</f>
        <v>183</v>
      </c>
      <c r="W10" s="58">
        <f t="shared" si="3"/>
        <v>510</v>
      </c>
    </row>
    <row r="11" spans="1:46" ht="15.75" customHeight="1" x14ac:dyDescent="0.25">
      <c r="A11" s="55">
        <v>5</v>
      </c>
      <c r="B11" s="46" t="s">
        <v>3</v>
      </c>
      <c r="C11" s="46">
        <v>13</v>
      </c>
      <c r="D11" s="46">
        <v>39</v>
      </c>
      <c r="E11" s="46">
        <f t="shared" si="4"/>
        <v>52</v>
      </c>
      <c r="F11" s="46">
        <v>0</v>
      </c>
      <c r="G11" s="46">
        <v>0</v>
      </c>
      <c r="H11" s="46">
        <f t="shared" si="0"/>
        <v>0</v>
      </c>
      <c r="I11" s="46">
        <v>0</v>
      </c>
      <c r="J11" s="46">
        <v>0</v>
      </c>
      <c r="K11" s="56">
        <v>0</v>
      </c>
      <c r="L11" s="45"/>
      <c r="M11" s="55">
        <v>5</v>
      </c>
      <c r="N11" s="46" t="s">
        <v>3</v>
      </c>
      <c r="O11" s="46">
        <v>0</v>
      </c>
      <c r="P11" s="46">
        <v>0</v>
      </c>
      <c r="Q11" s="46">
        <v>0</v>
      </c>
      <c r="R11" s="46">
        <v>0</v>
      </c>
      <c r="S11" s="46">
        <v>0</v>
      </c>
      <c r="T11" s="46">
        <v>0</v>
      </c>
      <c r="U11" s="46">
        <f t="shared" si="1"/>
        <v>13</v>
      </c>
      <c r="V11" s="46">
        <f t="shared" si="2"/>
        <v>39</v>
      </c>
      <c r="W11" s="56">
        <f t="shared" si="3"/>
        <v>52</v>
      </c>
    </row>
    <row r="12" spans="1:46" s="20" customFormat="1" ht="15.75" customHeight="1" x14ac:dyDescent="0.25">
      <c r="A12" s="57">
        <v>6</v>
      </c>
      <c r="B12" s="47" t="s">
        <v>4</v>
      </c>
      <c r="C12" s="47">
        <v>0</v>
      </c>
      <c r="D12" s="47">
        <v>11</v>
      </c>
      <c r="E12" s="32">
        <f t="shared" si="4"/>
        <v>11</v>
      </c>
      <c r="F12" s="32">
        <v>0</v>
      </c>
      <c r="G12" s="32">
        <v>0</v>
      </c>
      <c r="H12" s="32">
        <f t="shared" si="0"/>
        <v>0</v>
      </c>
      <c r="I12" s="32">
        <v>0</v>
      </c>
      <c r="J12" s="32">
        <v>8</v>
      </c>
      <c r="K12" s="58">
        <f>+J12+I12</f>
        <v>8</v>
      </c>
      <c r="L12" s="45"/>
      <c r="M12" s="57">
        <v>6</v>
      </c>
      <c r="N12" s="47" t="s">
        <v>4</v>
      </c>
      <c r="O12" s="32">
        <v>0</v>
      </c>
      <c r="P12" s="32">
        <v>0</v>
      </c>
      <c r="Q12" s="32">
        <v>0</v>
      </c>
      <c r="R12" s="32">
        <v>0</v>
      </c>
      <c r="S12" s="32">
        <v>7</v>
      </c>
      <c r="T12" s="32">
        <f>+S12+R12</f>
        <v>7</v>
      </c>
      <c r="U12" s="32">
        <f t="shared" si="1"/>
        <v>0</v>
      </c>
      <c r="V12" s="32">
        <f t="shared" si="2"/>
        <v>26</v>
      </c>
      <c r="W12" s="58">
        <f t="shared" si="3"/>
        <v>26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</row>
    <row r="13" spans="1:46" ht="15.75" customHeight="1" x14ac:dyDescent="0.25">
      <c r="A13" s="55">
        <v>7</v>
      </c>
      <c r="B13" s="46" t="s">
        <v>5</v>
      </c>
      <c r="C13" s="46">
        <v>18</v>
      </c>
      <c r="D13" s="46">
        <v>16</v>
      </c>
      <c r="E13" s="46">
        <f t="shared" si="4"/>
        <v>34</v>
      </c>
      <c r="F13" s="46">
        <v>0</v>
      </c>
      <c r="G13" s="46">
        <v>0</v>
      </c>
      <c r="H13" s="46">
        <f t="shared" si="0"/>
        <v>0</v>
      </c>
      <c r="I13" s="46">
        <v>0</v>
      </c>
      <c r="J13" s="46">
        <v>0</v>
      </c>
      <c r="K13" s="56">
        <v>0</v>
      </c>
      <c r="L13" s="45"/>
      <c r="M13" s="55">
        <v>7</v>
      </c>
      <c r="N13" s="46" t="s">
        <v>5</v>
      </c>
      <c r="O13" s="46">
        <v>0</v>
      </c>
      <c r="P13" s="46">
        <v>1</v>
      </c>
      <c r="Q13" s="46">
        <f>+P13+O13</f>
        <v>1</v>
      </c>
      <c r="R13" s="46">
        <v>0</v>
      </c>
      <c r="S13" s="46">
        <v>0</v>
      </c>
      <c r="T13" s="46">
        <v>0</v>
      </c>
      <c r="U13" s="46">
        <f t="shared" si="1"/>
        <v>18</v>
      </c>
      <c r="V13" s="46">
        <f t="shared" si="2"/>
        <v>17</v>
      </c>
      <c r="W13" s="56">
        <f t="shared" si="3"/>
        <v>35</v>
      </c>
    </row>
    <row r="14" spans="1:46" ht="15.75" customHeight="1" x14ac:dyDescent="0.25">
      <c r="A14" s="57">
        <v>8</v>
      </c>
      <c r="B14" s="32" t="s">
        <v>6</v>
      </c>
      <c r="C14" s="32">
        <v>44</v>
      </c>
      <c r="D14" s="32">
        <v>43</v>
      </c>
      <c r="E14" s="32">
        <f t="shared" si="4"/>
        <v>87</v>
      </c>
      <c r="F14" s="32">
        <v>0</v>
      </c>
      <c r="G14" s="32">
        <v>0</v>
      </c>
      <c r="H14" s="32">
        <f t="shared" si="0"/>
        <v>0</v>
      </c>
      <c r="I14" s="32">
        <v>0</v>
      </c>
      <c r="J14" s="32">
        <v>4</v>
      </c>
      <c r="K14" s="58">
        <f>+J14+I14</f>
        <v>4</v>
      </c>
      <c r="L14" s="45"/>
      <c r="M14" s="57">
        <v>8</v>
      </c>
      <c r="N14" s="32" t="s">
        <v>6</v>
      </c>
      <c r="O14" s="32">
        <v>0</v>
      </c>
      <c r="P14" s="32">
        <v>1</v>
      </c>
      <c r="Q14" s="32">
        <f>+P14+O14</f>
        <v>1</v>
      </c>
      <c r="R14" s="32">
        <v>0</v>
      </c>
      <c r="S14" s="32">
        <v>0</v>
      </c>
      <c r="T14" s="32">
        <v>0</v>
      </c>
      <c r="U14" s="32">
        <f t="shared" si="1"/>
        <v>44</v>
      </c>
      <c r="V14" s="32">
        <f t="shared" si="2"/>
        <v>48</v>
      </c>
      <c r="W14" s="58">
        <f t="shared" si="3"/>
        <v>92</v>
      </c>
    </row>
    <row r="15" spans="1:46" ht="15.75" customHeight="1" x14ac:dyDescent="0.25">
      <c r="A15" s="55">
        <v>9</v>
      </c>
      <c r="B15" s="46" t="s">
        <v>7</v>
      </c>
      <c r="C15" s="46">
        <v>0</v>
      </c>
      <c r="D15" s="46">
        <v>31</v>
      </c>
      <c r="E15" s="46">
        <f t="shared" si="4"/>
        <v>31</v>
      </c>
      <c r="F15" s="46">
        <v>0</v>
      </c>
      <c r="G15" s="46">
        <v>0</v>
      </c>
      <c r="H15" s="46">
        <f t="shared" si="0"/>
        <v>0</v>
      </c>
      <c r="I15" s="46">
        <v>0</v>
      </c>
      <c r="J15" s="46">
        <v>0</v>
      </c>
      <c r="K15" s="56">
        <v>0</v>
      </c>
      <c r="L15" s="45"/>
      <c r="M15" s="55">
        <v>9</v>
      </c>
      <c r="N15" s="46" t="s">
        <v>7</v>
      </c>
      <c r="O15" s="46">
        <v>0</v>
      </c>
      <c r="P15" s="46">
        <v>0</v>
      </c>
      <c r="Q15" s="46">
        <v>0</v>
      </c>
      <c r="R15" s="46">
        <v>0</v>
      </c>
      <c r="S15" s="46">
        <v>0</v>
      </c>
      <c r="T15" s="46">
        <v>0</v>
      </c>
      <c r="U15" s="46">
        <f t="shared" si="1"/>
        <v>0</v>
      </c>
      <c r="V15" s="46">
        <f t="shared" si="2"/>
        <v>31</v>
      </c>
      <c r="W15" s="56">
        <f t="shared" si="3"/>
        <v>31</v>
      </c>
    </row>
    <row r="16" spans="1:46" ht="15.75" customHeight="1" x14ac:dyDescent="0.25">
      <c r="A16" s="57">
        <v>10</v>
      </c>
      <c r="B16" s="32" t="s">
        <v>47</v>
      </c>
      <c r="C16" s="32">
        <v>36</v>
      </c>
      <c r="D16" s="32">
        <v>61</v>
      </c>
      <c r="E16" s="32">
        <f t="shared" si="4"/>
        <v>97</v>
      </c>
      <c r="F16" s="32">
        <v>0</v>
      </c>
      <c r="G16" s="32">
        <v>0</v>
      </c>
      <c r="H16" s="32">
        <f t="shared" si="0"/>
        <v>0</v>
      </c>
      <c r="I16" s="32">
        <v>0</v>
      </c>
      <c r="J16" s="32">
        <v>0</v>
      </c>
      <c r="K16" s="58">
        <v>0</v>
      </c>
      <c r="L16" s="45"/>
      <c r="M16" s="57">
        <v>10</v>
      </c>
      <c r="N16" s="32" t="s">
        <v>47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f t="shared" si="1"/>
        <v>36</v>
      </c>
      <c r="V16" s="32">
        <f t="shared" si="2"/>
        <v>61</v>
      </c>
      <c r="W16" s="58">
        <f t="shared" si="3"/>
        <v>97</v>
      </c>
    </row>
    <row r="17" spans="1:23" ht="15.75" customHeight="1" x14ac:dyDescent="0.25">
      <c r="A17" s="55">
        <v>11</v>
      </c>
      <c r="B17" s="46" t="s">
        <v>9</v>
      </c>
      <c r="C17" s="46">
        <v>2</v>
      </c>
      <c r="D17" s="46">
        <v>32</v>
      </c>
      <c r="E17" s="46">
        <f t="shared" si="4"/>
        <v>34</v>
      </c>
      <c r="F17" s="46">
        <v>0</v>
      </c>
      <c r="G17" s="46">
        <v>0</v>
      </c>
      <c r="H17" s="46">
        <f t="shared" si="0"/>
        <v>0</v>
      </c>
      <c r="I17" s="46">
        <v>0</v>
      </c>
      <c r="J17" s="46">
        <v>0</v>
      </c>
      <c r="K17" s="56">
        <v>0</v>
      </c>
      <c r="L17" s="45"/>
      <c r="M17" s="55">
        <v>11</v>
      </c>
      <c r="N17" s="46" t="s">
        <v>9</v>
      </c>
      <c r="O17" s="46">
        <v>0</v>
      </c>
      <c r="P17" s="46">
        <v>1</v>
      </c>
      <c r="Q17" s="46">
        <f>+P17+O17</f>
        <v>1</v>
      </c>
      <c r="R17" s="46">
        <v>0</v>
      </c>
      <c r="S17" s="46">
        <v>0</v>
      </c>
      <c r="T17" s="46">
        <v>0</v>
      </c>
      <c r="U17" s="46">
        <f t="shared" si="1"/>
        <v>2</v>
      </c>
      <c r="V17" s="46">
        <f t="shared" si="2"/>
        <v>33</v>
      </c>
      <c r="W17" s="56">
        <f t="shared" si="3"/>
        <v>35</v>
      </c>
    </row>
    <row r="18" spans="1:23" ht="15.75" customHeight="1" x14ac:dyDescent="0.25">
      <c r="A18" s="57">
        <v>12</v>
      </c>
      <c r="B18" s="32" t="s">
        <v>10</v>
      </c>
      <c r="C18" s="32">
        <v>22</v>
      </c>
      <c r="D18" s="32">
        <v>82</v>
      </c>
      <c r="E18" s="32">
        <f t="shared" si="4"/>
        <v>104</v>
      </c>
      <c r="F18" s="32">
        <v>0</v>
      </c>
      <c r="G18" s="32">
        <v>0</v>
      </c>
      <c r="H18" s="32">
        <f t="shared" si="0"/>
        <v>0</v>
      </c>
      <c r="I18" s="32">
        <v>0</v>
      </c>
      <c r="J18" s="32">
        <v>0</v>
      </c>
      <c r="K18" s="58">
        <v>0</v>
      </c>
      <c r="L18" s="45"/>
      <c r="M18" s="57">
        <v>12</v>
      </c>
      <c r="N18" s="32" t="s">
        <v>10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f t="shared" si="1"/>
        <v>22</v>
      </c>
      <c r="V18" s="32">
        <f t="shared" si="2"/>
        <v>82</v>
      </c>
      <c r="W18" s="58">
        <f t="shared" si="3"/>
        <v>104</v>
      </c>
    </row>
    <row r="19" spans="1:23" ht="15.75" customHeight="1" x14ac:dyDescent="0.25">
      <c r="A19" s="55">
        <v>13</v>
      </c>
      <c r="B19" s="46" t="s">
        <v>11</v>
      </c>
      <c r="C19" s="46">
        <v>29</v>
      </c>
      <c r="D19" s="46">
        <v>96</v>
      </c>
      <c r="E19" s="46">
        <f t="shared" si="4"/>
        <v>125</v>
      </c>
      <c r="F19" s="46">
        <v>0</v>
      </c>
      <c r="G19" s="46">
        <v>0</v>
      </c>
      <c r="H19" s="46">
        <f t="shared" si="0"/>
        <v>0</v>
      </c>
      <c r="I19" s="46">
        <v>0</v>
      </c>
      <c r="J19" s="46">
        <v>0</v>
      </c>
      <c r="K19" s="56">
        <v>0</v>
      </c>
      <c r="L19" s="45"/>
      <c r="M19" s="55">
        <v>13</v>
      </c>
      <c r="N19" s="46" t="s">
        <v>11</v>
      </c>
      <c r="O19" s="46">
        <v>0</v>
      </c>
      <c r="P19" s="46">
        <v>0</v>
      </c>
      <c r="Q19" s="46">
        <v>0</v>
      </c>
      <c r="R19" s="46">
        <v>0</v>
      </c>
      <c r="S19" s="46">
        <v>0</v>
      </c>
      <c r="T19" s="46">
        <v>0</v>
      </c>
      <c r="U19" s="46">
        <f t="shared" si="1"/>
        <v>29</v>
      </c>
      <c r="V19" s="46">
        <f t="shared" si="2"/>
        <v>96</v>
      </c>
      <c r="W19" s="56">
        <f t="shared" si="3"/>
        <v>125</v>
      </c>
    </row>
    <row r="20" spans="1:23" ht="15.75" customHeight="1" x14ac:dyDescent="0.25">
      <c r="A20" s="57">
        <v>14</v>
      </c>
      <c r="B20" s="32" t="s">
        <v>12</v>
      </c>
      <c r="C20" s="32">
        <v>76</v>
      </c>
      <c r="D20" s="32">
        <v>831</v>
      </c>
      <c r="E20" s="32">
        <f t="shared" si="4"/>
        <v>907</v>
      </c>
      <c r="F20" s="32">
        <v>0</v>
      </c>
      <c r="G20" s="32">
        <v>0</v>
      </c>
      <c r="H20" s="32">
        <f t="shared" si="0"/>
        <v>0</v>
      </c>
      <c r="I20" s="32">
        <v>0</v>
      </c>
      <c r="J20" s="32">
        <v>4</v>
      </c>
      <c r="K20" s="58">
        <f>+J20+I20</f>
        <v>4</v>
      </c>
      <c r="L20" s="45"/>
      <c r="M20" s="57">
        <v>14</v>
      </c>
      <c r="N20" s="32" t="s">
        <v>12</v>
      </c>
      <c r="O20" s="32">
        <v>0</v>
      </c>
      <c r="P20" s="32">
        <v>23</v>
      </c>
      <c r="Q20" s="32">
        <f>+P20+O20</f>
        <v>23</v>
      </c>
      <c r="R20" s="32">
        <v>0</v>
      </c>
      <c r="S20" s="32">
        <v>21</v>
      </c>
      <c r="T20" s="32">
        <f>+S20+R20</f>
        <v>21</v>
      </c>
      <c r="U20" s="32">
        <f t="shared" si="1"/>
        <v>76</v>
      </c>
      <c r="V20" s="32">
        <f t="shared" si="2"/>
        <v>879</v>
      </c>
      <c r="W20" s="58">
        <f t="shared" si="3"/>
        <v>955</v>
      </c>
    </row>
    <row r="21" spans="1:23" ht="15.75" customHeight="1" x14ac:dyDescent="0.25">
      <c r="A21" s="55">
        <v>15</v>
      </c>
      <c r="B21" s="46" t="s">
        <v>13</v>
      </c>
      <c r="C21" s="46">
        <v>3</v>
      </c>
      <c r="D21" s="46">
        <v>1</v>
      </c>
      <c r="E21" s="46">
        <f t="shared" si="4"/>
        <v>4</v>
      </c>
      <c r="F21" s="46">
        <v>0</v>
      </c>
      <c r="G21" s="46">
        <v>0</v>
      </c>
      <c r="H21" s="46">
        <f t="shared" si="0"/>
        <v>0</v>
      </c>
      <c r="I21" s="46">
        <v>0</v>
      </c>
      <c r="J21" s="46">
        <v>0</v>
      </c>
      <c r="K21" s="56">
        <v>0</v>
      </c>
      <c r="L21" s="45"/>
      <c r="M21" s="55">
        <v>15</v>
      </c>
      <c r="N21" s="46" t="s">
        <v>13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f t="shared" si="1"/>
        <v>3</v>
      </c>
      <c r="V21" s="46">
        <f t="shared" si="2"/>
        <v>1</v>
      </c>
      <c r="W21" s="56">
        <f t="shared" si="3"/>
        <v>4</v>
      </c>
    </row>
    <row r="22" spans="1:23" ht="15.75" customHeight="1" x14ac:dyDescent="0.25">
      <c r="A22" s="57">
        <v>16</v>
      </c>
      <c r="B22" s="32" t="s">
        <v>14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f t="shared" si="0"/>
        <v>0</v>
      </c>
      <c r="I22" s="32">
        <v>0</v>
      </c>
      <c r="J22" s="32">
        <v>0</v>
      </c>
      <c r="K22" s="58">
        <v>0</v>
      </c>
      <c r="L22" s="45"/>
      <c r="M22" s="57">
        <v>16</v>
      </c>
      <c r="N22" s="32" t="s">
        <v>14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f t="shared" si="1"/>
        <v>0</v>
      </c>
      <c r="V22" s="32">
        <f t="shared" si="2"/>
        <v>0</v>
      </c>
      <c r="W22" s="58">
        <f t="shared" si="3"/>
        <v>0</v>
      </c>
    </row>
    <row r="23" spans="1:23" ht="15.75" customHeight="1" x14ac:dyDescent="0.25">
      <c r="A23" s="55">
        <v>17</v>
      </c>
      <c r="B23" s="46" t="s">
        <v>15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6">
        <f t="shared" si="0"/>
        <v>0</v>
      </c>
      <c r="I23" s="46">
        <v>0</v>
      </c>
      <c r="J23" s="46">
        <v>0</v>
      </c>
      <c r="K23" s="56">
        <v>0</v>
      </c>
      <c r="L23" s="45"/>
      <c r="M23" s="55">
        <v>17</v>
      </c>
      <c r="N23" s="46" t="s">
        <v>15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f t="shared" si="1"/>
        <v>0</v>
      </c>
      <c r="V23" s="46">
        <f t="shared" si="2"/>
        <v>0</v>
      </c>
      <c r="W23" s="56">
        <f t="shared" si="3"/>
        <v>0</v>
      </c>
    </row>
    <row r="24" spans="1:23" ht="15.75" customHeight="1" x14ac:dyDescent="0.25">
      <c r="A24" s="57">
        <v>18</v>
      </c>
      <c r="B24" s="32" t="s">
        <v>16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f t="shared" si="0"/>
        <v>0</v>
      </c>
      <c r="I24" s="32">
        <v>0</v>
      </c>
      <c r="J24" s="32">
        <v>0</v>
      </c>
      <c r="K24" s="58">
        <v>0</v>
      </c>
      <c r="L24" s="45"/>
      <c r="M24" s="57">
        <v>18</v>
      </c>
      <c r="N24" s="32" t="s">
        <v>16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f t="shared" si="1"/>
        <v>0</v>
      </c>
      <c r="V24" s="32">
        <f t="shared" si="2"/>
        <v>0</v>
      </c>
      <c r="W24" s="58">
        <f t="shared" si="3"/>
        <v>0</v>
      </c>
    </row>
    <row r="25" spans="1:23" ht="15.75" customHeight="1" x14ac:dyDescent="0.25">
      <c r="A25" s="55">
        <v>19</v>
      </c>
      <c r="B25" s="46" t="s">
        <v>17</v>
      </c>
      <c r="C25" s="46">
        <v>649</v>
      </c>
      <c r="D25" s="46">
        <v>597</v>
      </c>
      <c r="E25" s="46">
        <f>+D25+C25</f>
        <v>1246</v>
      </c>
      <c r="F25" s="46">
        <v>0</v>
      </c>
      <c r="G25" s="46">
        <v>0</v>
      </c>
      <c r="H25" s="46">
        <f t="shared" si="0"/>
        <v>0</v>
      </c>
      <c r="I25" s="46">
        <v>0</v>
      </c>
      <c r="J25" s="46">
        <v>0</v>
      </c>
      <c r="K25" s="56">
        <v>0</v>
      </c>
      <c r="L25" s="45"/>
      <c r="M25" s="55">
        <v>19</v>
      </c>
      <c r="N25" s="46" t="s">
        <v>17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46">
        <f t="shared" si="1"/>
        <v>649</v>
      </c>
      <c r="V25" s="46">
        <f t="shared" si="2"/>
        <v>597</v>
      </c>
      <c r="W25" s="56">
        <f t="shared" si="3"/>
        <v>1246</v>
      </c>
    </row>
    <row r="26" spans="1:23" ht="15.75" customHeight="1" x14ac:dyDescent="0.25">
      <c r="A26" s="57">
        <v>20</v>
      </c>
      <c r="B26" s="32" t="s">
        <v>18</v>
      </c>
      <c r="C26" s="32">
        <v>35</v>
      </c>
      <c r="D26" s="32">
        <v>21</v>
      </c>
      <c r="E26" s="32">
        <f>+D26+C26</f>
        <v>56</v>
      </c>
      <c r="F26" s="32">
        <v>0</v>
      </c>
      <c r="G26" s="32">
        <v>0</v>
      </c>
      <c r="H26" s="32">
        <f t="shared" si="0"/>
        <v>0</v>
      </c>
      <c r="I26" s="32">
        <v>0</v>
      </c>
      <c r="J26" s="32">
        <v>0</v>
      </c>
      <c r="K26" s="58">
        <v>0</v>
      </c>
      <c r="L26" s="45"/>
      <c r="M26" s="57">
        <v>20</v>
      </c>
      <c r="N26" s="32" t="s">
        <v>18</v>
      </c>
      <c r="O26" s="32">
        <v>12</v>
      </c>
      <c r="P26" s="32">
        <v>3</v>
      </c>
      <c r="Q26" s="32">
        <f>+P26+O26</f>
        <v>15</v>
      </c>
      <c r="R26" s="32">
        <v>0</v>
      </c>
      <c r="S26" s="32">
        <v>0</v>
      </c>
      <c r="T26" s="32">
        <v>0</v>
      </c>
      <c r="U26" s="32">
        <f t="shared" si="1"/>
        <v>47</v>
      </c>
      <c r="V26" s="32">
        <f t="shared" si="2"/>
        <v>24</v>
      </c>
      <c r="W26" s="58">
        <f t="shared" si="3"/>
        <v>71</v>
      </c>
    </row>
    <row r="27" spans="1:23" ht="15.75" customHeight="1" x14ac:dyDescent="0.25">
      <c r="A27" s="55">
        <v>21</v>
      </c>
      <c r="B27" s="46" t="s">
        <v>19</v>
      </c>
      <c r="C27" s="46">
        <v>344</v>
      </c>
      <c r="D27" s="46">
        <v>19</v>
      </c>
      <c r="E27" s="46">
        <f>+D27+C27</f>
        <v>363</v>
      </c>
      <c r="F27" s="46">
        <v>0</v>
      </c>
      <c r="G27" s="46">
        <v>0</v>
      </c>
      <c r="H27" s="46">
        <f t="shared" si="0"/>
        <v>0</v>
      </c>
      <c r="I27" s="46">
        <v>0</v>
      </c>
      <c r="J27" s="46">
        <v>0</v>
      </c>
      <c r="K27" s="56">
        <v>0</v>
      </c>
      <c r="L27" s="45"/>
      <c r="M27" s="55">
        <v>21</v>
      </c>
      <c r="N27" s="46" t="s">
        <v>19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f t="shared" si="1"/>
        <v>344</v>
      </c>
      <c r="V27" s="46">
        <f t="shared" si="2"/>
        <v>19</v>
      </c>
      <c r="W27" s="56">
        <f t="shared" si="3"/>
        <v>363</v>
      </c>
    </row>
    <row r="28" spans="1:23" ht="15.75" customHeight="1" x14ac:dyDescent="0.25">
      <c r="A28" s="57">
        <v>22</v>
      </c>
      <c r="B28" s="48" t="s">
        <v>48</v>
      </c>
      <c r="C28" s="48">
        <v>0</v>
      </c>
      <c r="D28" s="47">
        <v>1</v>
      </c>
      <c r="E28" s="32">
        <f>+D28+C28</f>
        <v>1</v>
      </c>
      <c r="F28" s="32">
        <v>0</v>
      </c>
      <c r="G28" s="32">
        <v>0</v>
      </c>
      <c r="H28" s="32">
        <f t="shared" si="0"/>
        <v>0</v>
      </c>
      <c r="I28" s="32">
        <v>0</v>
      </c>
      <c r="J28" s="32">
        <v>0</v>
      </c>
      <c r="K28" s="58">
        <v>0</v>
      </c>
      <c r="L28" s="45"/>
      <c r="M28" s="57">
        <v>22</v>
      </c>
      <c r="N28" s="48" t="s">
        <v>48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f t="shared" si="1"/>
        <v>0</v>
      </c>
      <c r="V28" s="32">
        <f t="shared" si="2"/>
        <v>1</v>
      </c>
      <c r="W28" s="58">
        <f t="shared" si="3"/>
        <v>1</v>
      </c>
    </row>
    <row r="29" spans="1:23" ht="15.75" customHeight="1" x14ac:dyDescent="0.25">
      <c r="A29" s="55">
        <v>23</v>
      </c>
      <c r="B29" s="46" t="s">
        <v>20</v>
      </c>
      <c r="C29" s="46">
        <v>0</v>
      </c>
      <c r="D29" s="46">
        <v>0</v>
      </c>
      <c r="E29" s="46">
        <v>0</v>
      </c>
      <c r="F29" s="46">
        <v>0</v>
      </c>
      <c r="G29" s="46">
        <v>0</v>
      </c>
      <c r="H29" s="46">
        <f t="shared" si="0"/>
        <v>0</v>
      </c>
      <c r="I29" s="46">
        <v>0</v>
      </c>
      <c r="J29" s="46">
        <v>0</v>
      </c>
      <c r="K29" s="56">
        <v>0</v>
      </c>
      <c r="L29" s="45"/>
      <c r="M29" s="55">
        <v>23</v>
      </c>
      <c r="N29" s="46" t="s">
        <v>20</v>
      </c>
      <c r="O29" s="4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46">
        <f t="shared" si="1"/>
        <v>0</v>
      </c>
      <c r="V29" s="46">
        <f t="shared" si="2"/>
        <v>0</v>
      </c>
      <c r="W29" s="56">
        <f t="shared" si="3"/>
        <v>0</v>
      </c>
    </row>
    <row r="30" spans="1:23" ht="15.75" customHeight="1" x14ac:dyDescent="0.25">
      <c r="A30" s="57">
        <v>24</v>
      </c>
      <c r="B30" s="32" t="s">
        <v>21</v>
      </c>
      <c r="C30" s="32">
        <v>22</v>
      </c>
      <c r="D30" s="32">
        <v>595</v>
      </c>
      <c r="E30" s="32">
        <f>+D30+C30</f>
        <v>617</v>
      </c>
      <c r="F30" s="32">
        <v>0</v>
      </c>
      <c r="G30" s="32">
        <v>0</v>
      </c>
      <c r="H30" s="32">
        <f t="shared" si="0"/>
        <v>0</v>
      </c>
      <c r="I30" s="32">
        <v>0</v>
      </c>
      <c r="J30" s="32">
        <v>0</v>
      </c>
      <c r="K30" s="58">
        <v>0</v>
      </c>
      <c r="L30" s="45"/>
      <c r="M30" s="57">
        <v>24</v>
      </c>
      <c r="N30" s="32" t="s">
        <v>21</v>
      </c>
      <c r="O30" s="32">
        <v>0</v>
      </c>
      <c r="P30" s="32">
        <v>4</v>
      </c>
      <c r="Q30" s="32">
        <f>+P30+O30</f>
        <v>4</v>
      </c>
      <c r="R30" s="32">
        <v>0</v>
      </c>
      <c r="S30" s="32">
        <v>5</v>
      </c>
      <c r="T30" s="32">
        <f>+S30+R30</f>
        <v>5</v>
      </c>
      <c r="U30" s="32">
        <f t="shared" si="1"/>
        <v>22</v>
      </c>
      <c r="V30" s="32">
        <f>+S30+P30+J30+G30+D30</f>
        <v>604</v>
      </c>
      <c r="W30" s="58">
        <f t="shared" si="3"/>
        <v>626</v>
      </c>
    </row>
    <row r="31" spans="1:23" ht="15.75" customHeight="1" x14ac:dyDescent="0.25">
      <c r="A31" s="55">
        <v>25</v>
      </c>
      <c r="B31" s="46" t="s">
        <v>22</v>
      </c>
      <c r="C31" s="46">
        <v>42</v>
      </c>
      <c r="D31" s="46">
        <v>25</v>
      </c>
      <c r="E31" s="46">
        <f>+D31+C31</f>
        <v>67</v>
      </c>
      <c r="F31" s="46">
        <v>0</v>
      </c>
      <c r="G31" s="46">
        <v>0</v>
      </c>
      <c r="H31" s="46">
        <f t="shared" si="0"/>
        <v>0</v>
      </c>
      <c r="I31" s="46">
        <v>0</v>
      </c>
      <c r="J31" s="46">
        <v>0</v>
      </c>
      <c r="K31" s="56">
        <v>0</v>
      </c>
      <c r="L31" s="45"/>
      <c r="M31" s="55">
        <v>25</v>
      </c>
      <c r="N31" s="46" t="s">
        <v>22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f t="shared" si="1"/>
        <v>42</v>
      </c>
      <c r="V31" s="46">
        <f t="shared" si="2"/>
        <v>25</v>
      </c>
      <c r="W31" s="56">
        <f t="shared" si="3"/>
        <v>67</v>
      </c>
    </row>
    <row r="32" spans="1:23" ht="15.75" customHeight="1" x14ac:dyDescent="0.25">
      <c r="A32" s="57">
        <v>26</v>
      </c>
      <c r="B32" s="32" t="s">
        <v>23</v>
      </c>
      <c r="C32" s="32">
        <v>1</v>
      </c>
      <c r="D32" s="32">
        <v>185</v>
      </c>
      <c r="E32" s="32">
        <f>+D32+C32</f>
        <v>186</v>
      </c>
      <c r="F32" s="32">
        <v>0</v>
      </c>
      <c r="G32" s="32">
        <v>0</v>
      </c>
      <c r="H32" s="32">
        <f t="shared" si="0"/>
        <v>0</v>
      </c>
      <c r="I32" s="32">
        <v>0</v>
      </c>
      <c r="J32" s="32">
        <v>0</v>
      </c>
      <c r="K32" s="58">
        <v>0</v>
      </c>
      <c r="L32" s="45"/>
      <c r="M32" s="57">
        <v>26</v>
      </c>
      <c r="N32" s="32" t="s">
        <v>23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f t="shared" si="1"/>
        <v>1</v>
      </c>
      <c r="V32" s="32">
        <f t="shared" si="2"/>
        <v>185</v>
      </c>
      <c r="W32" s="58">
        <f t="shared" si="3"/>
        <v>186</v>
      </c>
    </row>
    <row r="33" spans="1:46" ht="15.75" customHeight="1" x14ac:dyDescent="0.25">
      <c r="A33" s="55">
        <v>27</v>
      </c>
      <c r="B33" s="46" t="s">
        <v>24</v>
      </c>
      <c r="C33" s="46">
        <v>6</v>
      </c>
      <c r="D33" s="46">
        <v>52</v>
      </c>
      <c r="E33" s="46">
        <f>+D33+C33</f>
        <v>58</v>
      </c>
      <c r="F33" s="46">
        <v>0</v>
      </c>
      <c r="G33" s="46">
        <v>0</v>
      </c>
      <c r="H33" s="46">
        <f t="shared" si="0"/>
        <v>0</v>
      </c>
      <c r="I33" s="46">
        <v>0</v>
      </c>
      <c r="J33" s="46">
        <v>0</v>
      </c>
      <c r="K33" s="56">
        <v>0</v>
      </c>
      <c r="L33" s="45"/>
      <c r="M33" s="55">
        <v>27</v>
      </c>
      <c r="N33" s="46" t="s">
        <v>24</v>
      </c>
      <c r="O33" s="46">
        <v>0</v>
      </c>
      <c r="P33" s="46">
        <v>0</v>
      </c>
      <c r="Q33" s="46">
        <v>0</v>
      </c>
      <c r="R33" s="46">
        <v>0</v>
      </c>
      <c r="S33" s="46">
        <v>0</v>
      </c>
      <c r="T33" s="46">
        <v>0</v>
      </c>
      <c r="U33" s="46">
        <f t="shared" si="1"/>
        <v>6</v>
      </c>
      <c r="V33" s="46">
        <f t="shared" si="2"/>
        <v>52</v>
      </c>
      <c r="W33" s="56">
        <f t="shared" si="3"/>
        <v>58</v>
      </c>
    </row>
    <row r="34" spans="1:46" ht="15.75" customHeight="1" x14ac:dyDescent="0.25">
      <c r="A34" s="57">
        <v>28</v>
      </c>
      <c r="B34" s="32" t="s">
        <v>49</v>
      </c>
      <c r="C34" s="32">
        <v>6</v>
      </c>
      <c r="D34" s="32">
        <v>45</v>
      </c>
      <c r="E34" s="32">
        <f>+D34+C34</f>
        <v>51</v>
      </c>
      <c r="F34" s="32">
        <v>0</v>
      </c>
      <c r="G34" s="32">
        <v>0</v>
      </c>
      <c r="H34" s="32">
        <f t="shared" si="0"/>
        <v>0</v>
      </c>
      <c r="I34" s="32">
        <v>0</v>
      </c>
      <c r="J34" s="32">
        <v>0</v>
      </c>
      <c r="K34" s="58">
        <v>0</v>
      </c>
      <c r="L34" s="45"/>
      <c r="M34" s="57">
        <v>28</v>
      </c>
      <c r="N34" s="32" t="s">
        <v>49</v>
      </c>
      <c r="O34" s="32">
        <v>0</v>
      </c>
      <c r="P34" s="32">
        <v>6</v>
      </c>
      <c r="Q34" s="32">
        <f>+P34+O34</f>
        <v>6</v>
      </c>
      <c r="R34" s="32">
        <v>1</v>
      </c>
      <c r="S34" s="32">
        <v>0</v>
      </c>
      <c r="T34" s="32">
        <f>+S34+R34</f>
        <v>1</v>
      </c>
      <c r="U34" s="32">
        <f>+R34+O34+I34+F34+C34</f>
        <v>7</v>
      </c>
      <c r="V34" s="32">
        <f>+S34+P34+J34+G34+D34</f>
        <v>51</v>
      </c>
      <c r="W34" s="58">
        <f>U34+V34</f>
        <v>58</v>
      </c>
    </row>
    <row r="35" spans="1:46" s="20" customFormat="1" ht="15.75" customHeight="1" x14ac:dyDescent="0.25">
      <c r="A35" s="52"/>
      <c r="B35" s="49" t="s">
        <v>25</v>
      </c>
      <c r="C35" s="50">
        <f>SUM(C7:C34)</f>
        <v>1726</v>
      </c>
      <c r="D35" s="50">
        <f t="shared" ref="D35:K35" si="5">SUM(D7:D34)</f>
        <v>3298</v>
      </c>
      <c r="E35" s="50">
        <f t="shared" si="5"/>
        <v>5024</v>
      </c>
      <c r="F35" s="50">
        <f t="shared" si="5"/>
        <v>0</v>
      </c>
      <c r="G35" s="50">
        <f t="shared" si="5"/>
        <v>0</v>
      </c>
      <c r="H35" s="50">
        <f t="shared" si="5"/>
        <v>0</v>
      </c>
      <c r="I35" s="50">
        <f t="shared" si="5"/>
        <v>0</v>
      </c>
      <c r="J35" s="50">
        <f t="shared" si="5"/>
        <v>22</v>
      </c>
      <c r="K35" s="59">
        <f t="shared" si="5"/>
        <v>22</v>
      </c>
      <c r="L35" s="45"/>
      <c r="M35" s="52"/>
      <c r="N35" s="49" t="s">
        <v>25</v>
      </c>
      <c r="O35" s="50">
        <f>SUM(O7:O34)</f>
        <v>12</v>
      </c>
      <c r="P35" s="50">
        <f t="shared" ref="P35:W35" si="6">SUM(P7:P34)</f>
        <v>39</v>
      </c>
      <c r="Q35" s="50">
        <f t="shared" si="6"/>
        <v>51</v>
      </c>
      <c r="R35" s="50">
        <f t="shared" si="6"/>
        <v>3</v>
      </c>
      <c r="S35" s="50">
        <f t="shared" si="6"/>
        <v>36</v>
      </c>
      <c r="T35" s="50">
        <f t="shared" si="6"/>
        <v>39</v>
      </c>
      <c r="U35" s="68">
        <f t="shared" si="1"/>
        <v>1741</v>
      </c>
      <c r="V35" s="50">
        <f t="shared" si="6"/>
        <v>3395</v>
      </c>
      <c r="W35" s="59">
        <f t="shared" si="6"/>
        <v>5136</v>
      </c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</row>
    <row r="36" spans="1:46" s="20" customFormat="1" ht="15.75" customHeight="1" x14ac:dyDescent="0.25">
      <c r="A36" s="53" t="s">
        <v>93</v>
      </c>
      <c r="B36" s="45"/>
      <c r="C36" s="45"/>
      <c r="D36" s="45"/>
      <c r="E36" s="45"/>
      <c r="F36" s="45"/>
      <c r="G36" s="45"/>
      <c r="H36" s="45"/>
      <c r="I36" s="45"/>
      <c r="J36" s="45"/>
      <c r="K36" s="54"/>
      <c r="L36" s="45"/>
      <c r="M36" s="53" t="s">
        <v>93</v>
      </c>
      <c r="N36" s="45"/>
      <c r="O36" s="45"/>
      <c r="P36" s="45"/>
      <c r="Q36" s="45"/>
      <c r="R36" s="45"/>
      <c r="S36" s="45"/>
      <c r="T36" s="45"/>
      <c r="U36" s="45"/>
      <c r="V36" s="45"/>
      <c r="W36" s="54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</row>
    <row r="37" spans="1:46" ht="15.75" customHeight="1" x14ac:dyDescent="0.25">
      <c r="A37" s="55">
        <v>29</v>
      </c>
      <c r="B37" s="46" t="s">
        <v>26</v>
      </c>
      <c r="C37" s="46">
        <v>0</v>
      </c>
      <c r="D37" s="51">
        <v>0</v>
      </c>
      <c r="E37" s="46">
        <v>0</v>
      </c>
      <c r="F37" s="46">
        <v>0</v>
      </c>
      <c r="G37" s="46">
        <v>0</v>
      </c>
      <c r="H37" s="46">
        <f>F37+G37</f>
        <v>0</v>
      </c>
      <c r="I37" s="46">
        <v>0</v>
      </c>
      <c r="J37" s="46">
        <v>0</v>
      </c>
      <c r="K37" s="56">
        <v>0</v>
      </c>
      <c r="L37" s="45"/>
      <c r="M37" s="55">
        <v>29</v>
      </c>
      <c r="N37" s="46" t="s">
        <v>26</v>
      </c>
      <c r="O37" s="46">
        <v>0</v>
      </c>
      <c r="P37" s="46">
        <v>0</v>
      </c>
      <c r="Q37" s="46">
        <v>0</v>
      </c>
      <c r="R37" s="46">
        <v>0</v>
      </c>
      <c r="S37" s="46">
        <v>0</v>
      </c>
      <c r="T37" s="46">
        <v>0</v>
      </c>
      <c r="U37" s="46">
        <f t="shared" ref="U37:V44" si="7">+R37+O37+I37+F37+C37</f>
        <v>0</v>
      </c>
      <c r="V37" s="46">
        <f t="shared" si="7"/>
        <v>0</v>
      </c>
      <c r="W37" s="56">
        <f>U37+V37</f>
        <v>0</v>
      </c>
    </row>
    <row r="38" spans="1:46" ht="15.75" customHeight="1" x14ac:dyDescent="0.25">
      <c r="A38" s="57">
        <v>30</v>
      </c>
      <c r="B38" s="32" t="s">
        <v>27</v>
      </c>
      <c r="C38" s="32">
        <v>0</v>
      </c>
      <c r="D38" s="48">
        <v>13</v>
      </c>
      <c r="E38" s="32">
        <f>+D38+C38</f>
        <v>13</v>
      </c>
      <c r="F38" s="32">
        <v>0</v>
      </c>
      <c r="G38" s="32">
        <v>0</v>
      </c>
      <c r="H38" s="32">
        <f t="shared" ref="H38:H44" si="8">F38+G38</f>
        <v>0</v>
      </c>
      <c r="I38" s="32">
        <v>0</v>
      </c>
      <c r="J38" s="32">
        <v>0</v>
      </c>
      <c r="K38" s="58">
        <v>0</v>
      </c>
      <c r="L38" s="45"/>
      <c r="M38" s="57">
        <v>30</v>
      </c>
      <c r="N38" s="32" t="s">
        <v>27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f t="shared" si="7"/>
        <v>0</v>
      </c>
      <c r="V38" s="32">
        <f t="shared" si="7"/>
        <v>13</v>
      </c>
      <c r="W38" s="58">
        <f t="shared" ref="W38:W44" si="9">U38+V38</f>
        <v>13</v>
      </c>
    </row>
    <row r="39" spans="1:46" ht="15.75" customHeight="1" x14ac:dyDescent="0.25">
      <c r="A39" s="55">
        <v>31</v>
      </c>
      <c r="B39" s="46" t="s">
        <v>97</v>
      </c>
      <c r="C39" s="46">
        <v>0</v>
      </c>
      <c r="D39" s="51">
        <v>0</v>
      </c>
      <c r="E39" s="46">
        <v>0</v>
      </c>
      <c r="F39" s="46">
        <v>0</v>
      </c>
      <c r="G39" s="46">
        <v>0</v>
      </c>
      <c r="H39" s="46">
        <f t="shared" si="8"/>
        <v>0</v>
      </c>
      <c r="I39" s="46">
        <v>0</v>
      </c>
      <c r="J39" s="46">
        <v>0</v>
      </c>
      <c r="K39" s="56">
        <v>0</v>
      </c>
      <c r="L39" s="45"/>
      <c r="M39" s="55">
        <v>31</v>
      </c>
      <c r="N39" s="46" t="s">
        <v>97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f t="shared" si="7"/>
        <v>0</v>
      </c>
      <c r="V39" s="46">
        <f t="shared" si="7"/>
        <v>0</v>
      </c>
      <c r="W39" s="56">
        <f t="shared" si="9"/>
        <v>0</v>
      </c>
    </row>
    <row r="40" spans="1:46" ht="15.75" customHeight="1" x14ac:dyDescent="0.25">
      <c r="A40" s="57">
        <v>32</v>
      </c>
      <c r="B40" s="48" t="s">
        <v>28</v>
      </c>
      <c r="C40" s="32">
        <v>643</v>
      </c>
      <c r="D40" s="48">
        <v>192</v>
      </c>
      <c r="E40" s="32">
        <f>+D40+C40</f>
        <v>835</v>
      </c>
      <c r="F40" s="32">
        <v>0</v>
      </c>
      <c r="G40" s="32">
        <v>0</v>
      </c>
      <c r="H40" s="32">
        <f t="shared" si="8"/>
        <v>0</v>
      </c>
      <c r="I40" s="32">
        <v>3</v>
      </c>
      <c r="J40" s="32">
        <v>2</v>
      </c>
      <c r="K40" s="58">
        <f>+I40+J40</f>
        <v>5</v>
      </c>
      <c r="L40" s="45"/>
      <c r="M40" s="57">
        <v>32</v>
      </c>
      <c r="N40" s="48" t="s">
        <v>28</v>
      </c>
      <c r="O40" s="32">
        <v>0</v>
      </c>
      <c r="P40" s="32">
        <v>0</v>
      </c>
      <c r="Q40" s="32">
        <v>0</v>
      </c>
      <c r="R40" s="32">
        <v>0</v>
      </c>
      <c r="S40" s="32">
        <v>2</v>
      </c>
      <c r="T40" s="32">
        <f>+S40+R40</f>
        <v>2</v>
      </c>
      <c r="U40" s="32">
        <f t="shared" si="7"/>
        <v>646</v>
      </c>
      <c r="V40" s="32">
        <f t="shared" si="7"/>
        <v>196</v>
      </c>
      <c r="W40" s="58">
        <f t="shared" si="9"/>
        <v>842</v>
      </c>
    </row>
    <row r="41" spans="1:46" ht="15.75" customHeight="1" x14ac:dyDescent="0.25">
      <c r="A41" s="55">
        <v>33</v>
      </c>
      <c r="B41" s="46" t="s">
        <v>8</v>
      </c>
      <c r="C41" s="46">
        <v>1</v>
      </c>
      <c r="D41" s="46">
        <v>2</v>
      </c>
      <c r="E41" s="46">
        <f>+D41+C41</f>
        <v>3</v>
      </c>
      <c r="F41" s="46">
        <v>0</v>
      </c>
      <c r="G41" s="46">
        <v>0</v>
      </c>
      <c r="H41" s="46">
        <f t="shared" si="8"/>
        <v>0</v>
      </c>
      <c r="I41" s="46">
        <v>0</v>
      </c>
      <c r="J41" s="46">
        <v>0</v>
      </c>
      <c r="K41" s="56">
        <v>0</v>
      </c>
      <c r="L41" s="45"/>
      <c r="M41" s="55">
        <v>33</v>
      </c>
      <c r="N41" s="46" t="s">
        <v>8</v>
      </c>
      <c r="O41" s="46">
        <v>1</v>
      </c>
      <c r="P41" s="46">
        <v>2</v>
      </c>
      <c r="Q41" s="46">
        <f>+P41+O41</f>
        <v>3</v>
      </c>
      <c r="R41" s="46">
        <v>0</v>
      </c>
      <c r="S41" s="46">
        <v>29</v>
      </c>
      <c r="T41" s="46">
        <f>+S41+R41</f>
        <v>29</v>
      </c>
      <c r="U41" s="46">
        <f t="shared" si="7"/>
        <v>2</v>
      </c>
      <c r="V41" s="46">
        <f t="shared" si="7"/>
        <v>33</v>
      </c>
      <c r="W41" s="56">
        <f t="shared" si="9"/>
        <v>35</v>
      </c>
    </row>
    <row r="42" spans="1:46" ht="15.75" customHeight="1" x14ac:dyDescent="0.25">
      <c r="A42" s="57">
        <v>34</v>
      </c>
      <c r="B42" s="32" t="s">
        <v>98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f t="shared" si="8"/>
        <v>0</v>
      </c>
      <c r="I42" s="32">
        <v>0</v>
      </c>
      <c r="J42" s="32">
        <v>0</v>
      </c>
      <c r="K42" s="58">
        <v>0</v>
      </c>
      <c r="L42" s="45"/>
      <c r="M42" s="57">
        <v>34</v>
      </c>
      <c r="N42" s="32" t="s">
        <v>98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f t="shared" si="7"/>
        <v>0</v>
      </c>
      <c r="V42" s="32">
        <f t="shared" si="7"/>
        <v>0</v>
      </c>
      <c r="W42" s="58">
        <f t="shared" si="9"/>
        <v>0</v>
      </c>
    </row>
    <row r="43" spans="1:46" ht="15.75" customHeight="1" x14ac:dyDescent="0.25">
      <c r="A43" s="55">
        <v>35</v>
      </c>
      <c r="B43" s="46" t="s">
        <v>29</v>
      </c>
      <c r="C43" s="46">
        <v>0</v>
      </c>
      <c r="D43" s="51">
        <v>0</v>
      </c>
      <c r="E43" s="46">
        <v>0</v>
      </c>
      <c r="F43" s="46">
        <v>0</v>
      </c>
      <c r="G43" s="46">
        <v>0</v>
      </c>
      <c r="H43" s="46">
        <f t="shared" si="8"/>
        <v>0</v>
      </c>
      <c r="I43" s="46">
        <v>0</v>
      </c>
      <c r="J43" s="46">
        <v>0</v>
      </c>
      <c r="K43" s="56">
        <v>0</v>
      </c>
      <c r="L43" s="45"/>
      <c r="M43" s="55">
        <v>35</v>
      </c>
      <c r="N43" s="46" t="s">
        <v>29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f t="shared" si="7"/>
        <v>0</v>
      </c>
      <c r="V43" s="46">
        <f t="shared" si="7"/>
        <v>0</v>
      </c>
      <c r="W43" s="56">
        <f t="shared" si="9"/>
        <v>0</v>
      </c>
    </row>
    <row r="44" spans="1:46" ht="15.75" customHeight="1" x14ac:dyDescent="0.25">
      <c r="A44" s="57">
        <v>36</v>
      </c>
      <c r="B44" s="32" t="s">
        <v>30</v>
      </c>
      <c r="C44" s="32">
        <v>0</v>
      </c>
      <c r="D44" s="48">
        <v>17</v>
      </c>
      <c r="E44" s="32">
        <f>+D44+C44</f>
        <v>17</v>
      </c>
      <c r="F44" s="32">
        <v>0</v>
      </c>
      <c r="G44" s="32">
        <v>0</v>
      </c>
      <c r="H44" s="32">
        <f t="shared" si="8"/>
        <v>0</v>
      </c>
      <c r="I44" s="32">
        <v>0</v>
      </c>
      <c r="J44" s="32">
        <v>0</v>
      </c>
      <c r="K44" s="58">
        <v>0</v>
      </c>
      <c r="L44" s="45"/>
      <c r="M44" s="57">
        <v>36</v>
      </c>
      <c r="N44" s="32" t="s">
        <v>30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f t="shared" si="7"/>
        <v>0</v>
      </c>
      <c r="V44" s="32">
        <f t="shared" si="7"/>
        <v>17</v>
      </c>
      <c r="W44" s="58">
        <f t="shared" si="9"/>
        <v>17</v>
      </c>
    </row>
    <row r="45" spans="1:46" ht="15.75" customHeight="1" x14ac:dyDescent="0.25">
      <c r="A45" s="52"/>
      <c r="B45" s="49" t="s">
        <v>31</v>
      </c>
      <c r="C45" s="50">
        <f>SUM(C37:C44)</f>
        <v>644</v>
      </c>
      <c r="D45" s="50">
        <f t="shared" ref="D45:K45" si="10">SUM(D37:D44)</f>
        <v>224</v>
      </c>
      <c r="E45" s="50">
        <f t="shared" si="10"/>
        <v>868</v>
      </c>
      <c r="F45" s="50">
        <f t="shared" si="10"/>
        <v>0</v>
      </c>
      <c r="G45" s="50">
        <f t="shared" si="10"/>
        <v>0</v>
      </c>
      <c r="H45" s="50">
        <f t="shared" si="10"/>
        <v>0</v>
      </c>
      <c r="I45" s="50">
        <f t="shared" si="10"/>
        <v>3</v>
      </c>
      <c r="J45" s="50">
        <f t="shared" si="10"/>
        <v>2</v>
      </c>
      <c r="K45" s="59">
        <f t="shared" si="10"/>
        <v>5</v>
      </c>
      <c r="L45" s="45"/>
      <c r="M45" s="52"/>
      <c r="N45" s="49" t="s">
        <v>31</v>
      </c>
      <c r="O45" s="50">
        <f>SUM(O37:O44)</f>
        <v>1</v>
      </c>
      <c r="P45" s="50">
        <f t="shared" ref="P45:W45" si="11">SUM(P37:P44)</f>
        <v>2</v>
      </c>
      <c r="Q45" s="50">
        <f t="shared" si="11"/>
        <v>3</v>
      </c>
      <c r="R45" s="50">
        <f t="shared" si="11"/>
        <v>0</v>
      </c>
      <c r="S45" s="50">
        <f t="shared" si="11"/>
        <v>31</v>
      </c>
      <c r="T45" s="50">
        <f t="shared" si="11"/>
        <v>31</v>
      </c>
      <c r="U45" s="50">
        <f t="shared" si="11"/>
        <v>648</v>
      </c>
      <c r="V45" s="50">
        <f t="shared" si="11"/>
        <v>259</v>
      </c>
      <c r="W45" s="59">
        <f t="shared" si="11"/>
        <v>907</v>
      </c>
    </row>
    <row r="46" spans="1:46" ht="15.75" customHeight="1" x14ac:dyDescent="0.25">
      <c r="A46" s="60"/>
      <c r="B46" s="61" t="s">
        <v>32</v>
      </c>
      <c r="C46" s="62">
        <f>SUM(C35,C45)</f>
        <v>2370</v>
      </c>
      <c r="D46" s="62">
        <f t="shared" ref="D46:K46" si="12">SUM(D35,D45)</f>
        <v>3522</v>
      </c>
      <c r="E46" s="62">
        <f t="shared" si="12"/>
        <v>5892</v>
      </c>
      <c r="F46" s="62">
        <f t="shared" si="12"/>
        <v>0</v>
      </c>
      <c r="G46" s="62">
        <f t="shared" si="12"/>
        <v>0</v>
      </c>
      <c r="H46" s="62">
        <f t="shared" si="12"/>
        <v>0</v>
      </c>
      <c r="I46" s="62">
        <f t="shared" si="12"/>
        <v>3</v>
      </c>
      <c r="J46" s="62">
        <f t="shared" si="12"/>
        <v>24</v>
      </c>
      <c r="K46" s="63">
        <f t="shared" si="12"/>
        <v>27</v>
      </c>
      <c r="L46" s="45"/>
      <c r="M46" s="60"/>
      <c r="N46" s="61" t="s">
        <v>32</v>
      </c>
      <c r="O46" s="62">
        <f>SUM(O35,O45)</f>
        <v>13</v>
      </c>
      <c r="P46" s="62">
        <f t="shared" ref="P46:W46" si="13">SUM(P35,P45)</f>
        <v>41</v>
      </c>
      <c r="Q46" s="62">
        <f t="shared" si="13"/>
        <v>54</v>
      </c>
      <c r="R46" s="62">
        <f t="shared" si="13"/>
        <v>3</v>
      </c>
      <c r="S46" s="62">
        <f t="shared" si="13"/>
        <v>67</v>
      </c>
      <c r="T46" s="62">
        <f t="shared" si="13"/>
        <v>70</v>
      </c>
      <c r="U46" s="62">
        <f t="shared" si="13"/>
        <v>2389</v>
      </c>
      <c r="V46" s="62">
        <f t="shared" si="13"/>
        <v>3654</v>
      </c>
      <c r="W46" s="63">
        <f t="shared" si="13"/>
        <v>6043</v>
      </c>
    </row>
    <row r="47" spans="1:46" ht="15.75" customHeight="1" x14ac:dyDescent="0.25">
      <c r="A47" s="72" t="s">
        <v>95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67"/>
      <c r="M47" s="72" t="s">
        <v>96</v>
      </c>
      <c r="N47" s="72"/>
      <c r="O47" s="72"/>
      <c r="P47" s="72"/>
      <c r="Q47" s="72"/>
      <c r="R47" s="72"/>
      <c r="S47" s="72"/>
      <c r="T47" s="72"/>
      <c r="U47" s="72"/>
      <c r="V47" s="72"/>
      <c r="W47" s="72"/>
    </row>
    <row r="48" spans="1:46" x14ac:dyDescent="0.25">
      <c r="A48" s="33" t="s">
        <v>90</v>
      </c>
      <c r="B48" s="42" t="s">
        <v>91</v>
      </c>
      <c r="C48" s="1"/>
      <c r="D48" s="1"/>
      <c r="E48" s="1"/>
      <c r="F48" s="34"/>
      <c r="M48" s="33" t="s">
        <v>90</v>
      </c>
      <c r="N48" s="42" t="s">
        <v>91</v>
      </c>
    </row>
    <row r="49" spans="2:18" x14ac:dyDescent="0.25">
      <c r="B49" s="42"/>
      <c r="C49" s="1"/>
      <c r="D49" s="1"/>
      <c r="E49" s="1"/>
      <c r="N49" s="42"/>
    </row>
    <row r="50" spans="2:18" ht="15.75" x14ac:dyDescent="0.25">
      <c r="D50" s="71"/>
      <c r="E50" s="71"/>
      <c r="Q50" s="71"/>
      <c r="R50" s="71"/>
    </row>
  </sheetData>
  <mergeCells count="18">
    <mergeCell ref="N3:N4"/>
    <mergeCell ref="I3:K3"/>
    <mergeCell ref="D50:E50"/>
    <mergeCell ref="Q50:R50"/>
    <mergeCell ref="A47:K47"/>
    <mergeCell ref="M47:W47"/>
    <mergeCell ref="A1:K1"/>
    <mergeCell ref="M1:W1"/>
    <mergeCell ref="M2:W2"/>
    <mergeCell ref="A3:A4"/>
    <mergeCell ref="M3:M4"/>
    <mergeCell ref="C3:E3"/>
    <mergeCell ref="F3:H3"/>
    <mergeCell ref="O3:Q3"/>
    <mergeCell ref="R3:T3"/>
    <mergeCell ref="U3:W3"/>
    <mergeCell ref="A2:K2"/>
    <mergeCell ref="B3:B4"/>
  </mergeCells>
  <hyperlinks>
    <hyperlink ref="B42" r:id="rId1" display="Ladakh@"/>
    <hyperlink ref="N42" r:id="rId2" display="Ladakh@"/>
  </hyperlinks>
  <printOptions horizontalCentered="1"/>
  <pageMargins left="0.41599999999999998" right="0.41599999999999998" top="0.41599999999999998" bottom="0.41599999999999998" header="0.41599999999999998" footer="0.41599999999999998"/>
  <pageSetup paperSize="9" scale="94" orientation="portrait" r:id="rId3"/>
  <colBreaks count="1" manualBreakCount="1">
    <brk id="11" max="4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77" t="s">
        <v>75</v>
      </c>
      <c r="B1" s="77"/>
      <c r="C1" s="77"/>
      <c r="D1" s="77"/>
      <c r="E1" s="77"/>
      <c r="F1" s="77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76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6" t="s">
        <v>68</v>
      </c>
      <c r="K3">
        <v>100</v>
      </c>
    </row>
    <row r="4" spans="1:11" x14ac:dyDescent="0.25">
      <c r="A4" s="15">
        <v>1</v>
      </c>
      <c r="B4" s="18" t="s">
        <v>0</v>
      </c>
      <c r="C4" s="35">
        <v>171</v>
      </c>
      <c r="D4" s="21">
        <f t="shared" ref="D4:D42" si="0">C4/$C$42*100</f>
        <v>9.9766627771295227</v>
      </c>
      <c r="E4" s="28">
        <v>525.99</v>
      </c>
      <c r="F4" s="21">
        <f>C4/E4</f>
        <v>0.32510123766611532</v>
      </c>
      <c r="I4" s="27">
        <v>52599</v>
      </c>
      <c r="J4" s="28">
        <f>I4/$K$3</f>
        <v>525.99</v>
      </c>
    </row>
    <row r="5" spans="1:11" x14ac:dyDescent="0.25">
      <c r="A5" s="10">
        <v>2</v>
      </c>
      <c r="B5" s="18" t="s">
        <v>1</v>
      </c>
      <c r="C5" s="36">
        <v>2</v>
      </c>
      <c r="D5" s="21">
        <f t="shared" si="0"/>
        <v>0.11668611435239205</v>
      </c>
      <c r="E5" s="28">
        <v>15.22</v>
      </c>
      <c r="F5" s="21">
        <f t="shared" ref="F5:F40" si="1">C5/E5</f>
        <v>0.13140604467805519</v>
      </c>
      <c r="I5" s="27">
        <v>1507</v>
      </c>
      <c r="J5" s="28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5">
        <v>124</v>
      </c>
      <c r="D6" s="21">
        <f t="shared" si="0"/>
        <v>7.2345390898483073</v>
      </c>
      <c r="E6" s="28">
        <v>347.93</v>
      </c>
      <c r="F6" s="21">
        <f t="shared" si="1"/>
        <v>0.35639352743367919</v>
      </c>
      <c r="I6" s="27">
        <v>34418</v>
      </c>
      <c r="J6" s="28">
        <f t="shared" si="2"/>
        <v>344.18</v>
      </c>
    </row>
    <row r="7" spans="1:11" x14ac:dyDescent="0.25">
      <c r="A7" s="16">
        <v>4</v>
      </c>
      <c r="B7" s="18" t="s">
        <v>2</v>
      </c>
      <c r="C7" s="36">
        <v>75</v>
      </c>
      <c r="D7" s="21">
        <f t="shared" si="0"/>
        <v>4.3757292882147025</v>
      </c>
      <c r="E7" s="28">
        <v>1218.95</v>
      </c>
      <c r="F7" s="21">
        <f t="shared" si="1"/>
        <v>6.1528364576069569E-2</v>
      </c>
      <c r="I7" s="27" t="s">
        <v>69</v>
      </c>
      <c r="J7" s="28">
        <f t="shared" si="2"/>
        <v>1201.1400000000001</v>
      </c>
    </row>
    <row r="8" spans="1:11" x14ac:dyDescent="0.25">
      <c r="A8" s="16">
        <v>5</v>
      </c>
      <c r="B8" s="18" t="s">
        <v>3</v>
      </c>
      <c r="C8" s="35">
        <v>38</v>
      </c>
      <c r="D8" s="21">
        <f t="shared" si="0"/>
        <v>2.2170361726954493</v>
      </c>
      <c r="E8" s="28">
        <v>292.37</v>
      </c>
      <c r="F8" s="21">
        <f t="shared" si="1"/>
        <v>0.12997229537914287</v>
      </c>
      <c r="I8" s="27">
        <v>28852</v>
      </c>
      <c r="J8" s="28">
        <f t="shared" si="2"/>
        <v>288.52</v>
      </c>
    </row>
    <row r="9" spans="1:11" x14ac:dyDescent="0.25">
      <c r="A9" s="16">
        <v>6</v>
      </c>
      <c r="B9" s="18" t="s">
        <v>4</v>
      </c>
      <c r="C9" s="36">
        <v>17</v>
      </c>
      <c r="D9" s="21">
        <f t="shared" si="0"/>
        <v>0.99183197199533257</v>
      </c>
      <c r="E9" s="28">
        <v>15.53</v>
      </c>
      <c r="F9" s="21">
        <f t="shared" si="1"/>
        <v>1.0946555054732776</v>
      </c>
      <c r="I9" s="27">
        <v>1543</v>
      </c>
      <c r="J9" s="28">
        <f t="shared" si="2"/>
        <v>15.43</v>
      </c>
    </row>
    <row r="10" spans="1:11" x14ac:dyDescent="0.25">
      <c r="A10" s="16">
        <v>7</v>
      </c>
      <c r="B10" s="18" t="s">
        <v>5</v>
      </c>
      <c r="C10" s="35">
        <v>13</v>
      </c>
      <c r="D10" s="21">
        <f t="shared" si="0"/>
        <v>0.75845974329054844</v>
      </c>
      <c r="E10" s="28">
        <v>691.71</v>
      </c>
      <c r="F10" s="21">
        <f t="shared" si="1"/>
        <v>1.8794003267265182E-2</v>
      </c>
      <c r="I10" s="27">
        <v>68245</v>
      </c>
      <c r="J10" s="28">
        <f t="shared" si="2"/>
        <v>682.45</v>
      </c>
    </row>
    <row r="11" spans="1:11" x14ac:dyDescent="0.25">
      <c r="A11" s="16">
        <v>8</v>
      </c>
      <c r="B11" s="18" t="s">
        <v>6</v>
      </c>
      <c r="C11" s="36">
        <v>14</v>
      </c>
      <c r="D11" s="21">
        <f t="shared" si="0"/>
        <v>0.81680280046674447</v>
      </c>
      <c r="E11" s="28">
        <v>292.13</v>
      </c>
      <c r="F11" s="21">
        <f t="shared" si="1"/>
        <v>4.792386951014959E-2</v>
      </c>
      <c r="I11" s="27">
        <v>28807</v>
      </c>
      <c r="J11" s="28">
        <f t="shared" si="2"/>
        <v>288.07</v>
      </c>
    </row>
    <row r="12" spans="1:11" x14ac:dyDescent="0.25">
      <c r="A12" s="16">
        <v>9</v>
      </c>
      <c r="B12" s="18" t="s">
        <v>7</v>
      </c>
      <c r="C12" s="35">
        <v>4</v>
      </c>
      <c r="D12" s="21">
        <f t="shared" si="0"/>
        <v>0.23337222870478411</v>
      </c>
      <c r="E12" s="28">
        <v>73.62</v>
      </c>
      <c r="F12" s="21">
        <f t="shared" si="1"/>
        <v>5.4333061668024991E-2</v>
      </c>
      <c r="I12" s="27">
        <v>7315</v>
      </c>
      <c r="J12" s="28">
        <f t="shared" si="2"/>
        <v>73.150000000000006</v>
      </c>
    </row>
    <row r="13" spans="1:11" x14ac:dyDescent="0.25">
      <c r="A13" s="16">
        <v>10</v>
      </c>
      <c r="B13" s="17" t="s">
        <v>47</v>
      </c>
      <c r="C13" s="35">
        <v>140</v>
      </c>
      <c r="D13" s="21">
        <f t="shared" si="0"/>
        <v>8.1680280046674447</v>
      </c>
      <c r="E13" s="28">
        <v>381.15</v>
      </c>
      <c r="F13" s="21">
        <f t="shared" si="1"/>
        <v>0.36730945821854916</v>
      </c>
      <c r="I13" s="27">
        <v>37581</v>
      </c>
      <c r="J13" s="28">
        <f t="shared" si="2"/>
        <v>375.81</v>
      </c>
    </row>
    <row r="14" spans="1:11" x14ac:dyDescent="0.25">
      <c r="A14" s="16">
        <v>11</v>
      </c>
      <c r="B14" s="18" t="s">
        <v>9</v>
      </c>
      <c r="C14" s="36">
        <v>13</v>
      </c>
      <c r="D14" s="21">
        <f t="shared" si="0"/>
        <v>0.75845974329054844</v>
      </c>
      <c r="E14" s="28">
        <v>664.96</v>
      </c>
      <c r="F14" s="21">
        <f t="shared" si="1"/>
        <v>1.9550048123195378E-2</v>
      </c>
      <c r="I14" s="27">
        <v>65973</v>
      </c>
      <c r="J14" s="28">
        <f t="shared" si="2"/>
        <v>659.73</v>
      </c>
    </row>
    <row r="15" spans="1:11" x14ac:dyDescent="0.25">
      <c r="A15" s="16">
        <v>12</v>
      </c>
      <c r="B15" s="18" t="s">
        <v>10</v>
      </c>
      <c r="C15" s="35">
        <v>166</v>
      </c>
      <c r="D15" s="21">
        <f t="shared" si="0"/>
        <v>9.6849474912485416</v>
      </c>
      <c r="E15" s="28">
        <v>353.68</v>
      </c>
      <c r="F15" s="21">
        <f t="shared" si="1"/>
        <v>0.46935082560506669</v>
      </c>
      <c r="I15" s="27">
        <v>35186</v>
      </c>
      <c r="J15" s="28">
        <f t="shared" si="2"/>
        <v>351.86</v>
      </c>
    </row>
    <row r="16" spans="1:11" x14ac:dyDescent="0.25">
      <c r="A16" s="16">
        <v>13</v>
      </c>
      <c r="B16" s="18" t="s">
        <v>11</v>
      </c>
      <c r="C16" s="36">
        <v>80</v>
      </c>
      <c r="D16" s="21">
        <f t="shared" si="0"/>
        <v>4.6674445740956827</v>
      </c>
      <c r="E16" s="28">
        <v>837.55</v>
      </c>
      <c r="F16" s="21">
        <f t="shared" si="1"/>
        <v>9.5516685571010687E-2</v>
      </c>
      <c r="I16" s="27">
        <v>82613</v>
      </c>
      <c r="J16" s="28">
        <f t="shared" si="2"/>
        <v>826.13</v>
      </c>
    </row>
    <row r="17" spans="1:10" x14ac:dyDescent="0.25">
      <c r="A17" s="16">
        <v>14</v>
      </c>
      <c r="B17" s="6" t="s">
        <v>12</v>
      </c>
      <c r="C17" s="35">
        <v>184</v>
      </c>
      <c r="D17" s="21">
        <f t="shared" si="0"/>
        <v>10.73512252042007</v>
      </c>
      <c r="E17" s="28">
        <v>1236.76</v>
      </c>
      <c r="F17" s="21">
        <f t="shared" si="1"/>
        <v>0.14877583362980693</v>
      </c>
      <c r="I17" s="27" t="s">
        <v>70</v>
      </c>
      <c r="J17" s="28">
        <f t="shared" si="2"/>
        <v>1225.33</v>
      </c>
    </row>
    <row r="18" spans="1:10" x14ac:dyDescent="0.25">
      <c r="A18" s="16">
        <v>15</v>
      </c>
      <c r="B18" s="6" t="s">
        <v>13</v>
      </c>
      <c r="C18" s="36">
        <v>6</v>
      </c>
      <c r="D18" s="21">
        <f t="shared" si="0"/>
        <v>0.3500583430571762</v>
      </c>
      <c r="E18" s="28">
        <v>31.42</v>
      </c>
      <c r="F18" s="21">
        <f t="shared" si="1"/>
        <v>0.19096117122851686</v>
      </c>
      <c r="I18" s="27">
        <v>3111</v>
      </c>
      <c r="J18" s="28">
        <f t="shared" si="2"/>
        <v>31.11</v>
      </c>
    </row>
    <row r="19" spans="1:10" x14ac:dyDescent="0.25">
      <c r="A19" s="16">
        <v>16</v>
      </c>
      <c r="B19" s="6" t="s">
        <v>14</v>
      </c>
      <c r="C19" s="35">
        <v>1</v>
      </c>
      <c r="D19" s="21">
        <f t="shared" si="0"/>
        <v>5.8343057176196027E-2</v>
      </c>
      <c r="E19" s="28">
        <v>32.64</v>
      </c>
      <c r="F19" s="21">
        <f t="shared" si="1"/>
        <v>3.0637254901960783E-2</v>
      </c>
      <c r="I19" s="27">
        <v>1195</v>
      </c>
      <c r="J19" s="28">
        <f t="shared" si="2"/>
        <v>11.95</v>
      </c>
    </row>
    <row r="20" spans="1:10" x14ac:dyDescent="0.25">
      <c r="A20" s="16">
        <v>17</v>
      </c>
      <c r="B20" s="6" t="s">
        <v>15</v>
      </c>
      <c r="C20" s="36">
        <v>0</v>
      </c>
      <c r="D20" s="21">
        <f t="shared" si="0"/>
        <v>0</v>
      </c>
      <c r="E20" s="28">
        <v>12.07</v>
      </c>
      <c r="F20" s="21">
        <f t="shared" si="1"/>
        <v>0</v>
      </c>
      <c r="I20" s="27">
        <v>3232</v>
      </c>
      <c r="J20" s="28">
        <f t="shared" si="2"/>
        <v>32.32</v>
      </c>
    </row>
    <row r="21" spans="1:10" x14ac:dyDescent="0.25">
      <c r="A21" s="16">
        <v>18</v>
      </c>
      <c r="B21" s="6" t="s">
        <v>16</v>
      </c>
      <c r="C21" s="35">
        <v>0</v>
      </c>
      <c r="D21" s="21">
        <f t="shared" si="0"/>
        <v>0</v>
      </c>
      <c r="E21" s="28">
        <v>21.77</v>
      </c>
      <c r="F21" s="21">
        <f t="shared" si="1"/>
        <v>0</v>
      </c>
      <c r="I21" s="27">
        <v>2155</v>
      </c>
      <c r="J21" s="28">
        <f t="shared" si="2"/>
        <v>21.55</v>
      </c>
    </row>
    <row r="22" spans="1:10" x14ac:dyDescent="0.25">
      <c r="A22" s="16">
        <v>19</v>
      </c>
      <c r="B22" s="6" t="s">
        <v>17</v>
      </c>
      <c r="C22" s="36">
        <v>103</v>
      </c>
      <c r="D22" s="21">
        <f t="shared" si="0"/>
        <v>6.0093348891481915</v>
      </c>
      <c r="E22" s="28">
        <v>454.65</v>
      </c>
      <c r="F22" s="21">
        <f t="shared" si="1"/>
        <v>0.2265478939843836</v>
      </c>
      <c r="I22" s="27">
        <v>43732</v>
      </c>
      <c r="J22" s="28">
        <f>I22/$K$3</f>
        <v>437.32</v>
      </c>
    </row>
    <row r="23" spans="1:10" x14ac:dyDescent="0.25">
      <c r="A23" s="16">
        <v>20</v>
      </c>
      <c r="B23" s="6" t="s">
        <v>18</v>
      </c>
      <c r="C23" s="35">
        <v>17</v>
      </c>
      <c r="D23" s="21">
        <f t="shared" si="0"/>
        <v>0.99183197199533257</v>
      </c>
      <c r="E23" s="28">
        <v>301.79000000000002</v>
      </c>
      <c r="F23" s="21">
        <f t="shared" si="1"/>
        <v>5.633056098611617E-2</v>
      </c>
      <c r="I23" s="27">
        <v>29939</v>
      </c>
      <c r="J23" s="28">
        <f t="shared" si="2"/>
        <v>299.39</v>
      </c>
    </row>
    <row r="24" spans="1:10" x14ac:dyDescent="0.25">
      <c r="A24" s="16">
        <v>21</v>
      </c>
      <c r="B24" s="6" t="s">
        <v>19</v>
      </c>
      <c r="C24" s="36">
        <v>128</v>
      </c>
      <c r="D24" s="21">
        <f t="shared" si="0"/>
        <v>7.4679113185530914</v>
      </c>
      <c r="E24" s="28">
        <v>786.09</v>
      </c>
      <c r="F24" s="21">
        <f t="shared" si="1"/>
        <v>0.16283122797644034</v>
      </c>
      <c r="I24" s="27">
        <v>77601</v>
      </c>
      <c r="J24" s="28">
        <f t="shared" si="2"/>
        <v>776.01</v>
      </c>
    </row>
    <row r="25" spans="1:10" x14ac:dyDescent="0.25">
      <c r="A25" s="16">
        <v>22</v>
      </c>
      <c r="B25" s="17" t="s">
        <v>48</v>
      </c>
      <c r="C25" s="35">
        <v>1</v>
      </c>
      <c r="D25" s="21">
        <f t="shared" si="0"/>
        <v>5.8343057176196027E-2</v>
      </c>
      <c r="E25" s="28">
        <v>6.72</v>
      </c>
      <c r="F25" s="21">
        <f t="shared" si="1"/>
        <v>0.14880952380952381</v>
      </c>
      <c r="I25" s="27">
        <v>665</v>
      </c>
      <c r="J25" s="28">
        <f t="shared" si="2"/>
        <v>6.65</v>
      </c>
    </row>
    <row r="26" spans="1:10" x14ac:dyDescent="0.25">
      <c r="A26" s="16">
        <v>23</v>
      </c>
      <c r="B26" s="6" t="s">
        <v>20</v>
      </c>
      <c r="C26" s="36">
        <v>11</v>
      </c>
      <c r="D26" s="21">
        <f t="shared" si="0"/>
        <v>0.64177362893815637</v>
      </c>
      <c r="E26" s="28">
        <v>761.67</v>
      </c>
      <c r="F26" s="21">
        <f t="shared" si="1"/>
        <v>1.4441949925820895E-2</v>
      </c>
      <c r="I26" s="27">
        <v>75813</v>
      </c>
      <c r="J26" s="28">
        <f t="shared" si="2"/>
        <v>758.13</v>
      </c>
    </row>
    <row r="27" spans="1:10" x14ac:dyDescent="0.25">
      <c r="A27" s="16">
        <v>24</v>
      </c>
      <c r="B27" s="6" t="s">
        <v>21</v>
      </c>
      <c r="C27" s="35">
        <v>184</v>
      </c>
      <c r="D27" s="21">
        <f t="shared" si="0"/>
        <v>10.73512252042007</v>
      </c>
      <c r="E27" s="28">
        <v>375.36</v>
      </c>
      <c r="F27" s="21">
        <f t="shared" si="1"/>
        <v>0.49019607843137253</v>
      </c>
      <c r="I27" s="27">
        <v>37283</v>
      </c>
      <c r="J27" s="28">
        <f t="shared" si="2"/>
        <v>372.83</v>
      </c>
    </row>
    <row r="28" spans="1:10" x14ac:dyDescent="0.25">
      <c r="A28" s="16">
        <v>25</v>
      </c>
      <c r="B28" s="6" t="s">
        <v>22</v>
      </c>
      <c r="C28" s="36">
        <v>1</v>
      </c>
      <c r="D28" s="21">
        <f t="shared" si="0"/>
        <v>5.8343057176196027E-2</v>
      </c>
      <c r="E28" s="28">
        <v>40.42</v>
      </c>
      <c r="F28" s="21">
        <f t="shared" si="1"/>
        <v>2.4740227610094014E-2</v>
      </c>
      <c r="I28" s="27">
        <v>4002</v>
      </c>
      <c r="J28" s="28">
        <f t="shared" si="2"/>
        <v>40.020000000000003</v>
      </c>
    </row>
    <row r="29" spans="1:10" x14ac:dyDescent="0.25">
      <c r="A29" s="16">
        <v>26</v>
      </c>
      <c r="B29" s="6" t="s">
        <v>23</v>
      </c>
      <c r="C29" s="35">
        <v>90</v>
      </c>
      <c r="D29" s="21">
        <f t="shared" si="0"/>
        <v>5.250875145857643</v>
      </c>
      <c r="E29" s="28">
        <v>2289.31</v>
      </c>
      <c r="F29" s="21">
        <f t="shared" si="1"/>
        <v>3.931315549226623E-2</v>
      </c>
      <c r="I29" s="27" t="s">
        <v>71</v>
      </c>
      <c r="J29" s="28">
        <f t="shared" si="2"/>
        <v>2259.67</v>
      </c>
    </row>
    <row r="30" spans="1:10" x14ac:dyDescent="0.25">
      <c r="A30" s="16">
        <v>27</v>
      </c>
      <c r="B30" s="6" t="s">
        <v>24</v>
      </c>
      <c r="C30" s="36">
        <v>9</v>
      </c>
      <c r="D30" s="21">
        <f t="shared" si="0"/>
        <v>0.5250875145857643</v>
      </c>
      <c r="E30" s="28">
        <v>113.13</v>
      </c>
      <c r="F30" s="21">
        <f t="shared" si="1"/>
        <v>7.9554494828957836E-2</v>
      </c>
      <c r="I30" s="27">
        <v>11184</v>
      </c>
      <c r="J30" s="28">
        <f t="shared" si="2"/>
        <v>111.84</v>
      </c>
    </row>
    <row r="31" spans="1:10" x14ac:dyDescent="0.25">
      <c r="A31" s="16">
        <v>28</v>
      </c>
      <c r="B31" s="17" t="s">
        <v>72</v>
      </c>
      <c r="C31" s="35">
        <v>59</v>
      </c>
      <c r="D31" s="21">
        <f t="shared" si="0"/>
        <v>3.4422403733955655</v>
      </c>
      <c r="E31" s="28">
        <v>977.19</v>
      </c>
      <c r="F31" s="21">
        <f t="shared" si="1"/>
        <v>6.0377204023782473E-2</v>
      </c>
      <c r="I31" s="27">
        <v>97109</v>
      </c>
      <c r="J31" s="28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1">
        <f t="shared" si="0"/>
        <v>96.324387397899642</v>
      </c>
      <c r="E32" s="22">
        <f>SUM(E4:E31)</f>
        <v>13151.78</v>
      </c>
      <c r="F32" s="22">
        <f>SUM(F4:F31)</f>
        <v>4.8453515039986446</v>
      </c>
      <c r="J32" s="28">
        <f>I32/$K$3</f>
        <v>0</v>
      </c>
    </row>
    <row r="33" spans="1:10" x14ac:dyDescent="0.25">
      <c r="A33" s="15">
        <v>29</v>
      </c>
      <c r="B33" s="6" t="s">
        <v>26</v>
      </c>
      <c r="C33" s="35">
        <v>0</v>
      </c>
      <c r="D33" s="21">
        <f t="shared" si="0"/>
        <v>0</v>
      </c>
      <c r="E33" s="28">
        <v>3.99</v>
      </c>
      <c r="F33" s="21">
        <f t="shared" si="1"/>
        <v>0</v>
      </c>
      <c r="I33" s="27">
        <v>398</v>
      </c>
      <c r="J33" s="28">
        <f t="shared" si="2"/>
        <v>3.98</v>
      </c>
    </row>
    <row r="34" spans="1:10" x14ac:dyDescent="0.25">
      <c r="A34" s="15">
        <v>30</v>
      </c>
      <c r="B34" s="6" t="s">
        <v>27</v>
      </c>
      <c r="C34" s="36">
        <v>2</v>
      </c>
      <c r="D34" s="21">
        <f t="shared" si="0"/>
        <v>0.11668611435239205</v>
      </c>
      <c r="E34" s="28">
        <v>11.98</v>
      </c>
      <c r="F34" s="21">
        <f t="shared" si="1"/>
        <v>0.1669449081803005</v>
      </c>
      <c r="I34" s="27">
        <v>1184</v>
      </c>
      <c r="J34" s="28">
        <f t="shared" si="2"/>
        <v>11.84</v>
      </c>
    </row>
    <row r="35" spans="1:10" x14ac:dyDescent="0.25">
      <c r="A35" s="16">
        <v>31</v>
      </c>
      <c r="B35" s="17" t="s">
        <v>73</v>
      </c>
      <c r="C35" s="35">
        <v>2</v>
      </c>
      <c r="D35" s="21">
        <f t="shared" si="0"/>
        <v>0.11668611435239205</v>
      </c>
      <c r="E35" s="28">
        <v>10.38</v>
      </c>
      <c r="F35" s="21">
        <f t="shared" si="1"/>
        <v>0.19267822736030826</v>
      </c>
      <c r="I35" s="27">
        <v>556</v>
      </c>
      <c r="J35" s="28">
        <f t="shared" si="2"/>
        <v>5.56</v>
      </c>
    </row>
    <row r="36" spans="1:10" x14ac:dyDescent="0.25">
      <c r="A36" s="16">
        <v>32</v>
      </c>
      <c r="B36" s="18" t="s">
        <v>28</v>
      </c>
      <c r="C36" s="35">
        <v>53</v>
      </c>
      <c r="D36" s="21">
        <f t="shared" si="0"/>
        <v>3.0921820303383898</v>
      </c>
      <c r="E36" s="28">
        <v>203.19</v>
      </c>
      <c r="F36" s="21">
        <f t="shared" si="1"/>
        <v>0.26083960824843744</v>
      </c>
      <c r="I36" s="27">
        <v>19940</v>
      </c>
      <c r="J36" s="28">
        <f t="shared" si="2"/>
        <v>199.4</v>
      </c>
    </row>
    <row r="37" spans="1:10" x14ac:dyDescent="0.25">
      <c r="A37" s="16">
        <v>33</v>
      </c>
      <c r="B37" s="18" t="s">
        <v>8</v>
      </c>
      <c r="C37" s="35">
        <v>2</v>
      </c>
      <c r="D37" s="21">
        <f t="shared" si="0"/>
        <v>0.11668611435239205</v>
      </c>
      <c r="E37" s="28">
        <v>133.4</v>
      </c>
      <c r="F37" s="21">
        <f>C37/E37</f>
        <v>1.4992503748125937E-2</v>
      </c>
      <c r="I37">
        <v>13531</v>
      </c>
      <c r="J37" s="28">
        <f>I37/$K$3</f>
        <v>135.31</v>
      </c>
    </row>
    <row r="38" spans="1:10" x14ac:dyDescent="0.25">
      <c r="A38" s="16">
        <v>34</v>
      </c>
      <c r="B38" s="18" t="s">
        <v>74</v>
      </c>
      <c r="C38" s="35">
        <v>0</v>
      </c>
      <c r="D38" s="21">
        <f t="shared" si="0"/>
        <v>0</v>
      </c>
      <c r="E38" s="28">
        <v>2.96</v>
      </c>
      <c r="F38" s="21">
        <v>0</v>
      </c>
      <c r="J38" s="28"/>
    </row>
    <row r="39" spans="1:10" x14ac:dyDescent="0.25">
      <c r="A39" s="10">
        <v>35</v>
      </c>
      <c r="B39" s="6" t="s">
        <v>29</v>
      </c>
      <c r="C39" s="36">
        <v>0</v>
      </c>
      <c r="D39" s="21">
        <f t="shared" si="0"/>
        <v>0</v>
      </c>
      <c r="E39" s="28">
        <v>0.68</v>
      </c>
      <c r="F39" s="21">
        <f t="shared" si="1"/>
        <v>0</v>
      </c>
      <c r="I39" s="27">
        <v>68</v>
      </c>
      <c r="J39" s="28">
        <f t="shared" si="2"/>
        <v>0.68</v>
      </c>
    </row>
    <row r="40" spans="1:10" x14ac:dyDescent="0.25">
      <c r="A40" s="10">
        <v>36</v>
      </c>
      <c r="B40" s="6" t="s">
        <v>30</v>
      </c>
      <c r="C40" s="35">
        <v>4</v>
      </c>
      <c r="D40" s="21">
        <f t="shared" si="0"/>
        <v>0.23337222870478411</v>
      </c>
      <c r="E40" s="28">
        <v>15.49</v>
      </c>
      <c r="F40" s="21">
        <f t="shared" si="1"/>
        <v>0.25823111684958039</v>
      </c>
      <c r="I40" s="27">
        <v>1515</v>
      </c>
      <c r="J40" s="28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1">
        <f t="shared" si="0"/>
        <v>3.6756126021003497</v>
      </c>
      <c r="E41" s="22">
        <f>SUM(E33:E40)</f>
        <v>382.07</v>
      </c>
      <c r="F41" s="22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1">
        <f t="shared" si="0"/>
        <v>100</v>
      </c>
      <c r="E42" s="23">
        <f>E32+E41</f>
        <v>13533.85</v>
      </c>
      <c r="F42" s="23">
        <f>F32+F41</f>
        <v>5.7390378683853971</v>
      </c>
    </row>
    <row r="43" spans="1:10" s="32" customFormat="1" x14ac:dyDescent="0.25">
      <c r="A43" s="25" t="s">
        <v>33</v>
      </c>
      <c r="B43" s="30"/>
      <c r="C43" s="30"/>
      <c r="D43" s="30"/>
      <c r="E43" s="30"/>
      <c r="F43" s="31"/>
    </row>
    <row r="44" spans="1:10" x14ac:dyDescent="0.25">
      <c r="A44" s="33" t="s">
        <v>81</v>
      </c>
      <c r="B44" s="1"/>
      <c r="C44" s="1"/>
      <c r="D44" s="1"/>
      <c r="E44" s="1"/>
      <c r="F44" s="34"/>
    </row>
    <row r="45" spans="1:10" x14ac:dyDescent="0.25">
      <c r="A45" s="33" t="s">
        <v>82</v>
      </c>
      <c r="B45" s="1"/>
      <c r="C45" s="1"/>
      <c r="D45" s="1"/>
      <c r="E45" s="1"/>
    </row>
    <row r="46" spans="1:10" x14ac:dyDescent="0.25">
      <c r="A46" s="33" t="s">
        <v>83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22" x14ac:dyDescent="0.25">
      <c r="A2" s="79" t="s">
        <v>42</v>
      </c>
      <c r="B2" s="79" t="s">
        <v>43</v>
      </c>
      <c r="C2" s="80" t="s">
        <v>44</v>
      </c>
      <c r="D2" s="80"/>
      <c r="E2" s="80"/>
      <c r="F2" s="80" t="s">
        <v>45</v>
      </c>
      <c r="G2" s="80"/>
      <c r="H2" s="80"/>
      <c r="I2" s="80" t="s">
        <v>37</v>
      </c>
      <c r="J2" s="80"/>
      <c r="K2" s="80"/>
    </row>
    <row r="3" spans="1:22" x14ac:dyDescent="0.25">
      <c r="A3" s="79"/>
      <c r="B3" s="79"/>
      <c r="C3" s="40" t="s">
        <v>35</v>
      </c>
      <c r="D3" s="40" t="s">
        <v>36</v>
      </c>
      <c r="E3" s="40" t="s">
        <v>37</v>
      </c>
      <c r="F3" s="40" t="s">
        <v>35</v>
      </c>
      <c r="G3" s="40" t="s">
        <v>36</v>
      </c>
      <c r="H3" s="40" t="s">
        <v>37</v>
      </c>
      <c r="I3" s="40" t="s">
        <v>35</v>
      </c>
      <c r="J3" s="40" t="s">
        <v>36</v>
      </c>
      <c r="K3" s="40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84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79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80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</row>
    <row r="44" spans="1:22" x14ac:dyDescent="0.25">
      <c r="A44" s="25" t="s">
        <v>33</v>
      </c>
      <c r="B44" s="30"/>
      <c r="C44" s="30"/>
      <c r="D44" s="30"/>
      <c r="E44" s="30"/>
      <c r="F44" s="31"/>
    </row>
    <row r="45" spans="1:22" x14ac:dyDescent="0.25">
      <c r="A45" s="33" t="s">
        <v>87</v>
      </c>
      <c r="B45" s="1"/>
      <c r="C45" s="1"/>
      <c r="D45" s="1"/>
      <c r="E45" s="1"/>
      <c r="F45" s="34"/>
    </row>
    <row r="46" spans="1:22" x14ac:dyDescent="0.25">
      <c r="A46" s="33" t="s">
        <v>83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8" t="s">
        <v>77</v>
      </c>
      <c r="B1" s="78"/>
      <c r="C1" s="78"/>
      <c r="D1" s="78"/>
      <c r="E1" s="78"/>
      <c r="F1" s="78"/>
      <c r="G1" s="78"/>
      <c r="H1" s="78"/>
      <c r="I1" s="78"/>
      <c r="J1" s="78"/>
    </row>
    <row r="2" spans="1:13" x14ac:dyDescent="0.25">
      <c r="A2" s="79" t="s">
        <v>42</v>
      </c>
      <c r="B2" s="79" t="s">
        <v>43</v>
      </c>
      <c r="C2" s="79" t="s">
        <v>50</v>
      </c>
      <c r="D2" s="80" t="s">
        <v>51</v>
      </c>
      <c r="E2" s="80"/>
      <c r="F2" s="80"/>
      <c r="G2" s="80" t="s">
        <v>52</v>
      </c>
      <c r="H2" s="80"/>
      <c r="I2" s="80"/>
      <c r="J2" s="80"/>
    </row>
    <row r="3" spans="1:13" ht="78.75" customHeight="1" x14ac:dyDescent="0.25">
      <c r="A3" s="79"/>
      <c r="B3" s="79"/>
      <c r="C3" s="79"/>
      <c r="D3" s="24" t="s">
        <v>53</v>
      </c>
      <c r="E3" s="24" t="s">
        <v>54</v>
      </c>
      <c r="F3" s="7" t="s">
        <v>55</v>
      </c>
      <c r="G3" s="24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1">
        <f>D5/(D5+E5)*100</f>
        <v>99.180327868852459</v>
      </c>
      <c r="G5" s="18">
        <v>5</v>
      </c>
      <c r="H5" s="6">
        <v>56</v>
      </c>
      <c r="I5" s="6">
        <f>G5+H5</f>
        <v>61</v>
      </c>
      <c r="J5" s="37">
        <f>G5/I5*100</f>
        <v>8.1967213114754092</v>
      </c>
      <c r="M5" s="28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1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7" t="s">
        <v>78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1">
        <f t="shared" si="0"/>
        <v>69</v>
      </c>
      <c r="G7" s="18">
        <v>0</v>
      </c>
      <c r="H7" s="6">
        <v>10</v>
      </c>
      <c r="I7" s="6">
        <f t="shared" si="1"/>
        <v>10</v>
      </c>
      <c r="J7" s="37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1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7" t="s">
        <v>78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1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7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1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7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1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7" t="s">
        <v>78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1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7" t="s">
        <v>78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1">
        <f t="shared" si="0"/>
        <v>50</v>
      </c>
      <c r="G13" s="18">
        <v>0</v>
      </c>
      <c r="H13" s="6">
        <v>0</v>
      </c>
      <c r="I13" s="6">
        <f t="shared" si="1"/>
        <v>0</v>
      </c>
      <c r="J13" s="37" t="s">
        <v>78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1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7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1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7" t="s">
        <v>78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1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7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1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7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1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7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1">
        <f t="shared" si="0"/>
        <v>0</v>
      </c>
      <c r="G19" s="18">
        <v>0</v>
      </c>
      <c r="H19" s="6">
        <v>0</v>
      </c>
      <c r="I19" s="6">
        <f t="shared" si="1"/>
        <v>0</v>
      </c>
      <c r="J19" s="37" t="s">
        <v>78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1">
        <f t="shared" si="0"/>
        <v>0</v>
      </c>
      <c r="G20" s="18">
        <v>0</v>
      </c>
      <c r="H20" s="6">
        <v>0</v>
      </c>
      <c r="I20" s="6">
        <f t="shared" si="1"/>
        <v>0</v>
      </c>
      <c r="J20" s="37" t="s">
        <v>78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1">
        <v>0</v>
      </c>
      <c r="G21" s="18">
        <v>0</v>
      </c>
      <c r="H21" s="6">
        <v>0</v>
      </c>
      <c r="I21" s="6">
        <f t="shared" si="1"/>
        <v>0</v>
      </c>
      <c r="J21" s="37" t="s">
        <v>78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1">
        <f t="shared" si="0"/>
        <v>100</v>
      </c>
      <c r="G22" s="18">
        <v>0</v>
      </c>
      <c r="H22" s="6">
        <v>0</v>
      </c>
      <c r="I22" s="6">
        <f t="shared" si="1"/>
        <v>0</v>
      </c>
      <c r="J22" s="37" t="s">
        <v>78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1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7" t="s">
        <v>78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1">
        <f t="shared" si="0"/>
        <v>80</v>
      </c>
      <c r="G24" s="18">
        <v>0</v>
      </c>
      <c r="H24" s="6">
        <v>3</v>
      </c>
      <c r="I24" s="6">
        <f t="shared" si="1"/>
        <v>3</v>
      </c>
      <c r="J24" s="37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1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7" t="s">
        <v>78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1">
        <f>D26/(D26+E26)*100</f>
        <v>100</v>
      </c>
      <c r="G26" s="18">
        <v>0</v>
      </c>
      <c r="H26" s="6">
        <v>0</v>
      </c>
      <c r="I26" s="6">
        <f t="shared" si="1"/>
        <v>0</v>
      </c>
      <c r="J26" s="37" t="s">
        <v>78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1">
        <f t="shared" si="0"/>
        <v>100</v>
      </c>
      <c r="G27" s="18">
        <v>2</v>
      </c>
      <c r="H27" s="6">
        <v>1</v>
      </c>
      <c r="I27" s="6">
        <f t="shared" si="1"/>
        <v>3</v>
      </c>
      <c r="J27" s="37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1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7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1">
        <f t="shared" si="0"/>
        <v>100</v>
      </c>
      <c r="G29" s="18">
        <v>0</v>
      </c>
      <c r="H29" s="6">
        <v>0</v>
      </c>
      <c r="I29" s="6">
        <f t="shared" si="1"/>
        <v>0</v>
      </c>
      <c r="J29" s="37" t="s">
        <v>78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1">
        <f t="shared" si="0"/>
        <v>100</v>
      </c>
      <c r="G30" s="18">
        <v>0</v>
      </c>
      <c r="H30" s="6">
        <v>0</v>
      </c>
      <c r="I30" s="6">
        <f t="shared" si="1"/>
        <v>0</v>
      </c>
      <c r="J30" s="37" t="s">
        <v>78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1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7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1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8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2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9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1">
        <f t="shared" si="0"/>
        <v>100</v>
      </c>
      <c r="G34" s="18">
        <v>0</v>
      </c>
      <c r="H34" s="6">
        <v>0</v>
      </c>
      <c r="I34" s="6">
        <f t="shared" si="1"/>
        <v>0</v>
      </c>
      <c r="J34" s="37" t="s">
        <v>78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1">
        <f t="shared" si="0"/>
        <v>100</v>
      </c>
      <c r="G35" s="18">
        <v>0</v>
      </c>
      <c r="H35" s="6">
        <v>0</v>
      </c>
      <c r="I35" s="6">
        <f t="shared" si="1"/>
        <v>0</v>
      </c>
      <c r="J35" s="37" t="s">
        <v>78</v>
      </c>
    </row>
    <row r="36" spans="1:10" x14ac:dyDescent="0.25">
      <c r="A36" s="16">
        <v>32</v>
      </c>
      <c r="B36" s="6" t="s">
        <v>85</v>
      </c>
      <c r="C36" s="18">
        <v>2</v>
      </c>
      <c r="D36" s="18">
        <v>2</v>
      </c>
      <c r="E36" s="18">
        <v>0</v>
      </c>
      <c r="F36" s="21">
        <f t="shared" si="0"/>
        <v>100</v>
      </c>
      <c r="G36" s="18">
        <v>0</v>
      </c>
      <c r="H36" s="6">
        <v>0</v>
      </c>
      <c r="I36" s="6">
        <f t="shared" si="1"/>
        <v>0</v>
      </c>
      <c r="J36" s="37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1">
        <f t="shared" si="0"/>
        <v>67.5</v>
      </c>
      <c r="G37" s="18">
        <v>2</v>
      </c>
      <c r="H37" s="18">
        <v>3</v>
      </c>
      <c r="I37" s="6">
        <f t="shared" si="1"/>
        <v>5</v>
      </c>
      <c r="J37" s="38">
        <f t="shared" si="2"/>
        <v>40</v>
      </c>
    </row>
    <row r="38" spans="1:10" x14ac:dyDescent="0.25">
      <c r="A38" s="16">
        <v>34</v>
      </c>
      <c r="B38" s="6" t="s">
        <v>79</v>
      </c>
      <c r="C38" s="18">
        <v>2</v>
      </c>
      <c r="D38" s="18">
        <v>2</v>
      </c>
      <c r="E38" s="18">
        <v>0</v>
      </c>
      <c r="F38" s="21">
        <f t="shared" si="0"/>
        <v>100</v>
      </c>
      <c r="G38" s="18">
        <v>0</v>
      </c>
      <c r="H38" s="6">
        <v>0</v>
      </c>
      <c r="I38" s="6">
        <f t="shared" si="1"/>
        <v>0</v>
      </c>
      <c r="J38" s="37" t="s">
        <v>78</v>
      </c>
    </row>
    <row r="39" spans="1:10" x14ac:dyDescent="0.25">
      <c r="A39" s="16">
        <v>35</v>
      </c>
      <c r="B39" s="6" t="s">
        <v>80</v>
      </c>
      <c r="C39" s="18">
        <v>0</v>
      </c>
      <c r="D39" s="18">
        <v>0</v>
      </c>
      <c r="E39" s="18">
        <v>0</v>
      </c>
      <c r="F39" s="37" t="s">
        <v>78</v>
      </c>
      <c r="G39" s="18">
        <v>0</v>
      </c>
      <c r="H39" s="18">
        <v>0</v>
      </c>
      <c r="I39" s="18"/>
      <c r="J39" s="38" t="s">
        <v>78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7" t="s">
        <v>78</v>
      </c>
      <c r="G40" s="18">
        <v>0</v>
      </c>
      <c r="H40" s="6">
        <v>0</v>
      </c>
      <c r="I40" s="6">
        <f t="shared" ref="I40:I42" si="4">G40+H40</f>
        <v>0</v>
      </c>
      <c r="J40" s="37" t="s">
        <v>78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1">
        <f t="shared" si="0"/>
        <v>0</v>
      </c>
      <c r="G41" s="18">
        <v>0</v>
      </c>
      <c r="H41" s="6">
        <v>0</v>
      </c>
      <c r="I41" s="6">
        <f t="shared" si="4"/>
        <v>0</v>
      </c>
      <c r="J41" s="37" t="s">
        <v>78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2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9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3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9">
        <f>G43/I43*100</f>
        <v>10.583153347732182</v>
      </c>
    </row>
    <row r="44" spans="1:10" x14ac:dyDescent="0.25">
      <c r="A44" s="25" t="s">
        <v>33</v>
      </c>
      <c r="B44" s="30"/>
      <c r="C44" s="30"/>
      <c r="D44" s="30"/>
      <c r="E44" s="30"/>
      <c r="F44" s="31"/>
      <c r="G44"/>
      <c r="J44" s="14"/>
    </row>
    <row r="45" spans="1:10" x14ac:dyDescent="0.25">
      <c r="A45" s="33" t="s">
        <v>88</v>
      </c>
      <c r="B45" s="1"/>
      <c r="C45" s="1"/>
      <c r="D45" s="1"/>
      <c r="E45" s="1"/>
      <c r="F45" s="34"/>
      <c r="G45"/>
    </row>
    <row r="46" spans="1:10" x14ac:dyDescent="0.25">
      <c r="A46" s="33" t="s">
        <v>83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14.4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2024-08-28T07:43:58Z</dcterms:modified>
</cp:coreProperties>
</file>