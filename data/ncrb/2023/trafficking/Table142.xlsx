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2" sheetId="27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14.2'!$A$1:$K$50</definedName>
  </definedNames>
  <calcPr calcId="145621"/>
</workbook>
</file>

<file path=xl/calcChain.xml><?xml version="1.0" encoding="utf-8"?>
<calcChain xmlns="http://schemas.openxmlformats.org/spreadsheetml/2006/main">
  <c r="D45" i="27" l="1"/>
  <c r="F45" i="27"/>
  <c r="G45" i="27"/>
  <c r="I45" i="27"/>
  <c r="J45" i="27"/>
  <c r="C45" i="27"/>
  <c r="D35" i="27"/>
  <c r="F35" i="27"/>
  <c r="G35" i="27"/>
  <c r="I35" i="27"/>
  <c r="I46" i="27" s="1"/>
  <c r="J35" i="27"/>
  <c r="C35" i="27"/>
  <c r="D46" i="27" l="1"/>
  <c r="F46" i="27"/>
  <c r="K45" i="27"/>
  <c r="K35" i="27"/>
  <c r="C46" i="27"/>
  <c r="H35" i="27"/>
  <c r="H45" i="27"/>
  <c r="J46" i="27"/>
  <c r="G46" i="27"/>
  <c r="E45" i="27"/>
  <c r="E35" i="27"/>
  <c r="E46" i="27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H46" i="27" l="1"/>
  <c r="K46" i="27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E43" i="3" s="1"/>
  <c r="F33" i="3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13" i="1" l="1"/>
  <c r="D8" i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37" i="1"/>
  <c r="D22" i="1"/>
  <c r="D38" i="1"/>
  <c r="D15" i="1"/>
  <c r="D31" i="1"/>
  <c r="D6" i="1"/>
  <c r="D12" i="1"/>
  <c r="D20" i="1"/>
  <c r="D28" i="1"/>
  <c r="D36" i="1"/>
  <c r="D5" i="1"/>
  <c r="D21" i="1"/>
  <c r="D29" i="1"/>
  <c r="D14" i="1"/>
  <c r="D30" i="1"/>
  <c r="D7" i="1"/>
  <c r="D23" i="1"/>
  <c r="D39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J33" i="6" s="1"/>
  <c r="I43" i="6" l="1"/>
  <c r="J43" i="6" s="1"/>
</calcChain>
</file>

<file path=xl/sharedStrings.xml><?xml version="1.0" encoding="utf-8"?>
<sst xmlns="http://schemas.openxmlformats.org/spreadsheetml/2006/main" count="260" uniqueCount="137">
  <si>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</si>
  <si>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</si>
  <si>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</si>
  <si>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</si>
  <si>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</si>
  <si>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</si>
  <si>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</si>
  <si>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</si>
  <si>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</si>
  <si>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</si>
  <si>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</si>
  <si>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</si>
  <si>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</si>
  <si>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</si>
  <si>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</si>
  <si>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</si>
  <si>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</si>
  <si>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</si>
  <si>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</si>
  <si>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</si>
  <si>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</si>
  <si>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</si>
  <si>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</si>
  <si>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</si>
  <si>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</si>
  <si>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</si>
  <si>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</si>
  <si>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</si>
  <si>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</si>
  <si>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</si>
  <si>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</si>
  <si>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</si>
  <si>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</si>
  <si>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</si>
  <si>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</si>
  <si>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</si>
  <si>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</si>
  <si>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</si>
  <si>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</si>
  <si>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</si>
  <si>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</si>
  <si>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</si>
  <si>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</si>
  <si>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</si>
  <si>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</si>
  <si>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</si>
  <si>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</si>
  <si>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</si>
  <si>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</si>
  <si>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</si>
  <si>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</si>
  <si>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</si>
  <si>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</si>
  <si>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</si>
  <si>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</si>
  <si>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</si>
  <si>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</si>
  <si>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</si>
  <si>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</si>
  <si>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</si>
  <si>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</si>
  <si>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</si>
  <si>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</si>
  <si>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</si>
  <si>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</si>
  <si>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</si>
  <si>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</si>
  <si>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</si>
  <si>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</si>
  <si>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</si>
  <si>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</si>
  <si>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</si>
  <si>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</si>
  <si>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</si>
  <si>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</si>
  <si>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</si>
  <si>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</si>
  <si>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</si>
  <si>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</si>
  <si>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Andhra Pradesh </t>
  </si>
  <si>
    <t xml:space="preserve">Arunachal Pradesh </t>
  </si>
  <si>
    <t xml:space="preserve">Bihar </t>
  </si>
  <si>
    <t xml:space="preserve">Chhattisgarh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</si>
  <si>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</si>
  <si>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</si>
  <si>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</si>
  <si>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</si>
  <si>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</si>
  <si>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</si>
  <si>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</si>
  <si>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</si>
  <si>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</si>
  <si>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</si>
  <si>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</si>
  <si>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</si>
  <si>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</si>
  <si>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</si>
  <si>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</si>
  <si>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</si>
  <si>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</si>
  <si>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</si>
  <si>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</si>
  <si>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</si>
  <si>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</si>
  <si>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</si>
  <si>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</si>
  <si>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</si>
  <si>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</si>
  <si>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</si>
  <si>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</si>
  <si>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</si>
  <si>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</si>
  <si>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 xml:space="preserve">Note: </t>
  </si>
  <si>
    <t>Note:</t>
  </si>
  <si>
    <r>
      <t>S. No.</t>
    </r>
    <r>
      <rPr>
        <sz val="11"/>
        <color theme="1"/>
        <rFont val="Calibri"/>
        <family val="2"/>
      </rPr>
      <t xml:space="preserve"> </t>
    </r>
  </si>
  <si>
    <r>
      <t>State/UT</t>
    </r>
    <r>
      <rPr>
        <sz val="11"/>
        <color theme="1"/>
        <rFont val="Calibri"/>
        <family val="2"/>
      </rPr>
      <t xml:space="preserve"> </t>
    </r>
  </si>
  <si>
    <t xml:space="preserve">Assam </t>
  </si>
  <si>
    <t xml:space="preserve">Sikkim </t>
  </si>
  <si>
    <t>TABLE 14.2</t>
  </si>
  <si>
    <t xml:space="preserve">Note:   </t>
  </si>
  <si>
    <t>Human Trafficking data published is based on annual data as provided by States/UTs from their Anti Human Trafficking Units</t>
  </si>
  <si>
    <t>STATES :</t>
  </si>
  <si>
    <t>TABLE 14.2 - Page 1 of 1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</si>
  <si>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</si>
  <si>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</si>
  <si>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</si>
  <si>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</si>
  <si>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</si>
  <si>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</si>
  <si>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</si>
  <si>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</si>
  <si>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</si>
  <si>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</si>
  <si>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</si>
  <si>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</si>
  <si>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</si>
  <si>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Victims Trafficked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</si>
</sst>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77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6" fillId="0" borderId="0" xfId="0" applyFont="1" applyBorder="1"/>
    <xf numFmtId="0" fontId="8" fillId="0" borderId="0" xfId="0" applyFont="1"/>
    <xf numFmtId="0" fontId="12" fillId="8" borderId="2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6" borderId="0" xfId="0" applyFont="1" applyFill="1" applyBorder="1"/>
    <xf numFmtId="0" fontId="0" fillId="0" borderId="0" xfId="0" applyFont="1" applyFill="1" applyBorder="1"/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6" borderId="4" xfId="0" applyFill="1" applyBorder="1"/>
    <xf numFmtId="0" fontId="0" fillId="0" borderId="3" xfId="0" applyFill="1" applyBorder="1"/>
    <xf numFmtId="0" fontId="13" fillId="8" borderId="4" xfId="0" applyFont="1" applyFill="1" applyBorder="1" applyAlignment="1">
      <alignment horizontal="righ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6" xfId="0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0" fontId="0" fillId="0" borderId="4" xfId="0" applyBorder="1"/>
    <xf numFmtId="0" fontId="1" fillId="6" borderId="0" xfId="0" applyFont="1" applyFill="1" applyBorder="1"/>
    <xf numFmtId="0" fontId="1" fillId="6" borderId="4" xfId="0" applyFont="1" applyFill="1" applyBorder="1"/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5" fillId="0" borderId="0" xfId="0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0000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>
      <selection activeCell="P14" sqref="P14"/>
    </sheetView>
  </sheetViews>
  <sheetFormatPr defaultRowHeight="15" x14ac:dyDescent="0.25"/>
  <cols>
    <col min="1" max="1" width="4.42578125" customWidth="1"/>
    <col min="2" max="2" width="23.42578125" customWidth="1"/>
    <col min="3" max="3" width="6.7109375" customWidth="1"/>
    <col min="4" max="4" width="7.5703125" customWidth="1"/>
    <col min="5" max="6" width="6.7109375" customWidth="1"/>
    <col min="7" max="7" width="7.28515625" customWidth="1"/>
    <col min="8" max="9" width="6.7109375" customWidth="1"/>
    <col min="10" max="10" width="7.42578125" customWidth="1"/>
    <col min="11" max="11" width="6.7109375" customWidth="1"/>
  </cols>
  <sheetData>
    <row r="1" spans="1:11" ht="18.75" customHeight="1" x14ac:dyDescent="0.25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23.25" customHeight="1" x14ac:dyDescent="0.25">
      <c r="A2" s="67" t="s">
        <v>136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x14ac:dyDescent="0.25">
      <c r="A3" s="69" t="s">
        <v>114</v>
      </c>
      <c r="B3" s="69" t="s">
        <v>115</v>
      </c>
      <c r="C3" s="68" t="s">
        <v>44</v>
      </c>
      <c r="D3" s="68"/>
      <c r="E3" s="68"/>
      <c r="F3" s="68" t="s">
        <v>45</v>
      </c>
      <c r="G3" s="68"/>
      <c r="H3" s="68"/>
      <c r="I3" s="68" t="s">
        <v>37</v>
      </c>
      <c r="J3" s="68"/>
      <c r="K3" s="68"/>
    </row>
    <row r="4" spans="1:11" ht="22.5" customHeight="1" x14ac:dyDescent="0.25">
      <c r="A4" s="69"/>
      <c r="B4" s="69"/>
      <c r="C4" s="43" t="s">
        <v>35</v>
      </c>
      <c r="D4" s="43" t="s">
        <v>36</v>
      </c>
      <c r="E4" s="43" t="s">
        <v>37</v>
      </c>
      <c r="F4" s="43" t="s">
        <v>35</v>
      </c>
      <c r="G4" s="43" t="s">
        <v>36</v>
      </c>
      <c r="H4" s="43" t="s">
        <v>37</v>
      </c>
      <c r="I4" s="43" t="s">
        <v>35</v>
      </c>
      <c r="J4" s="43" t="s">
        <v>36</v>
      </c>
      <c r="K4" s="43" t="s">
        <v>37</v>
      </c>
    </row>
    <row r="5" spans="1:11" x14ac:dyDescent="0.25">
      <c r="A5" s="58" t="s">
        <v>125</v>
      </c>
      <c r="B5" s="58" t="s">
        <v>126</v>
      </c>
      <c r="C5" s="58" t="s">
        <v>127</v>
      </c>
      <c r="D5" s="58" t="s">
        <v>128</v>
      </c>
      <c r="E5" s="58" t="s">
        <v>129</v>
      </c>
      <c r="F5" s="58" t="s">
        <v>130</v>
      </c>
      <c r="G5" s="58" t="s">
        <v>131</v>
      </c>
      <c r="H5" s="58" t="s">
        <v>132</v>
      </c>
      <c r="I5" s="58" t="s">
        <v>133</v>
      </c>
      <c r="J5" s="58" t="s">
        <v>134</v>
      </c>
      <c r="K5" s="58" t="s">
        <v>135</v>
      </c>
    </row>
    <row r="6" spans="1:11" x14ac:dyDescent="0.25">
      <c r="A6" s="74" t="s">
        <v>121</v>
      </c>
      <c r="B6" s="75"/>
      <c r="C6" s="75"/>
      <c r="D6" s="75"/>
      <c r="E6" s="75"/>
      <c r="F6" s="75"/>
      <c r="G6" s="75"/>
      <c r="H6" s="75"/>
      <c r="I6" s="75"/>
      <c r="J6" s="75"/>
      <c r="K6" s="76"/>
    </row>
    <row r="7" spans="1:11" x14ac:dyDescent="0.25">
      <c r="A7" s="50">
        <v>1</v>
      </c>
      <c r="B7" s="44" t="s">
        <v>79</v>
      </c>
      <c r="C7" s="44">
        <v>8</v>
      </c>
      <c r="D7" s="44">
        <v>9</v>
      </c>
      <c r="E7" s="44">
        <v>17</v>
      </c>
      <c r="F7" s="44">
        <v>0</v>
      </c>
      <c r="G7" s="44">
        <v>192</v>
      </c>
      <c r="H7" s="44">
        <v>192</v>
      </c>
      <c r="I7" s="44">
        <v>8</v>
      </c>
      <c r="J7" s="44">
        <v>201</v>
      </c>
      <c r="K7" s="51">
        <v>209</v>
      </c>
    </row>
    <row r="8" spans="1:11" ht="15.75" customHeight="1" x14ac:dyDescent="0.25">
      <c r="A8" s="52">
        <v>2</v>
      </c>
      <c r="B8" s="31" t="s">
        <v>80</v>
      </c>
      <c r="C8" s="1">
        <v>4</v>
      </c>
      <c r="D8" s="1">
        <v>15</v>
      </c>
      <c r="E8" s="1">
        <v>19</v>
      </c>
      <c r="F8" s="1">
        <v>0</v>
      </c>
      <c r="G8" s="1">
        <v>1</v>
      </c>
      <c r="H8" s="1">
        <v>1</v>
      </c>
      <c r="I8" s="1">
        <v>4</v>
      </c>
      <c r="J8" s="1">
        <v>16</v>
      </c>
      <c r="K8" s="59">
        <v>20</v>
      </c>
    </row>
    <row r="9" spans="1:11" s="1" customFormat="1" x14ac:dyDescent="0.25">
      <c r="A9" s="50">
        <v>3</v>
      </c>
      <c r="B9" s="44" t="s">
        <v>116</v>
      </c>
      <c r="C9" s="44">
        <v>21</v>
      </c>
      <c r="D9" s="44">
        <v>85</v>
      </c>
      <c r="E9" s="44">
        <v>106</v>
      </c>
      <c r="F9" s="44">
        <v>36</v>
      </c>
      <c r="G9" s="44">
        <v>66</v>
      </c>
      <c r="H9" s="44">
        <v>102</v>
      </c>
      <c r="I9" s="44">
        <v>57</v>
      </c>
      <c r="J9" s="44">
        <v>151</v>
      </c>
      <c r="K9" s="51">
        <v>208</v>
      </c>
    </row>
    <row r="10" spans="1:11" x14ac:dyDescent="0.25">
      <c r="A10" s="52">
        <v>4</v>
      </c>
      <c r="B10" s="46" t="s">
        <v>81</v>
      </c>
      <c r="C10" s="1">
        <v>261</v>
      </c>
      <c r="D10" s="1">
        <v>92</v>
      </c>
      <c r="E10" s="1">
        <v>353</v>
      </c>
      <c r="F10" s="1">
        <v>66</v>
      </c>
      <c r="G10" s="1">
        <v>91</v>
      </c>
      <c r="H10" s="1">
        <v>157</v>
      </c>
      <c r="I10" s="1">
        <v>327</v>
      </c>
      <c r="J10" s="1">
        <v>183</v>
      </c>
      <c r="K10" s="59">
        <v>510</v>
      </c>
    </row>
    <row r="11" spans="1:11" x14ac:dyDescent="0.25">
      <c r="A11" s="50">
        <v>5</v>
      </c>
      <c r="B11" s="45" t="s">
        <v>82</v>
      </c>
      <c r="C11" s="44">
        <v>7</v>
      </c>
      <c r="D11" s="44">
        <v>14</v>
      </c>
      <c r="E11" s="44">
        <v>21</v>
      </c>
      <c r="F11" s="44">
        <v>6</v>
      </c>
      <c r="G11" s="44">
        <v>25</v>
      </c>
      <c r="H11" s="44">
        <v>31</v>
      </c>
      <c r="I11" s="44">
        <v>13</v>
      </c>
      <c r="J11" s="44">
        <v>39</v>
      </c>
      <c r="K11" s="51">
        <v>52</v>
      </c>
    </row>
    <row r="12" spans="1:11" x14ac:dyDescent="0.25">
      <c r="A12" s="52">
        <v>6</v>
      </c>
      <c r="B12" s="31" t="s">
        <v>4</v>
      </c>
      <c r="C12" s="1">
        <v>0</v>
      </c>
      <c r="D12" s="1">
        <v>1</v>
      </c>
      <c r="E12" s="1">
        <v>1</v>
      </c>
      <c r="F12" s="1">
        <v>0</v>
      </c>
      <c r="G12" s="1">
        <v>25</v>
      </c>
      <c r="H12" s="1">
        <v>25</v>
      </c>
      <c r="I12" s="1">
        <v>0</v>
      </c>
      <c r="J12" s="1">
        <v>26</v>
      </c>
      <c r="K12" s="59">
        <v>26</v>
      </c>
    </row>
    <row r="13" spans="1:11" x14ac:dyDescent="0.25">
      <c r="A13" s="50">
        <v>7</v>
      </c>
      <c r="B13" s="44" t="s">
        <v>83</v>
      </c>
      <c r="C13" s="44">
        <v>11</v>
      </c>
      <c r="D13" s="44">
        <v>9</v>
      </c>
      <c r="E13" s="44">
        <v>20</v>
      </c>
      <c r="F13" s="44">
        <v>7</v>
      </c>
      <c r="G13" s="44">
        <v>8</v>
      </c>
      <c r="H13" s="44">
        <v>15</v>
      </c>
      <c r="I13" s="44">
        <v>18</v>
      </c>
      <c r="J13" s="44">
        <v>17</v>
      </c>
      <c r="K13" s="51">
        <v>35</v>
      </c>
    </row>
    <row r="14" spans="1:11" x14ac:dyDescent="0.25">
      <c r="A14" s="52">
        <v>8</v>
      </c>
      <c r="B14" s="31" t="s">
        <v>84</v>
      </c>
      <c r="C14" s="1">
        <v>2</v>
      </c>
      <c r="D14" s="1">
        <v>6</v>
      </c>
      <c r="E14" s="1">
        <v>8</v>
      </c>
      <c r="F14" s="1">
        <v>44</v>
      </c>
      <c r="G14" s="1">
        <v>44</v>
      </c>
      <c r="H14" s="1">
        <v>88</v>
      </c>
      <c r="I14" s="1">
        <v>46</v>
      </c>
      <c r="J14" s="1">
        <v>50</v>
      </c>
      <c r="K14" s="59">
        <v>96</v>
      </c>
    </row>
    <row r="15" spans="1:11" x14ac:dyDescent="0.25">
      <c r="A15" s="50">
        <v>9</v>
      </c>
      <c r="B15" s="44" t="s">
        <v>85</v>
      </c>
      <c r="C15" s="44">
        <v>0</v>
      </c>
      <c r="D15" s="44">
        <v>0</v>
      </c>
      <c r="E15" s="44">
        <v>0</v>
      </c>
      <c r="F15" s="44">
        <v>0</v>
      </c>
      <c r="G15" s="44">
        <v>31</v>
      </c>
      <c r="H15" s="44">
        <v>31</v>
      </c>
      <c r="I15" s="44">
        <v>0</v>
      </c>
      <c r="J15" s="44">
        <v>31</v>
      </c>
      <c r="K15" s="51">
        <v>31</v>
      </c>
    </row>
    <row r="16" spans="1:11" x14ac:dyDescent="0.25">
      <c r="A16" s="52">
        <v>10</v>
      </c>
      <c r="B16" s="31" t="s">
        <v>86</v>
      </c>
      <c r="C16" s="1">
        <v>53</v>
      </c>
      <c r="D16" s="1">
        <v>79</v>
      </c>
      <c r="E16" s="1">
        <v>132</v>
      </c>
      <c r="F16" s="1">
        <v>25</v>
      </c>
      <c r="G16" s="1">
        <v>43</v>
      </c>
      <c r="H16" s="1">
        <v>68</v>
      </c>
      <c r="I16" s="1">
        <v>78</v>
      </c>
      <c r="J16" s="1">
        <v>122</v>
      </c>
      <c r="K16" s="59">
        <v>200</v>
      </c>
    </row>
    <row r="17" spans="1:11" x14ac:dyDescent="0.25">
      <c r="A17" s="50">
        <v>11</v>
      </c>
      <c r="B17" s="44" t="s">
        <v>87</v>
      </c>
      <c r="C17" s="44">
        <v>3</v>
      </c>
      <c r="D17" s="44">
        <v>1</v>
      </c>
      <c r="E17" s="44">
        <v>4</v>
      </c>
      <c r="F17" s="44">
        <v>0</v>
      </c>
      <c r="G17" s="44">
        <v>32</v>
      </c>
      <c r="H17" s="44">
        <v>32</v>
      </c>
      <c r="I17" s="44">
        <v>3</v>
      </c>
      <c r="J17" s="44">
        <v>33</v>
      </c>
      <c r="K17" s="51">
        <v>36</v>
      </c>
    </row>
    <row r="18" spans="1:11" x14ac:dyDescent="0.25">
      <c r="A18" s="52">
        <v>12</v>
      </c>
      <c r="B18" s="31" t="s">
        <v>88</v>
      </c>
      <c r="C18" s="1">
        <v>24</v>
      </c>
      <c r="D18" s="1">
        <v>80</v>
      </c>
      <c r="E18" s="1">
        <v>104</v>
      </c>
      <c r="F18" s="1">
        <v>9</v>
      </c>
      <c r="G18" s="1">
        <v>25</v>
      </c>
      <c r="H18" s="1">
        <v>34</v>
      </c>
      <c r="I18" s="1">
        <v>33</v>
      </c>
      <c r="J18" s="1">
        <v>105</v>
      </c>
      <c r="K18" s="59">
        <v>138</v>
      </c>
    </row>
    <row r="19" spans="1:11" x14ac:dyDescent="0.25">
      <c r="A19" s="50">
        <v>13</v>
      </c>
      <c r="B19" s="44" t="s">
        <v>89</v>
      </c>
      <c r="C19" s="44">
        <v>19</v>
      </c>
      <c r="D19" s="44">
        <v>37</v>
      </c>
      <c r="E19" s="44">
        <v>56</v>
      </c>
      <c r="F19" s="44">
        <v>10</v>
      </c>
      <c r="G19" s="44">
        <v>59</v>
      </c>
      <c r="H19" s="44">
        <v>69</v>
      </c>
      <c r="I19" s="44">
        <v>29</v>
      </c>
      <c r="J19" s="44">
        <v>96</v>
      </c>
      <c r="K19" s="51">
        <v>125</v>
      </c>
    </row>
    <row r="20" spans="1:11" x14ac:dyDescent="0.25">
      <c r="A20" s="52">
        <v>14</v>
      </c>
      <c r="B20" s="31" t="s">
        <v>90</v>
      </c>
      <c r="C20" s="1">
        <v>79</v>
      </c>
      <c r="D20" s="1">
        <v>60</v>
      </c>
      <c r="E20" s="1">
        <v>139</v>
      </c>
      <c r="F20" s="1">
        <v>17</v>
      </c>
      <c r="G20" s="1">
        <v>779</v>
      </c>
      <c r="H20" s="1">
        <v>796</v>
      </c>
      <c r="I20" s="1">
        <v>96</v>
      </c>
      <c r="J20" s="1">
        <v>839</v>
      </c>
      <c r="K20" s="59">
        <v>935</v>
      </c>
    </row>
    <row r="21" spans="1:11" x14ac:dyDescent="0.25">
      <c r="A21" s="50">
        <v>15</v>
      </c>
      <c r="B21" s="44" t="s">
        <v>91</v>
      </c>
      <c r="C21" s="44">
        <v>3</v>
      </c>
      <c r="D21" s="44">
        <v>0</v>
      </c>
      <c r="E21" s="44">
        <v>3</v>
      </c>
      <c r="F21" s="44">
        <v>0</v>
      </c>
      <c r="G21" s="44">
        <v>0</v>
      </c>
      <c r="H21" s="44">
        <v>0</v>
      </c>
      <c r="I21" s="44">
        <v>3</v>
      </c>
      <c r="J21" s="44">
        <v>0</v>
      </c>
      <c r="K21" s="51">
        <v>3</v>
      </c>
    </row>
    <row r="22" spans="1:11" x14ac:dyDescent="0.25">
      <c r="A22" s="52">
        <v>16</v>
      </c>
      <c r="B22" s="31" t="s">
        <v>92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59">
        <v>0</v>
      </c>
    </row>
    <row r="23" spans="1:11" x14ac:dyDescent="0.25">
      <c r="A23" s="50">
        <v>17</v>
      </c>
      <c r="B23" s="44" t="s">
        <v>93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51">
        <v>0</v>
      </c>
    </row>
    <row r="24" spans="1:11" x14ac:dyDescent="0.25">
      <c r="A24" s="52">
        <v>18</v>
      </c>
      <c r="B24" s="31" t="s">
        <v>94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59">
        <v>0</v>
      </c>
    </row>
    <row r="25" spans="1:11" x14ac:dyDescent="0.25">
      <c r="A25" s="50">
        <v>19</v>
      </c>
      <c r="B25" s="45" t="s">
        <v>95</v>
      </c>
      <c r="C25" s="44">
        <v>167</v>
      </c>
      <c r="D25" s="44">
        <v>181</v>
      </c>
      <c r="E25" s="44">
        <v>348</v>
      </c>
      <c r="F25" s="44">
        <v>494</v>
      </c>
      <c r="G25" s="44">
        <v>463</v>
      </c>
      <c r="H25" s="44">
        <v>957</v>
      </c>
      <c r="I25" s="44">
        <v>661</v>
      </c>
      <c r="J25" s="44">
        <v>644</v>
      </c>
      <c r="K25" s="51">
        <v>1305</v>
      </c>
    </row>
    <row r="26" spans="1:11" x14ac:dyDescent="0.25">
      <c r="A26" s="52">
        <v>20</v>
      </c>
      <c r="B26" s="31" t="s">
        <v>96</v>
      </c>
      <c r="C26" s="1">
        <v>26</v>
      </c>
      <c r="D26" s="1">
        <v>7</v>
      </c>
      <c r="E26" s="1">
        <v>33</v>
      </c>
      <c r="F26" s="1">
        <v>26</v>
      </c>
      <c r="G26" s="1">
        <v>28</v>
      </c>
      <c r="H26" s="1">
        <v>54</v>
      </c>
      <c r="I26" s="1">
        <v>52</v>
      </c>
      <c r="J26" s="1">
        <v>35</v>
      </c>
      <c r="K26" s="59">
        <v>87</v>
      </c>
    </row>
    <row r="27" spans="1:11" x14ac:dyDescent="0.25">
      <c r="A27" s="50">
        <v>21</v>
      </c>
      <c r="B27" s="44" t="s">
        <v>97</v>
      </c>
      <c r="C27" s="44">
        <v>343</v>
      </c>
      <c r="D27" s="44">
        <v>15</v>
      </c>
      <c r="E27" s="44">
        <v>358</v>
      </c>
      <c r="F27" s="44">
        <v>1</v>
      </c>
      <c r="G27" s="44">
        <v>4</v>
      </c>
      <c r="H27" s="44">
        <v>5</v>
      </c>
      <c r="I27" s="44">
        <v>344</v>
      </c>
      <c r="J27" s="44">
        <v>19</v>
      </c>
      <c r="K27" s="51">
        <v>363</v>
      </c>
    </row>
    <row r="28" spans="1:11" x14ac:dyDescent="0.25">
      <c r="A28" s="52">
        <v>22</v>
      </c>
      <c r="B28" s="31" t="s">
        <v>117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59">
        <v>0</v>
      </c>
    </row>
    <row r="29" spans="1:11" x14ac:dyDescent="0.25">
      <c r="A29" s="50">
        <v>23</v>
      </c>
      <c r="B29" s="44" t="s">
        <v>98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51">
        <v>0</v>
      </c>
    </row>
    <row r="30" spans="1:11" x14ac:dyDescent="0.25">
      <c r="A30" s="52">
        <v>24</v>
      </c>
      <c r="B30" s="31" t="s">
        <v>99</v>
      </c>
      <c r="C30" s="1">
        <v>19</v>
      </c>
      <c r="D30" s="1">
        <v>16</v>
      </c>
      <c r="E30" s="1">
        <v>35</v>
      </c>
      <c r="F30" s="1">
        <v>3</v>
      </c>
      <c r="G30" s="1">
        <v>588</v>
      </c>
      <c r="H30" s="1">
        <v>591</v>
      </c>
      <c r="I30" s="1">
        <v>22</v>
      </c>
      <c r="J30" s="1">
        <v>604</v>
      </c>
      <c r="K30" s="59">
        <v>626</v>
      </c>
    </row>
    <row r="31" spans="1:11" x14ac:dyDescent="0.25">
      <c r="A31" s="50">
        <v>25</v>
      </c>
      <c r="B31" s="44" t="s">
        <v>100</v>
      </c>
      <c r="C31" s="44">
        <v>4</v>
      </c>
      <c r="D31" s="44">
        <v>8</v>
      </c>
      <c r="E31" s="44">
        <v>12</v>
      </c>
      <c r="F31" s="44">
        <v>38</v>
      </c>
      <c r="G31" s="44">
        <v>17</v>
      </c>
      <c r="H31" s="44">
        <v>55</v>
      </c>
      <c r="I31" s="44">
        <v>42</v>
      </c>
      <c r="J31" s="44">
        <v>25</v>
      </c>
      <c r="K31" s="51">
        <v>67</v>
      </c>
    </row>
    <row r="32" spans="1:11" x14ac:dyDescent="0.25">
      <c r="A32" s="52">
        <v>26</v>
      </c>
      <c r="B32" s="31" t="s">
        <v>101</v>
      </c>
      <c r="C32" s="1">
        <v>1</v>
      </c>
      <c r="D32" s="1">
        <v>65</v>
      </c>
      <c r="E32" s="1">
        <v>66</v>
      </c>
      <c r="F32" s="1">
        <v>0</v>
      </c>
      <c r="G32" s="1">
        <v>130</v>
      </c>
      <c r="H32" s="1">
        <v>130</v>
      </c>
      <c r="I32" s="1">
        <v>1</v>
      </c>
      <c r="J32" s="1">
        <v>195</v>
      </c>
      <c r="K32" s="59">
        <v>196</v>
      </c>
    </row>
    <row r="33" spans="1:11" x14ac:dyDescent="0.25">
      <c r="A33" s="50">
        <v>27</v>
      </c>
      <c r="B33" s="44" t="s">
        <v>102</v>
      </c>
      <c r="C33" s="44">
        <v>6</v>
      </c>
      <c r="D33" s="44">
        <v>35</v>
      </c>
      <c r="E33" s="44">
        <v>41</v>
      </c>
      <c r="F33" s="44">
        <v>0</v>
      </c>
      <c r="G33" s="44">
        <v>17</v>
      </c>
      <c r="H33" s="44">
        <v>17</v>
      </c>
      <c r="I33" s="44">
        <v>6</v>
      </c>
      <c r="J33" s="44">
        <v>52</v>
      </c>
      <c r="K33" s="51">
        <v>58</v>
      </c>
    </row>
    <row r="34" spans="1:11" x14ac:dyDescent="0.25">
      <c r="A34" s="52">
        <v>28</v>
      </c>
      <c r="B34" s="31" t="s">
        <v>64</v>
      </c>
      <c r="C34" s="1">
        <v>6</v>
      </c>
      <c r="D34" s="1">
        <v>44</v>
      </c>
      <c r="E34" s="1">
        <v>50</v>
      </c>
      <c r="F34" s="1">
        <v>4</v>
      </c>
      <c r="G34" s="1">
        <v>17</v>
      </c>
      <c r="H34" s="1">
        <v>21</v>
      </c>
      <c r="I34" s="1">
        <v>10</v>
      </c>
      <c r="J34" s="1">
        <v>61</v>
      </c>
      <c r="K34" s="59">
        <v>71</v>
      </c>
    </row>
    <row r="35" spans="1:11" x14ac:dyDescent="0.25">
      <c r="A35" s="49"/>
      <c r="B35" s="47" t="s">
        <v>103</v>
      </c>
      <c r="C35" s="48">
        <f>SUM(C7:C34)</f>
        <v>1067</v>
      </c>
      <c r="D35" s="48">
        <f t="shared" ref="D35:K35" si="0">SUM(D7:D34)</f>
        <v>859</v>
      </c>
      <c r="E35" s="48">
        <f t="shared" si="0"/>
        <v>1926</v>
      </c>
      <c r="F35" s="48">
        <f t="shared" si="0"/>
        <v>786</v>
      </c>
      <c r="G35" s="48">
        <f t="shared" si="0"/>
        <v>2685</v>
      </c>
      <c r="H35" s="48">
        <f t="shared" si="0"/>
        <v>3471</v>
      </c>
      <c r="I35" s="48">
        <f t="shared" si="0"/>
        <v>1853</v>
      </c>
      <c r="J35" s="48">
        <f t="shared" si="0"/>
        <v>3544</v>
      </c>
      <c r="K35" s="53">
        <f t="shared" si="0"/>
        <v>5397</v>
      </c>
    </row>
    <row r="36" spans="1:11" ht="15" customHeight="1" x14ac:dyDescent="0.25">
      <c r="A36" s="64" t="s">
        <v>104</v>
      </c>
      <c r="B36" s="65"/>
      <c r="C36" s="65"/>
      <c r="D36" s="65"/>
      <c r="E36" s="65"/>
      <c r="F36" s="65"/>
      <c r="G36" s="65"/>
      <c r="H36" s="65"/>
      <c r="I36" s="65"/>
      <c r="J36" s="65"/>
      <c r="K36" s="66"/>
    </row>
    <row r="37" spans="1:11" x14ac:dyDescent="0.25">
      <c r="A37" s="50">
        <v>29</v>
      </c>
      <c r="B37" s="44" t="s">
        <v>105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51">
        <v>0</v>
      </c>
    </row>
    <row r="38" spans="1:11" x14ac:dyDescent="0.25">
      <c r="A38" s="52">
        <v>30</v>
      </c>
      <c r="B38" s="31" t="s">
        <v>106</v>
      </c>
      <c r="C38" s="1">
        <v>0</v>
      </c>
      <c r="D38" s="1">
        <v>0</v>
      </c>
      <c r="E38" s="1">
        <v>0</v>
      </c>
      <c r="F38" s="1">
        <v>0</v>
      </c>
      <c r="G38" s="1">
        <v>13</v>
      </c>
      <c r="H38" s="1">
        <v>13</v>
      </c>
      <c r="I38" s="1">
        <v>0</v>
      </c>
      <c r="J38" s="1">
        <v>13</v>
      </c>
      <c r="K38" s="59">
        <v>13</v>
      </c>
    </row>
    <row r="39" spans="1:11" x14ac:dyDescent="0.25">
      <c r="A39" s="50">
        <v>31</v>
      </c>
      <c r="B39" s="44" t="s">
        <v>123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1">
        <v>0</v>
      </c>
    </row>
    <row r="40" spans="1:11" x14ac:dyDescent="0.25">
      <c r="A40" s="52">
        <v>32</v>
      </c>
      <c r="B40" s="31" t="s">
        <v>107</v>
      </c>
      <c r="C40" s="1">
        <v>605</v>
      </c>
      <c r="D40" s="1">
        <v>144</v>
      </c>
      <c r="E40" s="1">
        <v>749</v>
      </c>
      <c r="F40" s="1">
        <v>41</v>
      </c>
      <c r="G40" s="1">
        <v>52</v>
      </c>
      <c r="H40" s="1">
        <v>93</v>
      </c>
      <c r="I40" s="1">
        <v>646</v>
      </c>
      <c r="J40" s="1">
        <v>196</v>
      </c>
      <c r="K40" s="59">
        <v>842</v>
      </c>
    </row>
    <row r="41" spans="1:11" x14ac:dyDescent="0.25">
      <c r="A41" s="50">
        <v>33</v>
      </c>
      <c r="B41" s="44" t="s">
        <v>8</v>
      </c>
      <c r="C41" s="44">
        <v>2</v>
      </c>
      <c r="D41" s="44">
        <v>8</v>
      </c>
      <c r="E41" s="44">
        <v>10</v>
      </c>
      <c r="F41" s="44">
        <v>0</v>
      </c>
      <c r="G41" s="44">
        <v>9</v>
      </c>
      <c r="H41" s="44">
        <v>9</v>
      </c>
      <c r="I41" s="44">
        <v>2</v>
      </c>
      <c r="J41" s="44">
        <v>17</v>
      </c>
      <c r="K41" s="51">
        <v>19</v>
      </c>
    </row>
    <row r="42" spans="1:11" x14ac:dyDescent="0.25">
      <c r="A42" s="52">
        <v>34</v>
      </c>
      <c r="B42" s="31" t="s">
        <v>124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59">
        <v>0</v>
      </c>
    </row>
    <row r="43" spans="1:11" x14ac:dyDescent="0.25">
      <c r="A43" s="50">
        <v>35</v>
      </c>
      <c r="B43" s="44" t="s">
        <v>108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51">
        <v>0</v>
      </c>
    </row>
    <row r="44" spans="1:11" x14ac:dyDescent="0.25">
      <c r="A44" s="52">
        <v>36</v>
      </c>
      <c r="B44" s="31" t="s">
        <v>109</v>
      </c>
      <c r="C44" s="1">
        <v>0</v>
      </c>
      <c r="D44" s="1">
        <v>2</v>
      </c>
      <c r="E44" s="1">
        <v>2</v>
      </c>
      <c r="F44" s="1">
        <v>0</v>
      </c>
      <c r="G44" s="1">
        <v>15</v>
      </c>
      <c r="H44" s="1">
        <v>15</v>
      </c>
      <c r="I44" s="1">
        <v>0</v>
      </c>
      <c r="J44" s="1">
        <v>17</v>
      </c>
      <c r="K44" s="59">
        <v>17</v>
      </c>
    </row>
    <row r="45" spans="1:11" x14ac:dyDescent="0.25">
      <c r="A45" s="49"/>
      <c r="B45" s="47" t="s">
        <v>110</v>
      </c>
      <c r="C45" s="48">
        <f>SUM(C37:C44)</f>
        <v>607</v>
      </c>
      <c r="D45" s="48">
        <f t="shared" ref="D45:K45" si="1">SUM(D37:D44)</f>
        <v>154</v>
      </c>
      <c r="E45" s="48">
        <f t="shared" si="1"/>
        <v>761</v>
      </c>
      <c r="F45" s="48">
        <f t="shared" si="1"/>
        <v>41</v>
      </c>
      <c r="G45" s="48">
        <f t="shared" si="1"/>
        <v>89</v>
      </c>
      <c r="H45" s="48">
        <f t="shared" si="1"/>
        <v>130</v>
      </c>
      <c r="I45" s="48">
        <f t="shared" si="1"/>
        <v>648</v>
      </c>
      <c r="J45" s="48">
        <f t="shared" si="1"/>
        <v>243</v>
      </c>
      <c r="K45" s="53">
        <f t="shared" si="1"/>
        <v>891</v>
      </c>
    </row>
    <row r="46" spans="1:11" x14ac:dyDescent="0.25">
      <c r="A46" s="54"/>
      <c r="B46" s="55" t="s">
        <v>111</v>
      </c>
      <c r="C46" s="56">
        <f>SUM(C35,C45)</f>
        <v>1674</v>
      </c>
      <c r="D46" s="56">
        <f t="shared" ref="D46:J46" si="2">SUM(D35,D45)</f>
        <v>1013</v>
      </c>
      <c r="E46" s="56">
        <f t="shared" si="2"/>
        <v>2687</v>
      </c>
      <c r="F46" s="56">
        <f t="shared" si="2"/>
        <v>827</v>
      </c>
      <c r="G46" s="56">
        <f t="shared" si="2"/>
        <v>2774</v>
      </c>
      <c r="H46" s="56">
        <f t="shared" si="2"/>
        <v>3601</v>
      </c>
      <c r="I46" s="56">
        <f t="shared" si="2"/>
        <v>2501</v>
      </c>
      <c r="J46" s="56">
        <f t="shared" si="2"/>
        <v>3787</v>
      </c>
      <c r="K46" s="57">
        <f>SUM(K35,K45)</f>
        <v>6288</v>
      </c>
    </row>
    <row r="47" spans="1:11" ht="15" customHeight="1" x14ac:dyDescent="0.25">
      <c r="A47" s="63" t="s">
        <v>122</v>
      </c>
      <c r="B47" s="63"/>
      <c r="C47" s="63"/>
      <c r="D47" s="63"/>
      <c r="E47" s="63"/>
      <c r="F47" s="63"/>
      <c r="G47" s="63"/>
      <c r="H47" s="63"/>
      <c r="I47" s="63"/>
      <c r="J47" s="63"/>
      <c r="K47" s="63"/>
    </row>
    <row r="48" spans="1:11" x14ac:dyDescent="0.25">
      <c r="A48" s="32" t="s">
        <v>119</v>
      </c>
      <c r="B48" s="42" t="s">
        <v>120</v>
      </c>
      <c r="C48" s="41"/>
      <c r="D48" s="1"/>
      <c r="E48" s="1"/>
    </row>
    <row r="49" spans="2:5" x14ac:dyDescent="0.25">
      <c r="B49" s="42"/>
    </row>
    <row r="50" spans="2:5" x14ac:dyDescent="0.25">
      <c r="D50" s="62"/>
      <c r="E50" s="62"/>
    </row>
  </sheetData>
  <mergeCells count="10">
    <mergeCell ref="D50:E50"/>
    <mergeCell ref="A47:K47"/>
    <mergeCell ref="A36:K36"/>
    <mergeCell ref="A1:K1"/>
    <mergeCell ref="A2:K2"/>
    <mergeCell ref="I3:K3"/>
    <mergeCell ref="A3:A4"/>
    <mergeCell ref="B3:B4"/>
    <mergeCell ref="C3:E3"/>
    <mergeCell ref="F3:H3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0" t="s">
        <v>67</v>
      </c>
      <c r="B1" s="70"/>
      <c r="C1" s="70"/>
      <c r="D1" s="70"/>
      <c r="E1" s="70"/>
      <c r="F1" s="70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1" t="s">
        <v>78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22" x14ac:dyDescent="0.25">
      <c r="A2" s="72" t="s">
        <v>42</v>
      </c>
      <c r="B2" s="72" t="s">
        <v>43</v>
      </c>
      <c r="C2" s="73" t="s">
        <v>44</v>
      </c>
      <c r="D2" s="73"/>
      <c r="E2" s="73"/>
      <c r="F2" s="73" t="s">
        <v>45</v>
      </c>
      <c r="G2" s="73"/>
      <c r="H2" s="73"/>
      <c r="I2" s="73" t="s">
        <v>37</v>
      </c>
      <c r="J2" s="73"/>
      <c r="K2" s="73"/>
    </row>
    <row r="3" spans="1:22" x14ac:dyDescent="0.25">
      <c r="A3" s="72"/>
      <c r="B3" s="72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112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1" t="s">
        <v>69</v>
      </c>
      <c r="B1" s="71"/>
      <c r="C1" s="71"/>
      <c r="D1" s="71"/>
      <c r="E1" s="71"/>
      <c r="F1" s="71"/>
      <c r="G1" s="71"/>
      <c r="H1" s="71"/>
      <c r="I1" s="71"/>
      <c r="J1" s="71"/>
    </row>
    <row r="2" spans="1:13" x14ac:dyDescent="0.25">
      <c r="A2" s="72" t="s">
        <v>42</v>
      </c>
      <c r="B2" s="72" t="s">
        <v>43</v>
      </c>
      <c r="C2" s="72" t="s">
        <v>50</v>
      </c>
      <c r="D2" s="73" t="s">
        <v>51</v>
      </c>
      <c r="E2" s="73"/>
      <c r="F2" s="73"/>
      <c r="G2" s="73" t="s">
        <v>52</v>
      </c>
      <c r="H2" s="73"/>
      <c r="I2" s="73"/>
      <c r="J2" s="73"/>
    </row>
    <row r="3" spans="1:13" ht="78.75" customHeight="1" x14ac:dyDescent="0.25">
      <c r="A3" s="72"/>
      <c r="B3" s="72"/>
      <c r="C3" s="72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113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14.2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2024-08-28T07:45:09Z</dcterms:modified>
</cp:coreProperties>
</file>