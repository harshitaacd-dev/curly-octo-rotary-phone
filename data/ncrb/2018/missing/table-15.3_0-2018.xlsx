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91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L44" i="1" l="1"/>
  <c r="K44" i="1"/>
  <c r="J44" i="1"/>
  <c r="L40" i="1"/>
  <c r="K40" i="1"/>
  <c r="J40" i="1"/>
  <c r="L34" i="1"/>
  <c r="K34" i="1"/>
  <c r="J34" i="1"/>
  <c r="L30" i="1"/>
  <c r="K30" i="1"/>
  <c r="J30" i="1"/>
  <c r="L24" i="1"/>
  <c r="K24" i="1"/>
  <c r="J24" i="1"/>
  <c r="L20" i="1"/>
  <c r="K20" i="1"/>
  <c r="J20" i="1"/>
  <c r="L14" i="1"/>
  <c r="K14" i="1"/>
  <c r="J14" i="1"/>
  <c r="L10" i="1"/>
  <c r="K10" i="1"/>
  <c r="J10" i="1"/>
  <c r="H44" i="1"/>
  <c r="G44" i="1"/>
  <c r="F44" i="1"/>
  <c r="E44" i="1"/>
  <c r="D44" i="1"/>
  <c r="C44" i="1"/>
  <c r="H40" i="1"/>
  <c r="G40" i="1"/>
  <c r="F40" i="1"/>
  <c r="E40" i="1"/>
  <c r="D40" i="1"/>
  <c r="C40" i="1"/>
  <c r="H34" i="1"/>
  <c r="G34" i="1"/>
  <c r="F34" i="1"/>
  <c r="E34" i="1"/>
  <c r="D34" i="1"/>
  <c r="C34" i="1"/>
  <c r="H30" i="1"/>
  <c r="G30" i="1"/>
  <c r="F30" i="1"/>
  <c r="E30" i="1"/>
  <c r="D30" i="1"/>
  <c r="C30" i="1"/>
  <c r="H24" i="1"/>
  <c r="G24" i="1"/>
  <c r="F24" i="1"/>
  <c r="E24" i="1"/>
  <c r="D24" i="1"/>
  <c r="C24" i="1"/>
  <c r="H20" i="1"/>
  <c r="G20" i="1"/>
  <c r="F20" i="1"/>
  <c r="E20" i="1"/>
  <c r="D20" i="1"/>
  <c r="C20" i="1"/>
  <c r="H14" i="1"/>
  <c r="G14" i="1"/>
  <c r="F14" i="1"/>
  <c r="E14" i="1"/>
  <c r="D14" i="1"/>
  <c r="C14" i="1"/>
  <c r="H10" i="1"/>
  <c r="G10" i="1"/>
  <c r="F10" i="1"/>
  <c r="E10" i="1"/>
  <c r="D10" i="1"/>
  <c r="C10" i="1"/>
</calcChain>
</file>

<file path=xl/sharedStrings.xml><?xml version="1.0" encoding="utf-8"?>
<sst xmlns="http://schemas.openxmlformats.org/spreadsheetml/2006/main" count="84" uniqueCount="63">
  <si>
    <t>S. No</t>
  </si>
  <si>
    <t>Total Missing (3+4)</t>
  </si>
  <si>
    <t>Age Group &amp; Gender</t>
  </si>
  <si>
    <t>Below  5 years</t>
  </si>
  <si>
    <t>Transgender</t>
  </si>
  <si>
    <t>Total Male</t>
  </si>
  <si>
    <t>1</t>
  </si>
  <si>
    <t>1.1.1</t>
  </si>
  <si>
    <t>1.1.2</t>
  </si>
  <si>
    <t>1.1.3</t>
  </si>
  <si>
    <t>1.2.1</t>
  </si>
  <si>
    <t>1.2.2</t>
  </si>
  <si>
    <t>1.2.3</t>
  </si>
  <si>
    <t>6 Yrs - 14 Yrs</t>
  </si>
  <si>
    <t>15 Yrs - 18 Yrs</t>
  </si>
  <si>
    <t>19 Yrs - 30 Yrs</t>
  </si>
  <si>
    <t>31 Yrs  –  45 Yrs</t>
  </si>
  <si>
    <t>60 Yrs &amp; Above 
(Male Sr. Citizen)</t>
  </si>
  <si>
    <t>Boys/Male Children</t>
  </si>
  <si>
    <t>2.1.1</t>
  </si>
  <si>
    <t>2.1.2</t>
  </si>
  <si>
    <t>2.1.3</t>
  </si>
  <si>
    <t>2.2.1</t>
  </si>
  <si>
    <t>2.2.2</t>
  </si>
  <si>
    <t>2.2.3</t>
  </si>
  <si>
    <t>Girls/Female Children</t>
  </si>
  <si>
    <t>Adult Male</t>
  </si>
  <si>
    <t>Adult Female</t>
  </si>
  <si>
    <t>60 Yrs &amp; Above 
(Female Sr. Citizen)</t>
  </si>
  <si>
    <t>Total Female</t>
  </si>
  <si>
    <t>Transgender Children</t>
  </si>
  <si>
    <t>Adult Transgender</t>
  </si>
  <si>
    <t>3.1.1</t>
  </si>
  <si>
    <t>3.1.2</t>
  </si>
  <si>
    <t>3.1.3</t>
  </si>
  <si>
    <t>3.2.1</t>
  </si>
  <si>
    <t>3.2.2</t>
  </si>
  <si>
    <t>3.2.3</t>
  </si>
  <si>
    <t xml:space="preserve">Total Persons </t>
  </si>
  <si>
    <t>4.1.1</t>
  </si>
  <si>
    <t>4.1.2</t>
  </si>
  <si>
    <t>4.1.3</t>
  </si>
  <si>
    <t>4.2.1</t>
  </si>
  <si>
    <t>4.2.2</t>
  </si>
  <si>
    <t>4.2.3</t>
  </si>
  <si>
    <t>Children</t>
  </si>
  <si>
    <t>Adults</t>
  </si>
  <si>
    <t>Senior Citizen</t>
  </si>
  <si>
    <t>Unrecovered Persons of Previous years</t>
  </si>
  <si>
    <t>Persons Traced</t>
  </si>
  <si>
    <t>Person Untraced</t>
  </si>
  <si>
    <t>from Previous years Missing</t>
  </si>
  <si>
    <t xml:space="preserve">Total Traced </t>
  </si>
  <si>
    <t>% of Persons Traced (Col.8/Col.5 * 100)</t>
  </si>
  <si>
    <t>TABLE 15.3 Page 1 of 1</t>
  </si>
  <si>
    <t>TABLE 15.3</t>
  </si>
  <si>
    <t>46 Yrs - 60 Yrs</t>
  </si>
  <si>
    <t>● As per data provided by States/UTs</t>
  </si>
  <si>
    <t>Missing and Traced Persons (Gender &amp; Age-wise) - 2018</t>
  </si>
  <si>
    <t>Persons Missing during 2018</t>
  </si>
  <si>
    <t>from Missing Persons - 2018</t>
  </si>
  <si>
    <t># Clarifications are pending from West Bengal, Assam, Arunachal Pradesh, Meghalaya &amp; Sikkim</t>
  </si>
  <si>
    <t>60 Yrs &amp; Above 
(Transgender Sr. Citizen)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</si>
</sst>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0" fontId="3" fillId="2" borderId="7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 vertical="center" wrapText="1"/>
    </xf>
    <xf numFmtId="0" fontId="3" fillId="0" borderId="3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2" fillId="0" borderId="0" xfId="0" applyFont="1"/>
    <xf numFmtId="0" fontId="5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right" vertical="center" wrapText="1"/>
    </xf>
    <xf numFmtId="164" fontId="2" fillId="0" borderId="0" xfId="0" applyNumberFormat="1" applyFont="1" applyFill="1" applyBorder="1" applyAlignment="1">
      <alignment horizontal="right" vertical="center" wrapText="1"/>
    </xf>
    <xf numFmtId="164" fontId="2" fillId="3" borderId="0" xfId="0" applyNumberFormat="1" applyFont="1" applyFill="1" applyBorder="1" applyAlignment="1">
      <alignment horizontal="right"/>
    </xf>
    <xf numFmtId="164" fontId="3" fillId="2" borderId="0" xfId="0" applyNumberFormat="1" applyFont="1" applyFill="1" applyBorder="1" applyAlignment="1">
      <alignment horizontal="right" vertical="center" wrapText="1"/>
    </xf>
    <xf numFmtId="164" fontId="3" fillId="0" borderId="0" xfId="0" applyNumberFormat="1" applyFont="1" applyFill="1" applyBorder="1" applyAlignment="1">
      <alignment horizontal="right" vertical="center" wrapText="1"/>
    </xf>
    <xf numFmtId="164" fontId="3" fillId="2" borderId="5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E1BE"/>
      <color rgb="FFE6F0E6"/>
      <color rgb="FFE6E6FA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topLeftCell="A22" zoomScaleNormal="100" workbookViewId="0">
      <selection activeCell="Q9" sqref="Q9"/>
    </sheetView>
  </sheetViews>
  <sheetFormatPr defaultRowHeight="15" x14ac:dyDescent="0.25"/>
  <cols>
    <col min="1" max="1" width="5.42578125" customWidth="1"/>
    <col min="2" max="2" width="19.140625" customWidth="1"/>
    <col min="3" max="3" width="6.85546875" customWidth="1"/>
    <col min="4" max="4" width="6.42578125" customWidth="1"/>
    <col min="5" max="5" width="6.28515625" customWidth="1"/>
    <col min="6" max="6" width="7.140625" customWidth="1"/>
    <col min="7" max="7" width="7.42578125" customWidth="1"/>
    <col min="8" max="8" width="6.7109375" customWidth="1"/>
    <col min="9" max="9" width="6" customWidth="1"/>
    <col min="10" max="10" width="7" bestFit="1" customWidth="1"/>
    <col min="11" max="11" width="6.85546875" customWidth="1"/>
    <col min="12" max="12" width="7.140625" customWidth="1"/>
    <col min="13" max="14" width="5.28515625" bestFit="1" customWidth="1"/>
    <col min="15" max="15" width="10.42578125" customWidth="1"/>
  </cols>
  <sheetData>
    <row r="1" spans="1:12" ht="15.75" x14ac:dyDescent="0.25">
      <c r="A1" s="33" t="s">
        <v>55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5.75" x14ac:dyDescent="0.25">
      <c r="A2" s="33" t="s">
        <v>58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14.25" customHeight="1" x14ac:dyDescent="0.25">
      <c r="A3" s="35" t="s">
        <v>0</v>
      </c>
      <c r="B3" s="35" t="s">
        <v>2</v>
      </c>
      <c r="C3" s="34" t="s">
        <v>48</v>
      </c>
      <c r="D3" s="34" t="s">
        <v>59</v>
      </c>
      <c r="E3" s="34" t="s">
        <v>1</v>
      </c>
      <c r="F3" s="34" t="s">
        <v>49</v>
      </c>
      <c r="G3" s="34"/>
      <c r="H3" s="34"/>
      <c r="I3" s="34" t="s">
        <v>53</v>
      </c>
      <c r="J3" s="34" t="s">
        <v>50</v>
      </c>
      <c r="K3" s="34"/>
      <c r="L3" s="34"/>
    </row>
    <row r="4" spans="1:12" s="3" customFormat="1" ht="69.75" customHeight="1" x14ac:dyDescent="0.2">
      <c r="A4" s="35"/>
      <c r="B4" s="35"/>
      <c r="C4" s="34"/>
      <c r="D4" s="34"/>
      <c r="E4" s="34"/>
      <c r="F4" s="9" t="s">
        <v>51</v>
      </c>
      <c r="G4" s="9" t="s">
        <v>60</v>
      </c>
      <c r="H4" s="9" t="s">
        <v>52</v>
      </c>
      <c r="I4" s="34"/>
      <c r="J4" s="9" t="s">
        <v>51</v>
      </c>
      <c r="K4" s="9" t="s">
        <v>60</v>
      </c>
      <c r="L4" s="9" t="s">
        <v>52</v>
      </c>
    </row>
    <row r="5" spans="1:12" s="4" customFormat="1" ht="17.25" customHeight="1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  <c r="L5" s="2">
        <v>12</v>
      </c>
    </row>
    <row r="6" spans="1:12" ht="15" customHeight="1" x14ac:dyDescent="0.25">
      <c r="A6" s="10" t="s">
        <v>6</v>
      </c>
      <c r="B6" s="11" t="s">
        <v>5</v>
      </c>
      <c r="C6" s="19">
        <v>137659</v>
      </c>
      <c r="D6" s="19">
        <v>123339</v>
      </c>
      <c r="E6" s="19">
        <v>260998</v>
      </c>
      <c r="F6" s="19">
        <v>47515</v>
      </c>
      <c r="G6" s="19">
        <v>74869</v>
      </c>
      <c r="H6" s="19">
        <v>122384</v>
      </c>
      <c r="I6" s="36">
        <v>46.890780772266453</v>
      </c>
      <c r="J6" s="19">
        <v>90144</v>
      </c>
      <c r="K6" s="19">
        <v>48470</v>
      </c>
      <c r="L6" s="25">
        <v>138614</v>
      </c>
    </row>
    <row r="7" spans="1:12" ht="15" customHeight="1" x14ac:dyDescent="0.25">
      <c r="A7" s="12" t="s">
        <v>7</v>
      </c>
      <c r="B7" s="7" t="s">
        <v>3</v>
      </c>
      <c r="C7" s="20">
        <v>1566</v>
      </c>
      <c r="D7" s="20">
        <v>2195</v>
      </c>
      <c r="E7" s="20">
        <v>3761</v>
      </c>
      <c r="F7" s="20">
        <v>650</v>
      </c>
      <c r="G7" s="20">
        <v>1638</v>
      </c>
      <c r="H7" s="20">
        <v>2288</v>
      </c>
      <c r="I7" s="37">
        <v>60.834884339271468</v>
      </c>
      <c r="J7" s="20">
        <v>916</v>
      </c>
      <c r="K7" s="20">
        <v>557</v>
      </c>
      <c r="L7" s="26">
        <v>1473</v>
      </c>
    </row>
    <row r="8" spans="1:12" ht="15" customHeight="1" x14ac:dyDescent="0.25">
      <c r="A8" s="13" t="s">
        <v>8</v>
      </c>
      <c r="B8" s="8" t="s">
        <v>13</v>
      </c>
      <c r="C8" s="21">
        <v>7081</v>
      </c>
      <c r="D8" s="21">
        <v>7787</v>
      </c>
      <c r="E8" s="21">
        <v>14868</v>
      </c>
      <c r="F8" s="21">
        <v>3123</v>
      </c>
      <c r="G8" s="21">
        <v>5464</v>
      </c>
      <c r="H8" s="21">
        <v>8587</v>
      </c>
      <c r="I8" s="38">
        <v>57.754909873553942</v>
      </c>
      <c r="J8" s="21">
        <v>3958</v>
      </c>
      <c r="K8" s="21">
        <v>2323</v>
      </c>
      <c r="L8" s="27">
        <v>6281</v>
      </c>
    </row>
    <row r="9" spans="1:12" ht="15" customHeight="1" x14ac:dyDescent="0.25">
      <c r="A9" s="12" t="s">
        <v>9</v>
      </c>
      <c r="B9" s="7" t="s">
        <v>14</v>
      </c>
      <c r="C9" s="20">
        <v>9112</v>
      </c>
      <c r="D9" s="20">
        <v>9802</v>
      </c>
      <c r="E9" s="20">
        <v>18914</v>
      </c>
      <c r="F9" s="20">
        <v>4185</v>
      </c>
      <c r="G9" s="20">
        <v>7179</v>
      </c>
      <c r="H9" s="20">
        <v>11364</v>
      </c>
      <c r="I9" s="37">
        <v>60.082478587289835</v>
      </c>
      <c r="J9" s="20">
        <v>4927</v>
      </c>
      <c r="K9" s="20">
        <v>2623</v>
      </c>
      <c r="L9" s="26">
        <v>7550</v>
      </c>
    </row>
    <row r="10" spans="1:12" ht="15" customHeight="1" x14ac:dyDescent="0.25">
      <c r="A10" s="14">
        <v>1.1000000000000001</v>
      </c>
      <c r="B10" s="6" t="s">
        <v>18</v>
      </c>
      <c r="C10" s="22">
        <f t="shared" ref="C10" si="0">SUM(C7:C9)</f>
        <v>17759</v>
      </c>
      <c r="D10" s="22">
        <f t="shared" ref="D10" si="1">SUM(D7:D9)</f>
        <v>19784</v>
      </c>
      <c r="E10" s="22">
        <f t="shared" ref="E10" si="2">SUM(E7:E9)</f>
        <v>37543</v>
      </c>
      <c r="F10" s="22">
        <f t="shared" ref="F10" si="3">SUM(F7:F9)</f>
        <v>7958</v>
      </c>
      <c r="G10" s="22">
        <f t="shared" ref="G10" si="4">SUM(G7:G9)</f>
        <v>14281</v>
      </c>
      <c r="H10" s="22">
        <f t="shared" ref="H10" si="5">SUM(H7:H9)</f>
        <v>22239</v>
      </c>
      <c r="I10" s="39">
        <v>59.2360759662254</v>
      </c>
      <c r="J10" s="22">
        <f t="shared" ref="J10" si="6">SUM(J7:J9)</f>
        <v>9801</v>
      </c>
      <c r="K10" s="22">
        <f t="shared" ref="K10" si="7">SUM(K7:K9)</f>
        <v>5503</v>
      </c>
      <c r="L10" s="28">
        <f t="shared" ref="L10" si="8">SUM(L7:L9)</f>
        <v>15304</v>
      </c>
    </row>
    <row r="11" spans="1:12" ht="15" customHeight="1" x14ac:dyDescent="0.25">
      <c r="A11" s="12" t="s">
        <v>10</v>
      </c>
      <c r="B11" s="7" t="s">
        <v>15</v>
      </c>
      <c r="C11" s="20">
        <v>44230</v>
      </c>
      <c r="D11" s="20">
        <v>37245</v>
      </c>
      <c r="E11" s="20">
        <v>81475</v>
      </c>
      <c r="F11" s="20">
        <v>15075</v>
      </c>
      <c r="G11" s="20">
        <v>22530</v>
      </c>
      <c r="H11" s="20">
        <v>37605</v>
      </c>
      <c r="I11" s="37">
        <v>46.15526235041424</v>
      </c>
      <c r="J11" s="20">
        <v>29155</v>
      </c>
      <c r="K11" s="20">
        <v>14715</v>
      </c>
      <c r="L11" s="26">
        <v>43870</v>
      </c>
    </row>
    <row r="12" spans="1:12" ht="15" customHeight="1" x14ac:dyDescent="0.25">
      <c r="A12" s="13" t="s">
        <v>11</v>
      </c>
      <c r="B12" s="8" t="s">
        <v>16</v>
      </c>
      <c r="C12" s="21">
        <v>39104</v>
      </c>
      <c r="D12" s="21">
        <v>36638</v>
      </c>
      <c r="E12" s="21">
        <v>75742</v>
      </c>
      <c r="F12" s="21">
        <v>13027</v>
      </c>
      <c r="G12" s="21">
        <v>21151</v>
      </c>
      <c r="H12" s="21">
        <v>34178</v>
      </c>
      <c r="I12" s="38">
        <v>45.124237543238891</v>
      </c>
      <c r="J12" s="21">
        <v>26077</v>
      </c>
      <c r="K12" s="21">
        <v>15487</v>
      </c>
      <c r="L12" s="27">
        <v>41564</v>
      </c>
    </row>
    <row r="13" spans="1:12" ht="15" customHeight="1" x14ac:dyDescent="0.25">
      <c r="A13" s="12" t="s">
        <v>12</v>
      </c>
      <c r="B13" s="7" t="s">
        <v>56</v>
      </c>
      <c r="C13" s="20">
        <v>22795</v>
      </c>
      <c r="D13" s="20">
        <v>19926</v>
      </c>
      <c r="E13" s="20">
        <v>42721</v>
      </c>
      <c r="F13" s="20">
        <v>7513</v>
      </c>
      <c r="G13" s="20">
        <v>11374</v>
      </c>
      <c r="H13" s="20">
        <v>18887</v>
      </c>
      <c r="I13" s="37">
        <v>44.210107441305212</v>
      </c>
      <c r="J13" s="20">
        <v>15282</v>
      </c>
      <c r="K13" s="20">
        <v>8552</v>
      </c>
      <c r="L13" s="26">
        <v>23834</v>
      </c>
    </row>
    <row r="14" spans="1:12" ht="15" customHeight="1" x14ac:dyDescent="0.25">
      <c r="A14" s="14">
        <v>1.2</v>
      </c>
      <c r="B14" s="6" t="s">
        <v>26</v>
      </c>
      <c r="C14" s="22">
        <f t="shared" ref="C14" si="9">SUM(C11:C13)</f>
        <v>106129</v>
      </c>
      <c r="D14" s="22">
        <f t="shared" ref="D14" si="10">SUM(D11:D13)</f>
        <v>93809</v>
      </c>
      <c r="E14" s="22">
        <f t="shared" ref="E14" si="11">SUM(E11:E13)</f>
        <v>199938</v>
      </c>
      <c r="F14" s="22">
        <f t="shared" ref="F14" si="12">SUM(F11:F13)</f>
        <v>35615</v>
      </c>
      <c r="G14" s="22">
        <f t="shared" ref="G14" si="13">SUM(G11:G13)</f>
        <v>55055</v>
      </c>
      <c r="H14" s="22">
        <f t="shared" ref="H14" si="14">SUM(H11:H13)</f>
        <v>90670</v>
      </c>
      <c r="I14" s="39">
        <v>45.349058208044497</v>
      </c>
      <c r="J14" s="22">
        <f t="shared" ref="J14" si="15">SUM(J11:J13)</f>
        <v>70514</v>
      </c>
      <c r="K14" s="22">
        <f t="shared" ref="K14" si="16">SUM(K11:K13)</f>
        <v>38754</v>
      </c>
      <c r="L14" s="28">
        <f t="shared" ref="L14" si="17">SUM(L11:L13)</f>
        <v>109268</v>
      </c>
    </row>
    <row r="15" spans="1:12" ht="27" customHeight="1" x14ac:dyDescent="0.25">
      <c r="A15" s="1">
        <v>1.3</v>
      </c>
      <c r="B15" s="5" t="s">
        <v>17</v>
      </c>
      <c r="C15" s="23">
        <v>13771</v>
      </c>
      <c r="D15" s="23">
        <v>9746</v>
      </c>
      <c r="E15" s="23">
        <v>23517</v>
      </c>
      <c r="F15" s="23">
        <v>3942</v>
      </c>
      <c r="G15" s="23">
        <v>5533</v>
      </c>
      <c r="H15" s="23">
        <v>9475</v>
      </c>
      <c r="I15" s="40">
        <v>40.290002976570136</v>
      </c>
      <c r="J15" s="23">
        <v>9829</v>
      </c>
      <c r="K15" s="23">
        <v>4213</v>
      </c>
      <c r="L15" s="29">
        <v>14042</v>
      </c>
    </row>
    <row r="16" spans="1:12" ht="15" customHeight="1" x14ac:dyDescent="0.25">
      <c r="A16" s="14">
        <v>2</v>
      </c>
      <c r="B16" s="6" t="s">
        <v>29</v>
      </c>
      <c r="C16" s="22">
        <v>161064</v>
      </c>
      <c r="D16" s="22">
        <v>223621</v>
      </c>
      <c r="E16" s="22">
        <v>384685</v>
      </c>
      <c r="F16" s="22">
        <v>66102</v>
      </c>
      <c r="G16" s="22">
        <v>143750</v>
      </c>
      <c r="H16" s="22">
        <v>209852</v>
      </c>
      <c r="I16" s="39">
        <v>54.551646152046487</v>
      </c>
      <c r="J16" s="22">
        <v>94962</v>
      </c>
      <c r="K16" s="22">
        <v>79871</v>
      </c>
      <c r="L16" s="28">
        <v>174833</v>
      </c>
    </row>
    <row r="17" spans="1:12" ht="15" customHeight="1" x14ac:dyDescent="0.25">
      <c r="A17" s="12" t="s">
        <v>19</v>
      </c>
      <c r="B17" s="7" t="s">
        <v>3</v>
      </c>
      <c r="C17" s="20">
        <v>1347</v>
      </c>
      <c r="D17" s="20">
        <v>2020</v>
      </c>
      <c r="E17" s="20">
        <v>3367</v>
      </c>
      <c r="F17" s="20">
        <v>560</v>
      </c>
      <c r="G17" s="20">
        <v>1485</v>
      </c>
      <c r="H17" s="20">
        <v>2045</v>
      </c>
      <c r="I17" s="37">
        <v>60.73656073656074</v>
      </c>
      <c r="J17" s="20">
        <v>787</v>
      </c>
      <c r="K17" s="20">
        <v>535</v>
      </c>
      <c r="L17" s="26">
        <v>1322</v>
      </c>
    </row>
    <row r="18" spans="1:12" ht="15" customHeight="1" x14ac:dyDescent="0.25">
      <c r="A18" s="13" t="s">
        <v>20</v>
      </c>
      <c r="B18" s="8" t="s">
        <v>13</v>
      </c>
      <c r="C18" s="21">
        <v>6062</v>
      </c>
      <c r="D18" s="21">
        <v>8563</v>
      </c>
      <c r="E18" s="21">
        <v>14625</v>
      </c>
      <c r="F18" s="21">
        <v>3108</v>
      </c>
      <c r="G18" s="21">
        <v>6017</v>
      </c>
      <c r="H18" s="21">
        <v>9125</v>
      </c>
      <c r="I18" s="38">
        <v>62.393162393162392</v>
      </c>
      <c r="J18" s="21">
        <v>2954</v>
      </c>
      <c r="K18" s="21">
        <v>2546</v>
      </c>
      <c r="L18" s="27">
        <v>5500</v>
      </c>
    </row>
    <row r="19" spans="1:12" ht="15" customHeight="1" x14ac:dyDescent="0.25">
      <c r="A19" s="12" t="s">
        <v>21</v>
      </c>
      <c r="B19" s="7" t="s">
        <v>14</v>
      </c>
      <c r="C19" s="20">
        <v>23352</v>
      </c>
      <c r="D19" s="20">
        <v>36608</v>
      </c>
      <c r="E19" s="20">
        <v>59960</v>
      </c>
      <c r="F19" s="20">
        <v>12043</v>
      </c>
      <c r="G19" s="20">
        <v>25574</v>
      </c>
      <c r="H19" s="20">
        <v>37617</v>
      </c>
      <c r="I19" s="37">
        <v>62.736824549699797</v>
      </c>
      <c r="J19" s="20">
        <v>11309</v>
      </c>
      <c r="K19" s="20">
        <v>11034</v>
      </c>
      <c r="L19" s="26">
        <v>22343</v>
      </c>
    </row>
    <row r="20" spans="1:12" ht="15" customHeight="1" x14ac:dyDescent="0.25">
      <c r="A20" s="14">
        <v>2.1</v>
      </c>
      <c r="B20" s="6" t="s">
        <v>25</v>
      </c>
      <c r="C20" s="22">
        <f t="shared" ref="C20" si="18">SUM(C17:C19)</f>
        <v>30761</v>
      </c>
      <c r="D20" s="22">
        <f t="shared" ref="D20" si="19">SUM(D17:D19)</f>
        <v>47191</v>
      </c>
      <c r="E20" s="22">
        <f t="shared" ref="E20" si="20">SUM(E17:E19)</f>
        <v>77952</v>
      </c>
      <c r="F20" s="22">
        <f t="shared" ref="F20" si="21">SUM(F17:F19)</f>
        <v>15711</v>
      </c>
      <c r="G20" s="22">
        <f t="shared" ref="G20" si="22">SUM(G17:G19)</f>
        <v>33076</v>
      </c>
      <c r="H20" s="22">
        <f t="shared" ref="H20" si="23">SUM(H17:H19)</f>
        <v>48787</v>
      </c>
      <c r="I20" s="39">
        <v>62.585950328407222</v>
      </c>
      <c r="J20" s="22">
        <f t="shared" ref="J20" si="24">SUM(J17:J19)</f>
        <v>15050</v>
      </c>
      <c r="K20" s="22">
        <f t="shared" ref="K20" si="25">SUM(K17:K19)</f>
        <v>14115</v>
      </c>
      <c r="L20" s="28">
        <f t="shared" ref="L20" si="26">SUM(L17:L19)</f>
        <v>29165</v>
      </c>
    </row>
    <row r="21" spans="1:12" ht="15" customHeight="1" x14ac:dyDescent="0.25">
      <c r="A21" s="12" t="s">
        <v>22</v>
      </c>
      <c r="B21" s="7" t="s">
        <v>15</v>
      </c>
      <c r="C21" s="20">
        <v>76119</v>
      </c>
      <c r="D21" s="20">
        <v>117781</v>
      </c>
      <c r="E21" s="20">
        <v>193900</v>
      </c>
      <c r="F21" s="20">
        <v>30325</v>
      </c>
      <c r="G21" s="20">
        <v>77456</v>
      </c>
      <c r="H21" s="20">
        <v>107781</v>
      </c>
      <c r="I21" s="37">
        <v>55.585869004641566</v>
      </c>
      <c r="J21" s="20">
        <v>45794</v>
      </c>
      <c r="K21" s="20">
        <v>40325</v>
      </c>
      <c r="L21" s="26">
        <v>86119</v>
      </c>
    </row>
    <row r="22" spans="1:12" ht="15" customHeight="1" x14ac:dyDescent="0.25">
      <c r="A22" s="13" t="s">
        <v>23</v>
      </c>
      <c r="B22" s="8" t="s">
        <v>16</v>
      </c>
      <c r="C22" s="21">
        <v>35477</v>
      </c>
      <c r="D22" s="21">
        <v>44017</v>
      </c>
      <c r="E22" s="21">
        <v>79494</v>
      </c>
      <c r="F22" s="21">
        <v>13339</v>
      </c>
      <c r="G22" s="21">
        <v>24633</v>
      </c>
      <c r="H22" s="21">
        <v>37972</v>
      </c>
      <c r="I22" s="38">
        <v>47.767127078773242</v>
      </c>
      <c r="J22" s="21">
        <v>22138</v>
      </c>
      <c r="K22" s="21">
        <v>19384</v>
      </c>
      <c r="L22" s="27">
        <v>41522</v>
      </c>
    </row>
    <row r="23" spans="1:12" ht="15" customHeight="1" x14ac:dyDescent="0.25">
      <c r="A23" s="12" t="s">
        <v>24</v>
      </c>
      <c r="B23" s="7" t="s">
        <v>56</v>
      </c>
      <c r="C23" s="20">
        <v>12712</v>
      </c>
      <c r="D23" s="20">
        <v>10066</v>
      </c>
      <c r="E23" s="20">
        <v>22778</v>
      </c>
      <c r="F23" s="20">
        <v>4760</v>
      </c>
      <c r="G23" s="20">
        <v>5763</v>
      </c>
      <c r="H23" s="20">
        <v>10523</v>
      </c>
      <c r="I23" s="37">
        <v>46.198085872332953</v>
      </c>
      <c r="J23" s="20">
        <v>7952</v>
      </c>
      <c r="K23" s="20">
        <v>4303</v>
      </c>
      <c r="L23" s="26">
        <v>12255</v>
      </c>
    </row>
    <row r="24" spans="1:12" ht="15" customHeight="1" x14ac:dyDescent="0.25">
      <c r="A24" s="14">
        <v>2.2000000000000002</v>
      </c>
      <c r="B24" s="6" t="s">
        <v>27</v>
      </c>
      <c r="C24" s="22">
        <f t="shared" ref="C24" si="27">SUM(C21:C23)</f>
        <v>124308</v>
      </c>
      <c r="D24" s="22">
        <f t="shared" ref="D24" si="28">SUM(D21:D23)</f>
        <v>171864</v>
      </c>
      <c r="E24" s="22">
        <f t="shared" ref="E24" si="29">SUM(E21:E23)</f>
        <v>296172</v>
      </c>
      <c r="F24" s="22">
        <f t="shared" ref="F24" si="30">SUM(F21:F23)</f>
        <v>48424</v>
      </c>
      <c r="G24" s="22">
        <f t="shared" ref="G24" si="31">SUM(G21:G23)</f>
        <v>107852</v>
      </c>
      <c r="H24" s="22">
        <f t="shared" ref="H24" si="32">SUM(H21:H23)</f>
        <v>156276</v>
      </c>
      <c r="I24" s="39">
        <v>52.765285037073049</v>
      </c>
      <c r="J24" s="22">
        <f t="shared" ref="J24" si="33">SUM(J21:J23)</f>
        <v>75884</v>
      </c>
      <c r="K24" s="22">
        <f t="shared" ref="K24" si="34">SUM(K21:K23)</f>
        <v>64012</v>
      </c>
      <c r="L24" s="28">
        <f t="shared" ref="L24" si="35">SUM(L21:L23)</f>
        <v>139896</v>
      </c>
    </row>
    <row r="25" spans="1:12" ht="28.5" customHeight="1" x14ac:dyDescent="0.25">
      <c r="A25" s="1">
        <v>2.2999999999999998</v>
      </c>
      <c r="B25" s="5" t="s">
        <v>28</v>
      </c>
      <c r="C25" s="23">
        <v>5995</v>
      </c>
      <c r="D25" s="23">
        <v>4566</v>
      </c>
      <c r="E25" s="23">
        <v>10561</v>
      </c>
      <c r="F25" s="23">
        <v>1967</v>
      </c>
      <c r="G25" s="23">
        <v>2822</v>
      </c>
      <c r="H25" s="23">
        <v>4789</v>
      </c>
      <c r="I25" s="40">
        <v>45.346084651074712</v>
      </c>
      <c r="J25" s="23">
        <v>4028</v>
      </c>
      <c r="K25" s="23">
        <v>1744</v>
      </c>
      <c r="L25" s="29">
        <v>5772</v>
      </c>
    </row>
    <row r="26" spans="1:12" ht="15" customHeight="1" x14ac:dyDescent="0.25">
      <c r="A26" s="14">
        <v>3</v>
      </c>
      <c r="B26" s="6" t="s">
        <v>4</v>
      </c>
      <c r="C26" s="22">
        <v>35</v>
      </c>
      <c r="D26" s="22">
        <v>564</v>
      </c>
      <c r="E26" s="22">
        <v>599</v>
      </c>
      <c r="F26" s="22">
        <v>16</v>
      </c>
      <c r="G26" s="22">
        <v>502</v>
      </c>
      <c r="H26" s="22">
        <v>518</v>
      </c>
      <c r="I26" s="39">
        <v>86.477462437395658</v>
      </c>
      <c r="J26" s="22">
        <v>19</v>
      </c>
      <c r="K26" s="22">
        <v>62</v>
      </c>
      <c r="L26" s="28">
        <v>81</v>
      </c>
    </row>
    <row r="27" spans="1:12" ht="15" customHeight="1" x14ac:dyDescent="0.25">
      <c r="A27" s="12" t="s">
        <v>32</v>
      </c>
      <c r="B27" s="7" t="s">
        <v>3</v>
      </c>
      <c r="C27" s="20">
        <v>0</v>
      </c>
      <c r="D27" s="20">
        <v>4</v>
      </c>
      <c r="E27" s="20">
        <v>4</v>
      </c>
      <c r="F27" s="20">
        <v>0</v>
      </c>
      <c r="G27" s="20">
        <v>3</v>
      </c>
      <c r="H27" s="20">
        <v>3</v>
      </c>
      <c r="I27" s="37">
        <v>75</v>
      </c>
      <c r="J27" s="20">
        <v>0</v>
      </c>
      <c r="K27" s="20">
        <v>1</v>
      </c>
      <c r="L27" s="26">
        <v>1</v>
      </c>
    </row>
    <row r="28" spans="1:12" ht="15" customHeight="1" x14ac:dyDescent="0.25">
      <c r="A28" s="13" t="s">
        <v>33</v>
      </c>
      <c r="B28" s="8" t="s">
        <v>13</v>
      </c>
      <c r="C28" s="21">
        <v>0</v>
      </c>
      <c r="D28" s="21">
        <v>29</v>
      </c>
      <c r="E28" s="21">
        <v>29</v>
      </c>
      <c r="F28" s="21">
        <v>0</v>
      </c>
      <c r="G28" s="21">
        <v>26</v>
      </c>
      <c r="H28" s="21">
        <v>26</v>
      </c>
      <c r="I28" s="38">
        <v>89.65517241379311</v>
      </c>
      <c r="J28" s="21">
        <v>0</v>
      </c>
      <c r="K28" s="21">
        <v>3</v>
      </c>
      <c r="L28" s="27">
        <v>3</v>
      </c>
    </row>
    <row r="29" spans="1:12" ht="15" customHeight="1" x14ac:dyDescent="0.25">
      <c r="A29" s="12" t="s">
        <v>34</v>
      </c>
      <c r="B29" s="7" t="s">
        <v>14</v>
      </c>
      <c r="C29" s="20">
        <v>2</v>
      </c>
      <c r="D29" s="20">
        <v>126</v>
      </c>
      <c r="E29" s="20">
        <v>128</v>
      </c>
      <c r="F29" s="20">
        <v>0</v>
      </c>
      <c r="G29" s="20">
        <v>121</v>
      </c>
      <c r="H29" s="20">
        <v>121</v>
      </c>
      <c r="I29" s="37">
        <v>94.53125</v>
      </c>
      <c r="J29" s="20">
        <v>2</v>
      </c>
      <c r="K29" s="20">
        <v>5</v>
      </c>
      <c r="L29" s="26">
        <v>7</v>
      </c>
    </row>
    <row r="30" spans="1:12" ht="15" customHeight="1" x14ac:dyDescent="0.25">
      <c r="A30" s="14">
        <v>3.1</v>
      </c>
      <c r="B30" s="6" t="s">
        <v>30</v>
      </c>
      <c r="C30" s="22">
        <f t="shared" ref="C30" si="36">SUM(C27:C29)</f>
        <v>2</v>
      </c>
      <c r="D30" s="22">
        <f t="shared" ref="D30" si="37">SUM(D27:D29)</f>
        <v>159</v>
      </c>
      <c r="E30" s="22">
        <f t="shared" ref="E30" si="38">SUM(E27:E29)</f>
        <v>161</v>
      </c>
      <c r="F30" s="22">
        <f t="shared" ref="F30" si="39">SUM(F27:F29)</f>
        <v>0</v>
      </c>
      <c r="G30" s="22">
        <f t="shared" ref="G30" si="40">SUM(G27:G29)</f>
        <v>150</v>
      </c>
      <c r="H30" s="22">
        <f t="shared" ref="H30" si="41">SUM(H27:H29)</f>
        <v>150</v>
      </c>
      <c r="I30" s="39">
        <v>93.16770186335404</v>
      </c>
      <c r="J30" s="22">
        <f t="shared" ref="J30" si="42">SUM(J27:J29)</f>
        <v>2</v>
      </c>
      <c r="K30" s="22">
        <f t="shared" ref="K30" si="43">SUM(K27:K29)</f>
        <v>9</v>
      </c>
      <c r="L30" s="28">
        <f t="shared" ref="L30" si="44">SUM(L27:L29)</f>
        <v>11</v>
      </c>
    </row>
    <row r="31" spans="1:12" ht="15" customHeight="1" x14ac:dyDescent="0.25">
      <c r="A31" s="12" t="s">
        <v>35</v>
      </c>
      <c r="B31" s="7" t="s">
        <v>15</v>
      </c>
      <c r="C31" s="20">
        <v>16</v>
      </c>
      <c r="D31" s="20">
        <v>240</v>
      </c>
      <c r="E31" s="20">
        <v>256</v>
      </c>
      <c r="F31" s="20">
        <v>6</v>
      </c>
      <c r="G31" s="20">
        <v>217</v>
      </c>
      <c r="H31" s="20">
        <v>223</v>
      </c>
      <c r="I31" s="37">
        <v>87.109375</v>
      </c>
      <c r="J31" s="20">
        <v>10</v>
      </c>
      <c r="K31" s="20">
        <v>23</v>
      </c>
      <c r="L31" s="26">
        <v>33</v>
      </c>
    </row>
    <row r="32" spans="1:12" ht="15" customHeight="1" x14ac:dyDescent="0.25">
      <c r="A32" s="13" t="s">
        <v>36</v>
      </c>
      <c r="B32" s="8" t="s">
        <v>16</v>
      </c>
      <c r="C32" s="21">
        <v>11</v>
      </c>
      <c r="D32" s="21">
        <v>113</v>
      </c>
      <c r="E32" s="21">
        <v>124</v>
      </c>
      <c r="F32" s="21">
        <v>8</v>
      </c>
      <c r="G32" s="21">
        <v>97</v>
      </c>
      <c r="H32" s="21">
        <v>105</v>
      </c>
      <c r="I32" s="38">
        <v>84.677419354838719</v>
      </c>
      <c r="J32" s="21">
        <v>3</v>
      </c>
      <c r="K32" s="21">
        <v>16</v>
      </c>
      <c r="L32" s="27">
        <v>19</v>
      </c>
    </row>
    <row r="33" spans="1:12" ht="15" customHeight="1" x14ac:dyDescent="0.25">
      <c r="A33" s="12" t="s">
        <v>37</v>
      </c>
      <c r="B33" s="7" t="s">
        <v>56</v>
      </c>
      <c r="C33" s="20">
        <v>2</v>
      </c>
      <c r="D33" s="20">
        <v>41</v>
      </c>
      <c r="E33" s="20">
        <v>43</v>
      </c>
      <c r="F33" s="20">
        <v>0</v>
      </c>
      <c r="G33" s="20">
        <v>31</v>
      </c>
      <c r="H33" s="20">
        <v>31</v>
      </c>
      <c r="I33" s="37">
        <v>72.093023255813947</v>
      </c>
      <c r="J33" s="20">
        <v>2</v>
      </c>
      <c r="K33" s="20">
        <v>10</v>
      </c>
      <c r="L33" s="26">
        <v>12</v>
      </c>
    </row>
    <row r="34" spans="1:12" ht="15" customHeight="1" x14ac:dyDescent="0.25">
      <c r="A34" s="14">
        <v>3.2</v>
      </c>
      <c r="B34" s="6" t="s">
        <v>31</v>
      </c>
      <c r="C34" s="22">
        <f t="shared" ref="C34" si="45">SUM(C31:C33)</f>
        <v>29</v>
      </c>
      <c r="D34" s="22">
        <f t="shared" ref="D34" si="46">SUM(D31:D33)</f>
        <v>394</v>
      </c>
      <c r="E34" s="22">
        <f t="shared" ref="E34" si="47">SUM(E31:E33)</f>
        <v>423</v>
      </c>
      <c r="F34" s="22">
        <f t="shared" ref="F34" si="48">SUM(F31:F33)</f>
        <v>14</v>
      </c>
      <c r="G34" s="22">
        <f t="shared" ref="G34" si="49">SUM(G31:G33)</f>
        <v>345</v>
      </c>
      <c r="H34" s="22">
        <f t="shared" ref="H34" si="50">SUM(H31:H33)</f>
        <v>359</v>
      </c>
      <c r="I34" s="39">
        <v>84.869976359338068</v>
      </c>
      <c r="J34" s="22">
        <f t="shared" ref="J34" si="51">SUM(J31:J33)</f>
        <v>15</v>
      </c>
      <c r="K34" s="22">
        <f t="shared" ref="K34" si="52">SUM(K31:K33)</f>
        <v>49</v>
      </c>
      <c r="L34" s="28">
        <f t="shared" ref="L34" si="53">SUM(L31:L33)</f>
        <v>64</v>
      </c>
    </row>
    <row r="35" spans="1:12" ht="28.5" customHeight="1" x14ac:dyDescent="0.25">
      <c r="A35" s="1">
        <v>3.3</v>
      </c>
      <c r="B35" s="32" t="s">
        <v>62</v>
      </c>
      <c r="C35" s="23">
        <v>4</v>
      </c>
      <c r="D35" s="23">
        <v>11</v>
      </c>
      <c r="E35" s="23">
        <v>15</v>
      </c>
      <c r="F35" s="23">
        <v>2</v>
      </c>
      <c r="G35" s="23">
        <v>7</v>
      </c>
      <c r="H35" s="23">
        <v>9</v>
      </c>
      <c r="I35" s="40">
        <v>60</v>
      </c>
      <c r="J35" s="23">
        <v>2</v>
      </c>
      <c r="K35" s="23">
        <v>4</v>
      </c>
      <c r="L35" s="29">
        <v>6</v>
      </c>
    </row>
    <row r="36" spans="1:12" ht="15" customHeight="1" x14ac:dyDescent="0.25">
      <c r="A36" s="14">
        <v>4</v>
      </c>
      <c r="B36" s="6" t="s">
        <v>38</v>
      </c>
      <c r="C36" s="22">
        <v>298758</v>
      </c>
      <c r="D36" s="22">
        <v>347524</v>
      </c>
      <c r="E36" s="22">
        <v>646282</v>
      </c>
      <c r="F36" s="22">
        <v>113633</v>
      </c>
      <c r="G36" s="22">
        <v>219121</v>
      </c>
      <c r="H36" s="22">
        <v>332754</v>
      </c>
      <c r="I36" s="39">
        <v>51.487431183291498</v>
      </c>
      <c r="J36" s="22">
        <v>185125</v>
      </c>
      <c r="K36" s="22">
        <v>128403</v>
      </c>
      <c r="L36" s="28">
        <v>313528</v>
      </c>
    </row>
    <row r="37" spans="1:12" ht="15" customHeight="1" x14ac:dyDescent="0.25">
      <c r="A37" s="12" t="s">
        <v>39</v>
      </c>
      <c r="B37" s="7" t="s">
        <v>3</v>
      </c>
      <c r="C37" s="20">
        <v>2913</v>
      </c>
      <c r="D37" s="20">
        <v>4219</v>
      </c>
      <c r="E37" s="20">
        <v>7132</v>
      </c>
      <c r="F37" s="20">
        <v>1210</v>
      </c>
      <c r="G37" s="20">
        <v>3126</v>
      </c>
      <c r="H37" s="20">
        <v>4336</v>
      </c>
      <c r="I37" s="37">
        <v>60.796410544026926</v>
      </c>
      <c r="J37" s="20">
        <v>1703</v>
      </c>
      <c r="K37" s="20">
        <v>1093</v>
      </c>
      <c r="L37" s="26">
        <v>2796</v>
      </c>
    </row>
    <row r="38" spans="1:12" ht="15" customHeight="1" x14ac:dyDescent="0.25">
      <c r="A38" s="13" t="s">
        <v>40</v>
      </c>
      <c r="B38" s="8" t="s">
        <v>13</v>
      </c>
      <c r="C38" s="21">
        <v>13143</v>
      </c>
      <c r="D38" s="21">
        <v>16379</v>
      </c>
      <c r="E38" s="21">
        <v>29522</v>
      </c>
      <c r="F38" s="21">
        <v>6231</v>
      </c>
      <c r="G38" s="21">
        <v>11507</v>
      </c>
      <c r="H38" s="21">
        <v>17738</v>
      </c>
      <c r="I38" s="38">
        <v>60.084005148702659</v>
      </c>
      <c r="J38" s="21">
        <v>6912</v>
      </c>
      <c r="K38" s="21">
        <v>4872</v>
      </c>
      <c r="L38" s="27">
        <v>11784</v>
      </c>
    </row>
    <row r="39" spans="1:12" ht="15" customHeight="1" x14ac:dyDescent="0.25">
      <c r="A39" s="12" t="s">
        <v>41</v>
      </c>
      <c r="B39" s="7" t="s">
        <v>14</v>
      </c>
      <c r="C39" s="20">
        <v>32466</v>
      </c>
      <c r="D39" s="20">
        <v>46536</v>
      </c>
      <c r="E39" s="20">
        <v>79002</v>
      </c>
      <c r="F39" s="20">
        <v>16228</v>
      </c>
      <c r="G39" s="20">
        <v>32874</v>
      </c>
      <c r="H39" s="20">
        <v>49102</v>
      </c>
      <c r="I39" s="37">
        <v>62.152856889698995</v>
      </c>
      <c r="J39" s="20">
        <v>16238</v>
      </c>
      <c r="K39" s="20">
        <v>13662</v>
      </c>
      <c r="L39" s="26">
        <v>29900</v>
      </c>
    </row>
    <row r="40" spans="1:12" ht="15" customHeight="1" x14ac:dyDescent="0.25">
      <c r="A40" s="14">
        <v>4.0999999999999996</v>
      </c>
      <c r="B40" s="6" t="s">
        <v>45</v>
      </c>
      <c r="C40" s="22">
        <f t="shared" ref="C40" si="54">SUM(C37:C39)</f>
        <v>48522</v>
      </c>
      <c r="D40" s="22">
        <f t="shared" ref="D40" si="55">SUM(D37:D39)</f>
        <v>67134</v>
      </c>
      <c r="E40" s="22">
        <f t="shared" ref="E40" si="56">SUM(E37:E39)</f>
        <v>115656</v>
      </c>
      <c r="F40" s="22">
        <f t="shared" ref="F40" si="57">SUM(F37:F39)</f>
        <v>23669</v>
      </c>
      <c r="G40" s="22">
        <f t="shared" ref="G40" si="58">SUM(G37:G39)</f>
        <v>47507</v>
      </c>
      <c r="H40" s="22">
        <f t="shared" ref="H40" si="59">SUM(H37:H39)</f>
        <v>71176</v>
      </c>
      <c r="I40" s="39">
        <v>61.541121947845333</v>
      </c>
      <c r="J40" s="22">
        <f t="shared" ref="J40" si="60">SUM(J37:J39)</f>
        <v>24853</v>
      </c>
      <c r="K40" s="22">
        <f t="shared" ref="K40" si="61">SUM(K37:K39)</f>
        <v>19627</v>
      </c>
      <c r="L40" s="28">
        <f t="shared" ref="L40" si="62">SUM(L37:L39)</f>
        <v>44480</v>
      </c>
    </row>
    <row r="41" spans="1:12" ht="15" customHeight="1" x14ac:dyDescent="0.25">
      <c r="A41" s="12" t="s">
        <v>42</v>
      </c>
      <c r="B41" s="7" t="s">
        <v>15</v>
      </c>
      <c r="C41" s="20">
        <v>120365</v>
      </c>
      <c r="D41" s="20">
        <v>155266</v>
      </c>
      <c r="E41" s="20">
        <v>275631</v>
      </c>
      <c r="F41" s="20">
        <v>45406</v>
      </c>
      <c r="G41" s="20">
        <v>100203</v>
      </c>
      <c r="H41" s="20">
        <v>145609</v>
      </c>
      <c r="I41" s="37">
        <v>52.827512144860336</v>
      </c>
      <c r="J41" s="20">
        <v>74959</v>
      </c>
      <c r="K41" s="20">
        <v>55063</v>
      </c>
      <c r="L41" s="26">
        <v>130022</v>
      </c>
    </row>
    <row r="42" spans="1:12" ht="15" customHeight="1" x14ac:dyDescent="0.25">
      <c r="A42" s="13" t="s">
        <v>43</v>
      </c>
      <c r="B42" s="8" t="s">
        <v>16</v>
      </c>
      <c r="C42" s="21">
        <v>74592</v>
      </c>
      <c r="D42" s="21">
        <v>80768</v>
      </c>
      <c r="E42" s="21">
        <v>155360</v>
      </c>
      <c r="F42" s="21">
        <v>26374</v>
      </c>
      <c r="G42" s="21">
        <v>45881</v>
      </c>
      <c r="H42" s="21">
        <v>72255</v>
      </c>
      <c r="I42" s="38">
        <v>46.508110195674561</v>
      </c>
      <c r="J42" s="21">
        <v>48218</v>
      </c>
      <c r="K42" s="21">
        <v>34887</v>
      </c>
      <c r="L42" s="27">
        <v>83105</v>
      </c>
    </row>
    <row r="43" spans="1:12" ht="15" customHeight="1" x14ac:dyDescent="0.25">
      <c r="A43" s="12" t="s">
        <v>44</v>
      </c>
      <c r="B43" s="7" t="s">
        <v>56</v>
      </c>
      <c r="C43" s="20">
        <v>35509</v>
      </c>
      <c r="D43" s="20">
        <v>30033</v>
      </c>
      <c r="E43" s="20">
        <v>65542</v>
      </c>
      <c r="F43" s="20">
        <v>12273</v>
      </c>
      <c r="G43" s="20">
        <v>17168</v>
      </c>
      <c r="H43" s="20">
        <v>29441</v>
      </c>
      <c r="I43" s="37">
        <v>44.919288395227483</v>
      </c>
      <c r="J43" s="20">
        <v>23236</v>
      </c>
      <c r="K43" s="20">
        <v>12865</v>
      </c>
      <c r="L43" s="26">
        <v>36101</v>
      </c>
    </row>
    <row r="44" spans="1:12" ht="15" customHeight="1" x14ac:dyDescent="0.25">
      <c r="A44" s="14">
        <v>4.2</v>
      </c>
      <c r="B44" s="6" t="s">
        <v>46</v>
      </c>
      <c r="C44" s="22">
        <f t="shared" ref="C44" si="63">SUM(C41:C43)</f>
        <v>230466</v>
      </c>
      <c r="D44" s="22">
        <f t="shared" ref="D44" si="64">SUM(D41:D43)</f>
        <v>266067</v>
      </c>
      <c r="E44" s="22">
        <f t="shared" ref="E44" si="65">SUM(E41:E43)</f>
        <v>496533</v>
      </c>
      <c r="F44" s="22">
        <f t="shared" ref="F44" si="66">SUM(F41:F43)</f>
        <v>84053</v>
      </c>
      <c r="G44" s="22">
        <f t="shared" ref="G44" si="67">SUM(G41:G43)</f>
        <v>163252</v>
      </c>
      <c r="H44" s="22">
        <f t="shared" ref="H44" si="68">SUM(H41:H43)</f>
        <v>247305</v>
      </c>
      <c r="I44" s="39">
        <v>49.806357281389154</v>
      </c>
      <c r="J44" s="22">
        <f t="shared" ref="J44" si="69">SUM(J41:J43)</f>
        <v>146413</v>
      </c>
      <c r="K44" s="22">
        <f t="shared" ref="K44" si="70">SUM(K41:K43)</f>
        <v>102815</v>
      </c>
      <c r="L44" s="28">
        <f t="shared" ref="L44" si="71">SUM(L41:L43)</f>
        <v>249228</v>
      </c>
    </row>
    <row r="45" spans="1:12" ht="15" customHeight="1" x14ac:dyDescent="0.25">
      <c r="A45" s="15">
        <v>4.3</v>
      </c>
      <c r="B45" s="16" t="s">
        <v>47</v>
      </c>
      <c r="C45" s="24">
        <v>19770</v>
      </c>
      <c r="D45" s="24">
        <v>14323</v>
      </c>
      <c r="E45" s="24">
        <v>34093</v>
      </c>
      <c r="F45" s="24">
        <v>5911</v>
      </c>
      <c r="G45" s="24">
        <v>8362</v>
      </c>
      <c r="H45" s="24">
        <v>14273</v>
      </c>
      <c r="I45" s="41">
        <v>41.864898952864223</v>
      </c>
      <c r="J45" s="24">
        <v>13859</v>
      </c>
      <c r="K45" s="24">
        <v>5961</v>
      </c>
      <c r="L45" s="30">
        <v>19820</v>
      </c>
    </row>
    <row r="46" spans="1:12" x14ac:dyDescent="0.25">
      <c r="A46" s="18" t="s">
        <v>57</v>
      </c>
      <c r="L46" s="17" t="s">
        <v>54</v>
      </c>
    </row>
    <row r="47" spans="1:12" x14ac:dyDescent="0.25">
      <c r="A47" s="31" t="s">
        <v>61</v>
      </c>
    </row>
  </sheetData>
  <mergeCells count="10">
    <mergeCell ref="A1:L1"/>
    <mergeCell ref="A2:L2"/>
    <mergeCell ref="F3:H3"/>
    <mergeCell ref="J3:L3"/>
    <mergeCell ref="I3:I4"/>
    <mergeCell ref="E3:E4"/>
    <mergeCell ref="D3:D4"/>
    <mergeCell ref="C3:C4"/>
    <mergeCell ref="B3:B4"/>
    <mergeCell ref="A3:A4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2020-01-07T11:20:26Z</cp:lastPrinted>
  <dcterms:created xsi:type="dcterms:W3CDTF">2017-09-20T11:08:22Z</dcterms:created>
  <dcterms:modified xsi:type="dcterms:W3CDTF">2020-01-21T11:07:49Z</dcterms:modified>
</cp:coreProperties>
</file>