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CIIReport" sheetId="1" r:id="rId1"/>
  </sheets>
  <definedNames>
    <definedName name="_xlnm.Print_Area" localSheetId="0">CIIReport!$A$1:$AH$30</definedName>
  </definedNames>
  <calcPr calcId="144525"/>
</workbook>
</file>

<file path=xl/calcChain.xml><?xml version="1.0" encoding="utf-8"?>
<calcChain xmlns="http://schemas.openxmlformats.org/spreadsheetml/2006/main">
  <c r="E27" i="1" l="1"/>
  <c r="H27" i="1"/>
  <c r="K27" i="1"/>
  <c r="N27" i="1"/>
  <c r="Q27" i="1"/>
  <c r="AH27" i="1" l="1"/>
  <c r="AE27" i="1"/>
  <c r="AB27" i="1"/>
  <c r="Y27" i="1"/>
  <c r="V27" i="1"/>
</calcChain>
</file>

<file path=xl/sharedStrings.xml><?xml version="1.0" encoding="utf-8"?>
<sst xmlns="http://schemas.openxmlformats.org/spreadsheetml/2006/main" count="140" uniqueCount="70">
  <si>
    <t>T</t>
  </si>
  <si>
    <t>Child Victims</t>
  </si>
  <si>
    <t>Total Child Victims</t>
  </si>
  <si>
    <t>Adult Victims</t>
  </si>
  <si>
    <t>Total Adult Victims</t>
  </si>
  <si>
    <t>Total Victims 
(Child + Adult)</t>
  </si>
  <si>
    <t xml:space="preserve">Victims Age Group-wise % Share </t>
  </si>
  <si>
    <t xml:space="preserve">Col.15 = Col.3+Col.6+Col.9+Col.12   </t>
  </si>
  <si>
    <t xml:space="preserve">Col.16 = Col.4+Col.7+Col.10+Col.13  </t>
  </si>
  <si>
    <t>Col.17 = Col.5+Col.8+Col.11+Col.14</t>
  </si>
  <si>
    <t>Col.27 = Col.18+Col.21+Col.24           Col.28 = Col.19+Col.22+Col.25          Col.29 = Col.20+Col.23+Col.26</t>
  </si>
  <si>
    <t xml:space="preserve">Below 6 Years </t>
  </si>
  <si>
    <t xml:space="preserve">6 Years to 12 Years </t>
  </si>
  <si>
    <t xml:space="preserve">12 Years to 16 Years </t>
  </si>
  <si>
    <t xml:space="preserve">16 Years to 18 Years </t>
  </si>
  <si>
    <t xml:space="preserve">18 Years to 30 Years </t>
  </si>
  <si>
    <t xml:space="preserve">30 Years to 60 Years </t>
  </si>
  <si>
    <t xml:space="preserve">60 Years &amp; Above </t>
  </si>
  <si>
    <t xml:space="preserve">M </t>
  </si>
  <si>
    <t xml:space="preserve">F </t>
  </si>
  <si>
    <t>S. No.</t>
  </si>
  <si>
    <t>1</t>
  </si>
  <si>
    <t>Ahmedabad 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</si>
  <si>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</si>
  <si>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</si>
  <si>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</si>
  <si>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</si>
  <si>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</si>
  <si>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</si>
  <si>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</si>
  <si>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 xml:space="preserve">Delhi 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</si>
  <si>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</si>
  <si>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</si>
  <si>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</si>
  <si>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</si>
  <si>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</si>
  <si>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</si>
  <si>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</si>
  <si>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</si>
  <si>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</si>
  <si>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</si>
  <si>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</si>
  <si>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</si>
  <si>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</si>
  <si>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</si>
  <si>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</si>
  <si>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</si>
  <si>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</si>
  <si>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</si>
  <si>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</si>
  <si>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16</t>
  </si>
  <si>
    <t>17</t>
  </si>
  <si>
    <t>Patna
(Bihar)</t>
  </si>
  <si>
    <t>18</t>
  </si>
  <si>
    <t>19</t>
  </si>
  <si>
    <t>Surat
(Gujarat)</t>
  </si>
  <si>
    <t>City</t>
  </si>
  <si>
    <t>TABLE 2D.2 (i) - Page 1 of 1</t>
  </si>
  <si>
    <t>TABLE 2D.2 (ii) - Page 1 of 1</t>
  </si>
  <si>
    <t>Col.30 = Col.15+Col.27                            Col.31 = Col.16+Col.28                             Col.32 = Col.17+Col.29</t>
  </si>
  <si>
    <t>TABLE 2D.2(i)</t>
  </si>
  <si>
    <t>TABLE 2D.2 (ii)</t>
  </si>
  <si>
    <t>TOTAL CITIES</t>
  </si>
  <si>
    <t>Mumbai
(Maharashtra)</t>
  </si>
  <si>
    <t>Nagpur
(Maharashtra)</t>
  </si>
  <si>
    <t>Pune
(Maharashtra)</t>
  </si>
  <si>
    <t>● As per data provided by States/UTs</t>
  </si>
  <si>
    <t>Child Victims of Kidnapping &amp; Abduction (Metropolitan Cities)(Gender &amp; Age Group-wise)- 2018
  (Sec.363 to 369 IPC)</t>
  </si>
  <si>
    <t>Adult Victims of Kidnapping &amp; Abduction (Metropolitan Cities)(Gender &amp; Age Group-wise)- 2018
  (Sec.363 to 369 IPC)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</si>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</sst>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164" fontId="23" fillId="0" borderId="20" xfId="0" applyNumberFormat="1" applyFont="1" applyFill="1" applyBorder="1" applyAlignment="1">
      <alignment horizontal="right"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21" fillId="0" borderId="16" xfId="0" applyFont="1" applyFill="1" applyBorder="1" applyAlignment="1">
      <alignment horizontal="right" vertical="center"/>
    </xf>
    <xf numFmtId="0" fontId="23" fillId="0" borderId="16" xfId="0" applyFont="1" applyFill="1" applyBorder="1" applyAlignment="1">
      <alignment horizontal="right" vertical="center" wrapText="1"/>
    </xf>
    <xf numFmtId="0" fontId="16" fillId="0" borderId="0" xfId="0" applyFont="1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9" fillId="0" borderId="0" xfId="0" applyFont="1" applyFill="1" applyBorder="1" applyAlignment="1">
      <alignment horizontal="right" vertical="center" wrapText="1"/>
    </xf>
    <xf numFmtId="0" fontId="24" fillId="0" borderId="0" xfId="0" applyFont="1" applyFill="1"/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right"/>
    </xf>
    <xf numFmtId="0" fontId="16" fillId="33" borderId="24" xfId="0" applyFont="1" applyFill="1" applyBorder="1" applyAlignment="1">
      <alignment vertical="center"/>
    </xf>
    <xf numFmtId="0" fontId="16" fillId="33" borderId="13" xfId="0" applyFont="1" applyFill="1" applyBorder="1" applyAlignment="1">
      <alignment vertical="center"/>
    </xf>
    <xf numFmtId="0" fontId="16" fillId="33" borderId="25" xfId="0" applyFont="1" applyFill="1" applyBorder="1" applyAlignment="1">
      <alignment vertical="center"/>
    </xf>
    <xf numFmtId="0" fontId="16" fillId="0" borderId="14" xfId="0" applyFont="1" applyFill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1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34" borderId="11" xfId="0" applyFont="1" applyFill="1" applyBorder="1" applyAlignment="1">
      <alignment vertical="center"/>
    </xf>
    <xf numFmtId="0" fontId="0" fillId="34" borderId="0" xfId="0" applyFont="1" applyFill="1" applyBorder="1" applyAlignment="1">
      <alignment vertical="center" wrapText="1"/>
    </xf>
    <xf numFmtId="0" fontId="0" fillId="34" borderId="0" xfId="0" applyFont="1" applyFill="1" applyBorder="1" applyAlignment="1">
      <alignment vertical="center"/>
    </xf>
    <xf numFmtId="0" fontId="0" fillId="34" borderId="12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22" fillId="0" borderId="0" xfId="0" applyFont="1" applyFill="1" applyAlignment="1">
      <alignment horizontal="right"/>
    </xf>
    <xf numFmtId="0" fontId="20" fillId="0" borderId="0" xfId="0" applyFont="1" applyFill="1" applyAlignment="1">
      <alignment horizontal="center" wrapText="1"/>
    </xf>
    <xf numFmtId="0" fontId="20" fillId="0" borderId="13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6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21" fillId="0" borderId="16" xfId="0" applyFont="1" applyFill="1" applyBorder="1" applyAlignment="1">
      <alignment horizontal="left" vertical="center" wrapText="1"/>
    </xf>
    <xf numFmtId="0" fontId="22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3"/>
  <sheetViews>
    <sheetView showGridLines="0" tabSelected="1" topLeftCell="A23" zoomScaleNormal="100" workbookViewId="0">
      <selection activeCell="G35" sqref="G35"/>
    </sheetView>
  </sheetViews>
  <sheetFormatPr defaultColWidth="9.140625" defaultRowHeight="15" x14ac:dyDescent="0.25"/>
  <cols>
    <col min="1" max="1" width="3.7109375" style="2" customWidth="1"/>
    <col min="2" max="2" width="15.7109375" style="2" bestFit="1" customWidth="1"/>
    <col min="3" max="16" width="4.7109375" style="2" customWidth="1"/>
    <col min="17" max="17" width="6" style="2" bestFit="1" customWidth="1"/>
    <col min="18" max="18" width="3.5703125" style="2" customWidth="1"/>
    <col min="19" max="19" width="15.7109375" style="2" bestFit="1" customWidth="1"/>
    <col min="20" max="20" width="4.85546875" style="2" customWidth="1"/>
    <col min="21" max="22" width="5" style="2" bestFit="1" customWidth="1"/>
    <col min="23" max="24" width="4" style="2" bestFit="1" customWidth="1"/>
    <col min="25" max="25" width="5" style="2" bestFit="1" customWidth="1"/>
    <col min="26" max="26" width="3.5703125" style="2" customWidth="1"/>
    <col min="27" max="27" width="3" style="2" bestFit="1" customWidth="1"/>
    <col min="28" max="28" width="4" style="2" bestFit="1" customWidth="1"/>
    <col min="29" max="29" width="4.7109375" style="2" customWidth="1"/>
    <col min="30" max="32" width="4.85546875" style="2" customWidth="1"/>
    <col min="33" max="34" width="6" style="2" bestFit="1" customWidth="1"/>
    <col min="35" max="16384" width="9.140625" style="2"/>
  </cols>
  <sheetData>
    <row r="1" spans="1:34" ht="15" customHeight="1" x14ac:dyDescent="0.25">
      <c r="A1" s="32" t="s">
        <v>60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 t="s">
        <v>61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26.25" customHeight="1" x14ac:dyDescent="0.25">
      <c r="A2" s="33" t="s">
        <v>67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 t="s">
        <v>68</v>
      </c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 ht="13.5" customHeight="1" x14ac:dyDescent="0.25">
      <c r="A3" s="37" t="s">
        <v>20</v>
      </c>
      <c r="B3" s="37" t="s">
        <v>56</v>
      </c>
      <c r="C3" s="45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34" t="s">
        <v>20</v>
      </c>
      <c r="S3" s="34" t="s">
        <v>56</v>
      </c>
      <c r="T3" s="46" t="s">
        <v>3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48"/>
      <c r="AF3" s="37" t="s">
        <v>5</v>
      </c>
      <c r="AG3" s="37"/>
      <c r="AH3" s="37"/>
    </row>
    <row r="4" spans="1:34" s="3" customFormat="1" ht="22.5" customHeight="1" x14ac:dyDescent="0.25">
      <c r="A4" s="37"/>
      <c r="B4" s="37"/>
      <c r="C4" s="37" t="s">
        <v>11</v>
      </c>
      <c r="D4" s="37"/>
      <c r="E4" s="37"/>
      <c r="F4" s="37" t="s">
        <v>12</v>
      </c>
      <c r="G4" s="37"/>
      <c r="H4" s="37"/>
      <c r="I4" s="37" t="s">
        <v>13</v>
      </c>
      <c r="J4" s="37"/>
      <c r="K4" s="37"/>
      <c r="L4" s="37" t="s">
        <v>14</v>
      </c>
      <c r="M4" s="37"/>
      <c r="N4" s="37"/>
      <c r="O4" s="37" t="s">
        <v>2</v>
      </c>
      <c r="P4" s="37"/>
      <c r="Q4" s="37"/>
      <c r="R4" s="35"/>
      <c r="S4" s="35"/>
      <c r="T4" s="38" t="s">
        <v>15</v>
      </c>
      <c r="U4" s="39"/>
      <c r="V4" s="40"/>
      <c r="W4" s="41" t="s">
        <v>16</v>
      </c>
      <c r="X4" s="42"/>
      <c r="Y4" s="43"/>
      <c r="Z4" s="44" t="s">
        <v>17</v>
      </c>
      <c r="AA4" s="44"/>
      <c r="AB4" s="44"/>
      <c r="AC4" s="44" t="s">
        <v>4</v>
      </c>
      <c r="AD4" s="44"/>
      <c r="AE4" s="44"/>
      <c r="AF4" s="37"/>
      <c r="AG4" s="37"/>
      <c r="AH4" s="37"/>
    </row>
    <row r="5" spans="1:34" s="3" customFormat="1" ht="13.5" customHeight="1" x14ac:dyDescent="0.25">
      <c r="A5" s="37"/>
      <c r="B5" s="37"/>
      <c r="C5" s="11" t="s">
        <v>18</v>
      </c>
      <c r="D5" s="11" t="s">
        <v>19</v>
      </c>
      <c r="E5" s="11" t="s">
        <v>0</v>
      </c>
      <c r="F5" s="11" t="s">
        <v>18</v>
      </c>
      <c r="G5" s="11" t="s">
        <v>19</v>
      </c>
      <c r="H5" s="11" t="s">
        <v>0</v>
      </c>
      <c r="I5" s="11" t="s">
        <v>18</v>
      </c>
      <c r="J5" s="11" t="s">
        <v>19</v>
      </c>
      <c r="K5" s="11" t="s">
        <v>0</v>
      </c>
      <c r="L5" s="11" t="s">
        <v>18</v>
      </c>
      <c r="M5" s="11" t="s">
        <v>19</v>
      </c>
      <c r="N5" s="11" t="s">
        <v>0</v>
      </c>
      <c r="O5" s="11" t="s">
        <v>18</v>
      </c>
      <c r="P5" s="11" t="s">
        <v>19</v>
      </c>
      <c r="Q5" s="11" t="s">
        <v>0</v>
      </c>
      <c r="R5" s="35"/>
      <c r="S5" s="35"/>
      <c r="T5" s="11" t="s">
        <v>18</v>
      </c>
      <c r="U5" s="11" t="s">
        <v>19</v>
      </c>
      <c r="V5" s="11" t="s">
        <v>0</v>
      </c>
      <c r="W5" s="11" t="s">
        <v>18</v>
      </c>
      <c r="X5" s="11" t="s">
        <v>19</v>
      </c>
      <c r="Y5" s="11" t="s">
        <v>0</v>
      </c>
      <c r="Z5" s="11" t="s">
        <v>18</v>
      </c>
      <c r="AA5" s="11" t="s">
        <v>19</v>
      </c>
      <c r="AB5" s="11" t="s">
        <v>0</v>
      </c>
      <c r="AC5" s="11" t="s">
        <v>18</v>
      </c>
      <c r="AD5" s="11" t="s">
        <v>19</v>
      </c>
      <c r="AE5" s="11" t="s">
        <v>0</v>
      </c>
      <c r="AF5" s="11" t="s">
        <v>18</v>
      </c>
      <c r="AG5" s="11" t="s">
        <v>19</v>
      </c>
      <c r="AH5" s="11" t="s">
        <v>0</v>
      </c>
    </row>
    <row r="6" spans="1:34" s="3" customFormat="1" ht="12.75" customHeight="1" x14ac:dyDescent="0.25">
      <c r="A6" s="12">
        <v>1</v>
      </c>
      <c r="B6" s="12">
        <v>2</v>
      </c>
      <c r="C6" s="12">
        <v>3</v>
      </c>
      <c r="D6" s="12">
        <v>4</v>
      </c>
      <c r="E6" s="12">
        <v>5</v>
      </c>
      <c r="F6" s="12">
        <v>6</v>
      </c>
      <c r="G6" s="12">
        <v>7</v>
      </c>
      <c r="H6" s="12">
        <v>8</v>
      </c>
      <c r="I6" s="12">
        <v>9</v>
      </c>
      <c r="J6" s="12">
        <v>10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36"/>
      <c r="S6" s="36"/>
      <c r="T6" s="12">
        <v>18</v>
      </c>
      <c r="U6" s="12">
        <v>19</v>
      </c>
      <c r="V6" s="12">
        <v>20</v>
      </c>
      <c r="W6" s="12">
        <v>21</v>
      </c>
      <c r="X6" s="12">
        <v>22</v>
      </c>
      <c r="Y6" s="12">
        <v>23</v>
      </c>
      <c r="Z6" s="12">
        <v>24</v>
      </c>
      <c r="AA6" s="12">
        <v>25</v>
      </c>
      <c r="AB6" s="12">
        <v>26</v>
      </c>
      <c r="AC6" s="12">
        <v>27</v>
      </c>
      <c r="AD6" s="12">
        <v>28</v>
      </c>
      <c r="AE6" s="12">
        <v>29</v>
      </c>
      <c r="AF6" s="12">
        <v>30</v>
      </c>
      <c r="AG6" s="12">
        <v>31</v>
      </c>
      <c r="AH6" s="12">
        <v>32</v>
      </c>
    </row>
    <row r="7" spans="1:34" s="3" customFormat="1" ht="30" customHeight="1" x14ac:dyDescent="0.25">
      <c r="A7" s="18" t="s">
        <v>21</v>
      </c>
      <c r="B7" s="19" t="s">
        <v>22</v>
      </c>
      <c r="C7" s="20">
        <v>4</v>
      </c>
      <c r="D7" s="20">
        <v>3</v>
      </c>
      <c r="E7" s="20">
        <v>7</v>
      </c>
      <c r="F7" s="20">
        <v>11</v>
      </c>
      <c r="G7" s="21">
        <v>9</v>
      </c>
      <c r="H7" s="21">
        <v>20</v>
      </c>
      <c r="I7" s="20">
        <v>43</v>
      </c>
      <c r="J7" s="20">
        <v>66</v>
      </c>
      <c r="K7" s="20">
        <v>109</v>
      </c>
      <c r="L7" s="21">
        <v>26</v>
      </c>
      <c r="M7" s="21">
        <v>59</v>
      </c>
      <c r="N7" s="22">
        <v>85</v>
      </c>
      <c r="O7" s="20">
        <v>84</v>
      </c>
      <c r="P7" s="20">
        <v>137</v>
      </c>
      <c r="Q7" s="23">
        <v>221</v>
      </c>
      <c r="R7" s="18" t="s">
        <v>21</v>
      </c>
      <c r="S7" s="19" t="s">
        <v>22</v>
      </c>
      <c r="T7" s="20">
        <v>19</v>
      </c>
      <c r="U7" s="20">
        <v>10</v>
      </c>
      <c r="V7" s="20">
        <v>29</v>
      </c>
      <c r="W7" s="20">
        <v>23</v>
      </c>
      <c r="X7" s="21">
        <v>5</v>
      </c>
      <c r="Y7" s="21">
        <v>28</v>
      </c>
      <c r="Z7" s="20">
        <v>1</v>
      </c>
      <c r="AA7" s="20">
        <v>0</v>
      </c>
      <c r="AB7" s="22">
        <v>1</v>
      </c>
      <c r="AC7" s="21">
        <v>43</v>
      </c>
      <c r="AD7" s="21">
        <v>15</v>
      </c>
      <c r="AE7" s="22">
        <v>58</v>
      </c>
      <c r="AF7" s="20">
        <v>127</v>
      </c>
      <c r="AG7" s="20">
        <v>152</v>
      </c>
      <c r="AH7" s="23">
        <v>279</v>
      </c>
    </row>
    <row r="8" spans="1:34" s="3" customFormat="1" ht="30" customHeight="1" x14ac:dyDescent="0.25">
      <c r="A8" s="24" t="s">
        <v>23</v>
      </c>
      <c r="B8" s="25" t="s">
        <v>24</v>
      </c>
      <c r="C8" s="26">
        <v>5</v>
      </c>
      <c r="D8" s="26">
        <v>5</v>
      </c>
      <c r="E8" s="26">
        <v>10</v>
      </c>
      <c r="F8" s="26">
        <v>58</v>
      </c>
      <c r="G8" s="26">
        <v>32</v>
      </c>
      <c r="H8" s="26">
        <v>90</v>
      </c>
      <c r="I8" s="26">
        <v>217</v>
      </c>
      <c r="J8" s="26">
        <v>311</v>
      </c>
      <c r="K8" s="26">
        <v>528</v>
      </c>
      <c r="L8" s="26">
        <v>88</v>
      </c>
      <c r="M8" s="26">
        <v>318</v>
      </c>
      <c r="N8" s="27">
        <v>406</v>
      </c>
      <c r="O8" s="26">
        <v>368</v>
      </c>
      <c r="P8" s="26">
        <v>666</v>
      </c>
      <c r="Q8" s="27">
        <v>1034</v>
      </c>
      <c r="R8" s="24" t="s">
        <v>23</v>
      </c>
      <c r="S8" s="25" t="s">
        <v>24</v>
      </c>
      <c r="T8" s="26">
        <v>38</v>
      </c>
      <c r="U8" s="26">
        <v>15</v>
      </c>
      <c r="V8" s="26">
        <v>53</v>
      </c>
      <c r="W8" s="26">
        <v>54</v>
      </c>
      <c r="X8" s="26">
        <v>7</v>
      </c>
      <c r="Y8" s="26">
        <v>61</v>
      </c>
      <c r="Z8" s="26">
        <v>1</v>
      </c>
      <c r="AA8" s="26">
        <v>0</v>
      </c>
      <c r="AB8" s="27">
        <v>1</v>
      </c>
      <c r="AC8" s="26">
        <v>93</v>
      </c>
      <c r="AD8" s="26">
        <v>22</v>
      </c>
      <c r="AE8" s="27">
        <v>115</v>
      </c>
      <c r="AF8" s="26">
        <v>461</v>
      </c>
      <c r="AG8" s="26">
        <v>688</v>
      </c>
      <c r="AH8" s="27">
        <v>1149</v>
      </c>
    </row>
    <row r="9" spans="1:34" s="3" customFormat="1" ht="30" customHeight="1" x14ac:dyDescent="0.25">
      <c r="A9" s="28" t="s">
        <v>25</v>
      </c>
      <c r="B9" s="29" t="s">
        <v>26</v>
      </c>
      <c r="C9" s="20">
        <v>2</v>
      </c>
      <c r="D9" s="20">
        <v>3</v>
      </c>
      <c r="E9" s="20">
        <v>5</v>
      </c>
      <c r="F9" s="20">
        <v>2</v>
      </c>
      <c r="G9" s="20">
        <v>1</v>
      </c>
      <c r="H9" s="20">
        <v>3</v>
      </c>
      <c r="I9" s="20">
        <v>1</v>
      </c>
      <c r="J9" s="20">
        <v>6</v>
      </c>
      <c r="K9" s="20">
        <v>7</v>
      </c>
      <c r="L9" s="20">
        <v>0</v>
      </c>
      <c r="M9" s="20">
        <v>8</v>
      </c>
      <c r="N9" s="23">
        <v>8</v>
      </c>
      <c r="O9" s="20">
        <v>5</v>
      </c>
      <c r="P9" s="20">
        <v>18</v>
      </c>
      <c r="Q9" s="23">
        <v>23</v>
      </c>
      <c r="R9" s="28" t="s">
        <v>25</v>
      </c>
      <c r="S9" s="29" t="s">
        <v>26</v>
      </c>
      <c r="T9" s="20">
        <v>13</v>
      </c>
      <c r="U9" s="20">
        <v>7</v>
      </c>
      <c r="V9" s="20">
        <v>20</v>
      </c>
      <c r="W9" s="20">
        <v>12</v>
      </c>
      <c r="X9" s="20">
        <v>2</v>
      </c>
      <c r="Y9" s="20">
        <v>14</v>
      </c>
      <c r="Z9" s="20">
        <v>0</v>
      </c>
      <c r="AA9" s="20">
        <v>0</v>
      </c>
      <c r="AB9" s="23">
        <v>0</v>
      </c>
      <c r="AC9" s="20">
        <v>25</v>
      </c>
      <c r="AD9" s="20">
        <v>9</v>
      </c>
      <c r="AE9" s="23">
        <v>34</v>
      </c>
      <c r="AF9" s="20">
        <v>30</v>
      </c>
      <c r="AG9" s="20">
        <v>27</v>
      </c>
      <c r="AH9" s="23">
        <v>57</v>
      </c>
    </row>
    <row r="10" spans="1:34" s="3" customFormat="1" ht="30" customHeight="1" x14ac:dyDescent="0.25">
      <c r="A10" s="24" t="s">
        <v>27</v>
      </c>
      <c r="B10" s="25" t="s">
        <v>28</v>
      </c>
      <c r="C10" s="26">
        <v>0</v>
      </c>
      <c r="D10" s="26">
        <v>0</v>
      </c>
      <c r="E10" s="26">
        <v>0</v>
      </c>
      <c r="F10" s="26">
        <v>0</v>
      </c>
      <c r="G10" s="26">
        <v>1</v>
      </c>
      <c r="H10" s="26">
        <v>1</v>
      </c>
      <c r="I10" s="26">
        <v>0</v>
      </c>
      <c r="J10" s="26">
        <v>0</v>
      </c>
      <c r="K10" s="26">
        <v>0</v>
      </c>
      <c r="L10" s="26">
        <v>0</v>
      </c>
      <c r="M10" s="26">
        <v>1</v>
      </c>
      <c r="N10" s="27">
        <v>1</v>
      </c>
      <c r="O10" s="26">
        <v>0</v>
      </c>
      <c r="P10" s="26">
        <v>2</v>
      </c>
      <c r="Q10" s="27">
        <v>2</v>
      </c>
      <c r="R10" s="24" t="s">
        <v>27</v>
      </c>
      <c r="S10" s="25" t="s">
        <v>28</v>
      </c>
      <c r="T10" s="26">
        <v>1</v>
      </c>
      <c r="U10" s="26">
        <v>2</v>
      </c>
      <c r="V10" s="26">
        <v>3</v>
      </c>
      <c r="W10" s="26">
        <v>2</v>
      </c>
      <c r="X10" s="26">
        <v>3</v>
      </c>
      <c r="Y10" s="26">
        <v>5</v>
      </c>
      <c r="Z10" s="26">
        <v>0</v>
      </c>
      <c r="AA10" s="26">
        <v>0</v>
      </c>
      <c r="AB10" s="27">
        <v>0</v>
      </c>
      <c r="AC10" s="26">
        <v>3</v>
      </c>
      <c r="AD10" s="26">
        <v>5</v>
      </c>
      <c r="AE10" s="27">
        <v>8</v>
      </c>
      <c r="AF10" s="26">
        <v>3</v>
      </c>
      <c r="AG10" s="26">
        <v>7</v>
      </c>
      <c r="AH10" s="27">
        <v>10</v>
      </c>
    </row>
    <row r="11" spans="1:34" s="3" customFormat="1" ht="30" customHeight="1" x14ac:dyDescent="0.25">
      <c r="A11" s="28" t="s">
        <v>29</v>
      </c>
      <c r="B11" s="20" t="s">
        <v>30</v>
      </c>
      <c r="C11" s="20">
        <v>66</v>
      </c>
      <c r="D11" s="20">
        <v>63</v>
      </c>
      <c r="E11" s="20">
        <v>129</v>
      </c>
      <c r="F11" s="20">
        <v>437</v>
      </c>
      <c r="G11" s="20">
        <v>247</v>
      </c>
      <c r="H11" s="20">
        <v>684</v>
      </c>
      <c r="I11" s="20">
        <v>847</v>
      </c>
      <c r="J11" s="20">
        <v>1453</v>
      </c>
      <c r="K11" s="20">
        <v>2300</v>
      </c>
      <c r="L11" s="20">
        <v>512</v>
      </c>
      <c r="M11" s="20">
        <v>1341</v>
      </c>
      <c r="N11" s="23">
        <v>1853</v>
      </c>
      <c r="O11" s="20">
        <v>1862</v>
      </c>
      <c r="P11" s="20">
        <v>3104</v>
      </c>
      <c r="Q11" s="23">
        <v>4966</v>
      </c>
      <c r="R11" s="28" t="s">
        <v>29</v>
      </c>
      <c r="S11" s="20" t="s">
        <v>30</v>
      </c>
      <c r="T11" s="20">
        <v>95</v>
      </c>
      <c r="U11" s="20">
        <v>174</v>
      </c>
      <c r="V11" s="20">
        <v>269</v>
      </c>
      <c r="W11" s="20">
        <v>48</v>
      </c>
      <c r="X11" s="20">
        <v>37</v>
      </c>
      <c r="Y11" s="20">
        <v>85</v>
      </c>
      <c r="Z11" s="20">
        <v>2</v>
      </c>
      <c r="AA11" s="20">
        <v>1</v>
      </c>
      <c r="AB11" s="23">
        <v>3</v>
      </c>
      <c r="AC11" s="20">
        <v>145</v>
      </c>
      <c r="AD11" s="20">
        <v>212</v>
      </c>
      <c r="AE11" s="23">
        <v>357</v>
      </c>
      <c r="AF11" s="20">
        <v>2007</v>
      </c>
      <c r="AG11" s="20">
        <v>3316</v>
      </c>
      <c r="AH11" s="23">
        <v>5323</v>
      </c>
    </row>
    <row r="12" spans="1:34" s="3" customFormat="1" ht="30" customHeight="1" x14ac:dyDescent="0.25">
      <c r="A12" s="24" t="s">
        <v>31</v>
      </c>
      <c r="B12" s="25" t="s">
        <v>32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15</v>
      </c>
      <c r="J12" s="26">
        <v>7</v>
      </c>
      <c r="K12" s="26">
        <v>22</v>
      </c>
      <c r="L12" s="26">
        <v>0</v>
      </c>
      <c r="M12" s="26">
        <v>0</v>
      </c>
      <c r="N12" s="27">
        <v>0</v>
      </c>
      <c r="O12" s="26">
        <v>15</v>
      </c>
      <c r="P12" s="26">
        <v>7</v>
      </c>
      <c r="Q12" s="27">
        <v>22</v>
      </c>
      <c r="R12" s="24" t="s">
        <v>31</v>
      </c>
      <c r="S12" s="25" t="s">
        <v>32</v>
      </c>
      <c r="T12" s="26">
        <v>170</v>
      </c>
      <c r="U12" s="26">
        <v>355</v>
      </c>
      <c r="V12" s="26">
        <v>525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7">
        <v>0</v>
      </c>
      <c r="AC12" s="26">
        <v>170</v>
      </c>
      <c r="AD12" s="26">
        <v>355</v>
      </c>
      <c r="AE12" s="27">
        <v>525</v>
      </c>
      <c r="AF12" s="26">
        <v>185</v>
      </c>
      <c r="AG12" s="26">
        <v>362</v>
      </c>
      <c r="AH12" s="27">
        <v>547</v>
      </c>
    </row>
    <row r="13" spans="1:34" s="3" customFormat="1" ht="30" customHeight="1" x14ac:dyDescent="0.25">
      <c r="A13" s="28" t="s">
        <v>33</v>
      </c>
      <c r="B13" s="29" t="s">
        <v>34</v>
      </c>
      <c r="C13" s="20">
        <v>0</v>
      </c>
      <c r="D13" s="20">
        <v>4</v>
      </c>
      <c r="E13" s="20">
        <v>4</v>
      </c>
      <c r="F13" s="20">
        <v>10</v>
      </c>
      <c r="G13" s="20">
        <v>14</v>
      </c>
      <c r="H13" s="20">
        <v>24</v>
      </c>
      <c r="I13" s="20">
        <v>16</v>
      </c>
      <c r="J13" s="20">
        <v>83</v>
      </c>
      <c r="K13" s="20">
        <v>99</v>
      </c>
      <c r="L13" s="20">
        <v>65</v>
      </c>
      <c r="M13" s="20">
        <v>0</v>
      </c>
      <c r="N13" s="23">
        <v>65</v>
      </c>
      <c r="O13" s="20">
        <v>91</v>
      </c>
      <c r="P13" s="20">
        <v>101</v>
      </c>
      <c r="Q13" s="23">
        <v>192</v>
      </c>
      <c r="R13" s="28" t="s">
        <v>33</v>
      </c>
      <c r="S13" s="29" t="s">
        <v>34</v>
      </c>
      <c r="T13" s="20">
        <v>3</v>
      </c>
      <c r="U13" s="20">
        <v>5</v>
      </c>
      <c r="V13" s="20">
        <v>8</v>
      </c>
      <c r="W13" s="20">
        <v>181</v>
      </c>
      <c r="X13" s="20">
        <v>30</v>
      </c>
      <c r="Y13" s="20">
        <v>211</v>
      </c>
      <c r="Z13" s="20">
        <v>0</v>
      </c>
      <c r="AA13" s="20">
        <v>0</v>
      </c>
      <c r="AB13" s="23">
        <v>0</v>
      </c>
      <c r="AC13" s="20">
        <v>184</v>
      </c>
      <c r="AD13" s="20">
        <v>35</v>
      </c>
      <c r="AE13" s="23">
        <v>219</v>
      </c>
      <c r="AF13" s="20">
        <v>275</v>
      </c>
      <c r="AG13" s="20">
        <v>136</v>
      </c>
      <c r="AH13" s="23">
        <v>411</v>
      </c>
    </row>
    <row r="14" spans="1:34" s="3" customFormat="1" ht="30" customHeight="1" x14ac:dyDescent="0.25">
      <c r="A14" s="24" t="s">
        <v>35</v>
      </c>
      <c r="B14" s="25" t="s">
        <v>36</v>
      </c>
      <c r="C14" s="26">
        <v>3</v>
      </c>
      <c r="D14" s="26">
        <v>4</v>
      </c>
      <c r="E14" s="26">
        <v>7</v>
      </c>
      <c r="F14" s="26">
        <v>36</v>
      </c>
      <c r="G14" s="26">
        <v>20</v>
      </c>
      <c r="H14" s="26">
        <v>56</v>
      </c>
      <c r="I14" s="26">
        <v>87</v>
      </c>
      <c r="J14" s="26">
        <v>148</v>
      </c>
      <c r="K14" s="26">
        <v>235</v>
      </c>
      <c r="L14" s="26">
        <v>65</v>
      </c>
      <c r="M14" s="26">
        <v>183</v>
      </c>
      <c r="N14" s="27">
        <v>248</v>
      </c>
      <c r="O14" s="26">
        <v>191</v>
      </c>
      <c r="P14" s="26">
        <v>355</v>
      </c>
      <c r="Q14" s="27">
        <v>546</v>
      </c>
      <c r="R14" s="24" t="s">
        <v>35</v>
      </c>
      <c r="S14" s="25" t="s">
        <v>36</v>
      </c>
      <c r="T14" s="26">
        <v>2</v>
      </c>
      <c r="U14" s="26">
        <v>5</v>
      </c>
      <c r="V14" s="26">
        <v>7</v>
      </c>
      <c r="W14" s="26">
        <v>3</v>
      </c>
      <c r="X14" s="26">
        <v>1</v>
      </c>
      <c r="Y14" s="26">
        <v>4</v>
      </c>
      <c r="Z14" s="26">
        <v>1</v>
      </c>
      <c r="AA14" s="26">
        <v>0</v>
      </c>
      <c r="AB14" s="27">
        <v>1</v>
      </c>
      <c r="AC14" s="26">
        <v>6</v>
      </c>
      <c r="AD14" s="26">
        <v>6</v>
      </c>
      <c r="AE14" s="27">
        <v>12</v>
      </c>
      <c r="AF14" s="26">
        <v>197</v>
      </c>
      <c r="AG14" s="26">
        <v>361</v>
      </c>
      <c r="AH14" s="27">
        <v>558</v>
      </c>
    </row>
    <row r="15" spans="1:34" s="3" customFormat="1" ht="30" customHeight="1" x14ac:dyDescent="0.25">
      <c r="A15" s="28" t="s">
        <v>37</v>
      </c>
      <c r="B15" s="29" t="s">
        <v>38</v>
      </c>
      <c r="C15" s="20">
        <v>2</v>
      </c>
      <c r="D15" s="20">
        <v>2</v>
      </c>
      <c r="E15" s="20">
        <v>4</v>
      </c>
      <c r="F15" s="20">
        <v>8</v>
      </c>
      <c r="G15" s="20">
        <v>8</v>
      </c>
      <c r="H15" s="20">
        <v>16</v>
      </c>
      <c r="I15" s="20">
        <v>62</v>
      </c>
      <c r="J15" s="20">
        <v>95</v>
      </c>
      <c r="K15" s="20">
        <v>157</v>
      </c>
      <c r="L15" s="20">
        <v>69</v>
      </c>
      <c r="M15" s="20">
        <v>134</v>
      </c>
      <c r="N15" s="23">
        <v>203</v>
      </c>
      <c r="O15" s="20">
        <v>141</v>
      </c>
      <c r="P15" s="20">
        <v>239</v>
      </c>
      <c r="Q15" s="23">
        <v>380</v>
      </c>
      <c r="R15" s="28" t="s">
        <v>37</v>
      </c>
      <c r="S15" s="29" t="s">
        <v>38</v>
      </c>
      <c r="T15" s="20">
        <v>56</v>
      </c>
      <c r="U15" s="20">
        <v>83</v>
      </c>
      <c r="V15" s="20">
        <v>139</v>
      </c>
      <c r="W15" s="20">
        <v>12</v>
      </c>
      <c r="X15" s="20">
        <v>17</v>
      </c>
      <c r="Y15" s="20">
        <v>29</v>
      </c>
      <c r="Z15" s="20">
        <v>0</v>
      </c>
      <c r="AA15" s="20">
        <v>0</v>
      </c>
      <c r="AB15" s="23">
        <v>0</v>
      </c>
      <c r="AC15" s="20">
        <v>68</v>
      </c>
      <c r="AD15" s="20">
        <v>100</v>
      </c>
      <c r="AE15" s="23">
        <v>168</v>
      </c>
      <c r="AF15" s="20">
        <v>209</v>
      </c>
      <c r="AG15" s="20">
        <v>339</v>
      </c>
      <c r="AH15" s="23">
        <v>548</v>
      </c>
    </row>
    <row r="16" spans="1:34" s="3" customFormat="1" ht="30" customHeight="1" x14ac:dyDescent="0.25">
      <c r="A16" s="24" t="s">
        <v>39</v>
      </c>
      <c r="B16" s="25" t="s">
        <v>40</v>
      </c>
      <c r="C16" s="26">
        <v>0</v>
      </c>
      <c r="D16" s="26">
        <v>0</v>
      </c>
      <c r="E16" s="26">
        <v>0</v>
      </c>
      <c r="F16" s="26">
        <v>14</v>
      </c>
      <c r="G16" s="26">
        <v>25</v>
      </c>
      <c r="H16" s="26">
        <v>39</v>
      </c>
      <c r="I16" s="26">
        <v>49</v>
      </c>
      <c r="J16" s="26">
        <v>17</v>
      </c>
      <c r="K16" s="26">
        <v>66</v>
      </c>
      <c r="L16" s="26">
        <v>51</v>
      </c>
      <c r="M16" s="26">
        <v>10</v>
      </c>
      <c r="N16" s="27">
        <v>61</v>
      </c>
      <c r="O16" s="26">
        <v>114</v>
      </c>
      <c r="P16" s="26">
        <v>52</v>
      </c>
      <c r="Q16" s="27">
        <v>166</v>
      </c>
      <c r="R16" s="24" t="s">
        <v>39</v>
      </c>
      <c r="S16" s="25" t="s">
        <v>40</v>
      </c>
      <c r="T16" s="26">
        <v>24</v>
      </c>
      <c r="U16" s="26">
        <v>51</v>
      </c>
      <c r="V16" s="26">
        <v>75</v>
      </c>
      <c r="W16" s="26">
        <v>0</v>
      </c>
      <c r="X16" s="26">
        <v>300</v>
      </c>
      <c r="Y16" s="26">
        <v>300</v>
      </c>
      <c r="Z16" s="26">
        <v>0</v>
      </c>
      <c r="AA16" s="26">
        <v>0</v>
      </c>
      <c r="AB16" s="27">
        <v>0</v>
      </c>
      <c r="AC16" s="26">
        <v>24</v>
      </c>
      <c r="AD16" s="26">
        <v>351</v>
      </c>
      <c r="AE16" s="27">
        <v>375</v>
      </c>
      <c r="AF16" s="26">
        <v>138</v>
      </c>
      <c r="AG16" s="26">
        <v>403</v>
      </c>
      <c r="AH16" s="27">
        <v>541</v>
      </c>
    </row>
    <row r="17" spans="1:34" s="3" customFormat="1" ht="30" customHeight="1" x14ac:dyDescent="0.25">
      <c r="A17" s="28" t="s">
        <v>41</v>
      </c>
      <c r="B17" s="29" t="s">
        <v>42</v>
      </c>
      <c r="C17" s="20">
        <v>0</v>
      </c>
      <c r="D17" s="20">
        <v>0</v>
      </c>
      <c r="E17" s="20">
        <v>0</v>
      </c>
      <c r="F17" s="20">
        <v>0</v>
      </c>
      <c r="G17" s="20">
        <v>1</v>
      </c>
      <c r="H17" s="20">
        <v>1</v>
      </c>
      <c r="I17" s="20">
        <v>1</v>
      </c>
      <c r="J17" s="20">
        <v>2</v>
      </c>
      <c r="K17" s="20">
        <v>3</v>
      </c>
      <c r="L17" s="20">
        <v>0</v>
      </c>
      <c r="M17" s="20">
        <v>3</v>
      </c>
      <c r="N17" s="23">
        <v>3</v>
      </c>
      <c r="O17" s="20">
        <v>1</v>
      </c>
      <c r="P17" s="20">
        <v>6</v>
      </c>
      <c r="Q17" s="23">
        <v>7</v>
      </c>
      <c r="R17" s="28" t="s">
        <v>41</v>
      </c>
      <c r="S17" s="29" t="s">
        <v>42</v>
      </c>
      <c r="T17" s="20">
        <v>0</v>
      </c>
      <c r="U17" s="20">
        <v>2</v>
      </c>
      <c r="V17" s="20">
        <v>2</v>
      </c>
      <c r="W17" s="20">
        <v>3</v>
      </c>
      <c r="X17" s="20">
        <v>0</v>
      </c>
      <c r="Y17" s="20">
        <v>3</v>
      </c>
      <c r="Z17" s="20">
        <v>0</v>
      </c>
      <c r="AA17" s="20">
        <v>0</v>
      </c>
      <c r="AB17" s="23">
        <v>0</v>
      </c>
      <c r="AC17" s="20">
        <v>3</v>
      </c>
      <c r="AD17" s="20">
        <v>2</v>
      </c>
      <c r="AE17" s="23">
        <v>5</v>
      </c>
      <c r="AF17" s="20">
        <v>4</v>
      </c>
      <c r="AG17" s="20">
        <v>8</v>
      </c>
      <c r="AH17" s="23">
        <v>12</v>
      </c>
    </row>
    <row r="18" spans="1:34" s="3" customFormat="1" ht="30" customHeight="1" x14ac:dyDescent="0.25">
      <c r="A18" s="24" t="s">
        <v>43</v>
      </c>
      <c r="B18" s="25" t="s">
        <v>44</v>
      </c>
      <c r="C18" s="26">
        <v>6</v>
      </c>
      <c r="D18" s="26">
        <v>14</v>
      </c>
      <c r="E18" s="26">
        <v>20</v>
      </c>
      <c r="F18" s="26">
        <v>30</v>
      </c>
      <c r="G18" s="26">
        <v>32</v>
      </c>
      <c r="H18" s="26">
        <v>62</v>
      </c>
      <c r="I18" s="26">
        <v>20</v>
      </c>
      <c r="J18" s="26">
        <v>120</v>
      </c>
      <c r="K18" s="26">
        <v>140</v>
      </c>
      <c r="L18" s="26">
        <v>7</v>
      </c>
      <c r="M18" s="26">
        <v>99</v>
      </c>
      <c r="N18" s="27">
        <v>106</v>
      </c>
      <c r="O18" s="26">
        <v>63</v>
      </c>
      <c r="P18" s="26">
        <v>265</v>
      </c>
      <c r="Q18" s="27">
        <v>328</v>
      </c>
      <c r="R18" s="24" t="s">
        <v>43</v>
      </c>
      <c r="S18" s="25" t="s">
        <v>44</v>
      </c>
      <c r="T18" s="26">
        <v>14</v>
      </c>
      <c r="U18" s="26">
        <v>8</v>
      </c>
      <c r="V18" s="26">
        <v>22</v>
      </c>
      <c r="W18" s="26">
        <v>11</v>
      </c>
      <c r="X18" s="26">
        <v>37</v>
      </c>
      <c r="Y18" s="26">
        <v>48</v>
      </c>
      <c r="Z18" s="26">
        <v>0</v>
      </c>
      <c r="AA18" s="26">
        <v>0</v>
      </c>
      <c r="AB18" s="27">
        <v>0</v>
      </c>
      <c r="AC18" s="26">
        <v>25</v>
      </c>
      <c r="AD18" s="26">
        <v>45</v>
      </c>
      <c r="AE18" s="27">
        <v>70</v>
      </c>
      <c r="AF18" s="26">
        <v>88</v>
      </c>
      <c r="AG18" s="26">
        <v>310</v>
      </c>
      <c r="AH18" s="27">
        <v>398</v>
      </c>
    </row>
    <row r="19" spans="1:34" s="3" customFormat="1" ht="30" customHeight="1" x14ac:dyDescent="0.25">
      <c r="A19" s="28" t="s">
        <v>45</v>
      </c>
      <c r="B19" s="29" t="s">
        <v>46</v>
      </c>
      <c r="C19" s="20">
        <v>0</v>
      </c>
      <c r="D19" s="20">
        <v>0</v>
      </c>
      <c r="E19" s="20">
        <v>0</v>
      </c>
      <c r="F19" s="20">
        <v>0</v>
      </c>
      <c r="G19" s="20">
        <v>1</v>
      </c>
      <c r="H19" s="20">
        <v>1</v>
      </c>
      <c r="I19" s="20">
        <v>0</v>
      </c>
      <c r="J19" s="20">
        <v>4</v>
      </c>
      <c r="K19" s="20">
        <v>4</v>
      </c>
      <c r="L19" s="20">
        <v>0</v>
      </c>
      <c r="M19" s="20">
        <v>12</v>
      </c>
      <c r="N19" s="23">
        <v>12</v>
      </c>
      <c r="O19" s="20">
        <v>0</v>
      </c>
      <c r="P19" s="20">
        <v>17</v>
      </c>
      <c r="Q19" s="23">
        <v>17</v>
      </c>
      <c r="R19" s="28" t="s">
        <v>45</v>
      </c>
      <c r="S19" s="29" t="s">
        <v>46</v>
      </c>
      <c r="T19" s="20">
        <v>0</v>
      </c>
      <c r="U19" s="20">
        <v>2</v>
      </c>
      <c r="V19" s="20">
        <v>2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3">
        <v>0</v>
      </c>
      <c r="AC19" s="20">
        <v>0</v>
      </c>
      <c r="AD19" s="20">
        <v>2</v>
      </c>
      <c r="AE19" s="23">
        <v>2</v>
      </c>
      <c r="AF19" s="20">
        <v>0</v>
      </c>
      <c r="AG19" s="20">
        <v>19</v>
      </c>
      <c r="AH19" s="23">
        <v>19</v>
      </c>
    </row>
    <row r="20" spans="1:34" s="3" customFormat="1" ht="30" customHeight="1" x14ac:dyDescent="0.25">
      <c r="A20" s="24" t="s">
        <v>47</v>
      </c>
      <c r="B20" s="25" t="s">
        <v>48</v>
      </c>
      <c r="C20" s="26">
        <v>6</v>
      </c>
      <c r="D20" s="26">
        <v>11</v>
      </c>
      <c r="E20" s="26">
        <v>17</v>
      </c>
      <c r="F20" s="26">
        <v>63</v>
      </c>
      <c r="G20" s="26">
        <v>39</v>
      </c>
      <c r="H20" s="26">
        <v>102</v>
      </c>
      <c r="I20" s="26">
        <v>71</v>
      </c>
      <c r="J20" s="26">
        <v>50</v>
      </c>
      <c r="K20" s="26">
        <v>121</v>
      </c>
      <c r="L20" s="26">
        <v>44</v>
      </c>
      <c r="M20" s="26">
        <v>214</v>
      </c>
      <c r="N20" s="27">
        <v>258</v>
      </c>
      <c r="O20" s="26">
        <v>184</v>
      </c>
      <c r="P20" s="26">
        <v>314</v>
      </c>
      <c r="Q20" s="27">
        <v>498</v>
      </c>
      <c r="R20" s="24" t="s">
        <v>47</v>
      </c>
      <c r="S20" s="25" t="s">
        <v>48</v>
      </c>
      <c r="T20" s="26">
        <v>291</v>
      </c>
      <c r="U20" s="26">
        <v>279</v>
      </c>
      <c r="V20" s="26">
        <v>570</v>
      </c>
      <c r="W20" s="26">
        <v>1</v>
      </c>
      <c r="X20" s="26">
        <v>43</v>
      </c>
      <c r="Y20" s="26">
        <v>44</v>
      </c>
      <c r="Z20" s="26">
        <v>0</v>
      </c>
      <c r="AA20" s="26">
        <v>0</v>
      </c>
      <c r="AB20" s="27">
        <v>0</v>
      </c>
      <c r="AC20" s="26">
        <v>292</v>
      </c>
      <c r="AD20" s="26">
        <v>322</v>
      </c>
      <c r="AE20" s="27">
        <v>614</v>
      </c>
      <c r="AF20" s="26">
        <v>476</v>
      </c>
      <c r="AG20" s="26">
        <v>636</v>
      </c>
      <c r="AH20" s="27">
        <v>1112</v>
      </c>
    </row>
    <row r="21" spans="1:34" s="3" customFormat="1" ht="30" customHeight="1" x14ac:dyDescent="0.25">
      <c r="A21" s="28" t="s">
        <v>49</v>
      </c>
      <c r="B21" s="29" t="s">
        <v>63</v>
      </c>
      <c r="C21" s="20">
        <v>34</v>
      </c>
      <c r="D21" s="20">
        <v>25</v>
      </c>
      <c r="E21" s="20">
        <v>59</v>
      </c>
      <c r="F21" s="20">
        <v>205</v>
      </c>
      <c r="G21" s="20">
        <v>93</v>
      </c>
      <c r="H21" s="20">
        <v>298</v>
      </c>
      <c r="I21" s="20">
        <v>329</v>
      </c>
      <c r="J21" s="20">
        <v>576</v>
      </c>
      <c r="K21" s="20">
        <v>905</v>
      </c>
      <c r="L21" s="20">
        <v>239</v>
      </c>
      <c r="M21" s="20">
        <v>674</v>
      </c>
      <c r="N21" s="23">
        <v>913</v>
      </c>
      <c r="O21" s="20">
        <v>807</v>
      </c>
      <c r="P21" s="20">
        <v>1368</v>
      </c>
      <c r="Q21" s="23">
        <v>2175</v>
      </c>
      <c r="R21" s="28" t="s">
        <v>49</v>
      </c>
      <c r="S21" s="29" t="s">
        <v>63</v>
      </c>
      <c r="T21" s="20">
        <v>11</v>
      </c>
      <c r="U21" s="20">
        <v>10</v>
      </c>
      <c r="V21" s="20">
        <v>21</v>
      </c>
      <c r="W21" s="20">
        <v>17</v>
      </c>
      <c r="X21" s="20">
        <v>9</v>
      </c>
      <c r="Y21" s="20">
        <v>26</v>
      </c>
      <c r="Z21" s="20">
        <v>5</v>
      </c>
      <c r="AA21" s="20">
        <v>1</v>
      </c>
      <c r="AB21" s="23">
        <v>6</v>
      </c>
      <c r="AC21" s="20">
        <v>33</v>
      </c>
      <c r="AD21" s="20">
        <v>20</v>
      </c>
      <c r="AE21" s="23">
        <v>53</v>
      </c>
      <c r="AF21" s="20">
        <v>840</v>
      </c>
      <c r="AG21" s="20">
        <v>1388</v>
      </c>
      <c r="AH21" s="23">
        <v>2228</v>
      </c>
    </row>
    <row r="22" spans="1:34" s="3" customFormat="1" ht="30" customHeight="1" x14ac:dyDescent="0.25">
      <c r="A22" s="24" t="s">
        <v>50</v>
      </c>
      <c r="B22" s="25" t="s">
        <v>64</v>
      </c>
      <c r="C22" s="26">
        <v>4</v>
      </c>
      <c r="D22" s="26">
        <v>1</v>
      </c>
      <c r="E22" s="26">
        <v>5</v>
      </c>
      <c r="F22" s="26">
        <v>15</v>
      </c>
      <c r="G22" s="26">
        <v>9</v>
      </c>
      <c r="H22" s="26">
        <v>24</v>
      </c>
      <c r="I22" s="26">
        <v>52</v>
      </c>
      <c r="J22" s="26">
        <v>88</v>
      </c>
      <c r="K22" s="26">
        <v>140</v>
      </c>
      <c r="L22" s="26">
        <v>69</v>
      </c>
      <c r="M22" s="26">
        <v>241</v>
      </c>
      <c r="N22" s="27">
        <v>310</v>
      </c>
      <c r="O22" s="26">
        <v>140</v>
      </c>
      <c r="P22" s="26">
        <v>339</v>
      </c>
      <c r="Q22" s="27">
        <v>479</v>
      </c>
      <c r="R22" s="24" t="s">
        <v>50</v>
      </c>
      <c r="S22" s="25" t="s">
        <v>64</v>
      </c>
      <c r="T22" s="26">
        <v>5</v>
      </c>
      <c r="U22" s="26">
        <v>21</v>
      </c>
      <c r="V22" s="26">
        <v>26</v>
      </c>
      <c r="W22" s="26">
        <v>3</v>
      </c>
      <c r="X22" s="26">
        <v>0</v>
      </c>
      <c r="Y22" s="26">
        <v>3</v>
      </c>
      <c r="Z22" s="26">
        <v>0</v>
      </c>
      <c r="AA22" s="26">
        <v>0</v>
      </c>
      <c r="AB22" s="27">
        <v>0</v>
      </c>
      <c r="AC22" s="26">
        <v>8</v>
      </c>
      <c r="AD22" s="26">
        <v>21</v>
      </c>
      <c r="AE22" s="27">
        <v>29</v>
      </c>
      <c r="AF22" s="26">
        <v>148</v>
      </c>
      <c r="AG22" s="26">
        <v>360</v>
      </c>
      <c r="AH22" s="27">
        <v>508</v>
      </c>
    </row>
    <row r="23" spans="1:34" s="3" customFormat="1" ht="30" customHeight="1" x14ac:dyDescent="0.25">
      <c r="A23" s="28" t="s">
        <v>51</v>
      </c>
      <c r="B23" s="29" t="s">
        <v>52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19</v>
      </c>
      <c r="J23" s="20">
        <v>3</v>
      </c>
      <c r="K23" s="20">
        <v>22</v>
      </c>
      <c r="L23" s="20">
        <v>11</v>
      </c>
      <c r="M23" s="20">
        <v>2</v>
      </c>
      <c r="N23" s="23">
        <v>13</v>
      </c>
      <c r="O23" s="20">
        <v>30</v>
      </c>
      <c r="P23" s="20">
        <v>5</v>
      </c>
      <c r="Q23" s="23">
        <v>35</v>
      </c>
      <c r="R23" s="28" t="s">
        <v>51</v>
      </c>
      <c r="S23" s="29" t="s">
        <v>52</v>
      </c>
      <c r="T23" s="20">
        <v>209</v>
      </c>
      <c r="U23" s="20">
        <v>547</v>
      </c>
      <c r="V23" s="20">
        <v>756</v>
      </c>
      <c r="W23" s="20">
        <v>2</v>
      </c>
      <c r="X23" s="20">
        <v>13</v>
      </c>
      <c r="Y23" s="20">
        <v>15</v>
      </c>
      <c r="Z23" s="20">
        <v>0</v>
      </c>
      <c r="AA23" s="20">
        <v>0</v>
      </c>
      <c r="AB23" s="23">
        <v>0</v>
      </c>
      <c r="AC23" s="20">
        <v>211</v>
      </c>
      <c r="AD23" s="20">
        <v>560</v>
      </c>
      <c r="AE23" s="23">
        <v>771</v>
      </c>
      <c r="AF23" s="20">
        <v>241</v>
      </c>
      <c r="AG23" s="20">
        <v>565</v>
      </c>
      <c r="AH23" s="23">
        <v>806</v>
      </c>
    </row>
    <row r="24" spans="1:34" s="3" customFormat="1" ht="30" customHeight="1" x14ac:dyDescent="0.25">
      <c r="A24" s="24" t="s">
        <v>53</v>
      </c>
      <c r="B24" s="25" t="s">
        <v>65</v>
      </c>
      <c r="C24" s="26">
        <v>7</v>
      </c>
      <c r="D24" s="26">
        <v>3</v>
      </c>
      <c r="E24" s="26">
        <v>10</v>
      </c>
      <c r="F24" s="26">
        <v>19</v>
      </c>
      <c r="G24" s="26">
        <v>12</v>
      </c>
      <c r="H24" s="26">
        <v>31</v>
      </c>
      <c r="I24" s="26">
        <v>111</v>
      </c>
      <c r="J24" s="26">
        <v>205</v>
      </c>
      <c r="K24" s="26">
        <v>316</v>
      </c>
      <c r="L24" s="26">
        <v>30</v>
      </c>
      <c r="M24" s="26">
        <v>224</v>
      </c>
      <c r="N24" s="27">
        <v>254</v>
      </c>
      <c r="O24" s="26">
        <v>167</v>
      </c>
      <c r="P24" s="26">
        <v>444</v>
      </c>
      <c r="Q24" s="27">
        <v>611</v>
      </c>
      <c r="R24" s="24" t="s">
        <v>53</v>
      </c>
      <c r="S24" s="25" t="s">
        <v>65</v>
      </c>
      <c r="T24" s="26">
        <v>10</v>
      </c>
      <c r="U24" s="26">
        <v>60</v>
      </c>
      <c r="V24" s="26">
        <v>70</v>
      </c>
      <c r="W24" s="26">
        <v>8</v>
      </c>
      <c r="X24" s="26">
        <v>34</v>
      </c>
      <c r="Y24" s="26">
        <v>42</v>
      </c>
      <c r="Z24" s="26">
        <v>0</v>
      </c>
      <c r="AA24" s="26">
        <v>0</v>
      </c>
      <c r="AB24" s="27">
        <v>0</v>
      </c>
      <c r="AC24" s="26">
        <v>18</v>
      </c>
      <c r="AD24" s="26">
        <v>94</v>
      </c>
      <c r="AE24" s="27">
        <v>112</v>
      </c>
      <c r="AF24" s="26">
        <v>185</v>
      </c>
      <c r="AG24" s="26">
        <v>538</v>
      </c>
      <c r="AH24" s="27">
        <v>723</v>
      </c>
    </row>
    <row r="25" spans="1:34" s="3" customFormat="1" ht="30" customHeight="1" x14ac:dyDescent="0.25">
      <c r="A25" s="28" t="s">
        <v>54</v>
      </c>
      <c r="B25" s="29" t="s">
        <v>55</v>
      </c>
      <c r="C25" s="20">
        <v>10</v>
      </c>
      <c r="D25" s="20">
        <v>3</v>
      </c>
      <c r="E25" s="20">
        <v>13</v>
      </c>
      <c r="F25" s="20">
        <v>28</v>
      </c>
      <c r="G25" s="20">
        <v>11</v>
      </c>
      <c r="H25" s="20">
        <v>39</v>
      </c>
      <c r="I25" s="20">
        <v>83</v>
      </c>
      <c r="J25" s="20">
        <v>122</v>
      </c>
      <c r="K25" s="20">
        <v>205</v>
      </c>
      <c r="L25" s="20">
        <v>26</v>
      </c>
      <c r="M25" s="20">
        <v>61</v>
      </c>
      <c r="N25" s="23">
        <v>87</v>
      </c>
      <c r="O25" s="20">
        <v>147</v>
      </c>
      <c r="P25" s="20">
        <v>197</v>
      </c>
      <c r="Q25" s="23">
        <v>344</v>
      </c>
      <c r="R25" s="28" t="s">
        <v>54</v>
      </c>
      <c r="S25" s="29" t="s">
        <v>55</v>
      </c>
      <c r="T25" s="20">
        <v>18</v>
      </c>
      <c r="U25" s="20">
        <v>8</v>
      </c>
      <c r="V25" s="20">
        <v>26</v>
      </c>
      <c r="W25" s="20">
        <v>10</v>
      </c>
      <c r="X25" s="20">
        <v>2</v>
      </c>
      <c r="Y25" s="20">
        <v>12</v>
      </c>
      <c r="Z25" s="20">
        <v>1</v>
      </c>
      <c r="AA25" s="20">
        <v>0</v>
      </c>
      <c r="AB25" s="23">
        <v>1</v>
      </c>
      <c r="AC25" s="20">
        <v>29</v>
      </c>
      <c r="AD25" s="20">
        <v>10</v>
      </c>
      <c r="AE25" s="23">
        <v>39</v>
      </c>
      <c r="AF25" s="20">
        <v>176</v>
      </c>
      <c r="AG25" s="20">
        <v>207</v>
      </c>
      <c r="AH25" s="23">
        <v>383</v>
      </c>
    </row>
    <row r="26" spans="1:34" s="3" customFormat="1" ht="30" customHeight="1" x14ac:dyDescent="0.25">
      <c r="A26" s="14"/>
      <c r="B26" s="15" t="s">
        <v>62</v>
      </c>
      <c r="C26" s="15">
        <v>149</v>
      </c>
      <c r="D26" s="15">
        <v>141</v>
      </c>
      <c r="E26" s="15">
        <v>290</v>
      </c>
      <c r="F26" s="15">
        <v>936</v>
      </c>
      <c r="G26" s="15">
        <v>555</v>
      </c>
      <c r="H26" s="15">
        <v>1491</v>
      </c>
      <c r="I26" s="15">
        <v>2023</v>
      </c>
      <c r="J26" s="15">
        <v>3356</v>
      </c>
      <c r="K26" s="15">
        <v>5379</v>
      </c>
      <c r="L26" s="15">
        <v>1302</v>
      </c>
      <c r="M26" s="15">
        <v>3584</v>
      </c>
      <c r="N26" s="16">
        <v>4886</v>
      </c>
      <c r="O26" s="15">
        <v>4410</v>
      </c>
      <c r="P26" s="15">
        <v>7636</v>
      </c>
      <c r="Q26" s="16">
        <v>12046</v>
      </c>
      <c r="R26" s="14"/>
      <c r="S26" s="15" t="s">
        <v>62</v>
      </c>
      <c r="T26" s="15">
        <v>979</v>
      </c>
      <c r="U26" s="15">
        <v>1644</v>
      </c>
      <c r="V26" s="15">
        <v>2623</v>
      </c>
      <c r="W26" s="15">
        <v>390</v>
      </c>
      <c r="X26" s="15">
        <v>540</v>
      </c>
      <c r="Y26" s="15">
        <v>930</v>
      </c>
      <c r="Z26" s="15">
        <v>11</v>
      </c>
      <c r="AA26" s="15">
        <v>2</v>
      </c>
      <c r="AB26" s="16">
        <v>13</v>
      </c>
      <c r="AC26" s="15">
        <v>1380</v>
      </c>
      <c r="AD26" s="15">
        <v>2186</v>
      </c>
      <c r="AE26" s="16">
        <v>3566</v>
      </c>
      <c r="AF26" s="15">
        <v>5790</v>
      </c>
      <c r="AG26" s="15">
        <v>9822</v>
      </c>
      <c r="AH26" s="16">
        <v>15612</v>
      </c>
    </row>
    <row r="27" spans="1:34" s="6" customFormat="1" ht="22.5" customHeight="1" x14ac:dyDescent="0.25">
      <c r="A27" s="17"/>
      <c r="B27" s="49" t="s">
        <v>6</v>
      </c>
      <c r="C27" s="49"/>
      <c r="D27" s="4"/>
      <c r="E27" s="1">
        <f>E26/$AH$26*100</f>
        <v>1.8575454778375609</v>
      </c>
      <c r="F27" s="4"/>
      <c r="G27" s="4"/>
      <c r="H27" s="1">
        <f>H26/$AH$26*100</f>
        <v>9.5503458877786311</v>
      </c>
      <c r="I27" s="4"/>
      <c r="J27" s="4"/>
      <c r="K27" s="1">
        <f>K26/$AH$26*100</f>
        <v>34.454265949269789</v>
      </c>
      <c r="L27" s="4"/>
      <c r="M27" s="4"/>
      <c r="N27" s="1">
        <f>N26/$AH$26*100</f>
        <v>31.29643863694594</v>
      </c>
      <c r="O27" s="4"/>
      <c r="P27" s="4"/>
      <c r="Q27" s="1">
        <f>Q26/$AH$26*100</f>
        <v>77.158595951831927</v>
      </c>
      <c r="R27" s="17"/>
      <c r="S27" s="49" t="s">
        <v>6</v>
      </c>
      <c r="T27" s="49"/>
      <c r="U27" s="4"/>
      <c r="V27" s="1">
        <f>V26/$AH$26*100</f>
        <v>16.801178580579045</v>
      </c>
      <c r="W27" s="4"/>
      <c r="X27" s="4"/>
      <c r="Y27" s="1">
        <f>Y26/$AH$26*100</f>
        <v>5.9569561875480392</v>
      </c>
      <c r="Z27" s="4"/>
      <c r="AA27" s="4"/>
      <c r="AB27" s="1">
        <f>AB26/$AH$26*100</f>
        <v>8.3269280040994098E-2</v>
      </c>
      <c r="AC27" s="5"/>
      <c r="AD27" s="5"/>
      <c r="AE27" s="1">
        <f>AE26/$AH$26*100</f>
        <v>22.841404048168076</v>
      </c>
      <c r="AF27" s="4"/>
      <c r="AG27" s="4"/>
      <c r="AH27" s="1">
        <f>AH26/$AH$26*100</f>
        <v>100</v>
      </c>
    </row>
    <row r="28" spans="1:34" s="8" customFormat="1" ht="10.5" customHeight="1" x14ac:dyDescent="0.25">
      <c r="A28" s="10" t="s">
        <v>7</v>
      </c>
      <c r="B28" s="7"/>
      <c r="F28" s="30" t="s">
        <v>66</v>
      </c>
      <c r="Q28" s="13" t="s">
        <v>57</v>
      </c>
      <c r="R28" s="10" t="s">
        <v>10</v>
      </c>
      <c r="S28" s="2"/>
      <c r="T28" s="2"/>
      <c r="U28" s="2"/>
      <c r="V28" s="2"/>
      <c r="W28" s="2"/>
      <c r="X28" s="2"/>
      <c r="Y28" s="2"/>
      <c r="Z28" s="2"/>
      <c r="AA28" s="2"/>
      <c r="AC28" s="9"/>
      <c r="AD28" s="9"/>
      <c r="AE28" s="9"/>
      <c r="AG28" s="7"/>
      <c r="AH28" s="13" t="s">
        <v>58</v>
      </c>
    </row>
    <row r="29" spans="1:34" ht="10.5" customHeight="1" x14ac:dyDescent="0.25">
      <c r="A29" s="10" t="s">
        <v>8</v>
      </c>
      <c r="F29" s="50" t="s">
        <v>69</v>
      </c>
      <c r="R29" s="10" t="s">
        <v>59</v>
      </c>
    </row>
    <row r="30" spans="1:34" ht="10.5" customHeight="1" x14ac:dyDescent="0.25">
      <c r="A30" s="10" t="s">
        <v>9</v>
      </c>
      <c r="M30" s="31"/>
      <c r="N30" s="31"/>
      <c r="O30" s="31"/>
      <c r="P30" s="31"/>
      <c r="Q30" s="31"/>
      <c r="R30" s="50" t="s">
        <v>69</v>
      </c>
      <c r="AD30" s="31"/>
      <c r="AE30" s="31"/>
      <c r="AF30" s="31"/>
      <c r="AG30" s="31"/>
      <c r="AH30" s="31"/>
    </row>
    <row r="31" spans="1:34" ht="10.5" customHeight="1" x14ac:dyDescent="0.25"/>
    <row r="34" ht="0.7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0.7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83" ht="0.7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0.7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</sheetData>
  <mergeCells count="24">
    <mergeCell ref="A3:A5"/>
    <mergeCell ref="B3:B5"/>
    <mergeCell ref="M30:Q30"/>
    <mergeCell ref="B27:C27"/>
    <mergeCell ref="S27:T27"/>
    <mergeCell ref="C4:E4"/>
    <mergeCell ref="F4:H4"/>
    <mergeCell ref="O4:Q4"/>
    <mergeCell ref="AD30:AH30"/>
    <mergeCell ref="A1:Q1"/>
    <mergeCell ref="A2:Q2"/>
    <mergeCell ref="R1:AH1"/>
    <mergeCell ref="R2:AH2"/>
    <mergeCell ref="S3:S6"/>
    <mergeCell ref="R3:R6"/>
    <mergeCell ref="I4:K4"/>
    <mergeCell ref="L4:N4"/>
    <mergeCell ref="T4:V4"/>
    <mergeCell ref="W4:Y4"/>
    <mergeCell ref="AF3:AH4"/>
    <mergeCell ref="Z4:AB4"/>
    <mergeCell ref="C3:Q3"/>
    <mergeCell ref="T3:AE3"/>
    <mergeCell ref="AC4:AE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2019-12-27T06:52:51Z</cp:lastPrinted>
  <dcterms:created xsi:type="dcterms:W3CDTF">2017-09-01T08:50:26Z</dcterms:created>
  <dcterms:modified xsi:type="dcterms:W3CDTF">2019-12-27T06:52:53Z</dcterms:modified>
</cp:coreProperties>
</file>