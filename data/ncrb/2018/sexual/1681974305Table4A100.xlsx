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6975"/>
  </bookViews>
  <sheets>
    <sheet name="CIIReport" sheetId="1" r:id="rId1"/>
  </sheets>
  <calcPr calcId="144525"/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41" i="1"/>
  <c r="H40" i="1"/>
  <c r="H39" i="1"/>
  <c r="H38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<sst xmlns="http://schemas.openxmlformats.org/spreadsheetml/2006/main" count="58" uniqueCount="57">
  <si>
    <t xml:space="preserve">STATES: </t>
  </si>
  <si>
    <t xml:space="preserve">Andhra Pradesh </t>
  </si>
  <si>
    <t xml:space="preserve">Arunachal Pradesh </t>
  </si>
  <si>
    <t xml:space="preserve">Assam </t>
  </si>
  <si>
    <t xml:space="preserve">Bihar </t>
  </si>
  <si>
    <t xml:space="preserve">Chhattisgarh </t>
  </si>
  <si>
    <t xml:space="preserve">Goa </t>
  </si>
  <si>
    <t xml:space="preserve">Gujarat </t>
  </si>
  <si>
    <t xml:space="preserve">Haryana </t>
  </si>
  <si>
    <t xml:space="preserve">Himachal Pradesh </t>
  </si>
  <si>
    <t xml:space="preserve">Jammu &amp; Kashmir </t>
  </si>
  <si>
    <t xml:space="preserve">Jharkhand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</si>
  <si>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</si>
  <si>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</si>
  <si>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</si>
  <si>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</si>
  <si>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</si>
  <si>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</si>
  <si>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</si>
  <si>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</si>
  <si>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</si>
  <si>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</si>
  <si>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</si>
  <si>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</si>
  <si>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</si>
  <si>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</si>
  <si>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</si>
  <si>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</si>
  <si>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West Bengal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</si>
  <si>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</si>
  <si>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</si>
  <si>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</si>
  <si>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</si>
  <si>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D&amp;N Haveli </t>
  </si>
  <si>
    <t xml:space="preserve">Daman &amp; Diu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</si>
  <si>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</si>
  <si>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</si>
  <si>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</si>
  <si>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</si>
  <si>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</si>
  <si>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>Family members</t>
  </si>
  <si>
    <t>Cases in which Offenders were known to Victim</t>
  </si>
  <si>
    <t>Meghalaya</t>
  </si>
  <si>
    <t xml:space="preserve">S. No. </t>
  </si>
  <si>
    <t xml:space="preserve">State/UT </t>
  </si>
  <si>
    <t>Cases Offenders Unknown or Not Identified</t>
  </si>
  <si>
    <t>Family Friends/ Neighbours/ Other Known Persons</t>
  </si>
  <si>
    <t>Friends/Online-Friends on Pretext of Marriage</t>
  </si>
  <si>
    <t xml:space="preserve">Percentage Share of Known Persons Cases to Total Cases </t>
  </si>
  <si>
    <t>Total Cases (Known+unknown Offenders) (Col.3+Col.7)</t>
  </si>
  <si>
    <t>Cases Offender known to Victim (Total) (Col.4+Col.5+Col.6)</t>
  </si>
  <si>
    <t>TABLE 4A.10</t>
  </si>
  <si>
    <t>TABLE 4A.10 page 1 of 1</t>
  </si>
  <si>
    <t>● As per data provided by States/UTs</t>
  </si>
  <si>
    <t>Offenders Relation to Child Victims of POCSO Act (Section 4 &amp; 6) - 2018</t>
  </si>
  <si>
    <t>-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</si>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</sst>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ill="1"/>
    <xf numFmtId="0" fontId="5" fillId="0" borderId="0" xfId="0" applyFont="1" applyFill="1" applyBorder="1" applyAlignment="1">
      <alignment vertical="center" wrapText="1"/>
    </xf>
    <xf numFmtId="0" fontId="0" fillId="0" borderId="0" xfId="0" applyFont="1" applyFill="1" applyAlignment="1">
      <alignment horizontal="right"/>
    </xf>
    <xf numFmtId="0" fontId="7" fillId="0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3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0" fillId="0" borderId="0" xfId="0" applyFill="1" applyAlignment="1"/>
    <xf numFmtId="0" fontId="4" fillId="0" borderId="3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7" fillId="0" borderId="0" xfId="0" applyFont="1" applyFill="1" applyBorder="1" applyAlignment="1"/>
    <xf numFmtId="0" fontId="4" fillId="3" borderId="3" xfId="0" applyFont="1" applyFill="1" applyBorder="1" applyAlignment="1">
      <alignment wrapText="1"/>
    </xf>
    <xf numFmtId="0" fontId="4" fillId="3" borderId="0" xfId="0" applyFont="1" applyFill="1" applyBorder="1" applyAlignment="1">
      <alignment wrapText="1"/>
    </xf>
    <xf numFmtId="0" fontId="7" fillId="3" borderId="0" xfId="0" applyFont="1" applyFill="1" applyBorder="1" applyAlignment="1"/>
    <xf numFmtId="0" fontId="9" fillId="2" borderId="3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8" fillId="2" borderId="0" xfId="0" applyFont="1" applyFill="1" applyBorder="1" applyAlignment="1"/>
    <xf numFmtId="0" fontId="1" fillId="3" borderId="0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8" fillId="2" borderId="6" xfId="0" applyFont="1" applyFill="1" applyBorder="1" applyAlignment="1"/>
    <xf numFmtId="164" fontId="7" fillId="0" borderId="4" xfId="0" applyNumberFormat="1" applyFont="1" applyFill="1" applyBorder="1" applyAlignment="1"/>
    <xf numFmtId="164" fontId="7" fillId="3" borderId="4" xfId="0" applyNumberFormat="1" applyFont="1" applyFill="1" applyBorder="1" applyAlignment="1"/>
    <xf numFmtId="164" fontId="8" fillId="2" borderId="4" xfId="0" applyNumberFormat="1" applyFont="1" applyFill="1" applyBorder="1" applyAlignment="1"/>
    <xf numFmtId="164" fontId="1" fillId="3" borderId="4" xfId="0" applyNumberFormat="1" applyFont="1" applyFill="1" applyBorder="1" applyAlignment="1">
      <alignment wrapText="1"/>
    </xf>
    <xf numFmtId="164" fontId="8" fillId="2" borderId="7" xfId="0" applyNumberFormat="1" applyFont="1" applyFill="1" applyBorder="1" applyAlignment="1"/>
    <xf numFmtId="164" fontId="7" fillId="3" borderId="4" xfId="0" applyNumberFormat="1" applyFont="1" applyFill="1" applyBorder="1" applyAlignment="1">
      <alignment horizontal="right"/>
    </xf>
    <xf numFmtId="0" fontId="6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wrapText="1"/>
    </xf>
    <xf numFmtId="0" fontId="3" fillId="3" borderId="0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C8E1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19" zoomScaleNormal="100" workbookViewId="0">
      <selection activeCell="O32" sqref="O32"/>
    </sheetView>
  </sheetViews>
  <sheetFormatPr defaultRowHeight="15" customHeight="1" x14ac:dyDescent="0.25"/>
  <cols>
    <col min="1" max="1" width="4.140625" style="1" customWidth="1"/>
    <col min="2" max="2" width="17.42578125" style="1" customWidth="1"/>
    <col min="3" max="7" width="9.85546875" style="1" customWidth="1"/>
    <col min="8" max="8" width="10.7109375" style="1" customWidth="1"/>
    <col min="9" max="9" width="9.85546875" style="1" customWidth="1"/>
    <col min="10" max="16384" width="9.140625" style="1"/>
  </cols>
  <sheetData>
    <row r="1" spans="1:9" ht="15" customHeight="1" x14ac:dyDescent="0.25">
      <c r="A1" s="32" t="s">
        <v>51</v>
      </c>
      <c r="B1" s="32"/>
      <c r="C1" s="32"/>
      <c r="D1" s="32"/>
      <c r="E1" s="32"/>
      <c r="F1" s="32"/>
      <c r="G1" s="32"/>
      <c r="H1" s="32"/>
      <c r="I1" s="32"/>
    </row>
    <row r="2" spans="1:9" ht="15" customHeight="1" x14ac:dyDescent="0.25">
      <c r="A2" s="33" t="s">
        <v>54</v>
      </c>
      <c r="B2" s="33"/>
      <c r="C2" s="33"/>
      <c r="D2" s="33"/>
      <c r="E2" s="33"/>
      <c r="F2" s="33"/>
      <c r="G2" s="33"/>
      <c r="H2" s="33"/>
      <c r="I2" s="33"/>
    </row>
    <row r="3" spans="1:9" ht="15" customHeight="1" x14ac:dyDescent="0.25">
      <c r="A3" s="38" t="s">
        <v>43</v>
      </c>
      <c r="B3" s="38" t="s">
        <v>44</v>
      </c>
      <c r="C3" s="39" t="s">
        <v>41</v>
      </c>
      <c r="D3" s="39"/>
      <c r="E3" s="39"/>
      <c r="F3" s="39"/>
      <c r="G3" s="39" t="s">
        <v>45</v>
      </c>
      <c r="H3" s="39" t="s">
        <v>49</v>
      </c>
      <c r="I3" s="38" t="s">
        <v>48</v>
      </c>
    </row>
    <row r="4" spans="1:9" ht="89.25" x14ac:dyDescent="0.25">
      <c r="A4" s="38"/>
      <c r="B4" s="38"/>
      <c r="C4" s="6" t="s">
        <v>50</v>
      </c>
      <c r="D4" s="6" t="s">
        <v>40</v>
      </c>
      <c r="E4" s="6" t="s">
        <v>46</v>
      </c>
      <c r="F4" s="6" t="s">
        <v>47</v>
      </c>
      <c r="G4" s="39"/>
      <c r="H4" s="39"/>
      <c r="I4" s="38"/>
    </row>
    <row r="5" spans="1:9" ht="15" customHeight="1" x14ac:dyDescent="0.25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5">
        <v>9</v>
      </c>
    </row>
    <row r="6" spans="1:9" s="11" customFormat="1" ht="14.25" customHeight="1" x14ac:dyDescent="0.25">
      <c r="A6" s="36" t="s">
        <v>0</v>
      </c>
      <c r="B6" s="37"/>
      <c r="C6" s="8"/>
      <c r="D6" s="8"/>
      <c r="E6" s="8"/>
      <c r="F6" s="9"/>
      <c r="G6" s="9"/>
      <c r="H6" s="9"/>
      <c r="I6" s="10"/>
    </row>
    <row r="7" spans="1:9" s="11" customFormat="1" ht="14.25" customHeight="1" x14ac:dyDescent="0.25">
      <c r="A7" s="12">
        <v>1</v>
      </c>
      <c r="B7" s="13" t="s">
        <v>1</v>
      </c>
      <c r="C7" s="14">
        <v>236</v>
      </c>
      <c r="D7" s="14">
        <v>14</v>
      </c>
      <c r="E7" s="14">
        <v>159</v>
      </c>
      <c r="F7" s="14">
        <v>63</v>
      </c>
      <c r="G7" s="14">
        <v>5</v>
      </c>
      <c r="H7" s="14">
        <f t="shared" ref="H7:H36" si="0">SUM(D7:G7)</f>
        <v>241</v>
      </c>
      <c r="I7" s="25">
        <v>97.925311203319495</v>
      </c>
    </row>
    <row r="8" spans="1:9" s="11" customFormat="1" ht="14.25" customHeight="1" x14ac:dyDescent="0.25">
      <c r="A8" s="15">
        <v>2</v>
      </c>
      <c r="B8" s="16" t="s">
        <v>2</v>
      </c>
      <c r="C8" s="17">
        <v>18</v>
      </c>
      <c r="D8" s="17">
        <v>6</v>
      </c>
      <c r="E8" s="17">
        <v>6</v>
      </c>
      <c r="F8" s="17">
        <v>6</v>
      </c>
      <c r="G8" s="17">
        <v>0</v>
      </c>
      <c r="H8" s="17">
        <f t="shared" si="0"/>
        <v>18</v>
      </c>
      <c r="I8" s="26">
        <v>100</v>
      </c>
    </row>
    <row r="9" spans="1:9" s="11" customFormat="1" ht="14.25" customHeight="1" x14ac:dyDescent="0.25">
      <c r="A9" s="12">
        <v>3</v>
      </c>
      <c r="B9" s="13" t="s">
        <v>3</v>
      </c>
      <c r="C9" s="14">
        <v>1074</v>
      </c>
      <c r="D9" s="14">
        <v>135</v>
      </c>
      <c r="E9" s="14">
        <v>666</v>
      </c>
      <c r="F9" s="14">
        <v>273</v>
      </c>
      <c r="G9" s="14">
        <v>150</v>
      </c>
      <c r="H9" s="14">
        <f t="shared" si="0"/>
        <v>1224</v>
      </c>
      <c r="I9" s="25">
        <v>87.745098039215691</v>
      </c>
    </row>
    <row r="10" spans="1:9" s="11" customFormat="1" ht="14.25" customHeight="1" x14ac:dyDescent="0.25">
      <c r="A10" s="15">
        <v>4</v>
      </c>
      <c r="B10" s="16" t="s">
        <v>4</v>
      </c>
      <c r="C10" s="17">
        <v>771</v>
      </c>
      <c r="D10" s="17">
        <v>24</v>
      </c>
      <c r="E10" s="17">
        <v>239</v>
      </c>
      <c r="F10" s="17">
        <v>508</v>
      </c>
      <c r="G10" s="17">
        <v>53</v>
      </c>
      <c r="H10" s="17">
        <f t="shared" si="0"/>
        <v>824</v>
      </c>
      <c r="I10" s="26">
        <v>93.567961165048544</v>
      </c>
    </row>
    <row r="11" spans="1:9" s="11" customFormat="1" ht="14.25" customHeight="1" x14ac:dyDescent="0.25">
      <c r="A11" s="12">
        <v>5</v>
      </c>
      <c r="B11" s="13" t="s">
        <v>5</v>
      </c>
      <c r="C11" s="14">
        <v>1153</v>
      </c>
      <c r="D11" s="14">
        <v>74</v>
      </c>
      <c r="E11" s="14">
        <v>393</v>
      </c>
      <c r="F11" s="14">
        <v>686</v>
      </c>
      <c r="G11" s="14">
        <v>61</v>
      </c>
      <c r="H11" s="14">
        <f t="shared" si="0"/>
        <v>1214</v>
      </c>
      <c r="I11" s="25">
        <v>94.975288303130142</v>
      </c>
    </row>
    <row r="12" spans="1:9" s="11" customFormat="1" ht="14.25" customHeight="1" x14ac:dyDescent="0.25">
      <c r="A12" s="15">
        <v>6</v>
      </c>
      <c r="B12" s="16" t="s">
        <v>6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f t="shared" si="0"/>
        <v>0</v>
      </c>
      <c r="I12" s="30" t="s">
        <v>55</v>
      </c>
    </row>
    <row r="13" spans="1:9" s="11" customFormat="1" ht="14.25" customHeight="1" x14ac:dyDescent="0.25">
      <c r="A13" s="12">
        <v>7</v>
      </c>
      <c r="B13" s="13" t="s">
        <v>7</v>
      </c>
      <c r="C13" s="14">
        <v>1434</v>
      </c>
      <c r="D13" s="14">
        <v>80</v>
      </c>
      <c r="E13" s="14">
        <v>705</v>
      </c>
      <c r="F13" s="14">
        <v>649</v>
      </c>
      <c r="G13" s="14">
        <v>22</v>
      </c>
      <c r="H13" s="14">
        <f t="shared" si="0"/>
        <v>1456</v>
      </c>
      <c r="I13" s="25">
        <v>98.489010989010993</v>
      </c>
    </row>
    <row r="14" spans="1:9" s="11" customFormat="1" ht="14.25" customHeight="1" x14ac:dyDescent="0.25">
      <c r="A14" s="15">
        <v>8</v>
      </c>
      <c r="B14" s="16" t="s">
        <v>8</v>
      </c>
      <c r="C14" s="17">
        <v>1043</v>
      </c>
      <c r="D14" s="17">
        <v>112</v>
      </c>
      <c r="E14" s="17">
        <v>750</v>
      </c>
      <c r="F14" s="17">
        <v>181</v>
      </c>
      <c r="G14" s="17">
        <v>25</v>
      </c>
      <c r="H14" s="17">
        <f t="shared" si="0"/>
        <v>1068</v>
      </c>
      <c r="I14" s="26">
        <v>97.659176029962552</v>
      </c>
    </row>
    <row r="15" spans="1:9" s="11" customFormat="1" ht="14.25" customHeight="1" x14ac:dyDescent="0.25">
      <c r="A15" s="12">
        <v>9</v>
      </c>
      <c r="B15" s="13" t="s">
        <v>9</v>
      </c>
      <c r="C15" s="14">
        <v>20</v>
      </c>
      <c r="D15" s="14">
        <v>0</v>
      </c>
      <c r="E15" s="14">
        <v>3</v>
      </c>
      <c r="F15" s="14">
        <v>17</v>
      </c>
      <c r="G15" s="14">
        <v>2</v>
      </c>
      <c r="H15" s="14">
        <f t="shared" si="0"/>
        <v>22</v>
      </c>
      <c r="I15" s="25">
        <v>90.909090909090907</v>
      </c>
    </row>
    <row r="16" spans="1:9" s="11" customFormat="1" ht="14.25" customHeight="1" x14ac:dyDescent="0.25">
      <c r="A16" s="15">
        <v>10</v>
      </c>
      <c r="B16" s="16" t="s">
        <v>10</v>
      </c>
      <c r="C16" s="17">
        <v>8</v>
      </c>
      <c r="D16" s="17">
        <v>1</v>
      </c>
      <c r="E16" s="17">
        <v>7</v>
      </c>
      <c r="F16" s="17">
        <v>0</v>
      </c>
      <c r="G16" s="17">
        <v>5</v>
      </c>
      <c r="H16" s="17">
        <f t="shared" si="0"/>
        <v>13</v>
      </c>
      <c r="I16" s="30">
        <v>61.53846153846154</v>
      </c>
    </row>
    <row r="17" spans="1:9" s="11" customFormat="1" ht="14.25" customHeight="1" x14ac:dyDescent="0.25">
      <c r="A17" s="12">
        <v>11</v>
      </c>
      <c r="B17" s="13" t="s">
        <v>11</v>
      </c>
      <c r="C17" s="14">
        <v>392</v>
      </c>
      <c r="D17" s="14">
        <v>88</v>
      </c>
      <c r="E17" s="14">
        <v>158</v>
      </c>
      <c r="F17" s="14">
        <v>146</v>
      </c>
      <c r="G17" s="14">
        <v>50</v>
      </c>
      <c r="H17" s="14">
        <f t="shared" si="0"/>
        <v>442</v>
      </c>
      <c r="I17" s="25">
        <v>88.687782805429862</v>
      </c>
    </row>
    <row r="18" spans="1:9" s="11" customFormat="1" ht="14.25" customHeight="1" x14ac:dyDescent="0.25">
      <c r="A18" s="15">
        <v>12</v>
      </c>
      <c r="B18" s="16" t="s">
        <v>12</v>
      </c>
      <c r="C18" s="17">
        <v>1394</v>
      </c>
      <c r="D18" s="17">
        <v>165</v>
      </c>
      <c r="E18" s="17">
        <v>728</v>
      </c>
      <c r="F18" s="17">
        <v>501</v>
      </c>
      <c r="G18" s="17">
        <v>14</v>
      </c>
      <c r="H18" s="17">
        <f t="shared" si="0"/>
        <v>1408</v>
      </c>
      <c r="I18" s="26">
        <v>99.005681818181827</v>
      </c>
    </row>
    <row r="19" spans="1:9" s="11" customFormat="1" ht="14.25" customHeight="1" x14ac:dyDescent="0.25">
      <c r="A19" s="12">
        <v>13</v>
      </c>
      <c r="B19" s="13" t="s">
        <v>13</v>
      </c>
      <c r="C19" s="14">
        <v>159</v>
      </c>
      <c r="D19" s="14">
        <v>37</v>
      </c>
      <c r="E19" s="14">
        <v>77</v>
      </c>
      <c r="F19" s="14">
        <v>45</v>
      </c>
      <c r="G19" s="14">
        <v>3</v>
      </c>
      <c r="H19" s="14">
        <f t="shared" si="0"/>
        <v>162</v>
      </c>
      <c r="I19" s="25">
        <v>98.148148148148152</v>
      </c>
    </row>
    <row r="20" spans="1:9" s="11" customFormat="1" ht="14.25" customHeight="1" x14ac:dyDescent="0.25">
      <c r="A20" s="15">
        <v>14</v>
      </c>
      <c r="B20" s="16" t="s">
        <v>14</v>
      </c>
      <c r="C20" s="17">
        <v>1030</v>
      </c>
      <c r="D20" s="17">
        <v>94</v>
      </c>
      <c r="E20" s="17">
        <v>420</v>
      </c>
      <c r="F20" s="17">
        <v>516</v>
      </c>
      <c r="G20" s="17">
        <v>17</v>
      </c>
      <c r="H20" s="17">
        <f t="shared" si="0"/>
        <v>1047</v>
      </c>
      <c r="I20" s="26">
        <v>98.376313276026735</v>
      </c>
    </row>
    <row r="21" spans="1:9" s="11" customFormat="1" ht="14.25" customHeight="1" x14ac:dyDescent="0.25">
      <c r="A21" s="12">
        <v>15</v>
      </c>
      <c r="B21" s="13" t="s">
        <v>15</v>
      </c>
      <c r="C21" s="14">
        <v>2815</v>
      </c>
      <c r="D21" s="14">
        <v>185</v>
      </c>
      <c r="E21" s="14">
        <v>1192</v>
      </c>
      <c r="F21" s="14">
        <v>1438</v>
      </c>
      <c r="G21" s="14">
        <v>17</v>
      </c>
      <c r="H21" s="14">
        <f t="shared" si="0"/>
        <v>2832</v>
      </c>
      <c r="I21" s="25">
        <v>99.399717514124291</v>
      </c>
    </row>
    <row r="22" spans="1:9" s="11" customFormat="1" ht="14.25" customHeight="1" x14ac:dyDescent="0.25">
      <c r="A22" s="15">
        <v>16</v>
      </c>
      <c r="B22" s="16" t="s">
        <v>16</v>
      </c>
      <c r="C22" s="17">
        <v>28</v>
      </c>
      <c r="D22" s="17">
        <v>2</v>
      </c>
      <c r="E22" s="17">
        <v>19</v>
      </c>
      <c r="F22" s="17">
        <v>7</v>
      </c>
      <c r="G22" s="17">
        <v>0</v>
      </c>
      <c r="H22" s="17">
        <f t="shared" si="0"/>
        <v>28</v>
      </c>
      <c r="I22" s="26">
        <v>100</v>
      </c>
    </row>
    <row r="23" spans="1:9" s="11" customFormat="1" ht="14.25" customHeight="1" x14ac:dyDescent="0.25">
      <c r="A23" s="12">
        <v>17</v>
      </c>
      <c r="B23" s="13" t="s">
        <v>42</v>
      </c>
      <c r="C23" s="14">
        <v>165</v>
      </c>
      <c r="D23" s="14">
        <v>46</v>
      </c>
      <c r="E23" s="14">
        <v>90</v>
      </c>
      <c r="F23" s="14">
        <v>29</v>
      </c>
      <c r="G23" s="14">
        <v>14</v>
      </c>
      <c r="H23" s="14">
        <f t="shared" si="0"/>
        <v>179</v>
      </c>
      <c r="I23" s="25">
        <v>92.178770949720672</v>
      </c>
    </row>
    <row r="24" spans="1:9" s="11" customFormat="1" ht="14.25" customHeight="1" x14ac:dyDescent="0.25">
      <c r="A24" s="15">
        <v>18</v>
      </c>
      <c r="B24" s="16" t="s">
        <v>17</v>
      </c>
      <c r="C24" s="17">
        <v>71</v>
      </c>
      <c r="D24" s="17">
        <v>8</v>
      </c>
      <c r="E24" s="17">
        <v>57</v>
      </c>
      <c r="F24" s="17">
        <v>6</v>
      </c>
      <c r="G24" s="17">
        <v>2</v>
      </c>
      <c r="H24" s="17">
        <f t="shared" si="0"/>
        <v>73</v>
      </c>
      <c r="I24" s="26">
        <v>97.260273972602747</v>
      </c>
    </row>
    <row r="25" spans="1:9" s="11" customFormat="1" ht="14.25" customHeight="1" x14ac:dyDescent="0.25">
      <c r="A25" s="12">
        <v>19</v>
      </c>
      <c r="B25" s="13" t="s">
        <v>18</v>
      </c>
      <c r="C25" s="14">
        <v>6</v>
      </c>
      <c r="D25" s="14">
        <v>2</v>
      </c>
      <c r="E25" s="14">
        <v>3</v>
      </c>
      <c r="F25" s="14">
        <v>1</v>
      </c>
      <c r="G25" s="14">
        <v>0</v>
      </c>
      <c r="H25" s="14">
        <f t="shared" si="0"/>
        <v>6</v>
      </c>
      <c r="I25" s="25">
        <v>100</v>
      </c>
    </row>
    <row r="26" spans="1:9" s="11" customFormat="1" ht="14.25" customHeight="1" x14ac:dyDescent="0.25">
      <c r="A26" s="15">
        <v>20</v>
      </c>
      <c r="B26" s="16" t="s">
        <v>19</v>
      </c>
      <c r="C26" s="17">
        <v>1357</v>
      </c>
      <c r="D26" s="17">
        <v>1</v>
      </c>
      <c r="E26" s="17">
        <v>209</v>
      </c>
      <c r="F26" s="17">
        <v>1147</v>
      </c>
      <c r="G26" s="17">
        <v>70</v>
      </c>
      <c r="H26" s="17">
        <f t="shared" si="0"/>
        <v>1427</v>
      </c>
      <c r="I26" s="26">
        <v>95.094604064470929</v>
      </c>
    </row>
    <row r="27" spans="1:9" s="11" customFormat="1" ht="14.25" customHeight="1" x14ac:dyDescent="0.25">
      <c r="A27" s="12">
        <v>21</v>
      </c>
      <c r="B27" s="13" t="s">
        <v>20</v>
      </c>
      <c r="C27" s="14">
        <v>285</v>
      </c>
      <c r="D27" s="14">
        <v>29</v>
      </c>
      <c r="E27" s="14">
        <v>183</v>
      </c>
      <c r="F27" s="14">
        <v>73</v>
      </c>
      <c r="G27" s="14">
        <v>3</v>
      </c>
      <c r="H27" s="14">
        <f t="shared" si="0"/>
        <v>288</v>
      </c>
      <c r="I27" s="25">
        <v>98.958333333333343</v>
      </c>
    </row>
    <row r="28" spans="1:9" s="11" customFormat="1" ht="14.25" customHeight="1" x14ac:dyDescent="0.25">
      <c r="A28" s="15">
        <v>22</v>
      </c>
      <c r="B28" s="16" t="s">
        <v>21</v>
      </c>
      <c r="C28" s="17">
        <v>66</v>
      </c>
      <c r="D28" s="17">
        <v>9</v>
      </c>
      <c r="E28" s="17">
        <v>53</v>
      </c>
      <c r="F28" s="17">
        <v>4</v>
      </c>
      <c r="G28" s="17">
        <v>8</v>
      </c>
      <c r="H28" s="17">
        <f t="shared" si="0"/>
        <v>74</v>
      </c>
      <c r="I28" s="26">
        <v>89.189189189189193</v>
      </c>
    </row>
    <row r="29" spans="1:9" s="11" customFormat="1" ht="14.25" customHeight="1" x14ac:dyDescent="0.25">
      <c r="A29" s="12">
        <v>23</v>
      </c>
      <c r="B29" s="13" t="s">
        <v>22</v>
      </c>
      <c r="C29" s="14">
        <v>77</v>
      </c>
      <c r="D29" s="14">
        <v>9</v>
      </c>
      <c r="E29" s="14">
        <v>39</v>
      </c>
      <c r="F29" s="14">
        <v>29</v>
      </c>
      <c r="G29" s="14">
        <v>1</v>
      </c>
      <c r="H29" s="14">
        <f t="shared" si="0"/>
        <v>78</v>
      </c>
      <c r="I29" s="25">
        <v>98.71794871794873</v>
      </c>
    </row>
    <row r="30" spans="1:9" s="11" customFormat="1" ht="14.25" customHeight="1" x14ac:dyDescent="0.25">
      <c r="A30" s="15">
        <v>24</v>
      </c>
      <c r="B30" s="16" t="s">
        <v>23</v>
      </c>
      <c r="C30" s="17">
        <v>1443</v>
      </c>
      <c r="D30" s="17">
        <v>124</v>
      </c>
      <c r="E30" s="17">
        <v>456</v>
      </c>
      <c r="F30" s="17">
        <v>863</v>
      </c>
      <c r="G30" s="17">
        <v>14</v>
      </c>
      <c r="H30" s="17">
        <f t="shared" si="0"/>
        <v>1457</v>
      </c>
      <c r="I30" s="26">
        <v>99.039121482498288</v>
      </c>
    </row>
    <row r="31" spans="1:9" s="11" customFormat="1" ht="14.25" customHeight="1" x14ac:dyDescent="0.25">
      <c r="A31" s="12">
        <v>25</v>
      </c>
      <c r="B31" s="13" t="s">
        <v>24</v>
      </c>
      <c r="C31" s="14">
        <v>1071</v>
      </c>
      <c r="D31" s="14">
        <v>168</v>
      </c>
      <c r="E31" s="14">
        <v>385</v>
      </c>
      <c r="F31" s="14">
        <v>518</v>
      </c>
      <c r="G31" s="14">
        <v>69</v>
      </c>
      <c r="H31" s="14">
        <f t="shared" si="0"/>
        <v>1140</v>
      </c>
      <c r="I31" s="25">
        <v>93.94736842105263</v>
      </c>
    </row>
    <row r="32" spans="1:9" s="11" customFormat="1" ht="14.25" customHeight="1" x14ac:dyDescent="0.25">
      <c r="A32" s="15">
        <v>26</v>
      </c>
      <c r="B32" s="16" t="s">
        <v>25</v>
      </c>
      <c r="C32" s="17">
        <v>76</v>
      </c>
      <c r="D32" s="17">
        <v>7</v>
      </c>
      <c r="E32" s="17">
        <v>51</v>
      </c>
      <c r="F32" s="17">
        <v>18</v>
      </c>
      <c r="G32" s="17">
        <v>0</v>
      </c>
      <c r="H32" s="17">
        <f t="shared" si="0"/>
        <v>76</v>
      </c>
      <c r="I32" s="26">
        <v>100</v>
      </c>
    </row>
    <row r="33" spans="1:9" s="11" customFormat="1" ht="14.25" customHeight="1" x14ac:dyDescent="0.25">
      <c r="A33" s="12">
        <v>27</v>
      </c>
      <c r="B33" s="13" t="s">
        <v>26</v>
      </c>
      <c r="C33" s="14">
        <v>1794</v>
      </c>
      <c r="D33" s="14">
        <v>84</v>
      </c>
      <c r="E33" s="14">
        <v>1341</v>
      </c>
      <c r="F33" s="14">
        <v>369</v>
      </c>
      <c r="G33" s="14">
        <v>229</v>
      </c>
      <c r="H33" s="14">
        <f t="shared" si="0"/>
        <v>2023</v>
      </c>
      <c r="I33" s="25">
        <v>88.680177953534354</v>
      </c>
    </row>
    <row r="34" spans="1:9" s="11" customFormat="1" ht="14.25" customHeight="1" x14ac:dyDescent="0.25">
      <c r="A34" s="15">
        <v>28</v>
      </c>
      <c r="B34" s="16" t="s">
        <v>27</v>
      </c>
      <c r="C34" s="17">
        <v>173</v>
      </c>
      <c r="D34" s="17">
        <v>0</v>
      </c>
      <c r="E34" s="17">
        <v>118</v>
      </c>
      <c r="F34" s="17">
        <v>55</v>
      </c>
      <c r="G34" s="17">
        <v>121</v>
      </c>
      <c r="H34" s="17">
        <f t="shared" si="0"/>
        <v>294</v>
      </c>
      <c r="I34" s="26">
        <v>58.843537414965986</v>
      </c>
    </row>
    <row r="35" spans="1:9" s="11" customFormat="1" ht="14.25" customHeight="1" x14ac:dyDescent="0.25">
      <c r="A35" s="12">
        <v>29</v>
      </c>
      <c r="B35" s="13" t="s">
        <v>28</v>
      </c>
      <c r="C35" s="14">
        <v>1265</v>
      </c>
      <c r="D35" s="14">
        <v>82</v>
      </c>
      <c r="E35" s="14">
        <v>966</v>
      </c>
      <c r="F35" s="14">
        <v>217</v>
      </c>
      <c r="G35" s="14">
        <v>113</v>
      </c>
      <c r="H35" s="14">
        <f t="shared" si="0"/>
        <v>1378</v>
      </c>
      <c r="I35" s="25">
        <v>91.799709724238028</v>
      </c>
    </row>
    <row r="36" spans="1:9" s="11" customFormat="1" ht="14.25" customHeight="1" x14ac:dyDescent="0.25">
      <c r="A36" s="18"/>
      <c r="B36" s="19" t="s">
        <v>29</v>
      </c>
      <c r="C36" s="20">
        <v>19424</v>
      </c>
      <c r="D36" s="20">
        <v>1586</v>
      </c>
      <c r="E36" s="20">
        <v>9473</v>
      </c>
      <c r="F36" s="20">
        <v>8365</v>
      </c>
      <c r="G36" s="20">
        <v>1068</v>
      </c>
      <c r="H36" s="20">
        <f t="shared" si="0"/>
        <v>20492</v>
      </c>
      <c r="I36" s="27">
        <v>94.788210033183688</v>
      </c>
    </row>
    <row r="37" spans="1:9" s="11" customFormat="1" ht="14.25" customHeight="1" x14ac:dyDescent="0.25">
      <c r="A37" s="34" t="s">
        <v>30</v>
      </c>
      <c r="B37" s="35"/>
      <c r="C37" s="21"/>
      <c r="D37" s="21"/>
      <c r="E37" s="21"/>
      <c r="F37" s="21"/>
      <c r="G37" s="21"/>
      <c r="H37" s="21"/>
      <c r="I37" s="28"/>
    </row>
    <row r="38" spans="1:9" s="11" customFormat="1" ht="14.25" customHeight="1" x14ac:dyDescent="0.25">
      <c r="A38" s="12">
        <v>30</v>
      </c>
      <c r="B38" s="13" t="s">
        <v>31</v>
      </c>
      <c r="C38" s="14">
        <v>51</v>
      </c>
      <c r="D38" s="14">
        <v>4</v>
      </c>
      <c r="E38" s="14">
        <v>20</v>
      </c>
      <c r="F38" s="14">
        <v>27</v>
      </c>
      <c r="G38" s="14">
        <v>1</v>
      </c>
      <c r="H38" s="14">
        <f t="shared" ref="H38:H46" si="1">SUM(D38:G38)</f>
        <v>52</v>
      </c>
      <c r="I38" s="25">
        <v>98.076923076923066</v>
      </c>
    </row>
    <row r="39" spans="1:9" s="11" customFormat="1" ht="14.25" customHeight="1" x14ac:dyDescent="0.25">
      <c r="A39" s="15">
        <v>31</v>
      </c>
      <c r="B39" s="16" t="s">
        <v>32</v>
      </c>
      <c r="C39" s="17">
        <v>1</v>
      </c>
      <c r="D39" s="17">
        <v>0</v>
      </c>
      <c r="E39" s="17">
        <v>1</v>
      </c>
      <c r="F39" s="17">
        <v>0</v>
      </c>
      <c r="G39" s="17">
        <v>0</v>
      </c>
      <c r="H39" s="17">
        <f t="shared" si="1"/>
        <v>1</v>
      </c>
      <c r="I39" s="30">
        <v>100</v>
      </c>
    </row>
    <row r="40" spans="1:9" s="11" customFormat="1" ht="14.25" customHeight="1" x14ac:dyDescent="0.25">
      <c r="A40" s="12">
        <v>32</v>
      </c>
      <c r="B40" s="13" t="s">
        <v>33</v>
      </c>
      <c r="C40" s="14">
        <v>18</v>
      </c>
      <c r="D40" s="14">
        <v>2</v>
      </c>
      <c r="E40" s="14">
        <v>0</v>
      </c>
      <c r="F40" s="14">
        <v>16</v>
      </c>
      <c r="G40" s="14">
        <v>0</v>
      </c>
      <c r="H40" s="14">
        <f t="shared" si="1"/>
        <v>18</v>
      </c>
      <c r="I40" s="25">
        <v>100</v>
      </c>
    </row>
    <row r="41" spans="1:9" s="11" customFormat="1" ht="14.25" customHeight="1" x14ac:dyDescent="0.25">
      <c r="A41" s="15">
        <v>33</v>
      </c>
      <c r="B41" s="16" t="s">
        <v>34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f t="shared" si="1"/>
        <v>0</v>
      </c>
      <c r="I41" s="26" t="s">
        <v>55</v>
      </c>
    </row>
    <row r="42" spans="1:9" s="11" customFormat="1" ht="14.25" customHeight="1" x14ac:dyDescent="0.25">
      <c r="A42" s="12">
        <v>34</v>
      </c>
      <c r="B42" s="13" t="s">
        <v>35</v>
      </c>
      <c r="C42" s="14">
        <v>961</v>
      </c>
      <c r="D42" s="14">
        <v>108</v>
      </c>
      <c r="E42" s="14">
        <v>402</v>
      </c>
      <c r="F42" s="14">
        <v>451</v>
      </c>
      <c r="G42" s="14">
        <v>33</v>
      </c>
      <c r="H42" s="14">
        <f t="shared" si="1"/>
        <v>994</v>
      </c>
      <c r="I42" s="25">
        <v>96.680080482897381</v>
      </c>
    </row>
    <row r="43" spans="1:9" s="11" customFormat="1" ht="14.25" customHeight="1" x14ac:dyDescent="0.25">
      <c r="A43" s="15">
        <v>35</v>
      </c>
      <c r="B43" s="16" t="s">
        <v>36</v>
      </c>
      <c r="C43" s="17">
        <v>1</v>
      </c>
      <c r="D43" s="17">
        <v>0</v>
      </c>
      <c r="E43" s="17">
        <v>0</v>
      </c>
      <c r="F43" s="17">
        <v>1</v>
      </c>
      <c r="G43" s="17">
        <v>0</v>
      </c>
      <c r="H43" s="17">
        <f t="shared" si="1"/>
        <v>1</v>
      </c>
      <c r="I43" s="25">
        <v>100</v>
      </c>
    </row>
    <row r="44" spans="1:9" s="11" customFormat="1" ht="14.25" customHeight="1" x14ac:dyDescent="0.25">
      <c r="A44" s="12">
        <v>36</v>
      </c>
      <c r="B44" s="13" t="s">
        <v>37</v>
      </c>
      <c r="C44" s="14">
        <v>43</v>
      </c>
      <c r="D44" s="14">
        <v>0</v>
      </c>
      <c r="E44" s="14">
        <v>23</v>
      </c>
      <c r="F44" s="14">
        <v>20</v>
      </c>
      <c r="G44" s="14">
        <v>4</v>
      </c>
      <c r="H44" s="14">
        <f t="shared" si="1"/>
        <v>47</v>
      </c>
      <c r="I44" s="25">
        <v>91.489361702127653</v>
      </c>
    </row>
    <row r="45" spans="1:9" s="11" customFormat="1" ht="14.25" customHeight="1" x14ac:dyDescent="0.25">
      <c r="A45" s="18"/>
      <c r="B45" s="19" t="s">
        <v>38</v>
      </c>
      <c r="C45" s="20">
        <v>1075</v>
      </c>
      <c r="D45" s="20">
        <v>114</v>
      </c>
      <c r="E45" s="20">
        <v>446</v>
      </c>
      <c r="F45" s="20">
        <v>515</v>
      </c>
      <c r="G45" s="20">
        <v>38</v>
      </c>
      <c r="H45" s="20">
        <f t="shared" si="1"/>
        <v>1113</v>
      </c>
      <c r="I45" s="27">
        <v>96.585804132973934</v>
      </c>
    </row>
    <row r="46" spans="1:9" s="11" customFormat="1" ht="14.25" customHeight="1" x14ac:dyDescent="0.25">
      <c r="A46" s="22"/>
      <c r="B46" s="23" t="s">
        <v>39</v>
      </c>
      <c r="C46" s="24">
        <v>20499</v>
      </c>
      <c r="D46" s="24">
        <v>1700</v>
      </c>
      <c r="E46" s="24">
        <v>9919</v>
      </c>
      <c r="F46" s="24">
        <v>8880</v>
      </c>
      <c r="G46" s="24">
        <v>1106</v>
      </c>
      <c r="H46" s="24">
        <f t="shared" si="1"/>
        <v>21605</v>
      </c>
      <c r="I46" s="29">
        <v>94.880814626243932</v>
      </c>
    </row>
    <row r="47" spans="1:9" ht="13.5" customHeight="1" x14ac:dyDescent="0.25">
      <c r="A47" s="31" t="s">
        <v>53</v>
      </c>
      <c r="B47" s="7"/>
      <c r="C47" s="7"/>
      <c r="D47" s="7"/>
      <c r="E47" s="7"/>
      <c r="F47" s="7"/>
      <c r="G47" s="2"/>
      <c r="H47" s="3"/>
      <c r="I47" s="3" t="s">
        <v>52</v>
      </c>
    </row>
    <row r="48" spans="1:9" ht="13.5" customHeight="1" x14ac:dyDescent="0.25">
      <c r="A48" s="4" t="s">
        <v>56</v>
      </c>
    </row>
  </sheetData>
  <mergeCells count="10">
    <mergeCell ref="A1:I1"/>
    <mergeCell ref="A2:I2"/>
    <mergeCell ref="A37:B37"/>
    <mergeCell ref="A6:B6"/>
    <mergeCell ref="A3:A4"/>
    <mergeCell ref="B3:B4"/>
    <mergeCell ref="I3:I4"/>
    <mergeCell ref="G3:G4"/>
    <mergeCell ref="C3:F3"/>
    <mergeCell ref="H3:H4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2019-12-26T09:51:43Z</cp:lastPrinted>
  <dcterms:created xsi:type="dcterms:W3CDTF">2017-09-12T06:08:51Z</dcterms:created>
  <dcterms:modified xsi:type="dcterms:W3CDTF">2020-01-01T10:13:39Z</dcterms:modified>
</cp:coreProperties>
</file>