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69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Sheet1!$A$1:$N$48</definedName>
  </definedNames>
  <calcPr calcId="144525"/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D47" i="1"/>
</calcChain>
</file>

<file path=xl/sharedStrings.xml><?xml version="1.0" encoding="utf-8"?>
<sst xmlns="http://schemas.openxmlformats.org/spreadsheetml/2006/main" count="62" uniqueCount="62">
  <si>
    <t xml:space="preserve">STATES: </t>
  </si>
  <si>
    <t xml:space="preserve">Andhra Pradesh </t>
  </si>
  <si>
    <t xml:space="preserve">Assam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</si>
  <si>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</si>
  <si>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</si>
  <si>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</si>
  <si>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</si>
  <si>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</si>
  <si>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Jharkhand </t>
  </si>
  <si>
    <t xml:space="preserve">Karnataka </t>
  </si>
  <si>
    <t xml:space="preserve">Kerala </t>
  </si>
  <si>
    <t xml:space="preserve">Maharashtra </t>
  </si>
  <si>
    <t xml:space="preserve">Manipur </t>
  </si>
  <si>
    <t xml:space="preserve">Meghalaya*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</si>
  <si>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</si>
  <si>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</si>
  <si>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</si>
  <si>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</si>
  <si>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</si>
  <si>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</t>
  </si>
  <si>
    <t xml:space="preserve">Tamil Nadu </t>
  </si>
  <si>
    <t xml:space="preserve">Telangana </t>
  </si>
  <si>
    <t xml:space="preserve">Tripura </t>
  </si>
  <si>
    <t xml:space="preserve">Uttarakhand </t>
  </si>
  <si>
    <t xml:space="preserve">West Bengal </t>
  </si>
  <si>
    <t xml:space="preserve">UNION TERRITORIES: </t>
  </si>
  <si>
    <t xml:space="preserve">Chandigarh </t>
  </si>
  <si>
    <t xml:space="preserve">D&amp;N Haveli </t>
  </si>
  <si>
    <t xml:space="preserve">Daman &amp; Diu </t>
  </si>
  <si>
    <t xml:space="preserve">Delhi UT </t>
  </si>
  <si>
    <t xml:space="preserve">Lakshadweep </t>
  </si>
  <si>
    <t xml:space="preserve">Puducherry </t>
  </si>
  <si>
    <t xml:space="preserve">TOTAL UT(S) </t>
  </si>
  <si>
    <t>S. No</t>
  </si>
  <si>
    <t>Total Girl /Child Victims</t>
  </si>
  <si>
    <t>Total Victims (Col.8+ Col.13)</t>
  </si>
  <si>
    <t>TABLE 3A.3</t>
  </si>
  <si>
    <t>Total Women / Adult Victims</t>
  </si>
  <si>
    <t>TOTAL (ALL INDIA)</t>
  </si>
  <si>
    <t>Arunachal Pradesh</t>
  </si>
  <si>
    <t>Himachal Pradesh</t>
  </si>
  <si>
    <t>Jammu &amp; Kashmir</t>
  </si>
  <si>
    <t>Madhya Pradesh</t>
  </si>
  <si>
    <t>Uttar Pradesh</t>
  </si>
  <si>
    <t>A &amp; N Islands</t>
  </si>
  <si>
    <t>TOTAL STATE(S)</t>
  </si>
  <si>
    <t>Percentage Share of Age-Group of Victims</t>
  </si>
  <si>
    <t>Women &amp; Girls Victims of Rape under Different Age-Groups - 2017</t>
  </si>
  <si>
    <t xml:space="preserve">State/UT </t>
  </si>
  <si>
    <t xml:space="preserve">Cases Repor-ted </t>
  </si>
  <si>
    <t xml:space="preserve">Below 6 Years </t>
  </si>
  <si>
    <t xml:space="preserve">6 Years &amp; Above - Below 12 Years </t>
  </si>
  <si>
    <t xml:space="preserve">12 Years &amp; Above – Below 16 Years </t>
  </si>
  <si>
    <t xml:space="preserve">16 Years &amp; Above – Below 18 Years </t>
  </si>
  <si>
    <t xml:space="preserve">18 Years &amp; Above – Below 30 Years </t>
  </si>
  <si>
    <t xml:space="preserve">30 Years &amp; Above – Below 45 Years </t>
  </si>
  <si>
    <t xml:space="preserve">45 Years &amp; Above – Below 60 Years </t>
  </si>
  <si>
    <t xml:space="preserve">60 Years &amp; Above </t>
  </si>
  <si>
    <t>TABLE 3A.3 Page 1 of 1</t>
  </si>
  <si>
    <t>● As per data provided by States/UTs</t>
  </si>
  <si>
    <t>Women Victims of Rape (Above 18 Yrs)</t>
  </si>
  <si>
    <t>Child Victims of Rape (Below 18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</si>
</sst>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5" fillId="0" borderId="3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5" fillId="0" borderId="9" xfId="0" applyFont="1" applyFill="1" applyBorder="1" applyAlignment="1">
      <alignment vertical="center" wrapText="1"/>
    </xf>
    <xf numFmtId="164" fontId="4" fillId="0" borderId="9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right" vertical="top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center" wrapText="1"/>
    </xf>
    <xf numFmtId="0" fontId="7" fillId="0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164" fontId="4" fillId="0" borderId="10" xfId="0" applyNumberFormat="1" applyFont="1" applyFill="1" applyBorder="1" applyAlignment="1">
      <alignment vertical="center" wrapText="1"/>
    </xf>
    <xf numFmtId="164" fontId="4" fillId="0" borderId="8" xfId="0" applyNumberFormat="1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right" vertical="center" wrapText="1"/>
    </xf>
    <xf numFmtId="164" fontId="4" fillId="0" borderId="1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zoomScaleNormal="100" workbookViewId="0">
      <selection activeCell="Q12" sqref="Q12"/>
    </sheetView>
  </sheetViews>
  <sheetFormatPr defaultRowHeight="15" x14ac:dyDescent="0.25"/>
  <cols>
    <col min="1" max="1" width="2.85546875" style="2" customWidth="1"/>
    <col min="2" max="2" width="16.140625" style="2" bestFit="1" customWidth="1"/>
    <col min="3" max="3" width="6.140625" style="2" customWidth="1"/>
    <col min="4" max="4" width="5.140625" style="2" customWidth="1"/>
    <col min="5" max="5" width="6.28515625" style="2" customWidth="1"/>
    <col min="6" max="6" width="6.42578125" style="2" customWidth="1"/>
    <col min="7" max="7" width="6.5703125" style="2" customWidth="1"/>
    <col min="8" max="8" width="6" style="2" customWidth="1"/>
    <col min="9" max="11" width="6.42578125" style="2" customWidth="1"/>
    <col min="12" max="12" width="5.140625" style="2" customWidth="1"/>
    <col min="13" max="13" width="6.28515625" style="2" customWidth="1"/>
    <col min="14" max="14" width="6" style="2" customWidth="1"/>
    <col min="15" max="16384" width="9.140625" style="2"/>
  </cols>
  <sheetData>
    <row r="1" spans="1:16" ht="15.75" customHeight="1" x14ac:dyDescent="0.25">
      <c r="A1" s="50" t="s">
        <v>36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1"/>
      <c r="P1" s="1"/>
    </row>
    <row r="2" spans="1:16" ht="15.75" customHeight="1" x14ac:dyDescent="0.25">
      <c r="A2" s="53" t="s">
        <v>47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</row>
    <row r="3" spans="1:16" ht="25.9" customHeight="1" x14ac:dyDescent="0.25">
      <c r="A3" s="51" t="s">
        <v>33</v>
      </c>
      <c r="B3" s="51" t="s">
        <v>48</v>
      </c>
      <c r="C3" s="51" t="s">
        <v>49</v>
      </c>
      <c r="D3" s="54" t="s">
        <v>61</v>
      </c>
      <c r="E3" s="55"/>
      <c r="F3" s="55"/>
      <c r="G3" s="55"/>
      <c r="H3" s="56"/>
      <c r="I3" s="54" t="s">
        <v>60</v>
      </c>
      <c r="J3" s="55"/>
      <c r="K3" s="55"/>
      <c r="L3" s="55"/>
      <c r="M3" s="56"/>
      <c r="N3" s="51" t="s">
        <v>35</v>
      </c>
    </row>
    <row r="4" spans="1:16" ht="74.25" customHeight="1" x14ac:dyDescent="0.25">
      <c r="A4" s="52"/>
      <c r="B4" s="52"/>
      <c r="C4" s="52"/>
      <c r="D4" s="14" t="s">
        <v>50</v>
      </c>
      <c r="E4" s="14" t="s">
        <v>51</v>
      </c>
      <c r="F4" s="14" t="s">
        <v>52</v>
      </c>
      <c r="G4" s="14" t="s">
        <v>53</v>
      </c>
      <c r="H4" s="14" t="s">
        <v>34</v>
      </c>
      <c r="I4" s="14" t="s">
        <v>54</v>
      </c>
      <c r="J4" s="14" t="s">
        <v>55</v>
      </c>
      <c r="K4" s="14" t="s">
        <v>56</v>
      </c>
      <c r="L4" s="14" t="s">
        <v>57</v>
      </c>
      <c r="M4" s="14" t="s">
        <v>37</v>
      </c>
      <c r="N4" s="52"/>
    </row>
    <row r="5" spans="1:16" ht="11.45" customHeight="1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9</v>
      </c>
      <c r="J5" s="15">
        <v>10</v>
      </c>
      <c r="K5" s="15">
        <v>11</v>
      </c>
      <c r="L5" s="15">
        <v>12</v>
      </c>
      <c r="M5" s="15">
        <v>13</v>
      </c>
      <c r="N5" s="15">
        <v>14</v>
      </c>
    </row>
    <row r="6" spans="1:16" ht="15" customHeight="1" x14ac:dyDescent="0.25">
      <c r="A6" s="16" t="s">
        <v>0</v>
      </c>
      <c r="B6" s="17"/>
      <c r="C6" s="17"/>
      <c r="D6" s="17"/>
      <c r="E6" s="17"/>
      <c r="F6" s="18"/>
      <c r="G6" s="18"/>
      <c r="H6" s="28"/>
      <c r="I6" s="29"/>
      <c r="J6" s="18"/>
      <c r="K6" s="18"/>
      <c r="L6" s="18"/>
      <c r="M6" s="28"/>
      <c r="N6" s="42"/>
    </row>
    <row r="7" spans="1:16" ht="15" customHeight="1" x14ac:dyDescent="0.25">
      <c r="A7" s="3">
        <v>1</v>
      </c>
      <c r="B7" s="4" t="s">
        <v>1</v>
      </c>
      <c r="C7" s="5">
        <v>988</v>
      </c>
      <c r="D7" s="5">
        <v>14</v>
      </c>
      <c r="E7" s="5">
        <v>46</v>
      </c>
      <c r="F7" s="5">
        <v>185</v>
      </c>
      <c r="G7" s="5">
        <v>296</v>
      </c>
      <c r="H7" s="30">
        <v>541</v>
      </c>
      <c r="I7" s="31">
        <v>333</v>
      </c>
      <c r="J7" s="5">
        <v>121</v>
      </c>
      <c r="K7" s="5">
        <v>6</v>
      </c>
      <c r="L7" s="5">
        <v>4</v>
      </c>
      <c r="M7" s="30">
        <v>464</v>
      </c>
      <c r="N7" s="43">
        <v>1005</v>
      </c>
    </row>
    <row r="8" spans="1:16" ht="15" customHeight="1" x14ac:dyDescent="0.25">
      <c r="A8" s="20">
        <v>2</v>
      </c>
      <c r="B8" s="21" t="s">
        <v>39</v>
      </c>
      <c r="C8" s="22">
        <v>59</v>
      </c>
      <c r="D8" s="22">
        <v>1</v>
      </c>
      <c r="E8" s="22">
        <v>9</v>
      </c>
      <c r="F8" s="22">
        <v>19</v>
      </c>
      <c r="G8" s="22">
        <v>13</v>
      </c>
      <c r="H8" s="32">
        <v>42</v>
      </c>
      <c r="I8" s="33">
        <v>24</v>
      </c>
      <c r="J8" s="22">
        <v>5</v>
      </c>
      <c r="K8" s="22">
        <v>0</v>
      </c>
      <c r="L8" s="22">
        <v>0</v>
      </c>
      <c r="M8" s="32">
        <v>29</v>
      </c>
      <c r="N8" s="44">
        <v>71</v>
      </c>
    </row>
    <row r="9" spans="1:16" ht="15" customHeight="1" x14ac:dyDescent="0.25">
      <c r="A9" s="3">
        <v>3</v>
      </c>
      <c r="B9" s="4" t="s">
        <v>2</v>
      </c>
      <c r="C9" s="5">
        <v>1772</v>
      </c>
      <c r="D9" s="5">
        <v>2</v>
      </c>
      <c r="E9" s="5">
        <v>44</v>
      </c>
      <c r="F9" s="5">
        <v>29</v>
      </c>
      <c r="G9" s="5">
        <v>25</v>
      </c>
      <c r="H9" s="30">
        <v>100</v>
      </c>
      <c r="I9" s="31">
        <v>1291</v>
      </c>
      <c r="J9" s="5">
        <v>582</v>
      </c>
      <c r="K9" s="5">
        <v>75</v>
      </c>
      <c r="L9" s="5">
        <v>0</v>
      </c>
      <c r="M9" s="30">
        <v>1948</v>
      </c>
      <c r="N9" s="43">
        <v>2048</v>
      </c>
    </row>
    <row r="10" spans="1:16" ht="15" customHeight="1" x14ac:dyDescent="0.25">
      <c r="A10" s="20">
        <v>4</v>
      </c>
      <c r="B10" s="21" t="s">
        <v>3</v>
      </c>
      <c r="C10" s="22">
        <v>605</v>
      </c>
      <c r="D10" s="22">
        <v>0</v>
      </c>
      <c r="E10" s="22">
        <v>0</v>
      </c>
      <c r="F10" s="22">
        <v>0</v>
      </c>
      <c r="G10" s="22">
        <v>0</v>
      </c>
      <c r="H10" s="32">
        <v>0</v>
      </c>
      <c r="I10" s="33">
        <v>546</v>
      </c>
      <c r="J10" s="22">
        <v>68</v>
      </c>
      <c r="K10" s="22">
        <v>2</v>
      </c>
      <c r="L10" s="22">
        <v>0</v>
      </c>
      <c r="M10" s="32">
        <v>616</v>
      </c>
      <c r="N10" s="44">
        <v>616</v>
      </c>
    </row>
    <row r="11" spans="1:16" ht="15" customHeight="1" x14ac:dyDescent="0.25">
      <c r="A11" s="3">
        <v>5</v>
      </c>
      <c r="B11" s="4" t="s">
        <v>4</v>
      </c>
      <c r="C11" s="5">
        <v>1908</v>
      </c>
      <c r="D11" s="5">
        <v>47</v>
      </c>
      <c r="E11" s="5">
        <v>77</v>
      </c>
      <c r="F11" s="5">
        <v>396</v>
      </c>
      <c r="G11" s="5">
        <v>614</v>
      </c>
      <c r="H11" s="30">
        <v>1134</v>
      </c>
      <c r="I11" s="31">
        <v>525</v>
      </c>
      <c r="J11" s="5">
        <v>245</v>
      </c>
      <c r="K11" s="5">
        <v>14</v>
      </c>
      <c r="L11" s="5">
        <v>8</v>
      </c>
      <c r="M11" s="30">
        <v>792</v>
      </c>
      <c r="N11" s="43">
        <v>1926</v>
      </c>
    </row>
    <row r="12" spans="1:16" ht="15" customHeight="1" x14ac:dyDescent="0.25">
      <c r="A12" s="20">
        <v>6</v>
      </c>
      <c r="B12" s="21" t="s">
        <v>5</v>
      </c>
      <c r="C12" s="22">
        <v>76</v>
      </c>
      <c r="D12" s="22">
        <v>4</v>
      </c>
      <c r="E12" s="22">
        <v>5</v>
      </c>
      <c r="F12" s="22">
        <v>31</v>
      </c>
      <c r="G12" s="22">
        <v>16</v>
      </c>
      <c r="H12" s="32">
        <v>56</v>
      </c>
      <c r="I12" s="33">
        <v>13</v>
      </c>
      <c r="J12" s="22">
        <v>6</v>
      </c>
      <c r="K12" s="22">
        <v>1</v>
      </c>
      <c r="L12" s="22">
        <v>0</v>
      </c>
      <c r="M12" s="32">
        <v>20</v>
      </c>
      <c r="N12" s="44">
        <v>76</v>
      </c>
    </row>
    <row r="13" spans="1:16" ht="15" customHeight="1" x14ac:dyDescent="0.25">
      <c r="A13" s="3">
        <v>7</v>
      </c>
      <c r="B13" s="4" t="s">
        <v>6</v>
      </c>
      <c r="C13" s="5">
        <v>477</v>
      </c>
      <c r="D13" s="5">
        <v>0</v>
      </c>
      <c r="E13" s="5">
        <v>0</v>
      </c>
      <c r="F13" s="5">
        <v>0</v>
      </c>
      <c r="G13" s="5">
        <v>2</v>
      </c>
      <c r="H13" s="30">
        <v>2</v>
      </c>
      <c r="I13" s="31">
        <v>349</v>
      </c>
      <c r="J13" s="5">
        <v>125</v>
      </c>
      <c r="K13" s="5">
        <v>2</v>
      </c>
      <c r="L13" s="5">
        <v>1</v>
      </c>
      <c r="M13" s="30">
        <v>477</v>
      </c>
      <c r="N13" s="43">
        <v>479</v>
      </c>
    </row>
    <row r="14" spans="1:16" ht="15" customHeight="1" x14ac:dyDescent="0.25">
      <c r="A14" s="20">
        <v>8</v>
      </c>
      <c r="B14" s="21" t="s">
        <v>7</v>
      </c>
      <c r="C14" s="22">
        <v>1099</v>
      </c>
      <c r="D14" s="22">
        <v>5</v>
      </c>
      <c r="E14" s="22">
        <v>7</v>
      </c>
      <c r="F14" s="22">
        <v>73</v>
      </c>
      <c r="G14" s="22">
        <v>52</v>
      </c>
      <c r="H14" s="32">
        <v>137</v>
      </c>
      <c r="I14" s="33">
        <v>692</v>
      </c>
      <c r="J14" s="22">
        <v>246</v>
      </c>
      <c r="K14" s="22">
        <v>26</v>
      </c>
      <c r="L14" s="22">
        <v>3</v>
      </c>
      <c r="M14" s="32">
        <v>967</v>
      </c>
      <c r="N14" s="44">
        <v>1104</v>
      </c>
    </row>
    <row r="15" spans="1:16" ht="15" customHeight="1" x14ac:dyDescent="0.25">
      <c r="A15" s="3">
        <v>9</v>
      </c>
      <c r="B15" s="4" t="s">
        <v>40</v>
      </c>
      <c r="C15" s="5">
        <v>249</v>
      </c>
      <c r="D15" s="5">
        <v>7</v>
      </c>
      <c r="E15" s="5">
        <v>18</v>
      </c>
      <c r="F15" s="5">
        <v>52</v>
      </c>
      <c r="G15" s="5">
        <v>68</v>
      </c>
      <c r="H15" s="30">
        <v>145</v>
      </c>
      <c r="I15" s="31">
        <v>78</v>
      </c>
      <c r="J15" s="5">
        <v>23</v>
      </c>
      <c r="K15" s="5">
        <v>5</v>
      </c>
      <c r="L15" s="5">
        <v>0</v>
      </c>
      <c r="M15" s="30">
        <v>106</v>
      </c>
      <c r="N15" s="43">
        <v>251</v>
      </c>
    </row>
    <row r="16" spans="1:16" ht="15" customHeight="1" x14ac:dyDescent="0.25">
      <c r="A16" s="20">
        <v>10</v>
      </c>
      <c r="B16" s="21" t="s">
        <v>41</v>
      </c>
      <c r="C16" s="22">
        <v>296</v>
      </c>
      <c r="D16" s="22">
        <v>1</v>
      </c>
      <c r="E16" s="22">
        <v>5</v>
      </c>
      <c r="F16" s="22">
        <v>21</v>
      </c>
      <c r="G16" s="22">
        <v>16</v>
      </c>
      <c r="H16" s="32">
        <v>43</v>
      </c>
      <c r="I16" s="33">
        <v>163</v>
      </c>
      <c r="J16" s="22">
        <v>88</v>
      </c>
      <c r="K16" s="22">
        <v>4</v>
      </c>
      <c r="L16" s="22">
        <v>0</v>
      </c>
      <c r="M16" s="32">
        <v>255</v>
      </c>
      <c r="N16" s="44">
        <v>298</v>
      </c>
    </row>
    <row r="17" spans="1:14" ht="15" customHeight="1" x14ac:dyDescent="0.25">
      <c r="A17" s="3">
        <v>11</v>
      </c>
      <c r="B17" s="4" t="s">
        <v>8</v>
      </c>
      <c r="C17" s="5">
        <v>914</v>
      </c>
      <c r="D17" s="5">
        <v>0</v>
      </c>
      <c r="E17" s="5">
        <v>2</v>
      </c>
      <c r="F17" s="5">
        <v>10</v>
      </c>
      <c r="G17" s="5">
        <v>72</v>
      </c>
      <c r="H17" s="30">
        <v>84</v>
      </c>
      <c r="I17" s="31">
        <v>632</v>
      </c>
      <c r="J17" s="5">
        <v>203</v>
      </c>
      <c r="K17" s="5">
        <v>8</v>
      </c>
      <c r="L17" s="5">
        <v>0</v>
      </c>
      <c r="M17" s="30">
        <v>843</v>
      </c>
      <c r="N17" s="43">
        <v>927</v>
      </c>
    </row>
    <row r="18" spans="1:14" ht="15" customHeight="1" x14ac:dyDescent="0.25">
      <c r="A18" s="20">
        <v>12</v>
      </c>
      <c r="B18" s="21" t="s">
        <v>9</v>
      </c>
      <c r="C18" s="22">
        <v>546</v>
      </c>
      <c r="D18" s="22">
        <v>0</v>
      </c>
      <c r="E18" s="22">
        <v>0</v>
      </c>
      <c r="F18" s="22">
        <v>0</v>
      </c>
      <c r="G18" s="22">
        <v>1</v>
      </c>
      <c r="H18" s="32">
        <v>1</v>
      </c>
      <c r="I18" s="33">
        <v>452</v>
      </c>
      <c r="J18" s="22">
        <v>94</v>
      </c>
      <c r="K18" s="22">
        <v>9</v>
      </c>
      <c r="L18" s="22">
        <v>2</v>
      </c>
      <c r="M18" s="32">
        <v>557</v>
      </c>
      <c r="N18" s="44">
        <v>558</v>
      </c>
    </row>
    <row r="19" spans="1:14" ht="15" customHeight="1" x14ac:dyDescent="0.25">
      <c r="A19" s="3">
        <v>13</v>
      </c>
      <c r="B19" s="4" t="s">
        <v>10</v>
      </c>
      <c r="C19" s="5">
        <v>2003</v>
      </c>
      <c r="D19" s="5">
        <v>32</v>
      </c>
      <c r="E19" s="5">
        <v>115</v>
      </c>
      <c r="F19" s="5">
        <v>372</v>
      </c>
      <c r="G19" s="5">
        <v>566</v>
      </c>
      <c r="H19" s="30">
        <v>1085</v>
      </c>
      <c r="I19" s="31">
        <v>595</v>
      </c>
      <c r="J19" s="5">
        <v>288</v>
      </c>
      <c r="K19" s="5">
        <v>42</v>
      </c>
      <c r="L19" s="5">
        <v>25</v>
      </c>
      <c r="M19" s="30">
        <v>950</v>
      </c>
      <c r="N19" s="43">
        <v>2035</v>
      </c>
    </row>
    <row r="20" spans="1:14" ht="15" customHeight="1" x14ac:dyDescent="0.25">
      <c r="A20" s="20">
        <v>14</v>
      </c>
      <c r="B20" s="21" t="s">
        <v>42</v>
      </c>
      <c r="C20" s="22">
        <v>5562</v>
      </c>
      <c r="D20" s="22">
        <v>50</v>
      </c>
      <c r="E20" s="22">
        <v>207</v>
      </c>
      <c r="F20" s="22">
        <v>1275</v>
      </c>
      <c r="G20" s="22">
        <v>1550</v>
      </c>
      <c r="H20" s="32">
        <v>3082</v>
      </c>
      <c r="I20" s="33">
        <v>1651</v>
      </c>
      <c r="J20" s="22">
        <v>716</v>
      </c>
      <c r="K20" s="22">
        <v>104</v>
      </c>
      <c r="L20" s="22">
        <v>46</v>
      </c>
      <c r="M20" s="32">
        <v>2517</v>
      </c>
      <c r="N20" s="44">
        <v>5599</v>
      </c>
    </row>
    <row r="21" spans="1:14" ht="15" customHeight="1" x14ac:dyDescent="0.25">
      <c r="A21" s="3">
        <v>15</v>
      </c>
      <c r="B21" s="4" t="s">
        <v>11</v>
      </c>
      <c r="C21" s="5">
        <v>1933</v>
      </c>
      <c r="D21" s="5">
        <v>1</v>
      </c>
      <c r="E21" s="5">
        <v>2</v>
      </c>
      <c r="F21" s="5">
        <v>3</v>
      </c>
      <c r="G21" s="5">
        <v>6</v>
      </c>
      <c r="H21" s="30">
        <v>12</v>
      </c>
      <c r="I21" s="31">
        <v>1428</v>
      </c>
      <c r="J21" s="5">
        <v>454</v>
      </c>
      <c r="K21" s="5">
        <v>34</v>
      </c>
      <c r="L21" s="5">
        <v>17</v>
      </c>
      <c r="M21" s="30">
        <v>1933</v>
      </c>
      <c r="N21" s="43">
        <v>1945</v>
      </c>
    </row>
    <row r="22" spans="1:14" ht="15" customHeight="1" x14ac:dyDescent="0.25">
      <c r="A22" s="20">
        <v>16</v>
      </c>
      <c r="B22" s="21" t="s">
        <v>12</v>
      </c>
      <c r="C22" s="22">
        <v>40</v>
      </c>
      <c r="D22" s="22">
        <v>0</v>
      </c>
      <c r="E22" s="22">
        <v>0</v>
      </c>
      <c r="F22" s="22">
        <v>0</v>
      </c>
      <c r="G22" s="22">
        <v>2</v>
      </c>
      <c r="H22" s="32">
        <v>2</v>
      </c>
      <c r="I22" s="33">
        <v>24</v>
      </c>
      <c r="J22" s="22">
        <v>15</v>
      </c>
      <c r="K22" s="22">
        <v>0</v>
      </c>
      <c r="L22" s="22">
        <v>0</v>
      </c>
      <c r="M22" s="32">
        <v>39</v>
      </c>
      <c r="N22" s="44">
        <v>41</v>
      </c>
    </row>
    <row r="23" spans="1:14" ht="15" customHeight="1" x14ac:dyDescent="0.25">
      <c r="A23" s="3">
        <v>17</v>
      </c>
      <c r="B23" s="4" t="s">
        <v>13</v>
      </c>
      <c r="C23" s="5">
        <v>119</v>
      </c>
      <c r="D23" s="5">
        <v>5</v>
      </c>
      <c r="E23" s="5">
        <v>18</v>
      </c>
      <c r="F23" s="5">
        <v>13</v>
      </c>
      <c r="G23" s="5">
        <v>10</v>
      </c>
      <c r="H23" s="30">
        <v>46</v>
      </c>
      <c r="I23" s="31">
        <v>47</v>
      </c>
      <c r="J23" s="5">
        <v>22</v>
      </c>
      <c r="K23" s="5">
        <v>4</v>
      </c>
      <c r="L23" s="5">
        <v>0</v>
      </c>
      <c r="M23" s="30">
        <v>73</v>
      </c>
      <c r="N23" s="43">
        <v>119</v>
      </c>
    </row>
    <row r="24" spans="1:14" ht="15" customHeight="1" x14ac:dyDescent="0.25">
      <c r="A24" s="20">
        <v>18</v>
      </c>
      <c r="B24" s="21" t="s">
        <v>14</v>
      </c>
      <c r="C24" s="22">
        <v>25</v>
      </c>
      <c r="D24" s="22">
        <v>0</v>
      </c>
      <c r="E24" s="22">
        <v>0</v>
      </c>
      <c r="F24" s="22">
        <v>0</v>
      </c>
      <c r="G24" s="22">
        <v>0</v>
      </c>
      <c r="H24" s="32">
        <v>0</v>
      </c>
      <c r="I24" s="33">
        <v>13</v>
      </c>
      <c r="J24" s="22">
        <v>8</v>
      </c>
      <c r="K24" s="22">
        <v>2</v>
      </c>
      <c r="L24" s="22">
        <v>2</v>
      </c>
      <c r="M24" s="32">
        <v>25</v>
      </c>
      <c r="N24" s="44">
        <v>25</v>
      </c>
    </row>
    <row r="25" spans="1:14" ht="15" customHeight="1" x14ac:dyDescent="0.25">
      <c r="A25" s="3">
        <v>19</v>
      </c>
      <c r="B25" s="4" t="s">
        <v>15</v>
      </c>
      <c r="C25" s="5">
        <v>10</v>
      </c>
      <c r="D25" s="5">
        <v>0</v>
      </c>
      <c r="E25" s="5">
        <v>0</v>
      </c>
      <c r="F25" s="5">
        <v>1</v>
      </c>
      <c r="G25" s="5">
        <v>0</v>
      </c>
      <c r="H25" s="30">
        <v>1</v>
      </c>
      <c r="I25" s="31">
        <v>3</v>
      </c>
      <c r="J25" s="5">
        <v>5</v>
      </c>
      <c r="K25" s="5">
        <v>0</v>
      </c>
      <c r="L25" s="5">
        <v>1</v>
      </c>
      <c r="M25" s="30">
        <v>9</v>
      </c>
      <c r="N25" s="43">
        <v>10</v>
      </c>
    </row>
    <row r="26" spans="1:14" ht="15" customHeight="1" x14ac:dyDescent="0.25">
      <c r="A26" s="20">
        <v>20</v>
      </c>
      <c r="B26" s="21" t="s">
        <v>16</v>
      </c>
      <c r="C26" s="22">
        <v>2070</v>
      </c>
      <c r="D26" s="22">
        <v>2</v>
      </c>
      <c r="E26" s="22">
        <v>15</v>
      </c>
      <c r="F26" s="22">
        <v>254</v>
      </c>
      <c r="G26" s="22">
        <v>1026</v>
      </c>
      <c r="H26" s="32">
        <v>1297</v>
      </c>
      <c r="I26" s="33">
        <v>737</v>
      </c>
      <c r="J26" s="22">
        <v>48</v>
      </c>
      <c r="K26" s="22">
        <v>0</v>
      </c>
      <c r="L26" s="22">
        <v>0</v>
      </c>
      <c r="M26" s="32">
        <v>785</v>
      </c>
      <c r="N26" s="44">
        <v>2082</v>
      </c>
    </row>
    <row r="27" spans="1:14" ht="15" customHeight="1" x14ac:dyDescent="0.25">
      <c r="A27" s="3">
        <v>21</v>
      </c>
      <c r="B27" s="4" t="s">
        <v>17</v>
      </c>
      <c r="C27" s="5">
        <v>530</v>
      </c>
      <c r="D27" s="5">
        <v>3</v>
      </c>
      <c r="E27" s="5">
        <v>9</v>
      </c>
      <c r="F27" s="5">
        <v>55</v>
      </c>
      <c r="G27" s="5">
        <v>59</v>
      </c>
      <c r="H27" s="30">
        <v>126</v>
      </c>
      <c r="I27" s="31">
        <v>310</v>
      </c>
      <c r="J27" s="5">
        <v>98</v>
      </c>
      <c r="K27" s="5">
        <v>14</v>
      </c>
      <c r="L27" s="5">
        <v>2</v>
      </c>
      <c r="M27" s="30">
        <v>424</v>
      </c>
      <c r="N27" s="43">
        <v>550</v>
      </c>
    </row>
    <row r="28" spans="1:14" ht="15" customHeight="1" x14ac:dyDescent="0.25">
      <c r="A28" s="20">
        <v>22</v>
      </c>
      <c r="B28" s="21" t="s">
        <v>18</v>
      </c>
      <c r="C28" s="22">
        <v>3305</v>
      </c>
      <c r="D28" s="22">
        <v>7</v>
      </c>
      <c r="E28" s="22">
        <v>29</v>
      </c>
      <c r="F28" s="22">
        <v>156</v>
      </c>
      <c r="G28" s="22">
        <v>320</v>
      </c>
      <c r="H28" s="32">
        <v>512</v>
      </c>
      <c r="I28" s="33">
        <v>1988</v>
      </c>
      <c r="J28" s="22">
        <v>744</v>
      </c>
      <c r="K28" s="22">
        <v>71</v>
      </c>
      <c r="L28" s="22">
        <v>4</v>
      </c>
      <c r="M28" s="32">
        <v>2807</v>
      </c>
      <c r="N28" s="44">
        <v>3319</v>
      </c>
    </row>
    <row r="29" spans="1:14" ht="15" customHeight="1" x14ac:dyDescent="0.25">
      <c r="A29" s="3">
        <v>23</v>
      </c>
      <c r="B29" s="4" t="s">
        <v>19</v>
      </c>
      <c r="C29" s="5">
        <v>17</v>
      </c>
      <c r="D29" s="5">
        <v>0</v>
      </c>
      <c r="E29" s="5">
        <v>0</v>
      </c>
      <c r="F29" s="5">
        <v>0</v>
      </c>
      <c r="G29" s="5">
        <v>0</v>
      </c>
      <c r="H29" s="30">
        <v>0</v>
      </c>
      <c r="I29" s="31">
        <v>12</v>
      </c>
      <c r="J29" s="5">
        <v>4</v>
      </c>
      <c r="K29" s="5">
        <v>1</v>
      </c>
      <c r="L29" s="5">
        <v>0</v>
      </c>
      <c r="M29" s="30">
        <v>17</v>
      </c>
      <c r="N29" s="43">
        <v>17</v>
      </c>
    </row>
    <row r="30" spans="1:14" ht="15" customHeight="1" x14ac:dyDescent="0.25">
      <c r="A30" s="20">
        <v>24</v>
      </c>
      <c r="B30" s="21" t="s">
        <v>20</v>
      </c>
      <c r="C30" s="22">
        <v>283</v>
      </c>
      <c r="D30" s="22">
        <v>0</v>
      </c>
      <c r="E30" s="22">
        <v>0</v>
      </c>
      <c r="F30" s="22">
        <v>0</v>
      </c>
      <c r="G30" s="22">
        <v>0</v>
      </c>
      <c r="H30" s="32">
        <v>0</v>
      </c>
      <c r="I30" s="33">
        <v>230</v>
      </c>
      <c r="J30" s="22">
        <v>44</v>
      </c>
      <c r="K30" s="22">
        <v>4</v>
      </c>
      <c r="L30" s="22">
        <v>5</v>
      </c>
      <c r="M30" s="32">
        <v>283</v>
      </c>
      <c r="N30" s="44">
        <v>283</v>
      </c>
    </row>
    <row r="31" spans="1:14" ht="15" customHeight="1" x14ac:dyDescent="0.25">
      <c r="A31" s="3">
        <v>25</v>
      </c>
      <c r="B31" s="4" t="s">
        <v>21</v>
      </c>
      <c r="C31" s="5">
        <v>552</v>
      </c>
      <c r="D31" s="5">
        <v>0</v>
      </c>
      <c r="E31" s="5">
        <v>0</v>
      </c>
      <c r="F31" s="5">
        <v>0</v>
      </c>
      <c r="G31" s="5">
        <v>0</v>
      </c>
      <c r="H31" s="30">
        <v>0</v>
      </c>
      <c r="I31" s="31">
        <v>502</v>
      </c>
      <c r="J31" s="5">
        <v>178</v>
      </c>
      <c r="K31" s="5">
        <v>14</v>
      </c>
      <c r="L31" s="5">
        <v>5</v>
      </c>
      <c r="M31" s="30">
        <v>699</v>
      </c>
      <c r="N31" s="43">
        <v>699</v>
      </c>
    </row>
    <row r="32" spans="1:14" ht="15" customHeight="1" x14ac:dyDescent="0.25">
      <c r="A32" s="20">
        <v>26</v>
      </c>
      <c r="B32" s="21" t="s">
        <v>22</v>
      </c>
      <c r="C32" s="22">
        <v>95</v>
      </c>
      <c r="D32" s="22">
        <v>1</v>
      </c>
      <c r="E32" s="22">
        <v>0</v>
      </c>
      <c r="F32" s="22">
        <v>1</v>
      </c>
      <c r="G32" s="22">
        <v>3</v>
      </c>
      <c r="H32" s="32">
        <v>5</v>
      </c>
      <c r="I32" s="33">
        <v>55</v>
      </c>
      <c r="J32" s="22">
        <v>35</v>
      </c>
      <c r="K32" s="22">
        <v>5</v>
      </c>
      <c r="L32" s="22">
        <v>1</v>
      </c>
      <c r="M32" s="32">
        <v>96</v>
      </c>
      <c r="N32" s="44">
        <v>101</v>
      </c>
    </row>
    <row r="33" spans="1:16" ht="15" customHeight="1" x14ac:dyDescent="0.25">
      <c r="A33" s="3">
        <v>27</v>
      </c>
      <c r="B33" s="4" t="s">
        <v>43</v>
      </c>
      <c r="C33" s="5">
        <v>4246</v>
      </c>
      <c r="D33" s="5">
        <v>105</v>
      </c>
      <c r="E33" s="5">
        <v>190</v>
      </c>
      <c r="F33" s="5">
        <v>713</v>
      </c>
      <c r="G33" s="5">
        <v>552</v>
      </c>
      <c r="H33" s="30">
        <v>1560</v>
      </c>
      <c r="I33" s="31">
        <v>2313</v>
      </c>
      <c r="J33" s="5">
        <v>779</v>
      </c>
      <c r="K33" s="5">
        <v>9</v>
      </c>
      <c r="L33" s="5">
        <v>8</v>
      </c>
      <c r="M33" s="30">
        <v>3109</v>
      </c>
      <c r="N33" s="43">
        <v>4669</v>
      </c>
    </row>
    <row r="34" spans="1:16" ht="15" customHeight="1" x14ac:dyDescent="0.25">
      <c r="A34" s="20">
        <v>28</v>
      </c>
      <c r="B34" s="21" t="s">
        <v>23</v>
      </c>
      <c r="C34" s="22">
        <v>374</v>
      </c>
      <c r="D34" s="22">
        <v>8</v>
      </c>
      <c r="E34" s="22">
        <v>12</v>
      </c>
      <c r="F34" s="22">
        <v>71</v>
      </c>
      <c r="G34" s="22">
        <v>69</v>
      </c>
      <c r="H34" s="32">
        <v>160</v>
      </c>
      <c r="I34" s="33">
        <v>189</v>
      </c>
      <c r="J34" s="22">
        <v>41</v>
      </c>
      <c r="K34" s="22">
        <v>6</v>
      </c>
      <c r="L34" s="22">
        <v>1</v>
      </c>
      <c r="M34" s="32">
        <v>237</v>
      </c>
      <c r="N34" s="44">
        <v>397</v>
      </c>
    </row>
    <row r="35" spans="1:16" ht="15" customHeight="1" x14ac:dyDescent="0.25">
      <c r="A35" s="3">
        <v>29</v>
      </c>
      <c r="B35" s="4" t="s">
        <v>24</v>
      </c>
      <c r="C35" s="5">
        <v>1084</v>
      </c>
      <c r="D35" s="5">
        <v>0</v>
      </c>
      <c r="E35" s="5">
        <v>0</v>
      </c>
      <c r="F35" s="5">
        <v>0</v>
      </c>
      <c r="G35" s="5">
        <v>0</v>
      </c>
      <c r="H35" s="30">
        <v>0</v>
      </c>
      <c r="I35" s="31">
        <v>799</v>
      </c>
      <c r="J35" s="5">
        <v>263</v>
      </c>
      <c r="K35" s="5">
        <v>21</v>
      </c>
      <c r="L35" s="5">
        <v>1</v>
      </c>
      <c r="M35" s="30">
        <v>1084</v>
      </c>
      <c r="N35" s="43">
        <v>1084</v>
      </c>
    </row>
    <row r="36" spans="1:16" ht="15" customHeight="1" x14ac:dyDescent="0.25">
      <c r="A36" s="23"/>
      <c r="B36" s="24" t="s">
        <v>45</v>
      </c>
      <c r="C36" s="25">
        <v>31237</v>
      </c>
      <c r="D36" s="25">
        <v>295</v>
      </c>
      <c r="E36" s="25">
        <v>810</v>
      </c>
      <c r="F36" s="25">
        <v>3730</v>
      </c>
      <c r="G36" s="25">
        <v>5338</v>
      </c>
      <c r="H36" s="34">
        <v>10173</v>
      </c>
      <c r="I36" s="35">
        <v>15994</v>
      </c>
      <c r="J36" s="25">
        <v>5548</v>
      </c>
      <c r="K36" s="25">
        <v>483</v>
      </c>
      <c r="L36" s="25">
        <v>136</v>
      </c>
      <c r="M36" s="34">
        <v>22161</v>
      </c>
      <c r="N36" s="45">
        <v>32334</v>
      </c>
    </row>
    <row r="37" spans="1:16" ht="15" customHeight="1" x14ac:dyDescent="0.25">
      <c r="A37" s="16" t="s">
        <v>25</v>
      </c>
      <c r="B37" s="17"/>
      <c r="C37" s="17"/>
      <c r="D37" s="17"/>
      <c r="E37" s="17"/>
      <c r="F37" s="18"/>
      <c r="G37" s="18"/>
      <c r="H37" s="19"/>
      <c r="I37" s="36"/>
      <c r="J37" s="18"/>
      <c r="K37" s="18"/>
      <c r="L37" s="18"/>
      <c r="M37" s="19"/>
      <c r="N37" s="46"/>
    </row>
    <row r="38" spans="1:16" ht="15" customHeight="1" x14ac:dyDescent="0.25">
      <c r="A38" s="3">
        <v>30</v>
      </c>
      <c r="B38" s="4" t="s">
        <v>44</v>
      </c>
      <c r="C38" s="5">
        <v>13</v>
      </c>
      <c r="D38" s="5">
        <v>0</v>
      </c>
      <c r="E38" s="5">
        <v>0</v>
      </c>
      <c r="F38" s="5">
        <v>0</v>
      </c>
      <c r="G38" s="5">
        <v>1</v>
      </c>
      <c r="H38" s="30">
        <v>1</v>
      </c>
      <c r="I38" s="31">
        <v>8</v>
      </c>
      <c r="J38" s="5">
        <v>4</v>
      </c>
      <c r="K38" s="5">
        <v>0</v>
      </c>
      <c r="L38" s="5">
        <v>0</v>
      </c>
      <c r="M38" s="30">
        <v>12</v>
      </c>
      <c r="N38" s="43">
        <v>13</v>
      </c>
    </row>
    <row r="39" spans="1:16" ht="15" customHeight="1" x14ac:dyDescent="0.25">
      <c r="A39" s="20">
        <v>31</v>
      </c>
      <c r="B39" s="21" t="s">
        <v>26</v>
      </c>
      <c r="C39" s="22">
        <v>65</v>
      </c>
      <c r="D39" s="22">
        <v>3</v>
      </c>
      <c r="E39" s="22">
        <v>6</v>
      </c>
      <c r="F39" s="22">
        <v>29</v>
      </c>
      <c r="G39" s="22">
        <v>7</v>
      </c>
      <c r="H39" s="32">
        <v>45</v>
      </c>
      <c r="I39" s="33">
        <v>16</v>
      </c>
      <c r="J39" s="22">
        <v>4</v>
      </c>
      <c r="K39" s="22">
        <v>0</v>
      </c>
      <c r="L39" s="22">
        <v>0</v>
      </c>
      <c r="M39" s="32">
        <v>20</v>
      </c>
      <c r="N39" s="44">
        <v>65</v>
      </c>
    </row>
    <row r="40" spans="1:16" ht="15" customHeight="1" x14ac:dyDescent="0.25">
      <c r="A40" s="3">
        <v>32</v>
      </c>
      <c r="B40" s="4" t="s">
        <v>27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30">
        <v>0</v>
      </c>
      <c r="I40" s="31">
        <v>1</v>
      </c>
      <c r="J40" s="5">
        <v>0</v>
      </c>
      <c r="K40" s="5">
        <v>0</v>
      </c>
      <c r="L40" s="5">
        <v>0</v>
      </c>
      <c r="M40" s="30">
        <v>1</v>
      </c>
      <c r="N40" s="43">
        <v>1</v>
      </c>
    </row>
    <row r="41" spans="1:16" ht="15" customHeight="1" x14ac:dyDescent="0.25">
      <c r="A41" s="20">
        <v>33</v>
      </c>
      <c r="B41" s="21" t="s">
        <v>28</v>
      </c>
      <c r="C41" s="22">
        <v>7</v>
      </c>
      <c r="D41" s="22">
        <v>0</v>
      </c>
      <c r="E41" s="22">
        <v>2</v>
      </c>
      <c r="F41" s="22">
        <v>0</v>
      </c>
      <c r="G41" s="22">
        <v>0</v>
      </c>
      <c r="H41" s="32">
        <v>2</v>
      </c>
      <c r="I41" s="33">
        <v>3</v>
      </c>
      <c r="J41" s="22">
        <v>2</v>
      </c>
      <c r="K41" s="22">
        <v>0</v>
      </c>
      <c r="L41" s="22">
        <v>0</v>
      </c>
      <c r="M41" s="32">
        <v>5</v>
      </c>
      <c r="N41" s="44">
        <v>7</v>
      </c>
    </row>
    <row r="42" spans="1:16" ht="15" customHeight="1" x14ac:dyDescent="0.25">
      <c r="A42" s="3">
        <v>34</v>
      </c>
      <c r="B42" s="4" t="s">
        <v>29</v>
      </c>
      <c r="C42" s="5">
        <v>1229</v>
      </c>
      <c r="D42" s="5">
        <v>0</v>
      </c>
      <c r="E42" s="5">
        <v>0</v>
      </c>
      <c r="F42" s="5">
        <v>0</v>
      </c>
      <c r="G42" s="5">
        <v>0</v>
      </c>
      <c r="H42" s="30">
        <v>0</v>
      </c>
      <c r="I42" s="31">
        <v>871</v>
      </c>
      <c r="J42" s="5">
        <v>337</v>
      </c>
      <c r="K42" s="5">
        <v>20</v>
      </c>
      <c r="L42" s="5">
        <v>3</v>
      </c>
      <c r="M42" s="30">
        <v>1231</v>
      </c>
      <c r="N42" s="43">
        <v>1231</v>
      </c>
    </row>
    <row r="43" spans="1:16" ht="15" customHeight="1" x14ac:dyDescent="0.25">
      <c r="A43" s="20">
        <v>35</v>
      </c>
      <c r="B43" s="21" t="s">
        <v>30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32">
        <v>0</v>
      </c>
      <c r="I43" s="33">
        <v>0</v>
      </c>
      <c r="J43" s="22">
        <v>0</v>
      </c>
      <c r="K43" s="22">
        <v>0</v>
      </c>
      <c r="L43" s="22">
        <v>0</v>
      </c>
      <c r="M43" s="32">
        <v>0</v>
      </c>
      <c r="N43" s="44">
        <v>0</v>
      </c>
    </row>
    <row r="44" spans="1:16" ht="15" customHeight="1" x14ac:dyDescent="0.25">
      <c r="A44" s="3">
        <v>36</v>
      </c>
      <c r="B44" s="4" t="s">
        <v>31</v>
      </c>
      <c r="C44" s="5">
        <v>7</v>
      </c>
      <c r="D44" s="5">
        <v>0</v>
      </c>
      <c r="E44" s="5">
        <v>0</v>
      </c>
      <c r="F44" s="5">
        <v>0</v>
      </c>
      <c r="G44" s="5">
        <v>0</v>
      </c>
      <c r="H44" s="30">
        <v>0</v>
      </c>
      <c r="I44" s="31">
        <v>7</v>
      </c>
      <c r="J44" s="5">
        <v>0</v>
      </c>
      <c r="K44" s="5">
        <v>0</v>
      </c>
      <c r="L44" s="5">
        <v>0</v>
      </c>
      <c r="M44" s="30">
        <v>7</v>
      </c>
      <c r="N44" s="43">
        <v>7</v>
      </c>
    </row>
    <row r="45" spans="1:16" ht="15" customHeight="1" x14ac:dyDescent="0.25">
      <c r="A45" s="23"/>
      <c r="B45" s="24" t="s">
        <v>32</v>
      </c>
      <c r="C45" s="25">
        <v>1322</v>
      </c>
      <c r="D45" s="25">
        <v>3</v>
      </c>
      <c r="E45" s="25">
        <v>8</v>
      </c>
      <c r="F45" s="25">
        <v>29</v>
      </c>
      <c r="G45" s="25">
        <v>8</v>
      </c>
      <c r="H45" s="34">
        <v>48</v>
      </c>
      <c r="I45" s="35">
        <v>906</v>
      </c>
      <c r="J45" s="25">
        <v>347</v>
      </c>
      <c r="K45" s="25">
        <v>20</v>
      </c>
      <c r="L45" s="25">
        <v>3</v>
      </c>
      <c r="M45" s="34">
        <v>1276</v>
      </c>
      <c r="N45" s="45">
        <v>1324</v>
      </c>
    </row>
    <row r="46" spans="1:16" ht="15" customHeight="1" x14ac:dyDescent="0.25">
      <c r="A46" s="39"/>
      <c r="B46" s="40" t="s">
        <v>38</v>
      </c>
      <c r="C46" s="41">
        <v>32559</v>
      </c>
      <c r="D46" s="41">
        <v>298</v>
      </c>
      <c r="E46" s="41">
        <v>818</v>
      </c>
      <c r="F46" s="41">
        <v>3759</v>
      </c>
      <c r="G46" s="41">
        <v>5346</v>
      </c>
      <c r="H46" s="37">
        <v>10221</v>
      </c>
      <c r="I46" s="38">
        <v>16900</v>
      </c>
      <c r="J46" s="41">
        <v>5895</v>
      </c>
      <c r="K46" s="41">
        <v>503</v>
      </c>
      <c r="L46" s="41">
        <v>139</v>
      </c>
      <c r="M46" s="37">
        <v>23437</v>
      </c>
      <c r="N46" s="47">
        <v>33658</v>
      </c>
    </row>
    <row r="47" spans="1:16" ht="28.5" customHeight="1" x14ac:dyDescent="0.25">
      <c r="A47" s="57" t="s">
        <v>46</v>
      </c>
      <c r="B47" s="58"/>
      <c r="C47" s="6"/>
      <c r="D47" s="7">
        <f>D46/$N$46*100</f>
        <v>0.88537643353734619</v>
      </c>
      <c r="E47" s="7">
        <f t="shared" ref="E47:N47" si="0">E46/$N$46*100</f>
        <v>2.4303285994414403</v>
      </c>
      <c r="F47" s="7">
        <f t="shared" si="0"/>
        <v>11.168221522372097</v>
      </c>
      <c r="G47" s="7">
        <f t="shared" si="0"/>
        <v>15.883296690237092</v>
      </c>
      <c r="H47" s="26">
        <f t="shared" si="0"/>
        <v>30.367223245587972</v>
      </c>
      <c r="I47" s="27">
        <f t="shared" si="0"/>
        <v>50.210945391883058</v>
      </c>
      <c r="J47" s="7">
        <f t="shared" si="0"/>
        <v>17.514409650008915</v>
      </c>
      <c r="K47" s="7">
        <f t="shared" si="0"/>
        <v>1.4944441143264602</v>
      </c>
      <c r="L47" s="7">
        <f t="shared" si="0"/>
        <v>0.41297759819359436</v>
      </c>
      <c r="M47" s="26">
        <f t="shared" si="0"/>
        <v>69.632776754412035</v>
      </c>
      <c r="N47" s="48">
        <f t="shared" si="0"/>
        <v>100</v>
      </c>
    </row>
    <row r="48" spans="1:16" ht="14.25" customHeight="1" x14ac:dyDescent="0.25">
      <c r="A48" s="49" t="s">
        <v>59</v>
      </c>
      <c r="B48" s="49"/>
      <c r="C48" s="49"/>
      <c r="D48" s="49"/>
      <c r="E48" s="49"/>
      <c r="F48" s="49"/>
      <c r="G48" s="49"/>
      <c r="H48" s="49"/>
      <c r="I48" s="49"/>
      <c r="J48" s="49"/>
      <c r="K48" s="8"/>
      <c r="M48" s="8"/>
      <c r="N48" s="9" t="s">
        <v>58</v>
      </c>
      <c r="O48" s="10"/>
      <c r="P48" s="10"/>
    </row>
    <row r="49" spans="1:8" ht="12" customHeight="1" x14ac:dyDescent="0.25">
      <c r="A49" s="11"/>
      <c r="H49" s="12"/>
    </row>
    <row r="50" spans="1:8" ht="12" customHeight="1" x14ac:dyDescent="0.25">
      <c r="A50" s="10"/>
      <c r="B50" s="13"/>
    </row>
    <row r="51" spans="1:8" ht="12" customHeight="1" x14ac:dyDescent="0.25">
      <c r="A51" s="11"/>
    </row>
    <row r="52" spans="1:8" ht="12" customHeight="1" x14ac:dyDescent="0.25"/>
    <row r="53" spans="1:8" ht="12" customHeight="1" x14ac:dyDescent="0.25"/>
    <row r="54" spans="1:8" ht="12" customHeight="1" x14ac:dyDescent="0.25"/>
    <row r="55" spans="1:8" ht="12" customHeight="1" x14ac:dyDescent="0.25"/>
    <row r="56" spans="1:8" ht="12" customHeight="1" x14ac:dyDescent="0.25"/>
    <row r="57" spans="1:8" ht="12" customHeight="1" x14ac:dyDescent="0.25"/>
    <row r="58" spans="1:8" ht="12" customHeight="1" x14ac:dyDescent="0.25"/>
    <row r="59" spans="1:8" ht="12" customHeight="1" x14ac:dyDescent="0.25"/>
    <row r="60" spans="1:8" ht="12" customHeight="1" x14ac:dyDescent="0.25"/>
    <row r="61" spans="1:8" ht="12" customHeight="1" x14ac:dyDescent="0.25"/>
    <row r="62" spans="1:8" ht="12" customHeight="1" x14ac:dyDescent="0.25"/>
    <row r="63" spans="1:8" ht="12" customHeight="1" x14ac:dyDescent="0.25"/>
    <row r="64" spans="1:8" ht="12" customHeight="1" x14ac:dyDescent="0.25"/>
    <row r="65" ht="12" customHeight="1" x14ac:dyDescent="0.25"/>
  </sheetData>
  <mergeCells count="10">
    <mergeCell ref="A48:J48"/>
    <mergeCell ref="A1:N1"/>
    <mergeCell ref="B3:B4"/>
    <mergeCell ref="C3:C4"/>
    <mergeCell ref="N3:N4"/>
    <mergeCell ref="A2:N2"/>
    <mergeCell ref="D3:H3"/>
    <mergeCell ref="I3:M3"/>
    <mergeCell ref="A3:A4"/>
    <mergeCell ref="A47:B47"/>
  </mergeCells>
  <printOptions horizontalCentered="1"/>
  <pageMargins left="0.5" right="0.5" top="0.4" bottom="0.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2019-07-22T07:23:34Z</cp:lastPrinted>
  <dcterms:created xsi:type="dcterms:W3CDTF">2017-09-18T07:44:28Z</dcterms:created>
  <dcterms:modified xsi:type="dcterms:W3CDTF">2019-12-17T11:11:50Z</dcterms:modified>
</cp:coreProperties>
</file>