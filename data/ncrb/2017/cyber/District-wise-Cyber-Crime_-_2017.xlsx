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calcChain.xml><?xml version="1.0" encoding="utf-8"?>
<calcChain xmlns="http://schemas.openxmlformats.org/spreadsheetml/2006/main">
  <c r="C517" i="3" l="1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AA517" i="3"/>
  <c r="AB517" i="3"/>
  <c r="AC517" i="3"/>
  <c r="AD517" i="3"/>
  <c r="AE517" i="3"/>
  <c r="AF517" i="3"/>
  <c r="AG517" i="3"/>
  <c r="AH517" i="3"/>
  <c r="AI517" i="3"/>
  <c r="AJ517" i="3"/>
  <c r="AK517" i="3"/>
  <c r="AL517" i="3"/>
  <c r="AM517" i="3"/>
  <c r="AN517" i="3"/>
  <c r="AO517" i="3"/>
  <c r="AP517" i="3"/>
  <c r="AQ517" i="3"/>
  <c r="AR517" i="3"/>
  <c r="AS517" i="3"/>
  <c r="AT517" i="3"/>
  <c r="AU517" i="3"/>
  <c r="AV517" i="3"/>
  <c r="AW517" i="3"/>
  <c r="AX517" i="3"/>
  <c r="AY517" i="3"/>
  <c r="AY930" i="3" l="1"/>
  <c r="AX930" i="3"/>
  <c r="AW930" i="3"/>
  <c r="AV930" i="3"/>
  <c r="AU930" i="3"/>
  <c r="AT930" i="3"/>
  <c r="AS930" i="3"/>
  <c r="AR930" i="3"/>
  <c r="AQ930" i="3"/>
  <c r="AP930" i="3"/>
  <c r="AO930" i="3"/>
  <c r="AN930" i="3"/>
  <c r="AM930" i="3"/>
  <c r="AL930" i="3"/>
  <c r="AK930" i="3"/>
  <c r="AJ930" i="3"/>
  <c r="AI930" i="3"/>
  <c r="AH930" i="3"/>
  <c r="AG930" i="3"/>
  <c r="AF930" i="3"/>
  <c r="AE930" i="3"/>
  <c r="AD930" i="3"/>
  <c r="AC930" i="3"/>
  <c r="AB930" i="3"/>
  <c r="AA930" i="3"/>
  <c r="Z930" i="3"/>
  <c r="Y930" i="3"/>
  <c r="X930" i="3"/>
  <c r="W930" i="3"/>
  <c r="V930" i="3"/>
  <c r="U930" i="3"/>
  <c r="T930" i="3"/>
  <c r="S930" i="3"/>
  <c r="R930" i="3"/>
  <c r="Q930" i="3"/>
  <c r="P930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AY926" i="3"/>
  <c r="AX926" i="3"/>
  <c r="AW926" i="3"/>
  <c r="AV926" i="3"/>
  <c r="AU926" i="3"/>
  <c r="AT926" i="3"/>
  <c r="AS926" i="3"/>
  <c r="AR926" i="3"/>
  <c r="AQ926" i="3"/>
  <c r="AP926" i="3"/>
  <c r="AO926" i="3"/>
  <c r="AN926" i="3"/>
  <c r="AM926" i="3"/>
  <c r="AL926" i="3"/>
  <c r="AK926" i="3"/>
  <c r="AJ926" i="3"/>
  <c r="AI926" i="3"/>
  <c r="AH926" i="3"/>
  <c r="AG926" i="3"/>
  <c r="AF926" i="3"/>
  <c r="AE926" i="3"/>
  <c r="AD926" i="3"/>
  <c r="AC926" i="3"/>
  <c r="AB926" i="3"/>
  <c r="AA926" i="3"/>
  <c r="Z926" i="3"/>
  <c r="Y926" i="3"/>
  <c r="X926" i="3"/>
  <c r="W926" i="3"/>
  <c r="V926" i="3"/>
  <c r="U926" i="3"/>
  <c r="T926" i="3"/>
  <c r="S926" i="3"/>
  <c r="R926" i="3"/>
  <c r="Q926" i="3"/>
  <c r="P926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AY923" i="3"/>
  <c r="AX923" i="3"/>
  <c r="AW923" i="3"/>
  <c r="AV923" i="3"/>
  <c r="AU923" i="3"/>
  <c r="AT923" i="3"/>
  <c r="AS923" i="3"/>
  <c r="AR923" i="3"/>
  <c r="AQ923" i="3"/>
  <c r="AP923" i="3"/>
  <c r="AO923" i="3"/>
  <c r="AN923" i="3"/>
  <c r="AM923" i="3"/>
  <c r="AL923" i="3"/>
  <c r="AK923" i="3"/>
  <c r="AJ923" i="3"/>
  <c r="AI923" i="3"/>
  <c r="AH923" i="3"/>
  <c r="AG923" i="3"/>
  <c r="AF923" i="3"/>
  <c r="AE923" i="3"/>
  <c r="AD923" i="3"/>
  <c r="AC923" i="3"/>
  <c r="AB923" i="3"/>
  <c r="AA923" i="3"/>
  <c r="Z923" i="3"/>
  <c r="Y923" i="3"/>
  <c r="X923" i="3"/>
  <c r="W923" i="3"/>
  <c r="V923" i="3"/>
  <c r="U923" i="3"/>
  <c r="T923" i="3"/>
  <c r="S923" i="3"/>
  <c r="R923" i="3"/>
  <c r="Q923" i="3"/>
  <c r="P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AY899" i="3"/>
  <c r="AX899" i="3"/>
  <c r="AW899" i="3"/>
  <c r="AV899" i="3"/>
  <c r="AU899" i="3"/>
  <c r="AT899" i="3"/>
  <c r="AS899" i="3"/>
  <c r="AR899" i="3"/>
  <c r="AQ899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Y899" i="3"/>
  <c r="X899" i="3"/>
  <c r="W899" i="3"/>
  <c r="V899" i="3"/>
  <c r="U899" i="3"/>
  <c r="T899" i="3"/>
  <c r="S899" i="3"/>
  <c r="R899" i="3"/>
  <c r="Q899" i="3"/>
  <c r="P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AY895" i="3"/>
  <c r="AX895" i="3"/>
  <c r="AW895" i="3"/>
  <c r="AV895" i="3"/>
  <c r="AU895" i="3"/>
  <c r="AT895" i="3"/>
  <c r="AS895" i="3"/>
  <c r="AR895" i="3"/>
  <c r="AQ895" i="3"/>
  <c r="AP895" i="3"/>
  <c r="AO895" i="3"/>
  <c r="AN895" i="3"/>
  <c r="AM895" i="3"/>
  <c r="AL895" i="3"/>
  <c r="AK895" i="3"/>
  <c r="AJ895" i="3"/>
  <c r="AI895" i="3"/>
  <c r="AH895" i="3"/>
  <c r="AG895" i="3"/>
  <c r="AF895" i="3"/>
  <c r="AE895" i="3"/>
  <c r="AD895" i="3"/>
  <c r="AC895" i="3"/>
  <c r="AB895" i="3"/>
  <c r="AA895" i="3"/>
  <c r="Z895" i="3"/>
  <c r="Y895" i="3"/>
  <c r="X895" i="3"/>
  <c r="W895" i="3"/>
  <c r="V895" i="3"/>
  <c r="U895" i="3"/>
  <c r="T895" i="3"/>
  <c r="S895" i="3"/>
  <c r="R895" i="3"/>
  <c r="Q895" i="3"/>
  <c r="P895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AY892" i="3"/>
  <c r="AX892" i="3"/>
  <c r="AW892" i="3"/>
  <c r="AV892" i="3"/>
  <c r="AU892" i="3"/>
  <c r="AT892" i="3"/>
  <c r="AS892" i="3"/>
  <c r="AR892" i="3"/>
  <c r="AQ892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X892" i="3"/>
  <c r="W892" i="3"/>
  <c r="V892" i="3"/>
  <c r="U892" i="3"/>
  <c r="T892" i="3"/>
  <c r="S892" i="3"/>
  <c r="R892" i="3"/>
  <c r="Q892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AY889" i="3"/>
  <c r="AX889" i="3"/>
  <c r="AW889" i="3"/>
  <c r="AV889" i="3"/>
  <c r="AU889" i="3"/>
  <c r="AT889" i="3"/>
  <c r="AS889" i="3"/>
  <c r="AR889" i="3"/>
  <c r="AQ889" i="3"/>
  <c r="AP889" i="3"/>
  <c r="AO889" i="3"/>
  <c r="AN889" i="3"/>
  <c r="AM889" i="3"/>
  <c r="AL889" i="3"/>
  <c r="AK889" i="3"/>
  <c r="AJ889" i="3"/>
  <c r="AI889" i="3"/>
  <c r="AH889" i="3"/>
  <c r="AG889" i="3"/>
  <c r="AF889" i="3"/>
  <c r="AE889" i="3"/>
  <c r="AD889" i="3"/>
  <c r="AC889" i="3"/>
  <c r="AB889" i="3"/>
  <c r="AA889" i="3"/>
  <c r="Z889" i="3"/>
  <c r="Y889" i="3"/>
  <c r="X889" i="3"/>
  <c r="W889" i="3"/>
  <c r="V889" i="3"/>
  <c r="U889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AY884" i="3"/>
  <c r="AX884" i="3"/>
  <c r="AW884" i="3"/>
  <c r="AV884" i="3"/>
  <c r="AU884" i="3"/>
  <c r="AT884" i="3"/>
  <c r="AS884" i="3"/>
  <c r="AR884" i="3"/>
  <c r="AQ884" i="3"/>
  <c r="AP884" i="3"/>
  <c r="AO884" i="3"/>
  <c r="AN884" i="3"/>
  <c r="AM884" i="3"/>
  <c r="AL884" i="3"/>
  <c r="AK884" i="3"/>
  <c r="AJ884" i="3"/>
  <c r="AI884" i="3"/>
  <c r="AH884" i="3"/>
  <c r="AG884" i="3"/>
  <c r="AF884" i="3"/>
  <c r="AE884" i="3"/>
  <c r="AD884" i="3"/>
  <c r="AC884" i="3"/>
  <c r="AB884" i="3"/>
  <c r="AA884" i="3"/>
  <c r="Z884" i="3"/>
  <c r="Y884" i="3"/>
  <c r="X884" i="3"/>
  <c r="W884" i="3"/>
  <c r="V884" i="3"/>
  <c r="U884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AY847" i="3" l="1"/>
  <c r="AX847" i="3"/>
  <c r="AW847" i="3"/>
  <c r="AV847" i="3"/>
  <c r="AU847" i="3"/>
  <c r="AT847" i="3"/>
  <c r="AS847" i="3"/>
  <c r="AR847" i="3"/>
  <c r="AQ847" i="3"/>
  <c r="AP847" i="3"/>
  <c r="AO847" i="3"/>
  <c r="AN847" i="3"/>
  <c r="AM847" i="3"/>
  <c r="AL847" i="3"/>
  <c r="AK847" i="3"/>
  <c r="AJ847" i="3"/>
  <c r="AI847" i="3"/>
  <c r="AH847" i="3"/>
  <c r="AG847" i="3"/>
  <c r="AF847" i="3"/>
  <c r="AE847" i="3"/>
  <c r="AD847" i="3"/>
  <c r="AC847" i="3"/>
  <c r="AB847" i="3"/>
  <c r="AA847" i="3"/>
  <c r="Z847" i="3"/>
  <c r="Y847" i="3"/>
  <c r="X847" i="3"/>
  <c r="W847" i="3"/>
  <c r="V847" i="3"/>
  <c r="U847" i="3"/>
  <c r="T847" i="3"/>
  <c r="S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AY831" i="3"/>
  <c r="AX831" i="3"/>
  <c r="AW831" i="3"/>
  <c r="AV831" i="3"/>
  <c r="AU831" i="3"/>
  <c r="AT831" i="3"/>
  <c r="AS831" i="3"/>
  <c r="AR831" i="3"/>
  <c r="AQ831" i="3"/>
  <c r="AP831" i="3"/>
  <c r="AO831" i="3"/>
  <c r="AN831" i="3"/>
  <c r="AM831" i="3"/>
  <c r="AL831" i="3"/>
  <c r="AK831" i="3"/>
  <c r="AJ831" i="3"/>
  <c r="AI831" i="3"/>
  <c r="AH831" i="3"/>
  <c r="AG831" i="3"/>
  <c r="AF831" i="3"/>
  <c r="AE831" i="3"/>
  <c r="AD831" i="3"/>
  <c r="AC831" i="3"/>
  <c r="AB831" i="3"/>
  <c r="AA831" i="3"/>
  <c r="Z831" i="3"/>
  <c r="Y831" i="3"/>
  <c r="X831" i="3"/>
  <c r="W831" i="3"/>
  <c r="V831" i="3"/>
  <c r="U831" i="3"/>
  <c r="T831" i="3"/>
  <c r="S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AY753" i="3" l="1"/>
  <c r="AX753" i="3"/>
  <c r="AW753" i="3"/>
  <c r="AV753" i="3"/>
  <c r="AU753" i="3"/>
  <c r="AT753" i="3"/>
  <c r="AS753" i="3"/>
  <c r="AR753" i="3"/>
  <c r="AQ753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AY742" i="3"/>
  <c r="AX742" i="3"/>
  <c r="AW742" i="3"/>
  <c r="AV742" i="3"/>
  <c r="AU742" i="3"/>
  <c r="AT742" i="3"/>
  <c r="AS742" i="3"/>
  <c r="AR742" i="3"/>
  <c r="AQ742" i="3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AY712" i="3"/>
  <c r="AX712" i="3"/>
  <c r="AW712" i="3"/>
  <c r="AV712" i="3"/>
  <c r="AU712" i="3"/>
  <c r="AT712" i="3"/>
  <c r="AS712" i="3"/>
  <c r="AR712" i="3"/>
  <c r="AQ712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AY668" i="3"/>
  <c r="AX668" i="3"/>
  <c r="AW668" i="3"/>
  <c r="AV668" i="3"/>
  <c r="AU668" i="3"/>
  <c r="AT668" i="3"/>
  <c r="AS668" i="3"/>
  <c r="AR668" i="3"/>
  <c r="AQ668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AY662" i="3"/>
  <c r="AX662" i="3"/>
  <c r="AW662" i="3"/>
  <c r="AV662" i="3"/>
  <c r="AU662" i="3"/>
  <c r="AT662" i="3"/>
  <c r="AS662" i="3"/>
  <c r="AR662" i="3"/>
  <c r="AQ662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AY614" i="3"/>
  <c r="AX614" i="3"/>
  <c r="AW614" i="3"/>
  <c r="AV614" i="3"/>
  <c r="AU614" i="3"/>
  <c r="AT614" i="3"/>
  <c r="AS614" i="3"/>
  <c r="AR614" i="3"/>
  <c r="AQ614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AY580" i="3"/>
  <c r="AX580" i="3"/>
  <c r="AW580" i="3"/>
  <c r="AV580" i="3"/>
  <c r="AU580" i="3"/>
  <c r="AT580" i="3"/>
  <c r="AS580" i="3"/>
  <c r="AR580" i="3"/>
  <c r="AQ580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AY541" i="3"/>
  <c r="AX541" i="3"/>
  <c r="AW541" i="3"/>
  <c r="AV541" i="3"/>
  <c r="AU541" i="3"/>
  <c r="AT541" i="3"/>
  <c r="AS541" i="3"/>
  <c r="AR541" i="3"/>
  <c r="AQ541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AY528" i="3"/>
  <c r="AX528" i="3"/>
  <c r="AW528" i="3"/>
  <c r="AV528" i="3"/>
  <c r="AU528" i="3"/>
  <c r="AT528" i="3"/>
  <c r="AS528" i="3"/>
  <c r="AR528" i="3"/>
  <c r="AQ528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AY504" i="3"/>
  <c r="AX504" i="3"/>
  <c r="AW504" i="3"/>
  <c r="AV504" i="3"/>
  <c r="AU504" i="3"/>
  <c r="AT504" i="3"/>
  <c r="AS504" i="3"/>
  <c r="AR504" i="3"/>
  <c r="AQ504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AY492" i="3"/>
  <c r="AX492" i="3"/>
  <c r="AW492" i="3"/>
  <c r="AV492" i="3"/>
  <c r="AU492" i="3"/>
  <c r="AT492" i="3"/>
  <c r="AS492" i="3"/>
  <c r="AR492" i="3"/>
  <c r="AQ492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AY444" i="3"/>
  <c r="AX444" i="3"/>
  <c r="AW444" i="3"/>
  <c r="AV444" i="3"/>
  <c r="AU444" i="3"/>
  <c r="AT444" i="3"/>
  <c r="AS444" i="3"/>
  <c r="AR444" i="3"/>
  <c r="AQ444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AY387" i="3"/>
  <c r="AX387" i="3"/>
  <c r="AW387" i="3"/>
  <c r="AV387" i="3"/>
  <c r="AU387" i="3"/>
  <c r="AT387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AY364" i="3"/>
  <c r="AX364" i="3"/>
  <c r="AW364" i="3"/>
  <c r="AV364" i="3"/>
  <c r="AU364" i="3"/>
  <c r="AT364" i="3"/>
  <c r="AS364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AY326" i="3"/>
  <c r="AX326" i="3"/>
  <c r="AW326" i="3"/>
  <c r="AV326" i="3"/>
  <c r="AU326" i="3"/>
  <c r="AT326" i="3"/>
  <c r="AS326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D298" i="3"/>
  <c r="C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C266" i="3"/>
  <c r="D266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C95" i="3"/>
  <c r="D95" i="3"/>
  <c r="C53" i="3" l="1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</calcChain>
</file>

<file path=xl/sharedStrings.xml><?xml version="1.0" encoding="utf-8"?>
<sst xmlns="http://schemas.openxmlformats.org/spreadsheetml/2006/main" count="984" uniqueCount="927">
  <si>
    <t>Computer Related Offences</t>
  </si>
  <si>
    <t>Ransom-ware</t>
  </si>
  <si>
    <t>Offences other than Ransom-ware</t>
  </si>
  <si>
    <t>Publishing or transmitting obscene material in Electronic Form</t>
  </si>
  <si>
    <t>Other Sections 67 IT Act</t>
  </si>
  <si>
    <t>Credit Card/Debit Card</t>
  </si>
  <si>
    <t>ATMs</t>
  </si>
  <si>
    <t>Online Banking Fraud</t>
  </si>
  <si>
    <t>OTP Frauds</t>
  </si>
  <si>
    <t>Others</t>
  </si>
  <si>
    <t>Counterfeiting</t>
  </si>
  <si>
    <t>Gambling Act (Online Gambling)</t>
  </si>
  <si>
    <t>Lotteries Act (Online Lotteries)</t>
  </si>
  <si>
    <t>Other SLL Crimes</t>
  </si>
  <si>
    <t>A. Offences under I.T.Act</t>
  </si>
  <si>
    <t>Computer Related Offences (Sec.66)</t>
  </si>
  <si>
    <t>Fraud (Sec.420 r/w Sec.465,468-471 IPC)</t>
  </si>
  <si>
    <t>Tampering computer source documents (Sec.65)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</si>
  <si>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</si>
  <si>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</si>
  <si>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</si>
  <si>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</si>
  <si>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Cyber Terrorism (Sec.66 F)</t>
  </si>
  <si>
    <t>Publication/transmission of obscene / sexually explicit act in electronic form (Sec. 67)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</si>
  <si>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</si>
  <si>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</si>
  <si>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</si>
  <si>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</si>
  <si>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</si>
  <si>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</si>
  <si>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</si>
  <si>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</si>
  <si>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</si>
  <si>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</si>
  <si>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</si>
  <si>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</si>
  <si>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</si>
  <si>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Currency (Sec.489A to 489E)</t>
  </si>
  <si>
    <t>Stamps (Sec.255)</t>
  </si>
  <si>
    <t>Cyber Blackmailing/Threatening (Sec.506,503,384 IPC r/w IPC/SLL)</t>
  </si>
  <si>
    <t>Fake News on Social Media (Sec.505)</t>
  </si>
  <si>
    <t>Other Offences (r/w IT Act)</t>
  </si>
  <si>
    <t>Copy Right Act, 1957'</t>
  </si>
  <si>
    <t>Trade Marks Act, 1999</t>
  </si>
  <si>
    <t>C. Offences under SLL  (Involving Communication Devices as Medium/Target) r/w IT Act.</t>
  </si>
  <si>
    <t>S. No</t>
  </si>
  <si>
    <t>Cyber Stalking/ Bullying of Women/ Children (Sec.354D IPC)</t>
  </si>
  <si>
    <t>B. Offences  under IPC (Involving Communication Devices as Medium/Target) r/w IT Act.</t>
  </si>
  <si>
    <t>Defamation/ Morphing (Sec.469 IPC r/w IPC and Indecent representation of women Act)</t>
  </si>
  <si>
    <t>Computer Related Offences (Total) (Col.5+Col.8+Col.9+Col.10+Col.11)</t>
  </si>
  <si>
    <t>Computer Related Offences (Sec.66) (Total) (Col.6+Col.7)</t>
  </si>
  <si>
    <t>Publication/ transmission of obscene / sexually explicit act in electronic form (Total) (Col.14+15+16+17+18)</t>
  </si>
  <si>
    <t>Total Offences under I.T. Act (Col.3+Col.4+Col.12+Col.13+Col.19+Col.20+Col.21+Col.22+Col.23)</t>
  </si>
  <si>
    <t>Fraud (Sec.420 r/w Sec.465,468-471 IPC) (Total) (Col.29 to 33)</t>
  </si>
  <si>
    <t>Counterfeiting (Total) (Col.39+Col.40)</t>
  </si>
  <si>
    <t>Total Offences under IPC r/w IT Act (Col 25 to 28,34 to 38, 41 to 43)</t>
  </si>
  <si>
    <t>Total Offences under SLL r/w IT Act (Total of Col.45 to 49)</t>
  </si>
  <si>
    <t>Total Cyber Crimes (A+B+C)</t>
  </si>
  <si>
    <t>District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</si>
  <si>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</si>
  <si>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</si>
  <si>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</si>
  <si>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</si>
  <si>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</si>
  <si>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</si>
  <si>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</si>
  <si>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</si>
  <si>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</si>
  <si>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</si>
  <si>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</si>
  <si>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</si>
  <si>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</si>
  <si>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</si>
  <si>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</si>
  <si>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</si>
  <si>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</si>
  <si>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</si>
  <si>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</si>
  <si>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</si>
  <si>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</si>
  <si>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</si>
  <si>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</si>
  <si>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</si>
  <si>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</si>
  <si>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</si>
  <si>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</si>
  <si>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</si>
  <si>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</si>
  <si>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</si>
  <si>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</si>
  <si>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</si>
  <si>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</si>
  <si>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</si>
  <si>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</si>
  <si>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</si>
  <si>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</si>
  <si>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</si>
  <si>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</si>
  <si>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</si>
  <si>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</si>
  <si>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</si>
  <si>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</si>
  <si>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</si>
  <si>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</si>
  <si>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</si>
  <si>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</si>
  <si>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</si>
  <si>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</si>
  <si>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</si>
  <si>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</si>
  <si>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</si>
  <si>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</si>
  <si>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</si>
  <si>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</si>
  <si>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</si>
  <si>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</si>
  <si>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</si>
  <si>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</si>
  <si>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</si>
  <si>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</si>
  <si>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</si>
  <si>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</si>
  <si>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</si>
  <si>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</si>
  <si>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</si>
  <si>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</si>
  <si>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</si>
  <si>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</si>
  <si>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</si>
  <si>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</si>
  <si>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</si>
  <si>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</si>
  <si>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</si>
  <si>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</si>
  <si>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</si>
  <si>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</si>
  <si>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</si>
  <si>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</si>
  <si>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</si>
  <si>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</si>
  <si>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</si>
  <si>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</si>
  <si>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</si>
  <si>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</si>
  <si>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</si>
  <si>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</si>
  <si>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</si>
  <si>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</si>
  <si>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</si>
  <si>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</si>
  <si>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</si>
  <si>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</si>
  <si>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</si>
  <si>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</si>
  <si>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</si>
  <si>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</si>
  <si>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</si>
  <si>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</si>
  <si>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</si>
  <si>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</si>
  <si>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</si>
  <si>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</si>
  <si>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</si>
  <si>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</si>
  <si>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</si>
  <si>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</si>
  <si>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</si>
  <si>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</si>
  <si>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</si>
  <si>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</si>
  <si>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</si>
  <si>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</si>
  <si>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</si>
  <si>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</si>
  <si>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</si>
  <si>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</si>
  <si>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</si>
  <si>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</si>
  <si>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</si>
  <si>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</si>
  <si>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</si>
  <si>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</si>
  <si>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</si>
  <si>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</si>
  <si>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</si>
  <si>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</si>
  <si>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</si>
  <si>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</si>
  <si>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</si>
  <si>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</si>
  <si>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</si>
  <si>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</si>
  <si>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</si>
  <si>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</si>
  <si>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</si>
  <si>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</si>
  <si>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</si>
  <si>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</si>
  <si>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</si>
  <si>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</si>
  <si>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</si>
  <si>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</si>
  <si>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</si>
  <si>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</si>
  <si>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</si>
  <si>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</si>
  <si>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</si>
  <si>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</si>
  <si>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</si>
  <si>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</si>
  <si>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</si>
  <si>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</si>
  <si>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</si>
  <si>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</si>
  <si>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</si>
  <si>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</si>
  <si>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North Goa</t>
  </si>
  <si>
    <t>South Goa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</si>
  <si>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</si>
  <si>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</si>
  <si>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</si>
  <si>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</si>
  <si>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</si>
  <si>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</si>
  <si>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</si>
  <si>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</si>
  <si>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</si>
  <si>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</si>
  <si>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</si>
  <si>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</si>
  <si>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</si>
  <si>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</si>
  <si>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</si>
  <si>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</si>
  <si>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</si>
  <si>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</si>
  <si>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</si>
  <si>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</si>
  <si>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</si>
  <si>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</si>
  <si>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</si>
  <si>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</si>
  <si>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</si>
  <si>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</si>
  <si>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</si>
  <si>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</si>
  <si>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</si>
  <si>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</si>
  <si>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</si>
  <si>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</si>
  <si>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</si>
  <si>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</si>
  <si>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</si>
  <si>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</si>
  <si>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</si>
  <si>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</si>
  <si>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</si>
  <si>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</si>
  <si>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</si>
  <si>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</si>
  <si>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</si>
  <si>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</si>
  <si>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</si>
  <si>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</si>
  <si>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</si>
  <si>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</si>
  <si>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</si>
  <si>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</si>
  <si>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</si>
  <si>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</si>
  <si>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</si>
  <si>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</si>
  <si>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</si>
  <si>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</si>
  <si>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</si>
  <si>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</si>
  <si>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</si>
  <si>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</si>
  <si>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</si>
  <si>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</si>
  <si>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</si>
  <si>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</si>
  <si>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</si>
  <si>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</si>
  <si>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</si>
  <si>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</si>
  <si>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</si>
  <si>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</si>
  <si>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</si>
  <si>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</si>
  <si>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</si>
  <si>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</si>
  <si>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</si>
  <si>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</si>
  <si>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</si>
  <si>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</si>
  <si>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</si>
  <si>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</si>
  <si>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</si>
  <si>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</si>
  <si>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</si>
  <si>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</si>
  <si>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</si>
  <si>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</si>
  <si>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</si>
  <si>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</si>
  <si>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</si>
  <si>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</si>
  <si>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</si>
  <si>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</si>
  <si>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</si>
  <si>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</si>
  <si>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</si>
  <si>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</si>
  <si>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</si>
  <si>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</si>
  <si>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</si>
  <si>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</si>
  <si>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</si>
  <si>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</si>
  <si>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</si>
  <si>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</si>
  <si>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</si>
  <si>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</si>
  <si>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</si>
  <si>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</si>
  <si>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</si>
  <si>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</si>
  <si>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</si>
  <si>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</si>
  <si>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</si>
  <si>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</si>
  <si>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</si>
  <si>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</si>
  <si>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</si>
  <si>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</si>
  <si>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</si>
  <si>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</si>
  <si>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</si>
  <si>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</si>
  <si>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</si>
  <si>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</si>
  <si>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</si>
  <si>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</si>
  <si>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</si>
  <si>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</si>
  <si>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</si>
  <si>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</si>
  <si>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</si>
  <si>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</si>
  <si>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</si>
  <si>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</si>
  <si>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</si>
  <si>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</si>
  <si>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</si>
  <si>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</si>
  <si>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</si>
  <si>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</si>
  <si>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</si>
  <si>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</si>
  <si>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</si>
  <si>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</si>
  <si>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</si>
  <si>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</si>
  <si>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</si>
  <si>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</si>
  <si>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</si>
  <si>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</si>
  <si>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</si>
  <si>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</si>
  <si>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</si>
  <si>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</si>
  <si>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</si>
  <si>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</si>
  <si>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</si>
  <si>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</si>
  <si>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</si>
  <si>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</si>
  <si>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</si>
  <si>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</si>
  <si>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</si>
  <si>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</si>
  <si>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</si>
  <si>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</si>
  <si>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</si>
  <si>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</si>
  <si>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</si>
  <si>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</si>
  <si>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</si>
  <si>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</si>
  <si>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</si>
  <si>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</si>
  <si>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</si>
  <si>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</si>
  <si>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</si>
  <si>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</si>
  <si>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</si>
  <si>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</si>
  <si>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</si>
  <si>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</si>
  <si>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</si>
  <si>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</si>
  <si>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</si>
  <si>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</si>
  <si>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</si>
  <si>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</si>
  <si>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</si>
  <si>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</si>
  <si>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</si>
  <si>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</si>
  <si>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</si>
  <si>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</si>
  <si>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</si>
  <si>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</si>
  <si>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</si>
  <si>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</si>
  <si>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</si>
  <si>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</si>
  <si>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</si>
  <si>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</si>
  <si>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</si>
  <si>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</si>
  <si>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</si>
  <si>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</si>
  <si>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</si>
  <si>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</si>
  <si>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</si>
  <si>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</si>
  <si>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</si>
  <si>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</si>
  <si>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</si>
  <si>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</si>
  <si>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</si>
  <si>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</si>
  <si>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</si>
  <si>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</si>
  <si>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</si>
  <si>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</si>
  <si>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</si>
  <si>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</si>
  <si>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</si>
  <si>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</si>
  <si>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</si>
  <si>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</si>
  <si>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</si>
  <si>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</si>
  <si>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</si>
  <si>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</si>
  <si>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</si>
  <si>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</si>
  <si>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</si>
  <si>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</si>
  <si>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</si>
  <si>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</si>
  <si>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</si>
  <si>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</si>
  <si>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</si>
  <si>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</si>
  <si>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</si>
  <si>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</si>
  <si>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</si>
  <si>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</si>
  <si>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</si>
  <si>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</si>
  <si>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</si>
  <si>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</si>
  <si>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</si>
  <si>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</si>
  <si>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</si>
  <si>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</si>
  <si>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</si>
  <si>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</si>
  <si>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</si>
  <si>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</si>
  <si>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</si>
  <si>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</si>
  <si>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</si>
  <si>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</si>
  <si>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</si>
  <si>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</si>
  <si>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</si>
  <si>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</si>
  <si>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</si>
  <si>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</si>
  <si>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</si>
  <si>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</si>
  <si>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</si>
  <si>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</si>
  <si>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</si>
  <si>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</si>
  <si>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</si>
  <si>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</si>
  <si>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</si>
  <si>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</si>
  <si>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</si>
  <si>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</si>
  <si>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</si>
  <si>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</si>
  <si>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</si>
  <si>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</si>
  <si>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</si>
  <si>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</si>
  <si>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</si>
  <si>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</si>
  <si>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</si>
  <si>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</si>
  <si>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</si>
  <si>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</si>
  <si>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</si>
  <si>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</si>
  <si>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</si>
  <si>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</si>
  <si>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</si>
  <si>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</si>
  <si>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</si>
  <si>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</si>
  <si>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</si>
  <si>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</si>
  <si>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</si>
  <si>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</si>
  <si>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</si>
  <si>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</si>
  <si>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</si>
  <si>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</si>
  <si>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</si>
  <si>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</si>
  <si>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</si>
  <si>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</si>
  <si>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</si>
  <si>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</si>
  <si>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</si>
  <si>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</si>
  <si>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</si>
  <si>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</si>
  <si>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</si>
  <si>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</si>
  <si>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</si>
  <si>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</si>
  <si>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</si>
  <si>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</si>
  <si>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</si>
  <si>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</si>
  <si>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</si>
  <si>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</si>
  <si>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</si>
  <si>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</si>
  <si>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</si>
  <si>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</si>
  <si>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</si>
  <si>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</si>
  <si>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</si>
  <si>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</si>
  <si>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</si>
  <si>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</si>
  <si>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</si>
  <si>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</si>
  <si>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</si>
  <si>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</si>
  <si>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</si>
  <si>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</si>
  <si>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</si>
  <si>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</si>
  <si>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</si>
  <si>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</si>
  <si>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</si>
  <si>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</si>
  <si>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</si>
  <si>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</si>
  <si>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</si>
  <si>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</si>
  <si>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</si>
  <si>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</si>
  <si>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</si>
  <si>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</si>
  <si>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</si>
  <si>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</si>
  <si>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</si>
  <si>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</si>
  <si>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</si>
  <si>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</si>
  <si>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</si>
  <si>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</si>
  <si>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</si>
  <si>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</si>
  <si>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</si>
  <si>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</si>
  <si>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</si>
  <si>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</si>
  <si>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</si>
  <si>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</si>
  <si>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</si>
  <si>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</si>
  <si>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</si>
  <si>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</si>
  <si>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</si>
  <si>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</si>
  <si>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</si>
  <si>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</si>
  <si>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</si>
  <si>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</si>
  <si>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</si>
  <si>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</si>
  <si>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</si>
  <si>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</si>
  <si>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</si>
  <si>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</si>
  <si>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</si>
  <si>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</si>
  <si>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</si>
  <si>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</si>
  <si>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</si>
  <si>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</si>
  <si>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</si>
  <si>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</si>
  <si>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</si>
  <si>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</si>
  <si>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</si>
  <si>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</si>
  <si>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</si>
  <si>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</si>
  <si>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</si>
  <si>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</si>
  <si>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</si>
  <si>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</si>
  <si>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</si>
  <si>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</si>
  <si>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</si>
  <si>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</si>
  <si>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</si>
  <si>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</si>
  <si>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</si>
  <si>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</si>
  <si>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</si>
  <si>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</si>
  <si>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</si>
  <si>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</si>
  <si>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</si>
  <si>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</si>
  <si>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</si>
  <si>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</si>
  <si>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</si>
  <si>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</si>
  <si>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</si>
  <si>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</si>
  <si>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</si>
  <si>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</si>
  <si>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</si>
  <si>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</si>
  <si>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</si>
  <si>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</si>
  <si>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</si>
  <si>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</si>
  <si>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</si>
  <si>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</si>
  <si>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</si>
  <si>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</si>
  <si>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</si>
  <si>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</si>
  <si>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</si>
  <si>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</si>
  <si>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</si>
  <si>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</si>
  <si>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</si>
  <si>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East</t>
  </si>
  <si>
    <t>North</t>
  </si>
  <si>
    <t>South</t>
  </si>
  <si>
    <t>West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</si>
  <si>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</si>
  <si>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</si>
  <si>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</si>
  <si>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</si>
  <si>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</si>
  <si>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</si>
  <si>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</si>
  <si>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</si>
  <si>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</si>
  <si>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</si>
  <si>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</si>
  <si>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</si>
  <si>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</si>
  <si>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</si>
  <si>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</si>
  <si>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</si>
  <si>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</si>
  <si>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</si>
  <si>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</si>
  <si>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</si>
  <si>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</si>
  <si>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</si>
  <si>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</si>
  <si>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</si>
  <si>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</si>
  <si>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</si>
  <si>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</si>
  <si>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</si>
  <si>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</si>
  <si>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</si>
  <si>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</si>
  <si>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</si>
  <si>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</si>
  <si>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</si>
  <si>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</si>
  <si>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</si>
  <si>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</si>
  <si>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</si>
  <si>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</si>
  <si>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</si>
  <si>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Cyber Cell</t>
  </si>
  <si>
    <t>Other Units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</si>
  <si>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</si>
  <si>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</si>
  <si>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</si>
  <si>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</si>
  <si>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</si>
  <si>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</si>
  <si>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</si>
  <si>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</si>
  <si>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</si>
  <si>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</si>
  <si>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</si>
  <si>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</si>
  <si>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</si>
  <si>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</si>
  <si>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</si>
  <si>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</si>
  <si>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</si>
  <si>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</si>
  <si>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</si>
  <si>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</si>
  <si>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</si>
  <si>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</si>
  <si>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</si>
  <si>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</si>
  <si>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</si>
  <si>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</si>
  <si>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</si>
  <si>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</si>
  <si>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Dhalai</t>
  </si>
  <si>
    <t>Gomati</t>
  </si>
  <si>
    <t>Kowai</t>
  </si>
  <si>
    <t>Sipahijala</t>
  </si>
  <si>
    <t>Unakoti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</si>
  <si>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</si>
  <si>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</si>
  <si>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</si>
  <si>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</si>
  <si>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</si>
  <si>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</si>
  <si>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</si>
  <si>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</si>
  <si>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</si>
  <si>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</si>
  <si>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</si>
  <si>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</si>
  <si>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</si>
  <si>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</si>
  <si>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</si>
  <si>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</si>
  <si>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</si>
  <si>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</si>
  <si>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</si>
  <si>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</si>
  <si>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</si>
  <si>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</si>
  <si>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</si>
  <si>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</si>
  <si>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</si>
  <si>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</si>
  <si>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</si>
  <si>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</si>
  <si>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</si>
  <si>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</si>
  <si>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</si>
  <si>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</si>
  <si>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</si>
  <si>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</si>
  <si>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</si>
  <si>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</si>
  <si>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</si>
  <si>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</si>
  <si>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</si>
  <si>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</si>
  <si>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</si>
  <si>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</si>
  <si>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</si>
  <si>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</si>
  <si>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</si>
  <si>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</si>
  <si>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</si>
  <si>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</si>
  <si>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</si>
  <si>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</si>
  <si>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</si>
  <si>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</si>
  <si>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</si>
  <si>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</si>
  <si>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</si>
  <si>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</si>
  <si>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</si>
  <si>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</si>
  <si>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</si>
  <si>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</si>
  <si>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</si>
  <si>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</si>
  <si>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</si>
  <si>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</si>
  <si>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</si>
  <si>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</si>
  <si>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</si>
  <si>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</si>
  <si>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</si>
  <si>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</si>
  <si>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</si>
  <si>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</si>
  <si>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</si>
  <si>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</si>
  <si>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</si>
  <si>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</si>
  <si>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</si>
  <si>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</si>
  <si>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</si>
  <si>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</si>
  <si>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</si>
  <si>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</si>
  <si>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</si>
  <si>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</si>
  <si>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</si>
  <si>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</si>
  <si>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</si>
  <si>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</si>
  <si>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</si>
  <si>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</si>
  <si>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</si>
  <si>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</si>
  <si>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</si>
  <si>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</si>
  <si>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</si>
  <si>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</si>
  <si>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</si>
  <si>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</si>
  <si>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</si>
  <si>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</si>
  <si>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</si>
  <si>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</si>
  <si>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</si>
  <si>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</si>
  <si>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</si>
  <si>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</si>
  <si>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</si>
  <si>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</si>
  <si>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</si>
  <si>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</si>
  <si>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</si>
  <si>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</si>
  <si>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</si>
  <si>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</si>
  <si>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</si>
  <si>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</si>
  <si>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</si>
  <si>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</si>
  <si>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</si>
  <si>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South Andaman</t>
  </si>
  <si>
    <t>North &amp; Middle Andaman</t>
  </si>
  <si>
    <t>Nicobar</t>
  </si>
  <si>
    <t>Chandigarh</t>
  </si>
  <si>
    <t>D&amp;N Haveli</t>
  </si>
  <si>
    <t>Daman</t>
  </si>
  <si>
    <t>Diu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</si>
  <si>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</si>
  <si>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</si>
  <si>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</si>
  <si>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</si>
  <si>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</si>
  <si>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</si>
  <si>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</si>
  <si>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</si>
  <si>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</si>
  <si>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</si>
  <si>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</si>
  <si>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</si>
  <si>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</si>
  <si>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</si>
  <si>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</si>
  <si>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</si>
  <si>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</si>
  <si>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Lakshadweep</t>
  </si>
  <si>
    <t>Karaikal</t>
  </si>
  <si>
    <t>Puducherry</t>
  </si>
  <si>
    <t>State : Andhra Pradesh</t>
  </si>
  <si>
    <t>Total</t>
  </si>
  <si>
    <t>State: Arunachal Pradesh</t>
  </si>
  <si>
    <t xml:space="preserve">District-wise Cyber Crimes -  2017 </t>
  </si>
  <si>
    <t>State: Assam</t>
  </si>
  <si>
    <t>State: Bihar</t>
  </si>
  <si>
    <t>State: Chhattisgarh</t>
  </si>
  <si>
    <t>State: Goa</t>
  </si>
  <si>
    <t>State: Gujarat</t>
  </si>
  <si>
    <t>State: Haryana</t>
  </si>
  <si>
    <t>State: Himachal Pradesh</t>
  </si>
  <si>
    <t>State: Jammu &amp; Kashmir</t>
  </si>
  <si>
    <t>State: Jharkhand</t>
  </si>
  <si>
    <t>State: Karnataka</t>
  </si>
  <si>
    <t>State: Kerala</t>
  </si>
  <si>
    <t>State: Madhya Pradesh</t>
  </si>
  <si>
    <t>State: Maharashtra</t>
  </si>
  <si>
    <t>State: Manipur</t>
  </si>
  <si>
    <t>State: Meghalaya</t>
  </si>
  <si>
    <t>State: Mizoram</t>
  </si>
  <si>
    <t>State: Nagaland</t>
  </si>
  <si>
    <t>State:Punjab</t>
  </si>
  <si>
    <t>State: Odisha</t>
  </si>
  <si>
    <t>State:Rajasthan</t>
  </si>
  <si>
    <t>State:Sikkim</t>
  </si>
  <si>
    <t>State:Tamil Nadu</t>
  </si>
  <si>
    <t>State:Telangana</t>
  </si>
  <si>
    <t>State:Tripura</t>
  </si>
  <si>
    <t>State:Uttar Pradesh</t>
  </si>
  <si>
    <t>Moradabad</t>
  </si>
  <si>
    <t>State:Uttarakhand</t>
  </si>
  <si>
    <t>State:West Bengal</t>
  </si>
  <si>
    <t>UT:A&amp;N Islands</t>
  </si>
  <si>
    <t>UT:Chandigarh</t>
  </si>
  <si>
    <t>UT:D&amp;N Haveli</t>
  </si>
  <si>
    <t>UT:Daman &amp; Diu</t>
  </si>
  <si>
    <t>UT:Delhi UT</t>
  </si>
  <si>
    <t>UT:Lakshadweep</t>
  </si>
  <si>
    <t>UT:Puducherry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</si>
</sst>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0" fillId="0" borderId="0" xfId="0" applyFill="1" applyBorder="1"/>
    <xf numFmtId="0" fontId="1" fillId="3" borderId="11" xfId="0" applyFont="1" applyFill="1" applyBorder="1"/>
    <xf numFmtId="0" fontId="1" fillId="3" borderId="13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1" fillId="3" borderId="12" xfId="0" applyFont="1" applyFill="1" applyBorder="1"/>
    <xf numFmtId="0" fontId="6" fillId="0" borderId="14" xfId="1" applyFont="1" applyFill="1" applyBorder="1" applyAlignment="1">
      <alignment horizontal="right" wrapText="1"/>
    </xf>
    <xf numFmtId="0" fontId="6" fillId="0" borderId="14" xfId="1" applyFont="1" applyFill="1" applyBorder="1" applyAlignment="1">
      <alignment wrapText="1"/>
    </xf>
    <xf numFmtId="0" fontId="6" fillId="4" borderId="14" xfId="1" applyFont="1" applyFill="1" applyBorder="1" applyAlignment="1">
      <alignment horizontal="right" wrapText="1"/>
    </xf>
    <xf numFmtId="0" fontId="8" fillId="4" borderId="14" xfId="1" applyFont="1" applyFill="1" applyBorder="1" applyAlignment="1">
      <alignment wrapText="1"/>
    </xf>
    <xf numFmtId="0" fontId="8" fillId="4" borderId="14" xfId="1" applyFont="1" applyFill="1" applyBorder="1" applyAlignment="1">
      <alignment horizontal="right" wrapText="1"/>
    </xf>
    <xf numFmtId="0" fontId="3" fillId="0" borderId="1" xfId="0" applyFont="1" applyBorder="1" applyAlignment="1"/>
    <xf numFmtId="0" fontId="9" fillId="0" borderId="1" xfId="0" applyFont="1" applyBorder="1" applyAlignment="1"/>
    <xf numFmtId="0" fontId="1" fillId="5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30"/>
  <sheetViews>
    <sheetView tabSelected="1" topLeftCell="A900" zoomScaleNormal="100" workbookViewId="0">
      <selection activeCell="B918" sqref="B918"/>
    </sheetView>
  </sheetViews>
  <sheetFormatPr defaultRowHeight="15" x14ac:dyDescent="0.25"/>
  <cols>
    <col min="1" max="1" width="4.140625" customWidth="1"/>
    <col min="2" max="2" width="34" customWidth="1"/>
    <col min="3" max="3" width="10.7109375" customWidth="1"/>
    <col min="4" max="5" width="9.85546875" customWidth="1"/>
    <col min="6" max="6" width="8" customWidth="1"/>
    <col min="7" max="7" width="9" customWidth="1"/>
    <col min="8" max="8" width="13.140625" customWidth="1"/>
    <col min="9" max="9" width="9.85546875" customWidth="1"/>
    <col min="10" max="10" width="13.5703125" customWidth="1"/>
    <col min="11" max="11" width="13.85546875" customWidth="1"/>
    <col min="12" max="12" width="10.5703125" customWidth="1"/>
    <col min="13" max="13" width="13.5703125" customWidth="1"/>
    <col min="14" max="14" width="18.140625" customWidth="1"/>
    <col min="15" max="15" width="15.7109375" customWidth="1"/>
    <col min="16" max="16" width="16.28515625" customWidth="1"/>
    <col min="17" max="17" width="13.140625" customWidth="1"/>
    <col min="18" max="18" width="9.42578125" customWidth="1"/>
    <col min="19" max="19" width="14.140625" customWidth="1"/>
    <col min="20" max="24" width="12.140625" customWidth="1"/>
    <col min="25" max="34" width="13.28515625" customWidth="1"/>
    <col min="35" max="35" width="13.42578125" customWidth="1"/>
    <col min="36" max="36" width="14.28515625" customWidth="1"/>
    <col min="37" max="37" width="13.7109375" customWidth="1"/>
    <col min="38" max="38" width="14.140625" customWidth="1"/>
    <col min="39" max="39" width="13" customWidth="1"/>
    <col min="40" max="40" width="12.28515625" customWidth="1"/>
    <col min="41" max="41" width="16.42578125" customWidth="1"/>
    <col min="42" max="42" width="13.7109375" customWidth="1"/>
    <col min="43" max="43" width="11.28515625" customWidth="1"/>
    <col min="44" max="44" width="13.42578125" customWidth="1"/>
    <col min="45" max="48" width="16" customWidth="1"/>
    <col min="49" max="51" width="20.140625" customWidth="1"/>
    <col min="52" max="16384" width="9.140625" style="1"/>
  </cols>
  <sheetData>
    <row r="1" spans="1:51" s="6" customFormat="1" ht="21" x14ac:dyDescent="0.35">
      <c r="A1" s="16" t="s">
        <v>891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s="4" customFormat="1" ht="16.5" customHeight="1" x14ac:dyDescent="0.25">
      <c r="A2" s="50" t="s">
        <v>45</v>
      </c>
      <c r="B2" s="35" t="s">
        <v>58</v>
      </c>
      <c r="C2" s="42" t="s">
        <v>14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4"/>
      <c r="Y2" s="30" t="s">
        <v>47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21" t="s">
        <v>44</v>
      </c>
      <c r="AT2" s="22"/>
      <c r="AU2" s="22"/>
      <c r="AV2" s="22"/>
      <c r="AW2" s="22"/>
      <c r="AX2" s="23"/>
      <c r="AY2" s="28" t="s">
        <v>57</v>
      </c>
    </row>
    <row r="3" spans="1:51" s="5" customFormat="1" ht="46.5" customHeight="1" x14ac:dyDescent="0.25">
      <c r="A3" s="50"/>
      <c r="B3" s="36"/>
      <c r="C3" s="27" t="s">
        <v>17</v>
      </c>
      <c r="D3" s="39" t="s">
        <v>0</v>
      </c>
      <c r="E3" s="40"/>
      <c r="F3" s="40"/>
      <c r="G3" s="40"/>
      <c r="H3" s="40"/>
      <c r="I3" s="40"/>
      <c r="J3" s="40"/>
      <c r="K3" s="41"/>
      <c r="L3" s="27" t="s">
        <v>22</v>
      </c>
      <c r="M3" s="39" t="s">
        <v>23</v>
      </c>
      <c r="N3" s="40"/>
      <c r="O3" s="40"/>
      <c r="P3" s="40"/>
      <c r="Q3" s="40"/>
      <c r="R3" s="41"/>
      <c r="S3" s="27" t="s">
        <v>27</v>
      </c>
      <c r="T3" s="41" t="s">
        <v>28</v>
      </c>
      <c r="U3" s="24" t="s">
        <v>29</v>
      </c>
      <c r="V3" s="24" t="s">
        <v>30</v>
      </c>
      <c r="W3" s="24" t="s">
        <v>31</v>
      </c>
      <c r="X3" s="45" t="s">
        <v>52</v>
      </c>
      <c r="Y3" s="29" t="s">
        <v>32</v>
      </c>
      <c r="Z3" s="29" t="s">
        <v>46</v>
      </c>
      <c r="AA3" s="29" t="s">
        <v>33</v>
      </c>
      <c r="AB3" s="30" t="s">
        <v>16</v>
      </c>
      <c r="AC3" s="31"/>
      <c r="AD3" s="31"/>
      <c r="AE3" s="31"/>
      <c r="AF3" s="31"/>
      <c r="AG3" s="32"/>
      <c r="AH3" s="29" t="s">
        <v>34</v>
      </c>
      <c r="AI3" s="29" t="s">
        <v>35</v>
      </c>
      <c r="AJ3" s="29" t="s">
        <v>48</v>
      </c>
      <c r="AK3" s="29" t="s">
        <v>36</v>
      </c>
      <c r="AL3" s="30" t="s">
        <v>10</v>
      </c>
      <c r="AM3" s="31"/>
      <c r="AN3" s="32"/>
      <c r="AO3" s="33" t="s">
        <v>39</v>
      </c>
      <c r="AP3" s="33" t="s">
        <v>40</v>
      </c>
      <c r="AQ3" s="33" t="s">
        <v>41</v>
      </c>
      <c r="AR3" s="35" t="s">
        <v>55</v>
      </c>
      <c r="AS3" s="27" t="s">
        <v>11</v>
      </c>
      <c r="AT3" s="27" t="s">
        <v>12</v>
      </c>
      <c r="AU3" s="27" t="s">
        <v>42</v>
      </c>
      <c r="AV3" s="27" t="s">
        <v>43</v>
      </c>
      <c r="AW3" s="27" t="s">
        <v>13</v>
      </c>
      <c r="AX3" s="27" t="s">
        <v>56</v>
      </c>
      <c r="AY3" s="28"/>
    </row>
    <row r="4" spans="1:51" s="5" customFormat="1" ht="26.25" customHeight="1" x14ac:dyDescent="0.25">
      <c r="A4" s="50"/>
      <c r="B4" s="36"/>
      <c r="C4" s="27"/>
      <c r="D4" s="24" t="s">
        <v>49</v>
      </c>
      <c r="E4" s="21" t="s">
        <v>15</v>
      </c>
      <c r="F4" s="22"/>
      <c r="G4" s="23"/>
      <c r="H4" s="27" t="s">
        <v>18</v>
      </c>
      <c r="I4" s="27" t="s">
        <v>19</v>
      </c>
      <c r="J4" s="27" t="s">
        <v>20</v>
      </c>
      <c r="K4" s="27" t="s">
        <v>21</v>
      </c>
      <c r="L4" s="27"/>
      <c r="M4" s="24" t="s">
        <v>51</v>
      </c>
      <c r="N4" s="27" t="s">
        <v>3</v>
      </c>
      <c r="O4" s="27" t="s">
        <v>24</v>
      </c>
      <c r="P4" s="27" t="s">
        <v>25</v>
      </c>
      <c r="Q4" s="27" t="s">
        <v>26</v>
      </c>
      <c r="R4" s="27" t="s">
        <v>4</v>
      </c>
      <c r="S4" s="27"/>
      <c r="T4" s="48"/>
      <c r="U4" s="25"/>
      <c r="V4" s="25"/>
      <c r="W4" s="25"/>
      <c r="X4" s="46"/>
      <c r="Y4" s="29"/>
      <c r="Z4" s="29"/>
      <c r="AA4" s="29"/>
      <c r="AB4" s="33" t="s">
        <v>53</v>
      </c>
      <c r="AC4" s="29" t="s">
        <v>5</v>
      </c>
      <c r="AD4" s="29" t="s">
        <v>6</v>
      </c>
      <c r="AE4" s="29" t="s">
        <v>7</v>
      </c>
      <c r="AF4" s="29" t="s">
        <v>8</v>
      </c>
      <c r="AG4" s="29" t="s">
        <v>9</v>
      </c>
      <c r="AH4" s="29"/>
      <c r="AI4" s="29"/>
      <c r="AJ4" s="29"/>
      <c r="AK4" s="29"/>
      <c r="AL4" s="33" t="s">
        <v>54</v>
      </c>
      <c r="AM4" s="29" t="s">
        <v>37</v>
      </c>
      <c r="AN4" s="33" t="s">
        <v>38</v>
      </c>
      <c r="AO4" s="38"/>
      <c r="AP4" s="38"/>
      <c r="AQ4" s="38"/>
      <c r="AR4" s="36"/>
      <c r="AS4" s="27"/>
      <c r="AT4" s="27"/>
      <c r="AU4" s="27"/>
      <c r="AV4" s="27"/>
      <c r="AW4" s="27"/>
      <c r="AX4" s="27"/>
      <c r="AY4" s="28"/>
    </row>
    <row r="5" spans="1:51" s="7" customFormat="1" ht="75" customHeight="1" x14ac:dyDescent="0.25">
      <c r="A5" s="50"/>
      <c r="B5" s="37"/>
      <c r="C5" s="27"/>
      <c r="D5" s="26"/>
      <c r="E5" s="18" t="s">
        <v>50</v>
      </c>
      <c r="F5" s="19" t="s">
        <v>1</v>
      </c>
      <c r="G5" s="19" t="s">
        <v>2</v>
      </c>
      <c r="H5" s="27"/>
      <c r="I5" s="27"/>
      <c r="J5" s="27"/>
      <c r="K5" s="27"/>
      <c r="L5" s="27"/>
      <c r="M5" s="26"/>
      <c r="N5" s="27"/>
      <c r="O5" s="27"/>
      <c r="P5" s="27"/>
      <c r="Q5" s="27"/>
      <c r="R5" s="27"/>
      <c r="S5" s="27"/>
      <c r="T5" s="49"/>
      <c r="U5" s="26"/>
      <c r="V5" s="26"/>
      <c r="W5" s="26"/>
      <c r="X5" s="47"/>
      <c r="Y5" s="29"/>
      <c r="Z5" s="29"/>
      <c r="AA5" s="29"/>
      <c r="AB5" s="34"/>
      <c r="AC5" s="29"/>
      <c r="AD5" s="29"/>
      <c r="AE5" s="29"/>
      <c r="AF5" s="29"/>
      <c r="AG5" s="29"/>
      <c r="AH5" s="29"/>
      <c r="AI5" s="29"/>
      <c r="AJ5" s="29"/>
      <c r="AK5" s="29"/>
      <c r="AL5" s="34"/>
      <c r="AM5" s="29"/>
      <c r="AN5" s="34"/>
      <c r="AO5" s="34"/>
      <c r="AP5" s="34"/>
      <c r="AQ5" s="34"/>
      <c r="AR5" s="37"/>
      <c r="AS5" s="27"/>
      <c r="AT5" s="27"/>
      <c r="AU5" s="27"/>
      <c r="AV5" s="27"/>
      <c r="AW5" s="27"/>
      <c r="AX5" s="27"/>
      <c r="AY5" s="28"/>
    </row>
    <row r="6" spans="1:51" ht="14.1" customHeight="1" x14ac:dyDescent="0.25">
      <c r="A6" s="8">
        <v>1</v>
      </c>
      <c r="B6" s="8">
        <v>2</v>
      </c>
      <c r="C6" s="20">
        <v>3</v>
      </c>
      <c r="D6" s="20">
        <v>4</v>
      </c>
      <c r="E6" s="20">
        <v>5</v>
      </c>
      <c r="F6" s="20">
        <v>6</v>
      </c>
      <c r="G6" s="20">
        <v>7</v>
      </c>
      <c r="H6" s="20">
        <v>8</v>
      </c>
      <c r="I6" s="20">
        <v>9</v>
      </c>
      <c r="J6" s="20">
        <v>10</v>
      </c>
      <c r="K6" s="20">
        <v>11</v>
      </c>
      <c r="L6" s="20">
        <v>12</v>
      </c>
      <c r="M6" s="20">
        <v>13</v>
      </c>
      <c r="N6" s="20">
        <v>14</v>
      </c>
      <c r="O6" s="20">
        <v>15</v>
      </c>
      <c r="P6" s="20">
        <v>16</v>
      </c>
      <c r="Q6" s="20">
        <v>17</v>
      </c>
      <c r="R6" s="20">
        <v>18</v>
      </c>
      <c r="S6" s="20">
        <v>19</v>
      </c>
      <c r="T6" s="20">
        <v>20</v>
      </c>
      <c r="U6" s="20">
        <v>21</v>
      </c>
      <c r="V6" s="20">
        <v>22</v>
      </c>
      <c r="W6" s="20">
        <v>23</v>
      </c>
      <c r="X6" s="20">
        <v>24</v>
      </c>
      <c r="Y6" s="8">
        <v>25</v>
      </c>
      <c r="Z6" s="8">
        <v>26</v>
      </c>
      <c r="AA6" s="8">
        <v>27</v>
      </c>
      <c r="AB6" s="8">
        <v>28</v>
      </c>
      <c r="AC6" s="8">
        <v>29</v>
      </c>
      <c r="AD6" s="8">
        <v>30</v>
      </c>
      <c r="AE6" s="8">
        <v>31</v>
      </c>
      <c r="AF6" s="8">
        <v>32</v>
      </c>
      <c r="AG6" s="8">
        <v>33</v>
      </c>
      <c r="AH6" s="8">
        <v>34</v>
      </c>
      <c r="AI6" s="8">
        <v>35</v>
      </c>
      <c r="AJ6" s="8">
        <v>36</v>
      </c>
      <c r="AK6" s="8">
        <v>37</v>
      </c>
      <c r="AL6" s="8">
        <v>38</v>
      </c>
      <c r="AM6" s="8">
        <v>39</v>
      </c>
      <c r="AN6" s="8">
        <v>40</v>
      </c>
      <c r="AO6" s="8">
        <v>41</v>
      </c>
      <c r="AP6" s="8">
        <v>42</v>
      </c>
      <c r="AQ6" s="8">
        <v>43</v>
      </c>
      <c r="AR6" s="8">
        <v>44</v>
      </c>
      <c r="AS6" s="20">
        <v>45</v>
      </c>
      <c r="AT6" s="20">
        <v>46</v>
      </c>
      <c r="AU6" s="20">
        <v>47</v>
      </c>
      <c r="AV6" s="20">
        <v>48</v>
      </c>
      <c r="AW6" s="20">
        <v>49</v>
      </c>
      <c r="AX6" s="20">
        <v>50</v>
      </c>
      <c r="AY6" s="17">
        <v>51</v>
      </c>
    </row>
    <row r="7" spans="1:51" ht="16.5" customHeight="1" x14ac:dyDescent="0.25">
      <c r="A7" s="9" t="s">
        <v>888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3"/>
    </row>
    <row r="8" spans="1:51" ht="16.5" customHeight="1" x14ac:dyDescent="0.25">
      <c r="A8" s="10">
        <v>1</v>
      </c>
      <c r="B8" s="11" t="s">
        <v>59</v>
      </c>
      <c r="C8" s="10">
        <v>0</v>
      </c>
      <c r="D8" s="10">
        <v>4</v>
      </c>
      <c r="E8" s="10">
        <v>4</v>
      </c>
      <c r="F8" s="10">
        <v>0</v>
      </c>
      <c r="G8" s="10">
        <v>4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4</v>
      </c>
      <c r="Y8" s="10">
        <v>0</v>
      </c>
      <c r="Z8" s="10">
        <v>7</v>
      </c>
      <c r="AA8" s="10">
        <v>3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15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7</v>
      </c>
      <c r="AP8" s="10">
        <v>0</v>
      </c>
      <c r="AQ8" s="10">
        <v>9</v>
      </c>
      <c r="AR8" s="10">
        <v>41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45</v>
      </c>
    </row>
    <row r="9" spans="1:51" ht="16.5" customHeight="1" x14ac:dyDescent="0.25">
      <c r="A9" s="10">
        <v>2</v>
      </c>
      <c r="B9" s="11" t="s">
        <v>60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1</v>
      </c>
      <c r="N9" s="10">
        <v>1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1</v>
      </c>
      <c r="X9" s="10">
        <v>2</v>
      </c>
      <c r="Y9" s="10">
        <v>0</v>
      </c>
      <c r="Z9" s="10">
        <v>0</v>
      </c>
      <c r="AA9" s="10">
        <v>0</v>
      </c>
      <c r="AB9" s="10">
        <v>1</v>
      </c>
      <c r="AC9" s="10">
        <v>0</v>
      </c>
      <c r="AD9" s="10">
        <v>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1</v>
      </c>
      <c r="AR9" s="10">
        <v>2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4</v>
      </c>
    </row>
    <row r="10" spans="1:51" ht="16.5" customHeight="1" x14ac:dyDescent="0.25">
      <c r="A10" s="10">
        <v>3</v>
      </c>
      <c r="B10" s="11" t="s">
        <v>61</v>
      </c>
      <c r="C10" s="10">
        <v>0</v>
      </c>
      <c r="D10" s="10">
        <v>41</v>
      </c>
      <c r="E10" s="10">
        <v>8</v>
      </c>
      <c r="F10" s="10">
        <v>0</v>
      </c>
      <c r="G10" s="10">
        <v>8</v>
      </c>
      <c r="H10" s="10">
        <v>22</v>
      </c>
      <c r="I10" s="10">
        <v>1</v>
      </c>
      <c r="J10" s="10">
        <v>0</v>
      </c>
      <c r="K10" s="10">
        <v>10</v>
      </c>
      <c r="L10" s="10">
        <v>0</v>
      </c>
      <c r="M10" s="10">
        <v>1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42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6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6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48</v>
      </c>
    </row>
    <row r="11" spans="1:51" ht="16.5" customHeight="1" x14ac:dyDescent="0.25">
      <c r="A11" s="10">
        <v>4</v>
      </c>
      <c r="B11" s="11" t="s">
        <v>62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10</v>
      </c>
      <c r="AA11" s="10">
        <v>0</v>
      </c>
      <c r="AB11" s="10">
        <v>18</v>
      </c>
      <c r="AC11" s="10">
        <v>0</v>
      </c>
      <c r="AD11" s="10">
        <v>0</v>
      </c>
      <c r="AE11" s="10">
        <v>6</v>
      </c>
      <c r="AF11" s="10">
        <v>12</v>
      </c>
      <c r="AG11" s="10">
        <v>0</v>
      </c>
      <c r="AH11" s="10">
        <v>0</v>
      </c>
      <c r="AI11" s="10">
        <v>1</v>
      </c>
      <c r="AJ11" s="10">
        <v>0</v>
      </c>
      <c r="AK11" s="10">
        <v>2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8</v>
      </c>
      <c r="AR11" s="10">
        <v>39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39</v>
      </c>
    </row>
    <row r="12" spans="1:51" ht="16.5" customHeight="1" x14ac:dyDescent="0.25">
      <c r="A12" s="10">
        <v>5</v>
      </c>
      <c r="B12" s="11" t="s">
        <v>63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1:51" ht="16.5" customHeight="1" x14ac:dyDescent="0.25">
      <c r="A13" s="10">
        <v>6</v>
      </c>
      <c r="B13" s="11" t="s">
        <v>64</v>
      </c>
      <c r="C13" s="10">
        <v>0</v>
      </c>
      <c r="D13" s="10">
        <v>4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5</v>
      </c>
      <c r="Y13" s="10">
        <v>0</v>
      </c>
      <c r="Z13" s="10">
        <v>2</v>
      </c>
      <c r="AA13" s="10">
        <v>0</v>
      </c>
      <c r="AB13" s="10">
        <v>18</v>
      </c>
      <c r="AC13" s="10">
        <v>3</v>
      </c>
      <c r="AD13" s="10">
        <v>3</v>
      </c>
      <c r="AE13" s="10">
        <v>1</v>
      </c>
      <c r="AF13" s="10">
        <v>9</v>
      </c>
      <c r="AG13" s="10">
        <v>2</v>
      </c>
      <c r="AH13" s="10">
        <v>0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3</v>
      </c>
      <c r="AP13" s="10">
        <v>0</v>
      </c>
      <c r="AQ13" s="10">
        <v>5</v>
      </c>
      <c r="AR13" s="10">
        <v>29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34</v>
      </c>
    </row>
    <row r="14" spans="1:51" ht="16.5" customHeight="1" x14ac:dyDescent="0.25">
      <c r="A14" s="10">
        <v>7</v>
      </c>
      <c r="B14" s="11" t="s">
        <v>65</v>
      </c>
      <c r="C14" s="10">
        <v>0</v>
      </c>
      <c r="D14" s="10">
        <v>4</v>
      </c>
      <c r="E14" s="10">
        <v>0</v>
      </c>
      <c r="F14" s="10">
        <v>0</v>
      </c>
      <c r="G14" s="10">
        <v>0</v>
      </c>
      <c r="H14" s="10">
        <v>0</v>
      </c>
      <c r="I14" s="10">
        <v>4</v>
      </c>
      <c r="J14" s="10">
        <v>0</v>
      </c>
      <c r="K14" s="10">
        <v>0</v>
      </c>
      <c r="L14" s="10">
        <v>0</v>
      </c>
      <c r="M14" s="10">
        <v>1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1</v>
      </c>
      <c r="X14" s="10">
        <v>6</v>
      </c>
      <c r="Y14" s="10">
        <v>0</v>
      </c>
      <c r="Z14" s="10">
        <v>0</v>
      </c>
      <c r="AA14" s="10">
        <v>0</v>
      </c>
      <c r="AB14" s="10">
        <v>39</v>
      </c>
      <c r="AC14" s="10">
        <v>17</v>
      </c>
      <c r="AD14" s="10">
        <v>0</v>
      </c>
      <c r="AE14" s="10">
        <v>0</v>
      </c>
      <c r="AF14" s="10">
        <v>16</v>
      </c>
      <c r="AG14" s="10">
        <v>6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2</v>
      </c>
      <c r="AP14" s="10">
        <v>0</v>
      </c>
      <c r="AQ14" s="10">
        <v>0</v>
      </c>
      <c r="AR14" s="10">
        <v>41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47</v>
      </c>
    </row>
    <row r="15" spans="1:51" ht="16.5" customHeight="1" x14ac:dyDescent="0.25">
      <c r="A15" s="10">
        <v>8</v>
      </c>
      <c r="B15" s="11" t="s">
        <v>66</v>
      </c>
      <c r="C15" s="10">
        <v>0</v>
      </c>
      <c r="D15" s="10">
        <v>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1</v>
      </c>
      <c r="Y15" s="10">
        <v>0</v>
      </c>
      <c r="Z15" s="10">
        <v>0</v>
      </c>
      <c r="AA15" s="10">
        <v>0</v>
      </c>
      <c r="AB15" s="10">
        <v>3</v>
      </c>
      <c r="AC15" s="10">
        <v>0</v>
      </c>
      <c r="AD15" s="10">
        <v>1</v>
      </c>
      <c r="AE15" s="10">
        <v>2</v>
      </c>
      <c r="AF15" s="10">
        <v>0</v>
      </c>
      <c r="AG15" s="10">
        <v>0</v>
      </c>
      <c r="AH15" s="10">
        <v>7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10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11</v>
      </c>
    </row>
    <row r="16" spans="1:51" ht="16.5" customHeight="1" x14ac:dyDescent="0.25">
      <c r="A16" s="10">
        <v>9</v>
      </c>
      <c r="B16" s="11" t="s">
        <v>67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53</v>
      </c>
      <c r="X16" s="10">
        <v>53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53</v>
      </c>
    </row>
    <row r="17" spans="1:51" ht="16.5" customHeight="1" x14ac:dyDescent="0.25">
      <c r="A17" s="10">
        <v>10</v>
      </c>
      <c r="B17" s="11" t="s">
        <v>68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1:51" ht="16.5" customHeight="1" x14ac:dyDescent="0.25">
      <c r="A18" s="10">
        <v>11</v>
      </c>
      <c r="B18" s="11" t="s">
        <v>69</v>
      </c>
      <c r="C18" s="10">
        <v>0</v>
      </c>
      <c r="D18" s="10">
        <v>21</v>
      </c>
      <c r="E18" s="10">
        <v>0</v>
      </c>
      <c r="F18" s="10">
        <v>0</v>
      </c>
      <c r="G18" s="10">
        <v>0</v>
      </c>
      <c r="H18" s="10">
        <v>0</v>
      </c>
      <c r="I18" s="10">
        <v>11</v>
      </c>
      <c r="J18" s="10">
        <v>10</v>
      </c>
      <c r="K18" s="10">
        <v>0</v>
      </c>
      <c r="L18" s="10">
        <v>0</v>
      </c>
      <c r="M18" s="10">
        <v>2</v>
      </c>
      <c r="N18" s="10">
        <v>1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9</v>
      </c>
      <c r="X18" s="10">
        <v>32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32</v>
      </c>
    </row>
    <row r="19" spans="1:51" ht="16.5" customHeight="1" x14ac:dyDescent="0.25">
      <c r="A19" s="10">
        <v>12</v>
      </c>
      <c r="B19" s="11" t="s">
        <v>70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5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5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5</v>
      </c>
    </row>
    <row r="20" spans="1:51" ht="16.5" customHeight="1" x14ac:dyDescent="0.25">
      <c r="A20" s="10">
        <v>13</v>
      </c>
      <c r="B20" s="11" t="s">
        <v>71</v>
      </c>
      <c r="C20" s="10">
        <v>0</v>
      </c>
      <c r="D20" s="10">
        <v>6</v>
      </c>
      <c r="E20" s="10">
        <v>0</v>
      </c>
      <c r="F20" s="10">
        <v>0</v>
      </c>
      <c r="G20" s="10">
        <v>0</v>
      </c>
      <c r="H20" s="10">
        <v>0</v>
      </c>
      <c r="I20" s="10">
        <v>5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7</v>
      </c>
      <c r="X20" s="10">
        <v>13</v>
      </c>
      <c r="Y20" s="10">
        <v>0</v>
      </c>
      <c r="Z20" s="10">
        <v>0</v>
      </c>
      <c r="AA20" s="10">
        <v>0</v>
      </c>
      <c r="AB20" s="10">
        <v>16</v>
      </c>
      <c r="AC20" s="10">
        <v>0</v>
      </c>
      <c r="AD20" s="10">
        <v>16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3</v>
      </c>
      <c r="AQ20" s="10">
        <v>0</v>
      </c>
      <c r="AR20" s="10">
        <v>19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32</v>
      </c>
    </row>
    <row r="21" spans="1:51" ht="16.5" customHeight="1" x14ac:dyDescent="0.25">
      <c r="A21" s="10">
        <v>14</v>
      </c>
      <c r="B21" s="11" t="s">
        <v>72</v>
      </c>
      <c r="C21" s="10">
        <v>2</v>
      </c>
      <c r="D21" s="10">
        <v>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3</v>
      </c>
      <c r="Y21" s="10">
        <v>0</v>
      </c>
      <c r="Z21" s="10">
        <v>4</v>
      </c>
      <c r="AA21" s="10">
        <v>0</v>
      </c>
      <c r="AB21" s="10">
        <v>15</v>
      </c>
      <c r="AC21" s="10">
        <v>0</v>
      </c>
      <c r="AD21" s="10">
        <v>0</v>
      </c>
      <c r="AE21" s="10">
        <v>8</v>
      </c>
      <c r="AF21" s="10">
        <v>7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7</v>
      </c>
      <c r="AR21" s="10">
        <v>26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29</v>
      </c>
    </row>
    <row r="22" spans="1:51" ht="16.5" customHeight="1" x14ac:dyDescent="0.25">
      <c r="A22" s="10">
        <v>15</v>
      </c>
      <c r="B22" s="11" t="s">
        <v>73</v>
      </c>
      <c r="C22" s="10">
        <v>0</v>
      </c>
      <c r="D22" s="10">
        <v>8</v>
      </c>
      <c r="E22" s="10">
        <v>1</v>
      </c>
      <c r="F22" s="10">
        <v>0</v>
      </c>
      <c r="G22" s="10">
        <v>1</v>
      </c>
      <c r="H22" s="10">
        <v>0</v>
      </c>
      <c r="I22" s="10">
        <v>7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8</v>
      </c>
      <c r="Y22" s="10">
        <v>0</v>
      </c>
      <c r="Z22" s="10">
        <v>11</v>
      </c>
      <c r="AA22" s="10">
        <v>2</v>
      </c>
      <c r="AB22" s="10">
        <v>3</v>
      </c>
      <c r="AC22" s="10">
        <v>0</v>
      </c>
      <c r="AD22" s="10">
        <v>0</v>
      </c>
      <c r="AE22" s="10">
        <v>0</v>
      </c>
      <c r="AF22" s="10">
        <v>0</v>
      </c>
      <c r="AG22" s="10">
        <v>3</v>
      </c>
      <c r="AH22" s="10">
        <v>145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9</v>
      </c>
      <c r="AP22" s="10">
        <v>0</v>
      </c>
      <c r="AQ22" s="10">
        <v>8</v>
      </c>
      <c r="AR22" s="10">
        <v>178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186</v>
      </c>
    </row>
    <row r="23" spans="1:51" ht="16.5" customHeight="1" x14ac:dyDescent="0.25">
      <c r="A23" s="10">
        <v>16</v>
      </c>
      <c r="B23" s="11" t="s">
        <v>74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1:51" ht="16.5" customHeight="1" x14ac:dyDescent="0.25">
      <c r="A24" s="10">
        <v>17</v>
      </c>
      <c r="B24" s="11" t="s">
        <v>75</v>
      </c>
      <c r="C24" s="10">
        <v>0</v>
      </c>
      <c r="D24" s="10">
        <v>1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0</v>
      </c>
      <c r="Z24" s="10">
        <v>0</v>
      </c>
      <c r="AA24" s="10">
        <v>0</v>
      </c>
      <c r="AB24" s="10">
        <v>1</v>
      </c>
      <c r="AC24" s="10">
        <v>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1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2</v>
      </c>
    </row>
    <row r="25" spans="1:51" ht="16.5" customHeight="1" x14ac:dyDescent="0.25">
      <c r="A25" s="10">
        <v>18</v>
      </c>
      <c r="B25" s="11" t="s">
        <v>76</v>
      </c>
      <c r="C25" s="10">
        <v>0</v>
      </c>
      <c r="D25" s="10">
        <v>207</v>
      </c>
      <c r="E25" s="10">
        <v>0</v>
      </c>
      <c r="F25" s="10">
        <v>0</v>
      </c>
      <c r="G25" s="10">
        <v>0</v>
      </c>
      <c r="H25" s="10">
        <v>0</v>
      </c>
      <c r="I25" s="10">
        <v>186</v>
      </c>
      <c r="J25" s="10">
        <v>21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45</v>
      </c>
      <c r="X25" s="10">
        <v>252</v>
      </c>
      <c r="Y25" s="10">
        <v>0</v>
      </c>
      <c r="Z25" s="10">
        <v>10</v>
      </c>
      <c r="AA25" s="10">
        <v>0</v>
      </c>
      <c r="AB25" s="10">
        <v>25</v>
      </c>
      <c r="AC25" s="10">
        <v>4</v>
      </c>
      <c r="AD25" s="10">
        <v>2</v>
      </c>
      <c r="AE25" s="10">
        <v>0</v>
      </c>
      <c r="AF25" s="10">
        <v>12</v>
      </c>
      <c r="AG25" s="10">
        <v>7</v>
      </c>
      <c r="AH25" s="10">
        <v>18</v>
      </c>
      <c r="AI25" s="10">
        <v>0</v>
      </c>
      <c r="AJ25" s="10">
        <v>0</v>
      </c>
      <c r="AK25" s="10">
        <v>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3</v>
      </c>
      <c r="AR25" s="10">
        <v>57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309</v>
      </c>
    </row>
    <row r="26" spans="1:51" ht="16.5" customHeight="1" x14ac:dyDescent="0.25">
      <c r="A26" s="10">
        <v>19</v>
      </c>
      <c r="B26" s="11" t="s">
        <v>77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3</v>
      </c>
      <c r="X26" s="10">
        <v>3</v>
      </c>
      <c r="Y26" s="10">
        <v>0</v>
      </c>
      <c r="Z26" s="10">
        <v>0</v>
      </c>
      <c r="AA26" s="10">
        <v>0</v>
      </c>
      <c r="AB26" s="10">
        <v>13</v>
      </c>
      <c r="AC26" s="10">
        <v>0</v>
      </c>
      <c r="AD26" s="10">
        <v>5</v>
      </c>
      <c r="AE26" s="10">
        <v>0</v>
      </c>
      <c r="AF26" s="10">
        <v>6</v>
      </c>
      <c r="AG26" s="10">
        <v>2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13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16</v>
      </c>
    </row>
    <row r="27" spans="1:51" ht="16.5" customHeight="1" x14ac:dyDescent="0.25">
      <c r="A27" s="10">
        <v>20</v>
      </c>
      <c r="B27" s="11" t="s">
        <v>78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1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4</v>
      </c>
      <c r="AA27" s="10">
        <v>3</v>
      </c>
      <c r="AB27" s="10">
        <v>14</v>
      </c>
      <c r="AC27" s="10">
        <v>1</v>
      </c>
      <c r="AD27" s="10">
        <v>10</v>
      </c>
      <c r="AE27" s="10">
        <v>3</v>
      </c>
      <c r="AF27" s="10">
        <v>0</v>
      </c>
      <c r="AG27" s="10">
        <v>0</v>
      </c>
      <c r="AH27" s="10">
        <v>5</v>
      </c>
      <c r="AI27" s="10">
        <v>1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1</v>
      </c>
      <c r="AP27" s="10">
        <v>0</v>
      </c>
      <c r="AQ27" s="10">
        <v>10</v>
      </c>
      <c r="AR27" s="10">
        <v>38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39</v>
      </c>
    </row>
    <row r="28" spans="1:51" ht="16.5" customHeight="1" x14ac:dyDescent="0.25">
      <c r="A28" s="12"/>
      <c r="B28" s="13" t="s">
        <v>889</v>
      </c>
      <c r="C28" s="14">
        <f t="shared" ref="C28:AH28" si="0">SUM(C8:C27)</f>
        <v>2</v>
      </c>
      <c r="D28" s="14">
        <f t="shared" si="0"/>
        <v>298</v>
      </c>
      <c r="E28" s="14">
        <f t="shared" si="0"/>
        <v>13</v>
      </c>
      <c r="F28" s="14">
        <f t="shared" si="0"/>
        <v>0</v>
      </c>
      <c r="G28" s="14">
        <f t="shared" si="0"/>
        <v>13</v>
      </c>
      <c r="H28" s="14">
        <f t="shared" si="0"/>
        <v>22</v>
      </c>
      <c r="I28" s="14">
        <f t="shared" si="0"/>
        <v>217</v>
      </c>
      <c r="J28" s="14">
        <f t="shared" si="0"/>
        <v>35</v>
      </c>
      <c r="K28" s="14">
        <f t="shared" si="0"/>
        <v>11</v>
      </c>
      <c r="L28" s="14">
        <f t="shared" si="0"/>
        <v>0</v>
      </c>
      <c r="M28" s="14">
        <f t="shared" si="0"/>
        <v>6</v>
      </c>
      <c r="N28" s="14">
        <f t="shared" si="0"/>
        <v>3</v>
      </c>
      <c r="O28" s="14">
        <f t="shared" si="0"/>
        <v>1</v>
      </c>
      <c r="P28" s="14">
        <f t="shared" si="0"/>
        <v>1</v>
      </c>
      <c r="Q28" s="14">
        <f t="shared" si="0"/>
        <v>1</v>
      </c>
      <c r="R28" s="14">
        <f t="shared" si="0"/>
        <v>0</v>
      </c>
      <c r="S28" s="14">
        <f t="shared" si="0"/>
        <v>0</v>
      </c>
      <c r="T28" s="14">
        <f t="shared" si="0"/>
        <v>0</v>
      </c>
      <c r="U28" s="14">
        <f t="shared" si="0"/>
        <v>0</v>
      </c>
      <c r="V28" s="14">
        <f t="shared" si="0"/>
        <v>0</v>
      </c>
      <c r="W28" s="14">
        <f t="shared" si="0"/>
        <v>120</v>
      </c>
      <c r="X28" s="14">
        <f t="shared" si="0"/>
        <v>426</v>
      </c>
      <c r="Y28" s="14">
        <f t="shared" si="0"/>
        <v>0</v>
      </c>
      <c r="Z28" s="14">
        <f t="shared" si="0"/>
        <v>48</v>
      </c>
      <c r="AA28" s="14">
        <f t="shared" si="0"/>
        <v>8</v>
      </c>
      <c r="AB28" s="14">
        <f t="shared" si="0"/>
        <v>166</v>
      </c>
      <c r="AC28" s="14">
        <f t="shared" si="0"/>
        <v>26</v>
      </c>
      <c r="AD28" s="14">
        <f t="shared" si="0"/>
        <v>38</v>
      </c>
      <c r="AE28" s="14">
        <f t="shared" si="0"/>
        <v>20</v>
      </c>
      <c r="AF28" s="14">
        <f t="shared" si="0"/>
        <v>62</v>
      </c>
      <c r="AG28" s="14">
        <f t="shared" si="0"/>
        <v>20</v>
      </c>
      <c r="AH28" s="14">
        <f t="shared" si="0"/>
        <v>201</v>
      </c>
      <c r="AI28" s="14">
        <f t="shared" ref="AI28:AY28" si="1">SUM(AI8:AI27)</f>
        <v>3</v>
      </c>
      <c r="AJ28" s="14">
        <f t="shared" si="1"/>
        <v>0</v>
      </c>
      <c r="AK28" s="14">
        <f t="shared" si="1"/>
        <v>3</v>
      </c>
      <c r="AL28" s="14">
        <f t="shared" si="1"/>
        <v>0</v>
      </c>
      <c r="AM28" s="14">
        <f t="shared" si="1"/>
        <v>0</v>
      </c>
      <c r="AN28" s="14">
        <f t="shared" si="1"/>
        <v>0</v>
      </c>
      <c r="AO28" s="14">
        <f t="shared" si="1"/>
        <v>22</v>
      </c>
      <c r="AP28" s="14">
        <f t="shared" si="1"/>
        <v>3</v>
      </c>
      <c r="AQ28" s="14">
        <f t="shared" si="1"/>
        <v>51</v>
      </c>
      <c r="AR28" s="14">
        <f t="shared" si="1"/>
        <v>505</v>
      </c>
      <c r="AS28" s="14">
        <f t="shared" si="1"/>
        <v>0</v>
      </c>
      <c r="AT28" s="14">
        <f t="shared" si="1"/>
        <v>0</v>
      </c>
      <c r="AU28" s="14">
        <f t="shared" si="1"/>
        <v>0</v>
      </c>
      <c r="AV28" s="14">
        <f t="shared" si="1"/>
        <v>0</v>
      </c>
      <c r="AW28" s="14">
        <f t="shared" si="1"/>
        <v>0</v>
      </c>
      <c r="AX28" s="14">
        <f t="shared" si="1"/>
        <v>0</v>
      </c>
      <c r="AY28" s="14">
        <f t="shared" si="1"/>
        <v>931</v>
      </c>
    </row>
    <row r="29" spans="1:51" ht="16.5" customHeight="1" x14ac:dyDescent="0.25">
      <c r="A29" s="9" t="s">
        <v>890</v>
      </c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ht="16.5" customHeight="1" x14ac:dyDescent="0.25">
      <c r="A30" s="10">
        <v>1</v>
      </c>
      <c r="B30" s="11" t="s">
        <v>79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</row>
    <row r="31" spans="1:51" ht="16.5" customHeight="1" x14ac:dyDescent="0.25">
      <c r="A31" s="10">
        <v>2</v>
      </c>
      <c r="B31" s="11" t="s">
        <v>80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</row>
    <row r="32" spans="1:51" ht="16.5" customHeight="1" x14ac:dyDescent="0.25">
      <c r="A32" s="10">
        <v>3</v>
      </c>
      <c r="B32" s="11" t="s">
        <v>81</v>
      </c>
      <c r="C32" s="10">
        <v>0</v>
      </c>
      <c r="D32" s="10">
        <v>1</v>
      </c>
      <c r="E32" s="10">
        <v>0</v>
      </c>
      <c r="F32" s="10">
        <v>0</v>
      </c>
      <c r="G32" s="10">
        <v>0</v>
      </c>
      <c r="H32" s="10">
        <v>0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1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1</v>
      </c>
    </row>
    <row r="33" spans="1:51" ht="16.5" customHeight="1" x14ac:dyDescent="0.25">
      <c r="A33" s="10">
        <v>4</v>
      </c>
      <c r="B33" s="11" t="s">
        <v>82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</row>
    <row r="34" spans="1:51" ht="16.5" customHeight="1" x14ac:dyDescent="0.25">
      <c r="A34" s="10">
        <v>5</v>
      </c>
      <c r="B34" s="11" t="s">
        <v>83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</row>
    <row r="35" spans="1:51" ht="16.5" customHeight="1" x14ac:dyDescent="0.25">
      <c r="A35" s="10">
        <v>6</v>
      </c>
      <c r="B35" s="11" t="s">
        <v>84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</row>
    <row r="36" spans="1:51" ht="16.5" customHeight="1" x14ac:dyDescent="0.25">
      <c r="A36" s="10">
        <v>7</v>
      </c>
      <c r="B36" s="11" t="s">
        <v>85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</row>
    <row r="37" spans="1:51" ht="16.5" customHeight="1" x14ac:dyDescent="0.25">
      <c r="A37" s="10">
        <v>8</v>
      </c>
      <c r="B37" s="11" t="s">
        <v>86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</row>
    <row r="38" spans="1:51" ht="16.5" customHeight="1" x14ac:dyDescent="0.25">
      <c r="A38" s="10">
        <v>9</v>
      </c>
      <c r="B38" s="11" t="s">
        <v>87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</row>
    <row r="39" spans="1:51" ht="16.5" customHeight="1" x14ac:dyDescent="0.25">
      <c r="A39" s="10">
        <v>10</v>
      </c>
      <c r="B39" s="11" t="s">
        <v>88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</row>
    <row r="40" spans="1:51" ht="16.5" customHeight="1" x14ac:dyDescent="0.25">
      <c r="A40" s="10">
        <v>11</v>
      </c>
      <c r="B40" s="11" t="s">
        <v>89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</row>
    <row r="41" spans="1:51" ht="16.5" customHeight="1" x14ac:dyDescent="0.25">
      <c r="A41" s="10">
        <v>12</v>
      </c>
      <c r="B41" s="11" t="s">
        <v>90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</row>
    <row r="42" spans="1:51" ht="16.5" customHeight="1" x14ac:dyDescent="0.25">
      <c r="A42" s="10">
        <v>13</v>
      </c>
      <c r="B42" s="11" t="s">
        <v>91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</row>
    <row r="43" spans="1:51" ht="16.5" customHeight="1" x14ac:dyDescent="0.25">
      <c r="A43" s="10">
        <v>14</v>
      </c>
      <c r="B43" s="11" t="s">
        <v>92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</row>
    <row r="44" spans="1:51" ht="16.5" customHeight="1" x14ac:dyDescent="0.25">
      <c r="A44" s="10">
        <v>15</v>
      </c>
      <c r="B44" s="11" t="s">
        <v>93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</row>
    <row r="45" spans="1:51" ht="16.5" customHeight="1" x14ac:dyDescent="0.25">
      <c r="A45" s="10">
        <v>16</v>
      </c>
      <c r="B45" s="11" t="s">
        <v>94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</row>
    <row r="46" spans="1:51" ht="16.5" customHeight="1" x14ac:dyDescent="0.25">
      <c r="A46" s="10">
        <v>17</v>
      </c>
      <c r="B46" s="11" t="s">
        <v>95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</row>
    <row r="47" spans="1:51" ht="16.5" customHeight="1" x14ac:dyDescent="0.25">
      <c r="A47" s="10">
        <v>18</v>
      </c>
      <c r="B47" s="11" t="s">
        <v>96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</row>
    <row r="48" spans="1:51" ht="16.5" customHeight="1" x14ac:dyDescent="0.25">
      <c r="A48" s="10">
        <v>19</v>
      </c>
      <c r="B48" s="11" t="s">
        <v>97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</row>
    <row r="49" spans="1:51" ht="16.5" customHeight="1" x14ac:dyDescent="0.25">
      <c r="A49" s="10">
        <v>20</v>
      </c>
      <c r="B49" s="11" t="s">
        <v>98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</row>
    <row r="50" spans="1:51" ht="16.5" customHeight="1" x14ac:dyDescent="0.25">
      <c r="A50" s="10">
        <v>21</v>
      </c>
      <c r="B50" s="11" t="s">
        <v>99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</row>
    <row r="51" spans="1:51" ht="16.5" customHeight="1" x14ac:dyDescent="0.25">
      <c r="A51" s="10">
        <v>22</v>
      </c>
      <c r="B51" s="11" t="s">
        <v>100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</row>
    <row r="52" spans="1:51" ht="16.5" customHeight="1" x14ac:dyDescent="0.25">
      <c r="A52" s="10">
        <v>24</v>
      </c>
      <c r="B52" s="11" t="s">
        <v>101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</row>
    <row r="53" spans="1:51" ht="16.5" customHeight="1" x14ac:dyDescent="0.25">
      <c r="A53" s="12"/>
      <c r="B53" s="13" t="s">
        <v>889</v>
      </c>
      <c r="C53" s="14">
        <f t="shared" ref="C53:AH53" si="2">SUM(C30:C52)</f>
        <v>0</v>
      </c>
      <c r="D53" s="14">
        <f t="shared" si="2"/>
        <v>1</v>
      </c>
      <c r="E53" s="14">
        <f t="shared" si="2"/>
        <v>0</v>
      </c>
      <c r="F53" s="14">
        <f t="shared" si="2"/>
        <v>0</v>
      </c>
      <c r="G53" s="14">
        <f t="shared" si="2"/>
        <v>0</v>
      </c>
      <c r="H53" s="14">
        <f t="shared" si="2"/>
        <v>0</v>
      </c>
      <c r="I53" s="14">
        <f t="shared" si="2"/>
        <v>1</v>
      </c>
      <c r="J53" s="14">
        <f t="shared" si="2"/>
        <v>0</v>
      </c>
      <c r="K53" s="14">
        <f t="shared" si="2"/>
        <v>0</v>
      </c>
      <c r="L53" s="14">
        <f t="shared" si="2"/>
        <v>0</v>
      </c>
      <c r="M53" s="14">
        <f t="shared" si="2"/>
        <v>0</v>
      </c>
      <c r="N53" s="14">
        <f t="shared" si="2"/>
        <v>0</v>
      </c>
      <c r="O53" s="14">
        <f t="shared" si="2"/>
        <v>0</v>
      </c>
      <c r="P53" s="14">
        <f t="shared" si="2"/>
        <v>0</v>
      </c>
      <c r="Q53" s="14">
        <f t="shared" si="2"/>
        <v>0</v>
      </c>
      <c r="R53" s="14">
        <f t="shared" si="2"/>
        <v>0</v>
      </c>
      <c r="S53" s="14">
        <f t="shared" si="2"/>
        <v>0</v>
      </c>
      <c r="T53" s="14">
        <f t="shared" si="2"/>
        <v>0</v>
      </c>
      <c r="U53" s="14">
        <f t="shared" si="2"/>
        <v>0</v>
      </c>
      <c r="V53" s="14">
        <f t="shared" si="2"/>
        <v>0</v>
      </c>
      <c r="W53" s="14">
        <f t="shared" si="2"/>
        <v>0</v>
      </c>
      <c r="X53" s="14">
        <f t="shared" si="2"/>
        <v>1</v>
      </c>
      <c r="Y53" s="14">
        <f t="shared" si="2"/>
        <v>0</v>
      </c>
      <c r="Z53" s="14">
        <f t="shared" si="2"/>
        <v>0</v>
      </c>
      <c r="AA53" s="14">
        <f t="shared" si="2"/>
        <v>0</v>
      </c>
      <c r="AB53" s="14">
        <f t="shared" si="2"/>
        <v>0</v>
      </c>
      <c r="AC53" s="14">
        <f t="shared" si="2"/>
        <v>0</v>
      </c>
      <c r="AD53" s="14">
        <f t="shared" si="2"/>
        <v>0</v>
      </c>
      <c r="AE53" s="14">
        <f t="shared" si="2"/>
        <v>0</v>
      </c>
      <c r="AF53" s="14">
        <f t="shared" si="2"/>
        <v>0</v>
      </c>
      <c r="AG53" s="14">
        <f t="shared" si="2"/>
        <v>0</v>
      </c>
      <c r="AH53" s="14">
        <f t="shared" si="2"/>
        <v>0</v>
      </c>
      <c r="AI53" s="14">
        <f t="shared" ref="AI53:AY53" si="3">SUM(AI30:AI52)</f>
        <v>0</v>
      </c>
      <c r="AJ53" s="14">
        <f t="shared" si="3"/>
        <v>0</v>
      </c>
      <c r="AK53" s="14">
        <f t="shared" si="3"/>
        <v>0</v>
      </c>
      <c r="AL53" s="14">
        <f t="shared" si="3"/>
        <v>0</v>
      </c>
      <c r="AM53" s="14">
        <f t="shared" si="3"/>
        <v>0</v>
      </c>
      <c r="AN53" s="14">
        <f t="shared" si="3"/>
        <v>0</v>
      </c>
      <c r="AO53" s="14">
        <f t="shared" si="3"/>
        <v>0</v>
      </c>
      <c r="AP53" s="14">
        <f t="shared" si="3"/>
        <v>0</v>
      </c>
      <c r="AQ53" s="14">
        <f t="shared" si="3"/>
        <v>0</v>
      </c>
      <c r="AR53" s="14">
        <f t="shared" si="3"/>
        <v>0</v>
      </c>
      <c r="AS53" s="14">
        <f t="shared" si="3"/>
        <v>0</v>
      </c>
      <c r="AT53" s="14">
        <f t="shared" si="3"/>
        <v>0</v>
      </c>
      <c r="AU53" s="14">
        <f t="shared" si="3"/>
        <v>0</v>
      </c>
      <c r="AV53" s="14">
        <f t="shared" si="3"/>
        <v>0</v>
      </c>
      <c r="AW53" s="14">
        <f t="shared" si="3"/>
        <v>0</v>
      </c>
      <c r="AX53" s="14">
        <f t="shared" si="3"/>
        <v>0</v>
      </c>
      <c r="AY53" s="14">
        <f t="shared" si="3"/>
        <v>1</v>
      </c>
    </row>
    <row r="54" spans="1:51" ht="16.5" customHeight="1" x14ac:dyDescent="0.25">
      <c r="A54" s="9" t="s">
        <v>892</v>
      </c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</row>
    <row r="55" spans="1:51" ht="16.5" customHeight="1" x14ac:dyDescent="0.25">
      <c r="A55" s="10">
        <v>1</v>
      </c>
      <c r="B55" s="11" t="s">
        <v>102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</row>
    <row r="56" spans="1:51" ht="16.5" customHeight="1" x14ac:dyDescent="0.25">
      <c r="A56" s="10">
        <v>2</v>
      </c>
      <c r="B56" s="11" t="s">
        <v>103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70</v>
      </c>
      <c r="AP56" s="10">
        <v>0</v>
      </c>
      <c r="AQ56" s="10">
        <v>0</v>
      </c>
      <c r="AR56" s="10">
        <v>70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70</v>
      </c>
    </row>
    <row r="57" spans="1:51" ht="16.5" customHeight="1" x14ac:dyDescent="0.25">
      <c r="A57" s="10">
        <v>3</v>
      </c>
      <c r="B57" s="11" t="s">
        <v>104</v>
      </c>
      <c r="C57" s="10">
        <v>0</v>
      </c>
      <c r="D57" s="10">
        <v>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1</v>
      </c>
      <c r="K57" s="10">
        <v>0</v>
      </c>
      <c r="L57" s="10">
        <v>0</v>
      </c>
      <c r="M57" s="10">
        <v>10</v>
      </c>
      <c r="N57" s="10">
        <v>7</v>
      </c>
      <c r="O57" s="10">
        <v>3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1</v>
      </c>
      <c r="X57" s="10">
        <v>12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3</v>
      </c>
      <c r="AQ57" s="10">
        <v>0</v>
      </c>
      <c r="AR57" s="10">
        <v>3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15</v>
      </c>
    </row>
    <row r="58" spans="1:51" ht="16.5" customHeight="1" x14ac:dyDescent="0.25">
      <c r="A58" s="10">
        <v>4</v>
      </c>
      <c r="B58" s="11" t="s">
        <v>105</v>
      </c>
      <c r="C58" s="10">
        <v>0</v>
      </c>
      <c r="D58" s="10">
        <v>39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39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39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39</v>
      </c>
    </row>
    <row r="59" spans="1:51" ht="16.5" customHeight="1" x14ac:dyDescent="0.25">
      <c r="A59" s="10">
        <v>5</v>
      </c>
      <c r="B59" s="11" t="s">
        <v>106</v>
      </c>
      <c r="C59" s="10">
        <v>0</v>
      </c>
      <c r="D59" s="10">
        <v>5</v>
      </c>
      <c r="E59" s="10">
        <v>0</v>
      </c>
      <c r="F59" s="10">
        <v>0</v>
      </c>
      <c r="G59" s="10">
        <v>0</v>
      </c>
      <c r="H59" s="10">
        <v>0</v>
      </c>
      <c r="I59" s="10">
        <v>5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5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5</v>
      </c>
    </row>
    <row r="60" spans="1:51" ht="16.5" customHeight="1" x14ac:dyDescent="0.25">
      <c r="A60" s="10">
        <v>6</v>
      </c>
      <c r="B60" s="11" t="s">
        <v>107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70</v>
      </c>
      <c r="N60" s="10">
        <v>0</v>
      </c>
      <c r="O60" s="10">
        <v>0</v>
      </c>
      <c r="P60" s="10">
        <v>0</v>
      </c>
      <c r="Q60" s="10">
        <v>0</v>
      </c>
      <c r="R60" s="10">
        <v>70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70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70</v>
      </c>
    </row>
    <row r="61" spans="1:51" ht="16.5" customHeight="1" x14ac:dyDescent="0.25">
      <c r="A61" s="10">
        <v>7</v>
      </c>
      <c r="B61" s="11" t="s">
        <v>108</v>
      </c>
      <c r="C61" s="10">
        <v>0</v>
      </c>
      <c r="D61" s="10">
        <v>11</v>
      </c>
      <c r="E61" s="10">
        <v>11</v>
      </c>
      <c r="F61" s="10">
        <v>0</v>
      </c>
      <c r="G61" s="10">
        <v>11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11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11</v>
      </c>
    </row>
    <row r="62" spans="1:51" ht="16.5" customHeight="1" x14ac:dyDescent="0.25">
      <c r="A62" s="10">
        <v>8</v>
      </c>
      <c r="B62" s="11" t="s">
        <v>109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41</v>
      </c>
      <c r="N62" s="10">
        <v>0</v>
      </c>
      <c r="O62" s="10">
        <v>41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41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36</v>
      </c>
      <c r="AQ62" s="10">
        <v>0</v>
      </c>
      <c r="AR62" s="10">
        <v>36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77</v>
      </c>
    </row>
    <row r="63" spans="1:51" ht="16.5" customHeight="1" x14ac:dyDescent="0.25">
      <c r="A63" s="10">
        <v>9</v>
      </c>
      <c r="B63" s="11" t="s">
        <v>110</v>
      </c>
      <c r="C63" s="10">
        <v>0</v>
      </c>
      <c r="D63" s="10">
        <v>3</v>
      </c>
      <c r="E63" s="10">
        <v>0</v>
      </c>
      <c r="F63" s="10">
        <v>0</v>
      </c>
      <c r="G63" s="10">
        <v>0</v>
      </c>
      <c r="H63" s="10">
        <v>0</v>
      </c>
      <c r="I63" s="10">
        <v>3</v>
      </c>
      <c r="J63" s="10">
        <v>0</v>
      </c>
      <c r="K63" s="10">
        <v>0</v>
      </c>
      <c r="L63" s="10">
        <v>1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19</v>
      </c>
      <c r="X63" s="10">
        <v>23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23</v>
      </c>
    </row>
    <row r="64" spans="1:51" ht="16.5" customHeight="1" x14ac:dyDescent="0.25">
      <c r="A64" s="10">
        <v>10</v>
      </c>
      <c r="B64" s="11" t="s">
        <v>111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</row>
    <row r="65" spans="1:51" ht="16.5" customHeight="1" x14ac:dyDescent="0.25">
      <c r="A65" s="10">
        <v>11</v>
      </c>
      <c r="B65" s="11" t="s">
        <v>112</v>
      </c>
      <c r="C65" s="10">
        <v>0</v>
      </c>
      <c r="D65" s="10">
        <v>22</v>
      </c>
      <c r="E65" s="10">
        <v>0</v>
      </c>
      <c r="F65" s="10">
        <v>0</v>
      </c>
      <c r="G65" s="10">
        <v>0</v>
      </c>
      <c r="H65" s="10">
        <v>0</v>
      </c>
      <c r="I65" s="10">
        <v>4</v>
      </c>
      <c r="J65" s="10">
        <v>15</v>
      </c>
      <c r="K65" s="10">
        <v>3</v>
      </c>
      <c r="L65" s="10">
        <v>0</v>
      </c>
      <c r="M65" s="10">
        <v>13</v>
      </c>
      <c r="N65" s="10">
        <v>10</v>
      </c>
      <c r="O65" s="10">
        <v>2</v>
      </c>
      <c r="P65" s="10">
        <v>1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19</v>
      </c>
      <c r="X65" s="10">
        <v>54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3</v>
      </c>
      <c r="AQ65" s="10">
        <v>0</v>
      </c>
      <c r="AR65" s="10">
        <v>3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57</v>
      </c>
    </row>
    <row r="66" spans="1:51" ht="16.5" customHeight="1" x14ac:dyDescent="0.25">
      <c r="A66" s="10">
        <v>12</v>
      </c>
      <c r="B66" s="11" t="s">
        <v>113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</row>
    <row r="67" spans="1:51" ht="16.5" customHeight="1" x14ac:dyDescent="0.25">
      <c r="A67" s="10">
        <v>13</v>
      </c>
      <c r="B67" s="11" t="s">
        <v>114</v>
      </c>
      <c r="C67" s="10">
        <v>0</v>
      </c>
      <c r="D67" s="10">
        <v>20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20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20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20</v>
      </c>
    </row>
    <row r="68" spans="1:51" ht="16.5" customHeight="1" x14ac:dyDescent="0.25">
      <c r="A68" s="10">
        <v>14</v>
      </c>
      <c r="B68" s="11" t="s">
        <v>115</v>
      </c>
      <c r="C68" s="10">
        <v>0</v>
      </c>
      <c r="D68" s="10">
        <v>22</v>
      </c>
      <c r="E68" s="10">
        <v>0</v>
      </c>
      <c r="F68" s="10">
        <v>0</v>
      </c>
      <c r="G68" s="10">
        <v>0</v>
      </c>
      <c r="H68" s="10">
        <v>0</v>
      </c>
      <c r="I68" s="10">
        <v>20</v>
      </c>
      <c r="J68" s="10">
        <v>2</v>
      </c>
      <c r="K68" s="10">
        <v>0</v>
      </c>
      <c r="L68" s="10">
        <v>0</v>
      </c>
      <c r="M68" s="10">
        <v>8</v>
      </c>
      <c r="N68" s="10">
        <v>0</v>
      </c>
      <c r="O68" s="10">
        <v>8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30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30</v>
      </c>
    </row>
    <row r="69" spans="1:51" ht="16.5" customHeight="1" x14ac:dyDescent="0.25">
      <c r="A69" s="10">
        <v>15</v>
      </c>
      <c r="B69" s="11" t="s">
        <v>116</v>
      </c>
      <c r="C69" s="10">
        <v>0</v>
      </c>
      <c r="D69" s="10">
        <v>234</v>
      </c>
      <c r="E69" s="10">
        <v>0</v>
      </c>
      <c r="F69" s="10">
        <v>0</v>
      </c>
      <c r="G69" s="10">
        <v>0</v>
      </c>
      <c r="H69" s="10">
        <v>2</v>
      </c>
      <c r="I69" s="10">
        <v>15</v>
      </c>
      <c r="J69" s="10">
        <v>198</v>
      </c>
      <c r="K69" s="10">
        <v>19</v>
      </c>
      <c r="L69" s="10">
        <v>3</v>
      </c>
      <c r="M69" s="10">
        <v>10</v>
      </c>
      <c r="N69" s="10">
        <v>0</v>
      </c>
      <c r="O69" s="10">
        <v>10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247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10</v>
      </c>
      <c r="AQ69" s="10">
        <v>0</v>
      </c>
      <c r="AR69" s="10">
        <v>10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257</v>
      </c>
    </row>
    <row r="70" spans="1:51" ht="16.5" customHeight="1" x14ac:dyDescent="0.25">
      <c r="A70" s="10">
        <v>16</v>
      </c>
      <c r="B70" s="11" t="s">
        <v>117</v>
      </c>
      <c r="C70" s="10">
        <v>0</v>
      </c>
      <c r="D70" s="10">
        <v>7</v>
      </c>
      <c r="E70" s="10">
        <v>3</v>
      </c>
      <c r="F70" s="10">
        <v>0</v>
      </c>
      <c r="G70" s="10">
        <v>3</v>
      </c>
      <c r="H70" s="10">
        <v>0</v>
      </c>
      <c r="I70" s="10">
        <v>0</v>
      </c>
      <c r="J70" s="10">
        <v>4</v>
      </c>
      <c r="K70" s="10">
        <v>0</v>
      </c>
      <c r="L70" s="10">
        <v>0</v>
      </c>
      <c r="M70" s="10">
        <v>10</v>
      </c>
      <c r="N70" s="10">
        <v>0</v>
      </c>
      <c r="O70" s="10">
        <v>1</v>
      </c>
      <c r="P70" s="10">
        <v>0</v>
      </c>
      <c r="Q70" s="10">
        <v>0</v>
      </c>
      <c r="R70" s="10">
        <v>9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17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17</v>
      </c>
    </row>
    <row r="71" spans="1:51" ht="16.5" customHeight="1" x14ac:dyDescent="0.25">
      <c r="A71" s="10">
        <v>17</v>
      </c>
      <c r="B71" s="11" t="s">
        <v>118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</row>
    <row r="72" spans="1:51" ht="16.5" customHeight="1" x14ac:dyDescent="0.25">
      <c r="A72" s="10">
        <v>18</v>
      </c>
      <c r="B72" s="11" t="s">
        <v>119</v>
      </c>
      <c r="C72" s="10">
        <v>0</v>
      </c>
      <c r="D72" s="10">
        <v>69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69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69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69</v>
      </c>
    </row>
    <row r="73" spans="1:51" ht="16.5" customHeight="1" x14ac:dyDescent="0.25">
      <c r="A73" s="10">
        <v>19</v>
      </c>
      <c r="B73" s="11" t="s">
        <v>120</v>
      </c>
      <c r="C73" s="10">
        <v>0</v>
      </c>
      <c r="D73" s="10">
        <v>28</v>
      </c>
      <c r="E73" s="10">
        <v>10</v>
      </c>
      <c r="F73" s="10">
        <v>0</v>
      </c>
      <c r="G73" s="10">
        <v>10</v>
      </c>
      <c r="H73" s="10">
        <v>4</v>
      </c>
      <c r="I73" s="10">
        <v>10</v>
      </c>
      <c r="J73" s="10">
        <v>3</v>
      </c>
      <c r="K73" s="10">
        <v>1</v>
      </c>
      <c r="L73" s="10">
        <v>0</v>
      </c>
      <c r="M73" s="10">
        <v>14</v>
      </c>
      <c r="N73" s="10">
        <v>14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42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42</v>
      </c>
    </row>
    <row r="74" spans="1:51" ht="16.5" customHeight="1" x14ac:dyDescent="0.25">
      <c r="A74" s="10">
        <v>20</v>
      </c>
      <c r="B74" s="11" t="s">
        <v>121</v>
      </c>
      <c r="C74" s="10">
        <v>0</v>
      </c>
      <c r="D74" s="10">
        <v>5</v>
      </c>
      <c r="E74" s="10">
        <v>0</v>
      </c>
      <c r="F74" s="10">
        <v>0</v>
      </c>
      <c r="G74" s="10">
        <v>0</v>
      </c>
      <c r="H74" s="10">
        <v>0</v>
      </c>
      <c r="I74" s="10">
        <v>1</v>
      </c>
      <c r="J74" s="10">
        <v>3</v>
      </c>
      <c r="K74" s="10">
        <v>1</v>
      </c>
      <c r="L74" s="10">
        <v>0</v>
      </c>
      <c r="M74" s="10">
        <v>4</v>
      </c>
      <c r="N74" s="10">
        <v>4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9</v>
      </c>
      <c r="Y74" s="10">
        <v>0</v>
      </c>
      <c r="Z74" s="10">
        <v>1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1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4</v>
      </c>
      <c r="AQ74" s="10">
        <v>0</v>
      </c>
      <c r="AR74" s="10">
        <v>6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15</v>
      </c>
    </row>
    <row r="75" spans="1:51" ht="16.5" customHeight="1" x14ac:dyDescent="0.25">
      <c r="A75" s="10">
        <v>21</v>
      </c>
      <c r="B75" s="11" t="s">
        <v>122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10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2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12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12</v>
      </c>
    </row>
    <row r="76" spans="1:51" ht="16.5" customHeight="1" x14ac:dyDescent="0.25">
      <c r="A76" s="10">
        <v>22</v>
      </c>
      <c r="B76" s="11" t="s">
        <v>123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</row>
    <row r="77" spans="1:51" ht="16.5" customHeight="1" x14ac:dyDescent="0.25">
      <c r="A77" s="10">
        <v>23</v>
      </c>
      <c r="B77" s="11" t="s">
        <v>124</v>
      </c>
      <c r="C77" s="10">
        <v>0</v>
      </c>
      <c r="D77" s="10">
        <v>13</v>
      </c>
      <c r="E77" s="10">
        <v>13</v>
      </c>
      <c r="F77" s="10">
        <v>0</v>
      </c>
      <c r="G77" s="10">
        <v>13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13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1</v>
      </c>
      <c r="AV77" s="10">
        <v>0</v>
      </c>
      <c r="AW77" s="10">
        <v>0</v>
      </c>
      <c r="AX77" s="10">
        <v>1</v>
      </c>
      <c r="AY77" s="10">
        <v>14</v>
      </c>
    </row>
    <row r="78" spans="1:51" ht="16.5" customHeight="1" x14ac:dyDescent="0.25">
      <c r="A78" s="10">
        <v>24</v>
      </c>
      <c r="B78" s="11" t="s">
        <v>125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</row>
    <row r="79" spans="1:51" ht="16.5" customHeight="1" x14ac:dyDescent="0.25">
      <c r="A79" s="10">
        <v>25</v>
      </c>
      <c r="B79" s="11" t="s">
        <v>126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</row>
    <row r="80" spans="1:51" ht="16.5" customHeight="1" x14ac:dyDescent="0.25">
      <c r="A80" s="10">
        <v>26</v>
      </c>
      <c r="B80" s="11" t="s">
        <v>127</v>
      </c>
      <c r="C80" s="10">
        <v>0</v>
      </c>
      <c r="D80" s="10">
        <v>58</v>
      </c>
      <c r="E80" s="10">
        <v>0</v>
      </c>
      <c r="F80" s="10">
        <v>0</v>
      </c>
      <c r="G80" s="10">
        <v>0</v>
      </c>
      <c r="H80" s="10">
        <v>0</v>
      </c>
      <c r="I80" s="10">
        <v>15</v>
      </c>
      <c r="J80" s="10">
        <v>9</v>
      </c>
      <c r="K80" s="10">
        <v>34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58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58</v>
      </c>
    </row>
    <row r="81" spans="1:51" ht="16.5" customHeight="1" x14ac:dyDescent="0.25">
      <c r="A81" s="10">
        <v>27</v>
      </c>
      <c r="B81" s="11" t="s">
        <v>128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18</v>
      </c>
      <c r="N81" s="10">
        <v>0</v>
      </c>
      <c r="O81" s="10">
        <v>0</v>
      </c>
      <c r="P81" s="10">
        <v>0</v>
      </c>
      <c r="Q81" s="10">
        <v>0</v>
      </c>
      <c r="R81" s="10">
        <v>18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18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18</v>
      </c>
    </row>
    <row r="82" spans="1:51" ht="16.5" customHeight="1" x14ac:dyDescent="0.25">
      <c r="A82" s="10">
        <v>28</v>
      </c>
      <c r="B82" s="11" t="s">
        <v>129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</row>
    <row r="83" spans="1:51" ht="16.5" customHeight="1" x14ac:dyDescent="0.25">
      <c r="A83" s="10">
        <v>29</v>
      </c>
      <c r="B83" s="11" t="s">
        <v>130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</row>
    <row r="84" spans="1:51" ht="16.5" customHeight="1" x14ac:dyDescent="0.25">
      <c r="A84" s="10">
        <v>30</v>
      </c>
      <c r="B84" s="11" t="s">
        <v>131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</row>
    <row r="85" spans="1:51" ht="16.5" customHeight="1" x14ac:dyDescent="0.25">
      <c r="A85" s="10">
        <v>31</v>
      </c>
      <c r="B85" s="11" t="s">
        <v>132</v>
      </c>
      <c r="C85" s="10">
        <v>0</v>
      </c>
      <c r="D85" s="10">
        <v>6</v>
      </c>
      <c r="E85" s="10">
        <v>0</v>
      </c>
      <c r="F85" s="10">
        <v>0</v>
      </c>
      <c r="G85" s="10">
        <v>0</v>
      </c>
      <c r="H85" s="10">
        <v>0</v>
      </c>
      <c r="I85" s="10">
        <v>4</v>
      </c>
      <c r="J85" s="10">
        <v>0</v>
      </c>
      <c r="K85" s="10">
        <v>2</v>
      </c>
      <c r="L85" s="10">
        <v>0</v>
      </c>
      <c r="M85" s="10">
        <v>27</v>
      </c>
      <c r="N85" s="10">
        <v>0</v>
      </c>
      <c r="O85" s="10">
        <v>12</v>
      </c>
      <c r="P85" s="10">
        <v>7</v>
      </c>
      <c r="Q85" s="10">
        <v>0</v>
      </c>
      <c r="R85" s="10">
        <v>8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33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33</v>
      </c>
    </row>
    <row r="86" spans="1:51" ht="16.5" customHeight="1" x14ac:dyDescent="0.25">
      <c r="A86" s="10">
        <v>32</v>
      </c>
      <c r="B86" s="11" t="s">
        <v>133</v>
      </c>
      <c r="C86" s="10">
        <v>0</v>
      </c>
      <c r="D86" s="10">
        <v>39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39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39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39</v>
      </c>
    </row>
    <row r="87" spans="1:51" ht="16.5" customHeight="1" x14ac:dyDescent="0.25">
      <c r="A87" s="10">
        <v>33</v>
      </c>
      <c r="B87" s="11" t="s">
        <v>134</v>
      </c>
      <c r="C87" s="10">
        <v>0</v>
      </c>
      <c r="D87" s="10">
        <v>3</v>
      </c>
      <c r="E87" s="10">
        <v>0</v>
      </c>
      <c r="F87" s="10">
        <v>0</v>
      </c>
      <c r="G87" s="10">
        <v>0</v>
      </c>
      <c r="H87" s="10">
        <v>0</v>
      </c>
      <c r="I87" s="10">
        <v>3</v>
      </c>
      <c r="J87" s="10">
        <v>0</v>
      </c>
      <c r="K87" s="10">
        <v>0</v>
      </c>
      <c r="L87" s="10">
        <v>0</v>
      </c>
      <c r="M87" s="10">
        <v>15</v>
      </c>
      <c r="N87" s="10">
        <v>0</v>
      </c>
      <c r="O87" s="10">
        <v>5</v>
      </c>
      <c r="P87" s="10">
        <v>0</v>
      </c>
      <c r="Q87" s="10">
        <v>0</v>
      </c>
      <c r="R87" s="10">
        <v>10</v>
      </c>
      <c r="S87" s="10">
        <v>0</v>
      </c>
      <c r="T87" s="10">
        <v>0</v>
      </c>
      <c r="U87" s="10">
        <v>0</v>
      </c>
      <c r="V87" s="10">
        <v>0</v>
      </c>
      <c r="W87" s="10">
        <v>5</v>
      </c>
      <c r="X87" s="10">
        <v>23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13</v>
      </c>
      <c r="AR87" s="10">
        <v>13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36</v>
      </c>
    </row>
    <row r="88" spans="1:51" ht="16.5" customHeight="1" x14ac:dyDescent="0.25">
      <c r="A88" s="10">
        <v>34</v>
      </c>
      <c r="B88" s="11" t="s">
        <v>135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13</v>
      </c>
      <c r="X88" s="10">
        <v>13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13</v>
      </c>
    </row>
    <row r="89" spans="1:51" ht="16.5" customHeight="1" x14ac:dyDescent="0.25">
      <c r="A89" s="10">
        <v>35</v>
      </c>
      <c r="B89" s="11" t="s">
        <v>136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</row>
    <row r="90" spans="1:51" ht="16.5" customHeight="1" x14ac:dyDescent="0.25">
      <c r="A90" s="10">
        <v>36</v>
      </c>
      <c r="B90" s="11" t="s">
        <v>137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7</v>
      </c>
      <c r="N90" s="10">
        <v>0</v>
      </c>
      <c r="O90" s="10">
        <v>0</v>
      </c>
      <c r="P90" s="10">
        <v>0</v>
      </c>
      <c r="Q90" s="10">
        <v>0</v>
      </c>
      <c r="R90" s="10">
        <v>7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7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7</v>
      </c>
    </row>
    <row r="91" spans="1:51" ht="16.5" customHeight="1" x14ac:dyDescent="0.25">
      <c r="A91" s="10">
        <v>37</v>
      </c>
      <c r="B91" s="11" t="s">
        <v>138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15</v>
      </c>
      <c r="N91" s="10">
        <v>15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15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15</v>
      </c>
    </row>
    <row r="92" spans="1:51" ht="16.5" customHeight="1" x14ac:dyDescent="0.25">
      <c r="A92" s="10">
        <v>38</v>
      </c>
      <c r="B92" s="11" t="s">
        <v>139</v>
      </c>
      <c r="C92" s="10">
        <v>0</v>
      </c>
      <c r="D92" s="10">
        <v>6</v>
      </c>
      <c r="E92" s="10">
        <v>2</v>
      </c>
      <c r="F92" s="10">
        <v>0</v>
      </c>
      <c r="G92" s="10">
        <v>2</v>
      </c>
      <c r="H92" s="10">
        <v>1</v>
      </c>
      <c r="I92" s="10">
        <v>1</v>
      </c>
      <c r="J92" s="10">
        <v>2</v>
      </c>
      <c r="K92" s="10">
        <v>0</v>
      </c>
      <c r="L92" s="10">
        <v>0</v>
      </c>
      <c r="M92" s="10">
        <v>2</v>
      </c>
      <c r="N92" s="10">
        <v>0</v>
      </c>
      <c r="O92" s="10">
        <v>2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8</v>
      </c>
      <c r="Y92" s="10">
        <v>0</v>
      </c>
      <c r="Z92" s="10">
        <v>1</v>
      </c>
      <c r="AA92" s="10">
        <v>1</v>
      </c>
      <c r="AB92" s="10">
        <v>5</v>
      </c>
      <c r="AC92" s="10">
        <v>0</v>
      </c>
      <c r="AD92" s="10">
        <v>5</v>
      </c>
      <c r="AE92" s="10">
        <v>0</v>
      </c>
      <c r="AF92" s="10">
        <v>0</v>
      </c>
      <c r="AG92" s="10">
        <v>0</v>
      </c>
      <c r="AH92" s="10">
        <v>18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25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33</v>
      </c>
    </row>
    <row r="93" spans="1:51" ht="16.5" customHeight="1" x14ac:dyDescent="0.25">
      <c r="A93" s="10">
        <v>39</v>
      </c>
      <c r="B93" s="11" t="s">
        <v>140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13</v>
      </c>
      <c r="N93" s="10">
        <v>13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13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13</v>
      </c>
    </row>
    <row r="94" spans="1:51" ht="16.5" customHeight="1" x14ac:dyDescent="0.25">
      <c r="A94" s="10">
        <v>40</v>
      </c>
      <c r="B94" s="11" t="s">
        <v>141</v>
      </c>
      <c r="C94" s="10">
        <v>0</v>
      </c>
      <c r="D94" s="10">
        <v>1</v>
      </c>
      <c r="E94" s="10">
        <v>0</v>
      </c>
      <c r="F94" s="10">
        <v>0</v>
      </c>
      <c r="G94" s="10">
        <v>0</v>
      </c>
      <c r="H94" s="10">
        <v>0</v>
      </c>
      <c r="I94" s="10">
        <v>1</v>
      </c>
      <c r="J94" s="10">
        <v>0</v>
      </c>
      <c r="K94" s="10">
        <v>0</v>
      </c>
      <c r="L94" s="10">
        <v>0</v>
      </c>
      <c r="M94" s="10">
        <v>11</v>
      </c>
      <c r="N94" s="10">
        <v>0</v>
      </c>
      <c r="O94" s="10">
        <v>8</v>
      </c>
      <c r="P94" s="10">
        <v>0</v>
      </c>
      <c r="Q94" s="10">
        <v>0</v>
      </c>
      <c r="R94" s="10">
        <v>3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12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12</v>
      </c>
    </row>
    <row r="95" spans="1:51" ht="16.5" customHeight="1" x14ac:dyDescent="0.25">
      <c r="A95" s="12"/>
      <c r="B95" s="13" t="s">
        <v>889</v>
      </c>
      <c r="C95" s="14">
        <f>SUM(C55:C94)</f>
        <v>0</v>
      </c>
      <c r="D95" s="14">
        <f>SUM(D55:D94)</f>
        <v>592</v>
      </c>
      <c r="E95" s="14">
        <f t="shared" ref="E95:AY95" si="4">SUM(E55:E94)</f>
        <v>39</v>
      </c>
      <c r="F95" s="14">
        <f t="shared" si="4"/>
        <v>0</v>
      </c>
      <c r="G95" s="14">
        <f t="shared" si="4"/>
        <v>39</v>
      </c>
      <c r="H95" s="14">
        <f t="shared" si="4"/>
        <v>7</v>
      </c>
      <c r="I95" s="14">
        <f t="shared" si="4"/>
        <v>82</v>
      </c>
      <c r="J95" s="14">
        <f t="shared" si="4"/>
        <v>404</v>
      </c>
      <c r="K95" s="14">
        <f t="shared" si="4"/>
        <v>60</v>
      </c>
      <c r="L95" s="14">
        <f t="shared" si="4"/>
        <v>4</v>
      </c>
      <c r="M95" s="14">
        <f t="shared" si="4"/>
        <v>288</v>
      </c>
      <c r="N95" s="14">
        <f t="shared" si="4"/>
        <v>63</v>
      </c>
      <c r="O95" s="14">
        <f t="shared" si="4"/>
        <v>92</v>
      </c>
      <c r="P95" s="14">
        <f t="shared" si="4"/>
        <v>8</v>
      </c>
      <c r="Q95" s="14">
        <f t="shared" si="4"/>
        <v>0</v>
      </c>
      <c r="R95" s="14">
        <f t="shared" si="4"/>
        <v>125</v>
      </c>
      <c r="S95" s="14">
        <f t="shared" si="4"/>
        <v>0</v>
      </c>
      <c r="T95" s="14">
        <f t="shared" si="4"/>
        <v>0</v>
      </c>
      <c r="U95" s="14">
        <f t="shared" si="4"/>
        <v>0</v>
      </c>
      <c r="V95" s="14">
        <f t="shared" si="4"/>
        <v>0</v>
      </c>
      <c r="W95" s="14">
        <f t="shared" si="4"/>
        <v>57</v>
      </c>
      <c r="X95" s="14">
        <f t="shared" si="4"/>
        <v>941</v>
      </c>
      <c r="Y95" s="14">
        <f t="shared" si="4"/>
        <v>0</v>
      </c>
      <c r="Z95" s="14">
        <f t="shared" si="4"/>
        <v>12</v>
      </c>
      <c r="AA95" s="14">
        <f t="shared" si="4"/>
        <v>1</v>
      </c>
      <c r="AB95" s="14">
        <f t="shared" si="4"/>
        <v>5</v>
      </c>
      <c r="AC95" s="14">
        <f t="shared" si="4"/>
        <v>0</v>
      </c>
      <c r="AD95" s="14">
        <f t="shared" si="4"/>
        <v>5</v>
      </c>
      <c r="AE95" s="14">
        <f t="shared" si="4"/>
        <v>0</v>
      </c>
      <c r="AF95" s="14">
        <f t="shared" si="4"/>
        <v>0</v>
      </c>
      <c r="AG95" s="14">
        <f t="shared" si="4"/>
        <v>0</v>
      </c>
      <c r="AH95" s="14">
        <f t="shared" si="4"/>
        <v>18</v>
      </c>
      <c r="AI95" s="14">
        <f t="shared" si="4"/>
        <v>1</v>
      </c>
      <c r="AJ95" s="14">
        <f t="shared" si="4"/>
        <v>2</v>
      </c>
      <c r="AK95" s="14">
        <f t="shared" si="4"/>
        <v>0</v>
      </c>
      <c r="AL95" s="14">
        <f t="shared" si="4"/>
        <v>0</v>
      </c>
      <c r="AM95" s="14">
        <f t="shared" si="4"/>
        <v>0</v>
      </c>
      <c r="AN95" s="14">
        <f t="shared" si="4"/>
        <v>0</v>
      </c>
      <c r="AO95" s="14">
        <f t="shared" si="4"/>
        <v>70</v>
      </c>
      <c r="AP95" s="14">
        <f t="shared" si="4"/>
        <v>56</v>
      </c>
      <c r="AQ95" s="14">
        <f t="shared" si="4"/>
        <v>13</v>
      </c>
      <c r="AR95" s="14">
        <f t="shared" si="4"/>
        <v>178</v>
      </c>
      <c r="AS95" s="14">
        <f t="shared" si="4"/>
        <v>0</v>
      </c>
      <c r="AT95" s="14">
        <f t="shared" si="4"/>
        <v>0</v>
      </c>
      <c r="AU95" s="14">
        <f t="shared" si="4"/>
        <v>1</v>
      </c>
      <c r="AV95" s="14">
        <f t="shared" si="4"/>
        <v>0</v>
      </c>
      <c r="AW95" s="14">
        <f t="shared" si="4"/>
        <v>0</v>
      </c>
      <c r="AX95" s="14">
        <f t="shared" si="4"/>
        <v>1</v>
      </c>
      <c r="AY95" s="14">
        <f t="shared" si="4"/>
        <v>1120</v>
      </c>
    </row>
    <row r="96" spans="1:51" ht="16.5" customHeight="1" x14ac:dyDescent="0.25">
      <c r="A96" s="9" t="s">
        <v>893</v>
      </c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spans="1:51" ht="16.5" customHeight="1" x14ac:dyDescent="0.25">
      <c r="A97" s="10">
        <v>1</v>
      </c>
      <c r="B97" s="11" t="s">
        <v>142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15</v>
      </c>
      <c r="AC97" s="10">
        <v>8</v>
      </c>
      <c r="AD97" s="10">
        <v>7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15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15</v>
      </c>
    </row>
    <row r="98" spans="1:51" ht="16.5" customHeight="1" x14ac:dyDescent="0.25">
      <c r="A98" s="10">
        <v>2</v>
      </c>
      <c r="B98" s="11" t="s">
        <v>143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</row>
    <row r="99" spans="1:51" ht="16.5" customHeight="1" x14ac:dyDescent="0.25">
      <c r="A99" s="10">
        <v>3</v>
      </c>
      <c r="B99" s="11" t="s">
        <v>144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</row>
    <row r="100" spans="1:51" ht="16.5" customHeight="1" x14ac:dyDescent="0.25">
      <c r="A100" s="10">
        <v>4</v>
      </c>
      <c r="B100" s="11" t="s">
        <v>145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7</v>
      </c>
      <c r="AC100" s="10">
        <v>0</v>
      </c>
      <c r="AD100" s="10">
        <v>7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7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7</v>
      </c>
    </row>
    <row r="101" spans="1:51" ht="16.5" customHeight="1" x14ac:dyDescent="0.25">
      <c r="A101" s="10">
        <v>5</v>
      </c>
      <c r="B101" s="11" t="s">
        <v>146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</row>
    <row r="102" spans="1:51" ht="16.5" customHeight="1" x14ac:dyDescent="0.25">
      <c r="A102" s="10">
        <v>6</v>
      </c>
      <c r="B102" s="11" t="s">
        <v>147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</row>
    <row r="103" spans="1:51" ht="16.5" customHeight="1" x14ac:dyDescent="0.25">
      <c r="A103" s="10">
        <v>7</v>
      </c>
      <c r="B103" s="11" t="s">
        <v>148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1</v>
      </c>
      <c r="N103" s="10">
        <v>0</v>
      </c>
      <c r="O103" s="10">
        <v>1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1</v>
      </c>
      <c r="Y103" s="10">
        <v>0</v>
      </c>
      <c r="Z103" s="10">
        <v>0</v>
      </c>
      <c r="AA103" s="10">
        <v>0</v>
      </c>
      <c r="AB103" s="10">
        <v>3</v>
      </c>
      <c r="AC103" s="10">
        <v>0</v>
      </c>
      <c r="AD103" s="10">
        <v>3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3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4</v>
      </c>
    </row>
    <row r="104" spans="1:51" ht="16.5" customHeight="1" x14ac:dyDescent="0.25">
      <c r="A104" s="10">
        <v>8</v>
      </c>
      <c r="B104" s="11" t="s">
        <v>149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19</v>
      </c>
      <c r="AC104" s="10">
        <v>0</v>
      </c>
      <c r="AD104" s="10">
        <v>19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19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19</v>
      </c>
    </row>
    <row r="105" spans="1:51" ht="16.5" customHeight="1" x14ac:dyDescent="0.25">
      <c r="A105" s="10">
        <v>9</v>
      </c>
      <c r="B105" s="11" t="s">
        <v>150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</row>
    <row r="106" spans="1:51" ht="16.5" customHeight="1" x14ac:dyDescent="0.25">
      <c r="A106" s="10">
        <v>10</v>
      </c>
      <c r="B106" s="11" t="s">
        <v>151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</row>
    <row r="107" spans="1:51" ht="16.5" customHeight="1" x14ac:dyDescent="0.25">
      <c r="A107" s="10">
        <v>11</v>
      </c>
      <c r="B107" s="11" t="s">
        <v>152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9</v>
      </c>
      <c r="AC107" s="10">
        <v>0</v>
      </c>
      <c r="AD107" s="10">
        <v>9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9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9</v>
      </c>
    </row>
    <row r="108" spans="1:51" ht="16.5" customHeight="1" x14ac:dyDescent="0.25">
      <c r="A108" s="10">
        <v>12</v>
      </c>
      <c r="B108" s="11" t="s">
        <v>153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9</v>
      </c>
      <c r="AC108" s="10">
        <v>0</v>
      </c>
      <c r="AD108" s="10">
        <v>9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9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9</v>
      </c>
    </row>
    <row r="109" spans="1:51" ht="16.5" customHeight="1" x14ac:dyDescent="0.25">
      <c r="A109" s="10">
        <v>13</v>
      </c>
      <c r="B109" s="11" t="s">
        <v>154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15</v>
      </c>
      <c r="AC109" s="10">
        <v>0</v>
      </c>
      <c r="AD109" s="10">
        <v>15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15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15</v>
      </c>
    </row>
    <row r="110" spans="1:51" ht="16.5" customHeight="1" x14ac:dyDescent="0.25">
      <c r="A110" s="10">
        <v>14</v>
      </c>
      <c r="B110" s="11" t="s">
        <v>155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5</v>
      </c>
      <c r="AC110" s="10">
        <v>0</v>
      </c>
      <c r="AD110" s="10">
        <v>0</v>
      </c>
      <c r="AE110" s="10">
        <v>0</v>
      </c>
      <c r="AF110" s="10">
        <v>5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5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5</v>
      </c>
    </row>
    <row r="111" spans="1:51" ht="16.5" customHeight="1" x14ac:dyDescent="0.25">
      <c r="A111" s="10">
        <v>15</v>
      </c>
      <c r="B111" s="11" t="s">
        <v>156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</row>
    <row r="112" spans="1:51" ht="16.5" customHeight="1" x14ac:dyDescent="0.25">
      <c r="A112" s="10">
        <v>16</v>
      </c>
      <c r="B112" s="11" t="s">
        <v>157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</row>
    <row r="113" spans="1:51" ht="16.5" customHeight="1" x14ac:dyDescent="0.25">
      <c r="A113" s="10">
        <v>17</v>
      </c>
      <c r="B113" s="11" t="s">
        <v>158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2</v>
      </c>
      <c r="AA113" s="10">
        <v>0</v>
      </c>
      <c r="AB113" s="10">
        <v>25</v>
      </c>
      <c r="AC113" s="10">
        <v>14</v>
      </c>
      <c r="AD113" s="10">
        <v>11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27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27</v>
      </c>
    </row>
    <row r="114" spans="1:51" ht="16.5" customHeight="1" x14ac:dyDescent="0.25">
      <c r="A114" s="10">
        <v>18</v>
      </c>
      <c r="B114" s="11" t="s">
        <v>159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78</v>
      </c>
      <c r="AC114" s="10">
        <v>31</v>
      </c>
      <c r="AD114" s="10">
        <v>47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78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78</v>
      </c>
    </row>
    <row r="115" spans="1:51" ht="16.5" customHeight="1" x14ac:dyDescent="0.25">
      <c r="A115" s="10">
        <v>19</v>
      </c>
      <c r="B115" s="11" t="s">
        <v>160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</row>
    <row r="116" spans="1:51" ht="16.5" customHeight="1" x14ac:dyDescent="0.25">
      <c r="A116" s="10">
        <v>20</v>
      </c>
      <c r="B116" s="11" t="s">
        <v>161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9</v>
      </c>
      <c r="AC116" s="10">
        <v>0</v>
      </c>
      <c r="AD116" s="10">
        <v>9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9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9</v>
      </c>
    </row>
    <row r="117" spans="1:51" ht="16.5" customHeight="1" x14ac:dyDescent="0.25">
      <c r="A117" s="10">
        <v>21</v>
      </c>
      <c r="B117" s="11" t="s">
        <v>162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</row>
    <row r="118" spans="1:51" ht="16.5" customHeight="1" x14ac:dyDescent="0.25">
      <c r="A118" s="10">
        <v>22</v>
      </c>
      <c r="B118" s="11" t="s">
        <v>163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</row>
    <row r="119" spans="1:51" ht="16.5" customHeight="1" x14ac:dyDescent="0.25">
      <c r="A119" s="10">
        <v>23</v>
      </c>
      <c r="B119" s="11" t="s">
        <v>164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1</v>
      </c>
      <c r="N119" s="10">
        <v>0</v>
      </c>
      <c r="O119" s="10">
        <v>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1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1</v>
      </c>
    </row>
    <row r="120" spans="1:51" ht="16.5" customHeight="1" x14ac:dyDescent="0.25">
      <c r="A120" s="10">
        <v>24</v>
      </c>
      <c r="B120" s="11" t="s">
        <v>165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29</v>
      </c>
      <c r="AC120" s="10">
        <v>0</v>
      </c>
      <c r="AD120" s="10">
        <v>29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29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29</v>
      </c>
    </row>
    <row r="121" spans="1:51" ht="16.5" customHeight="1" x14ac:dyDescent="0.25">
      <c r="A121" s="10">
        <v>25</v>
      </c>
      <c r="B121" s="11" t="s">
        <v>166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</row>
    <row r="122" spans="1:51" ht="16.5" customHeight="1" x14ac:dyDescent="0.25">
      <c r="A122" s="10">
        <v>26</v>
      </c>
      <c r="B122" s="11" t="s">
        <v>167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</row>
    <row r="123" spans="1:51" ht="16.5" customHeight="1" x14ac:dyDescent="0.25">
      <c r="A123" s="10">
        <v>27</v>
      </c>
      <c r="B123" s="11" t="s">
        <v>168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</row>
    <row r="124" spans="1:51" ht="16.5" customHeight="1" x14ac:dyDescent="0.25">
      <c r="A124" s="10">
        <v>28</v>
      </c>
      <c r="B124" s="11" t="s">
        <v>169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</row>
    <row r="125" spans="1:51" ht="16.5" customHeight="1" x14ac:dyDescent="0.25">
      <c r="A125" s="10">
        <v>29</v>
      </c>
      <c r="B125" s="11" t="s">
        <v>170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2</v>
      </c>
      <c r="AC125" s="10">
        <v>0</v>
      </c>
      <c r="AD125" s="10">
        <v>2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2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2</v>
      </c>
    </row>
    <row r="126" spans="1:51" ht="16.5" customHeight="1" x14ac:dyDescent="0.25">
      <c r="A126" s="10">
        <v>30</v>
      </c>
      <c r="B126" s="11" t="s">
        <v>171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</row>
    <row r="127" spans="1:51" ht="16.5" customHeight="1" x14ac:dyDescent="0.25">
      <c r="A127" s="10">
        <v>31</v>
      </c>
      <c r="B127" s="11" t="s">
        <v>172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</row>
    <row r="128" spans="1:51" ht="16.5" customHeight="1" x14ac:dyDescent="0.25">
      <c r="A128" s="10">
        <v>32</v>
      </c>
      <c r="B128" s="11" t="s">
        <v>173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85</v>
      </c>
      <c r="AC128" s="10">
        <v>0</v>
      </c>
      <c r="AD128" s="10">
        <v>85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85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85</v>
      </c>
    </row>
    <row r="129" spans="1:51" ht="16.5" customHeight="1" x14ac:dyDescent="0.25">
      <c r="A129" s="10">
        <v>33</v>
      </c>
      <c r="B129" s="11" t="s">
        <v>174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</row>
    <row r="130" spans="1:51" ht="16.5" customHeight="1" x14ac:dyDescent="0.25">
      <c r="A130" s="10">
        <v>34</v>
      </c>
      <c r="B130" s="11" t="s">
        <v>175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</row>
    <row r="131" spans="1:51" ht="16.5" customHeight="1" x14ac:dyDescent="0.25">
      <c r="A131" s="10">
        <v>35</v>
      </c>
      <c r="B131" s="11" t="s">
        <v>176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66</v>
      </c>
      <c r="AC131" s="10">
        <v>32</v>
      </c>
      <c r="AD131" s="10">
        <v>34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66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66</v>
      </c>
    </row>
    <row r="132" spans="1:51" ht="16.5" customHeight="1" x14ac:dyDescent="0.25">
      <c r="A132" s="10">
        <v>36</v>
      </c>
      <c r="B132" s="11" t="s">
        <v>177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</row>
    <row r="133" spans="1:51" ht="16.5" customHeight="1" x14ac:dyDescent="0.25">
      <c r="A133" s="10">
        <v>37</v>
      </c>
      <c r="B133" s="11" t="s">
        <v>178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1</v>
      </c>
      <c r="N133" s="10">
        <v>0</v>
      </c>
      <c r="O133" s="10">
        <v>1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1</v>
      </c>
      <c r="Y133" s="10">
        <v>0</v>
      </c>
      <c r="Z133" s="10">
        <v>0</v>
      </c>
      <c r="AA133" s="10">
        <v>0</v>
      </c>
      <c r="AB133" s="10">
        <v>29</v>
      </c>
      <c r="AC133" s="10">
        <v>0</v>
      </c>
      <c r="AD133" s="10">
        <v>29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29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30</v>
      </c>
    </row>
    <row r="134" spans="1:51" ht="16.5" customHeight="1" x14ac:dyDescent="0.25">
      <c r="A134" s="10">
        <v>38</v>
      </c>
      <c r="B134" s="11" t="s">
        <v>179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11</v>
      </c>
      <c r="AC134" s="10">
        <v>11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11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11</v>
      </c>
    </row>
    <row r="135" spans="1:51" ht="16.5" customHeight="1" x14ac:dyDescent="0.25">
      <c r="A135" s="10">
        <v>39</v>
      </c>
      <c r="B135" s="11" t="s">
        <v>180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</row>
    <row r="136" spans="1:51" ht="16.5" customHeight="1" x14ac:dyDescent="0.25">
      <c r="A136" s="10">
        <v>40</v>
      </c>
      <c r="B136" s="11" t="s">
        <v>181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</row>
    <row r="137" spans="1:51" ht="16.5" customHeight="1" x14ac:dyDescent="0.25">
      <c r="A137" s="10">
        <v>41</v>
      </c>
      <c r="B137" s="11" t="s">
        <v>182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</row>
    <row r="138" spans="1:51" ht="16.5" customHeight="1" x14ac:dyDescent="0.25">
      <c r="A138" s="10">
        <v>42</v>
      </c>
      <c r="B138" s="11" t="s">
        <v>183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1</v>
      </c>
      <c r="N138" s="10">
        <v>0</v>
      </c>
      <c r="O138" s="10">
        <v>1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1</v>
      </c>
      <c r="Y138" s="10">
        <v>0</v>
      </c>
      <c r="Z138" s="10">
        <v>0</v>
      </c>
      <c r="AA138" s="10">
        <v>0</v>
      </c>
      <c r="AB138" s="10">
        <v>9</v>
      </c>
      <c r="AC138" s="10">
        <v>0</v>
      </c>
      <c r="AD138" s="10">
        <v>9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9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10</v>
      </c>
    </row>
    <row r="139" spans="1:51" ht="16.5" customHeight="1" x14ac:dyDescent="0.25">
      <c r="A139" s="10">
        <v>43</v>
      </c>
      <c r="B139" s="11" t="s">
        <v>184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</row>
    <row r="140" spans="1:51" ht="16.5" customHeight="1" x14ac:dyDescent="0.25">
      <c r="A140" s="10">
        <v>44</v>
      </c>
      <c r="B140" s="11" t="s">
        <v>185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</row>
    <row r="141" spans="1:51" ht="16.5" customHeight="1" x14ac:dyDescent="0.25">
      <c r="A141" s="10">
        <v>45</v>
      </c>
      <c r="B141" s="11" t="s">
        <v>186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2</v>
      </c>
      <c r="AC141" s="10">
        <v>0</v>
      </c>
      <c r="AD141" s="10">
        <v>0</v>
      </c>
      <c r="AE141" s="10">
        <v>2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2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2</v>
      </c>
    </row>
    <row r="142" spans="1:51" ht="16.5" customHeight="1" x14ac:dyDescent="0.25">
      <c r="A142" s="10">
        <v>46</v>
      </c>
      <c r="B142" s="11" t="s">
        <v>187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</row>
    <row r="143" spans="1:51" ht="16.5" customHeight="1" x14ac:dyDescent="0.25">
      <c r="A143" s="12"/>
      <c r="B143" s="13" t="s">
        <v>889</v>
      </c>
      <c r="C143" s="14">
        <f>SUM(C97:C142)</f>
        <v>0</v>
      </c>
      <c r="D143" s="14">
        <f t="shared" ref="D143:AY143" si="5">SUM(D97:D142)</f>
        <v>0</v>
      </c>
      <c r="E143" s="14">
        <f t="shared" si="5"/>
        <v>0</v>
      </c>
      <c r="F143" s="14">
        <f t="shared" si="5"/>
        <v>0</v>
      </c>
      <c r="G143" s="14">
        <f t="shared" si="5"/>
        <v>0</v>
      </c>
      <c r="H143" s="14">
        <f t="shared" si="5"/>
        <v>0</v>
      </c>
      <c r="I143" s="14">
        <f t="shared" si="5"/>
        <v>0</v>
      </c>
      <c r="J143" s="14">
        <f t="shared" si="5"/>
        <v>0</v>
      </c>
      <c r="K143" s="14">
        <f t="shared" si="5"/>
        <v>0</v>
      </c>
      <c r="L143" s="14">
        <f t="shared" si="5"/>
        <v>0</v>
      </c>
      <c r="M143" s="14">
        <f t="shared" si="5"/>
        <v>4</v>
      </c>
      <c r="N143" s="14">
        <f t="shared" si="5"/>
        <v>0</v>
      </c>
      <c r="O143" s="14">
        <f t="shared" si="5"/>
        <v>4</v>
      </c>
      <c r="P143" s="14">
        <f t="shared" si="5"/>
        <v>0</v>
      </c>
      <c r="Q143" s="14">
        <f t="shared" si="5"/>
        <v>0</v>
      </c>
      <c r="R143" s="14">
        <f t="shared" si="5"/>
        <v>0</v>
      </c>
      <c r="S143" s="14">
        <f t="shared" si="5"/>
        <v>0</v>
      </c>
      <c r="T143" s="14">
        <f t="shared" si="5"/>
        <v>0</v>
      </c>
      <c r="U143" s="14">
        <f t="shared" si="5"/>
        <v>0</v>
      </c>
      <c r="V143" s="14">
        <f t="shared" si="5"/>
        <v>0</v>
      </c>
      <c r="W143" s="14">
        <f t="shared" si="5"/>
        <v>0</v>
      </c>
      <c r="X143" s="14">
        <f t="shared" si="5"/>
        <v>4</v>
      </c>
      <c r="Y143" s="14">
        <f t="shared" si="5"/>
        <v>0</v>
      </c>
      <c r="Z143" s="14">
        <f t="shared" si="5"/>
        <v>2</v>
      </c>
      <c r="AA143" s="14">
        <f t="shared" si="5"/>
        <v>0</v>
      </c>
      <c r="AB143" s="14">
        <f t="shared" si="5"/>
        <v>427</v>
      </c>
      <c r="AC143" s="14">
        <f t="shared" si="5"/>
        <v>96</v>
      </c>
      <c r="AD143" s="14">
        <f t="shared" si="5"/>
        <v>324</v>
      </c>
      <c r="AE143" s="14">
        <f t="shared" si="5"/>
        <v>2</v>
      </c>
      <c r="AF143" s="14">
        <f t="shared" si="5"/>
        <v>5</v>
      </c>
      <c r="AG143" s="14">
        <f t="shared" si="5"/>
        <v>0</v>
      </c>
      <c r="AH143" s="14">
        <f t="shared" si="5"/>
        <v>0</v>
      </c>
      <c r="AI143" s="14">
        <f t="shared" si="5"/>
        <v>0</v>
      </c>
      <c r="AJ143" s="14">
        <f t="shared" si="5"/>
        <v>0</v>
      </c>
      <c r="AK143" s="14">
        <f t="shared" si="5"/>
        <v>0</v>
      </c>
      <c r="AL143" s="14">
        <f t="shared" si="5"/>
        <v>0</v>
      </c>
      <c r="AM143" s="14">
        <f t="shared" si="5"/>
        <v>0</v>
      </c>
      <c r="AN143" s="14">
        <f t="shared" si="5"/>
        <v>0</v>
      </c>
      <c r="AO143" s="14">
        <f t="shared" si="5"/>
        <v>0</v>
      </c>
      <c r="AP143" s="14">
        <f t="shared" si="5"/>
        <v>0</v>
      </c>
      <c r="AQ143" s="14">
        <f t="shared" si="5"/>
        <v>0</v>
      </c>
      <c r="AR143" s="14">
        <f t="shared" si="5"/>
        <v>429</v>
      </c>
      <c r="AS143" s="14">
        <f t="shared" si="5"/>
        <v>0</v>
      </c>
      <c r="AT143" s="14">
        <f t="shared" si="5"/>
        <v>0</v>
      </c>
      <c r="AU143" s="14">
        <f t="shared" si="5"/>
        <v>0</v>
      </c>
      <c r="AV143" s="14">
        <f t="shared" si="5"/>
        <v>0</v>
      </c>
      <c r="AW143" s="14">
        <f t="shared" si="5"/>
        <v>0</v>
      </c>
      <c r="AX143" s="14">
        <f t="shared" si="5"/>
        <v>0</v>
      </c>
      <c r="AY143" s="14">
        <f t="shared" si="5"/>
        <v>433</v>
      </c>
    </row>
    <row r="144" spans="1:51" ht="16.5" customHeight="1" x14ac:dyDescent="0.25">
      <c r="A144" s="9" t="s">
        <v>894</v>
      </c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 spans="1:51" ht="16.5" customHeight="1" x14ac:dyDescent="0.25">
      <c r="A145" s="10">
        <v>1</v>
      </c>
      <c r="B145" s="11" t="s">
        <v>188</v>
      </c>
      <c r="C145" s="10">
        <v>0</v>
      </c>
      <c r="D145" s="10">
        <v>1</v>
      </c>
      <c r="E145" s="10">
        <v>0</v>
      </c>
      <c r="F145" s="10">
        <v>0</v>
      </c>
      <c r="G145" s="10">
        <v>0</v>
      </c>
      <c r="H145" s="10">
        <v>0</v>
      </c>
      <c r="I145" s="10">
        <v>1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1</v>
      </c>
      <c r="Y145" s="10">
        <v>0</v>
      </c>
      <c r="Z145" s="10">
        <v>1</v>
      </c>
      <c r="AA145" s="10">
        <v>0</v>
      </c>
      <c r="AB145" s="10">
        <v>22</v>
      </c>
      <c r="AC145" s="10">
        <v>0</v>
      </c>
      <c r="AD145" s="10">
        <v>1</v>
      </c>
      <c r="AE145" s="10">
        <v>13</v>
      </c>
      <c r="AF145" s="10">
        <v>7</v>
      </c>
      <c r="AG145" s="10">
        <v>1</v>
      </c>
      <c r="AH145" s="10">
        <v>0</v>
      </c>
      <c r="AI145" s="10">
        <v>0</v>
      </c>
      <c r="AJ145" s="10">
        <v>1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1</v>
      </c>
      <c r="AR145" s="10">
        <v>25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26</v>
      </c>
    </row>
    <row r="146" spans="1:51" ht="16.5" customHeight="1" x14ac:dyDescent="0.25">
      <c r="A146" s="10">
        <v>2</v>
      </c>
      <c r="B146" s="11" t="s">
        <v>189</v>
      </c>
      <c r="C146" s="10">
        <v>0</v>
      </c>
      <c r="D146" s="10">
        <v>2</v>
      </c>
      <c r="E146" s="10">
        <v>2</v>
      </c>
      <c r="F146" s="10">
        <v>0</v>
      </c>
      <c r="G146" s="10">
        <v>2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2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2</v>
      </c>
    </row>
    <row r="147" spans="1:51" ht="16.5" customHeight="1" x14ac:dyDescent="0.25">
      <c r="A147" s="10">
        <v>3</v>
      </c>
      <c r="B147" s="11" t="s">
        <v>190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</row>
    <row r="148" spans="1:51" ht="16.5" customHeight="1" x14ac:dyDescent="0.25">
      <c r="A148" s="10">
        <v>4</v>
      </c>
      <c r="B148" s="11" t="s">
        <v>191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4</v>
      </c>
      <c r="N148" s="10">
        <v>0</v>
      </c>
      <c r="O148" s="10">
        <v>0</v>
      </c>
      <c r="P148" s="10">
        <v>0</v>
      </c>
      <c r="Q148" s="10">
        <v>0</v>
      </c>
      <c r="R148" s="10">
        <v>4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4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4</v>
      </c>
    </row>
    <row r="149" spans="1:51" ht="16.5" customHeight="1" x14ac:dyDescent="0.25">
      <c r="A149" s="10">
        <v>5</v>
      </c>
      <c r="B149" s="11" t="s">
        <v>192</v>
      </c>
      <c r="C149" s="10">
        <v>0</v>
      </c>
      <c r="D149" s="10">
        <v>4</v>
      </c>
      <c r="E149" s="10">
        <v>0</v>
      </c>
      <c r="F149" s="10">
        <v>0</v>
      </c>
      <c r="G149" s="10">
        <v>0</v>
      </c>
      <c r="H149" s="10">
        <v>4</v>
      </c>
      <c r="I149" s="10">
        <v>0</v>
      </c>
      <c r="J149" s="10">
        <v>0</v>
      </c>
      <c r="K149" s="10">
        <v>0</v>
      </c>
      <c r="L149" s="10">
        <v>0</v>
      </c>
      <c r="M149" s="10">
        <v>1</v>
      </c>
      <c r="N149" s="10">
        <v>0</v>
      </c>
      <c r="O149" s="10">
        <v>1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19</v>
      </c>
      <c r="X149" s="10">
        <v>24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24</v>
      </c>
    </row>
    <row r="150" spans="1:51" ht="16.5" customHeight="1" x14ac:dyDescent="0.25">
      <c r="A150" s="10">
        <v>6</v>
      </c>
      <c r="B150" s="11" t="s">
        <v>193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1</v>
      </c>
      <c r="X150" s="10">
        <v>1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1</v>
      </c>
    </row>
    <row r="151" spans="1:51" ht="16.5" customHeight="1" x14ac:dyDescent="0.25">
      <c r="A151" s="10">
        <v>7</v>
      </c>
      <c r="B151" s="11" t="s">
        <v>194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1</v>
      </c>
      <c r="N151" s="10">
        <v>1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1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3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3</v>
      </c>
      <c r="AR151" s="10">
        <v>6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7</v>
      </c>
    </row>
    <row r="152" spans="1:51" ht="16.5" customHeight="1" x14ac:dyDescent="0.25">
      <c r="A152" s="10">
        <v>8</v>
      </c>
      <c r="B152" s="11" t="s">
        <v>195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1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9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1</v>
      </c>
      <c r="AP152" s="10">
        <v>0</v>
      </c>
      <c r="AQ152" s="10">
        <v>4</v>
      </c>
      <c r="AR152" s="10">
        <v>15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15</v>
      </c>
    </row>
    <row r="153" spans="1:51" ht="16.5" customHeight="1" x14ac:dyDescent="0.25">
      <c r="A153" s="10">
        <v>9</v>
      </c>
      <c r="B153" s="11" t="s">
        <v>196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4</v>
      </c>
      <c r="N153" s="10">
        <v>0</v>
      </c>
      <c r="O153" s="10">
        <v>4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4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4</v>
      </c>
    </row>
    <row r="154" spans="1:51" ht="16.5" customHeight="1" x14ac:dyDescent="0.25">
      <c r="A154" s="10">
        <v>10</v>
      </c>
      <c r="B154" s="11" t="s">
        <v>197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1</v>
      </c>
      <c r="X154" s="10">
        <v>1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1</v>
      </c>
      <c r="AR154" s="10">
        <v>1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2</v>
      </c>
    </row>
    <row r="155" spans="1:51" ht="16.5" customHeight="1" x14ac:dyDescent="0.25">
      <c r="A155" s="10">
        <v>11</v>
      </c>
      <c r="B155" s="11" t="s">
        <v>198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1</v>
      </c>
      <c r="N155" s="10">
        <v>0</v>
      </c>
      <c r="O155" s="10">
        <v>1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1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1</v>
      </c>
    </row>
    <row r="156" spans="1:51" ht="16.5" customHeight="1" x14ac:dyDescent="0.25">
      <c r="A156" s="10">
        <v>12</v>
      </c>
      <c r="B156" s="11" t="s">
        <v>199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</row>
    <row r="157" spans="1:51" ht="16.5" customHeight="1" x14ac:dyDescent="0.25">
      <c r="A157" s="10">
        <v>13</v>
      </c>
      <c r="B157" s="11" t="s">
        <v>200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</row>
    <row r="158" spans="1:51" ht="16.5" customHeight="1" x14ac:dyDescent="0.25">
      <c r="A158" s="10">
        <v>14</v>
      </c>
      <c r="B158" s="11" t="s">
        <v>201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2</v>
      </c>
      <c r="AC158" s="10">
        <v>0</v>
      </c>
      <c r="AD158" s="10">
        <v>2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2</v>
      </c>
      <c r="AR158" s="10">
        <v>4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4</v>
      </c>
    </row>
    <row r="159" spans="1:51" ht="16.5" customHeight="1" x14ac:dyDescent="0.25">
      <c r="A159" s="10">
        <v>15</v>
      </c>
      <c r="B159" s="11" t="s">
        <v>202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</row>
    <row r="160" spans="1:51" ht="16.5" customHeight="1" x14ac:dyDescent="0.25">
      <c r="A160" s="10">
        <v>16</v>
      </c>
      <c r="B160" s="11" t="s">
        <v>203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6</v>
      </c>
      <c r="AC160" s="10">
        <v>0</v>
      </c>
      <c r="AD160" s="10">
        <v>6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7</v>
      </c>
      <c r="AR160" s="10">
        <v>13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13</v>
      </c>
    </row>
    <row r="161" spans="1:51" ht="16.5" customHeight="1" x14ac:dyDescent="0.25">
      <c r="A161" s="10">
        <v>17</v>
      </c>
      <c r="B161" s="11" t="s">
        <v>204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1</v>
      </c>
      <c r="AA161" s="10">
        <v>0</v>
      </c>
      <c r="AB161" s="10">
        <v>2</v>
      </c>
      <c r="AC161" s="10">
        <v>0</v>
      </c>
      <c r="AD161" s="10">
        <v>0</v>
      </c>
      <c r="AE161" s="10">
        <v>1</v>
      </c>
      <c r="AF161" s="10">
        <v>1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3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3</v>
      </c>
    </row>
    <row r="162" spans="1:51" ht="16.5" customHeight="1" x14ac:dyDescent="0.25">
      <c r="A162" s="10">
        <v>18</v>
      </c>
      <c r="B162" s="11" t="s">
        <v>205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</row>
    <row r="163" spans="1:51" ht="16.5" customHeight="1" x14ac:dyDescent="0.25">
      <c r="A163" s="10">
        <v>20</v>
      </c>
      <c r="B163" s="11" t="s">
        <v>206</v>
      </c>
      <c r="C163" s="10">
        <v>0</v>
      </c>
      <c r="D163" s="10">
        <v>3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3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3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3</v>
      </c>
    </row>
    <row r="164" spans="1:51" ht="16.5" customHeight="1" x14ac:dyDescent="0.25">
      <c r="A164" s="10">
        <v>21</v>
      </c>
      <c r="B164" s="11" t="s">
        <v>207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</row>
    <row r="165" spans="1:51" ht="16.5" customHeight="1" x14ac:dyDescent="0.25">
      <c r="A165" s="10">
        <v>22</v>
      </c>
      <c r="B165" s="11" t="s">
        <v>208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</row>
    <row r="166" spans="1:51" ht="16.5" customHeight="1" x14ac:dyDescent="0.25">
      <c r="A166" s="10">
        <v>23</v>
      </c>
      <c r="B166" s="11" t="s">
        <v>209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</row>
    <row r="167" spans="1:51" ht="16.5" customHeight="1" x14ac:dyDescent="0.25">
      <c r="A167" s="10">
        <v>24</v>
      </c>
      <c r="B167" s="11" t="s">
        <v>210</v>
      </c>
      <c r="C167" s="10">
        <v>0</v>
      </c>
      <c r="D167" s="10">
        <v>9</v>
      </c>
      <c r="E167" s="10">
        <v>3</v>
      </c>
      <c r="F167" s="10">
        <v>0</v>
      </c>
      <c r="G167" s="10">
        <v>3</v>
      </c>
      <c r="H167" s="10">
        <v>0</v>
      </c>
      <c r="I167" s="10">
        <v>1</v>
      </c>
      <c r="J167" s="10">
        <v>5</v>
      </c>
      <c r="K167" s="10">
        <v>0</v>
      </c>
      <c r="L167" s="10">
        <v>0</v>
      </c>
      <c r="M167" s="10">
        <v>6</v>
      </c>
      <c r="N167" s="10">
        <v>0</v>
      </c>
      <c r="O167" s="10">
        <v>2</v>
      </c>
      <c r="P167" s="10">
        <v>0</v>
      </c>
      <c r="Q167" s="10">
        <v>0</v>
      </c>
      <c r="R167" s="10">
        <v>4</v>
      </c>
      <c r="S167" s="10">
        <v>0</v>
      </c>
      <c r="T167" s="10">
        <v>0</v>
      </c>
      <c r="U167" s="10">
        <v>0</v>
      </c>
      <c r="V167" s="10">
        <v>0</v>
      </c>
      <c r="W167" s="10">
        <v>1</v>
      </c>
      <c r="X167" s="10">
        <v>16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16</v>
      </c>
    </row>
    <row r="168" spans="1:51" ht="16.5" customHeight="1" x14ac:dyDescent="0.25">
      <c r="A168" s="10">
        <v>25</v>
      </c>
      <c r="B168" s="11" t="s">
        <v>211</v>
      </c>
      <c r="C168" s="10">
        <v>0</v>
      </c>
      <c r="D168" s="10">
        <v>9</v>
      </c>
      <c r="E168" s="10">
        <v>3</v>
      </c>
      <c r="F168" s="10">
        <v>3</v>
      </c>
      <c r="G168" s="10">
        <v>0</v>
      </c>
      <c r="H168" s="10">
        <v>0</v>
      </c>
      <c r="I168" s="10">
        <v>3</v>
      </c>
      <c r="J168" s="10">
        <v>3</v>
      </c>
      <c r="K168" s="10">
        <v>0</v>
      </c>
      <c r="L168" s="10">
        <v>0</v>
      </c>
      <c r="M168" s="10">
        <v>6</v>
      </c>
      <c r="N168" s="10">
        <v>1</v>
      </c>
      <c r="O168" s="10">
        <v>5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15</v>
      </c>
      <c r="Y168" s="10">
        <v>0</v>
      </c>
      <c r="Z168" s="10">
        <v>8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3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15</v>
      </c>
      <c r="AR168" s="10">
        <v>26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41</v>
      </c>
    </row>
    <row r="169" spans="1:51" ht="16.5" customHeight="1" x14ac:dyDescent="0.25">
      <c r="A169" s="10">
        <v>26</v>
      </c>
      <c r="B169" s="11" t="s">
        <v>212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1</v>
      </c>
      <c r="N169" s="10">
        <v>1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1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1</v>
      </c>
    </row>
    <row r="170" spans="1:51" ht="16.5" customHeight="1" x14ac:dyDescent="0.25">
      <c r="A170" s="10">
        <v>27</v>
      </c>
      <c r="B170" s="11" t="s">
        <v>213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10">
        <v>1</v>
      </c>
      <c r="AX170" s="10">
        <v>1</v>
      </c>
      <c r="AY170" s="10">
        <v>1</v>
      </c>
    </row>
    <row r="171" spans="1:51" ht="16.5" customHeight="1" x14ac:dyDescent="0.25">
      <c r="A171" s="10">
        <v>28</v>
      </c>
      <c r="B171" s="11" t="s">
        <v>214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</row>
    <row r="172" spans="1:51" ht="16.5" customHeight="1" x14ac:dyDescent="0.25">
      <c r="A172" s="10">
        <v>29</v>
      </c>
      <c r="B172" s="11" t="s">
        <v>215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1</v>
      </c>
      <c r="AC172" s="10">
        <v>0</v>
      </c>
      <c r="AD172" s="10">
        <v>0</v>
      </c>
      <c r="AE172" s="10">
        <v>0</v>
      </c>
      <c r="AF172" s="10">
        <v>0</v>
      </c>
      <c r="AG172" s="10">
        <v>1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2</v>
      </c>
      <c r="AR172" s="10">
        <v>3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3</v>
      </c>
    </row>
    <row r="173" spans="1:51" ht="16.5" customHeight="1" x14ac:dyDescent="0.25">
      <c r="A173" s="12"/>
      <c r="B173" s="13" t="s">
        <v>889</v>
      </c>
      <c r="C173" s="14">
        <f>SUM(C145:C172)</f>
        <v>0</v>
      </c>
      <c r="D173" s="14">
        <f t="shared" ref="D173:AY173" si="6">SUM(D145:D172)</f>
        <v>28</v>
      </c>
      <c r="E173" s="14">
        <f t="shared" si="6"/>
        <v>8</v>
      </c>
      <c r="F173" s="14">
        <f t="shared" si="6"/>
        <v>3</v>
      </c>
      <c r="G173" s="14">
        <f t="shared" si="6"/>
        <v>5</v>
      </c>
      <c r="H173" s="14">
        <f t="shared" si="6"/>
        <v>4</v>
      </c>
      <c r="I173" s="14">
        <f t="shared" si="6"/>
        <v>5</v>
      </c>
      <c r="J173" s="14">
        <f t="shared" si="6"/>
        <v>11</v>
      </c>
      <c r="K173" s="14">
        <f t="shared" si="6"/>
        <v>0</v>
      </c>
      <c r="L173" s="14">
        <f t="shared" si="6"/>
        <v>0</v>
      </c>
      <c r="M173" s="14">
        <f t="shared" si="6"/>
        <v>24</v>
      </c>
      <c r="N173" s="14">
        <f t="shared" si="6"/>
        <v>3</v>
      </c>
      <c r="O173" s="14">
        <f t="shared" si="6"/>
        <v>13</v>
      </c>
      <c r="P173" s="14">
        <f t="shared" si="6"/>
        <v>0</v>
      </c>
      <c r="Q173" s="14">
        <f t="shared" si="6"/>
        <v>0</v>
      </c>
      <c r="R173" s="14">
        <f t="shared" si="6"/>
        <v>8</v>
      </c>
      <c r="S173" s="14">
        <f t="shared" si="6"/>
        <v>0</v>
      </c>
      <c r="T173" s="14">
        <f t="shared" si="6"/>
        <v>0</v>
      </c>
      <c r="U173" s="14">
        <f t="shared" si="6"/>
        <v>0</v>
      </c>
      <c r="V173" s="14">
        <f t="shared" si="6"/>
        <v>0</v>
      </c>
      <c r="W173" s="14">
        <f t="shared" si="6"/>
        <v>22</v>
      </c>
      <c r="X173" s="14">
        <f t="shared" si="6"/>
        <v>74</v>
      </c>
      <c r="Y173" s="14">
        <f t="shared" si="6"/>
        <v>0</v>
      </c>
      <c r="Z173" s="14">
        <f t="shared" si="6"/>
        <v>11</v>
      </c>
      <c r="AA173" s="14">
        <f t="shared" si="6"/>
        <v>0</v>
      </c>
      <c r="AB173" s="14">
        <f t="shared" si="6"/>
        <v>33</v>
      </c>
      <c r="AC173" s="14">
        <f t="shared" si="6"/>
        <v>0</v>
      </c>
      <c r="AD173" s="14">
        <f t="shared" si="6"/>
        <v>9</v>
      </c>
      <c r="AE173" s="14">
        <f t="shared" si="6"/>
        <v>14</v>
      </c>
      <c r="AF173" s="14">
        <f t="shared" si="6"/>
        <v>8</v>
      </c>
      <c r="AG173" s="14">
        <f t="shared" si="6"/>
        <v>2</v>
      </c>
      <c r="AH173" s="14">
        <f t="shared" si="6"/>
        <v>12</v>
      </c>
      <c r="AI173" s="14">
        <f t="shared" si="6"/>
        <v>0</v>
      </c>
      <c r="AJ173" s="14">
        <f t="shared" si="6"/>
        <v>1</v>
      </c>
      <c r="AK173" s="14">
        <f t="shared" si="6"/>
        <v>3</v>
      </c>
      <c r="AL173" s="14">
        <f t="shared" si="6"/>
        <v>0</v>
      </c>
      <c r="AM173" s="14">
        <f t="shared" si="6"/>
        <v>0</v>
      </c>
      <c r="AN173" s="14">
        <f t="shared" si="6"/>
        <v>0</v>
      </c>
      <c r="AO173" s="14">
        <f t="shared" si="6"/>
        <v>1</v>
      </c>
      <c r="AP173" s="14">
        <f t="shared" si="6"/>
        <v>0</v>
      </c>
      <c r="AQ173" s="14">
        <f t="shared" si="6"/>
        <v>35</v>
      </c>
      <c r="AR173" s="14">
        <f t="shared" si="6"/>
        <v>96</v>
      </c>
      <c r="AS173" s="14">
        <f t="shared" si="6"/>
        <v>0</v>
      </c>
      <c r="AT173" s="14">
        <f t="shared" si="6"/>
        <v>0</v>
      </c>
      <c r="AU173" s="14">
        <f t="shared" si="6"/>
        <v>0</v>
      </c>
      <c r="AV173" s="14">
        <f t="shared" si="6"/>
        <v>0</v>
      </c>
      <c r="AW173" s="14">
        <f t="shared" si="6"/>
        <v>1</v>
      </c>
      <c r="AX173" s="14">
        <f t="shared" si="6"/>
        <v>1</v>
      </c>
      <c r="AY173" s="14">
        <f t="shared" si="6"/>
        <v>171</v>
      </c>
    </row>
    <row r="174" spans="1:51" ht="16.5" customHeight="1" x14ac:dyDescent="0.25">
      <c r="A174" s="9" t="s">
        <v>895</v>
      </c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 spans="1:51" ht="16.5" customHeight="1" x14ac:dyDescent="0.25">
      <c r="A175" s="10">
        <v>1</v>
      </c>
      <c r="B175" s="11" t="s">
        <v>216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2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2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2</v>
      </c>
    </row>
    <row r="176" spans="1:51" ht="16.5" customHeight="1" x14ac:dyDescent="0.25">
      <c r="A176" s="10">
        <v>2</v>
      </c>
      <c r="B176" s="11" t="s">
        <v>217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</row>
    <row r="177" spans="1:51" ht="16.5" customHeight="1" x14ac:dyDescent="0.25">
      <c r="A177" s="10">
        <v>3</v>
      </c>
      <c r="B177" s="11" t="s">
        <v>106</v>
      </c>
      <c r="C177" s="10">
        <v>0</v>
      </c>
      <c r="D177" s="10">
        <v>4</v>
      </c>
      <c r="E177" s="10">
        <v>0</v>
      </c>
      <c r="F177" s="10">
        <v>0</v>
      </c>
      <c r="G177" s="10">
        <v>0</v>
      </c>
      <c r="H177" s="10">
        <v>0</v>
      </c>
      <c r="I177" s="10">
        <v>4</v>
      </c>
      <c r="J177" s="10">
        <v>0</v>
      </c>
      <c r="K177" s="10">
        <v>0</v>
      </c>
      <c r="L177" s="10">
        <v>0</v>
      </c>
      <c r="M177" s="10">
        <v>1</v>
      </c>
      <c r="N177" s="10">
        <v>1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5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6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6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11</v>
      </c>
    </row>
    <row r="178" spans="1:51" ht="16.5" customHeight="1" x14ac:dyDescent="0.25">
      <c r="A178" s="12"/>
      <c r="B178" s="13" t="s">
        <v>889</v>
      </c>
      <c r="C178" s="14">
        <f>SUM(C175:C177)</f>
        <v>0</v>
      </c>
      <c r="D178" s="14">
        <f t="shared" ref="D178:AY178" si="7">SUM(D175:D177)</f>
        <v>4</v>
      </c>
      <c r="E178" s="14">
        <f t="shared" si="7"/>
        <v>0</v>
      </c>
      <c r="F178" s="14">
        <f t="shared" si="7"/>
        <v>0</v>
      </c>
      <c r="G178" s="14">
        <f t="shared" si="7"/>
        <v>0</v>
      </c>
      <c r="H178" s="14">
        <f t="shared" si="7"/>
        <v>0</v>
      </c>
      <c r="I178" s="14">
        <f t="shared" si="7"/>
        <v>4</v>
      </c>
      <c r="J178" s="14">
        <f t="shared" si="7"/>
        <v>0</v>
      </c>
      <c r="K178" s="14">
        <f t="shared" si="7"/>
        <v>0</v>
      </c>
      <c r="L178" s="14">
        <f t="shared" si="7"/>
        <v>0</v>
      </c>
      <c r="M178" s="14">
        <f t="shared" si="7"/>
        <v>1</v>
      </c>
      <c r="N178" s="14">
        <f t="shared" si="7"/>
        <v>1</v>
      </c>
      <c r="O178" s="14">
        <f t="shared" si="7"/>
        <v>0</v>
      </c>
      <c r="P178" s="14">
        <f t="shared" si="7"/>
        <v>0</v>
      </c>
      <c r="Q178" s="14">
        <f t="shared" si="7"/>
        <v>0</v>
      </c>
      <c r="R178" s="14">
        <f t="shared" si="7"/>
        <v>0</v>
      </c>
      <c r="S178" s="14">
        <f t="shared" si="7"/>
        <v>0</v>
      </c>
      <c r="T178" s="14">
        <f t="shared" si="7"/>
        <v>0</v>
      </c>
      <c r="U178" s="14">
        <f t="shared" si="7"/>
        <v>0</v>
      </c>
      <c r="V178" s="14">
        <f t="shared" si="7"/>
        <v>0</v>
      </c>
      <c r="W178" s="14">
        <f t="shared" si="7"/>
        <v>0</v>
      </c>
      <c r="X178" s="14">
        <f t="shared" si="7"/>
        <v>5</v>
      </c>
      <c r="Y178" s="14">
        <f t="shared" si="7"/>
        <v>0</v>
      </c>
      <c r="Z178" s="14">
        <f t="shared" si="7"/>
        <v>0</v>
      </c>
      <c r="AA178" s="14">
        <f t="shared" si="7"/>
        <v>0</v>
      </c>
      <c r="AB178" s="14">
        <f t="shared" si="7"/>
        <v>0</v>
      </c>
      <c r="AC178" s="14">
        <f t="shared" si="7"/>
        <v>0</v>
      </c>
      <c r="AD178" s="14">
        <f t="shared" si="7"/>
        <v>0</v>
      </c>
      <c r="AE178" s="14">
        <f t="shared" si="7"/>
        <v>0</v>
      </c>
      <c r="AF178" s="14">
        <f t="shared" si="7"/>
        <v>0</v>
      </c>
      <c r="AG178" s="14">
        <f t="shared" si="7"/>
        <v>0</v>
      </c>
      <c r="AH178" s="14">
        <f t="shared" si="7"/>
        <v>8</v>
      </c>
      <c r="AI178" s="14">
        <f t="shared" si="7"/>
        <v>0</v>
      </c>
      <c r="AJ178" s="14">
        <f t="shared" si="7"/>
        <v>0</v>
      </c>
      <c r="AK178" s="14">
        <f t="shared" si="7"/>
        <v>0</v>
      </c>
      <c r="AL178" s="14">
        <f t="shared" si="7"/>
        <v>0</v>
      </c>
      <c r="AM178" s="14">
        <f t="shared" si="7"/>
        <v>0</v>
      </c>
      <c r="AN178" s="14">
        <f t="shared" si="7"/>
        <v>0</v>
      </c>
      <c r="AO178" s="14">
        <f t="shared" si="7"/>
        <v>0</v>
      </c>
      <c r="AP178" s="14">
        <f t="shared" si="7"/>
        <v>0</v>
      </c>
      <c r="AQ178" s="14">
        <f t="shared" si="7"/>
        <v>0</v>
      </c>
      <c r="AR178" s="14">
        <f t="shared" si="7"/>
        <v>8</v>
      </c>
      <c r="AS178" s="14">
        <f t="shared" si="7"/>
        <v>0</v>
      </c>
      <c r="AT178" s="14">
        <f t="shared" si="7"/>
        <v>0</v>
      </c>
      <c r="AU178" s="14">
        <f t="shared" si="7"/>
        <v>0</v>
      </c>
      <c r="AV178" s="14">
        <f t="shared" si="7"/>
        <v>0</v>
      </c>
      <c r="AW178" s="14">
        <f t="shared" si="7"/>
        <v>0</v>
      </c>
      <c r="AX178" s="14">
        <f t="shared" si="7"/>
        <v>0</v>
      </c>
      <c r="AY178" s="14">
        <f t="shared" si="7"/>
        <v>13</v>
      </c>
    </row>
    <row r="179" spans="1:51" ht="16.5" customHeight="1" x14ac:dyDescent="0.25">
      <c r="A179" s="9" t="s">
        <v>896</v>
      </c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 spans="1:51" ht="16.5" customHeight="1" x14ac:dyDescent="0.25">
      <c r="A180" s="10">
        <v>1</v>
      </c>
      <c r="B180" s="11" t="s">
        <v>218</v>
      </c>
      <c r="C180" s="10">
        <v>1</v>
      </c>
      <c r="D180" s="10">
        <v>15</v>
      </c>
      <c r="E180" s="10">
        <v>0</v>
      </c>
      <c r="F180" s="10">
        <v>0</v>
      </c>
      <c r="G180" s="10">
        <v>0</v>
      </c>
      <c r="H180" s="10">
        <v>0</v>
      </c>
      <c r="I180" s="10">
        <v>9</v>
      </c>
      <c r="J180" s="10">
        <v>5</v>
      </c>
      <c r="K180" s="10">
        <v>1</v>
      </c>
      <c r="L180" s="10">
        <v>0</v>
      </c>
      <c r="M180" s="10">
        <v>7</v>
      </c>
      <c r="N180" s="10">
        <v>7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3</v>
      </c>
      <c r="X180" s="10">
        <v>26</v>
      </c>
      <c r="Y180" s="10">
        <v>0</v>
      </c>
      <c r="Z180" s="10">
        <v>5</v>
      </c>
      <c r="AA180" s="10">
        <v>0</v>
      </c>
      <c r="AB180" s="10">
        <v>46</v>
      </c>
      <c r="AC180" s="10">
        <v>2</v>
      </c>
      <c r="AD180" s="10">
        <v>2</v>
      </c>
      <c r="AE180" s="10">
        <v>25</v>
      </c>
      <c r="AF180" s="10">
        <v>4</v>
      </c>
      <c r="AG180" s="10">
        <v>13</v>
      </c>
      <c r="AH180" s="10">
        <v>9</v>
      </c>
      <c r="AI180" s="10">
        <v>5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3</v>
      </c>
      <c r="AP180" s="10">
        <v>0</v>
      </c>
      <c r="AQ180" s="10">
        <v>16</v>
      </c>
      <c r="AR180" s="10">
        <v>84</v>
      </c>
      <c r="AS180" s="10">
        <v>1</v>
      </c>
      <c r="AT180" s="10">
        <v>0</v>
      </c>
      <c r="AU180" s="10">
        <v>0</v>
      </c>
      <c r="AV180" s="10">
        <v>0</v>
      </c>
      <c r="AW180" s="10">
        <v>1</v>
      </c>
      <c r="AX180" s="10">
        <v>2</v>
      </c>
      <c r="AY180" s="10">
        <v>112</v>
      </c>
    </row>
    <row r="181" spans="1:51" ht="16.5" customHeight="1" x14ac:dyDescent="0.25">
      <c r="A181" s="10">
        <v>2</v>
      </c>
      <c r="B181" s="11" t="s">
        <v>219</v>
      </c>
      <c r="C181" s="10">
        <v>0</v>
      </c>
      <c r="D181" s="10">
        <v>2</v>
      </c>
      <c r="E181" s="10">
        <v>2</v>
      </c>
      <c r="F181" s="10">
        <v>0</v>
      </c>
      <c r="G181" s="10">
        <v>2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3</v>
      </c>
      <c r="X181" s="10">
        <v>5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1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5</v>
      </c>
      <c r="AR181" s="10">
        <v>6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11</v>
      </c>
    </row>
    <row r="182" spans="1:51" ht="16.5" customHeight="1" x14ac:dyDescent="0.25">
      <c r="A182" s="10">
        <v>3</v>
      </c>
      <c r="B182" s="11" t="s">
        <v>220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2</v>
      </c>
      <c r="N182" s="10">
        <v>1</v>
      </c>
      <c r="O182" s="10">
        <v>0</v>
      </c>
      <c r="P182" s="10">
        <v>0</v>
      </c>
      <c r="Q182" s="10">
        <v>0</v>
      </c>
      <c r="R182" s="10">
        <v>1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2</v>
      </c>
      <c r="Y182" s="10">
        <v>0</v>
      </c>
      <c r="Z182" s="10">
        <v>0</v>
      </c>
      <c r="AA182" s="10">
        <v>0</v>
      </c>
      <c r="AB182" s="10">
        <v>1</v>
      </c>
      <c r="AC182" s="10">
        <v>0</v>
      </c>
      <c r="AD182" s="10">
        <v>1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1</v>
      </c>
      <c r="AR182" s="10">
        <v>2</v>
      </c>
      <c r="AS182" s="10">
        <v>0</v>
      </c>
      <c r="AT182" s="10">
        <v>0</v>
      </c>
      <c r="AU182" s="10">
        <v>0</v>
      </c>
      <c r="AV182" s="10">
        <v>0</v>
      </c>
      <c r="AW182" s="10">
        <v>1</v>
      </c>
      <c r="AX182" s="10">
        <v>1</v>
      </c>
      <c r="AY182" s="10">
        <v>5</v>
      </c>
    </row>
    <row r="183" spans="1:51" ht="16.5" customHeight="1" x14ac:dyDescent="0.25">
      <c r="A183" s="10">
        <v>4</v>
      </c>
      <c r="B183" s="11" t="s">
        <v>221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</row>
    <row r="184" spans="1:51" ht="16.5" customHeight="1" x14ac:dyDescent="0.25">
      <c r="A184" s="10">
        <v>5</v>
      </c>
      <c r="B184" s="11" t="s">
        <v>222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</row>
    <row r="185" spans="1:51" ht="16.5" customHeight="1" x14ac:dyDescent="0.25">
      <c r="A185" s="10">
        <v>6</v>
      </c>
      <c r="B185" s="11" t="s">
        <v>223</v>
      </c>
      <c r="C185" s="10">
        <v>0</v>
      </c>
      <c r="D185" s="10">
        <v>1</v>
      </c>
      <c r="E185" s="10">
        <v>0</v>
      </c>
      <c r="F185" s="10">
        <v>0</v>
      </c>
      <c r="G185" s="10">
        <v>0</v>
      </c>
      <c r="H185" s="10">
        <v>0</v>
      </c>
      <c r="I185" s="10">
        <v>1</v>
      </c>
      <c r="J185" s="10">
        <v>0</v>
      </c>
      <c r="K185" s="10">
        <v>0</v>
      </c>
      <c r="L185" s="10">
        <v>0</v>
      </c>
      <c r="M185" s="10">
        <v>3</v>
      </c>
      <c r="N185" s="10">
        <v>3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4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4</v>
      </c>
    </row>
    <row r="186" spans="1:51" ht="16.5" customHeight="1" x14ac:dyDescent="0.25">
      <c r="A186" s="10">
        <v>7</v>
      </c>
      <c r="B186" s="11" t="s">
        <v>224</v>
      </c>
      <c r="C186" s="10">
        <v>0</v>
      </c>
      <c r="D186" s="10">
        <v>3</v>
      </c>
      <c r="E186" s="10">
        <v>0</v>
      </c>
      <c r="F186" s="10">
        <v>0</v>
      </c>
      <c r="G186" s="10">
        <v>0</v>
      </c>
      <c r="H186" s="10">
        <v>0</v>
      </c>
      <c r="I186" s="10">
        <v>2</v>
      </c>
      <c r="J186" s="10">
        <v>0</v>
      </c>
      <c r="K186" s="10">
        <v>1</v>
      </c>
      <c r="L186" s="10">
        <v>0</v>
      </c>
      <c r="M186" s="10">
        <v>2</v>
      </c>
      <c r="N186" s="10">
        <v>2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5</v>
      </c>
      <c r="Y186" s="10">
        <v>0</v>
      </c>
      <c r="Z186" s="10">
        <v>0</v>
      </c>
      <c r="AA186" s="10">
        <v>0</v>
      </c>
      <c r="AB186" s="10">
        <v>1</v>
      </c>
      <c r="AC186" s="10">
        <v>0</v>
      </c>
      <c r="AD186" s="10">
        <v>0</v>
      </c>
      <c r="AE186" s="10">
        <v>1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1</v>
      </c>
      <c r="AQ186" s="10">
        <v>0</v>
      </c>
      <c r="AR186" s="10">
        <v>2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7</v>
      </c>
    </row>
    <row r="187" spans="1:51" ht="16.5" customHeight="1" x14ac:dyDescent="0.25">
      <c r="A187" s="10">
        <v>8</v>
      </c>
      <c r="B187" s="11" t="s">
        <v>225</v>
      </c>
      <c r="C187" s="10">
        <v>0</v>
      </c>
      <c r="D187" s="10">
        <v>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1</v>
      </c>
      <c r="K187" s="10">
        <v>0</v>
      </c>
      <c r="L187" s="10">
        <v>0</v>
      </c>
      <c r="M187" s="10">
        <v>1</v>
      </c>
      <c r="N187" s="10">
        <v>1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2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2</v>
      </c>
    </row>
    <row r="188" spans="1:51" ht="16.5" customHeight="1" x14ac:dyDescent="0.25">
      <c r="A188" s="10">
        <v>9</v>
      </c>
      <c r="B188" s="11" t="s">
        <v>226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1</v>
      </c>
      <c r="N188" s="10">
        <v>0</v>
      </c>
      <c r="O188" s="10">
        <v>1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1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1</v>
      </c>
    </row>
    <row r="189" spans="1:51" ht="16.5" customHeight="1" x14ac:dyDescent="0.25">
      <c r="A189" s="10">
        <v>10</v>
      </c>
      <c r="B189" s="11" t="s">
        <v>227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1</v>
      </c>
      <c r="AI189" s="10">
        <v>0</v>
      </c>
      <c r="AJ189" s="10">
        <v>0</v>
      </c>
      <c r="AK189" s="10">
        <v>1</v>
      </c>
      <c r="AL189" s="10">
        <v>0</v>
      </c>
      <c r="AM189" s="10">
        <v>0</v>
      </c>
      <c r="AN189" s="10">
        <v>0</v>
      </c>
      <c r="AO189" s="10">
        <v>1</v>
      </c>
      <c r="AP189" s="10">
        <v>0</v>
      </c>
      <c r="AQ189" s="10">
        <v>0</v>
      </c>
      <c r="AR189" s="10">
        <v>3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3</v>
      </c>
    </row>
    <row r="190" spans="1:51" ht="16.5" customHeight="1" x14ac:dyDescent="0.25">
      <c r="A190" s="10">
        <v>11</v>
      </c>
      <c r="B190" s="11" t="s">
        <v>228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</row>
    <row r="191" spans="1:51" ht="16.5" customHeight="1" x14ac:dyDescent="0.25">
      <c r="A191" s="10">
        <v>12</v>
      </c>
      <c r="B191" s="11" t="s">
        <v>229</v>
      </c>
      <c r="C191" s="10">
        <v>0</v>
      </c>
      <c r="D191" s="10">
        <v>2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2</v>
      </c>
      <c r="K191" s="10">
        <v>0</v>
      </c>
      <c r="L191" s="10">
        <v>0</v>
      </c>
      <c r="M191" s="10">
        <v>2</v>
      </c>
      <c r="N191" s="10">
        <v>0</v>
      </c>
      <c r="O191" s="10">
        <v>2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4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4</v>
      </c>
    </row>
    <row r="192" spans="1:51" ht="16.5" customHeight="1" x14ac:dyDescent="0.25">
      <c r="A192" s="10">
        <v>13</v>
      </c>
      <c r="B192" s="11" t="s">
        <v>230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</row>
    <row r="193" spans="1:51" ht="16.5" customHeight="1" x14ac:dyDescent="0.25">
      <c r="A193" s="10">
        <v>14</v>
      </c>
      <c r="B193" s="11" t="s">
        <v>231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5</v>
      </c>
      <c r="AC193" s="10">
        <v>0</v>
      </c>
      <c r="AD193" s="10">
        <v>5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5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5</v>
      </c>
    </row>
    <row r="194" spans="1:51" ht="16.5" customHeight="1" x14ac:dyDescent="0.25">
      <c r="A194" s="10">
        <v>15</v>
      </c>
      <c r="B194" s="11" t="s">
        <v>232</v>
      </c>
      <c r="C194" s="10">
        <v>0</v>
      </c>
      <c r="D194" s="10">
        <v>3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3</v>
      </c>
      <c r="K194" s="10">
        <v>0</v>
      </c>
      <c r="L194" s="10">
        <v>0</v>
      </c>
      <c r="M194" s="10">
        <v>3</v>
      </c>
      <c r="N194" s="10">
        <v>1</v>
      </c>
      <c r="O194" s="10">
        <v>0</v>
      </c>
      <c r="P194" s="10">
        <v>0</v>
      </c>
      <c r="Q194" s="10">
        <v>2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6</v>
      </c>
      <c r="Y194" s="10">
        <v>0</v>
      </c>
      <c r="Z194" s="10">
        <v>0</v>
      </c>
      <c r="AA194" s="10">
        <v>0</v>
      </c>
      <c r="AB194" s="10">
        <v>15</v>
      </c>
      <c r="AC194" s="10">
        <v>0</v>
      </c>
      <c r="AD194" s="10">
        <v>3</v>
      </c>
      <c r="AE194" s="10">
        <v>3</v>
      </c>
      <c r="AF194" s="10">
        <v>3</v>
      </c>
      <c r="AG194" s="10">
        <v>6</v>
      </c>
      <c r="AH194" s="10">
        <v>0</v>
      </c>
      <c r="AI194" s="10">
        <v>3</v>
      </c>
      <c r="AJ194" s="10">
        <v>0</v>
      </c>
      <c r="AK194" s="10">
        <v>3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1</v>
      </c>
      <c r="AR194" s="10">
        <v>22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28</v>
      </c>
    </row>
    <row r="195" spans="1:51" ht="16.5" customHeight="1" x14ac:dyDescent="0.25">
      <c r="A195" s="10">
        <v>16</v>
      </c>
      <c r="B195" s="11" t="s">
        <v>233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1</v>
      </c>
      <c r="N195" s="10">
        <v>1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1</v>
      </c>
      <c r="X195" s="10">
        <v>2</v>
      </c>
      <c r="Y195" s="10">
        <v>0</v>
      </c>
      <c r="Z195" s="10">
        <v>1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3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4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6</v>
      </c>
    </row>
    <row r="196" spans="1:51" ht="16.5" customHeight="1" x14ac:dyDescent="0.25">
      <c r="A196" s="10">
        <v>17</v>
      </c>
      <c r="B196" s="11" t="s">
        <v>234</v>
      </c>
      <c r="C196" s="10">
        <v>0</v>
      </c>
      <c r="D196" s="10">
        <v>2</v>
      </c>
      <c r="E196" s="10">
        <v>2</v>
      </c>
      <c r="F196" s="10">
        <v>0</v>
      </c>
      <c r="G196" s="10">
        <v>2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1</v>
      </c>
      <c r="N196" s="10">
        <v>1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3</v>
      </c>
      <c r="Y196" s="10">
        <v>0</v>
      </c>
      <c r="Z196" s="10">
        <v>0</v>
      </c>
      <c r="AA196" s="10">
        <v>0</v>
      </c>
      <c r="AB196" s="10">
        <v>5</v>
      </c>
      <c r="AC196" s="10">
        <v>0</v>
      </c>
      <c r="AD196" s="10">
        <v>3</v>
      </c>
      <c r="AE196" s="10">
        <v>2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5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8</v>
      </c>
    </row>
    <row r="197" spans="1:51" ht="16.5" customHeight="1" x14ac:dyDescent="0.25">
      <c r="A197" s="10">
        <v>18</v>
      </c>
      <c r="B197" s="11" t="s">
        <v>235</v>
      </c>
      <c r="C197" s="10">
        <v>0</v>
      </c>
      <c r="D197" s="10">
        <v>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1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1</v>
      </c>
      <c r="Y197" s="10">
        <v>0</v>
      </c>
      <c r="Z197" s="10">
        <v>0</v>
      </c>
      <c r="AA197" s="10">
        <v>0</v>
      </c>
      <c r="AB197" s="10">
        <v>3</v>
      </c>
      <c r="AC197" s="10">
        <v>0</v>
      </c>
      <c r="AD197" s="10">
        <v>3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1</v>
      </c>
      <c r="AR197" s="10">
        <v>4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5</v>
      </c>
    </row>
    <row r="198" spans="1:51" ht="16.5" customHeight="1" x14ac:dyDescent="0.25">
      <c r="A198" s="10">
        <v>19</v>
      </c>
      <c r="B198" s="11" t="s">
        <v>236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1</v>
      </c>
      <c r="AJ198" s="10">
        <v>0</v>
      </c>
      <c r="AK198" s="10">
        <v>3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4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4</v>
      </c>
    </row>
    <row r="199" spans="1:51" ht="16.5" customHeight="1" x14ac:dyDescent="0.25">
      <c r="A199" s="10">
        <v>20</v>
      </c>
      <c r="B199" s="11" t="s">
        <v>237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1</v>
      </c>
      <c r="N199" s="10">
        <v>1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1</v>
      </c>
      <c r="Y199" s="10">
        <v>0</v>
      </c>
      <c r="Z199" s="10">
        <v>1</v>
      </c>
      <c r="AA199" s="10">
        <v>0</v>
      </c>
      <c r="AB199" s="10">
        <v>5</v>
      </c>
      <c r="AC199" s="10">
        <v>0</v>
      </c>
      <c r="AD199" s="10">
        <v>1</v>
      </c>
      <c r="AE199" s="10">
        <v>0</v>
      </c>
      <c r="AF199" s="10">
        <v>2</v>
      </c>
      <c r="AG199" s="10">
        <v>2</v>
      </c>
      <c r="AH199" s="10">
        <v>0</v>
      </c>
      <c r="AI199" s="10">
        <v>0</v>
      </c>
      <c r="AJ199" s="10">
        <v>0</v>
      </c>
      <c r="AK199" s="10">
        <v>5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11</v>
      </c>
      <c r="AS199" s="10">
        <v>0</v>
      </c>
      <c r="AT199" s="10">
        <v>0</v>
      </c>
      <c r="AU199" s="10">
        <v>3</v>
      </c>
      <c r="AV199" s="10">
        <v>0</v>
      </c>
      <c r="AW199" s="10">
        <v>0</v>
      </c>
      <c r="AX199" s="10">
        <v>3</v>
      </c>
      <c r="AY199" s="10">
        <v>15</v>
      </c>
    </row>
    <row r="200" spans="1:51" ht="16.5" customHeight="1" x14ac:dyDescent="0.25">
      <c r="A200" s="10">
        <v>21</v>
      </c>
      <c r="B200" s="11" t="s">
        <v>238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</row>
    <row r="201" spans="1:51" ht="16.5" customHeight="1" x14ac:dyDescent="0.25">
      <c r="A201" s="10">
        <v>22</v>
      </c>
      <c r="B201" s="11" t="s">
        <v>239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1</v>
      </c>
      <c r="AR201" s="10">
        <v>1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1</v>
      </c>
    </row>
    <row r="202" spans="1:51" ht="16.5" customHeight="1" x14ac:dyDescent="0.25">
      <c r="A202" s="10">
        <v>23</v>
      </c>
      <c r="B202" s="11" t="s">
        <v>240</v>
      </c>
      <c r="C202" s="10">
        <v>0</v>
      </c>
      <c r="D202" s="10">
        <v>2</v>
      </c>
      <c r="E202" s="10">
        <v>1</v>
      </c>
      <c r="F202" s="10">
        <v>0</v>
      </c>
      <c r="G202" s="10">
        <v>1</v>
      </c>
      <c r="H202" s="10">
        <v>0</v>
      </c>
      <c r="I202" s="10">
        <v>0</v>
      </c>
      <c r="J202" s="10">
        <v>1</v>
      </c>
      <c r="K202" s="10">
        <v>0</v>
      </c>
      <c r="L202" s="10">
        <v>0</v>
      </c>
      <c r="M202" s="10">
        <v>2</v>
      </c>
      <c r="N202" s="10">
        <v>0</v>
      </c>
      <c r="O202" s="10">
        <v>1</v>
      </c>
      <c r="P202" s="10">
        <v>1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1</v>
      </c>
      <c r="X202" s="10">
        <v>5</v>
      </c>
      <c r="Y202" s="10">
        <v>0</v>
      </c>
      <c r="Z202" s="10">
        <v>1</v>
      </c>
      <c r="AA202" s="10">
        <v>0</v>
      </c>
      <c r="AB202" s="10">
        <v>4</v>
      </c>
      <c r="AC202" s="10">
        <v>0</v>
      </c>
      <c r="AD202" s="10">
        <v>4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5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10</v>
      </c>
    </row>
    <row r="203" spans="1:51" ht="16.5" customHeight="1" x14ac:dyDescent="0.25">
      <c r="A203" s="10">
        <v>24</v>
      </c>
      <c r="B203" s="11" t="s">
        <v>241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1</v>
      </c>
      <c r="AP203" s="10">
        <v>0</v>
      </c>
      <c r="AQ203" s="10">
        <v>1</v>
      </c>
      <c r="AR203" s="10">
        <v>2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2</v>
      </c>
    </row>
    <row r="204" spans="1:51" ht="16.5" customHeight="1" x14ac:dyDescent="0.25">
      <c r="A204" s="10">
        <v>25</v>
      </c>
      <c r="B204" s="11" t="s">
        <v>242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1</v>
      </c>
      <c r="N204" s="10">
        <v>0</v>
      </c>
      <c r="O204" s="10">
        <v>1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1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1</v>
      </c>
    </row>
    <row r="205" spans="1:51" ht="16.5" customHeight="1" x14ac:dyDescent="0.25">
      <c r="A205" s="10">
        <v>26</v>
      </c>
      <c r="B205" s="11" t="s">
        <v>243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2</v>
      </c>
      <c r="AC205" s="10">
        <v>0</v>
      </c>
      <c r="AD205" s="10">
        <v>0</v>
      </c>
      <c r="AE205" s="10">
        <v>0</v>
      </c>
      <c r="AF205" s="10">
        <v>1</v>
      </c>
      <c r="AG205" s="10">
        <v>1</v>
      </c>
      <c r="AH205" s="10">
        <v>1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3</v>
      </c>
      <c r="AR205" s="10">
        <v>6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6</v>
      </c>
    </row>
    <row r="206" spans="1:51" ht="16.5" customHeight="1" x14ac:dyDescent="0.25">
      <c r="A206" s="10">
        <v>27</v>
      </c>
      <c r="B206" s="11" t="s">
        <v>244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2</v>
      </c>
      <c r="AA206" s="10">
        <v>0</v>
      </c>
      <c r="AB206" s="10">
        <v>1</v>
      </c>
      <c r="AC206" s="10">
        <v>0</v>
      </c>
      <c r="AD206" s="10">
        <v>1</v>
      </c>
      <c r="AE206" s="10">
        <v>0</v>
      </c>
      <c r="AF206" s="10">
        <v>0</v>
      </c>
      <c r="AG206" s="10">
        <v>0</v>
      </c>
      <c r="AH206" s="10">
        <v>1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1</v>
      </c>
      <c r="AP206" s="10">
        <v>0</v>
      </c>
      <c r="AQ206" s="10">
        <v>0</v>
      </c>
      <c r="AR206" s="10">
        <v>5</v>
      </c>
      <c r="AS206" s="10">
        <v>5</v>
      </c>
      <c r="AT206" s="10">
        <v>0</v>
      </c>
      <c r="AU206" s="10">
        <v>0</v>
      </c>
      <c r="AV206" s="10">
        <v>0</v>
      </c>
      <c r="AW206" s="10">
        <v>0</v>
      </c>
      <c r="AX206" s="10">
        <v>5</v>
      </c>
      <c r="AY206" s="10">
        <v>10</v>
      </c>
    </row>
    <row r="207" spans="1:51" ht="16.5" customHeight="1" x14ac:dyDescent="0.25">
      <c r="A207" s="10">
        <v>28</v>
      </c>
      <c r="B207" s="11" t="s">
        <v>245</v>
      </c>
      <c r="C207" s="10">
        <v>0</v>
      </c>
      <c r="D207" s="10">
        <v>1</v>
      </c>
      <c r="E207" s="10">
        <v>0</v>
      </c>
      <c r="F207" s="10">
        <v>0</v>
      </c>
      <c r="G207" s="10">
        <v>0</v>
      </c>
      <c r="H207" s="10">
        <v>0</v>
      </c>
      <c r="I207" s="10">
        <v>1</v>
      </c>
      <c r="J207" s="10">
        <v>0</v>
      </c>
      <c r="K207" s="10">
        <v>0</v>
      </c>
      <c r="L207" s="10">
        <v>0</v>
      </c>
      <c r="M207" s="10">
        <v>1</v>
      </c>
      <c r="N207" s="10">
        <v>1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2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2</v>
      </c>
    </row>
    <row r="208" spans="1:51" ht="16.5" customHeight="1" x14ac:dyDescent="0.25">
      <c r="A208" s="10">
        <v>29</v>
      </c>
      <c r="B208" s="11" t="s">
        <v>246</v>
      </c>
      <c r="C208" s="10">
        <v>0</v>
      </c>
      <c r="D208" s="10">
        <v>5</v>
      </c>
      <c r="E208" s="10">
        <v>0</v>
      </c>
      <c r="F208" s="10">
        <v>0</v>
      </c>
      <c r="G208" s="10">
        <v>0</v>
      </c>
      <c r="H208" s="10">
        <v>0</v>
      </c>
      <c r="I208" s="10">
        <v>5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5</v>
      </c>
      <c r="Y208" s="10">
        <v>0</v>
      </c>
      <c r="Z208" s="10">
        <v>1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1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6</v>
      </c>
    </row>
    <row r="209" spans="1:51" ht="16.5" customHeight="1" x14ac:dyDescent="0.25">
      <c r="A209" s="10">
        <v>30</v>
      </c>
      <c r="B209" s="11" t="s">
        <v>247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1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4</v>
      </c>
      <c r="AI209" s="10">
        <v>0</v>
      </c>
      <c r="AJ209" s="10">
        <v>1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1</v>
      </c>
      <c r="AR209" s="10">
        <v>7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7</v>
      </c>
    </row>
    <row r="210" spans="1:51" ht="16.5" customHeight="1" x14ac:dyDescent="0.25">
      <c r="A210" s="10">
        <v>31</v>
      </c>
      <c r="B210" s="11" t="s">
        <v>248</v>
      </c>
      <c r="C210" s="10">
        <v>1</v>
      </c>
      <c r="D210" s="10">
        <v>8</v>
      </c>
      <c r="E210" s="10">
        <v>0</v>
      </c>
      <c r="F210" s="10">
        <v>0</v>
      </c>
      <c r="G210" s="10">
        <v>0</v>
      </c>
      <c r="H210" s="10">
        <v>1</v>
      </c>
      <c r="I210" s="10">
        <v>6</v>
      </c>
      <c r="J210" s="10">
        <v>1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9</v>
      </c>
      <c r="Y210" s="10">
        <v>0</v>
      </c>
      <c r="Z210" s="10">
        <v>1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1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10</v>
      </c>
    </row>
    <row r="211" spans="1:51" ht="16.5" customHeight="1" x14ac:dyDescent="0.25">
      <c r="A211" s="10">
        <v>32</v>
      </c>
      <c r="B211" s="11" t="s">
        <v>249</v>
      </c>
      <c r="C211" s="10">
        <v>0</v>
      </c>
      <c r="D211" s="10">
        <v>1</v>
      </c>
      <c r="E211" s="10">
        <v>0</v>
      </c>
      <c r="F211" s="10">
        <v>0</v>
      </c>
      <c r="G211" s="10">
        <v>0</v>
      </c>
      <c r="H211" s="10">
        <v>0</v>
      </c>
      <c r="I211" s="10">
        <v>1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1</v>
      </c>
      <c r="Y211" s="10">
        <v>0</v>
      </c>
      <c r="Z211" s="10">
        <v>0</v>
      </c>
      <c r="AA211" s="10">
        <v>0</v>
      </c>
      <c r="AB211" s="10">
        <v>27</v>
      </c>
      <c r="AC211" s="10">
        <v>0</v>
      </c>
      <c r="AD211" s="10">
        <v>14</v>
      </c>
      <c r="AE211" s="10">
        <v>11</v>
      </c>
      <c r="AF211" s="10">
        <v>0</v>
      </c>
      <c r="AG211" s="10">
        <v>2</v>
      </c>
      <c r="AH211" s="10">
        <v>1</v>
      </c>
      <c r="AI211" s="10">
        <v>0</v>
      </c>
      <c r="AJ211" s="10">
        <v>0</v>
      </c>
      <c r="AK211" s="10">
        <v>1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2</v>
      </c>
      <c r="AR211" s="10">
        <v>31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32</v>
      </c>
    </row>
    <row r="212" spans="1:51" ht="16.5" customHeight="1" x14ac:dyDescent="0.25">
      <c r="A212" s="10">
        <v>33</v>
      </c>
      <c r="B212" s="11" t="s">
        <v>250</v>
      </c>
      <c r="C212" s="10">
        <v>0</v>
      </c>
      <c r="D212" s="10">
        <v>5</v>
      </c>
      <c r="E212" s="10">
        <v>0</v>
      </c>
      <c r="F212" s="10">
        <v>0</v>
      </c>
      <c r="G212" s="10">
        <v>0</v>
      </c>
      <c r="H212" s="10">
        <v>0</v>
      </c>
      <c r="I212" s="10">
        <v>1</v>
      </c>
      <c r="J212" s="10">
        <v>4</v>
      </c>
      <c r="K212" s="10">
        <v>0</v>
      </c>
      <c r="L212" s="10">
        <v>0</v>
      </c>
      <c r="M212" s="10">
        <v>1</v>
      </c>
      <c r="N212" s="10">
        <v>1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6</v>
      </c>
      <c r="Y212" s="10">
        <v>0</v>
      </c>
      <c r="Z212" s="10">
        <v>1</v>
      </c>
      <c r="AA212" s="10">
        <v>5</v>
      </c>
      <c r="AB212" s="10">
        <v>4</v>
      </c>
      <c r="AC212" s="10">
        <v>0</v>
      </c>
      <c r="AD212" s="10">
        <v>4</v>
      </c>
      <c r="AE212" s="10">
        <v>0</v>
      </c>
      <c r="AF212" s="10">
        <v>0</v>
      </c>
      <c r="AG212" s="10">
        <v>0</v>
      </c>
      <c r="AH212" s="10">
        <v>74</v>
      </c>
      <c r="AI212" s="10">
        <v>2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2</v>
      </c>
      <c r="AP212" s="10">
        <v>0</v>
      </c>
      <c r="AQ212" s="10">
        <v>11</v>
      </c>
      <c r="AR212" s="10">
        <v>99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105</v>
      </c>
    </row>
    <row r="213" spans="1:51" ht="16.5" customHeight="1" x14ac:dyDescent="0.25">
      <c r="A213" s="10">
        <v>34</v>
      </c>
      <c r="B213" s="11" t="s">
        <v>251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1</v>
      </c>
      <c r="N213" s="10">
        <v>0</v>
      </c>
      <c r="O213" s="10">
        <v>0</v>
      </c>
      <c r="P213" s="10">
        <v>0</v>
      </c>
      <c r="Q213" s="10">
        <v>0</v>
      </c>
      <c r="R213" s="10">
        <v>1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1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2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1</v>
      </c>
      <c r="AP213" s="10">
        <v>0</v>
      </c>
      <c r="AQ213" s="10">
        <v>3</v>
      </c>
      <c r="AR213" s="10">
        <v>6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7</v>
      </c>
    </row>
    <row r="214" spans="1:51" ht="16.5" customHeight="1" x14ac:dyDescent="0.25">
      <c r="A214" s="10">
        <v>35</v>
      </c>
      <c r="B214" s="11" t="s">
        <v>252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1</v>
      </c>
      <c r="N214" s="10">
        <v>1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1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8</v>
      </c>
      <c r="AR214" s="10">
        <v>8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9</v>
      </c>
    </row>
    <row r="215" spans="1:51" ht="16.5" customHeight="1" x14ac:dyDescent="0.25">
      <c r="A215" s="10">
        <v>36</v>
      </c>
      <c r="B215" s="11" t="s">
        <v>253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</row>
    <row r="216" spans="1:51" ht="16.5" customHeight="1" x14ac:dyDescent="0.25">
      <c r="A216" s="10">
        <v>37</v>
      </c>
      <c r="B216" s="11" t="s">
        <v>254</v>
      </c>
      <c r="C216" s="10">
        <v>0</v>
      </c>
      <c r="D216" s="10">
        <v>4</v>
      </c>
      <c r="E216" s="10">
        <v>3</v>
      </c>
      <c r="F216" s="10">
        <v>0</v>
      </c>
      <c r="G216" s="10">
        <v>3</v>
      </c>
      <c r="H216" s="10">
        <v>0</v>
      </c>
      <c r="I216" s="10">
        <v>1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4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6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6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10</v>
      </c>
    </row>
    <row r="217" spans="1:51" ht="16.5" customHeight="1" x14ac:dyDescent="0.25">
      <c r="A217" s="10">
        <v>38</v>
      </c>
      <c r="B217" s="11" t="s">
        <v>255</v>
      </c>
      <c r="C217" s="10">
        <v>0</v>
      </c>
      <c r="D217" s="10">
        <v>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1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1</v>
      </c>
      <c r="X217" s="10">
        <v>2</v>
      </c>
      <c r="Y217" s="10">
        <v>0</v>
      </c>
      <c r="Z217" s="10">
        <v>1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2</v>
      </c>
      <c r="AI217" s="10">
        <v>0</v>
      </c>
      <c r="AJ217" s="10">
        <v>0</v>
      </c>
      <c r="AK217" s="10">
        <v>3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1</v>
      </c>
      <c r="AR217" s="10">
        <v>7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9</v>
      </c>
    </row>
    <row r="218" spans="1:51" ht="16.5" customHeight="1" x14ac:dyDescent="0.25">
      <c r="A218" s="10">
        <v>39</v>
      </c>
      <c r="B218" s="11" t="s">
        <v>256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5</v>
      </c>
      <c r="N218" s="10">
        <v>5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5</v>
      </c>
      <c r="Y218" s="10">
        <v>0</v>
      </c>
      <c r="Z218" s="10">
        <v>0</v>
      </c>
      <c r="AA218" s="10">
        <v>0</v>
      </c>
      <c r="AB218" s="10">
        <v>4</v>
      </c>
      <c r="AC218" s="10">
        <v>0</v>
      </c>
      <c r="AD218" s="10">
        <v>0</v>
      </c>
      <c r="AE218" s="10">
        <v>0</v>
      </c>
      <c r="AF218" s="10">
        <v>4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4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9</v>
      </c>
    </row>
    <row r="219" spans="1:51" ht="16.5" customHeight="1" x14ac:dyDescent="0.25">
      <c r="A219" s="10">
        <v>40</v>
      </c>
      <c r="B219" s="11" t="s">
        <v>257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2</v>
      </c>
      <c r="AP219" s="10">
        <v>0</v>
      </c>
      <c r="AQ219" s="10">
        <v>0</v>
      </c>
      <c r="AR219" s="10">
        <v>2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2</v>
      </c>
    </row>
    <row r="220" spans="1:51" ht="16.5" customHeight="1" x14ac:dyDescent="0.25">
      <c r="A220" s="10">
        <v>41</v>
      </c>
      <c r="B220" s="11" t="s">
        <v>258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</row>
    <row r="221" spans="1:51" ht="16.5" customHeight="1" x14ac:dyDescent="0.25">
      <c r="A221" s="12"/>
      <c r="B221" s="13" t="s">
        <v>889</v>
      </c>
      <c r="C221" s="14">
        <f>SUM(C180:C220)</f>
        <v>2</v>
      </c>
      <c r="D221" s="14">
        <f t="shared" ref="D221:AY221" si="8">SUM(D180:D220)</f>
        <v>57</v>
      </c>
      <c r="E221" s="14">
        <f t="shared" si="8"/>
        <v>8</v>
      </c>
      <c r="F221" s="14">
        <f t="shared" si="8"/>
        <v>0</v>
      </c>
      <c r="G221" s="14">
        <f t="shared" si="8"/>
        <v>8</v>
      </c>
      <c r="H221" s="14">
        <f t="shared" si="8"/>
        <v>1</v>
      </c>
      <c r="I221" s="14">
        <f t="shared" si="8"/>
        <v>27</v>
      </c>
      <c r="J221" s="14">
        <f t="shared" si="8"/>
        <v>19</v>
      </c>
      <c r="K221" s="14">
        <f t="shared" si="8"/>
        <v>2</v>
      </c>
      <c r="L221" s="14">
        <f t="shared" si="8"/>
        <v>0</v>
      </c>
      <c r="M221" s="14">
        <f t="shared" si="8"/>
        <v>36</v>
      </c>
      <c r="N221" s="14">
        <f t="shared" si="8"/>
        <v>26</v>
      </c>
      <c r="O221" s="14">
        <f t="shared" si="8"/>
        <v>5</v>
      </c>
      <c r="P221" s="14">
        <f t="shared" si="8"/>
        <v>1</v>
      </c>
      <c r="Q221" s="14">
        <f t="shared" si="8"/>
        <v>2</v>
      </c>
      <c r="R221" s="14">
        <f t="shared" si="8"/>
        <v>2</v>
      </c>
      <c r="S221" s="14">
        <f t="shared" si="8"/>
        <v>0</v>
      </c>
      <c r="T221" s="14">
        <f t="shared" si="8"/>
        <v>0</v>
      </c>
      <c r="U221" s="14">
        <f t="shared" si="8"/>
        <v>0</v>
      </c>
      <c r="V221" s="14">
        <f t="shared" si="8"/>
        <v>0</v>
      </c>
      <c r="W221" s="14">
        <f t="shared" si="8"/>
        <v>9</v>
      </c>
      <c r="X221" s="14">
        <f t="shared" si="8"/>
        <v>104</v>
      </c>
      <c r="Y221" s="14">
        <f t="shared" si="8"/>
        <v>0</v>
      </c>
      <c r="Z221" s="14">
        <f t="shared" si="8"/>
        <v>15</v>
      </c>
      <c r="AA221" s="14">
        <f t="shared" si="8"/>
        <v>5</v>
      </c>
      <c r="AB221" s="14">
        <f t="shared" si="8"/>
        <v>123</v>
      </c>
      <c r="AC221" s="14">
        <f t="shared" si="8"/>
        <v>2</v>
      </c>
      <c r="AD221" s="14">
        <f t="shared" si="8"/>
        <v>41</v>
      </c>
      <c r="AE221" s="14">
        <f t="shared" si="8"/>
        <v>42</v>
      </c>
      <c r="AF221" s="14">
        <f t="shared" si="8"/>
        <v>14</v>
      </c>
      <c r="AG221" s="14">
        <f t="shared" si="8"/>
        <v>24</v>
      </c>
      <c r="AH221" s="14">
        <f t="shared" si="8"/>
        <v>99</v>
      </c>
      <c r="AI221" s="14">
        <f t="shared" si="8"/>
        <v>17</v>
      </c>
      <c r="AJ221" s="14">
        <f t="shared" si="8"/>
        <v>1</v>
      </c>
      <c r="AK221" s="14">
        <f t="shared" si="8"/>
        <v>16</v>
      </c>
      <c r="AL221" s="14">
        <f t="shared" si="8"/>
        <v>0</v>
      </c>
      <c r="AM221" s="14">
        <f t="shared" si="8"/>
        <v>0</v>
      </c>
      <c r="AN221" s="14">
        <f t="shared" si="8"/>
        <v>0</v>
      </c>
      <c r="AO221" s="14">
        <f t="shared" si="8"/>
        <v>11</v>
      </c>
      <c r="AP221" s="14">
        <f t="shared" si="8"/>
        <v>1</v>
      </c>
      <c r="AQ221" s="14">
        <f t="shared" si="8"/>
        <v>55</v>
      </c>
      <c r="AR221" s="14">
        <f t="shared" si="8"/>
        <v>343</v>
      </c>
      <c r="AS221" s="14">
        <f t="shared" si="8"/>
        <v>6</v>
      </c>
      <c r="AT221" s="14">
        <f t="shared" si="8"/>
        <v>0</v>
      </c>
      <c r="AU221" s="14">
        <f t="shared" si="8"/>
        <v>3</v>
      </c>
      <c r="AV221" s="14">
        <f t="shared" si="8"/>
        <v>0</v>
      </c>
      <c r="AW221" s="14">
        <f t="shared" si="8"/>
        <v>2</v>
      </c>
      <c r="AX221" s="14">
        <f t="shared" si="8"/>
        <v>11</v>
      </c>
      <c r="AY221" s="14">
        <f t="shared" si="8"/>
        <v>458</v>
      </c>
    </row>
    <row r="222" spans="1:51" ht="16.5" customHeight="1" x14ac:dyDescent="0.25">
      <c r="A222" s="9" t="s">
        <v>897</v>
      </c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 spans="1:51" ht="16.5" customHeight="1" x14ac:dyDescent="0.25">
      <c r="A223" s="10">
        <v>1</v>
      </c>
      <c r="B223" s="11" t="s">
        <v>259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49</v>
      </c>
      <c r="AC223" s="10">
        <v>0</v>
      </c>
      <c r="AD223" s="10">
        <v>49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49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49</v>
      </c>
    </row>
    <row r="224" spans="1:51" ht="16.5" customHeight="1" x14ac:dyDescent="0.25">
      <c r="A224" s="10">
        <v>2</v>
      </c>
      <c r="B224" s="11" t="s">
        <v>260</v>
      </c>
      <c r="C224" s="10">
        <v>0</v>
      </c>
      <c r="D224" s="10">
        <v>1</v>
      </c>
      <c r="E224" s="10">
        <v>0</v>
      </c>
      <c r="F224" s="10">
        <v>0</v>
      </c>
      <c r="G224" s="10">
        <v>0</v>
      </c>
      <c r="H224" s="10">
        <v>0</v>
      </c>
      <c r="I224" s="10">
        <v>1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1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1</v>
      </c>
    </row>
    <row r="225" spans="1:51" ht="16.5" customHeight="1" x14ac:dyDescent="0.25">
      <c r="A225" s="10">
        <v>3</v>
      </c>
      <c r="B225" s="11" t="s">
        <v>261</v>
      </c>
      <c r="C225" s="10">
        <v>0</v>
      </c>
      <c r="D225" s="10">
        <v>32</v>
      </c>
      <c r="E225" s="10">
        <v>4</v>
      </c>
      <c r="F225" s="10">
        <v>0</v>
      </c>
      <c r="G225" s="10">
        <v>4</v>
      </c>
      <c r="H225" s="10">
        <v>0</v>
      </c>
      <c r="I225" s="10">
        <v>5</v>
      </c>
      <c r="J225" s="10">
        <v>20</v>
      </c>
      <c r="K225" s="10">
        <v>3</v>
      </c>
      <c r="L225" s="10">
        <v>0</v>
      </c>
      <c r="M225" s="10">
        <v>4</v>
      </c>
      <c r="N225" s="10">
        <v>3</v>
      </c>
      <c r="O225" s="10">
        <v>1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36</v>
      </c>
      <c r="Y225" s="10">
        <v>0</v>
      </c>
      <c r="Z225" s="10">
        <v>3</v>
      </c>
      <c r="AA225" s="10">
        <v>0</v>
      </c>
      <c r="AB225" s="10">
        <v>1</v>
      </c>
      <c r="AC225" s="10">
        <v>0</v>
      </c>
      <c r="AD225" s="10">
        <v>1</v>
      </c>
      <c r="AE225" s="10">
        <v>0</v>
      </c>
      <c r="AF225" s="10">
        <v>0</v>
      </c>
      <c r="AG225" s="10">
        <v>0</v>
      </c>
      <c r="AH225" s="10">
        <v>0</v>
      </c>
      <c r="AI225" s="10">
        <v>6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8</v>
      </c>
      <c r="AR225" s="10">
        <v>18</v>
      </c>
      <c r="AS225" s="10">
        <v>1</v>
      </c>
      <c r="AT225" s="10">
        <v>0</v>
      </c>
      <c r="AU225" s="10">
        <v>0</v>
      </c>
      <c r="AV225" s="10">
        <v>0</v>
      </c>
      <c r="AW225" s="10">
        <v>0</v>
      </c>
      <c r="AX225" s="10">
        <v>1</v>
      </c>
      <c r="AY225" s="10">
        <v>55</v>
      </c>
    </row>
    <row r="226" spans="1:51" ht="16.5" customHeight="1" x14ac:dyDescent="0.25">
      <c r="A226" s="10">
        <v>4</v>
      </c>
      <c r="B226" s="11" t="s">
        <v>262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4</v>
      </c>
      <c r="N226" s="10">
        <v>2</v>
      </c>
      <c r="O226" s="10">
        <v>2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4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4</v>
      </c>
    </row>
    <row r="227" spans="1:51" ht="16.5" customHeight="1" x14ac:dyDescent="0.25">
      <c r="A227" s="10">
        <v>5</v>
      </c>
      <c r="B227" s="11" t="s">
        <v>113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</row>
    <row r="228" spans="1:51" ht="16.5" customHeight="1" x14ac:dyDescent="0.25">
      <c r="A228" s="10">
        <v>6</v>
      </c>
      <c r="B228" s="11" t="s">
        <v>263</v>
      </c>
      <c r="C228" s="10">
        <v>1</v>
      </c>
      <c r="D228" s="10">
        <v>225</v>
      </c>
      <c r="E228" s="10">
        <v>63</v>
      </c>
      <c r="F228" s="10">
        <v>0</v>
      </c>
      <c r="G228" s="10">
        <v>63</v>
      </c>
      <c r="H228" s="10">
        <v>5</v>
      </c>
      <c r="I228" s="10">
        <v>31</v>
      </c>
      <c r="J228" s="10">
        <v>126</v>
      </c>
      <c r="K228" s="10">
        <v>0</v>
      </c>
      <c r="L228" s="10">
        <v>0</v>
      </c>
      <c r="M228" s="10">
        <v>17</v>
      </c>
      <c r="N228" s="10">
        <v>13</v>
      </c>
      <c r="O228" s="10">
        <v>4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3</v>
      </c>
      <c r="W228" s="10">
        <v>1</v>
      </c>
      <c r="X228" s="10">
        <v>247</v>
      </c>
      <c r="Y228" s="10">
        <v>0</v>
      </c>
      <c r="Z228" s="10">
        <v>12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1</v>
      </c>
      <c r="AP228" s="10">
        <v>4</v>
      </c>
      <c r="AQ228" s="10">
        <v>0</v>
      </c>
      <c r="AR228" s="10">
        <v>17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264</v>
      </c>
    </row>
    <row r="229" spans="1:51" ht="16.5" customHeight="1" x14ac:dyDescent="0.25">
      <c r="A229" s="10">
        <v>7</v>
      </c>
      <c r="B229" s="11" t="s">
        <v>264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4</v>
      </c>
      <c r="N229" s="10">
        <v>4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4</v>
      </c>
      <c r="Y229" s="10">
        <v>0</v>
      </c>
      <c r="Z229" s="10">
        <v>0</v>
      </c>
      <c r="AA229" s="10">
        <v>0</v>
      </c>
      <c r="AB229" s="10">
        <v>1</v>
      </c>
      <c r="AC229" s="10">
        <v>0</v>
      </c>
      <c r="AD229" s="10">
        <v>0</v>
      </c>
      <c r="AE229" s="10">
        <v>1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1</v>
      </c>
      <c r="AP229" s="10">
        <v>0</v>
      </c>
      <c r="AQ229" s="10">
        <v>5</v>
      </c>
      <c r="AR229" s="10">
        <v>7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11</v>
      </c>
    </row>
    <row r="230" spans="1:51" ht="16.5" customHeight="1" x14ac:dyDescent="0.25">
      <c r="A230" s="10">
        <v>8</v>
      </c>
      <c r="B230" s="11" t="s">
        <v>265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4</v>
      </c>
      <c r="N230" s="10">
        <v>0</v>
      </c>
      <c r="O230" s="10">
        <v>0</v>
      </c>
      <c r="P230" s="10">
        <v>0</v>
      </c>
      <c r="Q230" s="10">
        <v>0</v>
      </c>
      <c r="R230" s="10">
        <v>4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4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4</v>
      </c>
    </row>
    <row r="231" spans="1:51" ht="16.5" customHeight="1" x14ac:dyDescent="0.25">
      <c r="A231" s="10">
        <v>9</v>
      </c>
      <c r="B231" s="11" t="s">
        <v>266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1</v>
      </c>
      <c r="N231" s="10">
        <v>0</v>
      </c>
      <c r="O231" s="10">
        <v>0</v>
      </c>
      <c r="P231" s="10">
        <v>0</v>
      </c>
      <c r="Q231" s="10">
        <v>0</v>
      </c>
      <c r="R231" s="10">
        <v>1</v>
      </c>
      <c r="S231" s="10">
        <v>0</v>
      </c>
      <c r="T231" s="10">
        <v>0</v>
      </c>
      <c r="U231" s="10">
        <v>0</v>
      </c>
      <c r="V231" s="10">
        <v>0</v>
      </c>
      <c r="W231" s="10">
        <v>4</v>
      </c>
      <c r="X231" s="10">
        <v>5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5</v>
      </c>
    </row>
    <row r="232" spans="1:51" ht="16.5" customHeight="1" x14ac:dyDescent="0.25">
      <c r="A232" s="10">
        <v>10</v>
      </c>
      <c r="B232" s="11" t="s">
        <v>267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1</v>
      </c>
      <c r="N232" s="10">
        <v>0</v>
      </c>
      <c r="O232" s="10">
        <v>1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1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1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2</v>
      </c>
      <c r="AR232" s="10">
        <v>3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4</v>
      </c>
    </row>
    <row r="233" spans="1:51" ht="16.5" customHeight="1" x14ac:dyDescent="0.25">
      <c r="A233" s="10">
        <v>11</v>
      </c>
      <c r="B233" s="11" t="s">
        <v>268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3</v>
      </c>
      <c r="N233" s="10">
        <v>1</v>
      </c>
      <c r="O233" s="10">
        <v>2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3</v>
      </c>
      <c r="X233" s="10">
        <v>6</v>
      </c>
      <c r="Y233" s="10">
        <v>0</v>
      </c>
      <c r="Z233" s="10">
        <v>1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1</v>
      </c>
      <c r="AP233" s="10">
        <v>0</v>
      </c>
      <c r="AQ233" s="10">
        <v>0</v>
      </c>
      <c r="AR233" s="10">
        <v>2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8</v>
      </c>
    </row>
    <row r="234" spans="1:51" ht="16.5" customHeight="1" x14ac:dyDescent="0.25">
      <c r="A234" s="10">
        <v>12</v>
      </c>
      <c r="B234" s="11" t="s">
        <v>269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2</v>
      </c>
      <c r="N234" s="10">
        <v>0</v>
      </c>
      <c r="O234" s="10">
        <v>0</v>
      </c>
      <c r="P234" s="10">
        <v>0</v>
      </c>
      <c r="Q234" s="10">
        <v>0</v>
      </c>
      <c r="R234" s="10">
        <v>2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2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2</v>
      </c>
    </row>
    <row r="235" spans="1:51" ht="16.5" customHeight="1" x14ac:dyDescent="0.25">
      <c r="A235" s="10">
        <v>13</v>
      </c>
      <c r="B235" s="11" t="s">
        <v>270</v>
      </c>
      <c r="C235" s="10">
        <v>0</v>
      </c>
      <c r="D235" s="10">
        <v>2</v>
      </c>
      <c r="E235" s="10">
        <v>1</v>
      </c>
      <c r="F235" s="10">
        <v>0</v>
      </c>
      <c r="G235" s="10">
        <v>1</v>
      </c>
      <c r="H235" s="10">
        <v>0</v>
      </c>
      <c r="I235" s="10">
        <v>0</v>
      </c>
      <c r="J235" s="10">
        <v>0</v>
      </c>
      <c r="K235" s="10">
        <v>1</v>
      </c>
      <c r="L235" s="10">
        <v>0</v>
      </c>
      <c r="M235" s="10">
        <v>5</v>
      </c>
      <c r="N235" s="10">
        <v>0</v>
      </c>
      <c r="O235" s="10">
        <v>0</v>
      </c>
      <c r="P235" s="10">
        <v>0</v>
      </c>
      <c r="Q235" s="10">
        <v>0</v>
      </c>
      <c r="R235" s="10">
        <v>5</v>
      </c>
      <c r="S235" s="10">
        <v>0</v>
      </c>
      <c r="T235" s="10">
        <v>0</v>
      </c>
      <c r="U235" s="10">
        <v>0</v>
      </c>
      <c r="V235" s="10">
        <v>0</v>
      </c>
      <c r="W235" s="10">
        <v>1</v>
      </c>
      <c r="X235" s="10">
        <v>8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8</v>
      </c>
    </row>
    <row r="236" spans="1:51" ht="16.5" customHeight="1" x14ac:dyDescent="0.25">
      <c r="A236" s="10">
        <v>14</v>
      </c>
      <c r="B236" s="11" t="s">
        <v>271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2</v>
      </c>
      <c r="N236" s="10">
        <v>0</v>
      </c>
      <c r="O236" s="10">
        <v>2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2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2</v>
      </c>
    </row>
    <row r="237" spans="1:51" ht="16.5" customHeight="1" x14ac:dyDescent="0.25">
      <c r="A237" s="10">
        <v>15</v>
      </c>
      <c r="B237" s="11" t="s">
        <v>272</v>
      </c>
      <c r="C237" s="10">
        <v>0</v>
      </c>
      <c r="D237" s="10">
        <v>2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2</v>
      </c>
      <c r="K237" s="10">
        <v>0</v>
      </c>
      <c r="L237" s="10">
        <v>0</v>
      </c>
      <c r="M237" s="10">
        <v>2</v>
      </c>
      <c r="N237" s="10">
        <v>0</v>
      </c>
      <c r="O237" s="10">
        <v>0</v>
      </c>
      <c r="P237" s="10">
        <v>0</v>
      </c>
      <c r="Q237" s="10">
        <v>0</v>
      </c>
      <c r="R237" s="10">
        <v>2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4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4</v>
      </c>
    </row>
    <row r="238" spans="1:51" ht="16.5" customHeight="1" x14ac:dyDescent="0.25">
      <c r="A238" s="10">
        <v>16</v>
      </c>
      <c r="B238" s="11" t="s">
        <v>273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9</v>
      </c>
      <c r="N238" s="10">
        <v>0</v>
      </c>
      <c r="O238" s="10">
        <v>0</v>
      </c>
      <c r="P238" s="10">
        <v>0</v>
      </c>
      <c r="Q238" s="10">
        <v>0</v>
      </c>
      <c r="R238" s="10">
        <v>9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9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9</v>
      </c>
    </row>
    <row r="239" spans="1:51" ht="16.5" customHeight="1" x14ac:dyDescent="0.25">
      <c r="A239" s="10">
        <v>17</v>
      </c>
      <c r="B239" s="11" t="s">
        <v>274</v>
      </c>
      <c r="C239" s="10">
        <v>0</v>
      </c>
      <c r="D239" s="10">
        <v>2</v>
      </c>
      <c r="E239" s="10">
        <v>1</v>
      </c>
      <c r="F239" s="10">
        <v>0</v>
      </c>
      <c r="G239" s="10">
        <v>1</v>
      </c>
      <c r="H239" s="10">
        <v>0</v>
      </c>
      <c r="I239" s="10">
        <v>0</v>
      </c>
      <c r="J239" s="10">
        <v>1</v>
      </c>
      <c r="K239" s="10">
        <v>0</v>
      </c>
      <c r="L239" s="10">
        <v>0</v>
      </c>
      <c r="M239" s="10">
        <v>2</v>
      </c>
      <c r="N239" s="10">
        <v>2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1</v>
      </c>
      <c r="X239" s="10">
        <v>5</v>
      </c>
      <c r="Y239" s="10">
        <v>0</v>
      </c>
      <c r="Z239" s="10">
        <v>3</v>
      </c>
      <c r="AA239" s="10">
        <v>0</v>
      </c>
      <c r="AB239" s="10">
        <v>2</v>
      </c>
      <c r="AC239" s="10">
        <v>0</v>
      </c>
      <c r="AD239" s="10">
        <v>2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5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10</v>
      </c>
    </row>
    <row r="240" spans="1:51" ht="16.5" customHeight="1" x14ac:dyDescent="0.25">
      <c r="A240" s="10">
        <v>18</v>
      </c>
      <c r="B240" s="11" t="s">
        <v>275</v>
      </c>
      <c r="C240" s="10">
        <v>0</v>
      </c>
      <c r="D240" s="10">
        <v>4</v>
      </c>
      <c r="E240" s="10">
        <v>0</v>
      </c>
      <c r="F240" s="10">
        <v>0</v>
      </c>
      <c r="G240" s="10">
        <v>0</v>
      </c>
      <c r="H240" s="10">
        <v>1</v>
      </c>
      <c r="I240" s="10">
        <v>1</v>
      </c>
      <c r="J240" s="10">
        <v>2</v>
      </c>
      <c r="K240" s="10">
        <v>0</v>
      </c>
      <c r="L240" s="10">
        <v>0</v>
      </c>
      <c r="M240" s="10">
        <v>1</v>
      </c>
      <c r="N240" s="10">
        <v>0</v>
      </c>
      <c r="O240" s="10">
        <v>0</v>
      </c>
      <c r="P240" s="10">
        <v>0</v>
      </c>
      <c r="Q240" s="10">
        <v>0</v>
      </c>
      <c r="R240" s="10">
        <v>1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5</v>
      </c>
      <c r="Y240" s="10">
        <v>0</v>
      </c>
      <c r="Z240" s="10">
        <v>1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1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6</v>
      </c>
    </row>
    <row r="241" spans="1:51" ht="16.5" customHeight="1" x14ac:dyDescent="0.25">
      <c r="A241" s="10">
        <v>19</v>
      </c>
      <c r="B241" s="11" t="s">
        <v>276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4</v>
      </c>
      <c r="N241" s="10">
        <v>0</v>
      </c>
      <c r="O241" s="10">
        <v>0</v>
      </c>
      <c r="P241" s="10">
        <v>0</v>
      </c>
      <c r="Q241" s="10">
        <v>0</v>
      </c>
      <c r="R241" s="10">
        <v>4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4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4</v>
      </c>
    </row>
    <row r="242" spans="1:51" ht="16.5" customHeight="1" x14ac:dyDescent="0.25">
      <c r="A242" s="10">
        <v>20</v>
      </c>
      <c r="B242" s="11" t="s">
        <v>277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1</v>
      </c>
      <c r="X242" s="10">
        <v>1</v>
      </c>
      <c r="Y242" s="10">
        <v>0</v>
      </c>
      <c r="Z242" s="10">
        <v>2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2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3</v>
      </c>
    </row>
    <row r="243" spans="1:51" ht="16.5" customHeight="1" x14ac:dyDescent="0.25">
      <c r="A243" s="10">
        <v>21</v>
      </c>
      <c r="B243" s="11" t="s">
        <v>278</v>
      </c>
      <c r="C243" s="10">
        <v>1</v>
      </c>
      <c r="D243" s="10">
        <v>7</v>
      </c>
      <c r="E243" s="10">
        <v>6</v>
      </c>
      <c r="F243" s="10">
        <v>0</v>
      </c>
      <c r="G243" s="10">
        <v>6</v>
      </c>
      <c r="H243" s="10">
        <v>0</v>
      </c>
      <c r="I243" s="10">
        <v>1</v>
      </c>
      <c r="J243" s="10">
        <v>0</v>
      </c>
      <c r="K243" s="10">
        <v>0</v>
      </c>
      <c r="L243" s="10">
        <v>0</v>
      </c>
      <c r="M243" s="10">
        <v>4</v>
      </c>
      <c r="N243" s="10">
        <v>4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2</v>
      </c>
      <c r="X243" s="10">
        <v>14</v>
      </c>
      <c r="Y243" s="10">
        <v>0</v>
      </c>
      <c r="Z243" s="10">
        <v>1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1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15</v>
      </c>
    </row>
    <row r="244" spans="1:51" ht="16.5" customHeight="1" x14ac:dyDescent="0.25">
      <c r="A244" s="10">
        <v>22</v>
      </c>
      <c r="B244" s="11" t="s">
        <v>279</v>
      </c>
      <c r="C244" s="10">
        <v>0</v>
      </c>
      <c r="D244" s="10">
        <v>6</v>
      </c>
      <c r="E244" s="10">
        <v>4</v>
      </c>
      <c r="F244" s="10">
        <v>1</v>
      </c>
      <c r="G244" s="10">
        <v>3</v>
      </c>
      <c r="H244" s="10">
        <v>0</v>
      </c>
      <c r="I244" s="10">
        <v>1</v>
      </c>
      <c r="J244" s="10">
        <v>1</v>
      </c>
      <c r="K244" s="10">
        <v>0</v>
      </c>
      <c r="L244" s="10">
        <v>0</v>
      </c>
      <c r="M244" s="10">
        <v>8</v>
      </c>
      <c r="N244" s="10">
        <v>3</v>
      </c>
      <c r="O244" s="10">
        <v>5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14</v>
      </c>
      <c r="Y244" s="10">
        <v>0</v>
      </c>
      <c r="Z244" s="10">
        <v>1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3</v>
      </c>
      <c r="AI244" s="10">
        <v>1</v>
      </c>
      <c r="AJ244" s="10">
        <v>0</v>
      </c>
      <c r="AK244" s="10">
        <v>1</v>
      </c>
      <c r="AL244" s="10">
        <v>0</v>
      </c>
      <c r="AM244" s="10">
        <v>0</v>
      </c>
      <c r="AN244" s="10">
        <v>0</v>
      </c>
      <c r="AO244" s="10">
        <v>3</v>
      </c>
      <c r="AP244" s="10">
        <v>1</v>
      </c>
      <c r="AQ244" s="10">
        <v>0</v>
      </c>
      <c r="AR244" s="10">
        <v>10</v>
      </c>
      <c r="AS244" s="10">
        <v>1</v>
      </c>
      <c r="AT244" s="10">
        <v>0</v>
      </c>
      <c r="AU244" s="10">
        <v>0</v>
      </c>
      <c r="AV244" s="10">
        <v>0</v>
      </c>
      <c r="AW244" s="10">
        <v>0</v>
      </c>
      <c r="AX244" s="10">
        <v>1</v>
      </c>
      <c r="AY244" s="10">
        <v>25</v>
      </c>
    </row>
    <row r="245" spans="1:51" ht="16.5" customHeight="1" x14ac:dyDescent="0.25">
      <c r="A245" s="10">
        <v>23</v>
      </c>
      <c r="B245" s="11" t="s">
        <v>280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</row>
    <row r="246" spans="1:51" ht="16.5" customHeight="1" x14ac:dyDescent="0.25">
      <c r="A246" s="10">
        <v>24</v>
      </c>
      <c r="B246" s="11" t="s">
        <v>281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5</v>
      </c>
      <c r="N246" s="10">
        <v>5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5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10">
        <v>0</v>
      </c>
      <c r="AY246" s="10">
        <v>5</v>
      </c>
    </row>
    <row r="247" spans="1:51" ht="16.5" customHeight="1" x14ac:dyDescent="0.25">
      <c r="A247" s="10">
        <v>25</v>
      </c>
      <c r="B247" s="11" t="s">
        <v>282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1</v>
      </c>
      <c r="N247" s="10">
        <v>1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1</v>
      </c>
      <c r="Y247" s="10">
        <v>0</v>
      </c>
      <c r="Z247" s="10">
        <v>3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1</v>
      </c>
      <c r="AP247" s="10">
        <v>0</v>
      </c>
      <c r="AQ247" s="10">
        <v>1</v>
      </c>
      <c r="AR247" s="10">
        <v>5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6</v>
      </c>
    </row>
    <row r="248" spans="1:51" ht="16.5" customHeight="1" x14ac:dyDescent="0.25">
      <c r="A248" s="12"/>
      <c r="B248" s="13" t="s">
        <v>889</v>
      </c>
      <c r="C248" s="14">
        <f>SUM(C223:C247)</f>
        <v>2</v>
      </c>
      <c r="D248" s="14">
        <f t="shared" ref="D248:AY248" si="9">SUM(D223:D247)</f>
        <v>281</v>
      </c>
      <c r="E248" s="14">
        <f t="shared" si="9"/>
        <v>79</v>
      </c>
      <c r="F248" s="14">
        <f t="shared" si="9"/>
        <v>1</v>
      </c>
      <c r="G248" s="14">
        <f t="shared" si="9"/>
        <v>78</v>
      </c>
      <c r="H248" s="14">
        <f t="shared" si="9"/>
        <v>6</v>
      </c>
      <c r="I248" s="14">
        <f t="shared" si="9"/>
        <v>40</v>
      </c>
      <c r="J248" s="14">
        <f t="shared" si="9"/>
        <v>152</v>
      </c>
      <c r="K248" s="14">
        <f t="shared" si="9"/>
        <v>4</v>
      </c>
      <c r="L248" s="14">
        <f t="shared" si="9"/>
        <v>0</v>
      </c>
      <c r="M248" s="14">
        <f t="shared" si="9"/>
        <v>83</v>
      </c>
      <c r="N248" s="14">
        <f t="shared" si="9"/>
        <v>38</v>
      </c>
      <c r="O248" s="14">
        <f t="shared" si="9"/>
        <v>17</v>
      </c>
      <c r="P248" s="14">
        <f t="shared" si="9"/>
        <v>0</v>
      </c>
      <c r="Q248" s="14">
        <f t="shared" si="9"/>
        <v>0</v>
      </c>
      <c r="R248" s="14">
        <f t="shared" si="9"/>
        <v>28</v>
      </c>
      <c r="S248" s="14">
        <f t="shared" si="9"/>
        <v>0</v>
      </c>
      <c r="T248" s="14">
        <f t="shared" si="9"/>
        <v>0</v>
      </c>
      <c r="U248" s="14">
        <f t="shared" si="9"/>
        <v>0</v>
      </c>
      <c r="V248" s="14">
        <f t="shared" si="9"/>
        <v>3</v>
      </c>
      <c r="W248" s="14">
        <f t="shared" si="9"/>
        <v>13</v>
      </c>
      <c r="X248" s="14">
        <f t="shared" si="9"/>
        <v>382</v>
      </c>
      <c r="Y248" s="14">
        <f t="shared" si="9"/>
        <v>0</v>
      </c>
      <c r="Z248" s="14">
        <f t="shared" si="9"/>
        <v>27</v>
      </c>
      <c r="AA248" s="14">
        <f t="shared" si="9"/>
        <v>0</v>
      </c>
      <c r="AB248" s="14">
        <f t="shared" si="9"/>
        <v>53</v>
      </c>
      <c r="AC248" s="14">
        <f t="shared" si="9"/>
        <v>0</v>
      </c>
      <c r="AD248" s="14">
        <f t="shared" si="9"/>
        <v>52</v>
      </c>
      <c r="AE248" s="14">
        <f t="shared" si="9"/>
        <v>1</v>
      </c>
      <c r="AF248" s="14">
        <f t="shared" si="9"/>
        <v>0</v>
      </c>
      <c r="AG248" s="14">
        <f t="shared" si="9"/>
        <v>0</v>
      </c>
      <c r="AH248" s="14">
        <f t="shared" si="9"/>
        <v>3</v>
      </c>
      <c r="AI248" s="14">
        <f t="shared" si="9"/>
        <v>8</v>
      </c>
      <c r="AJ248" s="14">
        <f t="shared" si="9"/>
        <v>0</v>
      </c>
      <c r="AK248" s="14">
        <f t="shared" si="9"/>
        <v>1</v>
      </c>
      <c r="AL248" s="14">
        <f t="shared" si="9"/>
        <v>0</v>
      </c>
      <c r="AM248" s="14">
        <f t="shared" si="9"/>
        <v>0</v>
      </c>
      <c r="AN248" s="14">
        <f t="shared" si="9"/>
        <v>0</v>
      </c>
      <c r="AO248" s="14">
        <f t="shared" si="9"/>
        <v>7</v>
      </c>
      <c r="AP248" s="14">
        <f t="shared" si="9"/>
        <v>5</v>
      </c>
      <c r="AQ248" s="14">
        <f t="shared" si="9"/>
        <v>16</v>
      </c>
      <c r="AR248" s="14">
        <f t="shared" si="9"/>
        <v>120</v>
      </c>
      <c r="AS248" s="14">
        <f t="shared" si="9"/>
        <v>2</v>
      </c>
      <c r="AT248" s="14">
        <f t="shared" si="9"/>
        <v>0</v>
      </c>
      <c r="AU248" s="14">
        <f t="shared" si="9"/>
        <v>0</v>
      </c>
      <c r="AV248" s="14">
        <f t="shared" si="9"/>
        <v>0</v>
      </c>
      <c r="AW248" s="14">
        <f t="shared" si="9"/>
        <v>0</v>
      </c>
      <c r="AX248" s="14">
        <f t="shared" si="9"/>
        <v>2</v>
      </c>
      <c r="AY248" s="14">
        <f t="shared" si="9"/>
        <v>504</v>
      </c>
    </row>
    <row r="249" spans="1:51" ht="16.5" customHeight="1" x14ac:dyDescent="0.25">
      <c r="A249" s="9" t="s">
        <v>898</v>
      </c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 spans="1:51" ht="16.5" customHeight="1" x14ac:dyDescent="0.25">
      <c r="A250" s="10">
        <v>1</v>
      </c>
      <c r="B250" s="11" t="s">
        <v>283</v>
      </c>
      <c r="C250" s="10">
        <v>0</v>
      </c>
      <c r="D250" s="10">
        <v>3</v>
      </c>
      <c r="E250" s="10">
        <v>3</v>
      </c>
      <c r="F250" s="10">
        <v>0</v>
      </c>
      <c r="G250" s="10">
        <v>3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1</v>
      </c>
      <c r="N250" s="10">
        <v>0</v>
      </c>
      <c r="O250" s="10">
        <v>0</v>
      </c>
      <c r="P250" s="10">
        <v>0</v>
      </c>
      <c r="Q250" s="10">
        <v>0</v>
      </c>
      <c r="R250" s="10">
        <v>1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4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4</v>
      </c>
    </row>
    <row r="251" spans="1:51" ht="16.5" customHeight="1" x14ac:dyDescent="0.25">
      <c r="A251" s="10">
        <v>2</v>
      </c>
      <c r="B251" s="11" t="s">
        <v>192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3</v>
      </c>
      <c r="N251" s="10">
        <v>0</v>
      </c>
      <c r="O251" s="10">
        <v>0</v>
      </c>
      <c r="P251" s="10">
        <v>3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3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3</v>
      </c>
    </row>
    <row r="252" spans="1:51" ht="16.5" customHeight="1" x14ac:dyDescent="0.25">
      <c r="A252" s="10">
        <v>3</v>
      </c>
      <c r="B252" s="11" t="s">
        <v>284</v>
      </c>
      <c r="C252" s="10">
        <v>0</v>
      </c>
      <c r="D252" s="10">
        <v>1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1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1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>
        <v>1</v>
      </c>
    </row>
    <row r="253" spans="1:51" ht="16.5" customHeight="1" x14ac:dyDescent="0.25">
      <c r="A253" s="10">
        <v>4</v>
      </c>
      <c r="B253" s="11" t="s">
        <v>106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</row>
    <row r="254" spans="1:51" ht="16.5" customHeight="1" x14ac:dyDescent="0.25">
      <c r="A254" s="10">
        <v>5</v>
      </c>
      <c r="B254" s="11" t="s">
        <v>113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</row>
    <row r="255" spans="1:51" ht="16.5" customHeight="1" x14ac:dyDescent="0.25">
      <c r="A255" s="10">
        <v>6</v>
      </c>
      <c r="B255" s="11" t="s">
        <v>285</v>
      </c>
      <c r="C255" s="10">
        <v>0</v>
      </c>
      <c r="D255" s="10">
        <v>1</v>
      </c>
      <c r="E255" s="10">
        <v>0</v>
      </c>
      <c r="F255" s="10">
        <v>0</v>
      </c>
      <c r="G255" s="10">
        <v>0</v>
      </c>
      <c r="H255" s="10">
        <v>0</v>
      </c>
      <c r="I255" s="10">
        <v>1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1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1</v>
      </c>
    </row>
    <row r="256" spans="1:51" ht="16.5" customHeight="1" x14ac:dyDescent="0.25">
      <c r="A256" s="10">
        <v>7</v>
      </c>
      <c r="B256" s="11" t="s">
        <v>286</v>
      </c>
      <c r="C256" s="10">
        <v>0</v>
      </c>
      <c r="D256" s="10">
        <v>6</v>
      </c>
      <c r="E256" s="10">
        <v>6</v>
      </c>
      <c r="F256" s="10">
        <v>0</v>
      </c>
      <c r="G256" s="10">
        <v>6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6</v>
      </c>
      <c r="N256" s="10">
        <v>0</v>
      </c>
      <c r="O256" s="10">
        <v>6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4</v>
      </c>
      <c r="X256" s="10">
        <v>16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2</v>
      </c>
      <c r="AQ256" s="10">
        <v>0</v>
      </c>
      <c r="AR256" s="10">
        <v>2</v>
      </c>
      <c r="AS256" s="10">
        <v>0</v>
      </c>
      <c r="AT256" s="10">
        <v>0</v>
      </c>
      <c r="AU256" s="10">
        <v>4</v>
      </c>
      <c r="AV256" s="10">
        <v>0</v>
      </c>
      <c r="AW256" s="10">
        <v>0</v>
      </c>
      <c r="AX256" s="10">
        <v>4</v>
      </c>
      <c r="AY256" s="10">
        <v>22</v>
      </c>
    </row>
    <row r="257" spans="1:51" ht="16.5" customHeight="1" x14ac:dyDescent="0.25">
      <c r="A257" s="10">
        <v>8</v>
      </c>
      <c r="B257" s="11" t="s">
        <v>287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</row>
    <row r="258" spans="1:51" ht="16.5" customHeight="1" x14ac:dyDescent="0.25">
      <c r="A258" s="10">
        <v>9</v>
      </c>
      <c r="B258" s="11" t="s">
        <v>288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1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1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1</v>
      </c>
    </row>
    <row r="259" spans="1:51" ht="16.5" customHeight="1" x14ac:dyDescent="0.25">
      <c r="A259" s="10">
        <v>10</v>
      </c>
      <c r="B259" s="11" t="s">
        <v>289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</row>
    <row r="260" spans="1:51" ht="16.5" customHeight="1" x14ac:dyDescent="0.25">
      <c r="A260" s="10">
        <v>11</v>
      </c>
      <c r="B260" s="11" t="s">
        <v>290</v>
      </c>
      <c r="C260" s="10">
        <v>0</v>
      </c>
      <c r="D260" s="10">
        <v>3</v>
      </c>
      <c r="E260" s="10">
        <v>2</v>
      </c>
      <c r="F260" s="10">
        <v>0</v>
      </c>
      <c r="G260" s="10">
        <v>2</v>
      </c>
      <c r="H260" s="10">
        <v>0</v>
      </c>
      <c r="I260" s="10">
        <v>1</v>
      </c>
      <c r="J260" s="10">
        <v>0</v>
      </c>
      <c r="K260" s="10">
        <v>0</v>
      </c>
      <c r="L260" s="10">
        <v>2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5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5</v>
      </c>
    </row>
    <row r="261" spans="1:51" ht="16.5" customHeight="1" x14ac:dyDescent="0.25">
      <c r="A261" s="10">
        <v>12</v>
      </c>
      <c r="B261" s="11" t="s">
        <v>291</v>
      </c>
      <c r="C261" s="10">
        <v>0</v>
      </c>
      <c r="D261" s="10">
        <v>3</v>
      </c>
      <c r="E261" s="10">
        <v>0</v>
      </c>
      <c r="F261" s="10">
        <v>0</v>
      </c>
      <c r="G261" s="10">
        <v>0</v>
      </c>
      <c r="H261" s="10">
        <v>0</v>
      </c>
      <c r="I261" s="10">
        <v>1</v>
      </c>
      <c r="J261" s="10">
        <v>2</v>
      </c>
      <c r="K261" s="10">
        <v>0</v>
      </c>
      <c r="L261" s="10">
        <v>3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6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6</v>
      </c>
    </row>
    <row r="262" spans="1:51" ht="16.5" customHeight="1" x14ac:dyDescent="0.25">
      <c r="A262" s="10">
        <v>13</v>
      </c>
      <c r="B262" s="11" t="s">
        <v>292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1</v>
      </c>
      <c r="N262" s="10">
        <v>0</v>
      </c>
      <c r="O262" s="10">
        <v>0</v>
      </c>
      <c r="P262" s="10">
        <v>0</v>
      </c>
      <c r="Q262" s="10">
        <v>0</v>
      </c>
      <c r="R262" s="10">
        <v>1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1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1</v>
      </c>
    </row>
    <row r="263" spans="1:51" ht="16.5" customHeight="1" x14ac:dyDescent="0.25">
      <c r="A263" s="10">
        <v>14</v>
      </c>
      <c r="B263" s="11" t="s">
        <v>293</v>
      </c>
      <c r="C263" s="10">
        <v>0</v>
      </c>
      <c r="D263" s="10">
        <v>3</v>
      </c>
      <c r="E263" s="10">
        <v>0</v>
      </c>
      <c r="F263" s="10">
        <v>0</v>
      </c>
      <c r="G263" s="10">
        <v>0</v>
      </c>
      <c r="H263" s="10">
        <v>0</v>
      </c>
      <c r="I263" s="10">
        <v>3</v>
      </c>
      <c r="J263" s="10">
        <v>0</v>
      </c>
      <c r="K263" s="10">
        <v>0</v>
      </c>
      <c r="L263" s="10">
        <v>0</v>
      </c>
      <c r="M263" s="10">
        <v>3</v>
      </c>
      <c r="N263" s="10">
        <v>0</v>
      </c>
      <c r="O263" s="10">
        <v>0</v>
      </c>
      <c r="P263" s="10">
        <v>0</v>
      </c>
      <c r="Q263" s="10">
        <v>0</v>
      </c>
      <c r="R263" s="10">
        <v>3</v>
      </c>
      <c r="S263" s="10">
        <v>0</v>
      </c>
      <c r="T263" s="10">
        <v>0</v>
      </c>
      <c r="U263" s="10">
        <v>0</v>
      </c>
      <c r="V263" s="10">
        <v>0</v>
      </c>
      <c r="W263" s="10">
        <v>2</v>
      </c>
      <c r="X263" s="10">
        <v>8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8</v>
      </c>
    </row>
    <row r="264" spans="1:51" ht="16.5" customHeight="1" x14ac:dyDescent="0.25">
      <c r="A264" s="10">
        <v>15</v>
      </c>
      <c r="B264" s="11" t="s">
        <v>294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1</v>
      </c>
      <c r="N264" s="10">
        <v>0</v>
      </c>
      <c r="O264" s="10">
        <v>0</v>
      </c>
      <c r="P264" s="10">
        <v>0</v>
      </c>
      <c r="Q264" s="10">
        <v>0</v>
      </c>
      <c r="R264" s="10">
        <v>1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1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1</v>
      </c>
    </row>
    <row r="265" spans="1:51" ht="16.5" customHeight="1" x14ac:dyDescent="0.25">
      <c r="A265" s="10">
        <v>16</v>
      </c>
      <c r="B265" s="11" t="s">
        <v>295</v>
      </c>
      <c r="C265" s="10">
        <v>0</v>
      </c>
      <c r="D265" s="10">
        <v>2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2</v>
      </c>
      <c r="K265" s="10">
        <v>0</v>
      </c>
      <c r="L265" s="10">
        <v>0</v>
      </c>
      <c r="M265" s="10">
        <v>1</v>
      </c>
      <c r="N265" s="10">
        <v>1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3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3</v>
      </c>
    </row>
    <row r="266" spans="1:51" ht="16.5" customHeight="1" x14ac:dyDescent="0.25">
      <c r="A266" s="12"/>
      <c r="B266" s="13" t="s">
        <v>889</v>
      </c>
      <c r="C266" s="14">
        <f>SUM(C250:C265)</f>
        <v>0</v>
      </c>
      <c r="D266" s="14">
        <f>SUM(D250:D265)</f>
        <v>22</v>
      </c>
      <c r="E266" s="14">
        <f t="shared" ref="E266:AY266" si="10">SUM(E250:E265)</f>
        <v>11</v>
      </c>
      <c r="F266" s="14">
        <f t="shared" si="10"/>
        <v>0</v>
      </c>
      <c r="G266" s="14">
        <f t="shared" si="10"/>
        <v>11</v>
      </c>
      <c r="H266" s="14">
        <f t="shared" si="10"/>
        <v>0</v>
      </c>
      <c r="I266" s="14">
        <f t="shared" si="10"/>
        <v>6</v>
      </c>
      <c r="J266" s="14">
        <f t="shared" si="10"/>
        <v>4</v>
      </c>
      <c r="K266" s="14">
        <f t="shared" si="10"/>
        <v>1</v>
      </c>
      <c r="L266" s="14">
        <f t="shared" si="10"/>
        <v>5</v>
      </c>
      <c r="M266" s="14">
        <f t="shared" si="10"/>
        <v>16</v>
      </c>
      <c r="N266" s="14">
        <f t="shared" si="10"/>
        <v>1</v>
      </c>
      <c r="O266" s="14">
        <f t="shared" si="10"/>
        <v>6</v>
      </c>
      <c r="P266" s="14">
        <f t="shared" si="10"/>
        <v>3</v>
      </c>
      <c r="Q266" s="14">
        <f t="shared" si="10"/>
        <v>0</v>
      </c>
      <c r="R266" s="14">
        <f t="shared" si="10"/>
        <v>6</v>
      </c>
      <c r="S266" s="14">
        <f t="shared" si="10"/>
        <v>0</v>
      </c>
      <c r="T266" s="14">
        <f t="shared" si="10"/>
        <v>0</v>
      </c>
      <c r="U266" s="14">
        <f t="shared" si="10"/>
        <v>0</v>
      </c>
      <c r="V266" s="14">
        <f t="shared" si="10"/>
        <v>0</v>
      </c>
      <c r="W266" s="14">
        <f t="shared" si="10"/>
        <v>6</v>
      </c>
      <c r="X266" s="14">
        <f t="shared" si="10"/>
        <v>49</v>
      </c>
      <c r="Y266" s="14">
        <f t="shared" si="10"/>
        <v>0</v>
      </c>
      <c r="Z266" s="14">
        <f t="shared" si="10"/>
        <v>1</v>
      </c>
      <c r="AA266" s="14">
        <f t="shared" si="10"/>
        <v>0</v>
      </c>
      <c r="AB266" s="14">
        <f t="shared" si="10"/>
        <v>0</v>
      </c>
      <c r="AC266" s="14">
        <f t="shared" si="10"/>
        <v>0</v>
      </c>
      <c r="AD266" s="14">
        <f t="shared" si="10"/>
        <v>0</v>
      </c>
      <c r="AE266" s="14">
        <f t="shared" si="10"/>
        <v>0</v>
      </c>
      <c r="AF266" s="14">
        <f t="shared" si="10"/>
        <v>0</v>
      </c>
      <c r="AG266" s="14">
        <f t="shared" si="10"/>
        <v>0</v>
      </c>
      <c r="AH266" s="14">
        <f t="shared" si="10"/>
        <v>0</v>
      </c>
      <c r="AI266" s="14">
        <f t="shared" si="10"/>
        <v>0</v>
      </c>
      <c r="AJ266" s="14">
        <f t="shared" si="10"/>
        <v>0</v>
      </c>
      <c r="AK266" s="14">
        <f t="shared" si="10"/>
        <v>0</v>
      </c>
      <c r="AL266" s="14">
        <f t="shared" si="10"/>
        <v>0</v>
      </c>
      <c r="AM266" s="14">
        <f t="shared" si="10"/>
        <v>0</v>
      </c>
      <c r="AN266" s="14">
        <f t="shared" si="10"/>
        <v>0</v>
      </c>
      <c r="AO266" s="14">
        <f t="shared" si="10"/>
        <v>0</v>
      </c>
      <c r="AP266" s="14">
        <f t="shared" si="10"/>
        <v>2</v>
      </c>
      <c r="AQ266" s="14">
        <f t="shared" si="10"/>
        <v>0</v>
      </c>
      <c r="AR266" s="14">
        <f t="shared" si="10"/>
        <v>3</v>
      </c>
      <c r="AS266" s="14">
        <f t="shared" si="10"/>
        <v>0</v>
      </c>
      <c r="AT266" s="14">
        <f t="shared" si="10"/>
        <v>0</v>
      </c>
      <c r="AU266" s="14">
        <f t="shared" si="10"/>
        <v>4</v>
      </c>
      <c r="AV266" s="14">
        <f t="shared" si="10"/>
        <v>0</v>
      </c>
      <c r="AW266" s="14">
        <f t="shared" si="10"/>
        <v>0</v>
      </c>
      <c r="AX266" s="14">
        <f t="shared" si="10"/>
        <v>4</v>
      </c>
      <c r="AY266" s="14">
        <f t="shared" si="10"/>
        <v>56</v>
      </c>
    </row>
    <row r="267" spans="1:51" ht="16.5" customHeight="1" x14ac:dyDescent="0.25">
      <c r="A267" s="9" t="s">
        <v>899</v>
      </c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 spans="1:51" ht="16.5" customHeight="1" x14ac:dyDescent="0.25">
      <c r="A268" s="10">
        <v>1</v>
      </c>
      <c r="B268" s="11" t="s">
        <v>296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</row>
    <row r="269" spans="1:51" ht="16.5" customHeight="1" x14ac:dyDescent="0.25">
      <c r="A269" s="10">
        <v>2</v>
      </c>
      <c r="B269" s="11" t="s">
        <v>297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</row>
    <row r="270" spans="1:51" ht="16.5" customHeight="1" x14ac:dyDescent="0.25">
      <c r="A270" s="10">
        <v>3</v>
      </c>
      <c r="B270" s="11" t="s">
        <v>298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</row>
    <row r="271" spans="1:51" ht="16.5" customHeight="1" x14ac:dyDescent="0.25">
      <c r="A271" s="10">
        <v>4</v>
      </c>
      <c r="B271" s="11" t="s">
        <v>299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1</v>
      </c>
      <c r="N271" s="10">
        <v>0</v>
      </c>
      <c r="O271" s="10">
        <v>0</v>
      </c>
      <c r="P271" s="10">
        <v>0</v>
      </c>
      <c r="Q271" s="10">
        <v>0</v>
      </c>
      <c r="R271" s="10">
        <v>1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1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1</v>
      </c>
    </row>
    <row r="272" spans="1:51" ht="16.5" customHeight="1" x14ac:dyDescent="0.25">
      <c r="A272" s="10">
        <v>5</v>
      </c>
      <c r="B272" s="11" t="s">
        <v>300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</row>
    <row r="273" spans="1:51" ht="16.5" customHeight="1" x14ac:dyDescent="0.25">
      <c r="A273" s="10">
        <v>6</v>
      </c>
      <c r="B273" s="11" t="s">
        <v>301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1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1</v>
      </c>
      <c r="AP273" s="10">
        <v>0</v>
      </c>
      <c r="AQ273" s="10">
        <v>1</v>
      </c>
      <c r="AR273" s="10">
        <v>3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3</v>
      </c>
    </row>
    <row r="274" spans="1:51" ht="16.5" customHeight="1" x14ac:dyDescent="0.25">
      <c r="A274" s="10">
        <v>7</v>
      </c>
      <c r="B274" s="11" t="s">
        <v>302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</row>
    <row r="275" spans="1:51" ht="16.5" customHeight="1" x14ac:dyDescent="0.25">
      <c r="A275" s="10">
        <v>8</v>
      </c>
      <c r="B275" s="11" t="s">
        <v>303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0</v>
      </c>
    </row>
    <row r="276" spans="1:51" ht="16.5" customHeight="1" x14ac:dyDescent="0.25">
      <c r="A276" s="10">
        <v>9</v>
      </c>
      <c r="B276" s="11" t="s">
        <v>304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</row>
    <row r="277" spans="1:51" ht="16.5" customHeight="1" x14ac:dyDescent="0.25">
      <c r="A277" s="10">
        <v>10</v>
      </c>
      <c r="B277" s="11" t="s">
        <v>305</v>
      </c>
      <c r="C277" s="10">
        <v>0</v>
      </c>
      <c r="D277" s="10">
        <v>7</v>
      </c>
      <c r="E277" s="10">
        <v>7</v>
      </c>
      <c r="F277" s="10">
        <v>0</v>
      </c>
      <c r="G277" s="10">
        <v>7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7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7</v>
      </c>
    </row>
    <row r="278" spans="1:51" ht="16.5" customHeight="1" x14ac:dyDescent="0.25">
      <c r="A278" s="10">
        <v>11</v>
      </c>
      <c r="B278" s="11" t="s">
        <v>306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  <c r="AT278" s="10">
        <v>0</v>
      </c>
      <c r="AU278" s="10">
        <v>11</v>
      </c>
      <c r="AV278" s="10">
        <v>0</v>
      </c>
      <c r="AW278" s="10">
        <v>0</v>
      </c>
      <c r="AX278" s="10">
        <v>11</v>
      </c>
      <c r="AY278" s="10">
        <v>11</v>
      </c>
    </row>
    <row r="279" spans="1:51" ht="16.5" customHeight="1" x14ac:dyDescent="0.25">
      <c r="A279" s="10">
        <v>12</v>
      </c>
      <c r="B279" s="11" t="s">
        <v>307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1</v>
      </c>
      <c r="AX279" s="10">
        <v>1</v>
      </c>
      <c r="AY279" s="10">
        <v>1</v>
      </c>
    </row>
    <row r="280" spans="1:51" ht="16.5" customHeight="1" x14ac:dyDescent="0.25">
      <c r="A280" s="10">
        <v>13</v>
      </c>
      <c r="B280" s="11" t="s">
        <v>308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2</v>
      </c>
      <c r="N280" s="10">
        <v>0</v>
      </c>
      <c r="O280" s="10">
        <v>0</v>
      </c>
      <c r="P280" s="10">
        <v>0</v>
      </c>
      <c r="Q280" s="10">
        <v>0</v>
      </c>
      <c r="R280" s="10">
        <v>2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2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2</v>
      </c>
    </row>
    <row r="281" spans="1:51" ht="16.5" customHeight="1" x14ac:dyDescent="0.25">
      <c r="A281" s="10">
        <v>14</v>
      </c>
      <c r="B281" s="11" t="s">
        <v>309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</row>
    <row r="282" spans="1:51" ht="16.5" customHeight="1" x14ac:dyDescent="0.25">
      <c r="A282" s="10">
        <v>15</v>
      </c>
      <c r="B282" s="11" t="s">
        <v>310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</row>
    <row r="283" spans="1:51" ht="16.5" customHeight="1" x14ac:dyDescent="0.25">
      <c r="A283" s="10">
        <v>16</v>
      </c>
      <c r="B283" s="11" t="s">
        <v>311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</row>
    <row r="284" spans="1:51" ht="16.5" customHeight="1" x14ac:dyDescent="0.25">
      <c r="A284" s="10">
        <v>17</v>
      </c>
      <c r="B284" s="11" t="s">
        <v>312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</row>
    <row r="285" spans="1:51" ht="16.5" customHeight="1" x14ac:dyDescent="0.25">
      <c r="A285" s="10">
        <v>18</v>
      </c>
      <c r="B285" s="11" t="s">
        <v>313</v>
      </c>
      <c r="C285" s="10">
        <v>0</v>
      </c>
      <c r="D285" s="10">
        <v>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1</v>
      </c>
      <c r="K285" s="10">
        <v>0</v>
      </c>
      <c r="L285" s="10">
        <v>0</v>
      </c>
      <c r="M285" s="10">
        <v>2</v>
      </c>
      <c r="N285" s="10">
        <v>0</v>
      </c>
      <c r="O285" s="10">
        <v>2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3</v>
      </c>
      <c r="Y285" s="10">
        <v>0</v>
      </c>
      <c r="Z285" s="10">
        <v>0</v>
      </c>
      <c r="AA285" s="10">
        <v>0</v>
      </c>
      <c r="AB285" s="10">
        <v>3</v>
      </c>
      <c r="AC285" s="10">
        <v>0</v>
      </c>
      <c r="AD285" s="10">
        <v>3</v>
      </c>
      <c r="AE285" s="10">
        <v>0</v>
      </c>
      <c r="AF285" s="10">
        <v>0</v>
      </c>
      <c r="AG285" s="10">
        <v>0</v>
      </c>
      <c r="AH285" s="10">
        <v>0</v>
      </c>
      <c r="AI285" s="10">
        <v>1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1</v>
      </c>
      <c r="AQ285" s="10">
        <v>0</v>
      </c>
      <c r="AR285" s="10">
        <v>5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8</v>
      </c>
    </row>
    <row r="286" spans="1:51" ht="16.5" customHeight="1" x14ac:dyDescent="0.25">
      <c r="A286" s="10">
        <v>19</v>
      </c>
      <c r="B286" s="11" t="s">
        <v>314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</row>
    <row r="287" spans="1:51" ht="16.5" customHeight="1" x14ac:dyDescent="0.25">
      <c r="A287" s="10">
        <v>20</v>
      </c>
      <c r="B287" s="11" t="s">
        <v>315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</row>
    <row r="288" spans="1:51" ht="16.5" customHeight="1" x14ac:dyDescent="0.25">
      <c r="A288" s="10">
        <v>21</v>
      </c>
      <c r="B288" s="11" t="s">
        <v>316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</row>
    <row r="289" spans="1:51" ht="16.5" customHeight="1" x14ac:dyDescent="0.25">
      <c r="A289" s="10">
        <v>22</v>
      </c>
      <c r="B289" s="11" t="s">
        <v>317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0">
        <v>0</v>
      </c>
      <c r="AT289" s="10">
        <v>0</v>
      </c>
      <c r="AU289" s="10">
        <v>0</v>
      </c>
      <c r="AV289" s="10">
        <v>0</v>
      </c>
      <c r="AW289" s="10">
        <v>0</v>
      </c>
      <c r="AX289" s="10">
        <v>0</v>
      </c>
      <c r="AY289" s="10">
        <v>0</v>
      </c>
    </row>
    <row r="290" spans="1:51" ht="16.5" customHeight="1" x14ac:dyDescent="0.25">
      <c r="A290" s="10">
        <v>23</v>
      </c>
      <c r="B290" s="11" t="s">
        <v>318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0</v>
      </c>
      <c r="AR290" s="10">
        <v>0</v>
      </c>
      <c r="AS290" s="10">
        <v>0</v>
      </c>
      <c r="AT290" s="10">
        <v>0</v>
      </c>
      <c r="AU290" s="10">
        <v>0</v>
      </c>
      <c r="AV290" s="10">
        <v>0</v>
      </c>
      <c r="AW290" s="10">
        <v>0</v>
      </c>
      <c r="AX290" s="10">
        <v>0</v>
      </c>
      <c r="AY290" s="10">
        <v>0</v>
      </c>
    </row>
    <row r="291" spans="1:51" ht="16.5" customHeight="1" x14ac:dyDescent="0.25">
      <c r="A291" s="10">
        <v>24</v>
      </c>
      <c r="B291" s="11" t="s">
        <v>319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2</v>
      </c>
      <c r="AR291" s="10">
        <v>2</v>
      </c>
      <c r="AS291" s="10">
        <v>0</v>
      </c>
      <c r="AT291" s="10">
        <v>0</v>
      </c>
      <c r="AU291" s="10">
        <v>0</v>
      </c>
      <c r="AV291" s="10">
        <v>0</v>
      </c>
      <c r="AW291" s="10">
        <v>0</v>
      </c>
      <c r="AX291" s="10">
        <v>0</v>
      </c>
      <c r="AY291" s="10">
        <v>2</v>
      </c>
    </row>
    <row r="292" spans="1:51" ht="16.5" customHeight="1" x14ac:dyDescent="0.25">
      <c r="A292" s="10">
        <v>25</v>
      </c>
      <c r="B292" s="11" t="s">
        <v>320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0">
        <v>0</v>
      </c>
      <c r="AW292" s="10">
        <v>0</v>
      </c>
      <c r="AX292" s="10">
        <v>0</v>
      </c>
      <c r="AY292" s="10">
        <v>0</v>
      </c>
    </row>
    <row r="293" spans="1:51" ht="16.5" customHeight="1" x14ac:dyDescent="0.25">
      <c r="A293" s="10">
        <v>26</v>
      </c>
      <c r="B293" s="11" t="s">
        <v>321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  <c r="AT293" s="10">
        <v>0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</row>
    <row r="294" spans="1:51" ht="16.5" customHeight="1" x14ac:dyDescent="0.25">
      <c r="A294" s="10">
        <v>27</v>
      </c>
      <c r="B294" s="11" t="s">
        <v>322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0">
        <v>0</v>
      </c>
      <c r="AT294" s="10">
        <v>0</v>
      </c>
      <c r="AU294" s="10">
        <v>0</v>
      </c>
      <c r="AV294" s="10">
        <v>0</v>
      </c>
      <c r="AW294" s="10">
        <v>0</v>
      </c>
      <c r="AX294" s="10">
        <v>0</v>
      </c>
      <c r="AY294" s="10">
        <v>0</v>
      </c>
    </row>
    <row r="295" spans="1:51" ht="16.5" customHeight="1" x14ac:dyDescent="0.25">
      <c r="A295" s="10">
        <v>28</v>
      </c>
      <c r="B295" s="11" t="s">
        <v>323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10</v>
      </c>
      <c r="X295" s="10">
        <v>10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  <c r="AT295" s="10">
        <v>0</v>
      </c>
      <c r="AU295" s="10">
        <v>0</v>
      </c>
      <c r="AV295" s="10">
        <v>0</v>
      </c>
      <c r="AW295" s="10">
        <v>0</v>
      </c>
      <c r="AX295" s="10">
        <v>0</v>
      </c>
      <c r="AY295" s="10">
        <v>10</v>
      </c>
    </row>
    <row r="296" spans="1:51" ht="16.5" customHeight="1" x14ac:dyDescent="0.25">
      <c r="A296" s="10">
        <v>29</v>
      </c>
      <c r="B296" s="11" t="s">
        <v>324</v>
      </c>
      <c r="C296" s="10">
        <v>0</v>
      </c>
      <c r="D296" s="10">
        <v>9</v>
      </c>
      <c r="E296" s="10">
        <v>7</v>
      </c>
      <c r="F296" s="10">
        <v>0</v>
      </c>
      <c r="G296" s="10">
        <v>7</v>
      </c>
      <c r="H296" s="10">
        <v>1</v>
      </c>
      <c r="I296" s="10">
        <v>0</v>
      </c>
      <c r="J296" s="10">
        <v>1</v>
      </c>
      <c r="K296" s="10">
        <v>0</v>
      </c>
      <c r="L296" s="10">
        <v>0</v>
      </c>
      <c r="M296" s="10">
        <v>1</v>
      </c>
      <c r="N296" s="10">
        <v>1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10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0">
        <v>0</v>
      </c>
      <c r="AT296" s="10">
        <v>0</v>
      </c>
      <c r="AU296" s="10">
        <v>0</v>
      </c>
      <c r="AV296" s="10">
        <v>0</v>
      </c>
      <c r="AW296" s="10">
        <v>0</v>
      </c>
      <c r="AX296" s="10">
        <v>0</v>
      </c>
      <c r="AY296" s="10">
        <v>10</v>
      </c>
    </row>
    <row r="297" spans="1:51" ht="16.5" customHeight="1" x14ac:dyDescent="0.25">
      <c r="A297" s="10">
        <v>30</v>
      </c>
      <c r="B297" s="11" t="s">
        <v>325</v>
      </c>
      <c r="C297" s="10">
        <v>0</v>
      </c>
      <c r="D297" s="10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6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2</v>
      </c>
      <c r="X297" s="10">
        <v>8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0</v>
      </c>
      <c r="AU297" s="10">
        <v>0</v>
      </c>
      <c r="AV297" s="10">
        <v>0</v>
      </c>
      <c r="AW297" s="10">
        <v>0</v>
      </c>
      <c r="AX297" s="10">
        <v>0</v>
      </c>
      <c r="AY297" s="10">
        <v>8</v>
      </c>
    </row>
    <row r="298" spans="1:51" ht="16.5" customHeight="1" x14ac:dyDescent="0.25">
      <c r="A298" s="12"/>
      <c r="B298" s="13" t="s">
        <v>889</v>
      </c>
      <c r="C298" s="14">
        <f>SUM(C268:C297)</f>
        <v>0</v>
      </c>
      <c r="D298" s="14">
        <f>SUM(D268:D297)</f>
        <v>23</v>
      </c>
      <c r="E298" s="14">
        <f t="shared" ref="E298:AY298" si="11">SUM(E268:E297)</f>
        <v>14</v>
      </c>
      <c r="F298" s="14">
        <f t="shared" si="11"/>
        <v>0</v>
      </c>
      <c r="G298" s="14">
        <f t="shared" si="11"/>
        <v>14</v>
      </c>
      <c r="H298" s="14">
        <f t="shared" si="11"/>
        <v>1</v>
      </c>
      <c r="I298" s="14">
        <f t="shared" si="11"/>
        <v>6</v>
      </c>
      <c r="J298" s="14">
        <f t="shared" si="11"/>
        <v>2</v>
      </c>
      <c r="K298" s="14">
        <f t="shared" si="11"/>
        <v>0</v>
      </c>
      <c r="L298" s="14">
        <f t="shared" si="11"/>
        <v>0</v>
      </c>
      <c r="M298" s="14">
        <f t="shared" si="11"/>
        <v>6</v>
      </c>
      <c r="N298" s="14">
        <f t="shared" si="11"/>
        <v>1</v>
      </c>
      <c r="O298" s="14">
        <f t="shared" si="11"/>
        <v>2</v>
      </c>
      <c r="P298" s="14">
        <f t="shared" si="11"/>
        <v>0</v>
      </c>
      <c r="Q298" s="14">
        <f t="shared" si="11"/>
        <v>0</v>
      </c>
      <c r="R298" s="14">
        <f t="shared" si="11"/>
        <v>3</v>
      </c>
      <c r="S298" s="14">
        <f t="shared" si="11"/>
        <v>0</v>
      </c>
      <c r="T298" s="14">
        <f t="shared" si="11"/>
        <v>0</v>
      </c>
      <c r="U298" s="14">
        <f t="shared" si="11"/>
        <v>0</v>
      </c>
      <c r="V298" s="14">
        <f t="shared" si="11"/>
        <v>0</v>
      </c>
      <c r="W298" s="14">
        <f t="shared" si="11"/>
        <v>12</v>
      </c>
      <c r="X298" s="14">
        <f t="shared" si="11"/>
        <v>41</v>
      </c>
      <c r="Y298" s="14">
        <f t="shared" si="11"/>
        <v>0</v>
      </c>
      <c r="Z298" s="14">
        <f t="shared" si="11"/>
        <v>1</v>
      </c>
      <c r="AA298" s="14">
        <f t="shared" si="11"/>
        <v>0</v>
      </c>
      <c r="AB298" s="14">
        <f t="shared" si="11"/>
        <v>3</v>
      </c>
      <c r="AC298" s="14">
        <f t="shared" si="11"/>
        <v>0</v>
      </c>
      <c r="AD298" s="14">
        <f t="shared" si="11"/>
        <v>3</v>
      </c>
      <c r="AE298" s="14">
        <f t="shared" si="11"/>
        <v>0</v>
      </c>
      <c r="AF298" s="14">
        <f t="shared" si="11"/>
        <v>0</v>
      </c>
      <c r="AG298" s="14">
        <f t="shared" si="11"/>
        <v>0</v>
      </c>
      <c r="AH298" s="14">
        <f t="shared" si="11"/>
        <v>0</v>
      </c>
      <c r="AI298" s="14">
        <f t="shared" si="11"/>
        <v>1</v>
      </c>
      <c r="AJ298" s="14">
        <f t="shared" si="11"/>
        <v>0</v>
      </c>
      <c r="AK298" s="14">
        <f t="shared" si="11"/>
        <v>0</v>
      </c>
      <c r="AL298" s="14">
        <f t="shared" si="11"/>
        <v>0</v>
      </c>
      <c r="AM298" s="14">
        <f t="shared" si="11"/>
        <v>0</v>
      </c>
      <c r="AN298" s="14">
        <f t="shared" si="11"/>
        <v>0</v>
      </c>
      <c r="AO298" s="14">
        <f t="shared" si="11"/>
        <v>1</v>
      </c>
      <c r="AP298" s="14">
        <f t="shared" si="11"/>
        <v>1</v>
      </c>
      <c r="AQ298" s="14">
        <f t="shared" si="11"/>
        <v>3</v>
      </c>
      <c r="AR298" s="14">
        <f t="shared" si="11"/>
        <v>10</v>
      </c>
      <c r="AS298" s="14">
        <f t="shared" si="11"/>
        <v>0</v>
      </c>
      <c r="AT298" s="14">
        <f t="shared" si="11"/>
        <v>0</v>
      </c>
      <c r="AU298" s="14">
        <f t="shared" si="11"/>
        <v>11</v>
      </c>
      <c r="AV298" s="14">
        <f t="shared" si="11"/>
        <v>0</v>
      </c>
      <c r="AW298" s="14">
        <f t="shared" si="11"/>
        <v>1</v>
      </c>
      <c r="AX298" s="14">
        <f t="shared" si="11"/>
        <v>12</v>
      </c>
      <c r="AY298" s="14">
        <f t="shared" si="11"/>
        <v>63</v>
      </c>
    </row>
    <row r="299" spans="1:51" ht="16.5" customHeight="1" x14ac:dyDescent="0.25">
      <c r="A299" s="9" t="s">
        <v>900</v>
      </c>
      <c r="B299" s="1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</row>
    <row r="300" spans="1:51" ht="16.5" customHeight="1" x14ac:dyDescent="0.25">
      <c r="A300" s="10">
        <v>1</v>
      </c>
      <c r="B300" s="11" t="s">
        <v>326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22</v>
      </c>
      <c r="X300" s="10">
        <v>22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  <c r="AT300" s="10">
        <v>0</v>
      </c>
      <c r="AU300" s="10">
        <v>0</v>
      </c>
      <c r="AV300" s="10">
        <v>0</v>
      </c>
      <c r="AW300" s="10">
        <v>0</v>
      </c>
      <c r="AX300" s="10">
        <v>0</v>
      </c>
      <c r="AY300" s="10">
        <v>22</v>
      </c>
    </row>
    <row r="301" spans="1:51" ht="16.5" customHeight="1" x14ac:dyDescent="0.25">
      <c r="A301" s="10">
        <v>2</v>
      </c>
      <c r="B301" s="11" t="s">
        <v>327</v>
      </c>
      <c r="C301" s="10">
        <v>0</v>
      </c>
      <c r="D301" s="10">
        <v>17</v>
      </c>
      <c r="E301" s="10">
        <v>0</v>
      </c>
      <c r="F301" s="10">
        <v>0</v>
      </c>
      <c r="G301" s="10">
        <v>0</v>
      </c>
      <c r="H301" s="10">
        <v>0</v>
      </c>
      <c r="I301" s="10">
        <v>12</v>
      </c>
      <c r="J301" s="10">
        <v>5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17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</v>
      </c>
      <c r="AU301" s="10">
        <v>0</v>
      </c>
      <c r="AV301" s="10">
        <v>0</v>
      </c>
      <c r="AW301" s="10">
        <v>0</v>
      </c>
      <c r="AX301" s="10">
        <v>0</v>
      </c>
      <c r="AY301" s="10">
        <v>17</v>
      </c>
    </row>
    <row r="302" spans="1:51" ht="16.5" customHeight="1" x14ac:dyDescent="0.25">
      <c r="A302" s="10">
        <v>3</v>
      </c>
      <c r="B302" s="11" t="s">
        <v>328</v>
      </c>
      <c r="C302" s="10">
        <v>0</v>
      </c>
      <c r="D302" s="10">
        <v>10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10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10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0">
        <v>0</v>
      </c>
      <c r="AW302" s="10">
        <v>0</v>
      </c>
      <c r="AX302" s="10">
        <v>0</v>
      </c>
      <c r="AY302" s="10">
        <v>10</v>
      </c>
    </row>
    <row r="303" spans="1:51" ht="16.5" customHeight="1" x14ac:dyDescent="0.25">
      <c r="A303" s="10">
        <v>4</v>
      </c>
      <c r="B303" s="11" t="s">
        <v>329</v>
      </c>
      <c r="C303" s="10">
        <v>0</v>
      </c>
      <c r="D303" s="10">
        <v>57</v>
      </c>
      <c r="E303" s="10">
        <v>57</v>
      </c>
      <c r="F303" s="10">
        <v>0</v>
      </c>
      <c r="G303" s="10">
        <v>57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57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57</v>
      </c>
    </row>
    <row r="304" spans="1:51" ht="16.5" customHeight="1" x14ac:dyDescent="0.25">
      <c r="A304" s="10">
        <v>5</v>
      </c>
      <c r="B304" s="11" t="s">
        <v>330</v>
      </c>
      <c r="C304" s="10">
        <v>0</v>
      </c>
      <c r="D304" s="10">
        <v>14</v>
      </c>
      <c r="E304" s="10">
        <v>0</v>
      </c>
      <c r="F304" s="10">
        <v>0</v>
      </c>
      <c r="G304" s="10">
        <v>0</v>
      </c>
      <c r="H304" s="10">
        <v>5</v>
      </c>
      <c r="I304" s="10">
        <v>9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1</v>
      </c>
      <c r="X304" s="10">
        <v>15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0">
        <v>0</v>
      </c>
      <c r="AT304" s="10">
        <v>0</v>
      </c>
      <c r="AU304" s="10">
        <v>0</v>
      </c>
      <c r="AV304" s="10">
        <v>0</v>
      </c>
      <c r="AW304" s="10">
        <v>0</v>
      </c>
      <c r="AX304" s="10">
        <v>0</v>
      </c>
      <c r="AY304" s="10">
        <v>15</v>
      </c>
    </row>
    <row r="305" spans="1:51" ht="16.5" customHeight="1" x14ac:dyDescent="0.25">
      <c r="A305" s="10">
        <v>6</v>
      </c>
      <c r="B305" s="11" t="s">
        <v>331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</row>
    <row r="306" spans="1:51" ht="16.5" customHeight="1" x14ac:dyDescent="0.25">
      <c r="A306" s="10">
        <v>7</v>
      </c>
      <c r="B306" s="11" t="s">
        <v>332</v>
      </c>
      <c r="C306" s="10">
        <v>0</v>
      </c>
      <c r="D306" s="10">
        <v>22</v>
      </c>
      <c r="E306" s="10">
        <v>22</v>
      </c>
      <c r="F306" s="10">
        <v>0</v>
      </c>
      <c r="G306" s="10">
        <v>22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22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0">
        <v>0</v>
      </c>
      <c r="AW306" s="10">
        <v>0</v>
      </c>
      <c r="AX306" s="10">
        <v>0</v>
      </c>
      <c r="AY306" s="10">
        <v>22</v>
      </c>
    </row>
    <row r="307" spans="1:51" ht="16.5" customHeight="1" x14ac:dyDescent="0.25">
      <c r="A307" s="10">
        <v>8</v>
      </c>
      <c r="B307" s="11" t="s">
        <v>333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</row>
    <row r="308" spans="1:51" ht="16.5" customHeight="1" x14ac:dyDescent="0.25">
      <c r="A308" s="10">
        <v>9</v>
      </c>
      <c r="B308" s="11" t="s">
        <v>334</v>
      </c>
      <c r="C308" s="10">
        <v>0</v>
      </c>
      <c r="D308" s="10">
        <v>73</v>
      </c>
      <c r="E308" s="10">
        <v>0</v>
      </c>
      <c r="F308" s="10">
        <v>0</v>
      </c>
      <c r="G308" s="10">
        <v>0</v>
      </c>
      <c r="H308" s="10">
        <v>0</v>
      </c>
      <c r="I308" s="10">
        <v>73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73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3</v>
      </c>
      <c r="AQ308" s="10">
        <v>0</v>
      </c>
      <c r="AR308" s="10">
        <v>3</v>
      </c>
      <c r="AS308" s="10">
        <v>0</v>
      </c>
      <c r="AT308" s="10">
        <v>0</v>
      </c>
      <c r="AU308" s="10">
        <v>0</v>
      </c>
      <c r="AV308" s="10">
        <v>0</v>
      </c>
      <c r="AW308" s="10">
        <v>0</v>
      </c>
      <c r="AX308" s="10">
        <v>0</v>
      </c>
      <c r="AY308" s="10">
        <v>76</v>
      </c>
    </row>
    <row r="309" spans="1:51" ht="16.5" customHeight="1" x14ac:dyDescent="0.25">
      <c r="A309" s="10">
        <v>10</v>
      </c>
      <c r="B309" s="11" t="s">
        <v>335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  <c r="AT309" s="10">
        <v>0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</row>
    <row r="310" spans="1:51" ht="16.5" customHeight="1" x14ac:dyDescent="0.25">
      <c r="A310" s="10">
        <v>11</v>
      </c>
      <c r="B310" s="11" t="s">
        <v>336</v>
      </c>
      <c r="C310" s="10">
        <v>0</v>
      </c>
      <c r="D310" s="10">
        <v>9</v>
      </c>
      <c r="E310" s="10">
        <v>0</v>
      </c>
      <c r="F310" s="10">
        <v>0</v>
      </c>
      <c r="G310" s="10">
        <v>0</v>
      </c>
      <c r="H310" s="10">
        <v>0</v>
      </c>
      <c r="I310" s="10">
        <v>8</v>
      </c>
      <c r="J310" s="10">
        <v>1</v>
      </c>
      <c r="K310" s="10">
        <v>0</v>
      </c>
      <c r="L310" s="10">
        <v>0</v>
      </c>
      <c r="M310" s="10">
        <v>1</v>
      </c>
      <c r="N310" s="10">
        <v>0</v>
      </c>
      <c r="O310" s="10">
        <v>1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1</v>
      </c>
      <c r="X310" s="10">
        <v>11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  <c r="AT310" s="10">
        <v>0</v>
      </c>
      <c r="AU310" s="10">
        <v>0</v>
      </c>
      <c r="AV310" s="10">
        <v>0</v>
      </c>
      <c r="AW310" s="10">
        <v>0</v>
      </c>
      <c r="AX310" s="10">
        <v>0</v>
      </c>
      <c r="AY310" s="10">
        <v>11</v>
      </c>
    </row>
    <row r="311" spans="1:51" ht="16.5" customHeight="1" x14ac:dyDescent="0.25">
      <c r="A311" s="10">
        <v>12</v>
      </c>
      <c r="B311" s="11" t="s">
        <v>337</v>
      </c>
      <c r="C311" s="10">
        <v>0</v>
      </c>
      <c r="D311" s="10">
        <v>70</v>
      </c>
      <c r="E311" s="10">
        <v>0</v>
      </c>
      <c r="F311" s="10">
        <v>0</v>
      </c>
      <c r="G311" s="10">
        <v>0</v>
      </c>
      <c r="H311" s="10">
        <v>0</v>
      </c>
      <c r="I311" s="10">
        <v>67</v>
      </c>
      <c r="J311" s="10">
        <v>3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70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70</v>
      </c>
    </row>
    <row r="312" spans="1:51" ht="16.5" customHeight="1" x14ac:dyDescent="0.25">
      <c r="A312" s="10">
        <v>13</v>
      </c>
      <c r="B312" s="11" t="s">
        <v>338</v>
      </c>
      <c r="C312" s="10">
        <v>0</v>
      </c>
      <c r="D312" s="10">
        <v>52</v>
      </c>
      <c r="E312" s="10">
        <v>0</v>
      </c>
      <c r="F312" s="10">
        <v>0</v>
      </c>
      <c r="G312" s="10">
        <v>0</v>
      </c>
      <c r="H312" s="10">
        <v>26</v>
      </c>
      <c r="I312" s="10">
        <v>26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52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52</v>
      </c>
    </row>
    <row r="313" spans="1:51" ht="16.5" customHeight="1" x14ac:dyDescent="0.25">
      <c r="A313" s="10">
        <v>14</v>
      </c>
      <c r="B313" s="11" t="s">
        <v>339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</row>
    <row r="314" spans="1:51" ht="16.5" customHeight="1" x14ac:dyDescent="0.25">
      <c r="A314" s="10">
        <v>15</v>
      </c>
      <c r="B314" s="11" t="s">
        <v>340</v>
      </c>
      <c r="C314" s="10">
        <v>0</v>
      </c>
      <c r="D314" s="10">
        <v>81</v>
      </c>
      <c r="E314" s="10">
        <v>0</v>
      </c>
      <c r="F314" s="10">
        <v>0</v>
      </c>
      <c r="G314" s="10">
        <v>0</v>
      </c>
      <c r="H314" s="10">
        <v>0</v>
      </c>
      <c r="I314" s="10">
        <v>81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81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0">
        <v>0</v>
      </c>
      <c r="AW314" s="10">
        <v>0</v>
      </c>
      <c r="AX314" s="10">
        <v>0</v>
      </c>
      <c r="AY314" s="10">
        <v>81</v>
      </c>
    </row>
    <row r="315" spans="1:51" ht="16.5" customHeight="1" x14ac:dyDescent="0.25">
      <c r="A315" s="10">
        <v>16</v>
      </c>
      <c r="B315" s="11" t="s">
        <v>341</v>
      </c>
      <c r="C315" s="10">
        <v>0</v>
      </c>
      <c r="D315" s="10">
        <v>4</v>
      </c>
      <c r="E315" s="10">
        <v>2</v>
      </c>
      <c r="F315" s="10">
        <v>2</v>
      </c>
      <c r="G315" s="10">
        <v>0</v>
      </c>
      <c r="H315" s="10">
        <v>2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4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4</v>
      </c>
    </row>
    <row r="316" spans="1:51" ht="16.5" customHeight="1" x14ac:dyDescent="0.25">
      <c r="A316" s="10">
        <v>17</v>
      </c>
      <c r="B316" s="11" t="s">
        <v>342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22</v>
      </c>
      <c r="AC316" s="10">
        <v>0</v>
      </c>
      <c r="AD316" s="10">
        <v>22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22</v>
      </c>
      <c r="AS316" s="10">
        <v>0</v>
      </c>
      <c r="AT316" s="10">
        <v>0</v>
      </c>
      <c r="AU316" s="10">
        <v>0</v>
      </c>
      <c r="AV316" s="10">
        <v>0</v>
      </c>
      <c r="AW316" s="10">
        <v>0</v>
      </c>
      <c r="AX316" s="10">
        <v>0</v>
      </c>
      <c r="AY316" s="10">
        <v>22</v>
      </c>
    </row>
    <row r="317" spans="1:51" ht="16.5" customHeight="1" x14ac:dyDescent="0.25">
      <c r="A317" s="10">
        <v>18</v>
      </c>
      <c r="B317" s="11" t="s">
        <v>343</v>
      </c>
      <c r="C317" s="10">
        <v>0</v>
      </c>
      <c r="D317" s="10">
        <v>10</v>
      </c>
      <c r="E317" s="10">
        <v>1</v>
      </c>
      <c r="F317" s="10">
        <v>0</v>
      </c>
      <c r="G317" s="10">
        <v>1</v>
      </c>
      <c r="H317" s="10">
        <v>0</v>
      </c>
      <c r="I317" s="10">
        <v>0</v>
      </c>
      <c r="J317" s="10">
        <v>9</v>
      </c>
      <c r="K317" s="10">
        <v>0</v>
      </c>
      <c r="L317" s="10">
        <v>0</v>
      </c>
      <c r="M317" s="10">
        <v>1</v>
      </c>
      <c r="N317" s="10">
        <v>1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11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  <c r="AX317" s="10">
        <v>0</v>
      </c>
      <c r="AY317" s="10">
        <v>11</v>
      </c>
    </row>
    <row r="318" spans="1:51" ht="16.5" customHeight="1" x14ac:dyDescent="0.25">
      <c r="A318" s="10">
        <v>19</v>
      </c>
      <c r="B318" s="11" t="s">
        <v>344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0">
        <v>0</v>
      </c>
      <c r="AT318" s="10">
        <v>0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</row>
    <row r="319" spans="1:51" ht="16.5" customHeight="1" x14ac:dyDescent="0.25">
      <c r="A319" s="10">
        <v>20</v>
      </c>
      <c r="B319" s="11" t="s">
        <v>345</v>
      </c>
      <c r="C319" s="10">
        <v>0</v>
      </c>
      <c r="D319" s="10">
        <v>10</v>
      </c>
      <c r="E319" s="10">
        <v>10</v>
      </c>
      <c r="F319" s="10">
        <v>10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10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10</v>
      </c>
    </row>
    <row r="320" spans="1:51" ht="16.5" customHeight="1" x14ac:dyDescent="0.25">
      <c r="A320" s="10">
        <v>21</v>
      </c>
      <c r="B320" s="11" t="s">
        <v>346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0">
        <v>0</v>
      </c>
      <c r="AT320" s="10">
        <v>0</v>
      </c>
      <c r="AU320" s="10">
        <v>0</v>
      </c>
      <c r="AV320" s="10">
        <v>0</v>
      </c>
      <c r="AW320" s="10">
        <v>0</v>
      </c>
      <c r="AX320" s="10">
        <v>0</v>
      </c>
      <c r="AY320" s="10">
        <v>0</v>
      </c>
    </row>
    <row r="321" spans="1:51" ht="16.5" customHeight="1" x14ac:dyDescent="0.25">
      <c r="A321" s="10">
        <v>22</v>
      </c>
      <c r="B321" s="11" t="s">
        <v>347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0">
        <v>0</v>
      </c>
      <c r="AT321" s="10">
        <v>0</v>
      </c>
      <c r="AU321" s="10">
        <v>5</v>
      </c>
      <c r="AV321" s="10">
        <v>0</v>
      </c>
      <c r="AW321" s="10">
        <v>0</v>
      </c>
      <c r="AX321" s="10">
        <v>5</v>
      </c>
      <c r="AY321" s="10">
        <v>5</v>
      </c>
    </row>
    <row r="322" spans="1:51" ht="16.5" customHeight="1" x14ac:dyDescent="0.25">
      <c r="A322" s="10">
        <v>23</v>
      </c>
      <c r="B322" s="11" t="s">
        <v>348</v>
      </c>
      <c r="C322" s="10">
        <v>6</v>
      </c>
      <c r="D322" s="10">
        <v>28</v>
      </c>
      <c r="E322" s="10">
        <v>5</v>
      </c>
      <c r="F322" s="10">
        <v>2</v>
      </c>
      <c r="G322" s="10">
        <v>3</v>
      </c>
      <c r="H322" s="10">
        <v>11</v>
      </c>
      <c r="I322" s="10">
        <v>4</v>
      </c>
      <c r="J322" s="10">
        <v>8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34</v>
      </c>
      <c r="Y322" s="10">
        <v>0</v>
      </c>
      <c r="Z322" s="10">
        <v>0</v>
      </c>
      <c r="AA322" s="10">
        <v>6</v>
      </c>
      <c r="AB322" s="10">
        <v>50</v>
      </c>
      <c r="AC322" s="10">
        <v>14</v>
      </c>
      <c r="AD322" s="10">
        <v>17</v>
      </c>
      <c r="AE322" s="10">
        <v>19</v>
      </c>
      <c r="AF322" s="10">
        <v>0</v>
      </c>
      <c r="AG322" s="10">
        <v>0</v>
      </c>
      <c r="AH322" s="10">
        <v>8</v>
      </c>
      <c r="AI322" s="10">
        <v>21</v>
      </c>
      <c r="AJ322" s="10">
        <v>0</v>
      </c>
      <c r="AK322" s="10">
        <v>6</v>
      </c>
      <c r="AL322" s="10">
        <v>0</v>
      </c>
      <c r="AM322" s="10">
        <v>0</v>
      </c>
      <c r="AN322" s="10">
        <v>0</v>
      </c>
      <c r="AO322" s="10">
        <v>12</v>
      </c>
      <c r="AP322" s="10">
        <v>0</v>
      </c>
      <c r="AQ322" s="10">
        <v>0</v>
      </c>
      <c r="AR322" s="10">
        <v>103</v>
      </c>
      <c r="AS322" s="10">
        <v>16</v>
      </c>
      <c r="AT322" s="10">
        <v>11</v>
      </c>
      <c r="AU322" s="10">
        <v>9</v>
      </c>
      <c r="AV322" s="10">
        <v>6</v>
      </c>
      <c r="AW322" s="10">
        <v>13</v>
      </c>
      <c r="AX322" s="10">
        <v>55</v>
      </c>
      <c r="AY322" s="10">
        <v>192</v>
      </c>
    </row>
    <row r="323" spans="1:51" ht="16.5" customHeight="1" x14ac:dyDescent="0.25">
      <c r="A323" s="10">
        <v>24</v>
      </c>
      <c r="B323" s="11" t="s">
        <v>349</v>
      </c>
      <c r="C323" s="10">
        <v>0</v>
      </c>
      <c r="D323" s="10">
        <v>7</v>
      </c>
      <c r="E323" s="10">
        <v>7</v>
      </c>
      <c r="F323" s="10">
        <v>7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7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7</v>
      </c>
    </row>
    <row r="324" spans="1:51" ht="16.5" customHeight="1" x14ac:dyDescent="0.25">
      <c r="A324" s="10">
        <v>25</v>
      </c>
      <c r="B324" s="11" t="s">
        <v>350</v>
      </c>
      <c r="C324" s="10">
        <v>0</v>
      </c>
      <c r="D324" s="10">
        <v>17</v>
      </c>
      <c r="E324" s="10">
        <v>0</v>
      </c>
      <c r="F324" s="10">
        <v>0</v>
      </c>
      <c r="G324" s="10">
        <v>0</v>
      </c>
      <c r="H324" s="10">
        <v>0</v>
      </c>
      <c r="I324" s="10">
        <v>16</v>
      </c>
      <c r="J324" s="10">
        <v>1</v>
      </c>
      <c r="K324" s="10">
        <v>0</v>
      </c>
      <c r="L324" s="10">
        <v>0</v>
      </c>
      <c r="M324" s="10">
        <v>6</v>
      </c>
      <c r="N324" s="10">
        <v>6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26</v>
      </c>
      <c r="Y324" s="10">
        <v>0</v>
      </c>
      <c r="Z324" s="10">
        <v>2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2</v>
      </c>
      <c r="AS324" s="10">
        <v>0</v>
      </c>
      <c r="AT324" s="10">
        <v>0</v>
      </c>
      <c r="AU324" s="10">
        <v>0</v>
      </c>
      <c r="AV324" s="10">
        <v>0</v>
      </c>
      <c r="AW324" s="10">
        <v>0</v>
      </c>
      <c r="AX324" s="10">
        <v>0</v>
      </c>
      <c r="AY324" s="10">
        <v>28</v>
      </c>
    </row>
    <row r="325" spans="1:51" ht="16.5" customHeight="1" x14ac:dyDescent="0.25">
      <c r="A325" s="10">
        <v>26</v>
      </c>
      <c r="B325" s="11" t="s">
        <v>351</v>
      </c>
      <c r="C325" s="10">
        <v>0</v>
      </c>
      <c r="D325" s="10">
        <v>8</v>
      </c>
      <c r="E325" s="10">
        <v>0</v>
      </c>
      <c r="F325" s="10">
        <v>0</v>
      </c>
      <c r="G325" s="10">
        <v>0</v>
      </c>
      <c r="H325" s="10">
        <v>8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8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8</v>
      </c>
    </row>
    <row r="326" spans="1:51" ht="16.5" customHeight="1" x14ac:dyDescent="0.25">
      <c r="A326" s="12"/>
      <c r="B326" s="13" t="s">
        <v>889</v>
      </c>
      <c r="C326" s="14">
        <f>SUM(C300:C325)</f>
        <v>6</v>
      </c>
      <c r="D326" s="14">
        <f t="shared" ref="D326:AY326" si="12">SUM(D300:D325)</f>
        <v>489</v>
      </c>
      <c r="E326" s="14">
        <f t="shared" si="12"/>
        <v>104</v>
      </c>
      <c r="F326" s="14">
        <f t="shared" si="12"/>
        <v>21</v>
      </c>
      <c r="G326" s="14">
        <f t="shared" si="12"/>
        <v>83</v>
      </c>
      <c r="H326" s="14">
        <f t="shared" si="12"/>
        <v>52</v>
      </c>
      <c r="I326" s="14">
        <f t="shared" si="12"/>
        <v>296</v>
      </c>
      <c r="J326" s="14">
        <f t="shared" si="12"/>
        <v>37</v>
      </c>
      <c r="K326" s="14">
        <f t="shared" si="12"/>
        <v>0</v>
      </c>
      <c r="L326" s="14">
        <f t="shared" si="12"/>
        <v>0</v>
      </c>
      <c r="M326" s="14">
        <f t="shared" si="12"/>
        <v>8</v>
      </c>
      <c r="N326" s="14">
        <f t="shared" si="12"/>
        <v>7</v>
      </c>
      <c r="O326" s="14">
        <f t="shared" si="12"/>
        <v>1</v>
      </c>
      <c r="P326" s="14">
        <f t="shared" si="12"/>
        <v>0</v>
      </c>
      <c r="Q326" s="14">
        <f t="shared" si="12"/>
        <v>0</v>
      </c>
      <c r="R326" s="14">
        <f t="shared" si="12"/>
        <v>0</v>
      </c>
      <c r="S326" s="14">
        <f t="shared" si="12"/>
        <v>0</v>
      </c>
      <c r="T326" s="14">
        <f t="shared" si="12"/>
        <v>0</v>
      </c>
      <c r="U326" s="14">
        <f t="shared" si="12"/>
        <v>0</v>
      </c>
      <c r="V326" s="14">
        <f t="shared" si="12"/>
        <v>0</v>
      </c>
      <c r="W326" s="14">
        <f t="shared" si="12"/>
        <v>27</v>
      </c>
      <c r="X326" s="14">
        <f t="shared" si="12"/>
        <v>530</v>
      </c>
      <c r="Y326" s="14">
        <f t="shared" si="12"/>
        <v>0</v>
      </c>
      <c r="Z326" s="14">
        <f t="shared" si="12"/>
        <v>2</v>
      </c>
      <c r="AA326" s="14">
        <f t="shared" si="12"/>
        <v>6</v>
      </c>
      <c r="AB326" s="14">
        <f t="shared" si="12"/>
        <v>72</v>
      </c>
      <c r="AC326" s="14">
        <f t="shared" si="12"/>
        <v>14</v>
      </c>
      <c r="AD326" s="14">
        <f t="shared" si="12"/>
        <v>39</v>
      </c>
      <c r="AE326" s="14">
        <f t="shared" si="12"/>
        <v>19</v>
      </c>
      <c r="AF326" s="14">
        <f t="shared" si="12"/>
        <v>0</v>
      </c>
      <c r="AG326" s="14">
        <f t="shared" si="12"/>
        <v>0</v>
      </c>
      <c r="AH326" s="14">
        <f t="shared" si="12"/>
        <v>8</v>
      </c>
      <c r="AI326" s="14">
        <f t="shared" si="12"/>
        <v>21</v>
      </c>
      <c r="AJ326" s="14">
        <f t="shared" si="12"/>
        <v>0</v>
      </c>
      <c r="AK326" s="14">
        <f t="shared" si="12"/>
        <v>6</v>
      </c>
      <c r="AL326" s="14">
        <f t="shared" si="12"/>
        <v>0</v>
      </c>
      <c r="AM326" s="14">
        <f t="shared" si="12"/>
        <v>0</v>
      </c>
      <c r="AN326" s="14">
        <f t="shared" si="12"/>
        <v>0</v>
      </c>
      <c r="AO326" s="14">
        <f t="shared" si="12"/>
        <v>12</v>
      </c>
      <c r="AP326" s="14">
        <f t="shared" si="12"/>
        <v>3</v>
      </c>
      <c r="AQ326" s="14">
        <f t="shared" si="12"/>
        <v>0</v>
      </c>
      <c r="AR326" s="14">
        <f t="shared" si="12"/>
        <v>130</v>
      </c>
      <c r="AS326" s="14">
        <f t="shared" si="12"/>
        <v>16</v>
      </c>
      <c r="AT326" s="14">
        <f t="shared" si="12"/>
        <v>11</v>
      </c>
      <c r="AU326" s="14">
        <f t="shared" si="12"/>
        <v>14</v>
      </c>
      <c r="AV326" s="14">
        <f t="shared" si="12"/>
        <v>6</v>
      </c>
      <c r="AW326" s="14">
        <f t="shared" si="12"/>
        <v>13</v>
      </c>
      <c r="AX326" s="14">
        <f t="shared" si="12"/>
        <v>60</v>
      </c>
      <c r="AY326" s="14">
        <f t="shared" si="12"/>
        <v>720</v>
      </c>
    </row>
    <row r="327" spans="1:51" ht="16.5" customHeight="1" x14ac:dyDescent="0.25">
      <c r="A327" s="9" t="s">
        <v>901</v>
      </c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</row>
    <row r="328" spans="1:51" ht="16.5" customHeight="1" x14ac:dyDescent="0.25">
      <c r="A328" s="10">
        <v>1</v>
      </c>
      <c r="B328" s="11" t="s">
        <v>352</v>
      </c>
      <c r="C328" s="10">
        <v>0</v>
      </c>
      <c r="D328" s="10">
        <v>5</v>
      </c>
      <c r="E328" s="10">
        <v>0</v>
      </c>
      <c r="F328" s="10">
        <v>0</v>
      </c>
      <c r="G328" s="10">
        <v>0</v>
      </c>
      <c r="H328" s="10">
        <v>0</v>
      </c>
      <c r="I328" s="10">
        <v>1</v>
      </c>
      <c r="J328" s="10">
        <v>2</v>
      </c>
      <c r="K328" s="10">
        <v>2</v>
      </c>
      <c r="L328" s="10">
        <v>0</v>
      </c>
      <c r="M328" s="10">
        <v>3</v>
      </c>
      <c r="N328" s="10">
        <v>3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8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0">
        <v>0</v>
      </c>
      <c r="AT328" s="10">
        <v>0</v>
      </c>
      <c r="AU328" s="10">
        <v>0</v>
      </c>
      <c r="AV328" s="10">
        <v>0</v>
      </c>
      <c r="AW328" s="10">
        <v>0</v>
      </c>
      <c r="AX328" s="10">
        <v>0</v>
      </c>
      <c r="AY328" s="10">
        <v>8</v>
      </c>
    </row>
    <row r="329" spans="1:51" ht="16.5" customHeight="1" x14ac:dyDescent="0.25">
      <c r="A329" s="10">
        <v>2</v>
      </c>
      <c r="B329" s="11" t="s">
        <v>353</v>
      </c>
      <c r="C329" s="10">
        <v>5</v>
      </c>
      <c r="D329" s="10">
        <v>2657</v>
      </c>
      <c r="E329" s="10">
        <v>76</v>
      </c>
      <c r="F329" s="10">
        <v>1</v>
      </c>
      <c r="G329" s="10">
        <v>75</v>
      </c>
      <c r="H329" s="10">
        <v>18</v>
      </c>
      <c r="I329" s="10">
        <v>2178</v>
      </c>
      <c r="J329" s="10">
        <v>363</v>
      </c>
      <c r="K329" s="10">
        <v>22</v>
      </c>
      <c r="L329" s="10">
        <v>0</v>
      </c>
      <c r="M329" s="10">
        <v>78</v>
      </c>
      <c r="N329" s="10">
        <v>52</v>
      </c>
      <c r="O329" s="10">
        <v>24</v>
      </c>
      <c r="P329" s="10">
        <v>0</v>
      </c>
      <c r="Q329" s="10">
        <v>1</v>
      </c>
      <c r="R329" s="10">
        <v>1</v>
      </c>
      <c r="S329" s="10">
        <v>0</v>
      </c>
      <c r="T329" s="10">
        <v>0</v>
      </c>
      <c r="U329" s="10">
        <v>0</v>
      </c>
      <c r="V329" s="10">
        <v>0</v>
      </c>
      <c r="W329" s="10">
        <v>3</v>
      </c>
      <c r="X329" s="10">
        <v>2743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2743</v>
      </c>
    </row>
    <row r="330" spans="1:51" ht="16.5" customHeight="1" x14ac:dyDescent="0.25">
      <c r="A330" s="10">
        <v>3</v>
      </c>
      <c r="B330" s="11" t="s">
        <v>354</v>
      </c>
      <c r="C330" s="10">
        <v>0</v>
      </c>
      <c r="D330" s="10">
        <v>24</v>
      </c>
      <c r="E330" s="10">
        <v>0</v>
      </c>
      <c r="F330" s="10">
        <v>0</v>
      </c>
      <c r="G330" s="10">
        <v>0</v>
      </c>
      <c r="H330" s="10">
        <v>0</v>
      </c>
      <c r="I330" s="10">
        <v>10</v>
      </c>
      <c r="J330" s="10">
        <v>14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24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  <c r="AT330" s="10">
        <v>0</v>
      </c>
      <c r="AU330" s="10">
        <v>0</v>
      </c>
      <c r="AV330" s="10">
        <v>0</v>
      </c>
      <c r="AW330" s="10">
        <v>0</v>
      </c>
      <c r="AX330" s="10">
        <v>0</v>
      </c>
      <c r="AY330" s="10">
        <v>24</v>
      </c>
    </row>
    <row r="331" spans="1:51" ht="16.5" customHeight="1" x14ac:dyDescent="0.25">
      <c r="A331" s="10">
        <v>4</v>
      </c>
      <c r="B331" s="11" t="s">
        <v>355</v>
      </c>
      <c r="C331" s="10">
        <v>0</v>
      </c>
      <c r="D331" s="10">
        <v>7</v>
      </c>
      <c r="E331" s="10">
        <v>1</v>
      </c>
      <c r="F331" s="10">
        <v>0</v>
      </c>
      <c r="G331" s="10">
        <v>1</v>
      </c>
      <c r="H331" s="10">
        <v>2</v>
      </c>
      <c r="I331" s="10">
        <v>2</v>
      </c>
      <c r="J331" s="10">
        <v>2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4</v>
      </c>
      <c r="X331" s="10">
        <v>11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11</v>
      </c>
    </row>
    <row r="332" spans="1:51" ht="16.5" customHeight="1" x14ac:dyDescent="0.25">
      <c r="A332" s="10">
        <v>5</v>
      </c>
      <c r="B332" s="11" t="s">
        <v>356</v>
      </c>
      <c r="C332" s="10">
        <v>0</v>
      </c>
      <c r="D332" s="10">
        <v>10</v>
      </c>
      <c r="E332" s="10">
        <v>3</v>
      </c>
      <c r="F332" s="10">
        <v>0</v>
      </c>
      <c r="G332" s="10">
        <v>3</v>
      </c>
      <c r="H332" s="10">
        <v>0</v>
      </c>
      <c r="I332" s="10">
        <v>6</v>
      </c>
      <c r="J332" s="10">
        <v>1</v>
      </c>
      <c r="K332" s="10">
        <v>0</v>
      </c>
      <c r="L332" s="10">
        <v>0</v>
      </c>
      <c r="M332" s="10">
        <v>1</v>
      </c>
      <c r="N332" s="10">
        <v>0</v>
      </c>
      <c r="O332" s="10">
        <v>1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11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1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1</v>
      </c>
      <c r="AS332" s="10">
        <v>0</v>
      </c>
      <c r="AT332" s="10">
        <v>0</v>
      </c>
      <c r="AU332" s="10">
        <v>0</v>
      </c>
      <c r="AV332" s="10">
        <v>0</v>
      </c>
      <c r="AW332" s="10">
        <v>0</v>
      </c>
      <c r="AX332" s="10">
        <v>0</v>
      </c>
      <c r="AY332" s="10">
        <v>12</v>
      </c>
    </row>
    <row r="333" spans="1:51" ht="16.5" customHeight="1" x14ac:dyDescent="0.25">
      <c r="A333" s="10">
        <v>6</v>
      </c>
      <c r="B333" s="11" t="s">
        <v>357</v>
      </c>
      <c r="C333" s="10">
        <v>0</v>
      </c>
      <c r="D333" s="10">
        <v>2</v>
      </c>
      <c r="E333" s="10">
        <v>0</v>
      </c>
      <c r="F333" s="10">
        <v>0</v>
      </c>
      <c r="G333" s="10">
        <v>0</v>
      </c>
      <c r="H333" s="10">
        <v>0</v>
      </c>
      <c r="I333" s="10">
        <v>1</v>
      </c>
      <c r="J333" s="10">
        <v>1</v>
      </c>
      <c r="K333" s="10">
        <v>0</v>
      </c>
      <c r="L333" s="10">
        <v>0</v>
      </c>
      <c r="M333" s="10">
        <v>1</v>
      </c>
      <c r="N333" s="10">
        <v>0</v>
      </c>
      <c r="O333" s="10">
        <v>1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3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3</v>
      </c>
    </row>
    <row r="334" spans="1:51" ht="16.5" customHeight="1" x14ac:dyDescent="0.25">
      <c r="A334" s="10">
        <v>7</v>
      </c>
      <c r="B334" s="11" t="s">
        <v>358</v>
      </c>
      <c r="C334" s="10">
        <v>0</v>
      </c>
      <c r="D334" s="10">
        <v>9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9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9</v>
      </c>
      <c r="Y334" s="10">
        <v>0</v>
      </c>
      <c r="Z334" s="10">
        <v>0</v>
      </c>
      <c r="AA334" s="10">
        <v>0</v>
      </c>
      <c r="AB334" s="10">
        <v>7</v>
      </c>
      <c r="AC334" s="10">
        <v>0</v>
      </c>
      <c r="AD334" s="10">
        <v>0</v>
      </c>
      <c r="AE334" s="10">
        <v>7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7</v>
      </c>
      <c r="AS334" s="10">
        <v>1</v>
      </c>
      <c r="AT334" s="10">
        <v>0</v>
      </c>
      <c r="AU334" s="10">
        <v>0</v>
      </c>
      <c r="AV334" s="10">
        <v>0</v>
      </c>
      <c r="AW334" s="10">
        <v>0</v>
      </c>
      <c r="AX334" s="10">
        <v>1</v>
      </c>
      <c r="AY334" s="10">
        <v>17</v>
      </c>
    </row>
    <row r="335" spans="1:51" ht="16.5" customHeight="1" x14ac:dyDescent="0.25">
      <c r="A335" s="10">
        <v>8</v>
      </c>
      <c r="B335" s="11" t="s">
        <v>359</v>
      </c>
      <c r="C335" s="10">
        <v>0</v>
      </c>
      <c r="D335" s="10">
        <v>8</v>
      </c>
      <c r="E335" s="10">
        <v>0</v>
      </c>
      <c r="F335" s="10">
        <v>0</v>
      </c>
      <c r="G335" s="10">
        <v>0</v>
      </c>
      <c r="H335" s="10">
        <v>0</v>
      </c>
      <c r="I335" s="10">
        <v>1</v>
      </c>
      <c r="J335" s="10">
        <v>7</v>
      </c>
      <c r="K335" s="10">
        <v>0</v>
      </c>
      <c r="L335" s="10">
        <v>0</v>
      </c>
      <c r="M335" s="10">
        <v>4</v>
      </c>
      <c r="N335" s="10">
        <v>4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1</v>
      </c>
      <c r="X335" s="10">
        <v>13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13</v>
      </c>
    </row>
    <row r="336" spans="1:51" ht="16.5" customHeight="1" x14ac:dyDescent="0.25">
      <c r="A336" s="10">
        <v>9</v>
      </c>
      <c r="B336" s="11" t="s">
        <v>360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5</v>
      </c>
      <c r="N336" s="10">
        <v>0</v>
      </c>
      <c r="O336" s="10">
        <v>5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5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  <c r="AT336" s="10">
        <v>0</v>
      </c>
      <c r="AU336" s="10">
        <v>0</v>
      </c>
      <c r="AV336" s="10">
        <v>0</v>
      </c>
      <c r="AW336" s="10">
        <v>0</v>
      </c>
      <c r="AX336" s="10">
        <v>0</v>
      </c>
      <c r="AY336" s="10">
        <v>5</v>
      </c>
    </row>
    <row r="337" spans="1:51" ht="16.5" customHeight="1" x14ac:dyDescent="0.25">
      <c r="A337" s="10">
        <v>10</v>
      </c>
      <c r="B337" s="11" t="s">
        <v>361</v>
      </c>
      <c r="C337" s="10">
        <v>0</v>
      </c>
      <c r="D337" s="10">
        <v>15</v>
      </c>
      <c r="E337" s="10">
        <v>3</v>
      </c>
      <c r="F337" s="10">
        <v>0</v>
      </c>
      <c r="G337" s="10">
        <v>3</v>
      </c>
      <c r="H337" s="10">
        <v>1</v>
      </c>
      <c r="I337" s="10">
        <v>2</v>
      </c>
      <c r="J337" s="10">
        <v>6</v>
      </c>
      <c r="K337" s="10">
        <v>3</v>
      </c>
      <c r="L337" s="10">
        <v>0</v>
      </c>
      <c r="M337" s="10">
        <v>3</v>
      </c>
      <c r="N337" s="10">
        <v>3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1</v>
      </c>
      <c r="X337" s="10">
        <v>19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</v>
      </c>
      <c r="AS337" s="10">
        <v>0</v>
      </c>
      <c r="AT337" s="10">
        <v>0</v>
      </c>
      <c r="AU337" s="10">
        <v>0</v>
      </c>
      <c r="AV337" s="10">
        <v>0</v>
      </c>
      <c r="AW337" s="10">
        <v>0</v>
      </c>
      <c r="AX337" s="10">
        <v>0</v>
      </c>
      <c r="AY337" s="10">
        <v>19</v>
      </c>
    </row>
    <row r="338" spans="1:51" ht="16.5" customHeight="1" x14ac:dyDescent="0.25">
      <c r="A338" s="10">
        <v>11</v>
      </c>
      <c r="B338" s="11" t="s">
        <v>362</v>
      </c>
      <c r="C338" s="10">
        <v>0</v>
      </c>
      <c r="D338" s="10">
        <v>16</v>
      </c>
      <c r="E338" s="10">
        <v>3</v>
      </c>
      <c r="F338" s="10">
        <v>0</v>
      </c>
      <c r="G338" s="10">
        <v>3</v>
      </c>
      <c r="H338" s="10">
        <v>1</v>
      </c>
      <c r="I338" s="10">
        <v>3</v>
      </c>
      <c r="J338" s="10">
        <v>8</v>
      </c>
      <c r="K338" s="10">
        <v>1</v>
      </c>
      <c r="L338" s="10">
        <v>0</v>
      </c>
      <c r="M338" s="10">
        <v>2</v>
      </c>
      <c r="N338" s="10">
        <v>0</v>
      </c>
      <c r="O338" s="10">
        <v>2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18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0</v>
      </c>
      <c r="AP338" s="10">
        <v>0</v>
      </c>
      <c r="AQ338" s="10">
        <v>0</v>
      </c>
      <c r="AR338" s="10">
        <v>0</v>
      </c>
      <c r="AS338" s="10">
        <v>0</v>
      </c>
      <c r="AT338" s="10">
        <v>0</v>
      </c>
      <c r="AU338" s="10">
        <v>0</v>
      </c>
      <c r="AV338" s="10">
        <v>0</v>
      </c>
      <c r="AW338" s="10">
        <v>0</v>
      </c>
      <c r="AX338" s="10">
        <v>0</v>
      </c>
      <c r="AY338" s="10">
        <v>18</v>
      </c>
    </row>
    <row r="339" spans="1:51" ht="16.5" customHeight="1" x14ac:dyDescent="0.25">
      <c r="A339" s="10">
        <v>12</v>
      </c>
      <c r="B339" s="11" t="s">
        <v>363</v>
      </c>
      <c r="C339" s="10">
        <v>1</v>
      </c>
      <c r="D339" s="10">
        <v>2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2</v>
      </c>
      <c r="K339" s="10">
        <v>0</v>
      </c>
      <c r="L339" s="10">
        <v>0</v>
      </c>
      <c r="M339" s="10">
        <v>4</v>
      </c>
      <c r="N339" s="10">
        <v>4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7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0">
        <v>0</v>
      </c>
      <c r="AT339" s="10">
        <v>0</v>
      </c>
      <c r="AU339" s="10">
        <v>0</v>
      </c>
      <c r="AV339" s="10">
        <v>0</v>
      </c>
      <c r="AW339" s="10">
        <v>0</v>
      </c>
      <c r="AX339" s="10">
        <v>0</v>
      </c>
      <c r="AY339" s="10">
        <v>7</v>
      </c>
    </row>
    <row r="340" spans="1:51" ht="16.5" customHeight="1" x14ac:dyDescent="0.25">
      <c r="A340" s="10">
        <v>13</v>
      </c>
      <c r="B340" s="11" t="s">
        <v>364</v>
      </c>
      <c r="C340" s="10">
        <v>0</v>
      </c>
      <c r="D340" s="10">
        <v>11</v>
      </c>
      <c r="E340" s="10">
        <v>0</v>
      </c>
      <c r="F340" s="10">
        <v>0</v>
      </c>
      <c r="G340" s="10">
        <v>0</v>
      </c>
      <c r="H340" s="10">
        <v>0</v>
      </c>
      <c r="I340" s="10">
        <v>5</v>
      </c>
      <c r="J340" s="10">
        <v>6</v>
      </c>
      <c r="K340" s="10">
        <v>0</v>
      </c>
      <c r="L340" s="10">
        <v>0</v>
      </c>
      <c r="M340" s="10">
        <v>3</v>
      </c>
      <c r="N340" s="10">
        <v>1</v>
      </c>
      <c r="O340" s="10">
        <v>0</v>
      </c>
      <c r="P340" s="10">
        <v>0</v>
      </c>
      <c r="Q340" s="10">
        <v>0</v>
      </c>
      <c r="R340" s="10">
        <v>2</v>
      </c>
      <c r="S340" s="10">
        <v>0</v>
      </c>
      <c r="T340" s="10">
        <v>0</v>
      </c>
      <c r="U340" s="10">
        <v>0</v>
      </c>
      <c r="V340" s="10">
        <v>0</v>
      </c>
      <c r="W340" s="10">
        <v>4</v>
      </c>
      <c r="X340" s="10">
        <v>18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0">
        <v>0</v>
      </c>
      <c r="AW340" s="10">
        <v>0</v>
      </c>
      <c r="AX340" s="10">
        <v>0</v>
      </c>
      <c r="AY340" s="10">
        <v>18</v>
      </c>
    </row>
    <row r="341" spans="1:51" ht="16.5" customHeight="1" x14ac:dyDescent="0.25">
      <c r="A341" s="10">
        <v>14</v>
      </c>
      <c r="B341" s="11" t="s">
        <v>365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</row>
    <row r="342" spans="1:51" ht="16.5" customHeight="1" x14ac:dyDescent="0.25">
      <c r="A342" s="10">
        <v>15</v>
      </c>
      <c r="B342" s="11" t="s">
        <v>366</v>
      </c>
      <c r="C342" s="10">
        <v>0</v>
      </c>
      <c r="D342" s="10">
        <v>2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2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2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0">
        <v>0</v>
      </c>
      <c r="AW342" s="10">
        <v>0</v>
      </c>
      <c r="AX342" s="10">
        <v>0</v>
      </c>
      <c r="AY342" s="10">
        <v>2</v>
      </c>
    </row>
    <row r="343" spans="1:51" ht="16.5" customHeight="1" x14ac:dyDescent="0.25">
      <c r="A343" s="10">
        <v>16</v>
      </c>
      <c r="B343" s="11" t="s">
        <v>367</v>
      </c>
      <c r="C343" s="10">
        <v>0</v>
      </c>
      <c r="D343" s="10">
        <v>8</v>
      </c>
      <c r="E343" s="10">
        <v>3</v>
      </c>
      <c r="F343" s="10">
        <v>0</v>
      </c>
      <c r="G343" s="10">
        <v>3</v>
      </c>
      <c r="H343" s="10">
        <v>1</v>
      </c>
      <c r="I343" s="10">
        <v>0</v>
      </c>
      <c r="J343" s="10">
        <v>4</v>
      </c>
      <c r="K343" s="10">
        <v>0</v>
      </c>
      <c r="L343" s="10">
        <v>0</v>
      </c>
      <c r="M343" s="10">
        <v>2</v>
      </c>
      <c r="N343" s="10">
        <v>0</v>
      </c>
      <c r="O343" s="10">
        <v>1</v>
      </c>
      <c r="P343" s="10">
        <v>0</v>
      </c>
      <c r="Q343" s="10">
        <v>1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13</v>
      </c>
      <c r="X343" s="10">
        <v>23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1</v>
      </c>
      <c r="AI343" s="10">
        <v>0</v>
      </c>
      <c r="AJ343" s="10">
        <v>0</v>
      </c>
      <c r="AK343" s="10">
        <v>3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2</v>
      </c>
      <c r="AR343" s="10">
        <v>6</v>
      </c>
      <c r="AS343" s="10">
        <v>0</v>
      </c>
      <c r="AT343" s="10">
        <v>0</v>
      </c>
      <c r="AU343" s="10">
        <v>0</v>
      </c>
      <c r="AV343" s="10">
        <v>0</v>
      </c>
      <c r="AW343" s="10">
        <v>1</v>
      </c>
      <c r="AX343" s="10">
        <v>1</v>
      </c>
      <c r="AY343" s="10">
        <v>30</v>
      </c>
    </row>
    <row r="344" spans="1:51" ht="16.5" customHeight="1" x14ac:dyDescent="0.25">
      <c r="A344" s="10">
        <v>17</v>
      </c>
      <c r="B344" s="11" t="s">
        <v>368</v>
      </c>
      <c r="C344" s="10">
        <v>0</v>
      </c>
      <c r="D344" s="10">
        <v>10</v>
      </c>
      <c r="E344" s="10">
        <v>5</v>
      </c>
      <c r="F344" s="10">
        <v>0</v>
      </c>
      <c r="G344" s="10">
        <v>5</v>
      </c>
      <c r="H344" s="10">
        <v>0</v>
      </c>
      <c r="I344" s="10">
        <v>0</v>
      </c>
      <c r="J344" s="10">
        <v>5</v>
      </c>
      <c r="K344" s="10">
        <v>0</v>
      </c>
      <c r="L344" s="10">
        <v>0</v>
      </c>
      <c r="M344" s="10">
        <v>1</v>
      </c>
      <c r="N344" s="10">
        <v>0</v>
      </c>
      <c r="O344" s="10">
        <v>1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11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0">
        <v>0</v>
      </c>
      <c r="AW344" s="10">
        <v>0</v>
      </c>
      <c r="AX344" s="10">
        <v>0</v>
      </c>
      <c r="AY344" s="10">
        <v>11</v>
      </c>
    </row>
    <row r="345" spans="1:51" ht="16.5" customHeight="1" x14ac:dyDescent="0.25">
      <c r="A345" s="10">
        <v>18</v>
      </c>
      <c r="B345" s="11" t="s">
        <v>369</v>
      </c>
      <c r="C345" s="10">
        <v>0</v>
      </c>
      <c r="D345" s="10">
        <v>4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4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4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  <c r="AT345" s="10">
        <v>0</v>
      </c>
      <c r="AU345" s="10">
        <v>0</v>
      </c>
      <c r="AV345" s="10">
        <v>0</v>
      </c>
      <c r="AW345" s="10">
        <v>0</v>
      </c>
      <c r="AX345" s="10">
        <v>0</v>
      </c>
      <c r="AY345" s="10">
        <v>4</v>
      </c>
    </row>
    <row r="346" spans="1:51" ht="16.5" customHeight="1" x14ac:dyDescent="0.25">
      <c r="A346" s="10">
        <v>19</v>
      </c>
      <c r="B346" s="11" t="s">
        <v>370</v>
      </c>
      <c r="C346" s="10">
        <v>0</v>
      </c>
      <c r="D346" s="10">
        <v>17</v>
      </c>
      <c r="E346" s="10">
        <v>2</v>
      </c>
      <c r="F346" s="10">
        <v>0</v>
      </c>
      <c r="G346" s="10">
        <v>2</v>
      </c>
      <c r="H346" s="10">
        <v>0</v>
      </c>
      <c r="I346" s="10">
        <v>5</v>
      </c>
      <c r="J346" s="10">
        <v>10</v>
      </c>
      <c r="K346" s="10">
        <v>0</v>
      </c>
      <c r="L346" s="10">
        <v>0</v>
      </c>
      <c r="M346" s="10">
        <v>4</v>
      </c>
      <c r="N346" s="10">
        <v>3</v>
      </c>
      <c r="O346" s="10">
        <v>1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21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  <c r="AT346" s="10">
        <v>0</v>
      </c>
      <c r="AU346" s="10">
        <v>0</v>
      </c>
      <c r="AV346" s="10">
        <v>0</v>
      </c>
      <c r="AW346" s="10">
        <v>0</v>
      </c>
      <c r="AX346" s="10">
        <v>0</v>
      </c>
      <c r="AY346" s="10">
        <v>21</v>
      </c>
    </row>
    <row r="347" spans="1:51" ht="16.5" customHeight="1" x14ac:dyDescent="0.25">
      <c r="A347" s="10">
        <v>20</v>
      </c>
      <c r="B347" s="11" t="s">
        <v>371</v>
      </c>
      <c r="C347" s="10">
        <v>0</v>
      </c>
      <c r="D347" s="10">
        <v>3</v>
      </c>
      <c r="E347" s="10">
        <v>0</v>
      </c>
      <c r="F347" s="10">
        <v>0</v>
      </c>
      <c r="G347" s="10">
        <v>0</v>
      </c>
      <c r="H347" s="10">
        <v>0</v>
      </c>
      <c r="I347" s="10">
        <v>1</v>
      </c>
      <c r="J347" s="10">
        <v>2</v>
      </c>
      <c r="K347" s="10">
        <v>0</v>
      </c>
      <c r="L347" s="10">
        <v>0</v>
      </c>
      <c r="M347" s="10">
        <v>1</v>
      </c>
      <c r="N347" s="10">
        <v>1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4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4</v>
      </c>
    </row>
    <row r="348" spans="1:51" ht="16.5" customHeight="1" x14ac:dyDescent="0.25">
      <c r="A348" s="10">
        <v>21</v>
      </c>
      <c r="B348" s="11" t="s">
        <v>372</v>
      </c>
      <c r="C348" s="10">
        <v>0</v>
      </c>
      <c r="D348" s="10">
        <v>1</v>
      </c>
      <c r="E348" s="10">
        <v>0</v>
      </c>
      <c r="F348" s="10">
        <v>0</v>
      </c>
      <c r="G348" s="10">
        <v>0</v>
      </c>
      <c r="H348" s="10">
        <v>0</v>
      </c>
      <c r="I348" s="10">
        <v>1</v>
      </c>
      <c r="J348" s="10">
        <v>0</v>
      </c>
      <c r="K348" s="10">
        <v>0</v>
      </c>
      <c r="L348" s="10">
        <v>0</v>
      </c>
      <c r="M348" s="10">
        <v>2</v>
      </c>
      <c r="N348" s="10">
        <v>1</v>
      </c>
      <c r="O348" s="10">
        <v>1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2</v>
      </c>
      <c r="X348" s="10">
        <v>5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  <c r="AT348" s="10">
        <v>0</v>
      </c>
      <c r="AU348" s="10">
        <v>0</v>
      </c>
      <c r="AV348" s="10">
        <v>0</v>
      </c>
      <c r="AW348" s="10">
        <v>0</v>
      </c>
      <c r="AX348" s="10">
        <v>0</v>
      </c>
      <c r="AY348" s="10">
        <v>5</v>
      </c>
    </row>
    <row r="349" spans="1:51" ht="16.5" customHeight="1" x14ac:dyDescent="0.25">
      <c r="A349" s="10">
        <v>22</v>
      </c>
      <c r="B349" s="11" t="s">
        <v>373</v>
      </c>
      <c r="C349" s="10">
        <v>0</v>
      </c>
      <c r="D349" s="10">
        <v>2</v>
      </c>
      <c r="E349" s="10">
        <v>0</v>
      </c>
      <c r="F349" s="10">
        <v>0</v>
      </c>
      <c r="G349" s="10">
        <v>0</v>
      </c>
      <c r="H349" s="10">
        <v>0</v>
      </c>
      <c r="I349" s="10">
        <v>2</v>
      </c>
      <c r="J349" s="10">
        <v>0</v>
      </c>
      <c r="K349" s="10">
        <v>0</v>
      </c>
      <c r="L349" s="10">
        <v>0</v>
      </c>
      <c r="M349" s="10">
        <v>2</v>
      </c>
      <c r="N349" s="10">
        <v>0</v>
      </c>
      <c r="O349" s="10">
        <v>2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4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  <c r="AT349" s="10">
        <v>0</v>
      </c>
      <c r="AU349" s="10">
        <v>0</v>
      </c>
      <c r="AV349" s="10">
        <v>0</v>
      </c>
      <c r="AW349" s="10">
        <v>0</v>
      </c>
      <c r="AX349" s="10">
        <v>0</v>
      </c>
      <c r="AY349" s="10">
        <v>4</v>
      </c>
    </row>
    <row r="350" spans="1:51" ht="16.5" customHeight="1" x14ac:dyDescent="0.25">
      <c r="A350" s="10">
        <v>23</v>
      </c>
      <c r="B350" s="11" t="s">
        <v>374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2</v>
      </c>
      <c r="N350" s="10">
        <v>2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2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0</v>
      </c>
      <c r="AT350" s="10">
        <v>0</v>
      </c>
      <c r="AU350" s="10">
        <v>0</v>
      </c>
      <c r="AV350" s="10">
        <v>0</v>
      </c>
      <c r="AW350" s="10">
        <v>0</v>
      </c>
      <c r="AX350" s="10">
        <v>0</v>
      </c>
      <c r="AY350" s="10">
        <v>2</v>
      </c>
    </row>
    <row r="351" spans="1:51" ht="16.5" customHeight="1" x14ac:dyDescent="0.25">
      <c r="A351" s="10">
        <v>24</v>
      </c>
      <c r="B351" s="11" t="s">
        <v>375</v>
      </c>
      <c r="C351" s="10">
        <v>0</v>
      </c>
      <c r="D351" s="10">
        <v>7</v>
      </c>
      <c r="E351" s="10">
        <v>0</v>
      </c>
      <c r="F351" s="10">
        <v>0</v>
      </c>
      <c r="G351" s="10">
        <v>0</v>
      </c>
      <c r="H351" s="10">
        <v>4</v>
      </c>
      <c r="I351" s="10">
        <v>0</v>
      </c>
      <c r="J351" s="10">
        <v>3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7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0</v>
      </c>
      <c r="AT351" s="10">
        <v>0</v>
      </c>
      <c r="AU351" s="10">
        <v>0</v>
      </c>
      <c r="AV351" s="10">
        <v>0</v>
      </c>
      <c r="AW351" s="10">
        <v>0</v>
      </c>
      <c r="AX351" s="10">
        <v>0</v>
      </c>
      <c r="AY351" s="10">
        <v>7</v>
      </c>
    </row>
    <row r="352" spans="1:51" ht="16.5" customHeight="1" x14ac:dyDescent="0.25">
      <c r="A352" s="10">
        <v>25</v>
      </c>
      <c r="B352" s="11" t="s">
        <v>376</v>
      </c>
      <c r="C352" s="10">
        <v>0</v>
      </c>
      <c r="D352" s="10">
        <v>40</v>
      </c>
      <c r="E352" s="10">
        <v>1</v>
      </c>
      <c r="F352" s="10">
        <v>0</v>
      </c>
      <c r="G352" s="10">
        <v>1</v>
      </c>
      <c r="H352" s="10">
        <v>0</v>
      </c>
      <c r="I352" s="10">
        <v>22</v>
      </c>
      <c r="J352" s="10">
        <v>9</v>
      </c>
      <c r="K352" s="10">
        <v>8</v>
      </c>
      <c r="L352" s="10">
        <v>0</v>
      </c>
      <c r="M352" s="10">
        <v>2</v>
      </c>
      <c r="N352" s="10">
        <v>2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3</v>
      </c>
      <c r="X352" s="10">
        <v>45</v>
      </c>
      <c r="Y352" s="10">
        <v>0</v>
      </c>
      <c r="Z352" s="10">
        <v>1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1</v>
      </c>
      <c r="AS352" s="10">
        <v>0</v>
      </c>
      <c r="AT352" s="10">
        <v>0</v>
      </c>
      <c r="AU352" s="10">
        <v>0</v>
      </c>
      <c r="AV352" s="10">
        <v>0</v>
      </c>
      <c r="AW352" s="10">
        <v>0</v>
      </c>
      <c r="AX352" s="10">
        <v>0</v>
      </c>
      <c r="AY352" s="10">
        <v>46</v>
      </c>
    </row>
    <row r="353" spans="1:51" ht="16.5" customHeight="1" x14ac:dyDescent="0.25">
      <c r="A353" s="10">
        <v>26</v>
      </c>
      <c r="B353" s="11" t="s">
        <v>377</v>
      </c>
      <c r="C353" s="10">
        <v>1</v>
      </c>
      <c r="D353" s="10">
        <v>18</v>
      </c>
      <c r="E353" s="10">
        <v>5</v>
      </c>
      <c r="F353" s="10">
        <v>5</v>
      </c>
      <c r="G353" s="10">
        <v>0</v>
      </c>
      <c r="H353" s="10">
        <v>0</v>
      </c>
      <c r="I353" s="10">
        <v>6</v>
      </c>
      <c r="J353" s="10">
        <v>7</v>
      </c>
      <c r="K353" s="10">
        <v>0</v>
      </c>
      <c r="L353" s="10">
        <v>0</v>
      </c>
      <c r="M353" s="10">
        <v>2</v>
      </c>
      <c r="N353" s="10">
        <v>2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21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10">
        <v>0</v>
      </c>
      <c r="AY353" s="10">
        <v>21</v>
      </c>
    </row>
    <row r="354" spans="1:51" ht="16.5" customHeight="1" x14ac:dyDescent="0.25">
      <c r="A354" s="10">
        <v>27</v>
      </c>
      <c r="B354" s="11" t="s">
        <v>378</v>
      </c>
      <c r="C354" s="10">
        <v>0</v>
      </c>
      <c r="D354" s="10">
        <v>5</v>
      </c>
      <c r="E354" s="10">
        <v>0</v>
      </c>
      <c r="F354" s="10">
        <v>0</v>
      </c>
      <c r="G354" s="10">
        <v>0</v>
      </c>
      <c r="H354" s="10">
        <v>0</v>
      </c>
      <c r="I354" s="10">
        <v>1</v>
      </c>
      <c r="J354" s="10">
        <v>4</v>
      </c>
      <c r="K354" s="10">
        <v>0</v>
      </c>
      <c r="L354" s="10">
        <v>0</v>
      </c>
      <c r="M354" s="10">
        <v>3</v>
      </c>
      <c r="N354" s="10">
        <v>3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8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  <c r="AT354" s="10">
        <v>0</v>
      </c>
      <c r="AU354" s="10">
        <v>0</v>
      </c>
      <c r="AV354" s="10">
        <v>0</v>
      </c>
      <c r="AW354" s="10">
        <v>0</v>
      </c>
      <c r="AX354" s="10">
        <v>0</v>
      </c>
      <c r="AY354" s="10">
        <v>8</v>
      </c>
    </row>
    <row r="355" spans="1:51" ht="16.5" customHeight="1" x14ac:dyDescent="0.25">
      <c r="A355" s="10">
        <v>28</v>
      </c>
      <c r="B355" s="11" t="s">
        <v>379</v>
      </c>
      <c r="C355" s="10">
        <v>0</v>
      </c>
      <c r="D355" s="10">
        <v>3</v>
      </c>
      <c r="E355" s="10">
        <v>0</v>
      </c>
      <c r="F355" s="10">
        <v>0</v>
      </c>
      <c r="G355" s="10">
        <v>0</v>
      </c>
      <c r="H355" s="10">
        <v>0</v>
      </c>
      <c r="I355" s="10">
        <v>2</v>
      </c>
      <c r="J355" s="10">
        <v>1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3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  <c r="AT355" s="10">
        <v>0</v>
      </c>
      <c r="AU355" s="10">
        <v>0</v>
      </c>
      <c r="AV355" s="10">
        <v>0</v>
      </c>
      <c r="AW355" s="10">
        <v>0</v>
      </c>
      <c r="AX355" s="10">
        <v>0</v>
      </c>
      <c r="AY355" s="10">
        <v>3</v>
      </c>
    </row>
    <row r="356" spans="1:51" ht="16.5" customHeight="1" x14ac:dyDescent="0.25">
      <c r="A356" s="10">
        <v>29</v>
      </c>
      <c r="B356" s="11" t="s">
        <v>380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  <c r="AT356" s="10">
        <v>0</v>
      </c>
      <c r="AU356" s="10">
        <v>0</v>
      </c>
      <c r="AV356" s="10">
        <v>0</v>
      </c>
      <c r="AW356" s="10">
        <v>0</v>
      </c>
      <c r="AX356" s="10">
        <v>0</v>
      </c>
      <c r="AY356" s="10">
        <v>0</v>
      </c>
    </row>
    <row r="357" spans="1:51" ht="16.5" customHeight="1" x14ac:dyDescent="0.25">
      <c r="A357" s="10">
        <v>30</v>
      </c>
      <c r="B357" s="11" t="s">
        <v>381</v>
      </c>
      <c r="C357" s="10">
        <v>0</v>
      </c>
      <c r="D357" s="10">
        <v>4</v>
      </c>
      <c r="E357" s="10">
        <v>1</v>
      </c>
      <c r="F357" s="10">
        <v>1</v>
      </c>
      <c r="G357" s="10">
        <v>0</v>
      </c>
      <c r="H357" s="10">
        <v>0</v>
      </c>
      <c r="I357" s="10">
        <v>3</v>
      </c>
      <c r="J357" s="10">
        <v>0</v>
      </c>
      <c r="K357" s="10">
        <v>0</v>
      </c>
      <c r="L357" s="10">
        <v>0</v>
      </c>
      <c r="M357" s="10">
        <v>5</v>
      </c>
      <c r="N357" s="10">
        <v>5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9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0</v>
      </c>
      <c r="AU357" s="10">
        <v>0</v>
      </c>
      <c r="AV357" s="10">
        <v>0</v>
      </c>
      <c r="AW357" s="10">
        <v>0</v>
      </c>
      <c r="AX357" s="10">
        <v>0</v>
      </c>
      <c r="AY357" s="10">
        <v>9</v>
      </c>
    </row>
    <row r="358" spans="1:51" ht="16.5" customHeight="1" x14ac:dyDescent="0.25">
      <c r="A358" s="10">
        <v>31</v>
      </c>
      <c r="B358" s="11" t="s">
        <v>382</v>
      </c>
      <c r="C358" s="10">
        <v>0</v>
      </c>
      <c r="D358" s="10">
        <v>16</v>
      </c>
      <c r="E358" s="10">
        <v>0</v>
      </c>
      <c r="F358" s="10">
        <v>0</v>
      </c>
      <c r="G358" s="10">
        <v>0</v>
      </c>
      <c r="H358" s="10">
        <v>0</v>
      </c>
      <c r="I358" s="10">
        <v>6</v>
      </c>
      <c r="J358" s="10">
        <v>9</v>
      </c>
      <c r="K358" s="10">
        <v>1</v>
      </c>
      <c r="L358" s="10">
        <v>0</v>
      </c>
      <c r="M358" s="10">
        <v>11</v>
      </c>
      <c r="N358" s="10">
        <v>2</v>
      </c>
      <c r="O358" s="10">
        <v>1</v>
      </c>
      <c r="P358" s="10">
        <v>0</v>
      </c>
      <c r="Q358" s="10">
        <v>0</v>
      </c>
      <c r="R358" s="10">
        <v>8</v>
      </c>
      <c r="S358" s="10">
        <v>0</v>
      </c>
      <c r="T358" s="10">
        <v>0</v>
      </c>
      <c r="U358" s="10">
        <v>0</v>
      </c>
      <c r="V358" s="10">
        <v>0</v>
      </c>
      <c r="W358" s="10">
        <v>3</v>
      </c>
      <c r="X358" s="10">
        <v>30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0">
        <v>0</v>
      </c>
      <c r="AW358" s="10">
        <v>0</v>
      </c>
      <c r="AX358" s="10">
        <v>0</v>
      </c>
      <c r="AY358" s="10">
        <v>30</v>
      </c>
    </row>
    <row r="359" spans="1:51" ht="16.5" customHeight="1" x14ac:dyDescent="0.25">
      <c r="A359" s="10">
        <v>32</v>
      </c>
      <c r="B359" s="11" t="s">
        <v>383</v>
      </c>
      <c r="C359" s="10">
        <v>0</v>
      </c>
      <c r="D359" s="10">
        <v>2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1</v>
      </c>
      <c r="K359" s="10">
        <v>1</v>
      </c>
      <c r="L359" s="10">
        <v>0</v>
      </c>
      <c r="M359" s="10">
        <v>9</v>
      </c>
      <c r="N359" s="10">
        <v>0</v>
      </c>
      <c r="O359" s="10">
        <v>0</v>
      </c>
      <c r="P359" s="10">
        <v>0</v>
      </c>
      <c r="Q359" s="10">
        <v>0</v>
      </c>
      <c r="R359" s="10">
        <v>9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11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  <c r="AT359" s="10">
        <v>0</v>
      </c>
      <c r="AU359" s="10">
        <v>0</v>
      </c>
      <c r="AV359" s="10">
        <v>0</v>
      </c>
      <c r="AW359" s="10">
        <v>0</v>
      </c>
      <c r="AX359" s="10">
        <v>0</v>
      </c>
      <c r="AY359" s="10">
        <v>11</v>
      </c>
    </row>
    <row r="360" spans="1:51" ht="16.5" customHeight="1" x14ac:dyDescent="0.25">
      <c r="A360" s="10">
        <v>33</v>
      </c>
      <c r="B360" s="11" t="s">
        <v>384</v>
      </c>
      <c r="C360" s="10">
        <v>0</v>
      </c>
      <c r="D360" s="10">
        <v>10</v>
      </c>
      <c r="E360" s="10">
        <v>0</v>
      </c>
      <c r="F360" s="10">
        <v>0</v>
      </c>
      <c r="G360" s="10">
        <v>0</v>
      </c>
      <c r="H360" s="10">
        <v>0</v>
      </c>
      <c r="I360" s="10">
        <v>2</v>
      </c>
      <c r="J360" s="10">
        <v>8</v>
      </c>
      <c r="K360" s="10">
        <v>0</v>
      </c>
      <c r="L360" s="10">
        <v>0</v>
      </c>
      <c r="M360" s="10">
        <v>1</v>
      </c>
      <c r="N360" s="10">
        <v>1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11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  <c r="AT360" s="10">
        <v>0</v>
      </c>
      <c r="AU360" s="10">
        <v>0</v>
      </c>
      <c r="AV360" s="10">
        <v>0</v>
      </c>
      <c r="AW360" s="10">
        <v>0</v>
      </c>
      <c r="AX360" s="10">
        <v>0</v>
      </c>
      <c r="AY360" s="10">
        <v>11</v>
      </c>
    </row>
    <row r="361" spans="1:51" ht="16.5" customHeight="1" x14ac:dyDescent="0.25">
      <c r="A361" s="10">
        <v>34</v>
      </c>
      <c r="B361" s="11" t="s">
        <v>385</v>
      </c>
      <c r="C361" s="10">
        <v>0</v>
      </c>
      <c r="D361" s="10">
        <v>16</v>
      </c>
      <c r="E361" s="10">
        <v>0</v>
      </c>
      <c r="F361" s="10">
        <v>0</v>
      </c>
      <c r="G361" s="10">
        <v>0</v>
      </c>
      <c r="H361" s="10">
        <v>4</v>
      </c>
      <c r="I361" s="10">
        <v>12</v>
      </c>
      <c r="J361" s="10">
        <v>0</v>
      </c>
      <c r="K361" s="10">
        <v>0</v>
      </c>
      <c r="L361" s="10">
        <v>0</v>
      </c>
      <c r="M361" s="10">
        <v>2</v>
      </c>
      <c r="N361" s="10">
        <v>0</v>
      </c>
      <c r="O361" s="10">
        <v>2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18</v>
      </c>
      <c r="Y361" s="10">
        <v>0</v>
      </c>
      <c r="Z361" s="10">
        <v>0</v>
      </c>
      <c r="AA361" s="10">
        <v>0</v>
      </c>
      <c r="AB361" s="10">
        <v>4</v>
      </c>
      <c r="AC361" s="10">
        <v>0</v>
      </c>
      <c r="AD361" s="10">
        <v>2</v>
      </c>
      <c r="AE361" s="10">
        <v>2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0</v>
      </c>
      <c r="AP361" s="10">
        <v>0</v>
      </c>
      <c r="AQ361" s="10">
        <v>1</v>
      </c>
      <c r="AR361" s="10">
        <v>5</v>
      </c>
      <c r="AS361" s="10">
        <v>0</v>
      </c>
      <c r="AT361" s="10">
        <v>0</v>
      </c>
      <c r="AU361" s="10">
        <v>0</v>
      </c>
      <c r="AV361" s="10">
        <v>0</v>
      </c>
      <c r="AW361" s="10">
        <v>0</v>
      </c>
      <c r="AX361" s="10">
        <v>0</v>
      </c>
      <c r="AY361" s="10">
        <v>23</v>
      </c>
    </row>
    <row r="362" spans="1:51" ht="16.5" customHeight="1" x14ac:dyDescent="0.25">
      <c r="A362" s="10">
        <v>35</v>
      </c>
      <c r="B362" s="11" t="s">
        <v>386</v>
      </c>
      <c r="C362" s="10">
        <v>0</v>
      </c>
      <c r="D362" s="10">
        <v>7</v>
      </c>
      <c r="E362" s="10">
        <v>0</v>
      </c>
      <c r="F362" s="10">
        <v>0</v>
      </c>
      <c r="G362" s="10">
        <v>0</v>
      </c>
      <c r="H362" s="10">
        <v>0</v>
      </c>
      <c r="I362" s="10">
        <v>6</v>
      </c>
      <c r="J362" s="10">
        <v>1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7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0">
        <v>0</v>
      </c>
      <c r="AT362" s="10">
        <v>0</v>
      </c>
      <c r="AU362" s="10">
        <v>0</v>
      </c>
      <c r="AV362" s="10">
        <v>0</v>
      </c>
      <c r="AW362" s="10">
        <v>0</v>
      </c>
      <c r="AX362" s="10">
        <v>0</v>
      </c>
      <c r="AY362" s="10">
        <v>7</v>
      </c>
    </row>
    <row r="363" spans="1:51" ht="16.5" customHeight="1" x14ac:dyDescent="0.25">
      <c r="A363" s="10">
        <v>36</v>
      </c>
      <c r="B363" s="11" t="s">
        <v>387</v>
      </c>
      <c r="C363" s="10">
        <v>0</v>
      </c>
      <c r="D363" s="10">
        <v>11</v>
      </c>
      <c r="E363" s="10">
        <v>8</v>
      </c>
      <c r="F363" s="10">
        <v>0</v>
      </c>
      <c r="G363" s="10">
        <v>8</v>
      </c>
      <c r="H363" s="10">
        <v>0</v>
      </c>
      <c r="I363" s="10">
        <v>0</v>
      </c>
      <c r="J363" s="10">
        <v>3</v>
      </c>
      <c r="K363" s="10">
        <v>0</v>
      </c>
      <c r="L363" s="10">
        <v>0</v>
      </c>
      <c r="M363" s="10">
        <v>4</v>
      </c>
      <c r="N363" s="10">
        <v>1</v>
      </c>
      <c r="O363" s="10">
        <v>0</v>
      </c>
      <c r="P363" s="10">
        <v>0</v>
      </c>
      <c r="Q363" s="10">
        <v>0</v>
      </c>
      <c r="R363" s="10">
        <v>3</v>
      </c>
      <c r="S363" s="10">
        <v>0</v>
      </c>
      <c r="T363" s="10">
        <v>0</v>
      </c>
      <c r="U363" s="10">
        <v>0</v>
      </c>
      <c r="V363" s="10">
        <v>0</v>
      </c>
      <c r="W363" s="10">
        <v>2</v>
      </c>
      <c r="X363" s="10">
        <v>17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  <c r="AT363" s="10">
        <v>0</v>
      </c>
      <c r="AU363" s="10">
        <v>0</v>
      </c>
      <c r="AV363" s="10">
        <v>0</v>
      </c>
      <c r="AW363" s="10">
        <v>0</v>
      </c>
      <c r="AX363" s="10">
        <v>0</v>
      </c>
      <c r="AY363" s="10">
        <v>17</v>
      </c>
    </row>
    <row r="364" spans="1:51" ht="16.5" customHeight="1" x14ac:dyDescent="0.25">
      <c r="A364" s="12"/>
      <c r="B364" s="13" t="s">
        <v>889</v>
      </c>
      <c r="C364" s="14">
        <f>SUM(C328:C363)</f>
        <v>7</v>
      </c>
      <c r="D364" s="14">
        <f t="shared" ref="D364:AY364" si="13">SUM(D328:D363)</f>
        <v>2952</v>
      </c>
      <c r="E364" s="14">
        <f t="shared" si="13"/>
        <v>111</v>
      </c>
      <c r="F364" s="14">
        <f t="shared" si="13"/>
        <v>7</v>
      </c>
      <c r="G364" s="14">
        <f t="shared" si="13"/>
        <v>104</v>
      </c>
      <c r="H364" s="14">
        <f t="shared" si="13"/>
        <v>31</v>
      </c>
      <c r="I364" s="14">
        <f t="shared" si="13"/>
        <v>2278</v>
      </c>
      <c r="J364" s="14">
        <f t="shared" si="13"/>
        <v>494</v>
      </c>
      <c r="K364" s="14">
        <f t="shared" si="13"/>
        <v>38</v>
      </c>
      <c r="L364" s="14">
        <f t="shared" si="13"/>
        <v>0</v>
      </c>
      <c r="M364" s="14">
        <f t="shared" si="13"/>
        <v>157</v>
      </c>
      <c r="N364" s="14">
        <f t="shared" si="13"/>
        <v>90</v>
      </c>
      <c r="O364" s="14">
        <f t="shared" si="13"/>
        <v>42</v>
      </c>
      <c r="P364" s="14">
        <f t="shared" si="13"/>
        <v>0</v>
      </c>
      <c r="Q364" s="14">
        <f t="shared" si="13"/>
        <v>2</v>
      </c>
      <c r="R364" s="14">
        <f t="shared" si="13"/>
        <v>23</v>
      </c>
      <c r="S364" s="14">
        <f t="shared" si="13"/>
        <v>0</v>
      </c>
      <c r="T364" s="14">
        <f t="shared" si="13"/>
        <v>0</v>
      </c>
      <c r="U364" s="14">
        <f t="shared" si="13"/>
        <v>0</v>
      </c>
      <c r="V364" s="14">
        <f t="shared" si="13"/>
        <v>0</v>
      </c>
      <c r="W364" s="14">
        <f t="shared" si="13"/>
        <v>36</v>
      </c>
      <c r="X364" s="14">
        <f t="shared" si="13"/>
        <v>3152</v>
      </c>
      <c r="Y364" s="14">
        <f t="shared" si="13"/>
        <v>0</v>
      </c>
      <c r="Z364" s="14">
        <f t="shared" si="13"/>
        <v>1</v>
      </c>
      <c r="AA364" s="14">
        <f t="shared" si="13"/>
        <v>0</v>
      </c>
      <c r="AB364" s="14">
        <f t="shared" si="13"/>
        <v>11</v>
      </c>
      <c r="AC364" s="14">
        <f t="shared" si="13"/>
        <v>0</v>
      </c>
      <c r="AD364" s="14">
        <f t="shared" si="13"/>
        <v>2</v>
      </c>
      <c r="AE364" s="14">
        <f t="shared" si="13"/>
        <v>9</v>
      </c>
      <c r="AF364" s="14">
        <f t="shared" si="13"/>
        <v>0</v>
      </c>
      <c r="AG364" s="14">
        <f t="shared" si="13"/>
        <v>0</v>
      </c>
      <c r="AH364" s="14">
        <f t="shared" si="13"/>
        <v>2</v>
      </c>
      <c r="AI364" s="14">
        <f t="shared" si="13"/>
        <v>0</v>
      </c>
      <c r="AJ364" s="14">
        <f t="shared" si="13"/>
        <v>0</v>
      </c>
      <c r="AK364" s="14">
        <f t="shared" si="13"/>
        <v>3</v>
      </c>
      <c r="AL364" s="14">
        <f t="shared" si="13"/>
        <v>0</v>
      </c>
      <c r="AM364" s="14">
        <f t="shared" si="13"/>
        <v>0</v>
      </c>
      <c r="AN364" s="14">
        <f t="shared" si="13"/>
        <v>0</v>
      </c>
      <c r="AO364" s="14">
        <f t="shared" si="13"/>
        <v>0</v>
      </c>
      <c r="AP364" s="14">
        <f t="shared" si="13"/>
        <v>0</v>
      </c>
      <c r="AQ364" s="14">
        <f t="shared" si="13"/>
        <v>3</v>
      </c>
      <c r="AR364" s="14">
        <f t="shared" si="13"/>
        <v>20</v>
      </c>
      <c r="AS364" s="14">
        <f t="shared" si="13"/>
        <v>1</v>
      </c>
      <c r="AT364" s="14">
        <f t="shared" si="13"/>
        <v>0</v>
      </c>
      <c r="AU364" s="14">
        <f t="shared" si="13"/>
        <v>0</v>
      </c>
      <c r="AV364" s="14">
        <f t="shared" si="13"/>
        <v>0</v>
      </c>
      <c r="AW364" s="14">
        <f t="shared" si="13"/>
        <v>1</v>
      </c>
      <c r="AX364" s="14">
        <f t="shared" si="13"/>
        <v>2</v>
      </c>
      <c r="AY364" s="14">
        <f t="shared" si="13"/>
        <v>3174</v>
      </c>
    </row>
    <row r="365" spans="1:51" ht="16.5" customHeight="1" x14ac:dyDescent="0.25">
      <c r="A365" s="9" t="s">
        <v>902</v>
      </c>
      <c r="B365" s="1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</row>
    <row r="366" spans="1:51" ht="16.5" customHeight="1" x14ac:dyDescent="0.25">
      <c r="A366" s="10">
        <v>1</v>
      </c>
      <c r="B366" s="11" t="s">
        <v>388</v>
      </c>
      <c r="C366" s="10">
        <v>0</v>
      </c>
      <c r="D366" s="10">
        <v>4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1</v>
      </c>
      <c r="K366" s="10">
        <v>3</v>
      </c>
      <c r="L366" s="10">
        <v>0</v>
      </c>
      <c r="M366" s="10">
        <v>3</v>
      </c>
      <c r="N366" s="10">
        <v>3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7</v>
      </c>
      <c r="Y366" s="10">
        <v>0</v>
      </c>
      <c r="Z366" s="10">
        <v>0</v>
      </c>
      <c r="AA366" s="10">
        <v>0</v>
      </c>
      <c r="AB366" s="10">
        <v>1</v>
      </c>
      <c r="AC366" s="10">
        <v>0</v>
      </c>
      <c r="AD366" s="10">
        <v>0</v>
      </c>
      <c r="AE366" s="10">
        <v>0</v>
      </c>
      <c r="AF366" s="10">
        <v>1</v>
      </c>
      <c r="AG366" s="10">
        <v>0</v>
      </c>
      <c r="AH366" s="10">
        <v>1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2</v>
      </c>
      <c r="AS366" s="10">
        <v>0</v>
      </c>
      <c r="AT366" s="10">
        <v>0</v>
      </c>
      <c r="AU366" s="10">
        <v>3</v>
      </c>
      <c r="AV366" s="10">
        <v>0</v>
      </c>
      <c r="AW366" s="10">
        <v>0</v>
      </c>
      <c r="AX366" s="10">
        <v>3</v>
      </c>
      <c r="AY366" s="10">
        <v>12</v>
      </c>
    </row>
    <row r="367" spans="1:51" ht="16.5" customHeight="1" x14ac:dyDescent="0.25">
      <c r="A367" s="10">
        <v>2</v>
      </c>
      <c r="B367" s="11" t="s">
        <v>389</v>
      </c>
      <c r="C367" s="10">
        <v>3</v>
      </c>
      <c r="D367" s="10">
        <v>7</v>
      </c>
      <c r="E367" s="10">
        <v>3</v>
      </c>
      <c r="F367" s="10">
        <v>0</v>
      </c>
      <c r="G367" s="10">
        <v>3</v>
      </c>
      <c r="H367" s="10">
        <v>0</v>
      </c>
      <c r="I367" s="10">
        <v>3</v>
      </c>
      <c r="J367" s="10">
        <v>1</v>
      </c>
      <c r="K367" s="10">
        <v>0</v>
      </c>
      <c r="L367" s="10">
        <v>0</v>
      </c>
      <c r="M367" s="10">
        <v>5</v>
      </c>
      <c r="N367" s="10">
        <v>4</v>
      </c>
      <c r="O367" s="10">
        <v>1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15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5</v>
      </c>
      <c r="AI367" s="10">
        <v>0</v>
      </c>
      <c r="AJ367" s="10">
        <v>0</v>
      </c>
      <c r="AK367" s="10">
        <v>1</v>
      </c>
      <c r="AL367" s="10">
        <v>0</v>
      </c>
      <c r="AM367" s="10">
        <v>0</v>
      </c>
      <c r="AN367" s="10">
        <v>0</v>
      </c>
      <c r="AO367" s="10">
        <v>0</v>
      </c>
      <c r="AP367" s="10">
        <v>1</v>
      </c>
      <c r="AQ367" s="10">
        <v>17</v>
      </c>
      <c r="AR367" s="10">
        <v>24</v>
      </c>
      <c r="AS367" s="10">
        <v>0</v>
      </c>
      <c r="AT367" s="10">
        <v>0</v>
      </c>
      <c r="AU367" s="10">
        <v>0</v>
      </c>
      <c r="AV367" s="10">
        <v>0</v>
      </c>
      <c r="AW367" s="10">
        <v>0</v>
      </c>
      <c r="AX367" s="10">
        <v>0</v>
      </c>
      <c r="AY367" s="10">
        <v>39</v>
      </c>
    </row>
    <row r="368" spans="1:51" ht="16.5" customHeight="1" x14ac:dyDescent="0.25">
      <c r="A368" s="10">
        <v>3</v>
      </c>
      <c r="B368" s="11" t="s">
        <v>390</v>
      </c>
      <c r="C368" s="10">
        <v>0</v>
      </c>
      <c r="D368" s="10">
        <v>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2</v>
      </c>
      <c r="K368" s="10">
        <v>0</v>
      </c>
      <c r="L368" s="10">
        <v>0</v>
      </c>
      <c r="M368" s="10">
        <v>1</v>
      </c>
      <c r="N368" s="10">
        <v>0</v>
      </c>
      <c r="O368" s="10">
        <v>0</v>
      </c>
      <c r="P368" s="10">
        <v>0</v>
      </c>
      <c r="Q368" s="10">
        <v>0</v>
      </c>
      <c r="R368" s="10">
        <v>1</v>
      </c>
      <c r="S368" s="10">
        <v>0</v>
      </c>
      <c r="T368" s="10">
        <v>0</v>
      </c>
      <c r="U368" s="10">
        <v>0</v>
      </c>
      <c r="V368" s="10">
        <v>0</v>
      </c>
      <c r="W368" s="10">
        <v>5</v>
      </c>
      <c r="X368" s="10">
        <v>8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2</v>
      </c>
      <c r="AQ368" s="10">
        <v>3</v>
      </c>
      <c r="AR368" s="10">
        <v>5</v>
      </c>
      <c r="AS368" s="10">
        <v>0</v>
      </c>
      <c r="AT368" s="10">
        <v>0</v>
      </c>
      <c r="AU368" s="10">
        <v>1</v>
      </c>
      <c r="AV368" s="10">
        <v>0</v>
      </c>
      <c r="AW368" s="10">
        <v>0</v>
      </c>
      <c r="AX368" s="10">
        <v>1</v>
      </c>
      <c r="AY368" s="10">
        <v>14</v>
      </c>
    </row>
    <row r="369" spans="1:51" ht="16.5" customHeight="1" x14ac:dyDescent="0.25">
      <c r="A369" s="10">
        <v>4</v>
      </c>
      <c r="B369" s="11" t="s">
        <v>391</v>
      </c>
      <c r="C369" s="10">
        <v>0</v>
      </c>
      <c r="D369" s="10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1</v>
      </c>
      <c r="J369" s="10">
        <v>1</v>
      </c>
      <c r="K369" s="10">
        <v>4</v>
      </c>
      <c r="L369" s="10">
        <v>0</v>
      </c>
      <c r="M369" s="10">
        <v>7</v>
      </c>
      <c r="N369" s="10">
        <v>4</v>
      </c>
      <c r="O369" s="10">
        <v>3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1</v>
      </c>
      <c r="X369" s="10">
        <v>14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1</v>
      </c>
      <c r="AQ369" s="10">
        <v>0</v>
      </c>
      <c r="AR369" s="10">
        <v>1</v>
      </c>
      <c r="AS369" s="10">
        <v>0</v>
      </c>
      <c r="AT369" s="10">
        <v>0</v>
      </c>
      <c r="AU369" s="10">
        <v>0</v>
      </c>
      <c r="AV369" s="10">
        <v>0</v>
      </c>
      <c r="AW369" s="10">
        <v>0</v>
      </c>
      <c r="AX369" s="10">
        <v>0</v>
      </c>
      <c r="AY369" s="10">
        <v>15</v>
      </c>
    </row>
    <row r="370" spans="1:51" ht="16.5" customHeight="1" x14ac:dyDescent="0.25">
      <c r="A370" s="10">
        <v>5</v>
      </c>
      <c r="B370" s="11" t="s">
        <v>392</v>
      </c>
      <c r="C370" s="10">
        <v>0</v>
      </c>
      <c r="D370" s="10">
        <v>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3</v>
      </c>
      <c r="K370" s="10">
        <v>1</v>
      </c>
      <c r="L370" s="10">
        <v>0</v>
      </c>
      <c r="M370" s="10">
        <v>4</v>
      </c>
      <c r="N370" s="10">
        <v>1</v>
      </c>
      <c r="O370" s="10">
        <v>2</v>
      </c>
      <c r="P370" s="10">
        <v>0</v>
      </c>
      <c r="Q370" s="10">
        <v>0</v>
      </c>
      <c r="R370" s="10">
        <v>1</v>
      </c>
      <c r="S370" s="10">
        <v>0</v>
      </c>
      <c r="T370" s="10">
        <v>0</v>
      </c>
      <c r="U370" s="10">
        <v>0</v>
      </c>
      <c r="V370" s="10">
        <v>0</v>
      </c>
      <c r="W370" s="10">
        <v>1</v>
      </c>
      <c r="X370" s="10">
        <v>9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1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0">
        <v>1</v>
      </c>
      <c r="AS370" s="10">
        <v>0</v>
      </c>
      <c r="AT370" s="10">
        <v>0</v>
      </c>
      <c r="AU370" s="10">
        <v>0</v>
      </c>
      <c r="AV370" s="10">
        <v>0</v>
      </c>
      <c r="AW370" s="10">
        <v>0</v>
      </c>
      <c r="AX370" s="10">
        <v>0</v>
      </c>
      <c r="AY370" s="10">
        <v>10</v>
      </c>
    </row>
    <row r="371" spans="1:51" ht="16.5" customHeight="1" x14ac:dyDescent="0.25">
      <c r="A371" s="10">
        <v>6</v>
      </c>
      <c r="B371" s="11" t="s">
        <v>393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3</v>
      </c>
      <c r="X371" s="10">
        <v>3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0">
        <v>0</v>
      </c>
      <c r="AT371" s="10">
        <v>0</v>
      </c>
      <c r="AU371" s="10">
        <v>0</v>
      </c>
      <c r="AV371" s="10">
        <v>0</v>
      </c>
      <c r="AW371" s="10">
        <v>0</v>
      </c>
      <c r="AX371" s="10">
        <v>0</v>
      </c>
      <c r="AY371" s="10">
        <v>3</v>
      </c>
    </row>
    <row r="372" spans="1:51" ht="16.5" customHeight="1" x14ac:dyDescent="0.25">
      <c r="A372" s="10">
        <v>7</v>
      </c>
      <c r="B372" s="11" t="s">
        <v>394</v>
      </c>
      <c r="C372" s="10">
        <v>0</v>
      </c>
      <c r="D372" s="10">
        <v>12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12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12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0</v>
      </c>
      <c r="AT372" s="10">
        <v>0</v>
      </c>
      <c r="AU372" s="10">
        <v>0</v>
      </c>
      <c r="AV372" s="10">
        <v>0</v>
      </c>
      <c r="AW372" s="10">
        <v>0</v>
      </c>
      <c r="AX372" s="10">
        <v>0</v>
      </c>
      <c r="AY372" s="10">
        <v>12</v>
      </c>
    </row>
    <row r="373" spans="1:51" ht="16.5" customHeight="1" x14ac:dyDescent="0.25">
      <c r="A373" s="10">
        <v>8</v>
      </c>
      <c r="B373" s="11" t="s">
        <v>395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7</v>
      </c>
      <c r="N373" s="10">
        <v>0</v>
      </c>
      <c r="O373" s="10">
        <v>0</v>
      </c>
      <c r="P373" s="10">
        <v>0</v>
      </c>
      <c r="Q373" s="10">
        <v>0</v>
      </c>
      <c r="R373" s="10">
        <v>7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7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10</v>
      </c>
      <c r="AV373" s="10">
        <v>0</v>
      </c>
      <c r="AW373" s="10">
        <v>0</v>
      </c>
      <c r="AX373" s="10">
        <v>10</v>
      </c>
      <c r="AY373" s="10">
        <v>17</v>
      </c>
    </row>
    <row r="374" spans="1:51" ht="16.5" customHeight="1" x14ac:dyDescent="0.25">
      <c r="A374" s="10">
        <v>9</v>
      </c>
      <c r="B374" s="11" t="s">
        <v>396</v>
      </c>
      <c r="C374" s="10">
        <v>0</v>
      </c>
      <c r="D374" s="10">
        <v>2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2</v>
      </c>
      <c r="K374" s="10">
        <v>0</v>
      </c>
      <c r="L374" s="10">
        <v>0</v>
      </c>
      <c r="M374" s="10">
        <v>4</v>
      </c>
      <c r="N374" s="10">
        <v>4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2</v>
      </c>
      <c r="X374" s="10">
        <v>8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0">
        <v>0</v>
      </c>
      <c r="AT374" s="10">
        <v>0</v>
      </c>
      <c r="AU374" s="10">
        <v>0</v>
      </c>
      <c r="AV374" s="10">
        <v>0</v>
      </c>
      <c r="AW374" s="10">
        <v>0</v>
      </c>
      <c r="AX374" s="10">
        <v>0</v>
      </c>
      <c r="AY374" s="10">
        <v>8</v>
      </c>
    </row>
    <row r="375" spans="1:51" ht="16.5" customHeight="1" x14ac:dyDescent="0.25">
      <c r="A375" s="10">
        <v>10</v>
      </c>
      <c r="B375" s="11" t="s">
        <v>397</v>
      </c>
      <c r="C375" s="10">
        <v>0</v>
      </c>
      <c r="D375" s="10">
        <v>4</v>
      </c>
      <c r="E375" s="10">
        <v>1</v>
      </c>
      <c r="F375" s="10">
        <v>0</v>
      </c>
      <c r="G375" s="10">
        <v>1</v>
      </c>
      <c r="H375" s="10">
        <v>0</v>
      </c>
      <c r="I375" s="10">
        <v>0</v>
      </c>
      <c r="J375" s="10">
        <v>2</v>
      </c>
      <c r="K375" s="10">
        <v>1</v>
      </c>
      <c r="L375" s="10">
        <v>0</v>
      </c>
      <c r="M375" s="10">
        <v>1</v>
      </c>
      <c r="N375" s="10">
        <v>0</v>
      </c>
      <c r="O375" s="10">
        <v>1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5</v>
      </c>
      <c r="Y375" s="10">
        <v>0</v>
      </c>
      <c r="Z375" s="10">
        <v>3</v>
      </c>
      <c r="AA375" s="10">
        <v>0</v>
      </c>
      <c r="AB375" s="10">
        <v>1</v>
      </c>
      <c r="AC375" s="10">
        <v>0</v>
      </c>
      <c r="AD375" s="10">
        <v>0</v>
      </c>
      <c r="AE375" s="10">
        <v>0</v>
      </c>
      <c r="AF375" s="10">
        <v>1</v>
      </c>
      <c r="AG375" s="10">
        <v>0</v>
      </c>
      <c r="AH375" s="10">
        <v>0</v>
      </c>
      <c r="AI375" s="10">
        <v>1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2</v>
      </c>
      <c r="AR375" s="10">
        <v>7</v>
      </c>
      <c r="AS375" s="10">
        <v>0</v>
      </c>
      <c r="AT375" s="10">
        <v>0</v>
      </c>
      <c r="AU375" s="10">
        <v>0</v>
      </c>
      <c r="AV375" s="10">
        <v>0</v>
      </c>
      <c r="AW375" s="10">
        <v>0</v>
      </c>
      <c r="AX375" s="10">
        <v>0</v>
      </c>
      <c r="AY375" s="10">
        <v>12</v>
      </c>
    </row>
    <row r="376" spans="1:51" ht="16.5" customHeight="1" x14ac:dyDescent="0.25">
      <c r="A376" s="10">
        <v>11</v>
      </c>
      <c r="B376" s="11" t="s">
        <v>398</v>
      </c>
      <c r="C376" s="10">
        <v>0</v>
      </c>
      <c r="D376" s="10">
        <v>2</v>
      </c>
      <c r="E376" s="10">
        <v>0</v>
      </c>
      <c r="F376" s="10">
        <v>0</v>
      </c>
      <c r="G376" s="10">
        <v>0</v>
      </c>
      <c r="H376" s="10">
        <v>0</v>
      </c>
      <c r="I376" s="10">
        <v>1</v>
      </c>
      <c r="J376" s="10">
        <v>1</v>
      </c>
      <c r="K376" s="10">
        <v>0</v>
      </c>
      <c r="L376" s="10">
        <v>0</v>
      </c>
      <c r="M376" s="10">
        <v>1</v>
      </c>
      <c r="N376" s="10">
        <v>0</v>
      </c>
      <c r="O376" s="10">
        <v>1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1</v>
      </c>
      <c r="X376" s="10">
        <v>4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0">
        <v>0</v>
      </c>
      <c r="AT376" s="10">
        <v>0</v>
      </c>
      <c r="AU376" s="10">
        <v>0</v>
      </c>
      <c r="AV376" s="10">
        <v>0</v>
      </c>
      <c r="AW376" s="10">
        <v>0</v>
      </c>
      <c r="AX376" s="10">
        <v>0</v>
      </c>
      <c r="AY376" s="10">
        <v>4</v>
      </c>
    </row>
    <row r="377" spans="1:51" ht="16.5" customHeight="1" x14ac:dyDescent="0.25">
      <c r="A377" s="10">
        <v>12</v>
      </c>
      <c r="B377" s="11" t="s">
        <v>399</v>
      </c>
      <c r="C377" s="10">
        <v>0</v>
      </c>
      <c r="D377" s="10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2</v>
      </c>
      <c r="J377" s="10">
        <v>1</v>
      </c>
      <c r="K377" s="10">
        <v>3</v>
      </c>
      <c r="L377" s="10">
        <v>1</v>
      </c>
      <c r="M377" s="10">
        <v>5</v>
      </c>
      <c r="N377" s="10">
        <v>5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2</v>
      </c>
      <c r="X377" s="10">
        <v>14</v>
      </c>
      <c r="Y377" s="10">
        <v>0</v>
      </c>
      <c r="Z377" s="10">
        <v>1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1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1</v>
      </c>
      <c r="AP377" s="10">
        <v>0</v>
      </c>
      <c r="AQ377" s="10">
        <v>0</v>
      </c>
      <c r="AR377" s="10">
        <v>3</v>
      </c>
      <c r="AS377" s="10">
        <v>0</v>
      </c>
      <c r="AT377" s="10">
        <v>0</v>
      </c>
      <c r="AU377" s="10">
        <v>0</v>
      </c>
      <c r="AV377" s="10">
        <v>0</v>
      </c>
      <c r="AW377" s="10">
        <v>0</v>
      </c>
      <c r="AX377" s="10">
        <v>0</v>
      </c>
      <c r="AY377" s="10">
        <v>17</v>
      </c>
    </row>
    <row r="378" spans="1:51" ht="16.5" customHeight="1" x14ac:dyDescent="0.25">
      <c r="A378" s="10">
        <v>13</v>
      </c>
      <c r="B378" s="11" t="s">
        <v>400</v>
      </c>
      <c r="C378" s="10">
        <v>0</v>
      </c>
      <c r="D378" s="10">
        <v>1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1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1</v>
      </c>
      <c r="X378" s="10">
        <v>2</v>
      </c>
      <c r="Y378" s="10">
        <v>0</v>
      </c>
      <c r="Z378" s="10">
        <v>0</v>
      </c>
      <c r="AA378" s="10">
        <v>0</v>
      </c>
      <c r="AB378" s="10">
        <v>1</v>
      </c>
      <c r="AC378" s="10">
        <v>0</v>
      </c>
      <c r="AD378" s="10">
        <v>0</v>
      </c>
      <c r="AE378" s="10">
        <v>0</v>
      </c>
      <c r="AF378" s="10">
        <v>1</v>
      </c>
      <c r="AG378" s="10">
        <v>0</v>
      </c>
      <c r="AH378" s="10">
        <v>9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10</v>
      </c>
      <c r="AS378" s="10">
        <v>0</v>
      </c>
      <c r="AT378" s="10">
        <v>0</v>
      </c>
      <c r="AU378" s="10">
        <v>0</v>
      </c>
      <c r="AV378" s="10">
        <v>0</v>
      </c>
      <c r="AW378" s="10">
        <v>0</v>
      </c>
      <c r="AX378" s="10">
        <v>0</v>
      </c>
      <c r="AY378" s="10">
        <v>12</v>
      </c>
    </row>
    <row r="379" spans="1:51" ht="16.5" customHeight="1" x14ac:dyDescent="0.25">
      <c r="A379" s="10">
        <v>14</v>
      </c>
      <c r="B379" s="11" t="s">
        <v>401</v>
      </c>
      <c r="C379" s="10">
        <v>0</v>
      </c>
      <c r="D379" s="10">
        <v>4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4</v>
      </c>
      <c r="L379" s="10">
        <v>0</v>
      </c>
      <c r="M379" s="10">
        <v>2</v>
      </c>
      <c r="N379" s="10">
        <v>2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6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v>0</v>
      </c>
      <c r="AT379" s="10">
        <v>0</v>
      </c>
      <c r="AU379" s="10">
        <v>0</v>
      </c>
      <c r="AV379" s="10">
        <v>0</v>
      </c>
      <c r="AW379" s="10">
        <v>0</v>
      </c>
      <c r="AX379" s="10">
        <v>0</v>
      </c>
      <c r="AY379" s="10">
        <v>6</v>
      </c>
    </row>
    <row r="380" spans="1:51" ht="16.5" customHeight="1" x14ac:dyDescent="0.25">
      <c r="A380" s="10">
        <v>15</v>
      </c>
      <c r="B380" s="11" t="s">
        <v>402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0">
        <v>0</v>
      </c>
      <c r="AW380" s="10">
        <v>0</v>
      </c>
      <c r="AX380" s="10">
        <v>0</v>
      </c>
      <c r="AY380" s="10">
        <v>0</v>
      </c>
    </row>
    <row r="381" spans="1:51" ht="16.5" customHeight="1" x14ac:dyDescent="0.25">
      <c r="A381" s="10">
        <v>16</v>
      </c>
      <c r="B381" s="11" t="s">
        <v>403</v>
      </c>
      <c r="C381" s="10">
        <v>0</v>
      </c>
      <c r="D381" s="10">
        <v>6</v>
      </c>
      <c r="E381" s="10">
        <v>1</v>
      </c>
      <c r="F381" s="10">
        <v>0</v>
      </c>
      <c r="G381" s="10">
        <v>1</v>
      </c>
      <c r="H381" s="10">
        <v>0</v>
      </c>
      <c r="I381" s="10">
        <v>2</v>
      </c>
      <c r="J381" s="10">
        <v>1</v>
      </c>
      <c r="K381" s="10">
        <v>2</v>
      </c>
      <c r="L381" s="10">
        <v>0</v>
      </c>
      <c r="M381" s="10">
        <v>1</v>
      </c>
      <c r="N381" s="10">
        <v>0</v>
      </c>
      <c r="O381" s="10">
        <v>1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1</v>
      </c>
      <c r="X381" s="10">
        <v>8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1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5</v>
      </c>
      <c r="AP381" s="10">
        <v>0</v>
      </c>
      <c r="AQ381" s="10">
        <v>1</v>
      </c>
      <c r="AR381" s="10">
        <v>7</v>
      </c>
      <c r="AS381" s="10">
        <v>0</v>
      </c>
      <c r="AT381" s="10">
        <v>0</v>
      </c>
      <c r="AU381" s="10">
        <v>0</v>
      </c>
      <c r="AV381" s="10">
        <v>0</v>
      </c>
      <c r="AW381" s="10">
        <v>0</v>
      </c>
      <c r="AX381" s="10">
        <v>0</v>
      </c>
      <c r="AY381" s="10">
        <v>15</v>
      </c>
    </row>
    <row r="382" spans="1:51" ht="16.5" customHeight="1" x14ac:dyDescent="0.25">
      <c r="A382" s="10">
        <v>17</v>
      </c>
      <c r="B382" s="11" t="s">
        <v>404</v>
      </c>
      <c r="C382" s="10">
        <v>2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1</v>
      </c>
      <c r="N382" s="10">
        <v>0</v>
      </c>
      <c r="O382" s="10">
        <v>0</v>
      </c>
      <c r="P382" s="10">
        <v>0</v>
      </c>
      <c r="Q382" s="10">
        <v>0</v>
      </c>
      <c r="R382" s="10">
        <v>1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3</v>
      </c>
      <c r="Y382" s="10">
        <v>0</v>
      </c>
      <c r="Z382" s="10">
        <v>2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1</v>
      </c>
      <c r="AL382" s="10">
        <v>0</v>
      </c>
      <c r="AM382" s="10">
        <v>0</v>
      </c>
      <c r="AN382" s="10">
        <v>0</v>
      </c>
      <c r="AO382" s="10">
        <v>0</v>
      </c>
      <c r="AP382" s="10">
        <v>0</v>
      </c>
      <c r="AQ382" s="10">
        <v>1</v>
      </c>
      <c r="AR382" s="10">
        <v>4</v>
      </c>
      <c r="AS382" s="10">
        <v>0</v>
      </c>
      <c r="AT382" s="10">
        <v>0</v>
      </c>
      <c r="AU382" s="10">
        <v>0</v>
      </c>
      <c r="AV382" s="10">
        <v>0</v>
      </c>
      <c r="AW382" s="10">
        <v>0</v>
      </c>
      <c r="AX382" s="10">
        <v>0</v>
      </c>
      <c r="AY382" s="10">
        <v>7</v>
      </c>
    </row>
    <row r="383" spans="1:51" ht="16.5" customHeight="1" x14ac:dyDescent="0.25">
      <c r="A383" s="10">
        <v>18</v>
      </c>
      <c r="B383" s="11" t="s">
        <v>405</v>
      </c>
      <c r="C383" s="10">
        <v>0</v>
      </c>
      <c r="D383" s="10">
        <v>28</v>
      </c>
      <c r="E383" s="10">
        <v>2</v>
      </c>
      <c r="F383" s="10">
        <v>0</v>
      </c>
      <c r="G383" s="10">
        <v>2</v>
      </c>
      <c r="H383" s="10">
        <v>1</v>
      </c>
      <c r="I383" s="10">
        <v>8</v>
      </c>
      <c r="J383" s="10">
        <v>15</v>
      </c>
      <c r="K383" s="10">
        <v>2</v>
      </c>
      <c r="L383" s="10">
        <v>0</v>
      </c>
      <c r="M383" s="10">
        <v>5</v>
      </c>
      <c r="N383" s="10">
        <v>0</v>
      </c>
      <c r="O383" s="10">
        <v>5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33</v>
      </c>
      <c r="Y383" s="10">
        <v>0</v>
      </c>
      <c r="Z383" s="10">
        <v>1</v>
      </c>
      <c r="AA383" s="10">
        <v>0</v>
      </c>
      <c r="AB383" s="10">
        <v>15</v>
      </c>
      <c r="AC383" s="10">
        <v>0</v>
      </c>
      <c r="AD383" s="10">
        <v>7</v>
      </c>
      <c r="AE383" s="10">
        <v>4</v>
      </c>
      <c r="AF383" s="10">
        <v>4</v>
      </c>
      <c r="AG383" s="10">
        <v>0</v>
      </c>
      <c r="AH383" s="10">
        <v>6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3</v>
      </c>
      <c r="AP383" s="10">
        <v>5</v>
      </c>
      <c r="AQ383" s="10">
        <v>0</v>
      </c>
      <c r="AR383" s="10">
        <v>30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</v>
      </c>
      <c r="AY383" s="10">
        <v>63</v>
      </c>
    </row>
    <row r="384" spans="1:51" ht="16.5" customHeight="1" x14ac:dyDescent="0.25">
      <c r="A384" s="10">
        <v>19</v>
      </c>
      <c r="B384" s="11" t="s">
        <v>406</v>
      </c>
      <c r="C384" s="10">
        <v>0</v>
      </c>
      <c r="D384" s="10">
        <v>5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4</v>
      </c>
      <c r="K384" s="10">
        <v>1</v>
      </c>
      <c r="L384" s="10">
        <v>0</v>
      </c>
      <c r="M384" s="10">
        <v>3</v>
      </c>
      <c r="N384" s="10">
        <v>1</v>
      </c>
      <c r="O384" s="10">
        <v>2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1</v>
      </c>
      <c r="X384" s="10">
        <v>9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1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2</v>
      </c>
      <c r="AR384" s="10">
        <v>3</v>
      </c>
      <c r="AS384" s="10">
        <v>0</v>
      </c>
      <c r="AT384" s="10">
        <v>0</v>
      </c>
      <c r="AU384" s="10">
        <v>0</v>
      </c>
      <c r="AV384" s="10">
        <v>0</v>
      </c>
      <c r="AW384" s="10">
        <v>0</v>
      </c>
      <c r="AX384" s="10">
        <v>0</v>
      </c>
      <c r="AY384" s="10">
        <v>12</v>
      </c>
    </row>
    <row r="385" spans="1:51" ht="16.5" customHeight="1" x14ac:dyDescent="0.25">
      <c r="A385" s="10">
        <v>20</v>
      </c>
      <c r="B385" s="11" t="s">
        <v>407</v>
      </c>
      <c r="C385" s="10">
        <v>1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1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0</v>
      </c>
      <c r="AT385" s="10">
        <v>0</v>
      </c>
      <c r="AU385" s="10">
        <v>0</v>
      </c>
      <c r="AV385" s="10">
        <v>0</v>
      </c>
      <c r="AW385" s="10">
        <v>0</v>
      </c>
      <c r="AX385" s="10">
        <v>0</v>
      </c>
      <c r="AY385" s="10">
        <v>1</v>
      </c>
    </row>
    <row r="386" spans="1:51" ht="16.5" customHeight="1" x14ac:dyDescent="0.25">
      <c r="A386" s="10">
        <v>21</v>
      </c>
      <c r="B386" s="11" t="s">
        <v>81</v>
      </c>
      <c r="C386" s="10">
        <v>2</v>
      </c>
      <c r="D386" s="10">
        <v>18</v>
      </c>
      <c r="E386" s="10">
        <v>8</v>
      </c>
      <c r="F386" s="10">
        <v>0</v>
      </c>
      <c r="G386" s="10">
        <v>8</v>
      </c>
      <c r="H386" s="10">
        <v>0</v>
      </c>
      <c r="I386" s="10">
        <v>2</v>
      </c>
      <c r="J386" s="10">
        <v>6</v>
      </c>
      <c r="K386" s="10">
        <v>2</v>
      </c>
      <c r="L386" s="10">
        <v>0</v>
      </c>
      <c r="M386" s="10">
        <v>9</v>
      </c>
      <c r="N386" s="10">
        <v>5</v>
      </c>
      <c r="O386" s="10">
        <v>3</v>
      </c>
      <c r="P386" s="10">
        <v>1</v>
      </c>
      <c r="Q386" s="10">
        <v>0</v>
      </c>
      <c r="R386" s="10">
        <v>0</v>
      </c>
      <c r="S386" s="10">
        <v>0</v>
      </c>
      <c r="T386" s="10">
        <v>2</v>
      </c>
      <c r="U386" s="10">
        <v>0</v>
      </c>
      <c r="V386" s="10">
        <v>0</v>
      </c>
      <c r="W386" s="10">
        <v>0</v>
      </c>
      <c r="X386" s="10">
        <v>31</v>
      </c>
      <c r="Y386" s="10">
        <v>0</v>
      </c>
      <c r="Z386" s="10">
        <v>1</v>
      </c>
      <c r="AA386" s="10">
        <v>0</v>
      </c>
      <c r="AB386" s="10">
        <v>2</v>
      </c>
      <c r="AC386" s="10">
        <v>0</v>
      </c>
      <c r="AD386" s="10">
        <v>0</v>
      </c>
      <c r="AE386" s="10">
        <v>2</v>
      </c>
      <c r="AF386" s="10">
        <v>0</v>
      </c>
      <c r="AG386" s="10">
        <v>0</v>
      </c>
      <c r="AH386" s="10">
        <v>0</v>
      </c>
      <c r="AI386" s="10">
        <v>1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0</v>
      </c>
      <c r="AP386" s="10">
        <v>3</v>
      </c>
      <c r="AQ386" s="10">
        <v>2</v>
      </c>
      <c r="AR386" s="10">
        <v>9</v>
      </c>
      <c r="AS386" s="10">
        <v>0</v>
      </c>
      <c r="AT386" s="10">
        <v>0</v>
      </c>
      <c r="AU386" s="10">
        <v>1</v>
      </c>
      <c r="AV386" s="10">
        <v>0</v>
      </c>
      <c r="AW386" s="10">
        <v>0</v>
      </c>
      <c r="AX386" s="10">
        <v>1</v>
      </c>
      <c r="AY386" s="10">
        <v>41</v>
      </c>
    </row>
    <row r="387" spans="1:51" ht="16.5" customHeight="1" x14ac:dyDescent="0.25">
      <c r="A387" s="12"/>
      <c r="B387" s="13" t="s">
        <v>889</v>
      </c>
      <c r="C387" s="14">
        <f>SUM(C366:C386)</f>
        <v>8</v>
      </c>
      <c r="D387" s="14">
        <f t="shared" ref="D387:AY387" si="14">SUM(D366:D386)</f>
        <v>111</v>
      </c>
      <c r="E387" s="14">
        <f t="shared" si="14"/>
        <v>15</v>
      </c>
      <c r="F387" s="14">
        <f t="shared" si="14"/>
        <v>0</v>
      </c>
      <c r="G387" s="14">
        <f t="shared" si="14"/>
        <v>15</v>
      </c>
      <c r="H387" s="14">
        <f t="shared" si="14"/>
        <v>1</v>
      </c>
      <c r="I387" s="14">
        <f t="shared" si="14"/>
        <v>19</v>
      </c>
      <c r="J387" s="14">
        <f t="shared" si="14"/>
        <v>41</v>
      </c>
      <c r="K387" s="14">
        <f t="shared" si="14"/>
        <v>35</v>
      </c>
      <c r="L387" s="14">
        <f t="shared" si="14"/>
        <v>1</v>
      </c>
      <c r="M387" s="14">
        <f t="shared" si="14"/>
        <v>59</v>
      </c>
      <c r="N387" s="14">
        <f t="shared" si="14"/>
        <v>29</v>
      </c>
      <c r="O387" s="14">
        <f t="shared" si="14"/>
        <v>19</v>
      </c>
      <c r="P387" s="14">
        <f t="shared" si="14"/>
        <v>1</v>
      </c>
      <c r="Q387" s="14">
        <f t="shared" si="14"/>
        <v>0</v>
      </c>
      <c r="R387" s="14">
        <f t="shared" si="14"/>
        <v>10</v>
      </c>
      <c r="S387" s="14">
        <f t="shared" si="14"/>
        <v>0</v>
      </c>
      <c r="T387" s="14">
        <f t="shared" si="14"/>
        <v>2</v>
      </c>
      <c r="U387" s="14">
        <f t="shared" si="14"/>
        <v>0</v>
      </c>
      <c r="V387" s="14">
        <f t="shared" si="14"/>
        <v>0</v>
      </c>
      <c r="W387" s="14">
        <f t="shared" si="14"/>
        <v>18</v>
      </c>
      <c r="X387" s="14">
        <f t="shared" si="14"/>
        <v>199</v>
      </c>
      <c r="Y387" s="14">
        <f t="shared" si="14"/>
        <v>0</v>
      </c>
      <c r="Z387" s="14">
        <f t="shared" si="14"/>
        <v>8</v>
      </c>
      <c r="AA387" s="14">
        <f t="shared" si="14"/>
        <v>0</v>
      </c>
      <c r="AB387" s="14">
        <f t="shared" si="14"/>
        <v>20</v>
      </c>
      <c r="AC387" s="14">
        <f t="shared" si="14"/>
        <v>0</v>
      </c>
      <c r="AD387" s="14">
        <f t="shared" si="14"/>
        <v>7</v>
      </c>
      <c r="AE387" s="14">
        <f t="shared" si="14"/>
        <v>6</v>
      </c>
      <c r="AF387" s="14">
        <f t="shared" si="14"/>
        <v>7</v>
      </c>
      <c r="AG387" s="14">
        <f t="shared" si="14"/>
        <v>0</v>
      </c>
      <c r="AH387" s="14">
        <f t="shared" si="14"/>
        <v>23</v>
      </c>
      <c r="AI387" s="14">
        <f t="shared" si="14"/>
        <v>3</v>
      </c>
      <c r="AJ387" s="14">
        <f t="shared" si="14"/>
        <v>0</v>
      </c>
      <c r="AK387" s="14">
        <f t="shared" si="14"/>
        <v>3</v>
      </c>
      <c r="AL387" s="14">
        <f t="shared" si="14"/>
        <v>0</v>
      </c>
      <c r="AM387" s="14">
        <f t="shared" si="14"/>
        <v>0</v>
      </c>
      <c r="AN387" s="14">
        <f t="shared" si="14"/>
        <v>0</v>
      </c>
      <c r="AO387" s="14">
        <f t="shared" si="14"/>
        <v>9</v>
      </c>
      <c r="AP387" s="14">
        <f t="shared" si="14"/>
        <v>12</v>
      </c>
      <c r="AQ387" s="14">
        <f t="shared" si="14"/>
        <v>28</v>
      </c>
      <c r="AR387" s="14">
        <f t="shared" si="14"/>
        <v>106</v>
      </c>
      <c r="AS387" s="14">
        <f t="shared" si="14"/>
        <v>0</v>
      </c>
      <c r="AT387" s="14">
        <f t="shared" si="14"/>
        <v>0</v>
      </c>
      <c r="AU387" s="14">
        <f t="shared" si="14"/>
        <v>15</v>
      </c>
      <c r="AV387" s="14">
        <f t="shared" si="14"/>
        <v>0</v>
      </c>
      <c r="AW387" s="14">
        <f t="shared" si="14"/>
        <v>0</v>
      </c>
      <c r="AX387" s="14">
        <f t="shared" si="14"/>
        <v>15</v>
      </c>
      <c r="AY387" s="14">
        <f t="shared" si="14"/>
        <v>320</v>
      </c>
    </row>
    <row r="388" spans="1:51" ht="16.5" customHeight="1" x14ac:dyDescent="0.25">
      <c r="A388" s="9" t="s">
        <v>903</v>
      </c>
      <c r="B388" s="1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</row>
    <row r="389" spans="1:51" ht="16.5" customHeight="1" x14ac:dyDescent="0.25">
      <c r="A389" s="10">
        <v>1</v>
      </c>
      <c r="B389" s="11" t="s">
        <v>408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0</v>
      </c>
      <c r="AU389" s="10">
        <v>0</v>
      </c>
      <c r="AV389" s="10">
        <v>0</v>
      </c>
      <c r="AW389" s="10">
        <v>0</v>
      </c>
      <c r="AX389" s="10">
        <v>0</v>
      </c>
      <c r="AY389" s="10">
        <v>0</v>
      </c>
    </row>
    <row r="390" spans="1:51" ht="16.5" customHeight="1" x14ac:dyDescent="0.25">
      <c r="A390" s="10">
        <v>2</v>
      </c>
      <c r="B390" s="11" t="s">
        <v>409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1</v>
      </c>
      <c r="AQ390" s="10">
        <v>0</v>
      </c>
      <c r="AR390" s="10">
        <v>1</v>
      </c>
      <c r="AS390" s="10">
        <v>0</v>
      </c>
      <c r="AT390" s="10">
        <v>0</v>
      </c>
      <c r="AU390" s="10">
        <v>0</v>
      </c>
      <c r="AV390" s="10">
        <v>0</v>
      </c>
      <c r="AW390" s="10">
        <v>0</v>
      </c>
      <c r="AX390" s="10">
        <v>0</v>
      </c>
      <c r="AY390" s="10">
        <v>1</v>
      </c>
    </row>
    <row r="391" spans="1:51" ht="16.5" customHeight="1" x14ac:dyDescent="0.25">
      <c r="A391" s="10">
        <v>3</v>
      </c>
      <c r="B391" s="11" t="s">
        <v>410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3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  <c r="AQ391" s="10">
        <v>2</v>
      </c>
      <c r="AR391" s="10">
        <v>5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5</v>
      </c>
    </row>
    <row r="392" spans="1:51" ht="16.5" customHeight="1" x14ac:dyDescent="0.25">
      <c r="A392" s="10">
        <v>4</v>
      </c>
      <c r="B392" s="11" t="s">
        <v>411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0">
        <v>0</v>
      </c>
      <c r="AT392" s="10">
        <v>0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</row>
    <row r="393" spans="1:51" ht="16.5" customHeight="1" x14ac:dyDescent="0.25">
      <c r="A393" s="10">
        <v>5</v>
      </c>
      <c r="B393" s="11" t="s">
        <v>412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0">
        <v>0</v>
      </c>
      <c r="AT393" s="10">
        <v>0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</row>
    <row r="394" spans="1:51" ht="16.5" customHeight="1" x14ac:dyDescent="0.25">
      <c r="A394" s="10">
        <v>6</v>
      </c>
      <c r="B394" s="11" t="s">
        <v>413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2</v>
      </c>
      <c r="AR394" s="10">
        <v>2</v>
      </c>
      <c r="AS394" s="10">
        <v>0</v>
      </c>
      <c r="AT394" s="10">
        <v>0</v>
      </c>
      <c r="AU394" s="10">
        <v>0</v>
      </c>
      <c r="AV394" s="10">
        <v>0</v>
      </c>
      <c r="AW394" s="10">
        <v>0</v>
      </c>
      <c r="AX394" s="10">
        <v>0</v>
      </c>
      <c r="AY394" s="10">
        <v>2</v>
      </c>
    </row>
    <row r="395" spans="1:51" ht="16.5" customHeight="1" x14ac:dyDescent="0.25">
      <c r="A395" s="10">
        <v>7</v>
      </c>
      <c r="B395" s="11" t="s">
        <v>414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0">
        <v>0</v>
      </c>
      <c r="AT395" s="10">
        <v>0</v>
      </c>
      <c r="AU395" s="10">
        <v>0</v>
      </c>
      <c r="AV395" s="10">
        <v>0</v>
      </c>
      <c r="AW395" s="10">
        <v>0</v>
      </c>
      <c r="AX395" s="10">
        <v>0</v>
      </c>
      <c r="AY395" s="10">
        <v>0</v>
      </c>
    </row>
    <row r="396" spans="1:51" ht="16.5" customHeight="1" x14ac:dyDescent="0.25">
      <c r="A396" s="10">
        <v>8</v>
      </c>
      <c r="B396" s="11" t="s">
        <v>415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>
        <v>0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</row>
    <row r="397" spans="1:51" ht="16.5" customHeight="1" x14ac:dyDescent="0.25">
      <c r="A397" s="10">
        <v>9</v>
      </c>
      <c r="B397" s="11" t="s">
        <v>416</v>
      </c>
      <c r="C397" s="10">
        <v>0</v>
      </c>
      <c r="D397" s="10">
        <v>6</v>
      </c>
      <c r="E397" s="10">
        <v>3</v>
      </c>
      <c r="F397" s="10">
        <v>0</v>
      </c>
      <c r="G397" s="10">
        <v>3</v>
      </c>
      <c r="H397" s="10">
        <v>0</v>
      </c>
      <c r="I397" s="10">
        <v>1</v>
      </c>
      <c r="J397" s="10">
        <v>0</v>
      </c>
      <c r="K397" s="10">
        <v>2</v>
      </c>
      <c r="L397" s="10">
        <v>0</v>
      </c>
      <c r="M397" s="10">
        <v>7</v>
      </c>
      <c r="N397" s="10">
        <v>0</v>
      </c>
      <c r="O397" s="10">
        <v>4</v>
      </c>
      <c r="P397" s="10">
        <v>2</v>
      </c>
      <c r="Q397" s="10">
        <v>0</v>
      </c>
      <c r="R397" s="10">
        <v>1</v>
      </c>
      <c r="S397" s="10">
        <v>0</v>
      </c>
      <c r="T397" s="10">
        <v>0</v>
      </c>
      <c r="U397" s="10">
        <v>0</v>
      </c>
      <c r="V397" s="10">
        <v>0</v>
      </c>
      <c r="W397" s="10">
        <v>1</v>
      </c>
      <c r="X397" s="10">
        <v>14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6</v>
      </c>
      <c r="AQ397" s="10">
        <v>0</v>
      </c>
      <c r="AR397" s="10">
        <v>6</v>
      </c>
      <c r="AS397" s="10">
        <v>0</v>
      </c>
      <c r="AT397" s="10">
        <v>0</v>
      </c>
      <c r="AU397" s="10">
        <v>0</v>
      </c>
      <c r="AV397" s="10">
        <v>0</v>
      </c>
      <c r="AW397" s="10">
        <v>0</v>
      </c>
      <c r="AX397" s="10">
        <v>0</v>
      </c>
      <c r="AY397" s="10">
        <v>20</v>
      </c>
    </row>
    <row r="398" spans="1:51" ht="16.5" customHeight="1" x14ac:dyDescent="0.25">
      <c r="A398" s="10">
        <v>10</v>
      </c>
      <c r="B398" s="11" t="s">
        <v>417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0">
        <v>0</v>
      </c>
      <c r="AT398" s="10">
        <v>0</v>
      </c>
      <c r="AU398" s="10">
        <v>0</v>
      </c>
      <c r="AV398" s="10">
        <v>0</v>
      </c>
      <c r="AW398" s="10">
        <v>0</v>
      </c>
      <c r="AX398" s="10">
        <v>0</v>
      </c>
      <c r="AY398" s="10">
        <v>0</v>
      </c>
    </row>
    <row r="399" spans="1:51" ht="16.5" customHeight="1" x14ac:dyDescent="0.25">
      <c r="A399" s="10">
        <v>11</v>
      </c>
      <c r="B399" s="11" t="s">
        <v>418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  <c r="AQ399" s="10">
        <v>0</v>
      </c>
      <c r="AR399" s="10">
        <v>0</v>
      </c>
      <c r="AS399" s="10">
        <v>0</v>
      </c>
      <c r="AT399" s="10">
        <v>0</v>
      </c>
      <c r="AU399" s="10">
        <v>0</v>
      </c>
      <c r="AV399" s="10">
        <v>0</v>
      </c>
      <c r="AW399" s="10">
        <v>0</v>
      </c>
      <c r="AX399" s="10">
        <v>0</v>
      </c>
      <c r="AY399" s="10">
        <v>0</v>
      </c>
    </row>
    <row r="400" spans="1:51" ht="16.5" customHeight="1" x14ac:dyDescent="0.25">
      <c r="A400" s="10">
        <v>12</v>
      </c>
      <c r="B400" s="11" t="s">
        <v>419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1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2</v>
      </c>
      <c r="AQ400" s="10">
        <v>0</v>
      </c>
      <c r="AR400" s="10">
        <v>3</v>
      </c>
      <c r="AS400" s="10">
        <v>0</v>
      </c>
      <c r="AT400" s="10">
        <v>0</v>
      </c>
      <c r="AU400" s="10">
        <v>0</v>
      </c>
      <c r="AV400" s="10">
        <v>0</v>
      </c>
      <c r="AW400" s="10">
        <v>0</v>
      </c>
      <c r="AX400" s="10">
        <v>0</v>
      </c>
      <c r="AY400" s="10">
        <v>3</v>
      </c>
    </row>
    <row r="401" spans="1:51" ht="16.5" customHeight="1" x14ac:dyDescent="0.25">
      <c r="A401" s="10">
        <v>13</v>
      </c>
      <c r="B401" s="11" t="s">
        <v>420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</row>
    <row r="402" spans="1:51" ht="16.5" customHeight="1" x14ac:dyDescent="0.25">
      <c r="A402" s="10">
        <v>14</v>
      </c>
      <c r="B402" s="11" t="s">
        <v>421</v>
      </c>
      <c r="C402" s="10">
        <v>0</v>
      </c>
      <c r="D402" s="10">
        <v>4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4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4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0</v>
      </c>
      <c r="AN402" s="10">
        <v>0</v>
      </c>
      <c r="AO402" s="10">
        <v>0</v>
      </c>
      <c r="AP402" s="10">
        <v>0</v>
      </c>
      <c r="AQ402" s="10">
        <v>0</v>
      </c>
      <c r="AR402" s="10">
        <v>0</v>
      </c>
      <c r="AS402" s="10">
        <v>0</v>
      </c>
      <c r="AT402" s="10">
        <v>0</v>
      </c>
      <c r="AU402" s="10">
        <v>0</v>
      </c>
      <c r="AV402" s="10">
        <v>0</v>
      </c>
      <c r="AW402" s="10">
        <v>0</v>
      </c>
      <c r="AX402" s="10">
        <v>0</v>
      </c>
      <c r="AY402" s="10">
        <v>4</v>
      </c>
    </row>
    <row r="403" spans="1:51" ht="16.5" customHeight="1" x14ac:dyDescent="0.25">
      <c r="A403" s="10">
        <v>15</v>
      </c>
      <c r="B403" s="11" t="s">
        <v>422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1</v>
      </c>
      <c r="AC403" s="10">
        <v>0</v>
      </c>
      <c r="AD403" s="10">
        <v>0</v>
      </c>
      <c r="AE403" s="10">
        <v>1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4</v>
      </c>
      <c r="AP403" s="10">
        <v>0</v>
      </c>
      <c r="AQ403" s="10">
        <v>0</v>
      </c>
      <c r="AR403" s="10">
        <v>5</v>
      </c>
      <c r="AS403" s="10">
        <v>0</v>
      </c>
      <c r="AT403" s="10">
        <v>0</v>
      </c>
      <c r="AU403" s="10">
        <v>0</v>
      </c>
      <c r="AV403" s="10">
        <v>0</v>
      </c>
      <c r="AW403" s="10">
        <v>0</v>
      </c>
      <c r="AX403" s="10">
        <v>0</v>
      </c>
      <c r="AY403" s="10">
        <v>5</v>
      </c>
    </row>
    <row r="404" spans="1:51" ht="16.5" customHeight="1" x14ac:dyDescent="0.25">
      <c r="A404" s="10">
        <v>16</v>
      </c>
      <c r="B404" s="11" t="s">
        <v>423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0</v>
      </c>
      <c r="AP404" s="10">
        <v>0</v>
      </c>
      <c r="AQ404" s="10">
        <v>0</v>
      </c>
      <c r="AR404" s="10">
        <v>0</v>
      </c>
      <c r="AS404" s="10">
        <v>0</v>
      </c>
      <c r="AT404" s="10">
        <v>0</v>
      </c>
      <c r="AU404" s="10">
        <v>0</v>
      </c>
      <c r="AV404" s="10">
        <v>0</v>
      </c>
      <c r="AW404" s="10">
        <v>0</v>
      </c>
      <c r="AX404" s="10">
        <v>0</v>
      </c>
      <c r="AY404" s="10">
        <v>0</v>
      </c>
    </row>
    <row r="405" spans="1:51" ht="16.5" customHeight="1" x14ac:dyDescent="0.25">
      <c r="A405" s="10">
        <v>17</v>
      </c>
      <c r="B405" s="11" t="s">
        <v>424</v>
      </c>
      <c r="C405" s="10">
        <v>0</v>
      </c>
      <c r="D405" s="10">
        <v>8</v>
      </c>
      <c r="E405" s="10">
        <v>0</v>
      </c>
      <c r="F405" s="10">
        <v>0</v>
      </c>
      <c r="G405" s="10">
        <v>0</v>
      </c>
      <c r="H405" s="10">
        <v>4</v>
      </c>
      <c r="I405" s="10">
        <v>1</v>
      </c>
      <c r="J405" s="10">
        <v>3</v>
      </c>
      <c r="K405" s="10">
        <v>0</v>
      </c>
      <c r="L405" s="10">
        <v>0</v>
      </c>
      <c r="M405" s="10">
        <v>11</v>
      </c>
      <c r="N405" s="10">
        <v>1</v>
      </c>
      <c r="O405" s="10">
        <v>0</v>
      </c>
      <c r="P405" s="10">
        <v>0</v>
      </c>
      <c r="Q405" s="10">
        <v>0</v>
      </c>
      <c r="R405" s="10">
        <v>10</v>
      </c>
      <c r="S405" s="10">
        <v>0</v>
      </c>
      <c r="T405" s="10">
        <v>0</v>
      </c>
      <c r="U405" s="10">
        <v>0</v>
      </c>
      <c r="V405" s="10">
        <v>0</v>
      </c>
      <c r="W405" s="10">
        <v>6</v>
      </c>
      <c r="X405" s="10">
        <v>25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0">
        <v>0</v>
      </c>
      <c r="AT405" s="10">
        <v>0</v>
      </c>
      <c r="AU405" s="10">
        <v>0</v>
      </c>
      <c r="AV405" s="10">
        <v>0</v>
      </c>
      <c r="AW405" s="10">
        <v>0</v>
      </c>
      <c r="AX405" s="10">
        <v>0</v>
      </c>
      <c r="AY405" s="10">
        <v>25</v>
      </c>
    </row>
    <row r="406" spans="1:51" ht="16.5" customHeight="1" x14ac:dyDescent="0.25">
      <c r="A406" s="10">
        <v>18</v>
      </c>
      <c r="B406" s="11" t="s">
        <v>425</v>
      </c>
      <c r="C406" s="10">
        <v>0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0</v>
      </c>
      <c r="AQ406" s="10">
        <v>1</v>
      </c>
      <c r="AR406" s="10">
        <v>1</v>
      </c>
      <c r="AS406" s="10">
        <v>0</v>
      </c>
      <c r="AT406" s="10">
        <v>0</v>
      </c>
      <c r="AU406" s="10">
        <v>2</v>
      </c>
      <c r="AV406" s="10">
        <v>0</v>
      </c>
      <c r="AW406" s="10">
        <v>0</v>
      </c>
      <c r="AX406" s="10">
        <v>2</v>
      </c>
      <c r="AY406" s="10">
        <v>3</v>
      </c>
    </row>
    <row r="407" spans="1:51" ht="16.5" customHeight="1" x14ac:dyDescent="0.25">
      <c r="A407" s="10">
        <v>19</v>
      </c>
      <c r="B407" s="11" t="s">
        <v>426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  <c r="AQ407" s="10">
        <v>0</v>
      </c>
      <c r="AR407" s="10">
        <v>0</v>
      </c>
      <c r="AS407" s="10">
        <v>0</v>
      </c>
      <c r="AT407" s="10">
        <v>0</v>
      </c>
      <c r="AU407" s="10">
        <v>0</v>
      </c>
      <c r="AV407" s="10">
        <v>0</v>
      </c>
      <c r="AW407" s="10">
        <v>0</v>
      </c>
      <c r="AX407" s="10">
        <v>0</v>
      </c>
      <c r="AY407" s="10">
        <v>0</v>
      </c>
    </row>
    <row r="408" spans="1:51" ht="16.5" customHeight="1" x14ac:dyDescent="0.25">
      <c r="A408" s="10">
        <v>20</v>
      </c>
      <c r="B408" s="11" t="s">
        <v>427</v>
      </c>
      <c r="C408" s="10">
        <v>0</v>
      </c>
      <c r="D408" s="10">
        <v>16</v>
      </c>
      <c r="E408" s="10">
        <v>13</v>
      </c>
      <c r="F408" s="10">
        <v>0</v>
      </c>
      <c r="G408" s="10">
        <v>13</v>
      </c>
      <c r="H408" s="10">
        <v>0</v>
      </c>
      <c r="I408" s="10">
        <v>2</v>
      </c>
      <c r="J408" s="10">
        <v>1</v>
      </c>
      <c r="K408" s="10">
        <v>0</v>
      </c>
      <c r="L408" s="10">
        <v>0</v>
      </c>
      <c r="M408" s="10">
        <v>6</v>
      </c>
      <c r="N408" s="10">
        <v>5</v>
      </c>
      <c r="O408" s="10">
        <v>0</v>
      </c>
      <c r="P408" s="10">
        <v>1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22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0">
        <v>0</v>
      </c>
      <c r="AQ408" s="10">
        <v>0</v>
      </c>
      <c r="AR408" s="10">
        <v>0</v>
      </c>
      <c r="AS408" s="10">
        <v>0</v>
      </c>
      <c r="AT408" s="10">
        <v>0</v>
      </c>
      <c r="AU408" s="10">
        <v>0</v>
      </c>
      <c r="AV408" s="10">
        <v>0</v>
      </c>
      <c r="AW408" s="10">
        <v>0</v>
      </c>
      <c r="AX408" s="10">
        <v>0</v>
      </c>
      <c r="AY408" s="10">
        <v>22</v>
      </c>
    </row>
    <row r="409" spans="1:51" ht="16.5" customHeight="1" x14ac:dyDescent="0.25">
      <c r="A409" s="10">
        <v>21</v>
      </c>
      <c r="B409" s="11" t="s">
        <v>428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1</v>
      </c>
      <c r="X409" s="10">
        <v>1</v>
      </c>
      <c r="Y409" s="10">
        <v>0</v>
      </c>
      <c r="Z409" s="10">
        <v>0</v>
      </c>
      <c r="AA409" s="10">
        <v>0</v>
      </c>
      <c r="AB409" s="10">
        <v>1</v>
      </c>
      <c r="AC409" s="10">
        <v>0</v>
      </c>
      <c r="AD409" s="10">
        <v>0</v>
      </c>
      <c r="AE409" s="10">
        <v>0</v>
      </c>
      <c r="AF409" s="10">
        <v>1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1</v>
      </c>
      <c r="AS409" s="10">
        <v>0</v>
      </c>
      <c r="AT409" s="10">
        <v>0</v>
      </c>
      <c r="AU409" s="10">
        <v>0</v>
      </c>
      <c r="AV409" s="10">
        <v>0</v>
      </c>
      <c r="AW409" s="10">
        <v>0</v>
      </c>
      <c r="AX409" s="10">
        <v>0</v>
      </c>
      <c r="AY409" s="10">
        <v>2</v>
      </c>
    </row>
    <row r="410" spans="1:51" ht="16.5" customHeight="1" x14ac:dyDescent="0.25">
      <c r="A410" s="10">
        <v>22</v>
      </c>
      <c r="B410" s="11" t="s">
        <v>429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</row>
    <row r="411" spans="1:51" ht="16.5" customHeight="1" x14ac:dyDescent="0.25">
      <c r="A411" s="10">
        <v>23</v>
      </c>
      <c r="B411" s="11" t="s">
        <v>430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3</v>
      </c>
      <c r="AA411" s="10">
        <v>0</v>
      </c>
      <c r="AB411" s="10">
        <v>9</v>
      </c>
      <c r="AC411" s="10">
        <v>1</v>
      </c>
      <c r="AD411" s="10">
        <v>4</v>
      </c>
      <c r="AE411" s="10">
        <v>4</v>
      </c>
      <c r="AF411" s="10">
        <v>0</v>
      </c>
      <c r="AG411" s="10">
        <v>0</v>
      </c>
      <c r="AH411" s="10">
        <v>10</v>
      </c>
      <c r="AI411" s="10">
        <v>4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1</v>
      </c>
      <c r="AP411" s="10">
        <v>0</v>
      </c>
      <c r="AQ411" s="10">
        <v>13</v>
      </c>
      <c r="AR411" s="10">
        <v>40</v>
      </c>
      <c r="AS411" s="10">
        <v>0</v>
      </c>
      <c r="AT411" s="10">
        <v>0</v>
      </c>
      <c r="AU411" s="10">
        <v>0</v>
      </c>
      <c r="AV411" s="10">
        <v>0</v>
      </c>
      <c r="AW411" s="10">
        <v>0</v>
      </c>
      <c r="AX411" s="10">
        <v>0</v>
      </c>
      <c r="AY411" s="10">
        <v>40</v>
      </c>
    </row>
    <row r="412" spans="1:51" ht="16.5" customHeight="1" x14ac:dyDescent="0.25">
      <c r="A412" s="10">
        <v>24</v>
      </c>
      <c r="B412" s="11" t="s">
        <v>431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v>0</v>
      </c>
      <c r="AT412" s="10">
        <v>0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</row>
    <row r="413" spans="1:51" ht="16.5" customHeight="1" x14ac:dyDescent="0.25">
      <c r="A413" s="10">
        <v>25</v>
      </c>
      <c r="B413" s="11" t="s">
        <v>432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1</v>
      </c>
      <c r="N413" s="10">
        <v>1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1</v>
      </c>
      <c r="X413" s="10">
        <v>2</v>
      </c>
      <c r="Y413" s="10">
        <v>0</v>
      </c>
      <c r="Z413" s="10">
        <v>6</v>
      </c>
      <c r="AA413" s="10">
        <v>0</v>
      </c>
      <c r="AB413" s="10">
        <v>14</v>
      </c>
      <c r="AC413" s="10">
        <v>0</v>
      </c>
      <c r="AD413" s="10">
        <v>14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11</v>
      </c>
      <c r="AR413" s="10">
        <v>31</v>
      </c>
      <c r="AS413" s="10">
        <v>6</v>
      </c>
      <c r="AT413" s="10">
        <v>0</v>
      </c>
      <c r="AU413" s="10">
        <v>0</v>
      </c>
      <c r="AV413" s="10">
        <v>0</v>
      </c>
      <c r="AW413" s="10">
        <v>0</v>
      </c>
      <c r="AX413" s="10">
        <v>6</v>
      </c>
      <c r="AY413" s="10">
        <v>39</v>
      </c>
    </row>
    <row r="414" spans="1:51" ht="16.5" customHeight="1" x14ac:dyDescent="0.25">
      <c r="A414" s="10">
        <v>26</v>
      </c>
      <c r="B414" s="11" t="s">
        <v>433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0">
        <v>0</v>
      </c>
      <c r="AT414" s="10">
        <v>0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</row>
    <row r="415" spans="1:51" ht="16.5" customHeight="1" x14ac:dyDescent="0.25">
      <c r="A415" s="10">
        <v>27</v>
      </c>
      <c r="B415" s="11" t="s">
        <v>434</v>
      </c>
      <c r="C415" s="10">
        <v>0</v>
      </c>
      <c r="D415" s="10">
        <v>1</v>
      </c>
      <c r="E415" s="10">
        <v>0</v>
      </c>
      <c r="F415" s="10">
        <v>0</v>
      </c>
      <c r="G415" s="10">
        <v>0</v>
      </c>
      <c r="H415" s="10">
        <v>0</v>
      </c>
      <c r="I415" s="10">
        <v>1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1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0">
        <v>0</v>
      </c>
      <c r="AT415" s="10">
        <v>0</v>
      </c>
      <c r="AU415" s="10">
        <v>0</v>
      </c>
      <c r="AV415" s="10">
        <v>0</v>
      </c>
      <c r="AW415" s="10">
        <v>0</v>
      </c>
      <c r="AX415" s="10">
        <v>0</v>
      </c>
      <c r="AY415" s="10">
        <v>1</v>
      </c>
    </row>
    <row r="416" spans="1:51" ht="16.5" customHeight="1" x14ac:dyDescent="0.25">
      <c r="A416" s="10">
        <v>28</v>
      </c>
      <c r="B416" s="11" t="s">
        <v>435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0">
        <v>0</v>
      </c>
      <c r="AT416" s="10">
        <v>0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</row>
    <row r="417" spans="1:51" ht="16.5" customHeight="1" x14ac:dyDescent="0.25">
      <c r="A417" s="10">
        <v>29</v>
      </c>
      <c r="B417" s="11" t="s">
        <v>436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1</v>
      </c>
      <c r="N417" s="10">
        <v>1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1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0</v>
      </c>
      <c r="AU417" s="10">
        <v>0</v>
      </c>
      <c r="AV417" s="10">
        <v>0</v>
      </c>
      <c r="AW417" s="10">
        <v>0</v>
      </c>
      <c r="AX417" s="10">
        <v>0</v>
      </c>
      <c r="AY417" s="10">
        <v>1</v>
      </c>
    </row>
    <row r="418" spans="1:51" ht="16.5" customHeight="1" x14ac:dyDescent="0.25">
      <c r="A418" s="10">
        <v>30</v>
      </c>
      <c r="B418" s="11" t="s">
        <v>437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2</v>
      </c>
      <c r="N418" s="10">
        <v>2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2</v>
      </c>
      <c r="Y418" s="10">
        <v>0</v>
      </c>
      <c r="Z418" s="10">
        <v>1</v>
      </c>
      <c r="AA418" s="10">
        <v>0</v>
      </c>
      <c r="AB418" s="10">
        <v>5</v>
      </c>
      <c r="AC418" s="10">
        <v>0</v>
      </c>
      <c r="AD418" s="10">
        <v>2</v>
      </c>
      <c r="AE418" s="10">
        <v>3</v>
      </c>
      <c r="AF418" s="10">
        <v>0</v>
      </c>
      <c r="AG418" s="10">
        <v>0</v>
      </c>
      <c r="AH418" s="10">
        <v>1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0">
        <v>1</v>
      </c>
      <c r="AQ418" s="10">
        <v>8</v>
      </c>
      <c r="AR418" s="10">
        <v>16</v>
      </c>
      <c r="AS418" s="10">
        <v>0</v>
      </c>
      <c r="AT418" s="10">
        <v>0</v>
      </c>
      <c r="AU418" s="10">
        <v>1</v>
      </c>
      <c r="AV418" s="10">
        <v>0</v>
      </c>
      <c r="AW418" s="10">
        <v>0</v>
      </c>
      <c r="AX418" s="10">
        <v>1</v>
      </c>
      <c r="AY418" s="10">
        <v>19</v>
      </c>
    </row>
    <row r="419" spans="1:51" ht="16.5" customHeight="1" x14ac:dyDescent="0.25">
      <c r="A419" s="10">
        <v>31</v>
      </c>
      <c r="B419" s="11" t="s">
        <v>438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0</v>
      </c>
      <c r="AT419" s="10">
        <v>0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</row>
    <row r="420" spans="1:51" ht="16.5" customHeight="1" x14ac:dyDescent="0.25">
      <c r="A420" s="10">
        <v>32</v>
      </c>
      <c r="B420" s="11" t="s">
        <v>439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1</v>
      </c>
      <c r="AA420" s="10">
        <v>0</v>
      </c>
      <c r="AB420" s="10">
        <v>1</v>
      </c>
      <c r="AC420" s="10">
        <v>0</v>
      </c>
      <c r="AD420" s="10">
        <v>0</v>
      </c>
      <c r="AE420" s="10">
        <v>1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3</v>
      </c>
      <c r="AR420" s="10">
        <v>5</v>
      </c>
      <c r="AS420" s="10">
        <v>0</v>
      </c>
      <c r="AT420" s="10">
        <v>0</v>
      </c>
      <c r="AU420" s="10">
        <v>0</v>
      </c>
      <c r="AV420" s="10">
        <v>0</v>
      </c>
      <c r="AW420" s="10">
        <v>0</v>
      </c>
      <c r="AX420" s="10">
        <v>0</v>
      </c>
      <c r="AY420" s="10">
        <v>5</v>
      </c>
    </row>
    <row r="421" spans="1:51" ht="16.5" customHeight="1" x14ac:dyDescent="0.25">
      <c r="A421" s="10">
        <v>33</v>
      </c>
      <c r="B421" s="11" t="s">
        <v>440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0">
        <v>0</v>
      </c>
      <c r="AT421" s="10">
        <v>0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</row>
    <row r="422" spans="1:51" ht="16.5" customHeight="1" x14ac:dyDescent="0.25">
      <c r="A422" s="10">
        <v>34</v>
      </c>
      <c r="B422" s="11" t="s">
        <v>441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6</v>
      </c>
      <c r="N422" s="10">
        <v>3</v>
      </c>
      <c r="O422" s="10">
        <v>3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6</v>
      </c>
      <c r="Y422" s="10">
        <v>0</v>
      </c>
      <c r="Z422" s="10">
        <v>3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3</v>
      </c>
      <c r="AS422" s="10">
        <v>0</v>
      </c>
      <c r="AT422" s="10">
        <v>0</v>
      </c>
      <c r="AU422" s="10">
        <v>0</v>
      </c>
      <c r="AV422" s="10">
        <v>0</v>
      </c>
      <c r="AW422" s="10">
        <v>0</v>
      </c>
      <c r="AX422" s="10">
        <v>0</v>
      </c>
      <c r="AY422" s="10">
        <v>9</v>
      </c>
    </row>
    <row r="423" spans="1:51" ht="16.5" customHeight="1" x14ac:dyDescent="0.25">
      <c r="A423" s="10">
        <v>35</v>
      </c>
      <c r="B423" s="11" t="s">
        <v>442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2</v>
      </c>
      <c r="X423" s="10">
        <v>2</v>
      </c>
      <c r="Y423" s="10">
        <v>0</v>
      </c>
      <c r="Z423" s="10">
        <v>0</v>
      </c>
      <c r="AA423" s="10">
        <v>0</v>
      </c>
      <c r="AB423" s="10">
        <v>3</v>
      </c>
      <c r="AC423" s="10">
        <v>0</v>
      </c>
      <c r="AD423" s="10">
        <v>0</v>
      </c>
      <c r="AE423" s="10">
        <v>0</v>
      </c>
      <c r="AF423" s="10">
        <v>0</v>
      </c>
      <c r="AG423" s="10">
        <v>3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3</v>
      </c>
      <c r="AS423" s="10">
        <v>0</v>
      </c>
      <c r="AT423" s="10">
        <v>0</v>
      </c>
      <c r="AU423" s="10">
        <v>0</v>
      </c>
      <c r="AV423" s="10">
        <v>0</v>
      </c>
      <c r="AW423" s="10">
        <v>0</v>
      </c>
      <c r="AX423" s="10">
        <v>0</v>
      </c>
      <c r="AY423" s="10">
        <v>5</v>
      </c>
    </row>
    <row r="424" spans="1:51" ht="16.5" customHeight="1" x14ac:dyDescent="0.25">
      <c r="A424" s="10">
        <v>36</v>
      </c>
      <c r="B424" s="11" t="s">
        <v>443</v>
      </c>
      <c r="C424" s="10">
        <v>0</v>
      </c>
      <c r="D424" s="10">
        <v>1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1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1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0">
        <v>0</v>
      </c>
      <c r="AT424" s="10">
        <v>0</v>
      </c>
      <c r="AU424" s="10">
        <v>0</v>
      </c>
      <c r="AV424" s="10">
        <v>0</v>
      </c>
      <c r="AW424" s="10">
        <v>0</v>
      </c>
      <c r="AX424" s="10">
        <v>0</v>
      </c>
      <c r="AY424" s="10">
        <v>1</v>
      </c>
    </row>
    <row r="425" spans="1:51" ht="16.5" customHeight="1" x14ac:dyDescent="0.25">
      <c r="A425" s="10">
        <v>37</v>
      </c>
      <c r="B425" s="11" t="s">
        <v>444</v>
      </c>
      <c r="C425" s="10">
        <v>0</v>
      </c>
      <c r="D425" s="10">
        <v>2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2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2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0">
        <v>0</v>
      </c>
      <c r="AT425" s="10">
        <v>0</v>
      </c>
      <c r="AU425" s="10">
        <v>0</v>
      </c>
      <c r="AV425" s="10">
        <v>0</v>
      </c>
      <c r="AW425" s="10">
        <v>0</v>
      </c>
      <c r="AX425" s="10">
        <v>0</v>
      </c>
      <c r="AY425" s="10">
        <v>2</v>
      </c>
    </row>
    <row r="426" spans="1:51" ht="16.5" customHeight="1" x14ac:dyDescent="0.25">
      <c r="A426" s="10">
        <v>38</v>
      </c>
      <c r="B426" s="11" t="s">
        <v>445</v>
      </c>
      <c r="C426" s="10">
        <v>0</v>
      </c>
      <c r="D426" s="10">
        <v>1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1</v>
      </c>
      <c r="L426" s="10">
        <v>0</v>
      </c>
      <c r="M426" s="10">
        <v>2</v>
      </c>
      <c r="N426" s="10">
        <v>0</v>
      </c>
      <c r="O426" s="10">
        <v>1</v>
      </c>
      <c r="P426" s="10">
        <v>1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3</v>
      </c>
      <c r="Y426" s="10">
        <v>0</v>
      </c>
      <c r="Z426" s="10">
        <v>0</v>
      </c>
      <c r="AA426" s="10">
        <v>0</v>
      </c>
      <c r="AB426" s="10">
        <v>1</v>
      </c>
      <c r="AC426" s="10">
        <v>0</v>
      </c>
      <c r="AD426" s="10">
        <v>1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1</v>
      </c>
      <c r="AQ426" s="10">
        <v>0</v>
      </c>
      <c r="AR426" s="10">
        <v>2</v>
      </c>
      <c r="AS426" s="10">
        <v>0</v>
      </c>
      <c r="AT426" s="10">
        <v>0</v>
      </c>
      <c r="AU426" s="10">
        <v>0</v>
      </c>
      <c r="AV426" s="10">
        <v>0</v>
      </c>
      <c r="AW426" s="10">
        <v>0</v>
      </c>
      <c r="AX426" s="10">
        <v>0</v>
      </c>
      <c r="AY426" s="10">
        <v>5</v>
      </c>
    </row>
    <row r="427" spans="1:51" ht="16.5" customHeight="1" x14ac:dyDescent="0.25">
      <c r="A427" s="10">
        <v>39</v>
      </c>
      <c r="B427" s="11" t="s">
        <v>446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5</v>
      </c>
      <c r="AC427" s="10">
        <v>5</v>
      </c>
      <c r="AD427" s="10">
        <v>0</v>
      </c>
      <c r="AE427" s="10">
        <v>0</v>
      </c>
      <c r="AF427" s="10">
        <v>0</v>
      </c>
      <c r="AG427" s="10">
        <v>0</v>
      </c>
      <c r="AH427" s="10">
        <v>2</v>
      </c>
      <c r="AI427" s="10">
        <v>0</v>
      </c>
      <c r="AJ427" s="10">
        <v>1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1</v>
      </c>
      <c r="AQ427" s="10">
        <v>0</v>
      </c>
      <c r="AR427" s="10">
        <v>9</v>
      </c>
      <c r="AS427" s="10">
        <v>4</v>
      </c>
      <c r="AT427" s="10">
        <v>0</v>
      </c>
      <c r="AU427" s="10">
        <v>0</v>
      </c>
      <c r="AV427" s="10">
        <v>0</v>
      </c>
      <c r="AW427" s="10">
        <v>0</v>
      </c>
      <c r="AX427" s="10">
        <v>4</v>
      </c>
      <c r="AY427" s="10">
        <v>13</v>
      </c>
    </row>
    <row r="428" spans="1:51" ht="16.5" customHeight="1" x14ac:dyDescent="0.25">
      <c r="A428" s="10">
        <v>40</v>
      </c>
      <c r="B428" s="11" t="s">
        <v>447</v>
      </c>
      <c r="C428" s="10">
        <v>0</v>
      </c>
      <c r="D428" s="10">
        <v>7</v>
      </c>
      <c r="E428" s="10">
        <v>6</v>
      </c>
      <c r="F428" s="10">
        <v>0</v>
      </c>
      <c r="G428" s="10">
        <v>6</v>
      </c>
      <c r="H428" s="10">
        <v>0</v>
      </c>
      <c r="I428" s="10">
        <v>0</v>
      </c>
      <c r="J428" s="10">
        <v>1</v>
      </c>
      <c r="K428" s="10">
        <v>0</v>
      </c>
      <c r="L428" s="10">
        <v>0</v>
      </c>
      <c r="M428" s="10">
        <v>6</v>
      </c>
      <c r="N428" s="10">
        <v>4</v>
      </c>
      <c r="O428" s="10">
        <v>0</v>
      </c>
      <c r="P428" s="10">
        <v>0</v>
      </c>
      <c r="Q428" s="10">
        <v>0</v>
      </c>
      <c r="R428" s="10">
        <v>2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13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0">
        <v>0</v>
      </c>
      <c r="AT428" s="10">
        <v>0</v>
      </c>
      <c r="AU428" s="10">
        <v>0</v>
      </c>
      <c r="AV428" s="10">
        <v>0</v>
      </c>
      <c r="AW428" s="10">
        <v>0</v>
      </c>
      <c r="AX428" s="10">
        <v>0</v>
      </c>
      <c r="AY428" s="10">
        <v>13</v>
      </c>
    </row>
    <row r="429" spans="1:51" ht="16.5" customHeight="1" x14ac:dyDescent="0.25">
      <c r="A429" s="10">
        <v>41</v>
      </c>
      <c r="B429" s="11" t="s">
        <v>448</v>
      </c>
      <c r="C429" s="10">
        <v>0</v>
      </c>
      <c r="D429" s="10">
        <v>1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1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1</v>
      </c>
      <c r="Y429" s="10">
        <v>0</v>
      </c>
      <c r="Z429" s="10">
        <v>3</v>
      </c>
      <c r="AA429" s="10">
        <v>1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2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4</v>
      </c>
      <c r="AP429" s="10">
        <v>2</v>
      </c>
      <c r="AQ429" s="10">
        <v>2</v>
      </c>
      <c r="AR429" s="10">
        <v>14</v>
      </c>
      <c r="AS429" s="10">
        <v>0</v>
      </c>
      <c r="AT429" s="10">
        <v>0</v>
      </c>
      <c r="AU429" s="10">
        <v>0</v>
      </c>
      <c r="AV429" s="10">
        <v>0</v>
      </c>
      <c r="AW429" s="10">
        <v>0</v>
      </c>
      <c r="AX429" s="10">
        <v>0</v>
      </c>
      <c r="AY429" s="10">
        <v>15</v>
      </c>
    </row>
    <row r="430" spans="1:51" ht="16.5" customHeight="1" x14ac:dyDescent="0.25">
      <c r="A430" s="10">
        <v>42</v>
      </c>
      <c r="B430" s="11" t="s">
        <v>449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0">
        <v>0</v>
      </c>
      <c r="AT430" s="10">
        <v>0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</row>
    <row r="431" spans="1:51" ht="16.5" customHeight="1" x14ac:dyDescent="0.25">
      <c r="A431" s="10">
        <v>43</v>
      </c>
      <c r="B431" s="11" t="s">
        <v>450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1</v>
      </c>
      <c r="X431" s="10">
        <v>1</v>
      </c>
      <c r="Y431" s="10">
        <v>0</v>
      </c>
      <c r="Z431" s="10">
        <v>3</v>
      </c>
      <c r="AA431" s="10">
        <v>0</v>
      </c>
      <c r="AB431" s="10">
        <v>1</v>
      </c>
      <c r="AC431" s="10">
        <v>0</v>
      </c>
      <c r="AD431" s="10">
        <v>1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3</v>
      </c>
      <c r="AR431" s="10">
        <v>7</v>
      </c>
      <c r="AS431" s="10">
        <v>0</v>
      </c>
      <c r="AT431" s="10">
        <v>0</v>
      </c>
      <c r="AU431" s="10">
        <v>0</v>
      </c>
      <c r="AV431" s="10">
        <v>0</v>
      </c>
      <c r="AW431" s="10">
        <v>0</v>
      </c>
      <c r="AX431" s="10">
        <v>0</v>
      </c>
      <c r="AY431" s="10">
        <v>8</v>
      </c>
    </row>
    <row r="432" spans="1:51" ht="16.5" customHeight="1" x14ac:dyDescent="0.25">
      <c r="A432" s="10">
        <v>44</v>
      </c>
      <c r="B432" s="11" t="s">
        <v>451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7</v>
      </c>
      <c r="AC432" s="10">
        <v>0</v>
      </c>
      <c r="AD432" s="10">
        <v>7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1</v>
      </c>
      <c r="AQ432" s="10">
        <v>1</v>
      </c>
      <c r="AR432" s="10">
        <v>9</v>
      </c>
      <c r="AS432" s="10">
        <v>0</v>
      </c>
      <c r="AT432" s="10">
        <v>0</v>
      </c>
      <c r="AU432" s="10">
        <v>0</v>
      </c>
      <c r="AV432" s="10">
        <v>0</v>
      </c>
      <c r="AW432" s="10">
        <v>0</v>
      </c>
      <c r="AX432" s="10">
        <v>0</v>
      </c>
      <c r="AY432" s="10">
        <v>9</v>
      </c>
    </row>
    <row r="433" spans="1:51" ht="16.5" customHeight="1" x14ac:dyDescent="0.25">
      <c r="A433" s="10">
        <v>45</v>
      </c>
      <c r="B433" s="11" t="s">
        <v>452</v>
      </c>
      <c r="C433" s="10">
        <v>0</v>
      </c>
      <c r="D433" s="10">
        <v>1</v>
      </c>
      <c r="E433" s="10">
        <v>0</v>
      </c>
      <c r="F433" s="10">
        <v>0</v>
      </c>
      <c r="G433" s="10">
        <v>0</v>
      </c>
      <c r="H433" s="10">
        <v>0</v>
      </c>
      <c r="I433" s="10">
        <v>1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1</v>
      </c>
      <c r="Y433" s="10">
        <v>0</v>
      </c>
      <c r="Z433" s="10">
        <v>2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2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3</v>
      </c>
      <c r="AR433" s="10">
        <v>7</v>
      </c>
      <c r="AS433" s="10">
        <v>0</v>
      </c>
      <c r="AT433" s="10">
        <v>0</v>
      </c>
      <c r="AU433" s="10">
        <v>0</v>
      </c>
      <c r="AV433" s="10">
        <v>0</v>
      </c>
      <c r="AW433" s="10">
        <v>0</v>
      </c>
      <c r="AX433" s="10">
        <v>0</v>
      </c>
      <c r="AY433" s="10">
        <v>8</v>
      </c>
    </row>
    <row r="434" spans="1:51" ht="16.5" customHeight="1" x14ac:dyDescent="0.25">
      <c r="A434" s="10">
        <v>46</v>
      </c>
      <c r="B434" s="11" t="s">
        <v>453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v>0</v>
      </c>
      <c r="AT434" s="10">
        <v>0</v>
      </c>
      <c r="AU434" s="10">
        <v>0</v>
      </c>
      <c r="AV434" s="10">
        <v>0</v>
      </c>
      <c r="AW434" s="10">
        <v>0</v>
      </c>
      <c r="AX434" s="10">
        <v>0</v>
      </c>
      <c r="AY434" s="10">
        <v>0</v>
      </c>
    </row>
    <row r="435" spans="1:51" ht="16.5" customHeight="1" x14ac:dyDescent="0.25">
      <c r="A435" s="10">
        <v>47</v>
      </c>
      <c r="B435" s="11" t="s">
        <v>454</v>
      </c>
      <c r="C435" s="10">
        <v>0</v>
      </c>
      <c r="D435" s="10">
        <v>0</v>
      </c>
      <c r="E435" s="10">
        <v>0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0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</row>
    <row r="436" spans="1:51" ht="16.5" customHeight="1" x14ac:dyDescent="0.25">
      <c r="A436" s="10">
        <v>48</v>
      </c>
      <c r="B436" s="11" t="s">
        <v>455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v>0</v>
      </c>
      <c r="AT436" s="10">
        <v>0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</row>
    <row r="437" spans="1:51" ht="16.5" customHeight="1" x14ac:dyDescent="0.25">
      <c r="A437" s="10">
        <v>49</v>
      </c>
      <c r="B437" s="11" t="s">
        <v>456</v>
      </c>
      <c r="C437" s="10">
        <v>0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0</v>
      </c>
      <c r="AT437" s="10">
        <v>0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</row>
    <row r="438" spans="1:51" ht="16.5" customHeight="1" x14ac:dyDescent="0.25">
      <c r="A438" s="10">
        <v>50</v>
      </c>
      <c r="B438" s="11" t="s">
        <v>457</v>
      </c>
      <c r="C438" s="10">
        <v>0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10</v>
      </c>
      <c r="AC438" s="10">
        <v>0</v>
      </c>
      <c r="AD438" s="10">
        <v>10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0">
        <v>0</v>
      </c>
      <c r="AN438" s="10">
        <v>0</v>
      </c>
      <c r="AO438" s="10">
        <v>1</v>
      </c>
      <c r="AP438" s="10">
        <v>1</v>
      </c>
      <c r="AQ438" s="10">
        <v>1</v>
      </c>
      <c r="AR438" s="10">
        <v>13</v>
      </c>
      <c r="AS438" s="10">
        <v>0</v>
      </c>
      <c r="AT438" s="10">
        <v>0</v>
      </c>
      <c r="AU438" s="10">
        <v>0</v>
      </c>
      <c r="AV438" s="10">
        <v>0</v>
      </c>
      <c r="AW438" s="10">
        <v>0</v>
      </c>
      <c r="AX438" s="10">
        <v>0</v>
      </c>
      <c r="AY438" s="10">
        <v>13</v>
      </c>
    </row>
    <row r="439" spans="1:51" ht="16.5" customHeight="1" x14ac:dyDescent="0.25">
      <c r="A439" s="10">
        <v>51</v>
      </c>
      <c r="B439" s="11" t="s">
        <v>458</v>
      </c>
      <c r="C439" s="10">
        <v>0</v>
      </c>
      <c r="D439" s="10">
        <v>0</v>
      </c>
      <c r="E439" s="10">
        <v>0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1</v>
      </c>
      <c r="X439" s="10">
        <v>1</v>
      </c>
      <c r="Y439" s="10">
        <v>0</v>
      </c>
      <c r="Z439" s="10">
        <v>3</v>
      </c>
      <c r="AA439" s="10">
        <v>0</v>
      </c>
      <c r="AB439" s="10">
        <v>2</v>
      </c>
      <c r="AC439" s="10">
        <v>0</v>
      </c>
      <c r="AD439" s="10">
        <v>0</v>
      </c>
      <c r="AE439" s="10">
        <v>0</v>
      </c>
      <c r="AF439" s="10">
        <v>0</v>
      </c>
      <c r="AG439" s="10">
        <v>2</v>
      </c>
      <c r="AH439" s="10">
        <v>3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4</v>
      </c>
      <c r="AP439" s="10">
        <v>0</v>
      </c>
      <c r="AQ439" s="10">
        <v>6</v>
      </c>
      <c r="AR439" s="10">
        <v>18</v>
      </c>
      <c r="AS439" s="10">
        <v>0</v>
      </c>
      <c r="AT439" s="10">
        <v>0</v>
      </c>
      <c r="AU439" s="10">
        <v>0</v>
      </c>
      <c r="AV439" s="10">
        <v>0</v>
      </c>
      <c r="AW439" s="10">
        <v>0</v>
      </c>
      <c r="AX439" s="10">
        <v>0</v>
      </c>
      <c r="AY439" s="10">
        <v>19</v>
      </c>
    </row>
    <row r="440" spans="1:51" ht="16.5" customHeight="1" x14ac:dyDescent="0.25">
      <c r="A440" s="10">
        <v>52</v>
      </c>
      <c r="B440" s="11" t="s">
        <v>459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1</v>
      </c>
      <c r="N440" s="10">
        <v>0</v>
      </c>
      <c r="O440" s="10">
        <v>1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1</v>
      </c>
      <c r="Y440" s="10">
        <v>0</v>
      </c>
      <c r="Z440" s="10">
        <v>0</v>
      </c>
      <c r="AA440" s="10">
        <v>1</v>
      </c>
      <c r="AB440" s="10">
        <v>6</v>
      </c>
      <c r="AC440" s="10">
        <v>0</v>
      </c>
      <c r="AD440" s="10">
        <v>6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1</v>
      </c>
      <c r="AK440" s="10">
        <v>0</v>
      </c>
      <c r="AL440" s="10">
        <v>0</v>
      </c>
      <c r="AM440" s="10">
        <v>0</v>
      </c>
      <c r="AN440" s="10">
        <v>0</v>
      </c>
      <c r="AO440" s="10">
        <v>1</v>
      </c>
      <c r="AP440" s="10">
        <v>1</v>
      </c>
      <c r="AQ440" s="10">
        <v>28</v>
      </c>
      <c r="AR440" s="10">
        <v>38</v>
      </c>
      <c r="AS440" s="10">
        <v>0</v>
      </c>
      <c r="AT440" s="10">
        <v>0</v>
      </c>
      <c r="AU440" s="10">
        <v>0</v>
      </c>
      <c r="AV440" s="10">
        <v>0</v>
      </c>
      <c r="AW440" s="10">
        <v>0</v>
      </c>
      <c r="AX440" s="10">
        <v>0</v>
      </c>
      <c r="AY440" s="10">
        <v>39</v>
      </c>
    </row>
    <row r="441" spans="1:51" ht="16.5" customHeight="1" x14ac:dyDescent="0.25">
      <c r="A441" s="10">
        <v>53</v>
      </c>
      <c r="B441" s="11" t="s">
        <v>460</v>
      </c>
      <c r="C441" s="10">
        <v>0</v>
      </c>
      <c r="D441" s="10">
        <v>2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2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2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0">
        <v>0</v>
      </c>
      <c r="AT441" s="10">
        <v>0</v>
      </c>
      <c r="AU441" s="10">
        <v>0</v>
      </c>
      <c r="AV441" s="10">
        <v>0</v>
      </c>
      <c r="AW441" s="10">
        <v>0</v>
      </c>
      <c r="AX441" s="10">
        <v>0</v>
      </c>
      <c r="AY441" s="10">
        <v>2</v>
      </c>
    </row>
    <row r="442" spans="1:51" ht="16.5" customHeight="1" x14ac:dyDescent="0.25">
      <c r="A442" s="10">
        <v>54</v>
      </c>
      <c r="B442" s="11" t="s">
        <v>461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0">
        <v>0</v>
      </c>
      <c r="AT442" s="10">
        <v>0</v>
      </c>
      <c r="AU442" s="10">
        <v>0</v>
      </c>
      <c r="AV442" s="10">
        <v>0</v>
      </c>
      <c r="AW442" s="10">
        <v>0</v>
      </c>
      <c r="AX442" s="10">
        <v>0</v>
      </c>
      <c r="AY442" s="10">
        <v>0</v>
      </c>
    </row>
    <row r="443" spans="1:51" ht="16.5" customHeight="1" x14ac:dyDescent="0.25">
      <c r="A443" s="10">
        <v>55</v>
      </c>
      <c r="B443" s="11" t="s">
        <v>462</v>
      </c>
      <c r="C443" s="10">
        <v>0</v>
      </c>
      <c r="D443" s="10">
        <v>98</v>
      </c>
      <c r="E443" s="10">
        <v>4</v>
      </c>
      <c r="F443" s="10">
        <v>4</v>
      </c>
      <c r="G443" s="10">
        <v>0</v>
      </c>
      <c r="H443" s="10">
        <v>1</v>
      </c>
      <c r="I443" s="10">
        <v>30</v>
      </c>
      <c r="J443" s="10">
        <v>62</v>
      </c>
      <c r="K443" s="10">
        <v>1</v>
      </c>
      <c r="L443" s="10">
        <v>0</v>
      </c>
      <c r="M443" s="10">
        <v>34</v>
      </c>
      <c r="N443" s="10">
        <v>20</v>
      </c>
      <c r="O443" s="10">
        <v>10</v>
      </c>
      <c r="P443" s="10">
        <v>3</v>
      </c>
      <c r="Q443" s="10">
        <v>0</v>
      </c>
      <c r="R443" s="10">
        <v>1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132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0</v>
      </c>
      <c r="AT443" s="10">
        <v>0</v>
      </c>
      <c r="AU443" s="10">
        <v>0</v>
      </c>
      <c r="AV443" s="10">
        <v>0</v>
      </c>
      <c r="AW443" s="10">
        <v>0</v>
      </c>
      <c r="AX443" s="10">
        <v>0</v>
      </c>
      <c r="AY443" s="10">
        <v>132</v>
      </c>
    </row>
    <row r="444" spans="1:51" ht="16.5" customHeight="1" x14ac:dyDescent="0.25">
      <c r="A444" s="12"/>
      <c r="B444" s="13" t="s">
        <v>889</v>
      </c>
      <c r="C444" s="14">
        <f>SUM(C389:C443)</f>
        <v>0</v>
      </c>
      <c r="D444" s="14">
        <f t="shared" ref="D444:AY444" si="15">SUM(D389:D443)</f>
        <v>148</v>
      </c>
      <c r="E444" s="14">
        <f t="shared" si="15"/>
        <v>26</v>
      </c>
      <c r="F444" s="14">
        <f t="shared" si="15"/>
        <v>4</v>
      </c>
      <c r="G444" s="14">
        <f t="shared" si="15"/>
        <v>22</v>
      </c>
      <c r="H444" s="14">
        <f t="shared" si="15"/>
        <v>5</v>
      </c>
      <c r="I444" s="14">
        <f t="shared" si="15"/>
        <v>36</v>
      </c>
      <c r="J444" s="14">
        <f t="shared" si="15"/>
        <v>72</v>
      </c>
      <c r="K444" s="14">
        <f t="shared" si="15"/>
        <v>9</v>
      </c>
      <c r="L444" s="14">
        <f t="shared" si="15"/>
        <v>0</v>
      </c>
      <c r="M444" s="14">
        <f t="shared" si="15"/>
        <v>77</v>
      </c>
      <c r="N444" s="14">
        <f t="shared" si="15"/>
        <v>37</v>
      </c>
      <c r="O444" s="14">
        <f t="shared" si="15"/>
        <v>19</v>
      </c>
      <c r="P444" s="14">
        <f t="shared" si="15"/>
        <v>7</v>
      </c>
      <c r="Q444" s="14">
        <f t="shared" si="15"/>
        <v>0</v>
      </c>
      <c r="R444" s="14">
        <f t="shared" si="15"/>
        <v>14</v>
      </c>
      <c r="S444" s="14">
        <f t="shared" si="15"/>
        <v>0</v>
      </c>
      <c r="T444" s="14">
        <f t="shared" si="15"/>
        <v>0</v>
      </c>
      <c r="U444" s="14">
        <f t="shared" si="15"/>
        <v>0</v>
      </c>
      <c r="V444" s="14">
        <f t="shared" si="15"/>
        <v>0</v>
      </c>
      <c r="W444" s="14">
        <f t="shared" si="15"/>
        <v>13</v>
      </c>
      <c r="X444" s="14">
        <f t="shared" si="15"/>
        <v>238</v>
      </c>
      <c r="Y444" s="14">
        <f t="shared" si="15"/>
        <v>0</v>
      </c>
      <c r="Z444" s="14">
        <f t="shared" si="15"/>
        <v>25</v>
      </c>
      <c r="AA444" s="14">
        <f t="shared" si="15"/>
        <v>2</v>
      </c>
      <c r="AB444" s="14">
        <f t="shared" si="15"/>
        <v>66</v>
      </c>
      <c r="AC444" s="14">
        <f t="shared" si="15"/>
        <v>6</v>
      </c>
      <c r="AD444" s="14">
        <f t="shared" si="15"/>
        <v>45</v>
      </c>
      <c r="AE444" s="14">
        <f t="shared" si="15"/>
        <v>9</v>
      </c>
      <c r="AF444" s="14">
        <f t="shared" si="15"/>
        <v>1</v>
      </c>
      <c r="AG444" s="14">
        <f t="shared" si="15"/>
        <v>5</v>
      </c>
      <c r="AH444" s="14">
        <f t="shared" si="15"/>
        <v>24</v>
      </c>
      <c r="AI444" s="14">
        <f t="shared" si="15"/>
        <v>4</v>
      </c>
      <c r="AJ444" s="14">
        <f t="shared" si="15"/>
        <v>2</v>
      </c>
      <c r="AK444" s="14">
        <f t="shared" si="15"/>
        <v>0</v>
      </c>
      <c r="AL444" s="14">
        <f t="shared" si="15"/>
        <v>0</v>
      </c>
      <c r="AM444" s="14">
        <f t="shared" si="15"/>
        <v>0</v>
      </c>
      <c r="AN444" s="14">
        <f t="shared" si="15"/>
        <v>0</v>
      </c>
      <c r="AO444" s="14">
        <f t="shared" si="15"/>
        <v>15</v>
      </c>
      <c r="AP444" s="14">
        <f t="shared" si="15"/>
        <v>17</v>
      </c>
      <c r="AQ444" s="14">
        <f t="shared" si="15"/>
        <v>84</v>
      </c>
      <c r="AR444" s="14">
        <f t="shared" si="15"/>
        <v>239</v>
      </c>
      <c r="AS444" s="14">
        <f t="shared" si="15"/>
        <v>10</v>
      </c>
      <c r="AT444" s="14">
        <f t="shared" si="15"/>
        <v>0</v>
      </c>
      <c r="AU444" s="14">
        <f t="shared" si="15"/>
        <v>3</v>
      </c>
      <c r="AV444" s="14">
        <f t="shared" si="15"/>
        <v>0</v>
      </c>
      <c r="AW444" s="14">
        <f t="shared" si="15"/>
        <v>0</v>
      </c>
      <c r="AX444" s="14">
        <f t="shared" si="15"/>
        <v>13</v>
      </c>
      <c r="AY444" s="14">
        <f t="shared" si="15"/>
        <v>490</v>
      </c>
    </row>
    <row r="445" spans="1:51" ht="16.5" customHeight="1" x14ac:dyDescent="0.25">
      <c r="A445" s="9" t="s">
        <v>904</v>
      </c>
      <c r="B445" s="1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</row>
    <row r="446" spans="1:51" ht="16.5" customHeight="1" x14ac:dyDescent="0.25">
      <c r="A446" s="10">
        <v>1</v>
      </c>
      <c r="B446" s="11" t="s">
        <v>463</v>
      </c>
      <c r="C446" s="10">
        <v>0</v>
      </c>
      <c r="D446" s="10">
        <v>3</v>
      </c>
      <c r="E446" s="10">
        <v>0</v>
      </c>
      <c r="F446" s="10">
        <v>0</v>
      </c>
      <c r="G446" s="10">
        <v>0</v>
      </c>
      <c r="H446" s="10">
        <v>0</v>
      </c>
      <c r="I446" s="10">
        <v>3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3</v>
      </c>
      <c r="Y446" s="10">
        <v>0</v>
      </c>
      <c r="Z446" s="10">
        <v>0</v>
      </c>
      <c r="AA446" s="10">
        <v>0</v>
      </c>
      <c r="AB446" s="10">
        <v>1</v>
      </c>
      <c r="AC446" s="10">
        <v>0</v>
      </c>
      <c r="AD446" s="10">
        <v>0</v>
      </c>
      <c r="AE446" s="10">
        <v>1</v>
      </c>
      <c r="AF446" s="10">
        <v>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0</v>
      </c>
      <c r="AP446" s="10">
        <v>0</v>
      </c>
      <c r="AQ446" s="10">
        <v>2</v>
      </c>
      <c r="AR446" s="10">
        <v>3</v>
      </c>
      <c r="AS446" s="10">
        <v>0</v>
      </c>
      <c r="AT446" s="10">
        <v>0</v>
      </c>
      <c r="AU446" s="10">
        <v>0</v>
      </c>
      <c r="AV446" s="10">
        <v>0</v>
      </c>
      <c r="AW446" s="10">
        <v>0</v>
      </c>
      <c r="AX446" s="10">
        <v>0</v>
      </c>
      <c r="AY446" s="10">
        <v>6</v>
      </c>
    </row>
    <row r="447" spans="1:51" ht="16.5" customHeight="1" x14ac:dyDescent="0.25">
      <c r="A447" s="10">
        <v>2</v>
      </c>
      <c r="B447" s="11" t="s">
        <v>464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4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3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  <c r="AQ447" s="10">
        <v>5</v>
      </c>
      <c r="AR447" s="10">
        <v>12</v>
      </c>
      <c r="AS447" s="10">
        <v>0</v>
      </c>
      <c r="AT447" s="10">
        <v>0</v>
      </c>
      <c r="AU447" s="10">
        <v>0</v>
      </c>
      <c r="AV447" s="10">
        <v>0</v>
      </c>
      <c r="AW447" s="10">
        <v>0</v>
      </c>
      <c r="AX447" s="10">
        <v>0</v>
      </c>
      <c r="AY447" s="10">
        <v>12</v>
      </c>
    </row>
    <row r="448" spans="1:51" ht="16.5" customHeight="1" x14ac:dyDescent="0.25">
      <c r="A448" s="10">
        <v>3</v>
      </c>
      <c r="B448" s="11" t="s">
        <v>465</v>
      </c>
      <c r="C448" s="10">
        <v>0</v>
      </c>
      <c r="D448" s="10">
        <v>21</v>
      </c>
      <c r="E448" s="10">
        <v>0</v>
      </c>
      <c r="F448" s="10">
        <v>0</v>
      </c>
      <c r="G448" s="10">
        <v>0</v>
      </c>
      <c r="H448" s="10">
        <v>2</v>
      </c>
      <c r="I448" s="10">
        <v>8</v>
      </c>
      <c r="J448" s="10">
        <v>11</v>
      </c>
      <c r="K448" s="10">
        <v>0</v>
      </c>
      <c r="L448" s="10">
        <v>0</v>
      </c>
      <c r="M448" s="10">
        <v>2</v>
      </c>
      <c r="N448" s="10">
        <v>1</v>
      </c>
      <c r="O448" s="10">
        <v>1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23</v>
      </c>
      <c r="Y448" s="10">
        <v>0</v>
      </c>
      <c r="Z448" s="10">
        <v>6</v>
      </c>
      <c r="AA448" s="10">
        <v>0</v>
      </c>
      <c r="AB448" s="10">
        <v>2</v>
      </c>
      <c r="AC448" s="10">
        <v>0</v>
      </c>
      <c r="AD448" s="10">
        <v>2</v>
      </c>
      <c r="AE448" s="10">
        <v>0</v>
      </c>
      <c r="AF448" s="10">
        <v>0</v>
      </c>
      <c r="AG448" s="10">
        <v>0</v>
      </c>
      <c r="AH448" s="10">
        <v>1</v>
      </c>
      <c r="AI448" s="10">
        <v>2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1</v>
      </c>
      <c r="AP448" s="10">
        <v>0</v>
      </c>
      <c r="AQ448" s="10">
        <v>7</v>
      </c>
      <c r="AR448" s="10">
        <v>19</v>
      </c>
      <c r="AS448" s="10">
        <v>0</v>
      </c>
      <c r="AT448" s="10">
        <v>0</v>
      </c>
      <c r="AU448" s="10">
        <v>0</v>
      </c>
      <c r="AV448" s="10">
        <v>0</v>
      </c>
      <c r="AW448" s="10">
        <v>0</v>
      </c>
      <c r="AX448" s="10">
        <v>0</v>
      </c>
      <c r="AY448" s="10">
        <v>42</v>
      </c>
    </row>
    <row r="449" spans="1:51" ht="16.5" customHeight="1" x14ac:dyDescent="0.25">
      <c r="A449" s="10">
        <v>4</v>
      </c>
      <c r="B449" s="11" t="s">
        <v>466</v>
      </c>
      <c r="C449" s="10">
        <v>0</v>
      </c>
      <c r="D449" s="10">
        <v>10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10</v>
      </c>
      <c r="L449" s="10">
        <v>0</v>
      </c>
      <c r="M449" s="10">
        <v>6</v>
      </c>
      <c r="N449" s="10">
        <v>0</v>
      </c>
      <c r="O449" s="10">
        <v>6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16</v>
      </c>
      <c r="Y449" s="10">
        <v>0</v>
      </c>
      <c r="Z449" s="10">
        <v>2</v>
      </c>
      <c r="AA449" s="10">
        <v>0</v>
      </c>
      <c r="AB449" s="10">
        <v>53</v>
      </c>
      <c r="AC449" s="10">
        <v>6</v>
      </c>
      <c r="AD449" s="10">
        <v>38</v>
      </c>
      <c r="AE449" s="10">
        <v>6</v>
      </c>
      <c r="AF449" s="10">
        <v>0</v>
      </c>
      <c r="AG449" s="10">
        <v>3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2</v>
      </c>
      <c r="AQ449" s="10">
        <v>1</v>
      </c>
      <c r="AR449" s="10">
        <v>58</v>
      </c>
      <c r="AS449" s="10">
        <v>0</v>
      </c>
      <c r="AT449" s="10">
        <v>0</v>
      </c>
      <c r="AU449" s="10">
        <v>0</v>
      </c>
      <c r="AV449" s="10">
        <v>0</v>
      </c>
      <c r="AW449" s="10">
        <v>0</v>
      </c>
      <c r="AX449" s="10">
        <v>0</v>
      </c>
      <c r="AY449" s="10">
        <v>74</v>
      </c>
    </row>
    <row r="450" spans="1:51" ht="16.5" customHeight="1" x14ac:dyDescent="0.25">
      <c r="A450" s="10">
        <v>5</v>
      </c>
      <c r="B450" s="11" t="s">
        <v>467</v>
      </c>
      <c r="C450" s="10">
        <v>0</v>
      </c>
      <c r="D450" s="10">
        <v>28</v>
      </c>
      <c r="E450" s="10">
        <v>3</v>
      </c>
      <c r="F450" s="10">
        <v>3</v>
      </c>
      <c r="G450" s="10">
        <v>0</v>
      </c>
      <c r="H450" s="10">
        <v>0</v>
      </c>
      <c r="I450" s="10">
        <v>21</v>
      </c>
      <c r="J450" s="10">
        <v>4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28</v>
      </c>
      <c r="Y450" s="10">
        <v>0</v>
      </c>
      <c r="Z450" s="10">
        <v>27</v>
      </c>
      <c r="AA450" s="10">
        <v>1</v>
      </c>
      <c r="AB450" s="10">
        <v>109</v>
      </c>
      <c r="AC450" s="10">
        <v>0</v>
      </c>
      <c r="AD450" s="10">
        <v>64</v>
      </c>
      <c r="AE450" s="10">
        <v>45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4</v>
      </c>
      <c r="AR450" s="10">
        <v>141</v>
      </c>
      <c r="AS450" s="10">
        <v>0</v>
      </c>
      <c r="AT450" s="10">
        <v>0</v>
      </c>
      <c r="AU450" s="10">
        <v>0</v>
      </c>
      <c r="AV450" s="10">
        <v>0</v>
      </c>
      <c r="AW450" s="10">
        <v>0</v>
      </c>
      <c r="AX450" s="10">
        <v>0</v>
      </c>
      <c r="AY450" s="10">
        <v>169</v>
      </c>
    </row>
    <row r="451" spans="1:51" ht="16.5" customHeight="1" x14ac:dyDescent="0.25">
      <c r="A451" s="10">
        <v>6</v>
      </c>
      <c r="B451" s="11" t="s">
        <v>468</v>
      </c>
      <c r="C451" s="10">
        <v>0</v>
      </c>
      <c r="D451" s="10">
        <v>1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1</v>
      </c>
      <c r="K451" s="10">
        <v>0</v>
      </c>
      <c r="L451" s="10">
        <v>0</v>
      </c>
      <c r="M451" s="10">
        <v>1</v>
      </c>
      <c r="N451" s="10">
        <v>1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2</v>
      </c>
      <c r="Y451" s="10">
        <v>0</v>
      </c>
      <c r="Z451" s="10">
        <v>1</v>
      </c>
      <c r="AA451" s="10">
        <v>0</v>
      </c>
      <c r="AB451" s="10">
        <v>19</v>
      </c>
      <c r="AC451" s="10">
        <v>0</v>
      </c>
      <c r="AD451" s="10">
        <v>6</v>
      </c>
      <c r="AE451" s="10">
        <v>1</v>
      </c>
      <c r="AF451" s="10">
        <v>9</v>
      </c>
      <c r="AG451" s="10">
        <v>3</v>
      </c>
      <c r="AH451" s="10">
        <v>6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4</v>
      </c>
      <c r="AR451" s="10">
        <v>30</v>
      </c>
      <c r="AS451" s="10">
        <v>0</v>
      </c>
      <c r="AT451" s="10">
        <v>0</v>
      </c>
      <c r="AU451" s="10">
        <v>0</v>
      </c>
      <c r="AV451" s="10">
        <v>0</v>
      </c>
      <c r="AW451" s="10">
        <v>0</v>
      </c>
      <c r="AX451" s="10">
        <v>0</v>
      </c>
      <c r="AY451" s="10">
        <v>32</v>
      </c>
    </row>
    <row r="452" spans="1:51" ht="16.5" customHeight="1" x14ac:dyDescent="0.25">
      <c r="A452" s="10">
        <v>7</v>
      </c>
      <c r="B452" s="11" t="s">
        <v>469</v>
      </c>
      <c r="C452" s="10">
        <v>0</v>
      </c>
      <c r="D452" s="10">
        <v>2</v>
      </c>
      <c r="E452" s="10">
        <v>0</v>
      </c>
      <c r="F452" s="10">
        <v>0</v>
      </c>
      <c r="G452" s="10">
        <v>0</v>
      </c>
      <c r="H452" s="10">
        <v>1</v>
      </c>
      <c r="I452" s="10">
        <v>1</v>
      </c>
      <c r="J452" s="10">
        <v>0</v>
      </c>
      <c r="K452" s="10">
        <v>0</v>
      </c>
      <c r="L452" s="10">
        <v>0</v>
      </c>
      <c r="M452" s="10">
        <v>1</v>
      </c>
      <c r="N452" s="10">
        <v>0</v>
      </c>
      <c r="O452" s="10">
        <v>1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3</v>
      </c>
      <c r="Y452" s="10">
        <v>0</v>
      </c>
      <c r="Z452" s="10">
        <v>1</v>
      </c>
      <c r="AA452" s="10">
        <v>0</v>
      </c>
      <c r="AB452" s="10">
        <v>4</v>
      </c>
      <c r="AC452" s="10">
        <v>0</v>
      </c>
      <c r="AD452" s="10">
        <v>4</v>
      </c>
      <c r="AE452" s="10">
        <v>0</v>
      </c>
      <c r="AF452" s="10">
        <v>0</v>
      </c>
      <c r="AG452" s="10">
        <v>0</v>
      </c>
      <c r="AH452" s="10">
        <v>4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1</v>
      </c>
      <c r="AQ452" s="10">
        <v>5</v>
      </c>
      <c r="AR452" s="10">
        <v>15</v>
      </c>
      <c r="AS452" s="10">
        <v>0</v>
      </c>
      <c r="AT452" s="10">
        <v>0</v>
      </c>
      <c r="AU452" s="10">
        <v>0</v>
      </c>
      <c r="AV452" s="10">
        <v>0</v>
      </c>
      <c r="AW452" s="10">
        <v>0</v>
      </c>
      <c r="AX452" s="10">
        <v>0</v>
      </c>
      <c r="AY452" s="10">
        <v>18</v>
      </c>
    </row>
    <row r="453" spans="1:51" ht="16.5" customHeight="1" x14ac:dyDescent="0.25">
      <c r="A453" s="10">
        <v>8</v>
      </c>
      <c r="B453" s="11" t="s">
        <v>470</v>
      </c>
      <c r="C453" s="10">
        <v>0</v>
      </c>
      <c r="D453" s="10">
        <v>1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1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1</v>
      </c>
      <c r="Y453" s="10">
        <v>0</v>
      </c>
      <c r="Z453" s="10">
        <v>2</v>
      </c>
      <c r="AA453" s="10">
        <v>3</v>
      </c>
      <c r="AB453" s="10">
        <v>25</v>
      </c>
      <c r="AC453" s="10">
        <v>0</v>
      </c>
      <c r="AD453" s="10">
        <v>24</v>
      </c>
      <c r="AE453" s="10">
        <v>1</v>
      </c>
      <c r="AF453" s="10">
        <v>0</v>
      </c>
      <c r="AG453" s="10">
        <v>0</v>
      </c>
      <c r="AH453" s="10">
        <v>6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8</v>
      </c>
      <c r="AR453" s="10">
        <v>44</v>
      </c>
      <c r="AS453" s="10">
        <v>0</v>
      </c>
      <c r="AT453" s="10">
        <v>0</v>
      </c>
      <c r="AU453" s="10">
        <v>0</v>
      </c>
      <c r="AV453" s="10">
        <v>0</v>
      </c>
      <c r="AW453" s="10">
        <v>1</v>
      </c>
      <c r="AX453" s="10">
        <v>1</v>
      </c>
      <c r="AY453" s="10">
        <v>46</v>
      </c>
    </row>
    <row r="454" spans="1:51" ht="16.5" customHeight="1" x14ac:dyDescent="0.25">
      <c r="A454" s="10">
        <v>9</v>
      </c>
      <c r="B454" s="11" t="s">
        <v>471</v>
      </c>
      <c r="C454" s="10">
        <v>0</v>
      </c>
      <c r="D454" s="10">
        <v>2</v>
      </c>
      <c r="E454" s="10">
        <v>1</v>
      </c>
      <c r="F454" s="10">
        <v>0</v>
      </c>
      <c r="G454" s="10">
        <v>1</v>
      </c>
      <c r="H454" s="10">
        <v>0</v>
      </c>
      <c r="I454" s="10">
        <v>0</v>
      </c>
      <c r="J454" s="10">
        <v>1</v>
      </c>
      <c r="K454" s="10">
        <v>0</v>
      </c>
      <c r="L454" s="10">
        <v>0</v>
      </c>
      <c r="M454" s="10">
        <v>2</v>
      </c>
      <c r="N454" s="10">
        <v>2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4</v>
      </c>
      <c r="Y454" s="10">
        <v>0</v>
      </c>
      <c r="Z454" s="10">
        <v>0</v>
      </c>
      <c r="AA454" s="10">
        <v>0</v>
      </c>
      <c r="AB454" s="10">
        <v>10</v>
      </c>
      <c r="AC454" s="10">
        <v>0</v>
      </c>
      <c r="AD454" s="10">
        <v>1</v>
      </c>
      <c r="AE454" s="10">
        <v>0</v>
      </c>
      <c r="AF454" s="10">
        <v>8</v>
      </c>
      <c r="AG454" s="10">
        <v>1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4</v>
      </c>
      <c r="AR454" s="10">
        <v>14</v>
      </c>
      <c r="AS454" s="10">
        <v>0</v>
      </c>
      <c r="AT454" s="10">
        <v>0</v>
      </c>
      <c r="AU454" s="10">
        <v>0</v>
      </c>
      <c r="AV454" s="10">
        <v>0</v>
      </c>
      <c r="AW454" s="10">
        <v>0</v>
      </c>
      <c r="AX454" s="10">
        <v>0</v>
      </c>
      <c r="AY454" s="10">
        <v>18</v>
      </c>
    </row>
    <row r="455" spans="1:51" ht="16.5" customHeight="1" x14ac:dyDescent="0.25">
      <c r="A455" s="10">
        <v>10</v>
      </c>
      <c r="B455" s="11" t="s">
        <v>472</v>
      </c>
      <c r="C455" s="10">
        <v>0</v>
      </c>
      <c r="D455" s="10">
        <v>2</v>
      </c>
      <c r="E455" s="10">
        <v>0</v>
      </c>
      <c r="F455" s="10">
        <v>0</v>
      </c>
      <c r="G455" s="10">
        <v>0</v>
      </c>
      <c r="H455" s="10">
        <v>0</v>
      </c>
      <c r="I455" s="10">
        <v>2</v>
      </c>
      <c r="J455" s="10">
        <v>0</v>
      </c>
      <c r="K455" s="10">
        <v>0</v>
      </c>
      <c r="L455" s="10">
        <v>0</v>
      </c>
      <c r="M455" s="10">
        <v>2</v>
      </c>
      <c r="N455" s="10">
        <v>2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4</v>
      </c>
      <c r="Y455" s="10">
        <v>0</v>
      </c>
      <c r="Z455" s="10">
        <v>0</v>
      </c>
      <c r="AA455" s="10">
        <v>0</v>
      </c>
      <c r="AB455" s="10">
        <v>25</v>
      </c>
      <c r="AC455" s="10">
        <v>1</v>
      </c>
      <c r="AD455" s="10">
        <v>13</v>
      </c>
      <c r="AE455" s="10">
        <v>5</v>
      </c>
      <c r="AF455" s="10">
        <v>2</v>
      </c>
      <c r="AG455" s="10">
        <v>4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18</v>
      </c>
      <c r="AR455" s="10">
        <v>43</v>
      </c>
      <c r="AS455" s="10">
        <v>0</v>
      </c>
      <c r="AT455" s="10">
        <v>0</v>
      </c>
      <c r="AU455" s="10">
        <v>0</v>
      </c>
      <c r="AV455" s="10">
        <v>0</v>
      </c>
      <c r="AW455" s="10">
        <v>0</v>
      </c>
      <c r="AX455" s="10">
        <v>0</v>
      </c>
      <c r="AY455" s="10">
        <v>47</v>
      </c>
    </row>
    <row r="456" spans="1:51" ht="16.5" customHeight="1" x14ac:dyDescent="0.25">
      <c r="A456" s="10">
        <v>11</v>
      </c>
      <c r="B456" s="11" t="s">
        <v>473</v>
      </c>
      <c r="C456" s="10">
        <v>0</v>
      </c>
      <c r="D456" s="10">
        <v>2</v>
      </c>
      <c r="E456" s="10">
        <v>1</v>
      </c>
      <c r="F456" s="10">
        <v>1</v>
      </c>
      <c r="G456" s="10">
        <v>0</v>
      </c>
      <c r="H456" s="10">
        <v>0</v>
      </c>
      <c r="I456" s="10">
        <v>1</v>
      </c>
      <c r="J456" s="10">
        <v>0</v>
      </c>
      <c r="K456" s="10">
        <v>0</v>
      </c>
      <c r="L456" s="10">
        <v>0</v>
      </c>
      <c r="M456" s="10">
        <v>3</v>
      </c>
      <c r="N456" s="10">
        <v>0</v>
      </c>
      <c r="O456" s="10">
        <v>0</v>
      </c>
      <c r="P456" s="10">
        <v>0</v>
      </c>
      <c r="Q456" s="10">
        <v>0</v>
      </c>
      <c r="R456" s="10">
        <v>3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5</v>
      </c>
      <c r="Y456" s="10">
        <v>0</v>
      </c>
      <c r="Z456" s="10">
        <v>2</v>
      </c>
      <c r="AA456" s="10">
        <v>0</v>
      </c>
      <c r="AB456" s="10">
        <v>13</v>
      </c>
      <c r="AC456" s="10">
        <v>0</v>
      </c>
      <c r="AD456" s="10">
        <v>8</v>
      </c>
      <c r="AE456" s="10">
        <v>3</v>
      </c>
      <c r="AF456" s="10">
        <v>2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5</v>
      </c>
      <c r="AR456" s="10">
        <v>20</v>
      </c>
      <c r="AS456" s="10">
        <v>0</v>
      </c>
      <c r="AT456" s="10">
        <v>0</v>
      </c>
      <c r="AU456" s="10">
        <v>0</v>
      </c>
      <c r="AV456" s="10">
        <v>0</v>
      </c>
      <c r="AW456" s="10">
        <v>0</v>
      </c>
      <c r="AX456" s="10">
        <v>0</v>
      </c>
      <c r="AY456" s="10">
        <v>25</v>
      </c>
    </row>
    <row r="457" spans="1:51" ht="16.5" customHeight="1" x14ac:dyDescent="0.25">
      <c r="A457" s="10">
        <v>12</v>
      </c>
      <c r="B457" s="11" t="s">
        <v>474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4</v>
      </c>
      <c r="AC457" s="10">
        <v>0</v>
      </c>
      <c r="AD457" s="10">
        <v>1</v>
      </c>
      <c r="AE457" s="10">
        <v>0</v>
      </c>
      <c r="AF457" s="10">
        <v>0</v>
      </c>
      <c r="AG457" s="10">
        <v>3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2</v>
      </c>
      <c r="AR457" s="10">
        <v>6</v>
      </c>
      <c r="AS457" s="10">
        <v>0</v>
      </c>
      <c r="AT457" s="10">
        <v>0</v>
      </c>
      <c r="AU457" s="10">
        <v>0</v>
      </c>
      <c r="AV457" s="10">
        <v>0</v>
      </c>
      <c r="AW457" s="10">
        <v>0</v>
      </c>
      <c r="AX457" s="10">
        <v>0</v>
      </c>
      <c r="AY457" s="10">
        <v>6</v>
      </c>
    </row>
    <row r="458" spans="1:51" ht="16.5" customHeight="1" x14ac:dyDescent="0.25">
      <c r="A458" s="10">
        <v>13</v>
      </c>
      <c r="B458" s="11" t="s">
        <v>475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1</v>
      </c>
      <c r="X458" s="10">
        <v>1</v>
      </c>
      <c r="Y458" s="10">
        <v>0</v>
      </c>
      <c r="Z458" s="10">
        <v>5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8</v>
      </c>
      <c r="AI458" s="10">
        <v>0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0</v>
      </c>
      <c r="AQ458" s="10">
        <v>1</v>
      </c>
      <c r="AR458" s="10">
        <v>14</v>
      </c>
      <c r="AS458" s="10">
        <v>0</v>
      </c>
      <c r="AT458" s="10">
        <v>0</v>
      </c>
      <c r="AU458" s="10">
        <v>0</v>
      </c>
      <c r="AV458" s="10">
        <v>0</v>
      </c>
      <c r="AW458" s="10">
        <v>0</v>
      </c>
      <c r="AX458" s="10">
        <v>0</v>
      </c>
      <c r="AY458" s="10">
        <v>15</v>
      </c>
    </row>
    <row r="459" spans="1:51" ht="16.5" customHeight="1" x14ac:dyDescent="0.25">
      <c r="A459" s="10">
        <v>14</v>
      </c>
      <c r="B459" s="11" t="s">
        <v>476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1</v>
      </c>
      <c r="AA459" s="10">
        <v>0</v>
      </c>
      <c r="AB459" s="10">
        <v>2</v>
      </c>
      <c r="AC459" s="10">
        <v>0</v>
      </c>
      <c r="AD459" s="10">
        <v>2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2</v>
      </c>
      <c r="AR459" s="10">
        <v>5</v>
      </c>
      <c r="AS459" s="10">
        <v>0</v>
      </c>
      <c r="AT459" s="10">
        <v>0</v>
      </c>
      <c r="AU459" s="10">
        <v>0</v>
      </c>
      <c r="AV459" s="10">
        <v>0</v>
      </c>
      <c r="AW459" s="10">
        <v>0</v>
      </c>
      <c r="AX459" s="10">
        <v>0</v>
      </c>
      <c r="AY459" s="10">
        <v>5</v>
      </c>
    </row>
    <row r="460" spans="1:51" ht="16.5" customHeight="1" x14ac:dyDescent="0.25">
      <c r="A460" s="10">
        <v>15</v>
      </c>
      <c r="B460" s="11" t="s">
        <v>477</v>
      </c>
      <c r="C460" s="10">
        <v>0</v>
      </c>
      <c r="D460" s="10">
        <v>1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1</v>
      </c>
      <c r="K460" s="10">
        <v>0</v>
      </c>
      <c r="L460" s="10">
        <v>0</v>
      </c>
      <c r="M460" s="10">
        <v>2</v>
      </c>
      <c r="N460" s="10">
        <v>0</v>
      </c>
      <c r="O460" s="10">
        <v>2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3</v>
      </c>
      <c r="Y460" s="10">
        <v>0</v>
      </c>
      <c r="Z460" s="10">
        <v>0</v>
      </c>
      <c r="AA460" s="10">
        <v>0</v>
      </c>
      <c r="AB460" s="10">
        <v>3</v>
      </c>
      <c r="AC460" s="10">
        <v>0</v>
      </c>
      <c r="AD460" s="10">
        <v>2</v>
      </c>
      <c r="AE460" s="10">
        <v>0</v>
      </c>
      <c r="AF460" s="10">
        <v>0</v>
      </c>
      <c r="AG460" s="10">
        <v>1</v>
      </c>
      <c r="AH460" s="10">
        <v>4</v>
      </c>
      <c r="AI460" s="10">
        <v>0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2</v>
      </c>
      <c r="AP460" s="10">
        <v>0</v>
      </c>
      <c r="AQ460" s="10">
        <v>5</v>
      </c>
      <c r="AR460" s="10">
        <v>14</v>
      </c>
      <c r="AS460" s="10">
        <v>0</v>
      </c>
      <c r="AT460" s="10">
        <v>0</v>
      </c>
      <c r="AU460" s="10">
        <v>0</v>
      </c>
      <c r="AV460" s="10">
        <v>0</v>
      </c>
      <c r="AW460" s="10">
        <v>1</v>
      </c>
      <c r="AX460" s="10">
        <v>1</v>
      </c>
      <c r="AY460" s="10">
        <v>18</v>
      </c>
    </row>
    <row r="461" spans="1:51" ht="16.5" customHeight="1" x14ac:dyDescent="0.25">
      <c r="A461" s="10">
        <v>16</v>
      </c>
      <c r="B461" s="11" t="s">
        <v>478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5</v>
      </c>
      <c r="N461" s="10">
        <v>3</v>
      </c>
      <c r="O461" s="10">
        <v>1</v>
      </c>
      <c r="P461" s="10">
        <v>0</v>
      </c>
      <c r="Q461" s="10">
        <v>0</v>
      </c>
      <c r="R461" s="10">
        <v>1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5</v>
      </c>
      <c r="Y461" s="10">
        <v>0</v>
      </c>
      <c r="Z461" s="10">
        <v>0</v>
      </c>
      <c r="AA461" s="10">
        <v>0</v>
      </c>
      <c r="AB461" s="10">
        <v>5</v>
      </c>
      <c r="AC461" s="10">
        <v>1</v>
      </c>
      <c r="AD461" s="10">
        <v>2</v>
      </c>
      <c r="AE461" s="10">
        <v>0</v>
      </c>
      <c r="AF461" s="10">
        <v>0</v>
      </c>
      <c r="AG461" s="10">
        <v>2</v>
      </c>
      <c r="AH461" s="10">
        <v>0</v>
      </c>
      <c r="AI461" s="10">
        <v>0</v>
      </c>
      <c r="AJ461" s="10">
        <v>0</v>
      </c>
      <c r="AK461" s="10">
        <v>2</v>
      </c>
      <c r="AL461" s="10">
        <v>0</v>
      </c>
      <c r="AM461" s="10">
        <v>0</v>
      </c>
      <c r="AN461" s="10">
        <v>0</v>
      </c>
      <c r="AO461" s="10">
        <v>2</v>
      </c>
      <c r="AP461" s="10">
        <v>0</v>
      </c>
      <c r="AQ461" s="10">
        <v>1</v>
      </c>
      <c r="AR461" s="10">
        <v>10</v>
      </c>
      <c r="AS461" s="10">
        <v>0</v>
      </c>
      <c r="AT461" s="10">
        <v>0</v>
      </c>
      <c r="AU461" s="10">
        <v>0</v>
      </c>
      <c r="AV461" s="10">
        <v>0</v>
      </c>
      <c r="AW461" s="10">
        <v>0</v>
      </c>
      <c r="AX461" s="10">
        <v>0</v>
      </c>
      <c r="AY461" s="10">
        <v>15</v>
      </c>
    </row>
    <row r="462" spans="1:51" ht="16.5" customHeight="1" x14ac:dyDescent="0.25">
      <c r="A462" s="10">
        <v>17</v>
      </c>
      <c r="B462" s="11" t="s">
        <v>479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1</v>
      </c>
      <c r="N462" s="10">
        <v>1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1</v>
      </c>
      <c r="Y462" s="10">
        <v>0</v>
      </c>
      <c r="Z462" s="10">
        <v>1</v>
      </c>
      <c r="AA462" s="10">
        <v>0</v>
      </c>
      <c r="AB462" s="10">
        <v>8</v>
      </c>
      <c r="AC462" s="10">
        <v>4</v>
      </c>
      <c r="AD462" s="10">
        <v>1</v>
      </c>
      <c r="AE462" s="10">
        <v>0</v>
      </c>
      <c r="AF462" s="10">
        <v>0</v>
      </c>
      <c r="AG462" s="10">
        <v>3</v>
      </c>
      <c r="AH462" s="10">
        <v>7</v>
      </c>
      <c r="AI462" s="10">
        <v>1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11</v>
      </c>
      <c r="AR462" s="10">
        <v>28</v>
      </c>
      <c r="AS462" s="10">
        <v>0</v>
      </c>
      <c r="AT462" s="10">
        <v>0</v>
      </c>
      <c r="AU462" s="10">
        <v>7</v>
      </c>
      <c r="AV462" s="10">
        <v>0</v>
      </c>
      <c r="AW462" s="10">
        <v>0</v>
      </c>
      <c r="AX462" s="10">
        <v>7</v>
      </c>
      <c r="AY462" s="10">
        <v>36</v>
      </c>
    </row>
    <row r="463" spans="1:51" ht="16.5" customHeight="1" x14ac:dyDescent="0.25">
      <c r="A463" s="10">
        <v>18</v>
      </c>
      <c r="B463" s="11" t="s">
        <v>480</v>
      </c>
      <c r="C463" s="10">
        <v>0</v>
      </c>
      <c r="D463" s="10">
        <v>2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2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2</v>
      </c>
      <c r="Y463" s="10">
        <v>0</v>
      </c>
      <c r="Z463" s="10">
        <v>1</v>
      </c>
      <c r="AA463" s="10">
        <v>0</v>
      </c>
      <c r="AB463" s="10">
        <v>10</v>
      </c>
      <c r="AC463" s="10">
        <v>0</v>
      </c>
      <c r="AD463" s="10">
        <v>3</v>
      </c>
      <c r="AE463" s="10">
        <v>4</v>
      </c>
      <c r="AF463" s="10">
        <v>1</v>
      </c>
      <c r="AG463" s="10">
        <v>2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6</v>
      </c>
      <c r="AR463" s="10">
        <v>17</v>
      </c>
      <c r="AS463" s="10">
        <v>0</v>
      </c>
      <c r="AT463" s="10">
        <v>0</v>
      </c>
      <c r="AU463" s="10">
        <v>0</v>
      </c>
      <c r="AV463" s="10">
        <v>0</v>
      </c>
      <c r="AW463" s="10">
        <v>0</v>
      </c>
      <c r="AX463" s="10">
        <v>0</v>
      </c>
      <c r="AY463" s="10">
        <v>19</v>
      </c>
    </row>
    <row r="464" spans="1:51" ht="16.5" customHeight="1" x14ac:dyDescent="0.25">
      <c r="A464" s="10">
        <v>19</v>
      </c>
      <c r="B464" s="11" t="s">
        <v>481</v>
      </c>
      <c r="C464" s="10">
        <v>1</v>
      </c>
      <c r="D464" s="10">
        <v>27</v>
      </c>
      <c r="E464" s="10">
        <v>4</v>
      </c>
      <c r="F464" s="10">
        <v>0</v>
      </c>
      <c r="G464" s="10">
        <v>4</v>
      </c>
      <c r="H464" s="10">
        <v>0</v>
      </c>
      <c r="I464" s="10">
        <v>7</v>
      </c>
      <c r="J464" s="10">
        <v>14</v>
      </c>
      <c r="K464" s="10">
        <v>2</v>
      </c>
      <c r="L464" s="10">
        <v>0</v>
      </c>
      <c r="M464" s="10">
        <v>10</v>
      </c>
      <c r="N464" s="10">
        <v>4</v>
      </c>
      <c r="O464" s="10">
        <v>5</v>
      </c>
      <c r="P464" s="10">
        <v>0</v>
      </c>
      <c r="Q464" s="10">
        <v>0</v>
      </c>
      <c r="R464" s="10">
        <v>1</v>
      </c>
      <c r="S464" s="10">
        <v>0</v>
      </c>
      <c r="T464" s="10">
        <v>0</v>
      </c>
      <c r="U464" s="10">
        <v>0</v>
      </c>
      <c r="V464" s="10">
        <v>0</v>
      </c>
      <c r="W464" s="10">
        <v>2</v>
      </c>
      <c r="X464" s="10">
        <v>40</v>
      </c>
      <c r="Y464" s="10">
        <v>0</v>
      </c>
      <c r="Z464" s="10">
        <v>132</v>
      </c>
      <c r="AA464" s="10">
        <v>14</v>
      </c>
      <c r="AB464" s="10">
        <v>446</v>
      </c>
      <c r="AC464" s="10">
        <v>81</v>
      </c>
      <c r="AD464" s="10">
        <v>185</v>
      </c>
      <c r="AE464" s="10">
        <v>51</v>
      </c>
      <c r="AF464" s="10">
        <v>20</v>
      </c>
      <c r="AG464" s="10">
        <v>109</v>
      </c>
      <c r="AH464" s="10">
        <v>578</v>
      </c>
      <c r="AI464" s="10">
        <v>9</v>
      </c>
      <c r="AJ464" s="10">
        <v>0</v>
      </c>
      <c r="AK464" s="10">
        <v>2</v>
      </c>
      <c r="AL464" s="10">
        <v>0</v>
      </c>
      <c r="AM464" s="10">
        <v>0</v>
      </c>
      <c r="AN464" s="10">
        <v>0</v>
      </c>
      <c r="AO464" s="10">
        <v>2</v>
      </c>
      <c r="AP464" s="10">
        <v>2</v>
      </c>
      <c r="AQ464" s="10">
        <v>131</v>
      </c>
      <c r="AR464" s="10">
        <v>1316</v>
      </c>
      <c r="AS464" s="10">
        <v>0</v>
      </c>
      <c r="AT464" s="10">
        <v>0</v>
      </c>
      <c r="AU464" s="10">
        <v>6</v>
      </c>
      <c r="AV464" s="10">
        <v>0</v>
      </c>
      <c r="AW464" s="10">
        <v>0</v>
      </c>
      <c r="AX464" s="10">
        <v>6</v>
      </c>
      <c r="AY464" s="10">
        <v>1362</v>
      </c>
    </row>
    <row r="465" spans="1:51" ht="16.5" customHeight="1" x14ac:dyDescent="0.25">
      <c r="A465" s="10">
        <v>20</v>
      </c>
      <c r="B465" s="11" t="s">
        <v>482</v>
      </c>
      <c r="C465" s="10">
        <v>0</v>
      </c>
      <c r="D465" s="10">
        <v>0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1</v>
      </c>
      <c r="AA465" s="10">
        <v>10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10">
        <v>0</v>
      </c>
      <c r="AH465" s="10">
        <v>4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5</v>
      </c>
      <c r="AR465" s="10">
        <v>20</v>
      </c>
      <c r="AS465" s="10">
        <v>0</v>
      </c>
      <c r="AT465" s="10">
        <v>0</v>
      </c>
      <c r="AU465" s="10">
        <v>0</v>
      </c>
      <c r="AV465" s="10">
        <v>0</v>
      </c>
      <c r="AW465" s="10">
        <v>0</v>
      </c>
      <c r="AX465" s="10">
        <v>0</v>
      </c>
      <c r="AY465" s="10">
        <v>20</v>
      </c>
    </row>
    <row r="466" spans="1:51" ht="16.5" customHeight="1" x14ac:dyDescent="0.25">
      <c r="A466" s="10">
        <v>21</v>
      </c>
      <c r="B466" s="11" t="s">
        <v>483</v>
      </c>
      <c r="C466" s="10">
        <v>0</v>
      </c>
      <c r="D466" s="10">
        <v>9</v>
      </c>
      <c r="E466" s="10">
        <v>1</v>
      </c>
      <c r="F466" s="10">
        <v>0</v>
      </c>
      <c r="G466" s="10">
        <v>1</v>
      </c>
      <c r="H466" s="10">
        <v>1</v>
      </c>
      <c r="I466" s="10">
        <v>3</v>
      </c>
      <c r="J466" s="10">
        <v>4</v>
      </c>
      <c r="K466" s="10">
        <v>0</v>
      </c>
      <c r="L466" s="10">
        <v>0</v>
      </c>
      <c r="M466" s="10">
        <v>2</v>
      </c>
      <c r="N466" s="10">
        <v>0</v>
      </c>
      <c r="O466" s="10">
        <v>0</v>
      </c>
      <c r="P466" s="10">
        <v>0</v>
      </c>
      <c r="Q466" s="10">
        <v>0</v>
      </c>
      <c r="R466" s="10">
        <v>2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11</v>
      </c>
      <c r="Y466" s="10">
        <v>0</v>
      </c>
      <c r="Z466" s="10">
        <v>12</v>
      </c>
      <c r="AA466" s="10">
        <v>0</v>
      </c>
      <c r="AB466" s="10">
        <v>20</v>
      </c>
      <c r="AC466" s="10">
        <v>1</v>
      </c>
      <c r="AD466" s="10">
        <v>6</v>
      </c>
      <c r="AE466" s="10">
        <v>13</v>
      </c>
      <c r="AF466" s="10">
        <v>0</v>
      </c>
      <c r="AG466" s="10">
        <v>0</v>
      </c>
      <c r="AH466" s="10">
        <v>24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1</v>
      </c>
      <c r="AP466" s="10">
        <v>0</v>
      </c>
      <c r="AQ466" s="10">
        <v>14</v>
      </c>
      <c r="AR466" s="10">
        <v>71</v>
      </c>
      <c r="AS466" s="10">
        <v>0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82</v>
      </c>
    </row>
    <row r="467" spans="1:51" ht="16.5" customHeight="1" x14ac:dyDescent="0.25">
      <c r="A467" s="10">
        <v>22</v>
      </c>
      <c r="B467" s="11" t="s">
        <v>484</v>
      </c>
      <c r="C467" s="10">
        <v>0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1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1</v>
      </c>
      <c r="AS467" s="10">
        <v>0</v>
      </c>
      <c r="AT467" s="10">
        <v>0</v>
      </c>
      <c r="AU467" s="10">
        <v>0</v>
      </c>
      <c r="AV467" s="10">
        <v>0</v>
      </c>
      <c r="AW467" s="10">
        <v>0</v>
      </c>
      <c r="AX467" s="10">
        <v>0</v>
      </c>
      <c r="AY467" s="10">
        <v>1</v>
      </c>
    </row>
    <row r="468" spans="1:51" ht="16.5" customHeight="1" x14ac:dyDescent="0.25">
      <c r="A468" s="10">
        <v>23</v>
      </c>
      <c r="B468" s="11" t="s">
        <v>485</v>
      </c>
      <c r="C468" s="10">
        <v>0</v>
      </c>
      <c r="D468" s="10">
        <v>10</v>
      </c>
      <c r="E468" s="10">
        <v>0</v>
      </c>
      <c r="F468" s="10">
        <v>0</v>
      </c>
      <c r="G468" s="10">
        <v>0</v>
      </c>
      <c r="H468" s="10">
        <v>0</v>
      </c>
      <c r="I468" s="10">
        <v>10</v>
      </c>
      <c r="J468" s="10">
        <v>0</v>
      </c>
      <c r="K468" s="10">
        <v>0</v>
      </c>
      <c r="L468" s="10">
        <v>0</v>
      </c>
      <c r="M468" s="10">
        <v>1</v>
      </c>
      <c r="N468" s="10">
        <v>0</v>
      </c>
      <c r="O468" s="10">
        <v>0</v>
      </c>
      <c r="P468" s="10">
        <v>0</v>
      </c>
      <c r="Q468" s="10">
        <v>0</v>
      </c>
      <c r="R468" s="10">
        <v>1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11</v>
      </c>
      <c r="Y468" s="10">
        <v>0</v>
      </c>
      <c r="Z468" s="10">
        <v>7</v>
      </c>
      <c r="AA468" s="10">
        <v>0</v>
      </c>
      <c r="AB468" s="10">
        <v>9</v>
      </c>
      <c r="AC468" s="10">
        <v>1</v>
      </c>
      <c r="AD468" s="10">
        <v>5</v>
      </c>
      <c r="AE468" s="10">
        <v>0</v>
      </c>
      <c r="AF468" s="10">
        <v>2</v>
      </c>
      <c r="AG468" s="10">
        <v>1</v>
      </c>
      <c r="AH468" s="10">
        <v>10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2</v>
      </c>
      <c r="AR468" s="10">
        <v>28</v>
      </c>
      <c r="AS468" s="10">
        <v>0</v>
      </c>
      <c r="AT468" s="10">
        <v>0</v>
      </c>
      <c r="AU468" s="10">
        <v>0</v>
      </c>
      <c r="AV468" s="10">
        <v>0</v>
      </c>
      <c r="AW468" s="10">
        <v>0</v>
      </c>
      <c r="AX468" s="10">
        <v>0</v>
      </c>
      <c r="AY468" s="10">
        <v>39</v>
      </c>
    </row>
    <row r="469" spans="1:51" ht="16.5" customHeight="1" x14ac:dyDescent="0.25">
      <c r="A469" s="10">
        <v>24</v>
      </c>
      <c r="B469" s="11" t="s">
        <v>486</v>
      </c>
      <c r="C469" s="10">
        <v>0</v>
      </c>
      <c r="D469" s="10">
        <v>1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1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1</v>
      </c>
      <c r="Y469" s="10">
        <v>0</v>
      </c>
      <c r="Z469" s="10">
        <v>0</v>
      </c>
      <c r="AA469" s="10">
        <v>1</v>
      </c>
      <c r="AB469" s="10">
        <v>1</v>
      </c>
      <c r="AC469" s="10">
        <v>0</v>
      </c>
      <c r="AD469" s="10">
        <v>1</v>
      </c>
      <c r="AE469" s="10">
        <v>0</v>
      </c>
      <c r="AF469" s="10">
        <v>0</v>
      </c>
      <c r="AG469" s="10">
        <v>0</v>
      </c>
      <c r="AH469" s="10">
        <v>2</v>
      </c>
      <c r="AI469" s="10">
        <v>1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3</v>
      </c>
      <c r="AR469" s="10">
        <v>8</v>
      </c>
      <c r="AS469" s="10">
        <v>0</v>
      </c>
      <c r="AT469" s="10">
        <v>0</v>
      </c>
      <c r="AU469" s="10">
        <v>0</v>
      </c>
      <c r="AV469" s="10">
        <v>0</v>
      </c>
      <c r="AW469" s="10">
        <v>0</v>
      </c>
      <c r="AX469" s="10">
        <v>0</v>
      </c>
      <c r="AY469" s="10">
        <v>9</v>
      </c>
    </row>
    <row r="470" spans="1:51" ht="16.5" customHeight="1" x14ac:dyDescent="0.25">
      <c r="A470" s="10">
        <v>25</v>
      </c>
      <c r="B470" s="11" t="s">
        <v>487</v>
      </c>
      <c r="C470" s="10">
        <v>0</v>
      </c>
      <c r="D470" s="10">
        <v>1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1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1</v>
      </c>
      <c r="Y470" s="10">
        <v>0</v>
      </c>
      <c r="Z470" s="10">
        <v>0</v>
      </c>
      <c r="AA470" s="10">
        <v>0</v>
      </c>
      <c r="AB470" s="10">
        <v>1</v>
      </c>
      <c r="AC470" s="10">
        <v>0</v>
      </c>
      <c r="AD470" s="10">
        <v>1</v>
      </c>
      <c r="AE470" s="10">
        <v>0</v>
      </c>
      <c r="AF470" s="10">
        <v>0</v>
      </c>
      <c r="AG470" s="10">
        <v>0</v>
      </c>
      <c r="AH470" s="10">
        <v>1</v>
      </c>
      <c r="AI470" s="10">
        <v>0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2</v>
      </c>
      <c r="AS470" s="10">
        <v>0</v>
      </c>
      <c r="AT470" s="10">
        <v>0</v>
      </c>
      <c r="AU470" s="10">
        <v>0</v>
      </c>
      <c r="AV470" s="10">
        <v>0</v>
      </c>
      <c r="AW470" s="10">
        <v>0</v>
      </c>
      <c r="AX470" s="10">
        <v>0</v>
      </c>
      <c r="AY470" s="10">
        <v>3</v>
      </c>
    </row>
    <row r="471" spans="1:51" ht="16.5" customHeight="1" x14ac:dyDescent="0.25">
      <c r="A471" s="10">
        <v>26</v>
      </c>
      <c r="B471" s="11" t="s">
        <v>488</v>
      </c>
      <c r="C471" s="10">
        <v>0</v>
      </c>
      <c r="D471" s="10">
        <v>30</v>
      </c>
      <c r="E471" s="10">
        <v>0</v>
      </c>
      <c r="F471" s="10">
        <v>0</v>
      </c>
      <c r="G471" s="10">
        <v>0</v>
      </c>
      <c r="H471" s="10">
        <v>0</v>
      </c>
      <c r="I471" s="10">
        <v>15</v>
      </c>
      <c r="J471" s="10">
        <v>14</v>
      </c>
      <c r="K471" s="10">
        <v>1</v>
      </c>
      <c r="L471" s="10">
        <v>0</v>
      </c>
      <c r="M471" s="10">
        <v>6</v>
      </c>
      <c r="N471" s="10">
        <v>3</v>
      </c>
      <c r="O471" s="10">
        <v>3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36</v>
      </c>
      <c r="Y471" s="10">
        <v>0</v>
      </c>
      <c r="Z471" s="10">
        <v>11</v>
      </c>
      <c r="AA471" s="10">
        <v>0</v>
      </c>
      <c r="AB471" s="10">
        <v>39</v>
      </c>
      <c r="AC471" s="10">
        <v>1</v>
      </c>
      <c r="AD471" s="10">
        <v>6</v>
      </c>
      <c r="AE471" s="10">
        <v>23</v>
      </c>
      <c r="AF471" s="10">
        <v>9</v>
      </c>
      <c r="AG471" s="10">
        <v>0</v>
      </c>
      <c r="AH471" s="10">
        <v>9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0</v>
      </c>
      <c r="AP471" s="10">
        <v>2</v>
      </c>
      <c r="AQ471" s="10">
        <v>2</v>
      </c>
      <c r="AR471" s="10">
        <v>63</v>
      </c>
      <c r="AS471" s="10">
        <v>1</v>
      </c>
      <c r="AT471" s="10">
        <v>0</v>
      </c>
      <c r="AU471" s="10">
        <v>0</v>
      </c>
      <c r="AV471" s="10">
        <v>0</v>
      </c>
      <c r="AW471" s="10">
        <v>0</v>
      </c>
      <c r="AX471" s="10">
        <v>1</v>
      </c>
      <c r="AY471" s="10">
        <v>100</v>
      </c>
    </row>
    <row r="472" spans="1:51" ht="16.5" customHeight="1" x14ac:dyDescent="0.25">
      <c r="A472" s="10">
        <v>27</v>
      </c>
      <c r="B472" s="11" t="s">
        <v>489</v>
      </c>
      <c r="C472" s="10">
        <v>0</v>
      </c>
      <c r="D472" s="10">
        <v>2</v>
      </c>
      <c r="E472" s="10">
        <v>0</v>
      </c>
      <c r="F472" s="10">
        <v>0</v>
      </c>
      <c r="G472" s="10">
        <v>0</v>
      </c>
      <c r="H472" s="10">
        <v>0</v>
      </c>
      <c r="I472" s="10">
        <v>2</v>
      </c>
      <c r="J472" s="10">
        <v>0</v>
      </c>
      <c r="K472" s="10">
        <v>0</v>
      </c>
      <c r="L472" s="10">
        <v>0</v>
      </c>
      <c r="M472" s="10">
        <v>3</v>
      </c>
      <c r="N472" s="10">
        <v>0</v>
      </c>
      <c r="O472" s="10">
        <v>2</v>
      </c>
      <c r="P472" s="10">
        <v>1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5</v>
      </c>
      <c r="Y472" s="10">
        <v>0</v>
      </c>
      <c r="Z472" s="10">
        <v>0</v>
      </c>
      <c r="AA472" s="10">
        <v>1</v>
      </c>
      <c r="AB472" s="10">
        <v>7</v>
      </c>
      <c r="AC472" s="10">
        <v>0</v>
      </c>
      <c r="AD472" s="10">
        <v>6</v>
      </c>
      <c r="AE472" s="10">
        <v>1</v>
      </c>
      <c r="AF472" s="10">
        <v>0</v>
      </c>
      <c r="AG472" s="10">
        <v>0</v>
      </c>
      <c r="AH472" s="10">
        <v>11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1</v>
      </c>
      <c r="AQ472" s="10">
        <v>3</v>
      </c>
      <c r="AR472" s="10">
        <v>23</v>
      </c>
      <c r="AS472" s="10">
        <v>0</v>
      </c>
      <c r="AT472" s="10">
        <v>0</v>
      </c>
      <c r="AU472" s="10">
        <v>2</v>
      </c>
      <c r="AV472" s="10">
        <v>1</v>
      </c>
      <c r="AW472" s="10">
        <v>1</v>
      </c>
      <c r="AX472" s="10">
        <v>4</v>
      </c>
      <c r="AY472" s="10">
        <v>32</v>
      </c>
    </row>
    <row r="473" spans="1:51" ht="16.5" customHeight="1" x14ac:dyDescent="0.25">
      <c r="A473" s="10">
        <v>28</v>
      </c>
      <c r="B473" s="11" t="s">
        <v>490</v>
      </c>
      <c r="C473" s="10">
        <v>0</v>
      </c>
      <c r="D473" s="10">
        <v>7</v>
      </c>
      <c r="E473" s="10">
        <v>2</v>
      </c>
      <c r="F473" s="10">
        <v>2</v>
      </c>
      <c r="G473" s="10">
        <v>0</v>
      </c>
      <c r="H473" s="10">
        <v>0</v>
      </c>
      <c r="I473" s="10">
        <v>2</v>
      </c>
      <c r="J473" s="10">
        <v>3</v>
      </c>
      <c r="K473" s="10">
        <v>0</v>
      </c>
      <c r="L473" s="10">
        <v>0</v>
      </c>
      <c r="M473" s="10">
        <v>2</v>
      </c>
      <c r="N473" s="10">
        <v>0</v>
      </c>
      <c r="O473" s="10">
        <v>2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1</v>
      </c>
      <c r="X473" s="10">
        <v>10</v>
      </c>
      <c r="Y473" s="10">
        <v>0</v>
      </c>
      <c r="Z473" s="10">
        <v>4</v>
      </c>
      <c r="AA473" s="10">
        <v>1</v>
      </c>
      <c r="AB473" s="10">
        <v>19</v>
      </c>
      <c r="AC473" s="10">
        <v>0</v>
      </c>
      <c r="AD473" s="10">
        <v>11</v>
      </c>
      <c r="AE473" s="10">
        <v>1</v>
      </c>
      <c r="AF473" s="10">
        <v>0</v>
      </c>
      <c r="AG473" s="10">
        <v>7</v>
      </c>
      <c r="AH473" s="10">
        <v>15</v>
      </c>
      <c r="AI473" s="10">
        <v>1</v>
      </c>
      <c r="AJ473" s="10">
        <v>1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19</v>
      </c>
      <c r="AR473" s="10">
        <v>60</v>
      </c>
      <c r="AS473" s="10">
        <v>0</v>
      </c>
      <c r="AT473" s="10">
        <v>0</v>
      </c>
      <c r="AU473" s="10">
        <v>1</v>
      </c>
      <c r="AV473" s="10">
        <v>0</v>
      </c>
      <c r="AW473" s="10">
        <v>1</v>
      </c>
      <c r="AX473" s="10">
        <v>2</v>
      </c>
      <c r="AY473" s="10">
        <v>72</v>
      </c>
    </row>
    <row r="474" spans="1:51" ht="16.5" customHeight="1" x14ac:dyDescent="0.25">
      <c r="A474" s="10">
        <v>29</v>
      </c>
      <c r="B474" s="11" t="s">
        <v>491</v>
      </c>
      <c r="C474" s="10">
        <v>0</v>
      </c>
      <c r="D474" s="10">
        <v>1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1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1</v>
      </c>
      <c r="Y474" s="10">
        <v>0</v>
      </c>
      <c r="Z474" s="10">
        <v>1</v>
      </c>
      <c r="AA474" s="10">
        <v>0</v>
      </c>
      <c r="AB474" s="10">
        <v>9</v>
      </c>
      <c r="AC474" s="10">
        <v>0</v>
      </c>
      <c r="AD474" s="10">
        <v>6</v>
      </c>
      <c r="AE474" s="10">
        <v>1</v>
      </c>
      <c r="AF474" s="10">
        <v>1</v>
      </c>
      <c r="AG474" s="10">
        <v>1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2</v>
      </c>
      <c r="AR474" s="10">
        <v>12</v>
      </c>
      <c r="AS474" s="10">
        <v>0</v>
      </c>
      <c r="AT474" s="10">
        <v>0</v>
      </c>
      <c r="AU474" s="10">
        <v>0</v>
      </c>
      <c r="AV474" s="10">
        <v>0</v>
      </c>
      <c r="AW474" s="10">
        <v>0</v>
      </c>
      <c r="AX474" s="10">
        <v>0</v>
      </c>
      <c r="AY474" s="10">
        <v>13</v>
      </c>
    </row>
    <row r="475" spans="1:51" ht="16.5" customHeight="1" x14ac:dyDescent="0.25">
      <c r="A475" s="10">
        <v>30</v>
      </c>
      <c r="B475" s="11" t="s">
        <v>492</v>
      </c>
      <c r="C475" s="10">
        <v>0</v>
      </c>
      <c r="D475" s="10">
        <v>4</v>
      </c>
      <c r="E475" s="10">
        <v>0</v>
      </c>
      <c r="F475" s="10">
        <v>0</v>
      </c>
      <c r="G475" s="10">
        <v>0</v>
      </c>
      <c r="H475" s="10">
        <v>0</v>
      </c>
      <c r="I475" s="10">
        <v>4</v>
      </c>
      <c r="J475" s="10">
        <v>0</v>
      </c>
      <c r="K475" s="10">
        <v>0</v>
      </c>
      <c r="L475" s="10">
        <v>0</v>
      </c>
      <c r="M475" s="10">
        <v>6</v>
      </c>
      <c r="N475" s="10">
        <v>5</v>
      </c>
      <c r="O475" s="10">
        <v>0</v>
      </c>
      <c r="P475" s="10">
        <v>0</v>
      </c>
      <c r="Q475" s="10">
        <v>1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2</v>
      </c>
      <c r="X475" s="10">
        <v>12</v>
      </c>
      <c r="Y475" s="10">
        <v>0</v>
      </c>
      <c r="Z475" s="10">
        <v>6</v>
      </c>
      <c r="AA475" s="10">
        <v>0</v>
      </c>
      <c r="AB475" s="10">
        <v>32</v>
      </c>
      <c r="AC475" s="10">
        <v>1</v>
      </c>
      <c r="AD475" s="10">
        <v>15</v>
      </c>
      <c r="AE475" s="10">
        <v>14</v>
      </c>
      <c r="AF475" s="10">
        <v>0</v>
      </c>
      <c r="AG475" s="10">
        <v>2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12</v>
      </c>
      <c r="AR475" s="10">
        <v>50</v>
      </c>
      <c r="AS475" s="10">
        <v>0</v>
      </c>
      <c r="AT475" s="10">
        <v>0</v>
      </c>
      <c r="AU475" s="10">
        <v>0</v>
      </c>
      <c r="AV475" s="10">
        <v>0</v>
      </c>
      <c r="AW475" s="10">
        <v>0</v>
      </c>
      <c r="AX475" s="10">
        <v>0</v>
      </c>
      <c r="AY475" s="10">
        <v>62</v>
      </c>
    </row>
    <row r="476" spans="1:51" ht="16.5" customHeight="1" x14ac:dyDescent="0.25">
      <c r="A476" s="10">
        <v>31</v>
      </c>
      <c r="B476" s="11" t="s">
        <v>493</v>
      </c>
      <c r="C476" s="10">
        <v>0</v>
      </c>
      <c r="D476" s="10">
        <v>1</v>
      </c>
      <c r="E476" s="10">
        <v>1</v>
      </c>
      <c r="F476" s="10">
        <v>0</v>
      </c>
      <c r="G476" s="10">
        <v>1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1</v>
      </c>
      <c r="Y476" s="10">
        <v>0</v>
      </c>
      <c r="Z476" s="10">
        <v>4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3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5</v>
      </c>
      <c r="AR476" s="10">
        <v>12</v>
      </c>
      <c r="AS476" s="10">
        <v>0</v>
      </c>
      <c r="AT476" s="10">
        <v>0</v>
      </c>
      <c r="AU476" s="10">
        <v>0</v>
      </c>
      <c r="AV476" s="10">
        <v>0</v>
      </c>
      <c r="AW476" s="10">
        <v>0</v>
      </c>
      <c r="AX476" s="10">
        <v>0</v>
      </c>
      <c r="AY476" s="10">
        <v>13</v>
      </c>
    </row>
    <row r="477" spans="1:51" ht="16.5" customHeight="1" x14ac:dyDescent="0.25">
      <c r="A477" s="10">
        <v>32</v>
      </c>
      <c r="B477" s="11" t="s">
        <v>494</v>
      </c>
      <c r="C477" s="10">
        <v>3</v>
      </c>
      <c r="D477" s="10">
        <v>78</v>
      </c>
      <c r="E477" s="10">
        <v>2</v>
      </c>
      <c r="F477" s="10">
        <v>1</v>
      </c>
      <c r="G477" s="10">
        <v>1</v>
      </c>
      <c r="H477" s="10">
        <v>1</v>
      </c>
      <c r="I477" s="10">
        <v>48</v>
      </c>
      <c r="J477" s="10">
        <v>26</v>
      </c>
      <c r="K477" s="10">
        <v>1</v>
      </c>
      <c r="L477" s="10">
        <v>0</v>
      </c>
      <c r="M477" s="10">
        <v>6</v>
      </c>
      <c r="N477" s="10">
        <v>5</v>
      </c>
      <c r="O477" s="10">
        <v>1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1</v>
      </c>
      <c r="W477" s="10">
        <v>0</v>
      </c>
      <c r="X477" s="10">
        <v>88</v>
      </c>
      <c r="Y477" s="10">
        <v>0</v>
      </c>
      <c r="Z477" s="10">
        <v>25</v>
      </c>
      <c r="AA477" s="10">
        <v>0</v>
      </c>
      <c r="AB477" s="10">
        <v>141</v>
      </c>
      <c r="AC477" s="10">
        <v>20</v>
      </c>
      <c r="AD477" s="10">
        <v>25</v>
      </c>
      <c r="AE477" s="10">
        <v>43</v>
      </c>
      <c r="AF477" s="10">
        <v>10</v>
      </c>
      <c r="AG477" s="10">
        <v>43</v>
      </c>
      <c r="AH477" s="10">
        <v>54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1</v>
      </c>
      <c r="AQ477" s="10">
        <v>9</v>
      </c>
      <c r="AR477" s="10">
        <v>230</v>
      </c>
      <c r="AS477" s="10">
        <v>0</v>
      </c>
      <c r="AT477" s="10">
        <v>0</v>
      </c>
      <c r="AU477" s="10">
        <v>0</v>
      </c>
      <c r="AV477" s="10">
        <v>0</v>
      </c>
      <c r="AW477" s="10">
        <v>0</v>
      </c>
      <c r="AX477" s="10">
        <v>0</v>
      </c>
      <c r="AY477" s="10">
        <v>318</v>
      </c>
    </row>
    <row r="478" spans="1:51" ht="16.5" customHeight="1" x14ac:dyDescent="0.25">
      <c r="A478" s="10">
        <v>33</v>
      </c>
      <c r="B478" s="11" t="s">
        <v>495</v>
      </c>
      <c r="C478" s="10">
        <v>0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0">
        <v>0</v>
      </c>
      <c r="AT478" s="10">
        <v>0</v>
      </c>
      <c r="AU478" s="10">
        <v>0</v>
      </c>
      <c r="AV478" s="10">
        <v>0</v>
      </c>
      <c r="AW478" s="10">
        <v>0</v>
      </c>
      <c r="AX478" s="10">
        <v>0</v>
      </c>
      <c r="AY478" s="10">
        <v>0</v>
      </c>
    </row>
    <row r="479" spans="1:51" ht="16.5" customHeight="1" x14ac:dyDescent="0.25">
      <c r="A479" s="10">
        <v>34</v>
      </c>
      <c r="B479" s="11" t="s">
        <v>496</v>
      </c>
      <c r="C479" s="10">
        <v>1</v>
      </c>
      <c r="D479" s="10">
        <v>35</v>
      </c>
      <c r="E479" s="10">
        <v>1</v>
      </c>
      <c r="F479" s="10">
        <v>0</v>
      </c>
      <c r="G479" s="10">
        <v>1</v>
      </c>
      <c r="H479" s="10">
        <v>1</v>
      </c>
      <c r="I479" s="10">
        <v>27</v>
      </c>
      <c r="J479" s="10">
        <v>6</v>
      </c>
      <c r="K479" s="10">
        <v>0</v>
      </c>
      <c r="L479" s="10">
        <v>0</v>
      </c>
      <c r="M479" s="10">
        <v>3</v>
      </c>
      <c r="N479" s="10">
        <v>3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39</v>
      </c>
      <c r="Y479" s="10">
        <v>0</v>
      </c>
      <c r="Z479" s="10">
        <v>2</v>
      </c>
      <c r="AA479" s="10">
        <v>0</v>
      </c>
      <c r="AB479" s="10">
        <v>129</v>
      </c>
      <c r="AC479" s="10">
        <v>8</v>
      </c>
      <c r="AD479" s="10">
        <v>20</v>
      </c>
      <c r="AE479" s="10">
        <v>97</v>
      </c>
      <c r="AF479" s="10">
        <v>0</v>
      </c>
      <c r="AG479" s="10">
        <v>4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131</v>
      </c>
      <c r="AS479" s="10">
        <v>0</v>
      </c>
      <c r="AT479" s="10">
        <v>0</v>
      </c>
      <c r="AU479" s="10">
        <v>0</v>
      </c>
      <c r="AV479" s="10">
        <v>0</v>
      </c>
      <c r="AW479" s="10">
        <v>0</v>
      </c>
      <c r="AX479" s="10">
        <v>0</v>
      </c>
      <c r="AY479" s="10">
        <v>170</v>
      </c>
    </row>
    <row r="480" spans="1:51" ht="16.5" customHeight="1" x14ac:dyDescent="0.25">
      <c r="A480" s="10">
        <v>35</v>
      </c>
      <c r="B480" s="11" t="s">
        <v>497</v>
      </c>
      <c r="C480" s="10">
        <v>0</v>
      </c>
      <c r="D480" s="10">
        <v>2</v>
      </c>
      <c r="E480" s="10">
        <v>0</v>
      </c>
      <c r="F480" s="10">
        <v>0</v>
      </c>
      <c r="G480" s="10">
        <v>0</v>
      </c>
      <c r="H480" s="10">
        <v>0</v>
      </c>
      <c r="I480" s="10">
        <v>2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1</v>
      </c>
      <c r="X480" s="10">
        <v>3</v>
      </c>
      <c r="Y480" s="10">
        <v>0</v>
      </c>
      <c r="Z480" s="10">
        <v>3</v>
      </c>
      <c r="AA480" s="10">
        <v>1</v>
      </c>
      <c r="AB480" s="10">
        <v>41</v>
      </c>
      <c r="AC480" s="10">
        <v>0</v>
      </c>
      <c r="AD480" s="10">
        <v>14</v>
      </c>
      <c r="AE480" s="10">
        <v>12</v>
      </c>
      <c r="AF480" s="10">
        <v>14</v>
      </c>
      <c r="AG480" s="10">
        <v>1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6</v>
      </c>
      <c r="AR480" s="10">
        <v>51</v>
      </c>
      <c r="AS480" s="10">
        <v>0</v>
      </c>
      <c r="AT480" s="10">
        <v>0</v>
      </c>
      <c r="AU480" s="10">
        <v>0</v>
      </c>
      <c r="AV480" s="10">
        <v>0</v>
      </c>
      <c r="AW480" s="10">
        <v>0</v>
      </c>
      <c r="AX480" s="10">
        <v>0</v>
      </c>
      <c r="AY480" s="10">
        <v>54</v>
      </c>
    </row>
    <row r="481" spans="1:51" ht="16.5" customHeight="1" x14ac:dyDescent="0.25">
      <c r="A481" s="10">
        <v>36</v>
      </c>
      <c r="B481" s="11" t="s">
        <v>498</v>
      </c>
      <c r="C481" s="10">
        <v>0</v>
      </c>
      <c r="D481" s="10">
        <v>2</v>
      </c>
      <c r="E481" s="10">
        <v>0</v>
      </c>
      <c r="F481" s="10">
        <v>0</v>
      </c>
      <c r="G481" s="10">
        <v>0</v>
      </c>
      <c r="H481" s="10">
        <v>0</v>
      </c>
      <c r="I481" s="10">
        <v>2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2</v>
      </c>
      <c r="Y481" s="10">
        <v>0</v>
      </c>
      <c r="Z481" s="10">
        <v>3</v>
      </c>
      <c r="AA481" s="10">
        <v>0</v>
      </c>
      <c r="AB481" s="10">
        <v>41</v>
      </c>
      <c r="AC481" s="10">
        <v>0</v>
      </c>
      <c r="AD481" s="10">
        <v>41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1</v>
      </c>
      <c r="AQ481" s="10">
        <v>1</v>
      </c>
      <c r="AR481" s="10">
        <v>46</v>
      </c>
      <c r="AS481" s="10">
        <v>0</v>
      </c>
      <c r="AT481" s="10">
        <v>0</v>
      </c>
      <c r="AU481" s="10">
        <v>0</v>
      </c>
      <c r="AV481" s="10">
        <v>0</v>
      </c>
      <c r="AW481" s="10">
        <v>0</v>
      </c>
      <c r="AX481" s="10">
        <v>0</v>
      </c>
      <c r="AY481" s="10">
        <v>48</v>
      </c>
    </row>
    <row r="482" spans="1:51" ht="16.5" customHeight="1" x14ac:dyDescent="0.25">
      <c r="A482" s="10">
        <v>37</v>
      </c>
      <c r="B482" s="11" t="s">
        <v>499</v>
      </c>
      <c r="C482" s="10">
        <v>0</v>
      </c>
      <c r="D482" s="10">
        <v>6</v>
      </c>
      <c r="E482" s="10">
        <v>0</v>
      </c>
      <c r="F482" s="10">
        <v>0</v>
      </c>
      <c r="G482" s="10">
        <v>0</v>
      </c>
      <c r="H482" s="10">
        <v>0</v>
      </c>
      <c r="I482" s="10">
        <v>5</v>
      </c>
      <c r="J482" s="10">
        <v>1</v>
      </c>
      <c r="K482" s="10">
        <v>0</v>
      </c>
      <c r="L482" s="10">
        <v>0</v>
      </c>
      <c r="M482" s="10">
        <v>3</v>
      </c>
      <c r="N482" s="10">
        <v>2</v>
      </c>
      <c r="O482" s="10">
        <v>1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9</v>
      </c>
      <c r="Y482" s="10">
        <v>0</v>
      </c>
      <c r="Z482" s="10">
        <v>6</v>
      </c>
      <c r="AA482" s="10">
        <v>0</v>
      </c>
      <c r="AB482" s="10">
        <v>1</v>
      </c>
      <c r="AC482" s="10">
        <v>0</v>
      </c>
      <c r="AD482" s="10">
        <v>1</v>
      </c>
      <c r="AE482" s="10">
        <v>0</v>
      </c>
      <c r="AF482" s="10">
        <v>0</v>
      </c>
      <c r="AG482" s="10">
        <v>0</v>
      </c>
      <c r="AH482" s="10">
        <v>5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11</v>
      </c>
      <c r="AR482" s="10">
        <v>23</v>
      </c>
      <c r="AS482" s="10">
        <v>0</v>
      </c>
      <c r="AT482" s="10">
        <v>0</v>
      </c>
      <c r="AU482" s="10">
        <v>0</v>
      </c>
      <c r="AV482" s="10">
        <v>0</v>
      </c>
      <c r="AW482" s="10">
        <v>0</v>
      </c>
      <c r="AX482" s="10">
        <v>0</v>
      </c>
      <c r="AY482" s="10">
        <v>32</v>
      </c>
    </row>
    <row r="483" spans="1:51" ht="16.5" customHeight="1" x14ac:dyDescent="0.25">
      <c r="A483" s="10">
        <v>38</v>
      </c>
      <c r="B483" s="11" t="s">
        <v>500</v>
      </c>
      <c r="C483" s="10">
        <v>0</v>
      </c>
      <c r="D483" s="10">
        <v>8</v>
      </c>
      <c r="E483" s="10">
        <v>3</v>
      </c>
      <c r="F483" s="10">
        <v>0</v>
      </c>
      <c r="G483" s="10">
        <v>3</v>
      </c>
      <c r="H483" s="10">
        <v>0</v>
      </c>
      <c r="I483" s="10">
        <v>2</v>
      </c>
      <c r="J483" s="10">
        <v>1</v>
      </c>
      <c r="K483" s="10">
        <v>2</v>
      </c>
      <c r="L483" s="10">
        <v>0</v>
      </c>
      <c r="M483" s="10">
        <v>3</v>
      </c>
      <c r="N483" s="10">
        <v>0</v>
      </c>
      <c r="O483" s="10">
        <v>0</v>
      </c>
      <c r="P483" s="10">
        <v>0</v>
      </c>
      <c r="Q483" s="10">
        <v>0</v>
      </c>
      <c r="R483" s="10">
        <v>3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11</v>
      </c>
      <c r="Y483" s="10">
        <v>0</v>
      </c>
      <c r="Z483" s="10">
        <v>1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22</v>
      </c>
      <c r="AI483" s="10">
        <v>1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9</v>
      </c>
      <c r="AR483" s="10">
        <v>33</v>
      </c>
      <c r="AS483" s="10">
        <v>0</v>
      </c>
      <c r="AT483" s="10">
        <v>0</v>
      </c>
      <c r="AU483" s="10">
        <v>0</v>
      </c>
      <c r="AV483" s="10">
        <v>0</v>
      </c>
      <c r="AW483" s="10">
        <v>0</v>
      </c>
      <c r="AX483" s="10">
        <v>0</v>
      </c>
      <c r="AY483" s="10">
        <v>44</v>
      </c>
    </row>
    <row r="484" spans="1:51" ht="16.5" customHeight="1" x14ac:dyDescent="0.25">
      <c r="A484" s="10">
        <v>39</v>
      </c>
      <c r="B484" s="11" t="s">
        <v>501</v>
      </c>
      <c r="C484" s="10">
        <v>0</v>
      </c>
      <c r="D484" s="10">
        <v>2</v>
      </c>
      <c r="E484" s="10">
        <v>0</v>
      </c>
      <c r="F484" s="10">
        <v>0</v>
      </c>
      <c r="G484" s="10">
        <v>0</v>
      </c>
      <c r="H484" s="10">
        <v>0</v>
      </c>
      <c r="I484" s="10">
        <v>2</v>
      </c>
      <c r="J484" s="10">
        <v>0</v>
      </c>
      <c r="K484" s="10">
        <v>0</v>
      </c>
      <c r="L484" s="10">
        <v>0</v>
      </c>
      <c r="M484" s="10">
        <v>1</v>
      </c>
      <c r="N484" s="10">
        <v>0</v>
      </c>
      <c r="O484" s="10">
        <v>1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3</v>
      </c>
      <c r="Y484" s="10">
        <v>0</v>
      </c>
      <c r="Z484" s="10">
        <v>0</v>
      </c>
      <c r="AA484" s="10">
        <v>0</v>
      </c>
      <c r="AB484" s="10">
        <v>9</v>
      </c>
      <c r="AC484" s="10">
        <v>0</v>
      </c>
      <c r="AD484" s="10">
        <v>3</v>
      </c>
      <c r="AE484" s="10">
        <v>6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1</v>
      </c>
      <c r="AQ484" s="10">
        <v>3</v>
      </c>
      <c r="AR484" s="10">
        <v>13</v>
      </c>
      <c r="AS484" s="10">
        <v>0</v>
      </c>
      <c r="AT484" s="10">
        <v>0</v>
      </c>
      <c r="AU484" s="10">
        <v>0</v>
      </c>
      <c r="AV484" s="10">
        <v>0</v>
      </c>
      <c r="AW484" s="10">
        <v>0</v>
      </c>
      <c r="AX484" s="10">
        <v>0</v>
      </c>
      <c r="AY484" s="10">
        <v>16</v>
      </c>
    </row>
    <row r="485" spans="1:51" ht="16.5" customHeight="1" x14ac:dyDescent="0.25">
      <c r="A485" s="10">
        <v>40</v>
      </c>
      <c r="B485" s="11" t="s">
        <v>502</v>
      </c>
      <c r="C485" s="10">
        <v>0</v>
      </c>
      <c r="D485" s="10">
        <v>13</v>
      </c>
      <c r="E485" s="10">
        <v>13</v>
      </c>
      <c r="F485" s="10">
        <v>0</v>
      </c>
      <c r="G485" s="10">
        <v>13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13</v>
      </c>
      <c r="Y485" s="10">
        <v>0</v>
      </c>
      <c r="Z485" s="10">
        <v>2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6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3</v>
      </c>
      <c r="AR485" s="10">
        <v>11</v>
      </c>
      <c r="AS485" s="10">
        <v>0</v>
      </c>
      <c r="AT485" s="10">
        <v>0</v>
      </c>
      <c r="AU485" s="10">
        <v>0</v>
      </c>
      <c r="AV485" s="10">
        <v>0</v>
      </c>
      <c r="AW485" s="10">
        <v>0</v>
      </c>
      <c r="AX485" s="10">
        <v>0</v>
      </c>
      <c r="AY485" s="10">
        <v>24</v>
      </c>
    </row>
    <row r="486" spans="1:51" ht="16.5" customHeight="1" x14ac:dyDescent="0.25">
      <c r="A486" s="10">
        <v>41</v>
      </c>
      <c r="B486" s="11" t="s">
        <v>503</v>
      </c>
      <c r="C486" s="10">
        <v>0</v>
      </c>
      <c r="D486" s="10">
        <v>0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2</v>
      </c>
      <c r="N486" s="10">
        <v>2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2</v>
      </c>
      <c r="Y486" s="10">
        <v>0</v>
      </c>
      <c r="Z486" s="10">
        <v>3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10">
        <v>0</v>
      </c>
      <c r="AH486" s="10">
        <v>10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5</v>
      </c>
      <c r="AR486" s="10">
        <v>18</v>
      </c>
      <c r="AS486" s="10">
        <v>0</v>
      </c>
      <c r="AT486" s="10">
        <v>0</v>
      </c>
      <c r="AU486" s="10">
        <v>0</v>
      </c>
      <c r="AV486" s="10">
        <v>0</v>
      </c>
      <c r="AW486" s="10">
        <v>0</v>
      </c>
      <c r="AX486" s="10">
        <v>0</v>
      </c>
      <c r="AY486" s="10">
        <v>20</v>
      </c>
    </row>
    <row r="487" spans="1:51" ht="16.5" customHeight="1" x14ac:dyDescent="0.25">
      <c r="A487" s="10">
        <v>42</v>
      </c>
      <c r="B487" s="11" t="s">
        <v>504</v>
      </c>
      <c r="C487" s="10">
        <v>0</v>
      </c>
      <c r="D487" s="10">
        <v>94</v>
      </c>
      <c r="E487" s="10">
        <v>0</v>
      </c>
      <c r="F487" s="10">
        <v>0</v>
      </c>
      <c r="G487" s="10">
        <v>0</v>
      </c>
      <c r="H487" s="10">
        <v>1</v>
      </c>
      <c r="I487" s="10">
        <v>30</v>
      </c>
      <c r="J487" s="10">
        <v>59</v>
      </c>
      <c r="K487" s="10">
        <v>4</v>
      </c>
      <c r="L487" s="10">
        <v>0</v>
      </c>
      <c r="M487" s="10">
        <v>5</v>
      </c>
      <c r="N487" s="10">
        <v>3</v>
      </c>
      <c r="O487" s="10">
        <v>1</v>
      </c>
      <c r="P487" s="10">
        <v>0</v>
      </c>
      <c r="Q487" s="10">
        <v>1</v>
      </c>
      <c r="R487" s="10">
        <v>0</v>
      </c>
      <c r="S487" s="10">
        <v>1</v>
      </c>
      <c r="T487" s="10">
        <v>0</v>
      </c>
      <c r="U487" s="10">
        <v>0</v>
      </c>
      <c r="V487" s="10">
        <v>0</v>
      </c>
      <c r="W487" s="10">
        <v>57</v>
      </c>
      <c r="X487" s="10">
        <v>157</v>
      </c>
      <c r="Y487" s="10">
        <v>0</v>
      </c>
      <c r="Z487" s="10">
        <v>15</v>
      </c>
      <c r="AA487" s="10">
        <v>2</v>
      </c>
      <c r="AB487" s="10">
        <v>109</v>
      </c>
      <c r="AC487" s="10">
        <v>16</v>
      </c>
      <c r="AD487" s="10">
        <v>57</v>
      </c>
      <c r="AE487" s="10">
        <v>15</v>
      </c>
      <c r="AF487" s="10">
        <v>3</v>
      </c>
      <c r="AG487" s="10">
        <v>18</v>
      </c>
      <c r="AH487" s="10">
        <v>14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2</v>
      </c>
      <c r="AP487" s="10">
        <v>0</v>
      </c>
      <c r="AQ487" s="10">
        <v>18</v>
      </c>
      <c r="AR487" s="10">
        <v>160</v>
      </c>
      <c r="AS487" s="10">
        <v>1</v>
      </c>
      <c r="AT487" s="10">
        <v>0</v>
      </c>
      <c r="AU487" s="10">
        <v>0</v>
      </c>
      <c r="AV487" s="10">
        <v>0</v>
      </c>
      <c r="AW487" s="10">
        <v>3</v>
      </c>
      <c r="AX487" s="10">
        <v>4</v>
      </c>
      <c r="AY487" s="10">
        <v>321</v>
      </c>
    </row>
    <row r="488" spans="1:51" ht="16.5" customHeight="1" x14ac:dyDescent="0.25">
      <c r="A488" s="10">
        <v>43</v>
      </c>
      <c r="B488" s="11" t="s">
        <v>505</v>
      </c>
      <c r="C488" s="10">
        <v>0</v>
      </c>
      <c r="D488" s="10">
        <v>7</v>
      </c>
      <c r="E488" s="10">
        <v>0</v>
      </c>
      <c r="F488" s="10">
        <v>0</v>
      </c>
      <c r="G488" s="10">
        <v>0</v>
      </c>
      <c r="H488" s="10">
        <v>1</v>
      </c>
      <c r="I488" s="10">
        <v>5</v>
      </c>
      <c r="J488" s="10">
        <v>1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4</v>
      </c>
      <c r="X488" s="10">
        <v>11</v>
      </c>
      <c r="Y488" s="10">
        <v>0</v>
      </c>
      <c r="Z488" s="10">
        <v>3</v>
      </c>
      <c r="AA488" s="10">
        <v>0</v>
      </c>
      <c r="AB488" s="10">
        <v>19</v>
      </c>
      <c r="AC488" s="10">
        <v>0</v>
      </c>
      <c r="AD488" s="10">
        <v>16</v>
      </c>
      <c r="AE488" s="10">
        <v>1</v>
      </c>
      <c r="AF488" s="10">
        <v>0</v>
      </c>
      <c r="AG488" s="10">
        <v>2</v>
      </c>
      <c r="AH488" s="10">
        <v>5</v>
      </c>
      <c r="AI488" s="10">
        <v>2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7</v>
      </c>
      <c r="AR488" s="10">
        <v>36</v>
      </c>
      <c r="AS488" s="10">
        <v>0</v>
      </c>
      <c r="AT488" s="10">
        <v>0</v>
      </c>
      <c r="AU488" s="10">
        <v>0</v>
      </c>
      <c r="AV488" s="10">
        <v>0</v>
      </c>
      <c r="AW488" s="10">
        <v>0</v>
      </c>
      <c r="AX488" s="10">
        <v>0</v>
      </c>
      <c r="AY488" s="10">
        <v>47</v>
      </c>
    </row>
    <row r="489" spans="1:51" ht="16.5" customHeight="1" x14ac:dyDescent="0.25">
      <c r="A489" s="10">
        <v>44</v>
      </c>
      <c r="B489" s="11" t="s">
        <v>506</v>
      </c>
      <c r="C489" s="10">
        <v>0</v>
      </c>
      <c r="D489" s="10">
        <v>9</v>
      </c>
      <c r="E489" s="10">
        <v>0</v>
      </c>
      <c r="F489" s="10">
        <v>0</v>
      </c>
      <c r="G489" s="10">
        <v>0</v>
      </c>
      <c r="H489" s="10">
        <v>0</v>
      </c>
      <c r="I489" s="10">
        <v>2</v>
      </c>
      <c r="J489" s="10">
        <v>7</v>
      </c>
      <c r="K489" s="10">
        <v>0</v>
      </c>
      <c r="L489" s="10">
        <v>0</v>
      </c>
      <c r="M489" s="10">
        <v>1</v>
      </c>
      <c r="N489" s="10">
        <v>1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10</v>
      </c>
      <c r="Y489" s="10">
        <v>0</v>
      </c>
      <c r="Z489" s="10">
        <v>5</v>
      </c>
      <c r="AA489" s="10">
        <v>0</v>
      </c>
      <c r="AB489" s="10">
        <v>44</v>
      </c>
      <c r="AC489" s="10">
        <v>0</v>
      </c>
      <c r="AD489" s="10">
        <v>0</v>
      </c>
      <c r="AE489" s="10">
        <v>1</v>
      </c>
      <c r="AF489" s="10">
        <v>39</v>
      </c>
      <c r="AG489" s="10">
        <v>4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  <c r="AQ489" s="10">
        <v>2</v>
      </c>
      <c r="AR489" s="10">
        <v>51</v>
      </c>
      <c r="AS489" s="10">
        <v>0</v>
      </c>
      <c r="AT489" s="10">
        <v>0</v>
      </c>
      <c r="AU489" s="10">
        <v>0</v>
      </c>
      <c r="AV489" s="10">
        <v>0</v>
      </c>
      <c r="AW489" s="10">
        <v>0</v>
      </c>
      <c r="AX489" s="10">
        <v>0</v>
      </c>
      <c r="AY489" s="10">
        <v>61</v>
      </c>
    </row>
    <row r="490" spans="1:51" ht="16.5" customHeight="1" x14ac:dyDescent="0.25">
      <c r="A490" s="10">
        <v>45</v>
      </c>
      <c r="B490" s="11" t="s">
        <v>507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1</v>
      </c>
      <c r="AA490" s="10">
        <v>0</v>
      </c>
      <c r="AB490" s="10">
        <v>5</v>
      </c>
      <c r="AC490" s="10">
        <v>0</v>
      </c>
      <c r="AD490" s="10">
        <v>2</v>
      </c>
      <c r="AE490" s="10">
        <v>0</v>
      </c>
      <c r="AF490" s="10">
        <v>2</v>
      </c>
      <c r="AG490" s="10">
        <v>1</v>
      </c>
      <c r="AH490" s="10">
        <v>2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8</v>
      </c>
      <c r="AS490" s="10">
        <v>0</v>
      </c>
      <c r="AT490" s="10">
        <v>0</v>
      </c>
      <c r="AU490" s="10">
        <v>0</v>
      </c>
      <c r="AV490" s="10">
        <v>0</v>
      </c>
      <c r="AW490" s="10">
        <v>0</v>
      </c>
      <c r="AX490" s="10">
        <v>0</v>
      </c>
      <c r="AY490" s="10">
        <v>8</v>
      </c>
    </row>
    <row r="491" spans="1:51" ht="16.5" customHeight="1" x14ac:dyDescent="0.25">
      <c r="A491" s="10">
        <v>46</v>
      </c>
      <c r="B491" s="11" t="s">
        <v>508</v>
      </c>
      <c r="C491" s="10">
        <v>0</v>
      </c>
      <c r="D491" s="10">
        <v>7</v>
      </c>
      <c r="E491" s="10">
        <v>3</v>
      </c>
      <c r="F491" s="10">
        <v>0</v>
      </c>
      <c r="G491" s="10">
        <v>3</v>
      </c>
      <c r="H491" s="10">
        <v>4</v>
      </c>
      <c r="I491" s="10">
        <v>0</v>
      </c>
      <c r="J491" s="10">
        <v>0</v>
      </c>
      <c r="K491" s="10">
        <v>0</v>
      </c>
      <c r="L491" s="10">
        <v>0</v>
      </c>
      <c r="M491" s="10">
        <v>1</v>
      </c>
      <c r="N491" s="10">
        <v>1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8</v>
      </c>
      <c r="Y491" s="10">
        <v>0</v>
      </c>
      <c r="Z491" s="10">
        <v>0</v>
      </c>
      <c r="AA491" s="10">
        <v>0</v>
      </c>
      <c r="AB491" s="10">
        <v>11</v>
      </c>
      <c r="AC491" s="10">
        <v>0</v>
      </c>
      <c r="AD491" s="10">
        <v>6</v>
      </c>
      <c r="AE491" s="10">
        <v>0</v>
      </c>
      <c r="AF491" s="10">
        <v>0</v>
      </c>
      <c r="AG491" s="10">
        <v>5</v>
      </c>
      <c r="AH491" s="10">
        <v>7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4</v>
      </c>
      <c r="AR491" s="10">
        <v>22</v>
      </c>
      <c r="AS491" s="10">
        <v>0</v>
      </c>
      <c r="AT491" s="10">
        <v>0</v>
      </c>
      <c r="AU491" s="10">
        <v>0</v>
      </c>
      <c r="AV491" s="10">
        <v>0</v>
      </c>
      <c r="AW491" s="10">
        <v>0</v>
      </c>
      <c r="AX491" s="10">
        <v>0</v>
      </c>
      <c r="AY491" s="10">
        <v>30</v>
      </c>
    </row>
    <row r="492" spans="1:51" ht="16.5" customHeight="1" x14ac:dyDescent="0.25">
      <c r="A492" s="12"/>
      <c r="B492" s="13" t="s">
        <v>889</v>
      </c>
      <c r="C492" s="14">
        <f>SUM(C446:C491)</f>
        <v>5</v>
      </c>
      <c r="D492" s="14">
        <f t="shared" ref="D492:AY492" si="16">SUM(D446:D491)</f>
        <v>431</v>
      </c>
      <c r="E492" s="14">
        <f t="shared" si="16"/>
        <v>35</v>
      </c>
      <c r="F492" s="14">
        <f t="shared" si="16"/>
        <v>7</v>
      </c>
      <c r="G492" s="14">
        <f t="shared" si="16"/>
        <v>28</v>
      </c>
      <c r="H492" s="14">
        <f t="shared" si="16"/>
        <v>12</v>
      </c>
      <c r="I492" s="14">
        <f t="shared" si="16"/>
        <v>204</v>
      </c>
      <c r="J492" s="14">
        <f t="shared" si="16"/>
        <v>158</v>
      </c>
      <c r="K492" s="14">
        <f t="shared" si="16"/>
        <v>22</v>
      </c>
      <c r="L492" s="14">
        <f t="shared" si="16"/>
        <v>0</v>
      </c>
      <c r="M492" s="14">
        <f t="shared" si="16"/>
        <v>80</v>
      </c>
      <c r="N492" s="14">
        <f t="shared" si="16"/>
        <v>39</v>
      </c>
      <c r="O492" s="14">
        <f t="shared" si="16"/>
        <v>27</v>
      </c>
      <c r="P492" s="14">
        <f t="shared" si="16"/>
        <v>1</v>
      </c>
      <c r="Q492" s="14">
        <f t="shared" si="16"/>
        <v>2</v>
      </c>
      <c r="R492" s="14">
        <f t="shared" si="16"/>
        <v>11</v>
      </c>
      <c r="S492" s="14">
        <f t="shared" si="16"/>
        <v>1</v>
      </c>
      <c r="T492" s="14">
        <f t="shared" si="16"/>
        <v>0</v>
      </c>
      <c r="U492" s="14">
        <f t="shared" si="16"/>
        <v>0</v>
      </c>
      <c r="V492" s="14">
        <f t="shared" si="16"/>
        <v>1</v>
      </c>
      <c r="W492" s="14">
        <f t="shared" si="16"/>
        <v>68</v>
      </c>
      <c r="X492" s="14">
        <f t="shared" si="16"/>
        <v>586</v>
      </c>
      <c r="Y492" s="14">
        <f t="shared" si="16"/>
        <v>0</v>
      </c>
      <c r="Z492" s="14">
        <f t="shared" si="16"/>
        <v>301</v>
      </c>
      <c r="AA492" s="14">
        <f t="shared" si="16"/>
        <v>34</v>
      </c>
      <c r="AB492" s="14">
        <f t="shared" si="16"/>
        <v>1426</v>
      </c>
      <c r="AC492" s="14">
        <f t="shared" si="16"/>
        <v>141</v>
      </c>
      <c r="AD492" s="14">
        <f t="shared" si="16"/>
        <v>598</v>
      </c>
      <c r="AE492" s="14">
        <f t="shared" si="16"/>
        <v>345</v>
      </c>
      <c r="AF492" s="14">
        <f t="shared" si="16"/>
        <v>122</v>
      </c>
      <c r="AG492" s="14">
        <f t="shared" si="16"/>
        <v>220</v>
      </c>
      <c r="AH492" s="14">
        <f t="shared" si="16"/>
        <v>821</v>
      </c>
      <c r="AI492" s="14">
        <f t="shared" si="16"/>
        <v>17</v>
      </c>
      <c r="AJ492" s="14">
        <f t="shared" si="16"/>
        <v>1</v>
      </c>
      <c r="AK492" s="14">
        <f t="shared" si="16"/>
        <v>4</v>
      </c>
      <c r="AL492" s="14">
        <f t="shared" si="16"/>
        <v>0</v>
      </c>
      <c r="AM492" s="14">
        <f t="shared" si="16"/>
        <v>0</v>
      </c>
      <c r="AN492" s="14">
        <f t="shared" si="16"/>
        <v>0</v>
      </c>
      <c r="AO492" s="14">
        <f t="shared" si="16"/>
        <v>10</v>
      </c>
      <c r="AP492" s="14">
        <f t="shared" si="16"/>
        <v>11</v>
      </c>
      <c r="AQ492" s="14">
        <f t="shared" si="16"/>
        <v>367</v>
      </c>
      <c r="AR492" s="14">
        <f t="shared" si="16"/>
        <v>2992</v>
      </c>
      <c r="AS492" s="14">
        <f t="shared" si="16"/>
        <v>2</v>
      </c>
      <c r="AT492" s="14">
        <f t="shared" si="16"/>
        <v>0</v>
      </c>
      <c r="AU492" s="14">
        <f t="shared" si="16"/>
        <v>16</v>
      </c>
      <c r="AV492" s="14">
        <f t="shared" si="16"/>
        <v>1</v>
      </c>
      <c r="AW492" s="14">
        <f t="shared" si="16"/>
        <v>7</v>
      </c>
      <c r="AX492" s="14">
        <f t="shared" si="16"/>
        <v>26</v>
      </c>
      <c r="AY492" s="14">
        <f t="shared" si="16"/>
        <v>3604</v>
      </c>
    </row>
    <row r="493" spans="1:51" ht="16.5" customHeight="1" x14ac:dyDescent="0.25">
      <c r="A493" s="9" t="s">
        <v>905</v>
      </c>
      <c r="B493" s="1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</row>
    <row r="494" spans="1:51" ht="16.5" customHeight="1" x14ac:dyDescent="0.25">
      <c r="A494" s="10">
        <v>1</v>
      </c>
      <c r="B494" s="11" t="s">
        <v>509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0">
        <v>0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>
        <v>0</v>
      </c>
    </row>
    <row r="495" spans="1:51" ht="16.5" customHeight="1" x14ac:dyDescent="0.25">
      <c r="A495" s="10">
        <v>2</v>
      </c>
      <c r="B495" s="11" t="s">
        <v>510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v>0</v>
      </c>
      <c r="AT495" s="10">
        <v>0</v>
      </c>
      <c r="AU495" s="10">
        <v>0</v>
      </c>
      <c r="AV495" s="10">
        <v>0</v>
      </c>
      <c r="AW495" s="10">
        <v>0</v>
      </c>
      <c r="AX495" s="10">
        <v>0</v>
      </c>
      <c r="AY495" s="10">
        <v>0</v>
      </c>
    </row>
    <row r="496" spans="1:51" ht="16.5" customHeight="1" x14ac:dyDescent="0.25">
      <c r="A496" s="10">
        <v>3</v>
      </c>
      <c r="B496" s="11" t="s">
        <v>511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0">
        <v>0</v>
      </c>
      <c r="AT496" s="10">
        <v>0</v>
      </c>
      <c r="AU496" s="10">
        <v>0</v>
      </c>
      <c r="AV496" s="10">
        <v>0</v>
      </c>
      <c r="AW496" s="10">
        <v>0</v>
      </c>
      <c r="AX496" s="10">
        <v>0</v>
      </c>
      <c r="AY496" s="10">
        <v>0</v>
      </c>
    </row>
    <row r="497" spans="1:51" ht="16.5" customHeight="1" x14ac:dyDescent="0.25">
      <c r="A497" s="10">
        <v>4</v>
      </c>
      <c r="B497" s="11" t="s">
        <v>106</v>
      </c>
      <c r="C497" s="10">
        <v>0</v>
      </c>
      <c r="D497" s="10">
        <v>1</v>
      </c>
      <c r="E497" s="10">
        <v>0</v>
      </c>
      <c r="F497" s="10">
        <v>0</v>
      </c>
      <c r="G497" s="10">
        <v>0</v>
      </c>
      <c r="H497" s="10">
        <v>0</v>
      </c>
      <c r="I497" s="10">
        <v>1</v>
      </c>
      <c r="J497" s="10">
        <v>0</v>
      </c>
      <c r="K497" s="10">
        <v>0</v>
      </c>
      <c r="L497" s="10">
        <v>0</v>
      </c>
      <c r="M497" s="10">
        <v>1</v>
      </c>
      <c r="N497" s="10">
        <v>1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2</v>
      </c>
      <c r="Y497" s="10">
        <v>0</v>
      </c>
      <c r="Z497" s="10">
        <v>7</v>
      </c>
      <c r="AA497" s="10">
        <v>5</v>
      </c>
      <c r="AB497" s="10">
        <v>5</v>
      </c>
      <c r="AC497" s="10">
        <v>0</v>
      </c>
      <c r="AD497" s="10">
        <v>0</v>
      </c>
      <c r="AE497" s="10">
        <v>1</v>
      </c>
      <c r="AF497" s="10">
        <v>0</v>
      </c>
      <c r="AG497" s="10">
        <v>4</v>
      </c>
      <c r="AH497" s="10">
        <v>25</v>
      </c>
      <c r="AI497" s="10">
        <v>1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1</v>
      </c>
      <c r="AP497" s="10">
        <v>0</v>
      </c>
      <c r="AQ497" s="10">
        <v>6</v>
      </c>
      <c r="AR497" s="10">
        <v>50</v>
      </c>
      <c r="AS497" s="10">
        <v>0</v>
      </c>
      <c r="AT497" s="10">
        <v>0</v>
      </c>
      <c r="AU497" s="10">
        <v>0</v>
      </c>
      <c r="AV497" s="10">
        <v>0</v>
      </c>
      <c r="AW497" s="10">
        <v>0</v>
      </c>
      <c r="AX497" s="10">
        <v>0</v>
      </c>
      <c r="AY497" s="10">
        <v>52</v>
      </c>
    </row>
    <row r="498" spans="1:51" ht="16.5" customHeight="1" x14ac:dyDescent="0.25">
      <c r="A498" s="10">
        <v>5</v>
      </c>
      <c r="B498" s="11" t="s">
        <v>512</v>
      </c>
      <c r="C498" s="10">
        <v>0</v>
      </c>
      <c r="D498" s="10">
        <v>2</v>
      </c>
      <c r="E498" s="10">
        <v>0</v>
      </c>
      <c r="F498" s="10">
        <v>0</v>
      </c>
      <c r="G498" s="10">
        <v>0</v>
      </c>
      <c r="H498" s="10">
        <v>2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2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0</v>
      </c>
      <c r="AT498" s="10">
        <v>0</v>
      </c>
      <c r="AU498" s="10">
        <v>0</v>
      </c>
      <c r="AV498" s="10">
        <v>0</v>
      </c>
      <c r="AW498" s="10">
        <v>0</v>
      </c>
      <c r="AX498" s="10">
        <v>0</v>
      </c>
      <c r="AY498" s="10">
        <v>2</v>
      </c>
    </row>
    <row r="499" spans="1:51" ht="16.5" customHeight="1" x14ac:dyDescent="0.25">
      <c r="A499" s="10">
        <v>6</v>
      </c>
      <c r="B499" s="11" t="s">
        <v>513</v>
      </c>
      <c r="C499" s="10">
        <v>0</v>
      </c>
      <c r="D499" s="10">
        <v>2</v>
      </c>
      <c r="E499" s="10">
        <v>0</v>
      </c>
      <c r="F499" s="10">
        <v>0</v>
      </c>
      <c r="G499" s="10">
        <v>0</v>
      </c>
      <c r="H499" s="10">
        <v>2</v>
      </c>
      <c r="I499" s="10">
        <v>0</v>
      </c>
      <c r="J499" s="10">
        <v>0</v>
      </c>
      <c r="K499" s="10">
        <v>0</v>
      </c>
      <c r="L499" s="10">
        <v>0</v>
      </c>
      <c r="M499" s="10">
        <v>2</v>
      </c>
      <c r="N499" s="10">
        <v>0</v>
      </c>
      <c r="O499" s="10">
        <v>2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4</v>
      </c>
      <c r="Y499" s="10">
        <v>0</v>
      </c>
      <c r="Z499" s="10">
        <v>0</v>
      </c>
      <c r="AA499" s="10">
        <v>1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3</v>
      </c>
      <c r="AI499" s="10">
        <v>2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9</v>
      </c>
      <c r="AR499" s="10">
        <v>15</v>
      </c>
      <c r="AS499" s="10">
        <v>0</v>
      </c>
      <c r="AT499" s="10">
        <v>0</v>
      </c>
      <c r="AU499" s="10">
        <v>0</v>
      </c>
      <c r="AV499" s="10">
        <v>0</v>
      </c>
      <c r="AW499" s="10">
        <v>0</v>
      </c>
      <c r="AX499" s="10">
        <v>0</v>
      </c>
      <c r="AY499" s="10">
        <v>19</v>
      </c>
    </row>
    <row r="500" spans="1:51" ht="16.5" customHeight="1" x14ac:dyDescent="0.25">
      <c r="A500" s="10">
        <v>7</v>
      </c>
      <c r="B500" s="11" t="s">
        <v>514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0">
        <v>0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</row>
    <row r="501" spans="1:51" ht="16.5" customHeight="1" x14ac:dyDescent="0.25">
      <c r="A501" s="10">
        <v>8</v>
      </c>
      <c r="B501" s="11" t="s">
        <v>515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0">
        <v>0</v>
      </c>
      <c r="AW501" s="10">
        <v>0</v>
      </c>
      <c r="AX501" s="10">
        <v>0</v>
      </c>
      <c r="AY501" s="10">
        <v>0</v>
      </c>
    </row>
    <row r="502" spans="1:51" ht="16.5" customHeight="1" x14ac:dyDescent="0.25">
      <c r="A502" s="10">
        <v>9</v>
      </c>
      <c r="B502" s="11" t="s">
        <v>516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1</v>
      </c>
      <c r="N502" s="10">
        <v>1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1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V502" s="10">
        <v>0</v>
      </c>
      <c r="AW502" s="10">
        <v>0</v>
      </c>
      <c r="AX502" s="10">
        <v>0</v>
      </c>
      <c r="AY502" s="10">
        <v>1</v>
      </c>
    </row>
    <row r="503" spans="1:51" ht="16.5" customHeight="1" x14ac:dyDescent="0.25">
      <c r="A503" s="10">
        <v>10</v>
      </c>
      <c r="B503" s="11" t="s">
        <v>517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0">
        <v>0</v>
      </c>
      <c r="AQ503" s="10">
        <v>0</v>
      </c>
      <c r="AR503" s="10">
        <v>0</v>
      </c>
      <c r="AS503" s="10">
        <v>0</v>
      </c>
      <c r="AT503" s="10">
        <v>0</v>
      </c>
      <c r="AU503" s="10">
        <v>0</v>
      </c>
      <c r="AV503" s="10">
        <v>0</v>
      </c>
      <c r="AW503" s="10">
        <v>0</v>
      </c>
      <c r="AX503" s="10">
        <v>0</v>
      </c>
      <c r="AY503" s="10">
        <v>0</v>
      </c>
    </row>
    <row r="504" spans="1:51" ht="16.5" customHeight="1" x14ac:dyDescent="0.25">
      <c r="A504" s="12"/>
      <c r="B504" s="13" t="s">
        <v>889</v>
      </c>
      <c r="C504" s="14">
        <f>SUM(C494:C503)</f>
        <v>0</v>
      </c>
      <c r="D504" s="14">
        <f t="shared" ref="D504:AY504" si="17">SUM(D494:D503)</f>
        <v>5</v>
      </c>
      <c r="E504" s="14">
        <f t="shared" si="17"/>
        <v>0</v>
      </c>
      <c r="F504" s="14">
        <f t="shared" si="17"/>
        <v>0</v>
      </c>
      <c r="G504" s="14">
        <f t="shared" si="17"/>
        <v>0</v>
      </c>
      <c r="H504" s="14">
        <f t="shared" si="17"/>
        <v>4</v>
      </c>
      <c r="I504" s="14">
        <f t="shared" si="17"/>
        <v>1</v>
      </c>
      <c r="J504" s="14">
        <f t="shared" si="17"/>
        <v>0</v>
      </c>
      <c r="K504" s="14">
        <f t="shared" si="17"/>
        <v>0</v>
      </c>
      <c r="L504" s="14">
        <f t="shared" si="17"/>
        <v>0</v>
      </c>
      <c r="M504" s="14">
        <f t="shared" si="17"/>
        <v>4</v>
      </c>
      <c r="N504" s="14">
        <f t="shared" si="17"/>
        <v>2</v>
      </c>
      <c r="O504" s="14">
        <f t="shared" si="17"/>
        <v>2</v>
      </c>
      <c r="P504" s="14">
        <f t="shared" si="17"/>
        <v>0</v>
      </c>
      <c r="Q504" s="14">
        <f t="shared" si="17"/>
        <v>0</v>
      </c>
      <c r="R504" s="14">
        <f t="shared" si="17"/>
        <v>0</v>
      </c>
      <c r="S504" s="14">
        <f t="shared" si="17"/>
        <v>0</v>
      </c>
      <c r="T504" s="14">
        <f t="shared" si="17"/>
        <v>0</v>
      </c>
      <c r="U504" s="14">
        <f t="shared" si="17"/>
        <v>0</v>
      </c>
      <c r="V504" s="14">
        <f t="shared" si="17"/>
        <v>0</v>
      </c>
      <c r="W504" s="14">
        <f t="shared" si="17"/>
        <v>0</v>
      </c>
      <c r="X504" s="14">
        <f t="shared" si="17"/>
        <v>9</v>
      </c>
      <c r="Y504" s="14">
        <f t="shared" si="17"/>
        <v>0</v>
      </c>
      <c r="Z504" s="14">
        <f t="shared" si="17"/>
        <v>7</v>
      </c>
      <c r="AA504" s="14">
        <f t="shared" si="17"/>
        <v>6</v>
      </c>
      <c r="AB504" s="14">
        <f t="shared" si="17"/>
        <v>5</v>
      </c>
      <c r="AC504" s="14">
        <f t="shared" si="17"/>
        <v>0</v>
      </c>
      <c r="AD504" s="14">
        <f t="shared" si="17"/>
        <v>0</v>
      </c>
      <c r="AE504" s="14">
        <f t="shared" si="17"/>
        <v>1</v>
      </c>
      <c r="AF504" s="14">
        <f t="shared" si="17"/>
        <v>0</v>
      </c>
      <c r="AG504" s="14">
        <f t="shared" si="17"/>
        <v>4</v>
      </c>
      <c r="AH504" s="14">
        <f t="shared" si="17"/>
        <v>28</v>
      </c>
      <c r="AI504" s="14">
        <f t="shared" si="17"/>
        <v>3</v>
      </c>
      <c r="AJ504" s="14">
        <f t="shared" si="17"/>
        <v>0</v>
      </c>
      <c r="AK504" s="14">
        <f t="shared" si="17"/>
        <v>0</v>
      </c>
      <c r="AL504" s="14">
        <f t="shared" si="17"/>
        <v>0</v>
      </c>
      <c r="AM504" s="14">
        <f t="shared" si="17"/>
        <v>0</v>
      </c>
      <c r="AN504" s="14">
        <f t="shared" si="17"/>
        <v>0</v>
      </c>
      <c r="AO504" s="14">
        <f t="shared" si="17"/>
        <v>1</v>
      </c>
      <c r="AP504" s="14">
        <f t="shared" si="17"/>
        <v>0</v>
      </c>
      <c r="AQ504" s="14">
        <f t="shared" si="17"/>
        <v>15</v>
      </c>
      <c r="AR504" s="14">
        <f t="shared" si="17"/>
        <v>65</v>
      </c>
      <c r="AS504" s="14">
        <f t="shared" si="17"/>
        <v>0</v>
      </c>
      <c r="AT504" s="14">
        <f t="shared" si="17"/>
        <v>0</v>
      </c>
      <c r="AU504" s="14">
        <f t="shared" si="17"/>
        <v>0</v>
      </c>
      <c r="AV504" s="14">
        <f t="shared" si="17"/>
        <v>0</v>
      </c>
      <c r="AW504" s="14">
        <f t="shared" si="17"/>
        <v>0</v>
      </c>
      <c r="AX504" s="14">
        <f t="shared" si="17"/>
        <v>0</v>
      </c>
      <c r="AY504" s="14">
        <f t="shared" si="17"/>
        <v>74</v>
      </c>
    </row>
    <row r="505" spans="1:51" ht="16.5" customHeight="1" x14ac:dyDescent="0.25">
      <c r="A505" s="9" t="s">
        <v>906</v>
      </c>
      <c r="B505" s="1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</row>
    <row r="506" spans="1:51" ht="16.5" customHeight="1" x14ac:dyDescent="0.25">
      <c r="A506" s="10">
        <v>1</v>
      </c>
      <c r="B506" s="11" t="s">
        <v>518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v>0</v>
      </c>
      <c r="AT506" s="10">
        <v>0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</row>
    <row r="507" spans="1:51" ht="16.5" customHeight="1" x14ac:dyDescent="0.25">
      <c r="A507" s="10">
        <v>2</v>
      </c>
      <c r="B507" s="11" t="s">
        <v>519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0">
        <v>0</v>
      </c>
      <c r="AT507" s="10">
        <v>0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</row>
    <row r="508" spans="1:51" ht="16.5" customHeight="1" x14ac:dyDescent="0.25">
      <c r="A508" s="10">
        <v>3</v>
      </c>
      <c r="B508" s="11" t="s">
        <v>520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0">
        <v>0</v>
      </c>
      <c r="AT508" s="10">
        <v>0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</row>
    <row r="509" spans="1:51" ht="16.5" customHeight="1" x14ac:dyDescent="0.25">
      <c r="A509" s="10">
        <v>4</v>
      </c>
      <c r="B509" s="11" t="s">
        <v>521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0">
        <v>0</v>
      </c>
      <c r="AT509" s="10">
        <v>0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</row>
    <row r="510" spans="1:51" ht="16.5" customHeight="1" x14ac:dyDescent="0.25">
      <c r="A510" s="10">
        <v>5</v>
      </c>
      <c r="B510" s="11" t="s">
        <v>522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0">
        <v>0</v>
      </c>
      <c r="AT510" s="10">
        <v>0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</row>
    <row r="511" spans="1:51" ht="16.5" customHeight="1" x14ac:dyDescent="0.25">
      <c r="A511" s="10">
        <v>6</v>
      </c>
      <c r="B511" s="11" t="s">
        <v>523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v>0</v>
      </c>
      <c r="AT511" s="10">
        <v>0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</row>
    <row r="512" spans="1:51" ht="16.5" customHeight="1" x14ac:dyDescent="0.25">
      <c r="A512" s="10">
        <v>7</v>
      </c>
      <c r="B512" s="11" t="s">
        <v>524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0">
        <v>0</v>
      </c>
      <c r="AT512" s="10">
        <v>0</v>
      </c>
      <c r="AU512" s="10">
        <v>0</v>
      </c>
      <c r="AV512" s="10">
        <v>0</v>
      </c>
      <c r="AW512" s="10">
        <v>0</v>
      </c>
      <c r="AX512" s="10">
        <v>0</v>
      </c>
      <c r="AY512" s="10">
        <v>0</v>
      </c>
    </row>
    <row r="513" spans="1:51" ht="16.5" customHeight="1" x14ac:dyDescent="0.25">
      <c r="A513" s="10">
        <v>8</v>
      </c>
      <c r="B513" s="11" t="s">
        <v>525</v>
      </c>
      <c r="C513" s="10">
        <v>0</v>
      </c>
      <c r="D513" s="10">
        <v>25</v>
      </c>
      <c r="E513" s="10">
        <v>2</v>
      </c>
      <c r="F513" s="10">
        <v>0</v>
      </c>
      <c r="G513" s="10">
        <v>2</v>
      </c>
      <c r="H513" s="10">
        <v>0</v>
      </c>
      <c r="I513" s="10">
        <v>17</v>
      </c>
      <c r="J513" s="10">
        <v>6</v>
      </c>
      <c r="K513" s="10">
        <v>0</v>
      </c>
      <c r="L513" s="10">
        <v>0</v>
      </c>
      <c r="M513" s="10">
        <v>4</v>
      </c>
      <c r="N513" s="10">
        <v>4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29</v>
      </c>
      <c r="Y513" s="10">
        <v>0</v>
      </c>
      <c r="Z513" s="10">
        <v>0</v>
      </c>
      <c r="AA513" s="10">
        <v>0</v>
      </c>
      <c r="AB513" s="10">
        <v>2</v>
      </c>
      <c r="AC513" s="10">
        <v>0</v>
      </c>
      <c r="AD513" s="10">
        <v>2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1</v>
      </c>
      <c r="AP513" s="10">
        <v>0</v>
      </c>
      <c r="AQ513" s="10">
        <v>0</v>
      </c>
      <c r="AR513" s="10">
        <v>3</v>
      </c>
      <c r="AS513" s="10">
        <v>0</v>
      </c>
      <c r="AT513" s="10">
        <v>0</v>
      </c>
      <c r="AU513" s="10">
        <v>0</v>
      </c>
      <c r="AV513" s="10">
        <v>0</v>
      </c>
      <c r="AW513" s="10">
        <v>0</v>
      </c>
      <c r="AX513" s="10">
        <v>0</v>
      </c>
      <c r="AY513" s="10">
        <v>32</v>
      </c>
    </row>
    <row r="514" spans="1:51" ht="16.5" customHeight="1" x14ac:dyDescent="0.25">
      <c r="A514" s="10">
        <v>9</v>
      </c>
      <c r="B514" s="11" t="s">
        <v>526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1</v>
      </c>
      <c r="N514" s="10">
        <v>0</v>
      </c>
      <c r="O514" s="10">
        <v>1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1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0">
        <v>0</v>
      </c>
      <c r="AT514" s="10">
        <v>0</v>
      </c>
      <c r="AU514" s="10">
        <v>0</v>
      </c>
      <c r="AV514" s="10">
        <v>0</v>
      </c>
      <c r="AW514" s="10">
        <v>0</v>
      </c>
      <c r="AX514" s="10">
        <v>0</v>
      </c>
      <c r="AY514" s="10">
        <v>1</v>
      </c>
    </row>
    <row r="515" spans="1:51" ht="16.5" customHeight="1" x14ac:dyDescent="0.25">
      <c r="A515" s="10">
        <v>10</v>
      </c>
      <c r="B515" s="11" t="s">
        <v>527</v>
      </c>
      <c r="C515" s="10">
        <v>0</v>
      </c>
      <c r="D515" s="10">
        <v>1</v>
      </c>
      <c r="E515" s="10">
        <v>0</v>
      </c>
      <c r="F515" s="10">
        <v>0</v>
      </c>
      <c r="G515" s="10">
        <v>0</v>
      </c>
      <c r="H515" s="10">
        <v>0</v>
      </c>
      <c r="I515" s="10">
        <v>1</v>
      </c>
      <c r="J515" s="10">
        <v>0</v>
      </c>
      <c r="K515" s="10">
        <v>0</v>
      </c>
      <c r="L515" s="10">
        <v>0</v>
      </c>
      <c r="M515" s="10">
        <v>1</v>
      </c>
      <c r="N515" s="10">
        <v>0</v>
      </c>
      <c r="O515" s="10">
        <v>1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2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0">
        <v>0</v>
      </c>
      <c r="AW515" s="10">
        <v>0</v>
      </c>
      <c r="AX515" s="10">
        <v>0</v>
      </c>
      <c r="AY515" s="10">
        <v>2</v>
      </c>
    </row>
    <row r="516" spans="1:51" ht="16.5" customHeight="1" x14ac:dyDescent="0.25">
      <c r="A516" s="10">
        <v>11</v>
      </c>
      <c r="B516" s="11" t="s">
        <v>528</v>
      </c>
      <c r="C516" s="10">
        <v>0</v>
      </c>
      <c r="D516" s="10">
        <v>2</v>
      </c>
      <c r="E516" s="10">
        <v>0</v>
      </c>
      <c r="F516" s="10">
        <v>0</v>
      </c>
      <c r="G516" s="10">
        <v>0</v>
      </c>
      <c r="H516" s="10">
        <v>0</v>
      </c>
      <c r="I516" s="10">
        <v>2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1</v>
      </c>
      <c r="X516" s="10">
        <v>3</v>
      </c>
      <c r="Y516" s="10">
        <v>0</v>
      </c>
      <c r="Z516" s="10">
        <v>0</v>
      </c>
      <c r="AA516" s="10">
        <v>0</v>
      </c>
      <c r="AB516" s="10">
        <v>1</v>
      </c>
      <c r="AC516" s="10">
        <v>0</v>
      </c>
      <c r="AD516" s="10">
        <v>0</v>
      </c>
      <c r="AE516" s="10">
        <v>1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0">
        <v>0</v>
      </c>
      <c r="AN516" s="10">
        <v>0</v>
      </c>
      <c r="AO516" s="10">
        <v>0</v>
      </c>
      <c r="AP516" s="10">
        <v>0</v>
      </c>
      <c r="AQ516" s="10">
        <v>0</v>
      </c>
      <c r="AR516" s="10">
        <v>1</v>
      </c>
      <c r="AS516" s="10">
        <v>0</v>
      </c>
      <c r="AT516" s="10">
        <v>0</v>
      </c>
      <c r="AU516" s="10">
        <v>0</v>
      </c>
      <c r="AV516" s="10">
        <v>0</v>
      </c>
      <c r="AW516" s="10">
        <v>0</v>
      </c>
      <c r="AX516" s="10">
        <v>0</v>
      </c>
      <c r="AY516" s="10">
        <v>4</v>
      </c>
    </row>
    <row r="517" spans="1:51" ht="16.5" customHeight="1" x14ac:dyDescent="0.25">
      <c r="A517" s="12"/>
      <c r="B517" s="13" t="s">
        <v>889</v>
      </c>
      <c r="C517" s="14">
        <f t="shared" ref="C517:AH517" si="18">SUM(C506:C516)</f>
        <v>0</v>
      </c>
      <c r="D517" s="14">
        <f t="shared" si="18"/>
        <v>28</v>
      </c>
      <c r="E517" s="14">
        <f t="shared" si="18"/>
        <v>2</v>
      </c>
      <c r="F517" s="14">
        <f t="shared" si="18"/>
        <v>0</v>
      </c>
      <c r="G517" s="14">
        <f t="shared" si="18"/>
        <v>2</v>
      </c>
      <c r="H517" s="14">
        <f t="shared" si="18"/>
        <v>0</v>
      </c>
      <c r="I517" s="14">
        <f t="shared" si="18"/>
        <v>20</v>
      </c>
      <c r="J517" s="14">
        <f t="shared" si="18"/>
        <v>6</v>
      </c>
      <c r="K517" s="14">
        <f t="shared" si="18"/>
        <v>0</v>
      </c>
      <c r="L517" s="14">
        <f t="shared" si="18"/>
        <v>0</v>
      </c>
      <c r="M517" s="14">
        <f t="shared" si="18"/>
        <v>6</v>
      </c>
      <c r="N517" s="14">
        <f t="shared" si="18"/>
        <v>4</v>
      </c>
      <c r="O517" s="14">
        <f t="shared" si="18"/>
        <v>2</v>
      </c>
      <c r="P517" s="14">
        <f t="shared" si="18"/>
        <v>0</v>
      </c>
      <c r="Q517" s="14">
        <f t="shared" si="18"/>
        <v>0</v>
      </c>
      <c r="R517" s="14">
        <f t="shared" si="18"/>
        <v>0</v>
      </c>
      <c r="S517" s="14">
        <f t="shared" si="18"/>
        <v>0</v>
      </c>
      <c r="T517" s="14">
        <f t="shared" si="18"/>
        <v>0</v>
      </c>
      <c r="U517" s="14">
        <f t="shared" si="18"/>
        <v>0</v>
      </c>
      <c r="V517" s="14">
        <f t="shared" si="18"/>
        <v>0</v>
      </c>
      <c r="W517" s="14">
        <f t="shared" si="18"/>
        <v>1</v>
      </c>
      <c r="X517" s="14">
        <f t="shared" si="18"/>
        <v>35</v>
      </c>
      <c r="Y517" s="14">
        <f t="shared" si="18"/>
        <v>0</v>
      </c>
      <c r="Z517" s="14">
        <f t="shared" si="18"/>
        <v>0</v>
      </c>
      <c r="AA517" s="14">
        <f t="shared" si="18"/>
        <v>0</v>
      </c>
      <c r="AB517" s="14">
        <f t="shared" si="18"/>
        <v>3</v>
      </c>
      <c r="AC517" s="14">
        <f t="shared" si="18"/>
        <v>0</v>
      </c>
      <c r="AD517" s="14">
        <f t="shared" si="18"/>
        <v>2</v>
      </c>
      <c r="AE517" s="14">
        <f t="shared" si="18"/>
        <v>1</v>
      </c>
      <c r="AF517" s="14">
        <f t="shared" si="18"/>
        <v>0</v>
      </c>
      <c r="AG517" s="14">
        <f t="shared" si="18"/>
        <v>0</v>
      </c>
      <c r="AH517" s="14">
        <f t="shared" si="18"/>
        <v>0</v>
      </c>
      <c r="AI517" s="14">
        <f t="shared" ref="AI517:BN517" si="19">SUM(AI506:AI516)</f>
        <v>0</v>
      </c>
      <c r="AJ517" s="14">
        <f t="shared" si="19"/>
        <v>0</v>
      </c>
      <c r="AK517" s="14">
        <f t="shared" si="19"/>
        <v>0</v>
      </c>
      <c r="AL517" s="14">
        <f t="shared" si="19"/>
        <v>0</v>
      </c>
      <c r="AM517" s="14">
        <f t="shared" si="19"/>
        <v>0</v>
      </c>
      <c r="AN517" s="14">
        <f t="shared" si="19"/>
        <v>0</v>
      </c>
      <c r="AO517" s="14">
        <f t="shared" si="19"/>
        <v>1</v>
      </c>
      <c r="AP517" s="14">
        <f t="shared" si="19"/>
        <v>0</v>
      </c>
      <c r="AQ517" s="14">
        <f t="shared" si="19"/>
        <v>0</v>
      </c>
      <c r="AR517" s="14">
        <f t="shared" si="19"/>
        <v>4</v>
      </c>
      <c r="AS517" s="14">
        <f t="shared" si="19"/>
        <v>0</v>
      </c>
      <c r="AT517" s="14">
        <f t="shared" si="19"/>
        <v>0</v>
      </c>
      <c r="AU517" s="14">
        <f t="shared" si="19"/>
        <v>0</v>
      </c>
      <c r="AV517" s="14">
        <f t="shared" si="19"/>
        <v>0</v>
      </c>
      <c r="AW517" s="14">
        <f t="shared" si="19"/>
        <v>0</v>
      </c>
      <c r="AX517" s="14">
        <f t="shared" si="19"/>
        <v>0</v>
      </c>
      <c r="AY517" s="14">
        <f t="shared" si="19"/>
        <v>39</v>
      </c>
    </row>
    <row r="518" spans="1:51" ht="16.5" customHeight="1" x14ac:dyDescent="0.25">
      <c r="A518" s="9" t="s">
        <v>907</v>
      </c>
      <c r="B518" s="1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</row>
    <row r="519" spans="1:51" ht="16.5" customHeight="1" x14ac:dyDescent="0.25">
      <c r="A519" s="10">
        <v>1</v>
      </c>
      <c r="B519" s="11" t="s">
        <v>529</v>
      </c>
      <c r="C519" s="10">
        <v>3</v>
      </c>
      <c r="D519" s="10">
        <v>4</v>
      </c>
      <c r="E519" s="10">
        <v>0</v>
      </c>
      <c r="F519" s="10">
        <v>0</v>
      </c>
      <c r="G519" s="10">
        <v>0</v>
      </c>
      <c r="H519" s="10">
        <v>0</v>
      </c>
      <c r="I519" s="10">
        <v>3</v>
      </c>
      <c r="J519" s="10">
        <v>0</v>
      </c>
      <c r="K519" s="10">
        <v>1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2</v>
      </c>
      <c r="X519" s="10">
        <v>9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0">
        <v>0</v>
      </c>
      <c r="AT519" s="10">
        <v>0</v>
      </c>
      <c r="AU519" s="10">
        <v>0</v>
      </c>
      <c r="AV519" s="10">
        <v>0</v>
      </c>
      <c r="AW519" s="10">
        <v>0</v>
      </c>
      <c r="AX519" s="10">
        <v>0</v>
      </c>
      <c r="AY519" s="10">
        <v>9</v>
      </c>
    </row>
    <row r="520" spans="1:51" ht="16.5" customHeight="1" x14ac:dyDescent="0.25">
      <c r="A520" s="10">
        <v>2</v>
      </c>
      <c r="B520" s="11" t="s">
        <v>530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</row>
    <row r="521" spans="1:51" ht="16.5" customHeight="1" x14ac:dyDescent="0.25">
      <c r="A521" s="10">
        <v>3</v>
      </c>
      <c r="B521" s="11" t="s">
        <v>531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0">
        <v>0</v>
      </c>
      <c r="AT521" s="10">
        <v>0</v>
      </c>
      <c r="AU521" s="10">
        <v>0</v>
      </c>
      <c r="AV521" s="10">
        <v>0</v>
      </c>
      <c r="AW521" s="10">
        <v>0</v>
      </c>
      <c r="AX521" s="10">
        <v>0</v>
      </c>
      <c r="AY521" s="10">
        <v>0</v>
      </c>
    </row>
    <row r="522" spans="1:51" ht="16.5" customHeight="1" x14ac:dyDescent="0.25">
      <c r="A522" s="10">
        <v>4</v>
      </c>
      <c r="B522" s="11" t="s">
        <v>532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0</v>
      </c>
      <c r="AT522" s="10">
        <v>0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</row>
    <row r="523" spans="1:51" ht="16.5" customHeight="1" x14ac:dyDescent="0.25">
      <c r="A523" s="10">
        <v>5</v>
      </c>
      <c r="B523" s="11" t="s">
        <v>533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</row>
    <row r="524" spans="1:51" ht="16.5" customHeight="1" x14ac:dyDescent="0.25">
      <c r="A524" s="10">
        <v>6</v>
      </c>
      <c r="B524" s="11" t="s">
        <v>534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0</v>
      </c>
      <c r="AT524" s="10">
        <v>0</v>
      </c>
      <c r="AU524" s="10">
        <v>0</v>
      </c>
      <c r="AV524" s="10">
        <v>0</v>
      </c>
      <c r="AW524" s="10">
        <v>0</v>
      </c>
      <c r="AX524" s="10">
        <v>0</v>
      </c>
      <c r="AY524" s="10">
        <v>0</v>
      </c>
    </row>
    <row r="525" spans="1:51" ht="16.5" customHeight="1" x14ac:dyDescent="0.25">
      <c r="A525" s="10">
        <v>7</v>
      </c>
      <c r="B525" s="11" t="s">
        <v>535</v>
      </c>
      <c r="C525" s="10">
        <v>0</v>
      </c>
      <c r="D525" s="10">
        <v>1</v>
      </c>
      <c r="E525" s="10">
        <v>0</v>
      </c>
      <c r="F525" s="10">
        <v>0</v>
      </c>
      <c r="G525" s="10">
        <v>0</v>
      </c>
      <c r="H525" s="10">
        <v>0</v>
      </c>
      <c r="I525" s="10">
        <v>1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1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0">
        <v>0</v>
      </c>
      <c r="AT525" s="10">
        <v>0</v>
      </c>
      <c r="AU525" s="10">
        <v>0</v>
      </c>
      <c r="AV525" s="10">
        <v>0</v>
      </c>
      <c r="AW525" s="10">
        <v>0</v>
      </c>
      <c r="AX525" s="10">
        <v>0</v>
      </c>
      <c r="AY525" s="10">
        <v>1</v>
      </c>
    </row>
    <row r="526" spans="1:51" ht="16.5" customHeight="1" x14ac:dyDescent="0.25">
      <c r="A526" s="10">
        <v>8</v>
      </c>
      <c r="B526" s="11" t="s">
        <v>536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0">
        <v>0</v>
      </c>
      <c r="AT526" s="10">
        <v>0</v>
      </c>
      <c r="AU526" s="10">
        <v>0</v>
      </c>
      <c r="AV526" s="10">
        <v>0</v>
      </c>
      <c r="AW526" s="10">
        <v>0</v>
      </c>
      <c r="AX526" s="10">
        <v>0</v>
      </c>
      <c r="AY526" s="10">
        <v>0</v>
      </c>
    </row>
    <row r="527" spans="1:51" ht="16.5" customHeight="1" x14ac:dyDescent="0.25">
      <c r="A527" s="10">
        <v>10</v>
      </c>
      <c r="B527" s="11" t="s">
        <v>537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</row>
    <row r="528" spans="1:51" ht="16.5" customHeight="1" x14ac:dyDescent="0.25">
      <c r="A528" s="12"/>
      <c r="B528" s="13" t="s">
        <v>889</v>
      </c>
      <c r="C528" s="14">
        <f>SUM(C519:C527)</f>
        <v>3</v>
      </c>
      <c r="D528" s="14">
        <f t="shared" ref="D528:AY528" si="20">SUM(D519:D527)</f>
        <v>5</v>
      </c>
      <c r="E528" s="14">
        <f t="shared" si="20"/>
        <v>0</v>
      </c>
      <c r="F528" s="14">
        <f t="shared" si="20"/>
        <v>0</v>
      </c>
      <c r="G528" s="14">
        <f t="shared" si="20"/>
        <v>0</v>
      </c>
      <c r="H528" s="14">
        <f t="shared" si="20"/>
        <v>0</v>
      </c>
      <c r="I528" s="14">
        <f t="shared" si="20"/>
        <v>4</v>
      </c>
      <c r="J528" s="14">
        <f t="shared" si="20"/>
        <v>0</v>
      </c>
      <c r="K528" s="14">
        <f t="shared" si="20"/>
        <v>1</v>
      </c>
      <c r="L528" s="14">
        <f t="shared" si="20"/>
        <v>0</v>
      </c>
      <c r="M528" s="14">
        <f t="shared" si="20"/>
        <v>0</v>
      </c>
      <c r="N528" s="14">
        <f t="shared" si="20"/>
        <v>0</v>
      </c>
      <c r="O528" s="14">
        <f t="shared" si="20"/>
        <v>0</v>
      </c>
      <c r="P528" s="14">
        <f t="shared" si="20"/>
        <v>0</v>
      </c>
      <c r="Q528" s="14">
        <f t="shared" si="20"/>
        <v>0</v>
      </c>
      <c r="R528" s="14">
        <f t="shared" si="20"/>
        <v>0</v>
      </c>
      <c r="S528" s="14">
        <f t="shared" si="20"/>
        <v>0</v>
      </c>
      <c r="T528" s="14">
        <f t="shared" si="20"/>
        <v>0</v>
      </c>
      <c r="U528" s="14">
        <f t="shared" si="20"/>
        <v>0</v>
      </c>
      <c r="V528" s="14">
        <f t="shared" si="20"/>
        <v>0</v>
      </c>
      <c r="W528" s="14">
        <f t="shared" si="20"/>
        <v>2</v>
      </c>
      <c r="X528" s="14">
        <f t="shared" si="20"/>
        <v>10</v>
      </c>
      <c r="Y528" s="14">
        <f t="shared" si="20"/>
        <v>0</v>
      </c>
      <c r="Z528" s="14">
        <f t="shared" si="20"/>
        <v>0</v>
      </c>
      <c r="AA528" s="14">
        <f t="shared" si="20"/>
        <v>0</v>
      </c>
      <c r="AB528" s="14">
        <f t="shared" si="20"/>
        <v>0</v>
      </c>
      <c r="AC528" s="14">
        <f t="shared" si="20"/>
        <v>0</v>
      </c>
      <c r="AD528" s="14">
        <f t="shared" si="20"/>
        <v>0</v>
      </c>
      <c r="AE528" s="14">
        <f t="shared" si="20"/>
        <v>0</v>
      </c>
      <c r="AF528" s="14">
        <f t="shared" si="20"/>
        <v>0</v>
      </c>
      <c r="AG528" s="14">
        <f t="shared" si="20"/>
        <v>0</v>
      </c>
      <c r="AH528" s="14">
        <f t="shared" si="20"/>
        <v>0</v>
      </c>
      <c r="AI528" s="14">
        <f t="shared" si="20"/>
        <v>0</v>
      </c>
      <c r="AJ528" s="14">
        <f t="shared" si="20"/>
        <v>0</v>
      </c>
      <c r="AK528" s="14">
        <f t="shared" si="20"/>
        <v>0</v>
      </c>
      <c r="AL528" s="14">
        <f t="shared" si="20"/>
        <v>0</v>
      </c>
      <c r="AM528" s="14">
        <f t="shared" si="20"/>
        <v>0</v>
      </c>
      <c r="AN528" s="14">
        <f t="shared" si="20"/>
        <v>0</v>
      </c>
      <c r="AO528" s="14">
        <f t="shared" si="20"/>
        <v>0</v>
      </c>
      <c r="AP528" s="14">
        <f t="shared" si="20"/>
        <v>0</v>
      </c>
      <c r="AQ528" s="14">
        <f t="shared" si="20"/>
        <v>0</v>
      </c>
      <c r="AR528" s="14">
        <f t="shared" si="20"/>
        <v>0</v>
      </c>
      <c r="AS528" s="14">
        <f t="shared" si="20"/>
        <v>0</v>
      </c>
      <c r="AT528" s="14">
        <f t="shared" si="20"/>
        <v>0</v>
      </c>
      <c r="AU528" s="14">
        <f t="shared" si="20"/>
        <v>0</v>
      </c>
      <c r="AV528" s="14">
        <f t="shared" si="20"/>
        <v>0</v>
      </c>
      <c r="AW528" s="14">
        <f t="shared" si="20"/>
        <v>0</v>
      </c>
      <c r="AX528" s="14">
        <f t="shared" si="20"/>
        <v>0</v>
      </c>
      <c r="AY528" s="14">
        <f t="shared" si="20"/>
        <v>10</v>
      </c>
    </row>
    <row r="529" spans="1:51" ht="16.5" customHeight="1" x14ac:dyDescent="0.25">
      <c r="A529" s="9" t="s">
        <v>908</v>
      </c>
      <c r="B529" s="1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</row>
    <row r="530" spans="1:51" ht="16.5" customHeight="1" x14ac:dyDescent="0.25">
      <c r="A530" s="10">
        <v>1</v>
      </c>
      <c r="B530" s="11" t="s">
        <v>538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0">
        <v>0</v>
      </c>
      <c r="AN530" s="10">
        <v>0</v>
      </c>
      <c r="AO530" s="10">
        <v>0</v>
      </c>
      <c r="AP530" s="10">
        <v>0</v>
      </c>
      <c r="AQ530" s="10">
        <v>0</v>
      </c>
      <c r="AR530" s="10">
        <v>0</v>
      </c>
      <c r="AS530" s="10">
        <v>0</v>
      </c>
      <c r="AT530" s="10">
        <v>0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</row>
    <row r="531" spans="1:51" ht="16.5" customHeight="1" x14ac:dyDescent="0.25">
      <c r="A531" s="10">
        <v>2</v>
      </c>
      <c r="B531" s="11" t="s">
        <v>539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</row>
    <row r="532" spans="1:51" ht="16.5" customHeight="1" x14ac:dyDescent="0.25">
      <c r="A532" s="10">
        <v>3</v>
      </c>
      <c r="B532" s="11" t="s">
        <v>540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0">
        <v>0</v>
      </c>
      <c r="AS532" s="10">
        <v>0</v>
      </c>
      <c r="AT532" s="10">
        <v>0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</row>
    <row r="533" spans="1:51" ht="16.5" customHeight="1" x14ac:dyDescent="0.25">
      <c r="A533" s="10">
        <v>4</v>
      </c>
      <c r="B533" s="11" t="s">
        <v>541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0</v>
      </c>
      <c r="AT533" s="10">
        <v>0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</row>
    <row r="534" spans="1:51" ht="16.5" customHeight="1" x14ac:dyDescent="0.25">
      <c r="A534" s="10">
        <v>5</v>
      </c>
      <c r="B534" s="11" t="s">
        <v>542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0">
        <v>0</v>
      </c>
      <c r="AT534" s="10">
        <v>0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</row>
    <row r="535" spans="1:51" ht="16.5" customHeight="1" x14ac:dyDescent="0.25">
      <c r="A535" s="10">
        <v>6</v>
      </c>
      <c r="B535" s="11" t="s">
        <v>543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0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</row>
    <row r="536" spans="1:51" ht="16.5" customHeight="1" x14ac:dyDescent="0.25">
      <c r="A536" s="10">
        <v>7</v>
      </c>
      <c r="B536" s="11" t="s">
        <v>544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0">
        <v>0</v>
      </c>
      <c r="AT536" s="10">
        <v>0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</row>
    <row r="537" spans="1:51" ht="16.5" customHeight="1" x14ac:dyDescent="0.25">
      <c r="A537" s="10">
        <v>8</v>
      </c>
      <c r="B537" s="11" t="s">
        <v>545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0</v>
      </c>
      <c r="AT537" s="10">
        <v>0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</row>
    <row r="538" spans="1:51" ht="16.5" customHeight="1" x14ac:dyDescent="0.25">
      <c r="A538" s="10">
        <v>9</v>
      </c>
      <c r="B538" s="11" t="s">
        <v>546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0">
        <v>0</v>
      </c>
      <c r="AT538" s="10">
        <v>0</v>
      </c>
      <c r="AU538" s="10">
        <v>0</v>
      </c>
      <c r="AV538" s="10">
        <v>0</v>
      </c>
      <c r="AW538" s="10">
        <v>0</v>
      </c>
      <c r="AX538" s="10">
        <v>0</v>
      </c>
      <c r="AY538" s="10">
        <v>0</v>
      </c>
    </row>
    <row r="539" spans="1:51" ht="16.5" customHeight="1" x14ac:dyDescent="0.25">
      <c r="A539" s="10">
        <v>10</v>
      </c>
      <c r="B539" s="11" t="s">
        <v>547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</row>
    <row r="540" spans="1:51" ht="16.5" customHeight="1" x14ac:dyDescent="0.25">
      <c r="A540" s="10">
        <v>11</v>
      </c>
      <c r="B540" s="11" t="s">
        <v>548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0">
        <v>0</v>
      </c>
      <c r="AT540" s="10">
        <v>0</v>
      </c>
      <c r="AU540" s="10">
        <v>0</v>
      </c>
      <c r="AV540" s="10">
        <v>0</v>
      </c>
      <c r="AW540" s="10">
        <v>0</v>
      </c>
      <c r="AX540" s="10">
        <v>0</v>
      </c>
      <c r="AY540" s="10">
        <v>0</v>
      </c>
    </row>
    <row r="541" spans="1:51" ht="16.5" customHeight="1" x14ac:dyDescent="0.25">
      <c r="A541" s="12"/>
      <c r="B541" s="13" t="s">
        <v>889</v>
      </c>
      <c r="C541" s="14">
        <f>SUM(C530:C540)</f>
        <v>0</v>
      </c>
      <c r="D541" s="14">
        <f t="shared" ref="D541:AY541" si="21">SUM(D530:D540)</f>
        <v>0</v>
      </c>
      <c r="E541" s="14">
        <f t="shared" si="21"/>
        <v>0</v>
      </c>
      <c r="F541" s="14">
        <f t="shared" si="21"/>
        <v>0</v>
      </c>
      <c r="G541" s="14">
        <f t="shared" si="21"/>
        <v>0</v>
      </c>
      <c r="H541" s="14">
        <f t="shared" si="21"/>
        <v>0</v>
      </c>
      <c r="I541" s="14">
        <f t="shared" si="21"/>
        <v>0</v>
      </c>
      <c r="J541" s="14">
        <f t="shared" si="21"/>
        <v>0</v>
      </c>
      <c r="K541" s="14">
        <f t="shared" si="21"/>
        <v>0</v>
      </c>
      <c r="L541" s="14">
        <f t="shared" si="21"/>
        <v>0</v>
      </c>
      <c r="M541" s="14">
        <f t="shared" si="21"/>
        <v>0</v>
      </c>
      <c r="N541" s="14">
        <f t="shared" si="21"/>
        <v>0</v>
      </c>
      <c r="O541" s="14">
        <f t="shared" si="21"/>
        <v>0</v>
      </c>
      <c r="P541" s="14">
        <f t="shared" si="21"/>
        <v>0</v>
      </c>
      <c r="Q541" s="14">
        <f t="shared" si="21"/>
        <v>0</v>
      </c>
      <c r="R541" s="14">
        <f t="shared" si="21"/>
        <v>0</v>
      </c>
      <c r="S541" s="14">
        <f t="shared" si="21"/>
        <v>0</v>
      </c>
      <c r="T541" s="14">
        <f t="shared" si="21"/>
        <v>0</v>
      </c>
      <c r="U541" s="14">
        <f t="shared" si="21"/>
        <v>0</v>
      </c>
      <c r="V541" s="14">
        <f t="shared" si="21"/>
        <v>0</v>
      </c>
      <c r="W541" s="14">
        <f t="shared" si="21"/>
        <v>0</v>
      </c>
      <c r="X541" s="14">
        <f t="shared" si="21"/>
        <v>0</v>
      </c>
      <c r="Y541" s="14">
        <f t="shared" si="21"/>
        <v>0</v>
      </c>
      <c r="Z541" s="14">
        <f t="shared" si="21"/>
        <v>0</v>
      </c>
      <c r="AA541" s="14">
        <f t="shared" si="21"/>
        <v>0</v>
      </c>
      <c r="AB541" s="14">
        <f t="shared" si="21"/>
        <v>0</v>
      </c>
      <c r="AC541" s="14">
        <f t="shared" si="21"/>
        <v>0</v>
      </c>
      <c r="AD541" s="14">
        <f t="shared" si="21"/>
        <v>0</v>
      </c>
      <c r="AE541" s="14">
        <f t="shared" si="21"/>
        <v>0</v>
      </c>
      <c r="AF541" s="14">
        <f t="shared" si="21"/>
        <v>0</v>
      </c>
      <c r="AG541" s="14">
        <f t="shared" si="21"/>
        <v>0</v>
      </c>
      <c r="AH541" s="14">
        <f t="shared" si="21"/>
        <v>0</v>
      </c>
      <c r="AI541" s="14">
        <f t="shared" si="21"/>
        <v>0</v>
      </c>
      <c r="AJ541" s="14">
        <f t="shared" si="21"/>
        <v>0</v>
      </c>
      <c r="AK541" s="14">
        <f t="shared" si="21"/>
        <v>0</v>
      </c>
      <c r="AL541" s="14">
        <f t="shared" si="21"/>
        <v>0</v>
      </c>
      <c r="AM541" s="14">
        <f t="shared" si="21"/>
        <v>0</v>
      </c>
      <c r="AN541" s="14">
        <f t="shared" si="21"/>
        <v>0</v>
      </c>
      <c r="AO541" s="14">
        <f t="shared" si="21"/>
        <v>0</v>
      </c>
      <c r="AP541" s="14">
        <f t="shared" si="21"/>
        <v>0</v>
      </c>
      <c r="AQ541" s="14">
        <f t="shared" si="21"/>
        <v>0</v>
      </c>
      <c r="AR541" s="14">
        <f t="shared" si="21"/>
        <v>0</v>
      </c>
      <c r="AS541" s="14">
        <f t="shared" si="21"/>
        <v>0</v>
      </c>
      <c r="AT541" s="14">
        <f t="shared" si="21"/>
        <v>0</v>
      </c>
      <c r="AU541" s="14">
        <f t="shared" si="21"/>
        <v>0</v>
      </c>
      <c r="AV541" s="14">
        <f t="shared" si="21"/>
        <v>0</v>
      </c>
      <c r="AW541" s="14">
        <f t="shared" si="21"/>
        <v>0</v>
      </c>
      <c r="AX541" s="14">
        <f t="shared" si="21"/>
        <v>0</v>
      </c>
      <c r="AY541" s="14">
        <f t="shared" si="21"/>
        <v>0</v>
      </c>
    </row>
    <row r="542" spans="1:51" ht="16.5" customHeight="1" x14ac:dyDescent="0.25">
      <c r="A542" s="9" t="s">
        <v>910</v>
      </c>
      <c r="B542" s="1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</row>
    <row r="543" spans="1:51" ht="16.5" customHeight="1" x14ac:dyDescent="0.25">
      <c r="A543" s="10">
        <v>1</v>
      </c>
      <c r="B543" s="11" t="s">
        <v>549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6</v>
      </c>
      <c r="AA543" s="10">
        <v>0</v>
      </c>
      <c r="AB543" s="10">
        <v>14</v>
      </c>
      <c r="AC543" s="10">
        <v>0</v>
      </c>
      <c r="AD543" s="10">
        <v>12</v>
      </c>
      <c r="AE543" s="10">
        <v>2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2</v>
      </c>
      <c r="AR543" s="10">
        <v>22</v>
      </c>
      <c r="AS543" s="10">
        <v>0</v>
      </c>
      <c r="AT543" s="10">
        <v>0</v>
      </c>
      <c r="AU543" s="10">
        <v>0</v>
      </c>
      <c r="AV543" s="10">
        <v>0</v>
      </c>
      <c r="AW543" s="10">
        <v>0</v>
      </c>
      <c r="AX543" s="10">
        <v>0</v>
      </c>
      <c r="AY543" s="10">
        <v>22</v>
      </c>
    </row>
    <row r="544" spans="1:51" ht="16.5" customHeight="1" x14ac:dyDescent="0.25">
      <c r="A544" s="10">
        <v>2</v>
      </c>
      <c r="B544" s="11" t="s">
        <v>550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11</v>
      </c>
      <c r="N544" s="10">
        <v>0</v>
      </c>
      <c r="O544" s="10">
        <v>11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4</v>
      </c>
      <c r="X544" s="10">
        <v>15</v>
      </c>
      <c r="Y544" s="10">
        <v>0</v>
      </c>
      <c r="Z544" s="10">
        <v>0</v>
      </c>
      <c r="AA544" s="10">
        <v>0</v>
      </c>
      <c r="AB544" s="10">
        <v>11</v>
      </c>
      <c r="AC544" s="10">
        <v>0</v>
      </c>
      <c r="AD544" s="10">
        <v>11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  <c r="AR544" s="10">
        <v>11</v>
      </c>
      <c r="AS544" s="10">
        <v>0</v>
      </c>
      <c r="AT544" s="10">
        <v>0</v>
      </c>
      <c r="AU544" s="10">
        <v>0</v>
      </c>
      <c r="AV544" s="10">
        <v>0</v>
      </c>
      <c r="AW544" s="10">
        <v>0</v>
      </c>
      <c r="AX544" s="10">
        <v>0</v>
      </c>
      <c r="AY544" s="10">
        <v>26</v>
      </c>
    </row>
    <row r="545" spans="1:51" ht="16.5" customHeight="1" x14ac:dyDescent="0.25">
      <c r="A545" s="10">
        <v>3</v>
      </c>
      <c r="B545" s="11" t="s">
        <v>551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7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7</v>
      </c>
      <c r="AI545" s="10">
        <v>0</v>
      </c>
      <c r="AJ545" s="10">
        <v>1</v>
      </c>
      <c r="AK545" s="10">
        <v>0</v>
      </c>
      <c r="AL545" s="10">
        <v>0</v>
      </c>
      <c r="AM545" s="10">
        <v>0</v>
      </c>
      <c r="AN545" s="10">
        <v>0</v>
      </c>
      <c r="AO545" s="10">
        <v>0</v>
      </c>
      <c r="AP545" s="10">
        <v>0</v>
      </c>
      <c r="AQ545" s="10">
        <v>0</v>
      </c>
      <c r="AR545" s="10">
        <v>15</v>
      </c>
      <c r="AS545" s="10">
        <v>0</v>
      </c>
      <c r="AT545" s="10">
        <v>0</v>
      </c>
      <c r="AU545" s="10">
        <v>0</v>
      </c>
      <c r="AV545" s="10">
        <v>0</v>
      </c>
      <c r="AW545" s="10">
        <v>0</v>
      </c>
      <c r="AX545" s="10">
        <v>0</v>
      </c>
      <c r="AY545" s="10">
        <v>15</v>
      </c>
    </row>
    <row r="546" spans="1:51" ht="16.5" customHeight="1" x14ac:dyDescent="0.25">
      <c r="A546" s="10">
        <v>4</v>
      </c>
      <c r="B546" s="11" t="s">
        <v>552</v>
      </c>
      <c r="C546" s="10">
        <v>0</v>
      </c>
      <c r="D546" s="10">
        <v>0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10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19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6</v>
      </c>
      <c r="AR546" s="10">
        <v>35</v>
      </c>
      <c r="AS546" s="10">
        <v>0</v>
      </c>
      <c r="AT546" s="10">
        <v>0</v>
      </c>
      <c r="AU546" s="10">
        <v>0</v>
      </c>
      <c r="AV546" s="10">
        <v>0</v>
      </c>
      <c r="AW546" s="10">
        <v>0</v>
      </c>
      <c r="AX546" s="10">
        <v>0</v>
      </c>
      <c r="AY546" s="10">
        <v>35</v>
      </c>
    </row>
    <row r="547" spans="1:51" ht="16.5" customHeight="1" x14ac:dyDescent="0.25">
      <c r="A547" s="10">
        <v>5</v>
      </c>
      <c r="B547" s="11" t="s">
        <v>553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12</v>
      </c>
      <c r="AC547" s="10">
        <v>2</v>
      </c>
      <c r="AD547" s="10">
        <v>5</v>
      </c>
      <c r="AE547" s="10">
        <v>5</v>
      </c>
      <c r="AF547" s="10">
        <v>0</v>
      </c>
      <c r="AG547" s="10">
        <v>0</v>
      </c>
      <c r="AH547" s="10">
        <v>0</v>
      </c>
      <c r="AI547" s="10">
        <v>2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4</v>
      </c>
      <c r="AP547" s="10">
        <v>0</v>
      </c>
      <c r="AQ547" s="10">
        <v>0</v>
      </c>
      <c r="AR547" s="10">
        <v>18</v>
      </c>
      <c r="AS547" s="10">
        <v>0</v>
      </c>
      <c r="AT547" s="10">
        <v>0</v>
      </c>
      <c r="AU547" s="10">
        <v>0</v>
      </c>
      <c r="AV547" s="10">
        <v>0</v>
      </c>
      <c r="AW547" s="10">
        <v>0</v>
      </c>
      <c r="AX547" s="10">
        <v>0</v>
      </c>
      <c r="AY547" s="10">
        <v>18</v>
      </c>
    </row>
    <row r="548" spans="1:51" ht="16.5" customHeight="1" x14ac:dyDescent="0.25">
      <c r="A548" s="10">
        <v>6</v>
      </c>
      <c r="B548" s="11" t="s">
        <v>554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24</v>
      </c>
      <c r="AC548" s="10">
        <v>0</v>
      </c>
      <c r="AD548" s="10">
        <v>4</v>
      </c>
      <c r="AE548" s="10">
        <v>1</v>
      </c>
      <c r="AF548" s="10">
        <v>0</v>
      </c>
      <c r="AG548" s="10">
        <v>19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24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24</v>
      </c>
    </row>
    <row r="549" spans="1:51" ht="16.5" customHeight="1" x14ac:dyDescent="0.25">
      <c r="A549" s="10">
        <v>7</v>
      </c>
      <c r="B549" s="11" t="s">
        <v>555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3</v>
      </c>
      <c r="AC549" s="10">
        <v>0</v>
      </c>
      <c r="AD549" s="10">
        <v>0</v>
      </c>
      <c r="AE549" s="10">
        <v>2</v>
      </c>
      <c r="AF549" s="10">
        <v>0</v>
      </c>
      <c r="AG549" s="10">
        <v>1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3</v>
      </c>
      <c r="AS549" s="10">
        <v>0</v>
      </c>
      <c r="AT549" s="10">
        <v>0</v>
      </c>
      <c r="AU549" s="10">
        <v>0</v>
      </c>
      <c r="AV549" s="10">
        <v>0</v>
      </c>
      <c r="AW549" s="10">
        <v>0</v>
      </c>
      <c r="AX549" s="10">
        <v>0</v>
      </c>
      <c r="AY549" s="10">
        <v>3</v>
      </c>
    </row>
    <row r="550" spans="1:51" ht="16.5" customHeight="1" x14ac:dyDescent="0.25">
      <c r="A550" s="10">
        <v>8</v>
      </c>
      <c r="B550" s="11" t="s">
        <v>556</v>
      </c>
      <c r="C550" s="10">
        <v>0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23</v>
      </c>
      <c r="AC550" s="10">
        <v>0</v>
      </c>
      <c r="AD550" s="10">
        <v>23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0</v>
      </c>
      <c r="AN550" s="10">
        <v>0</v>
      </c>
      <c r="AO550" s="10">
        <v>4</v>
      </c>
      <c r="AP550" s="10">
        <v>0</v>
      </c>
      <c r="AQ550" s="10">
        <v>0</v>
      </c>
      <c r="AR550" s="10">
        <v>27</v>
      </c>
      <c r="AS550" s="10">
        <v>0</v>
      </c>
      <c r="AT550" s="10">
        <v>0</v>
      </c>
      <c r="AU550" s="10">
        <v>0</v>
      </c>
      <c r="AV550" s="10">
        <v>0</v>
      </c>
      <c r="AW550" s="10">
        <v>0</v>
      </c>
      <c r="AX550" s="10">
        <v>0</v>
      </c>
      <c r="AY550" s="10">
        <v>27</v>
      </c>
    </row>
    <row r="551" spans="1:51" ht="16.5" customHeight="1" x14ac:dyDescent="0.25">
      <c r="A551" s="10">
        <v>9</v>
      </c>
      <c r="B551" s="11" t="s">
        <v>557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90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90</v>
      </c>
      <c r="AS551" s="10">
        <v>0</v>
      </c>
      <c r="AT551" s="10">
        <v>0</v>
      </c>
      <c r="AU551" s="10">
        <v>0</v>
      </c>
      <c r="AV551" s="10">
        <v>0</v>
      </c>
      <c r="AW551" s="10">
        <v>0</v>
      </c>
      <c r="AX551" s="10">
        <v>0</v>
      </c>
      <c r="AY551" s="10">
        <v>90</v>
      </c>
    </row>
    <row r="552" spans="1:51" ht="16.5" customHeight="1" x14ac:dyDescent="0.25">
      <c r="A552" s="10">
        <v>10</v>
      </c>
      <c r="B552" s="11" t="s">
        <v>558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43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8</v>
      </c>
      <c r="AR552" s="10">
        <v>51</v>
      </c>
      <c r="AS552" s="10">
        <v>0</v>
      </c>
      <c r="AT552" s="10">
        <v>0</v>
      </c>
      <c r="AU552" s="10">
        <v>0</v>
      </c>
      <c r="AV552" s="10">
        <v>0</v>
      </c>
      <c r="AW552" s="10">
        <v>0</v>
      </c>
      <c r="AX552" s="10">
        <v>0</v>
      </c>
      <c r="AY552" s="10">
        <v>51</v>
      </c>
    </row>
    <row r="553" spans="1:51" ht="16.5" customHeight="1" x14ac:dyDescent="0.25">
      <c r="A553" s="10">
        <v>11</v>
      </c>
      <c r="B553" s="11" t="s">
        <v>559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12</v>
      </c>
      <c r="AC553" s="10">
        <v>0</v>
      </c>
      <c r="AD553" s="10">
        <v>12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2</v>
      </c>
      <c r="AP553" s="10">
        <v>0</v>
      </c>
      <c r="AQ553" s="10">
        <v>0</v>
      </c>
      <c r="AR553" s="10">
        <v>14</v>
      </c>
      <c r="AS553" s="10">
        <v>0</v>
      </c>
      <c r="AT553" s="10">
        <v>0</v>
      </c>
      <c r="AU553" s="10">
        <v>0</v>
      </c>
      <c r="AV553" s="10">
        <v>0</v>
      </c>
      <c r="AW553" s="10">
        <v>0</v>
      </c>
      <c r="AX553" s="10">
        <v>0</v>
      </c>
      <c r="AY553" s="10">
        <v>14</v>
      </c>
    </row>
    <row r="554" spans="1:51" ht="16.5" customHeight="1" x14ac:dyDescent="0.25">
      <c r="A554" s="10">
        <v>12</v>
      </c>
      <c r="B554" s="11" t="s">
        <v>560</v>
      </c>
      <c r="C554" s="10">
        <v>0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11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11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11</v>
      </c>
    </row>
    <row r="555" spans="1:51" ht="16.5" customHeight="1" x14ac:dyDescent="0.25">
      <c r="A555" s="10">
        <v>13</v>
      </c>
      <c r="B555" s="11" t="s">
        <v>561</v>
      </c>
      <c r="C555" s="10">
        <v>0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6</v>
      </c>
      <c r="AC555" s="10">
        <v>2</v>
      </c>
      <c r="AD555" s="10">
        <v>3</v>
      </c>
      <c r="AE555" s="10">
        <v>1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2</v>
      </c>
      <c r="AR555" s="10">
        <v>8</v>
      </c>
      <c r="AS555" s="10">
        <v>0</v>
      </c>
      <c r="AT555" s="10">
        <v>0</v>
      </c>
      <c r="AU555" s="10">
        <v>0</v>
      </c>
      <c r="AV555" s="10">
        <v>0</v>
      </c>
      <c r="AW555" s="10">
        <v>0</v>
      </c>
      <c r="AX555" s="10">
        <v>0</v>
      </c>
      <c r="AY555" s="10">
        <v>8</v>
      </c>
    </row>
    <row r="556" spans="1:51" ht="16.5" customHeight="1" x14ac:dyDescent="0.25">
      <c r="A556" s="10">
        <v>14</v>
      </c>
      <c r="B556" s="11" t="s">
        <v>562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15</v>
      </c>
      <c r="AC556" s="10">
        <v>0</v>
      </c>
      <c r="AD556" s="10">
        <v>12</v>
      </c>
      <c r="AE556" s="10">
        <v>3</v>
      </c>
      <c r="AF556" s="10">
        <v>0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0</v>
      </c>
      <c r="AQ556" s="10">
        <v>14</v>
      </c>
      <c r="AR556" s="10">
        <v>29</v>
      </c>
      <c r="AS556" s="10">
        <v>0</v>
      </c>
      <c r="AT556" s="10">
        <v>0</v>
      </c>
      <c r="AU556" s="10">
        <v>0</v>
      </c>
      <c r="AV556" s="10">
        <v>0</v>
      </c>
      <c r="AW556" s="10">
        <v>0</v>
      </c>
      <c r="AX556" s="10">
        <v>0</v>
      </c>
      <c r="AY556" s="10">
        <v>29</v>
      </c>
    </row>
    <row r="557" spans="1:51" ht="16.5" customHeight="1" x14ac:dyDescent="0.25">
      <c r="A557" s="10">
        <v>15</v>
      </c>
      <c r="B557" s="11" t="s">
        <v>563</v>
      </c>
      <c r="C557" s="10">
        <v>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14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  <c r="AR557" s="10">
        <v>14</v>
      </c>
      <c r="AS557" s="10">
        <v>0</v>
      </c>
      <c r="AT557" s="10">
        <v>0</v>
      </c>
      <c r="AU557" s="10">
        <v>0</v>
      </c>
      <c r="AV557" s="10">
        <v>0</v>
      </c>
      <c r="AW557" s="10">
        <v>0</v>
      </c>
      <c r="AX557" s="10">
        <v>0</v>
      </c>
      <c r="AY557" s="10">
        <v>14</v>
      </c>
    </row>
    <row r="558" spans="1:51" ht="16.5" customHeight="1" x14ac:dyDescent="0.25">
      <c r="A558" s="10">
        <v>16</v>
      </c>
      <c r="B558" s="11" t="s">
        <v>564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32</v>
      </c>
      <c r="AC558" s="10">
        <v>0</v>
      </c>
      <c r="AD558" s="10">
        <v>8</v>
      </c>
      <c r="AE558" s="10">
        <v>24</v>
      </c>
      <c r="AF558" s="10">
        <v>0</v>
      </c>
      <c r="AG558" s="10">
        <v>0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14</v>
      </c>
      <c r="AP558" s="10">
        <v>0</v>
      </c>
      <c r="AQ558" s="10">
        <v>0</v>
      </c>
      <c r="AR558" s="10">
        <v>46</v>
      </c>
      <c r="AS558" s="10">
        <v>0</v>
      </c>
      <c r="AT558" s="10">
        <v>0</v>
      </c>
      <c r="AU558" s="10">
        <v>0</v>
      </c>
      <c r="AV558" s="10">
        <v>0</v>
      </c>
      <c r="AW558" s="10">
        <v>0</v>
      </c>
      <c r="AX558" s="10">
        <v>0</v>
      </c>
      <c r="AY558" s="10">
        <v>46</v>
      </c>
    </row>
    <row r="559" spans="1:51" ht="16.5" customHeight="1" x14ac:dyDescent="0.25">
      <c r="A559" s="10">
        <v>17</v>
      </c>
      <c r="B559" s="11" t="s">
        <v>565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5</v>
      </c>
      <c r="AC559" s="10">
        <v>1</v>
      </c>
      <c r="AD559" s="10">
        <v>1</v>
      </c>
      <c r="AE559" s="10">
        <v>2</v>
      </c>
      <c r="AF559" s="10">
        <v>0</v>
      </c>
      <c r="AG559" s="10">
        <v>1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6</v>
      </c>
      <c r="AP559" s="10">
        <v>0</v>
      </c>
      <c r="AQ559" s="10">
        <v>0</v>
      </c>
      <c r="AR559" s="10">
        <v>11</v>
      </c>
      <c r="AS559" s="10">
        <v>0</v>
      </c>
      <c r="AT559" s="10">
        <v>0</v>
      </c>
      <c r="AU559" s="10">
        <v>0</v>
      </c>
      <c r="AV559" s="10">
        <v>0</v>
      </c>
      <c r="AW559" s="10">
        <v>0</v>
      </c>
      <c r="AX559" s="10">
        <v>0</v>
      </c>
      <c r="AY559" s="10">
        <v>11</v>
      </c>
    </row>
    <row r="560" spans="1:51" ht="16.5" customHeight="1" x14ac:dyDescent="0.25">
      <c r="A560" s="10">
        <v>18</v>
      </c>
      <c r="B560" s="11" t="s">
        <v>566</v>
      </c>
      <c r="C560" s="10">
        <v>0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1</v>
      </c>
      <c r="N560" s="10">
        <v>0</v>
      </c>
      <c r="O560" s="10">
        <v>1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7</v>
      </c>
      <c r="X560" s="10">
        <v>8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0">
        <v>0</v>
      </c>
      <c r="AT560" s="10">
        <v>0</v>
      </c>
      <c r="AU560" s="10">
        <v>0</v>
      </c>
      <c r="AV560" s="10">
        <v>0</v>
      </c>
      <c r="AW560" s="10">
        <v>0</v>
      </c>
      <c r="AX560" s="10">
        <v>0</v>
      </c>
      <c r="AY560" s="10">
        <v>8</v>
      </c>
    </row>
    <row r="561" spans="1:51" ht="16.5" customHeight="1" x14ac:dyDescent="0.25">
      <c r="A561" s="10">
        <v>19</v>
      </c>
      <c r="B561" s="11" t="s">
        <v>567</v>
      </c>
      <c r="C561" s="10">
        <v>0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7</v>
      </c>
      <c r="AC561" s="10">
        <v>0</v>
      </c>
      <c r="AD561" s="10">
        <v>5</v>
      </c>
      <c r="AE561" s="10">
        <v>2</v>
      </c>
      <c r="AF561" s="10">
        <v>0</v>
      </c>
      <c r="AG561" s="10">
        <v>0</v>
      </c>
      <c r="AH561" s="10">
        <v>1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4</v>
      </c>
      <c r="AP561" s="10">
        <v>0</v>
      </c>
      <c r="AQ561" s="10">
        <v>0</v>
      </c>
      <c r="AR561" s="10">
        <v>12</v>
      </c>
      <c r="AS561" s="10">
        <v>0</v>
      </c>
      <c r="AT561" s="10">
        <v>0</v>
      </c>
      <c r="AU561" s="10">
        <v>0</v>
      </c>
      <c r="AV561" s="10">
        <v>0</v>
      </c>
      <c r="AW561" s="10">
        <v>0</v>
      </c>
      <c r="AX561" s="10">
        <v>0</v>
      </c>
      <c r="AY561" s="10">
        <v>12</v>
      </c>
    </row>
    <row r="562" spans="1:51" ht="16.5" customHeight="1" x14ac:dyDescent="0.25">
      <c r="A562" s="10">
        <v>20</v>
      </c>
      <c r="B562" s="11" t="s">
        <v>568</v>
      </c>
      <c r="C562" s="10">
        <v>0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1</v>
      </c>
      <c r="X562" s="10">
        <v>1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17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17</v>
      </c>
      <c r="AS562" s="10">
        <v>0</v>
      </c>
      <c r="AT562" s="10">
        <v>0</v>
      </c>
      <c r="AU562" s="10">
        <v>0</v>
      </c>
      <c r="AV562" s="10">
        <v>0</v>
      </c>
      <c r="AW562" s="10">
        <v>0</v>
      </c>
      <c r="AX562" s="10">
        <v>0</v>
      </c>
      <c r="AY562" s="10">
        <v>18</v>
      </c>
    </row>
    <row r="563" spans="1:51" ht="16.5" customHeight="1" x14ac:dyDescent="0.25">
      <c r="A563" s="10">
        <v>21</v>
      </c>
      <c r="B563" s="11" t="s">
        <v>569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10</v>
      </c>
      <c r="N563" s="10">
        <v>0</v>
      </c>
      <c r="O563" s="10">
        <v>10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10</v>
      </c>
      <c r="Y563" s="10">
        <v>0</v>
      </c>
      <c r="Z563" s="10">
        <v>0</v>
      </c>
      <c r="AA563" s="10">
        <v>0</v>
      </c>
      <c r="AB563" s="10">
        <v>11</v>
      </c>
      <c r="AC563" s="10">
        <v>0</v>
      </c>
      <c r="AD563" s="10">
        <v>7</v>
      </c>
      <c r="AE563" s="10">
        <v>4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11</v>
      </c>
      <c r="AS563" s="10">
        <v>0</v>
      </c>
      <c r="AT563" s="10">
        <v>0</v>
      </c>
      <c r="AU563" s="10">
        <v>0</v>
      </c>
      <c r="AV563" s="10">
        <v>0</v>
      </c>
      <c r="AW563" s="10">
        <v>0</v>
      </c>
      <c r="AX563" s="10">
        <v>0</v>
      </c>
      <c r="AY563" s="10">
        <v>21</v>
      </c>
    </row>
    <row r="564" spans="1:51" ht="16.5" customHeight="1" x14ac:dyDescent="0.25">
      <c r="A564" s="10">
        <v>22</v>
      </c>
      <c r="B564" s="11" t="s">
        <v>570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9</v>
      </c>
      <c r="AC564" s="10">
        <v>0</v>
      </c>
      <c r="AD564" s="10">
        <v>9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9</v>
      </c>
      <c r="AS564" s="10">
        <v>0</v>
      </c>
      <c r="AT564" s="10">
        <v>0</v>
      </c>
      <c r="AU564" s="10">
        <v>0</v>
      </c>
      <c r="AV564" s="10">
        <v>0</v>
      </c>
      <c r="AW564" s="10">
        <v>0</v>
      </c>
      <c r="AX564" s="10">
        <v>0</v>
      </c>
      <c r="AY564" s="10">
        <v>9</v>
      </c>
    </row>
    <row r="565" spans="1:51" ht="16.5" customHeight="1" x14ac:dyDescent="0.25">
      <c r="A565" s="10">
        <v>23</v>
      </c>
      <c r="B565" s="11" t="s">
        <v>571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35</v>
      </c>
      <c r="AC565" s="10">
        <v>0</v>
      </c>
      <c r="AD565" s="10">
        <v>24</v>
      </c>
      <c r="AE565" s="10">
        <v>11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7</v>
      </c>
      <c r="AP565" s="10">
        <v>0</v>
      </c>
      <c r="AQ565" s="10">
        <v>0</v>
      </c>
      <c r="AR565" s="10">
        <v>42</v>
      </c>
      <c r="AS565" s="10">
        <v>0</v>
      </c>
      <c r="AT565" s="10">
        <v>0</v>
      </c>
      <c r="AU565" s="10">
        <v>0</v>
      </c>
      <c r="AV565" s="10">
        <v>0</v>
      </c>
      <c r="AW565" s="10">
        <v>0</v>
      </c>
      <c r="AX565" s="10">
        <v>0</v>
      </c>
      <c r="AY565" s="10">
        <v>42</v>
      </c>
    </row>
    <row r="566" spans="1:51" ht="16.5" customHeight="1" x14ac:dyDescent="0.25">
      <c r="A566" s="10">
        <v>24</v>
      </c>
      <c r="B566" s="11" t="s">
        <v>572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8</v>
      </c>
      <c r="AC566" s="10">
        <v>0</v>
      </c>
      <c r="AD566" s="10">
        <v>3</v>
      </c>
      <c r="AE566" s="10">
        <v>5</v>
      </c>
      <c r="AF566" s="10">
        <v>0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4</v>
      </c>
      <c r="AP566" s="10">
        <v>0</v>
      </c>
      <c r="AQ566" s="10">
        <v>0</v>
      </c>
      <c r="AR566" s="10">
        <v>12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12</v>
      </c>
    </row>
    <row r="567" spans="1:51" ht="16.5" customHeight="1" x14ac:dyDescent="0.25">
      <c r="A567" s="10">
        <v>25</v>
      </c>
      <c r="B567" s="11" t="s">
        <v>573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15</v>
      </c>
      <c r="AC567" s="10">
        <v>2</v>
      </c>
      <c r="AD567" s="10">
        <v>6</v>
      </c>
      <c r="AE567" s="10">
        <v>5</v>
      </c>
      <c r="AF567" s="10">
        <v>0</v>
      </c>
      <c r="AG567" s="10">
        <v>2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10</v>
      </c>
      <c r="AR567" s="10">
        <v>25</v>
      </c>
      <c r="AS567" s="10">
        <v>0</v>
      </c>
      <c r="AT567" s="10">
        <v>0</v>
      </c>
      <c r="AU567" s="10">
        <v>0</v>
      </c>
      <c r="AV567" s="10">
        <v>0</v>
      </c>
      <c r="AW567" s="10">
        <v>0</v>
      </c>
      <c r="AX567" s="10">
        <v>0</v>
      </c>
      <c r="AY567" s="10">
        <v>25</v>
      </c>
    </row>
    <row r="568" spans="1:51" ht="16.5" customHeight="1" x14ac:dyDescent="0.25">
      <c r="A568" s="10">
        <v>26</v>
      </c>
      <c r="B568" s="11" t="s">
        <v>574</v>
      </c>
      <c r="C568" s="10">
        <v>3</v>
      </c>
      <c r="D568" s="10">
        <v>8</v>
      </c>
      <c r="E568" s="10">
        <v>0</v>
      </c>
      <c r="F568" s="10">
        <v>0</v>
      </c>
      <c r="G568" s="10">
        <v>0</v>
      </c>
      <c r="H568" s="10">
        <v>2</v>
      </c>
      <c r="I568" s="10">
        <v>1</v>
      </c>
      <c r="J568" s="10">
        <v>5</v>
      </c>
      <c r="K568" s="10">
        <v>0</v>
      </c>
      <c r="L568" s="10">
        <v>0</v>
      </c>
      <c r="M568" s="10">
        <v>4</v>
      </c>
      <c r="N568" s="10">
        <v>0</v>
      </c>
      <c r="O568" s="10">
        <v>2</v>
      </c>
      <c r="P568" s="10">
        <v>0</v>
      </c>
      <c r="Q568" s="10">
        <v>2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15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0">
        <v>0</v>
      </c>
      <c r="AT568" s="10">
        <v>0</v>
      </c>
      <c r="AU568" s="10">
        <v>0</v>
      </c>
      <c r="AV568" s="10">
        <v>0</v>
      </c>
      <c r="AW568" s="10">
        <v>0</v>
      </c>
      <c r="AX568" s="10">
        <v>0</v>
      </c>
      <c r="AY568" s="10">
        <v>15</v>
      </c>
    </row>
    <row r="569" spans="1:51" ht="16.5" customHeight="1" x14ac:dyDescent="0.25">
      <c r="A569" s="10">
        <v>27</v>
      </c>
      <c r="B569" s="11" t="s">
        <v>575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2</v>
      </c>
      <c r="N569" s="10">
        <v>2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2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26</v>
      </c>
      <c r="AR569" s="10">
        <v>26</v>
      </c>
      <c r="AS569" s="10">
        <v>0</v>
      </c>
      <c r="AT569" s="10">
        <v>0</v>
      </c>
      <c r="AU569" s="10">
        <v>0</v>
      </c>
      <c r="AV569" s="10">
        <v>0</v>
      </c>
      <c r="AW569" s="10">
        <v>0</v>
      </c>
      <c r="AX569" s="10">
        <v>0</v>
      </c>
      <c r="AY569" s="10">
        <v>28</v>
      </c>
    </row>
    <row r="570" spans="1:51" ht="16.5" customHeight="1" x14ac:dyDescent="0.25">
      <c r="A570" s="10">
        <v>28</v>
      </c>
      <c r="B570" s="11" t="s">
        <v>576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7</v>
      </c>
      <c r="AC570" s="10">
        <v>0</v>
      </c>
      <c r="AD570" s="10">
        <v>0</v>
      </c>
      <c r="AE570" s="10">
        <v>7</v>
      </c>
      <c r="AF570" s="10">
        <v>0</v>
      </c>
      <c r="AG570" s="10">
        <v>0</v>
      </c>
      <c r="AH570" s="10">
        <v>0</v>
      </c>
      <c r="AI570" s="10">
        <v>0</v>
      </c>
      <c r="AJ570" s="10">
        <v>4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11</v>
      </c>
      <c r="AS570" s="10">
        <v>0</v>
      </c>
      <c r="AT570" s="10">
        <v>0</v>
      </c>
      <c r="AU570" s="10">
        <v>0</v>
      </c>
      <c r="AV570" s="10">
        <v>0</v>
      </c>
      <c r="AW570" s="10">
        <v>0</v>
      </c>
      <c r="AX570" s="10">
        <v>0</v>
      </c>
      <c r="AY570" s="10">
        <v>11</v>
      </c>
    </row>
    <row r="571" spans="1:51" ht="16.5" customHeight="1" x14ac:dyDescent="0.25">
      <c r="A571" s="10">
        <v>29</v>
      </c>
      <c r="B571" s="11" t="s">
        <v>577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5</v>
      </c>
      <c r="AC571" s="10">
        <v>0</v>
      </c>
      <c r="AD571" s="10">
        <v>4</v>
      </c>
      <c r="AE571" s="10">
        <v>1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10</v>
      </c>
      <c r="AP571" s="10">
        <v>0</v>
      </c>
      <c r="AQ571" s="10">
        <v>0</v>
      </c>
      <c r="AR571" s="10">
        <v>15</v>
      </c>
      <c r="AS571" s="10">
        <v>0</v>
      </c>
      <c r="AT571" s="10">
        <v>0</v>
      </c>
      <c r="AU571" s="10">
        <v>0</v>
      </c>
      <c r="AV571" s="10">
        <v>0</v>
      </c>
      <c r="AW571" s="10">
        <v>0</v>
      </c>
      <c r="AX571" s="10">
        <v>0</v>
      </c>
      <c r="AY571" s="10">
        <v>15</v>
      </c>
    </row>
    <row r="572" spans="1:51" ht="16.5" customHeight="1" x14ac:dyDescent="0.25">
      <c r="A572" s="10">
        <v>30</v>
      </c>
      <c r="B572" s="11" t="s">
        <v>578</v>
      </c>
      <c r="C572" s="10">
        <v>0</v>
      </c>
      <c r="D572" s="10">
        <v>9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9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9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9</v>
      </c>
    </row>
    <row r="573" spans="1:51" ht="16.5" customHeight="1" x14ac:dyDescent="0.25">
      <c r="A573" s="10">
        <v>31</v>
      </c>
      <c r="B573" s="11" t="s">
        <v>579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34</v>
      </c>
      <c r="AC573" s="10">
        <v>0</v>
      </c>
      <c r="AD573" s="10">
        <v>7</v>
      </c>
      <c r="AE573" s="10">
        <v>26</v>
      </c>
      <c r="AF573" s="10">
        <v>0</v>
      </c>
      <c r="AG573" s="10">
        <v>1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7</v>
      </c>
      <c r="AP573" s="10">
        <v>13</v>
      </c>
      <c r="AQ573" s="10">
        <v>0</v>
      </c>
      <c r="AR573" s="10">
        <v>54</v>
      </c>
      <c r="AS573" s="10">
        <v>0</v>
      </c>
      <c r="AT573" s="10">
        <v>0</v>
      </c>
      <c r="AU573" s="10">
        <v>0</v>
      </c>
      <c r="AV573" s="10">
        <v>0</v>
      </c>
      <c r="AW573" s="10">
        <v>0</v>
      </c>
      <c r="AX573" s="10">
        <v>0</v>
      </c>
      <c r="AY573" s="10">
        <v>54</v>
      </c>
    </row>
    <row r="574" spans="1:51" ht="16.5" customHeight="1" x14ac:dyDescent="0.25">
      <c r="A574" s="10">
        <v>32</v>
      </c>
      <c r="B574" s="11" t="s">
        <v>580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25</v>
      </c>
      <c r="AC574" s="10">
        <v>0</v>
      </c>
      <c r="AD574" s="10">
        <v>10</v>
      </c>
      <c r="AE574" s="10">
        <v>15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10</v>
      </c>
      <c r="AP574" s="10">
        <v>0</v>
      </c>
      <c r="AQ574" s="10">
        <v>0</v>
      </c>
      <c r="AR574" s="10">
        <v>35</v>
      </c>
      <c r="AS574" s="10">
        <v>0</v>
      </c>
      <c r="AT574" s="10">
        <v>0</v>
      </c>
      <c r="AU574" s="10">
        <v>0</v>
      </c>
      <c r="AV574" s="10">
        <v>0</v>
      </c>
      <c r="AW574" s="10">
        <v>0</v>
      </c>
      <c r="AX574" s="10">
        <v>0</v>
      </c>
      <c r="AY574" s="10">
        <v>35</v>
      </c>
    </row>
    <row r="575" spans="1:51" ht="16.5" customHeight="1" x14ac:dyDescent="0.25">
      <c r="A575" s="10">
        <v>33</v>
      </c>
      <c r="B575" s="11" t="s">
        <v>581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1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1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1</v>
      </c>
    </row>
    <row r="576" spans="1:51" ht="16.5" customHeight="1" x14ac:dyDescent="0.25">
      <c r="A576" s="10">
        <v>34</v>
      </c>
      <c r="B576" s="11" t="s">
        <v>582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0">
        <v>0</v>
      </c>
      <c r="AT576" s="10">
        <v>0</v>
      </c>
      <c r="AU576" s="10">
        <v>0</v>
      </c>
      <c r="AV576" s="10">
        <v>0</v>
      </c>
      <c r="AW576" s="10">
        <v>0</v>
      </c>
      <c r="AX576" s="10">
        <v>0</v>
      </c>
      <c r="AY576" s="10">
        <v>0</v>
      </c>
    </row>
    <row r="577" spans="1:51" ht="16.5" customHeight="1" x14ac:dyDescent="0.25">
      <c r="A577" s="10">
        <v>35</v>
      </c>
      <c r="B577" s="11" t="s">
        <v>583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0">
        <v>0</v>
      </c>
      <c r="AW577" s="10">
        <v>0</v>
      </c>
      <c r="AX577" s="10">
        <v>0</v>
      </c>
      <c r="AY577" s="10">
        <v>0</v>
      </c>
    </row>
    <row r="578" spans="1:51" ht="16.5" customHeight="1" x14ac:dyDescent="0.25">
      <c r="A578" s="10">
        <v>36</v>
      </c>
      <c r="B578" s="11" t="s">
        <v>584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3</v>
      </c>
      <c r="AB578" s="10">
        <v>20</v>
      </c>
      <c r="AC578" s="10">
        <v>0</v>
      </c>
      <c r="AD578" s="10">
        <v>2</v>
      </c>
      <c r="AE578" s="10">
        <v>0</v>
      </c>
      <c r="AF578" s="10">
        <v>0</v>
      </c>
      <c r="AG578" s="10">
        <v>18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11</v>
      </c>
      <c r="AR578" s="10">
        <v>34</v>
      </c>
      <c r="AS578" s="10">
        <v>1</v>
      </c>
      <c r="AT578" s="10">
        <v>0</v>
      </c>
      <c r="AU578" s="10">
        <v>0</v>
      </c>
      <c r="AV578" s="10">
        <v>0</v>
      </c>
      <c r="AW578" s="10">
        <v>0</v>
      </c>
      <c r="AX578" s="10">
        <v>1</v>
      </c>
      <c r="AY578" s="10">
        <v>35</v>
      </c>
    </row>
    <row r="579" spans="1:51" ht="16.5" customHeight="1" x14ac:dyDescent="0.25">
      <c r="A579" s="10">
        <v>37</v>
      </c>
      <c r="B579" s="11" t="s">
        <v>585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30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30</v>
      </c>
      <c r="AS579" s="10">
        <v>0</v>
      </c>
      <c r="AT579" s="10">
        <v>0</v>
      </c>
      <c r="AU579" s="10">
        <v>0</v>
      </c>
      <c r="AV579" s="10">
        <v>0</v>
      </c>
      <c r="AW579" s="10">
        <v>0</v>
      </c>
      <c r="AX579" s="10">
        <v>0</v>
      </c>
      <c r="AY579" s="10">
        <v>30</v>
      </c>
    </row>
    <row r="580" spans="1:51" ht="16.5" customHeight="1" x14ac:dyDescent="0.25">
      <c r="A580" s="12"/>
      <c r="B580" s="13" t="s">
        <v>889</v>
      </c>
      <c r="C580" s="14">
        <f>SUM(C543:C579)</f>
        <v>3</v>
      </c>
      <c r="D580" s="14">
        <f t="shared" ref="D580:AY580" si="22">SUM(D543:D579)</f>
        <v>17</v>
      </c>
      <c r="E580" s="14">
        <f t="shared" si="22"/>
        <v>0</v>
      </c>
      <c r="F580" s="14">
        <f t="shared" si="22"/>
        <v>0</v>
      </c>
      <c r="G580" s="14">
        <f t="shared" si="22"/>
        <v>0</v>
      </c>
      <c r="H580" s="14">
        <f t="shared" si="22"/>
        <v>2</v>
      </c>
      <c r="I580" s="14">
        <f t="shared" si="22"/>
        <v>1</v>
      </c>
      <c r="J580" s="14">
        <f t="shared" si="22"/>
        <v>14</v>
      </c>
      <c r="K580" s="14">
        <f t="shared" si="22"/>
        <v>0</v>
      </c>
      <c r="L580" s="14">
        <f t="shared" si="22"/>
        <v>0</v>
      </c>
      <c r="M580" s="14">
        <f t="shared" si="22"/>
        <v>28</v>
      </c>
      <c r="N580" s="14">
        <f t="shared" si="22"/>
        <v>2</v>
      </c>
      <c r="O580" s="14">
        <f t="shared" si="22"/>
        <v>24</v>
      </c>
      <c r="P580" s="14">
        <f t="shared" si="22"/>
        <v>0</v>
      </c>
      <c r="Q580" s="14">
        <f t="shared" si="22"/>
        <v>2</v>
      </c>
      <c r="R580" s="14">
        <f t="shared" si="22"/>
        <v>0</v>
      </c>
      <c r="S580" s="14">
        <f t="shared" si="22"/>
        <v>0</v>
      </c>
      <c r="T580" s="14">
        <f t="shared" si="22"/>
        <v>0</v>
      </c>
      <c r="U580" s="14">
        <f t="shared" si="22"/>
        <v>0</v>
      </c>
      <c r="V580" s="14">
        <f t="shared" si="22"/>
        <v>0</v>
      </c>
      <c r="W580" s="14">
        <f t="shared" si="22"/>
        <v>12</v>
      </c>
      <c r="X580" s="14">
        <f t="shared" si="22"/>
        <v>60</v>
      </c>
      <c r="Y580" s="14">
        <f t="shared" si="22"/>
        <v>0</v>
      </c>
      <c r="Z580" s="14">
        <f t="shared" si="22"/>
        <v>6</v>
      </c>
      <c r="AA580" s="14">
        <f t="shared" si="22"/>
        <v>20</v>
      </c>
      <c r="AB580" s="14">
        <f t="shared" si="22"/>
        <v>333</v>
      </c>
      <c r="AC580" s="14">
        <f t="shared" si="22"/>
        <v>7</v>
      </c>
      <c r="AD580" s="14">
        <f t="shared" si="22"/>
        <v>168</v>
      </c>
      <c r="AE580" s="14">
        <f t="shared" si="22"/>
        <v>116</v>
      </c>
      <c r="AF580" s="14">
        <f t="shared" si="22"/>
        <v>0</v>
      </c>
      <c r="AG580" s="14">
        <f t="shared" si="22"/>
        <v>42</v>
      </c>
      <c r="AH580" s="14">
        <f t="shared" si="22"/>
        <v>233</v>
      </c>
      <c r="AI580" s="14">
        <f t="shared" si="22"/>
        <v>2</v>
      </c>
      <c r="AJ580" s="14">
        <f t="shared" si="22"/>
        <v>5</v>
      </c>
      <c r="AK580" s="14">
        <f t="shared" si="22"/>
        <v>0</v>
      </c>
      <c r="AL580" s="14">
        <f t="shared" si="22"/>
        <v>0</v>
      </c>
      <c r="AM580" s="14">
        <f t="shared" si="22"/>
        <v>0</v>
      </c>
      <c r="AN580" s="14">
        <f t="shared" si="22"/>
        <v>0</v>
      </c>
      <c r="AO580" s="14">
        <f t="shared" si="22"/>
        <v>72</v>
      </c>
      <c r="AP580" s="14">
        <f t="shared" si="22"/>
        <v>13</v>
      </c>
      <c r="AQ580" s="14">
        <f t="shared" si="22"/>
        <v>79</v>
      </c>
      <c r="AR580" s="14">
        <f t="shared" si="22"/>
        <v>763</v>
      </c>
      <c r="AS580" s="14">
        <f t="shared" si="22"/>
        <v>1</v>
      </c>
      <c r="AT580" s="14">
        <f t="shared" si="22"/>
        <v>0</v>
      </c>
      <c r="AU580" s="14">
        <f t="shared" si="22"/>
        <v>0</v>
      </c>
      <c r="AV580" s="14">
        <f t="shared" si="22"/>
        <v>0</v>
      </c>
      <c r="AW580" s="14">
        <f t="shared" si="22"/>
        <v>0</v>
      </c>
      <c r="AX580" s="14">
        <f t="shared" si="22"/>
        <v>1</v>
      </c>
      <c r="AY580" s="14">
        <f t="shared" si="22"/>
        <v>824</v>
      </c>
    </row>
    <row r="581" spans="1:51" ht="16.5" customHeight="1" x14ac:dyDescent="0.25">
      <c r="A581" s="9" t="s">
        <v>909</v>
      </c>
      <c r="B581" s="1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</row>
    <row r="582" spans="1:51" ht="16.5" customHeight="1" x14ac:dyDescent="0.25">
      <c r="A582" s="10">
        <v>1</v>
      </c>
      <c r="B582" s="11" t="s">
        <v>586</v>
      </c>
      <c r="C582" s="10">
        <v>0</v>
      </c>
      <c r="D582" s="10">
        <v>1</v>
      </c>
      <c r="E582" s="10">
        <v>1</v>
      </c>
      <c r="F582" s="10">
        <v>0</v>
      </c>
      <c r="G582" s="10">
        <v>1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4</v>
      </c>
      <c r="N582" s="10">
        <v>2</v>
      </c>
      <c r="O582" s="10">
        <v>2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5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1</v>
      </c>
      <c r="AQ582" s="10">
        <v>0</v>
      </c>
      <c r="AR582" s="10">
        <v>1</v>
      </c>
      <c r="AS582" s="10">
        <v>0</v>
      </c>
      <c r="AT582" s="10">
        <v>0</v>
      </c>
      <c r="AU582" s="10">
        <v>0</v>
      </c>
      <c r="AV582" s="10">
        <v>0</v>
      </c>
      <c r="AW582" s="10">
        <v>0</v>
      </c>
      <c r="AX582" s="10">
        <v>0</v>
      </c>
      <c r="AY582" s="10">
        <v>6</v>
      </c>
    </row>
    <row r="583" spans="1:51" ht="16.5" customHeight="1" x14ac:dyDescent="0.25">
      <c r="A583" s="10">
        <v>2</v>
      </c>
      <c r="B583" s="11" t="s">
        <v>587</v>
      </c>
      <c r="C583" s="10">
        <v>0</v>
      </c>
      <c r="D583" s="10">
        <v>1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1</v>
      </c>
      <c r="K583" s="10">
        <v>0</v>
      </c>
      <c r="L583" s="10">
        <v>0</v>
      </c>
      <c r="M583" s="10">
        <v>1</v>
      </c>
      <c r="N583" s="10">
        <v>0</v>
      </c>
      <c r="O583" s="10">
        <v>1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2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0</v>
      </c>
      <c r="AY583" s="10">
        <v>2</v>
      </c>
    </row>
    <row r="584" spans="1:51" ht="16.5" customHeight="1" x14ac:dyDescent="0.25">
      <c r="A584" s="10">
        <v>3</v>
      </c>
      <c r="B584" s="11" t="s">
        <v>588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</row>
    <row r="585" spans="1:51" ht="16.5" customHeight="1" x14ac:dyDescent="0.25">
      <c r="A585" s="10">
        <v>4</v>
      </c>
      <c r="B585" s="11" t="s">
        <v>589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5</v>
      </c>
      <c r="X585" s="10">
        <v>5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2</v>
      </c>
      <c r="AV585" s="10">
        <v>0</v>
      </c>
      <c r="AW585" s="10">
        <v>0</v>
      </c>
      <c r="AX585" s="10">
        <v>2</v>
      </c>
      <c r="AY585" s="10">
        <v>7</v>
      </c>
    </row>
    <row r="586" spans="1:51" ht="16.5" customHeight="1" x14ac:dyDescent="0.25">
      <c r="A586" s="10">
        <v>5</v>
      </c>
      <c r="B586" s="11" t="s">
        <v>590</v>
      </c>
      <c r="C586" s="10">
        <v>0</v>
      </c>
      <c r="D586" s="10">
        <v>3</v>
      </c>
      <c r="E586" s="10">
        <v>2</v>
      </c>
      <c r="F586" s="10">
        <v>0</v>
      </c>
      <c r="G586" s="10">
        <v>2</v>
      </c>
      <c r="H586" s="10">
        <v>0</v>
      </c>
      <c r="I586" s="10">
        <v>0</v>
      </c>
      <c r="J586" s="10">
        <v>1</v>
      </c>
      <c r="K586" s="10">
        <v>0</v>
      </c>
      <c r="L586" s="10">
        <v>0</v>
      </c>
      <c r="M586" s="10">
        <v>2</v>
      </c>
      <c r="N586" s="10">
        <v>2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5</v>
      </c>
      <c r="Y586" s="10">
        <v>0</v>
      </c>
      <c r="Z586" s="10">
        <v>0</v>
      </c>
      <c r="AA586" s="10">
        <v>0</v>
      </c>
      <c r="AB586" s="10">
        <v>1</v>
      </c>
      <c r="AC586" s="10">
        <v>0</v>
      </c>
      <c r="AD586" s="10">
        <v>0</v>
      </c>
      <c r="AE586" s="10">
        <v>1</v>
      </c>
      <c r="AF586" s="10">
        <v>0</v>
      </c>
      <c r="AG586" s="10">
        <v>0</v>
      </c>
      <c r="AH586" s="10">
        <v>5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1</v>
      </c>
      <c r="AP586" s="10">
        <v>0</v>
      </c>
      <c r="AQ586" s="10">
        <v>6</v>
      </c>
      <c r="AR586" s="10">
        <v>13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0</v>
      </c>
      <c r="AY586" s="10">
        <v>18</v>
      </c>
    </row>
    <row r="587" spans="1:51" ht="16.5" customHeight="1" x14ac:dyDescent="0.25">
      <c r="A587" s="10">
        <v>6</v>
      </c>
      <c r="B587" s="11" t="s">
        <v>591</v>
      </c>
      <c r="C587" s="10">
        <v>0</v>
      </c>
      <c r="D587" s="10">
        <v>7</v>
      </c>
      <c r="E587" s="10">
        <v>5</v>
      </c>
      <c r="F587" s="10">
        <v>0</v>
      </c>
      <c r="G587" s="10">
        <v>5</v>
      </c>
      <c r="H587" s="10">
        <v>0</v>
      </c>
      <c r="I587" s="10">
        <v>2</v>
      </c>
      <c r="J587" s="10">
        <v>0</v>
      </c>
      <c r="K587" s="10">
        <v>0</v>
      </c>
      <c r="L587" s="10">
        <v>0</v>
      </c>
      <c r="M587" s="10">
        <v>7</v>
      </c>
      <c r="N587" s="10">
        <v>6</v>
      </c>
      <c r="O587" s="10">
        <v>1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14</v>
      </c>
      <c r="Y587" s="10">
        <v>0</v>
      </c>
      <c r="Z587" s="10">
        <v>0</v>
      </c>
      <c r="AA587" s="10">
        <v>0</v>
      </c>
      <c r="AB587" s="10">
        <v>2</v>
      </c>
      <c r="AC587" s="10">
        <v>1</v>
      </c>
      <c r="AD587" s="10">
        <v>1</v>
      </c>
      <c r="AE587" s="10">
        <v>0</v>
      </c>
      <c r="AF587" s="10">
        <v>0</v>
      </c>
      <c r="AG587" s="10">
        <v>0</v>
      </c>
      <c r="AH587" s="10">
        <v>3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5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19</v>
      </c>
    </row>
    <row r="588" spans="1:51" ht="16.5" customHeight="1" x14ac:dyDescent="0.25">
      <c r="A588" s="10">
        <v>7</v>
      </c>
      <c r="B588" s="11" t="s">
        <v>592</v>
      </c>
      <c r="C588" s="10">
        <v>0</v>
      </c>
      <c r="D588" s="10">
        <v>1</v>
      </c>
      <c r="E588" s="10">
        <v>0</v>
      </c>
      <c r="F588" s="10">
        <v>0</v>
      </c>
      <c r="G588" s="10">
        <v>0</v>
      </c>
      <c r="H588" s="10">
        <v>0</v>
      </c>
      <c r="I588" s="10">
        <v>1</v>
      </c>
      <c r="J588" s="10">
        <v>0</v>
      </c>
      <c r="K588" s="10">
        <v>0</v>
      </c>
      <c r="L588" s="10">
        <v>0</v>
      </c>
      <c r="M588" s="10">
        <v>1</v>
      </c>
      <c r="N588" s="10">
        <v>0</v>
      </c>
      <c r="O588" s="10">
        <v>1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3</v>
      </c>
      <c r="X588" s="10">
        <v>5</v>
      </c>
      <c r="Y588" s="10">
        <v>0</v>
      </c>
      <c r="Z588" s="10">
        <v>2</v>
      </c>
      <c r="AA588" s="10">
        <v>1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14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2</v>
      </c>
      <c r="AP588" s="10">
        <v>0</v>
      </c>
      <c r="AQ588" s="10">
        <v>9</v>
      </c>
      <c r="AR588" s="10">
        <v>28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33</v>
      </c>
    </row>
    <row r="589" spans="1:51" ht="16.5" customHeight="1" x14ac:dyDescent="0.25">
      <c r="A589" s="10">
        <v>8</v>
      </c>
      <c r="B589" s="11" t="s">
        <v>593</v>
      </c>
      <c r="C589" s="10">
        <v>0</v>
      </c>
      <c r="D589" s="10">
        <v>1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1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1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0">
        <v>0</v>
      </c>
      <c r="AY589" s="10">
        <v>1</v>
      </c>
    </row>
    <row r="590" spans="1:51" ht="16.5" customHeight="1" x14ac:dyDescent="0.25">
      <c r="A590" s="10">
        <v>9</v>
      </c>
      <c r="B590" s="11" t="s">
        <v>594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0">
        <v>0</v>
      </c>
      <c r="AY590" s="10">
        <v>0</v>
      </c>
    </row>
    <row r="591" spans="1:51" ht="16.5" customHeight="1" x14ac:dyDescent="0.25">
      <c r="A591" s="10">
        <v>10</v>
      </c>
      <c r="B591" s="11" t="s">
        <v>595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4</v>
      </c>
      <c r="X591" s="10">
        <v>4</v>
      </c>
      <c r="Y591" s="10">
        <v>0</v>
      </c>
      <c r="Z591" s="10">
        <v>2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1</v>
      </c>
      <c r="AM591" s="10">
        <v>1</v>
      </c>
      <c r="AN591" s="10">
        <v>0</v>
      </c>
      <c r="AO591" s="10">
        <v>0</v>
      </c>
      <c r="AP591" s="10">
        <v>0</v>
      </c>
      <c r="AQ591" s="10">
        <v>0</v>
      </c>
      <c r="AR591" s="10">
        <v>3</v>
      </c>
      <c r="AS591" s="10">
        <v>2</v>
      </c>
      <c r="AT591" s="10">
        <v>0</v>
      </c>
      <c r="AU591" s="10">
        <v>0</v>
      </c>
      <c r="AV591" s="10">
        <v>0</v>
      </c>
      <c r="AW591" s="10">
        <v>0</v>
      </c>
      <c r="AX591" s="10">
        <v>2</v>
      </c>
      <c r="AY591" s="10">
        <v>9</v>
      </c>
    </row>
    <row r="592" spans="1:51" ht="16.5" customHeight="1" x14ac:dyDescent="0.25">
      <c r="A592" s="10">
        <v>11</v>
      </c>
      <c r="B592" s="11" t="s">
        <v>596</v>
      </c>
      <c r="C592" s="10">
        <v>0</v>
      </c>
      <c r="D592" s="10">
        <v>2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  <c r="J592" s="10">
        <v>2</v>
      </c>
      <c r="K592" s="10">
        <v>0</v>
      </c>
      <c r="L592" s="10">
        <v>0</v>
      </c>
      <c r="M592" s="10">
        <v>1</v>
      </c>
      <c r="N592" s="10">
        <v>1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3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0</v>
      </c>
      <c r="AY592" s="10">
        <v>3</v>
      </c>
    </row>
    <row r="593" spans="1:51" ht="16.5" customHeight="1" x14ac:dyDescent="0.25">
      <c r="A593" s="10">
        <v>12</v>
      </c>
      <c r="B593" s="11" t="s">
        <v>113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1</v>
      </c>
      <c r="AR593" s="10">
        <v>1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0</v>
      </c>
      <c r="AY593" s="10">
        <v>1</v>
      </c>
    </row>
    <row r="594" spans="1:51" ht="16.5" customHeight="1" x14ac:dyDescent="0.25">
      <c r="A594" s="10">
        <v>13</v>
      </c>
      <c r="B594" s="11" t="s">
        <v>597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  <c r="AR594" s="10">
        <v>0</v>
      </c>
      <c r="AS594" s="10">
        <v>0</v>
      </c>
      <c r="AT594" s="10">
        <v>0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</row>
    <row r="595" spans="1:51" ht="16.5" customHeight="1" x14ac:dyDescent="0.25">
      <c r="A595" s="10">
        <v>14</v>
      </c>
      <c r="B595" s="11" t="s">
        <v>598</v>
      </c>
      <c r="C595" s="10">
        <v>0</v>
      </c>
      <c r="D595" s="10">
        <v>1</v>
      </c>
      <c r="E595" s="10">
        <v>0</v>
      </c>
      <c r="F595" s="10">
        <v>0</v>
      </c>
      <c r="G595" s="10">
        <v>0</v>
      </c>
      <c r="H595" s="10">
        <v>0</v>
      </c>
      <c r="I595" s="10">
        <v>1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1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10">
        <v>0</v>
      </c>
      <c r="AK595" s="10">
        <v>2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0</v>
      </c>
      <c r="AR595" s="10">
        <v>2</v>
      </c>
      <c r="AS595" s="10">
        <v>0</v>
      </c>
      <c r="AT595" s="10">
        <v>0</v>
      </c>
      <c r="AU595" s="10">
        <v>0</v>
      </c>
      <c r="AV595" s="10">
        <v>0</v>
      </c>
      <c r="AW595" s="10">
        <v>0</v>
      </c>
      <c r="AX595" s="10">
        <v>0</v>
      </c>
      <c r="AY595" s="10">
        <v>3</v>
      </c>
    </row>
    <row r="596" spans="1:51" ht="16.5" customHeight="1" x14ac:dyDescent="0.25">
      <c r="A596" s="10">
        <v>15</v>
      </c>
      <c r="B596" s="11" t="s">
        <v>599</v>
      </c>
      <c r="C596" s="10">
        <v>0</v>
      </c>
      <c r="D596" s="10">
        <v>1</v>
      </c>
      <c r="E596" s="10">
        <v>1</v>
      </c>
      <c r="F596" s="10">
        <v>0</v>
      </c>
      <c r="G596" s="10">
        <v>1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2</v>
      </c>
      <c r="N596" s="10">
        <v>2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3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1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1</v>
      </c>
      <c r="AS596" s="10">
        <v>0</v>
      </c>
      <c r="AT596" s="10">
        <v>0</v>
      </c>
      <c r="AU596" s="10">
        <v>0</v>
      </c>
      <c r="AV596" s="10">
        <v>0</v>
      </c>
      <c r="AW596" s="10">
        <v>0</v>
      </c>
      <c r="AX596" s="10">
        <v>0</v>
      </c>
      <c r="AY596" s="10">
        <v>4</v>
      </c>
    </row>
    <row r="597" spans="1:51" ht="16.5" customHeight="1" x14ac:dyDescent="0.25">
      <c r="A597" s="10">
        <v>16</v>
      </c>
      <c r="B597" s="11" t="s">
        <v>600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2</v>
      </c>
      <c r="AC597" s="10">
        <v>1</v>
      </c>
      <c r="AD597" s="10">
        <v>0</v>
      </c>
      <c r="AE597" s="10">
        <v>1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4</v>
      </c>
      <c r="AL597" s="10">
        <v>0</v>
      </c>
      <c r="AM597" s="10">
        <v>0</v>
      </c>
      <c r="AN597" s="10">
        <v>0</v>
      </c>
      <c r="AO597" s="10">
        <v>2</v>
      </c>
      <c r="AP597" s="10">
        <v>0</v>
      </c>
      <c r="AQ597" s="10">
        <v>4</v>
      </c>
      <c r="AR597" s="10">
        <v>12</v>
      </c>
      <c r="AS597" s="10">
        <v>0</v>
      </c>
      <c r="AT597" s="10">
        <v>0</v>
      </c>
      <c r="AU597" s="10">
        <v>0</v>
      </c>
      <c r="AV597" s="10">
        <v>0</v>
      </c>
      <c r="AW597" s="10">
        <v>0</v>
      </c>
      <c r="AX597" s="10">
        <v>0</v>
      </c>
      <c r="AY597" s="10">
        <v>12</v>
      </c>
    </row>
    <row r="598" spans="1:51" ht="16.5" customHeight="1" x14ac:dyDescent="0.25">
      <c r="A598" s="10">
        <v>17</v>
      </c>
      <c r="B598" s="11" t="s">
        <v>601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0</v>
      </c>
      <c r="AV598" s="10">
        <v>0</v>
      </c>
      <c r="AW598" s="10">
        <v>0</v>
      </c>
      <c r="AX598" s="10">
        <v>0</v>
      </c>
      <c r="AY598" s="10">
        <v>0</v>
      </c>
    </row>
    <row r="599" spans="1:51" ht="16.5" customHeight="1" x14ac:dyDescent="0.25">
      <c r="A599" s="10">
        <v>18</v>
      </c>
      <c r="B599" s="11" t="s">
        <v>602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4</v>
      </c>
      <c r="N599" s="10">
        <v>0</v>
      </c>
      <c r="O599" s="10">
        <v>4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4</v>
      </c>
      <c r="Y599" s="10">
        <v>0</v>
      </c>
      <c r="Z599" s="10">
        <v>3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2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0">
        <v>5</v>
      </c>
      <c r="AS599" s="10">
        <v>0</v>
      </c>
      <c r="AT599" s="10">
        <v>0</v>
      </c>
      <c r="AU599" s="10">
        <v>0</v>
      </c>
      <c r="AV599" s="10">
        <v>0</v>
      </c>
      <c r="AW599" s="10">
        <v>0</v>
      </c>
      <c r="AX599" s="10">
        <v>0</v>
      </c>
      <c r="AY599" s="10">
        <v>9</v>
      </c>
    </row>
    <row r="600" spans="1:51" ht="16.5" customHeight="1" x14ac:dyDescent="0.25">
      <c r="A600" s="10">
        <v>19</v>
      </c>
      <c r="B600" s="11" t="s">
        <v>603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4</v>
      </c>
      <c r="AR600" s="10">
        <v>4</v>
      </c>
      <c r="AS600" s="10">
        <v>0</v>
      </c>
      <c r="AT600" s="10">
        <v>0</v>
      </c>
      <c r="AU600" s="10">
        <v>0</v>
      </c>
      <c r="AV600" s="10">
        <v>0</v>
      </c>
      <c r="AW600" s="10">
        <v>0</v>
      </c>
      <c r="AX600" s="10">
        <v>0</v>
      </c>
      <c r="AY600" s="10">
        <v>4</v>
      </c>
    </row>
    <row r="601" spans="1:51" ht="16.5" customHeight="1" x14ac:dyDescent="0.25">
      <c r="A601" s="10">
        <v>20</v>
      </c>
      <c r="B601" s="11" t="s">
        <v>604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1</v>
      </c>
      <c r="N601" s="10">
        <v>0</v>
      </c>
      <c r="O601" s="10">
        <v>0</v>
      </c>
      <c r="P601" s="10">
        <v>0</v>
      </c>
      <c r="Q601" s="10">
        <v>0</v>
      </c>
      <c r="R601" s="10">
        <v>1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1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1</v>
      </c>
      <c r="AP601" s="10">
        <v>0</v>
      </c>
      <c r="AQ601" s="10">
        <v>1</v>
      </c>
      <c r="AR601" s="10">
        <v>2</v>
      </c>
      <c r="AS601" s="10">
        <v>0</v>
      </c>
      <c r="AT601" s="10">
        <v>0</v>
      </c>
      <c r="AU601" s="10">
        <v>0</v>
      </c>
      <c r="AV601" s="10">
        <v>0</v>
      </c>
      <c r="AW601" s="10">
        <v>1</v>
      </c>
      <c r="AX601" s="10">
        <v>1</v>
      </c>
      <c r="AY601" s="10">
        <v>4</v>
      </c>
    </row>
    <row r="602" spans="1:51" ht="16.5" customHeight="1" x14ac:dyDescent="0.25">
      <c r="A602" s="10">
        <v>21</v>
      </c>
      <c r="B602" s="11" t="s">
        <v>605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0">
        <v>0</v>
      </c>
      <c r="AT602" s="10">
        <v>0</v>
      </c>
      <c r="AU602" s="10">
        <v>0</v>
      </c>
      <c r="AV602" s="10">
        <v>0</v>
      </c>
      <c r="AW602" s="10">
        <v>0</v>
      </c>
      <c r="AX602" s="10">
        <v>0</v>
      </c>
      <c r="AY602" s="10">
        <v>0</v>
      </c>
    </row>
    <row r="603" spans="1:51" ht="16.5" customHeight="1" x14ac:dyDescent="0.25">
      <c r="A603" s="10">
        <v>22</v>
      </c>
      <c r="B603" s="11" t="s">
        <v>606</v>
      </c>
      <c r="C603" s="10">
        <v>0</v>
      </c>
      <c r="D603" s="10">
        <v>1</v>
      </c>
      <c r="E603" s="10">
        <v>0</v>
      </c>
      <c r="F603" s="10">
        <v>0</v>
      </c>
      <c r="G603" s="10">
        <v>0</v>
      </c>
      <c r="H603" s="10">
        <v>0</v>
      </c>
      <c r="I603" s="10">
        <v>1</v>
      </c>
      <c r="J603" s="10">
        <v>0</v>
      </c>
      <c r="K603" s="10">
        <v>0</v>
      </c>
      <c r="L603" s="10">
        <v>0</v>
      </c>
      <c r="M603" s="10">
        <v>4</v>
      </c>
      <c r="N603" s="10">
        <v>0</v>
      </c>
      <c r="O603" s="10">
        <v>2</v>
      </c>
      <c r="P603" s="10">
        <v>0</v>
      </c>
      <c r="Q603" s="10">
        <v>1</v>
      </c>
      <c r="R603" s="10">
        <v>1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5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1</v>
      </c>
      <c r="AQ603" s="10">
        <v>0</v>
      </c>
      <c r="AR603" s="10">
        <v>1</v>
      </c>
      <c r="AS603" s="10">
        <v>0</v>
      </c>
      <c r="AT603" s="10">
        <v>0</v>
      </c>
      <c r="AU603" s="10">
        <v>0</v>
      </c>
      <c r="AV603" s="10">
        <v>0</v>
      </c>
      <c r="AW603" s="10">
        <v>0</v>
      </c>
      <c r="AX603" s="10">
        <v>0</v>
      </c>
      <c r="AY603" s="10">
        <v>6</v>
      </c>
    </row>
    <row r="604" spans="1:51" ht="16.5" customHeight="1" x14ac:dyDescent="0.25">
      <c r="A604" s="10">
        <v>23</v>
      </c>
      <c r="B604" s="11" t="s">
        <v>607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6</v>
      </c>
      <c r="N604" s="10">
        <v>0</v>
      </c>
      <c r="O604" s="10">
        <v>0</v>
      </c>
      <c r="P604" s="10">
        <v>0</v>
      </c>
      <c r="Q604" s="10">
        <v>0</v>
      </c>
      <c r="R604" s="10">
        <v>6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6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  <c r="AN604" s="10">
        <v>0</v>
      </c>
      <c r="AO604" s="10">
        <v>0</v>
      </c>
      <c r="AP604" s="10">
        <v>0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</v>
      </c>
      <c r="AX604" s="10">
        <v>0</v>
      </c>
      <c r="AY604" s="10">
        <v>6</v>
      </c>
    </row>
    <row r="605" spans="1:51" ht="16.5" customHeight="1" x14ac:dyDescent="0.25">
      <c r="A605" s="10">
        <v>24</v>
      </c>
      <c r="B605" s="11" t="s">
        <v>608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0</v>
      </c>
      <c r="AV605" s="10">
        <v>0</v>
      </c>
      <c r="AW605" s="10">
        <v>0</v>
      </c>
      <c r="AX605" s="10">
        <v>0</v>
      </c>
      <c r="AY605" s="10">
        <v>0</v>
      </c>
    </row>
    <row r="606" spans="1:51" ht="16.5" customHeight="1" x14ac:dyDescent="0.25">
      <c r="A606" s="10">
        <v>25</v>
      </c>
      <c r="B606" s="11" t="s">
        <v>609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8</v>
      </c>
      <c r="N606" s="10">
        <v>0</v>
      </c>
      <c r="O606" s="10">
        <v>0</v>
      </c>
      <c r="P606" s="10">
        <v>0</v>
      </c>
      <c r="Q606" s="10">
        <v>0</v>
      </c>
      <c r="R606" s="10">
        <v>8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8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0</v>
      </c>
      <c r="AP606" s="10">
        <v>0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0</v>
      </c>
      <c r="AW606" s="10">
        <v>0</v>
      </c>
      <c r="AX606" s="10">
        <v>0</v>
      </c>
      <c r="AY606" s="10">
        <v>8</v>
      </c>
    </row>
    <row r="607" spans="1:51" ht="16.5" customHeight="1" x14ac:dyDescent="0.25">
      <c r="A607" s="10">
        <v>26</v>
      </c>
      <c r="B607" s="11" t="s">
        <v>610</v>
      </c>
      <c r="C607" s="10">
        <v>1</v>
      </c>
      <c r="D607" s="10">
        <v>7</v>
      </c>
      <c r="E607" s="10">
        <v>0</v>
      </c>
      <c r="F607" s="10">
        <v>0</v>
      </c>
      <c r="G607" s="10">
        <v>0</v>
      </c>
      <c r="H607" s="10">
        <v>0</v>
      </c>
      <c r="I607" s="10">
        <v>2</v>
      </c>
      <c r="J607" s="10">
        <v>5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8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2</v>
      </c>
      <c r="AP607" s="10">
        <v>0</v>
      </c>
      <c r="AQ607" s="10">
        <v>0</v>
      </c>
      <c r="AR607" s="10">
        <v>2</v>
      </c>
      <c r="AS607" s="10">
        <v>0</v>
      </c>
      <c r="AT607" s="10">
        <v>0</v>
      </c>
      <c r="AU607" s="10">
        <v>0</v>
      </c>
      <c r="AV607" s="10">
        <v>0</v>
      </c>
      <c r="AW607" s="10">
        <v>0</v>
      </c>
      <c r="AX607" s="10">
        <v>0</v>
      </c>
      <c r="AY607" s="10">
        <v>10</v>
      </c>
    </row>
    <row r="608" spans="1:51" ht="16.5" customHeight="1" x14ac:dyDescent="0.25">
      <c r="A608" s="10">
        <v>27</v>
      </c>
      <c r="B608" s="11" t="s">
        <v>611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3</v>
      </c>
      <c r="N608" s="10">
        <v>2</v>
      </c>
      <c r="O608" s="10">
        <v>1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3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0">
        <v>0</v>
      </c>
      <c r="AT608" s="10">
        <v>0</v>
      </c>
      <c r="AU608" s="10">
        <v>0</v>
      </c>
      <c r="AV608" s="10">
        <v>0</v>
      </c>
      <c r="AW608" s="10">
        <v>0</v>
      </c>
      <c r="AX608" s="10">
        <v>0</v>
      </c>
      <c r="AY608" s="10">
        <v>3</v>
      </c>
    </row>
    <row r="609" spans="1:51" ht="16.5" customHeight="1" x14ac:dyDescent="0.25">
      <c r="A609" s="10">
        <v>28</v>
      </c>
      <c r="B609" s="11" t="s">
        <v>612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1</v>
      </c>
      <c r="N609" s="10">
        <v>0</v>
      </c>
      <c r="O609" s="10">
        <v>0</v>
      </c>
      <c r="P609" s="10">
        <v>1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1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0">
        <v>0</v>
      </c>
      <c r="AW609" s="10">
        <v>0</v>
      </c>
      <c r="AX609" s="10">
        <v>0</v>
      </c>
      <c r="AY609" s="10">
        <v>1</v>
      </c>
    </row>
    <row r="610" spans="1:51" ht="16.5" customHeight="1" x14ac:dyDescent="0.25">
      <c r="A610" s="10">
        <v>29</v>
      </c>
      <c r="B610" s="11" t="s">
        <v>613</v>
      </c>
      <c r="C610" s="10">
        <v>1</v>
      </c>
      <c r="D610" s="10">
        <v>6</v>
      </c>
      <c r="E610" s="10">
        <v>0</v>
      </c>
      <c r="F610" s="10">
        <v>0</v>
      </c>
      <c r="G610" s="10">
        <v>0</v>
      </c>
      <c r="H610" s="10">
        <v>0</v>
      </c>
      <c r="I610" s="10">
        <v>3</v>
      </c>
      <c r="J610" s="10">
        <v>3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7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0</v>
      </c>
      <c r="AT610" s="10">
        <v>0</v>
      </c>
      <c r="AU610" s="10">
        <v>0</v>
      </c>
      <c r="AV610" s="10">
        <v>0</v>
      </c>
      <c r="AW610" s="10">
        <v>0</v>
      </c>
      <c r="AX610" s="10">
        <v>0</v>
      </c>
      <c r="AY610" s="10">
        <v>7</v>
      </c>
    </row>
    <row r="611" spans="1:51" ht="16.5" customHeight="1" x14ac:dyDescent="0.25">
      <c r="A611" s="10">
        <v>30</v>
      </c>
      <c r="B611" s="11" t="s">
        <v>614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0">
        <v>0</v>
      </c>
      <c r="AW611" s="10">
        <v>0</v>
      </c>
      <c r="AX611" s="10">
        <v>0</v>
      </c>
      <c r="AY611" s="10">
        <v>0</v>
      </c>
    </row>
    <row r="612" spans="1:51" ht="16.5" customHeight="1" x14ac:dyDescent="0.25">
      <c r="A612" s="10">
        <v>31</v>
      </c>
      <c r="B612" s="11" t="s">
        <v>615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0</v>
      </c>
      <c r="AR612" s="10">
        <v>0</v>
      </c>
      <c r="AS612" s="10">
        <v>0</v>
      </c>
      <c r="AT612" s="10">
        <v>0</v>
      </c>
      <c r="AU612" s="10">
        <v>0</v>
      </c>
      <c r="AV612" s="10">
        <v>0</v>
      </c>
      <c r="AW612" s="10">
        <v>0</v>
      </c>
      <c r="AX612" s="10">
        <v>0</v>
      </c>
      <c r="AY612" s="10">
        <v>0</v>
      </c>
    </row>
    <row r="613" spans="1:51" ht="16.5" customHeight="1" x14ac:dyDescent="0.25">
      <c r="A613" s="10">
        <v>32</v>
      </c>
      <c r="B613" s="11" t="s">
        <v>616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0">
        <v>0</v>
      </c>
      <c r="AT613" s="10">
        <v>0</v>
      </c>
      <c r="AU613" s="10">
        <v>0</v>
      </c>
      <c r="AV613" s="10">
        <v>0</v>
      </c>
      <c r="AW613" s="10">
        <v>0</v>
      </c>
      <c r="AX613" s="10">
        <v>0</v>
      </c>
      <c r="AY613" s="10">
        <v>0</v>
      </c>
    </row>
    <row r="614" spans="1:51" ht="16.5" customHeight="1" x14ac:dyDescent="0.25">
      <c r="A614" s="12"/>
      <c r="B614" s="13" t="s">
        <v>889</v>
      </c>
      <c r="C614" s="14">
        <f>SUM(C582:C613)</f>
        <v>2</v>
      </c>
      <c r="D614" s="14">
        <f t="shared" ref="D614:AY614" si="23">SUM(D582:D613)</f>
        <v>32</v>
      </c>
      <c r="E614" s="14">
        <f t="shared" si="23"/>
        <v>9</v>
      </c>
      <c r="F614" s="14">
        <f t="shared" si="23"/>
        <v>0</v>
      </c>
      <c r="G614" s="14">
        <f t="shared" si="23"/>
        <v>9</v>
      </c>
      <c r="H614" s="14">
        <f t="shared" si="23"/>
        <v>0</v>
      </c>
      <c r="I614" s="14">
        <f t="shared" si="23"/>
        <v>10</v>
      </c>
      <c r="J614" s="14">
        <f t="shared" si="23"/>
        <v>13</v>
      </c>
      <c r="K614" s="14">
        <f t="shared" si="23"/>
        <v>0</v>
      </c>
      <c r="L614" s="14">
        <f t="shared" si="23"/>
        <v>0</v>
      </c>
      <c r="M614" s="14">
        <f t="shared" si="23"/>
        <v>45</v>
      </c>
      <c r="N614" s="14">
        <f t="shared" si="23"/>
        <v>15</v>
      </c>
      <c r="O614" s="14">
        <f t="shared" si="23"/>
        <v>12</v>
      </c>
      <c r="P614" s="14">
        <f t="shared" si="23"/>
        <v>1</v>
      </c>
      <c r="Q614" s="14">
        <f t="shared" si="23"/>
        <v>1</v>
      </c>
      <c r="R614" s="14">
        <f t="shared" si="23"/>
        <v>16</v>
      </c>
      <c r="S614" s="14">
        <f t="shared" si="23"/>
        <v>0</v>
      </c>
      <c r="T614" s="14">
        <f t="shared" si="23"/>
        <v>0</v>
      </c>
      <c r="U614" s="14">
        <f t="shared" si="23"/>
        <v>0</v>
      </c>
      <c r="V614" s="14">
        <f t="shared" si="23"/>
        <v>0</v>
      </c>
      <c r="W614" s="14">
        <f t="shared" si="23"/>
        <v>12</v>
      </c>
      <c r="X614" s="14">
        <f t="shared" si="23"/>
        <v>91</v>
      </c>
      <c r="Y614" s="14">
        <f t="shared" si="23"/>
        <v>0</v>
      </c>
      <c r="Z614" s="14">
        <f t="shared" si="23"/>
        <v>7</v>
      </c>
      <c r="AA614" s="14">
        <f t="shared" si="23"/>
        <v>1</v>
      </c>
      <c r="AB614" s="14">
        <f t="shared" si="23"/>
        <v>5</v>
      </c>
      <c r="AC614" s="14">
        <f t="shared" si="23"/>
        <v>2</v>
      </c>
      <c r="AD614" s="14">
        <f t="shared" si="23"/>
        <v>1</v>
      </c>
      <c r="AE614" s="14">
        <f t="shared" si="23"/>
        <v>2</v>
      </c>
      <c r="AF614" s="14">
        <f t="shared" si="23"/>
        <v>0</v>
      </c>
      <c r="AG614" s="14">
        <f t="shared" si="23"/>
        <v>0</v>
      </c>
      <c r="AH614" s="14">
        <f t="shared" si="23"/>
        <v>23</v>
      </c>
      <c r="AI614" s="14">
        <f t="shared" si="23"/>
        <v>0</v>
      </c>
      <c r="AJ614" s="14">
        <f t="shared" si="23"/>
        <v>0</v>
      </c>
      <c r="AK614" s="14">
        <f t="shared" si="23"/>
        <v>8</v>
      </c>
      <c r="AL614" s="14">
        <f t="shared" si="23"/>
        <v>1</v>
      </c>
      <c r="AM614" s="14">
        <f t="shared" si="23"/>
        <v>1</v>
      </c>
      <c r="AN614" s="14">
        <f t="shared" si="23"/>
        <v>0</v>
      </c>
      <c r="AO614" s="14">
        <f t="shared" si="23"/>
        <v>8</v>
      </c>
      <c r="AP614" s="14">
        <f t="shared" si="23"/>
        <v>2</v>
      </c>
      <c r="AQ614" s="14">
        <f t="shared" si="23"/>
        <v>25</v>
      </c>
      <c r="AR614" s="14">
        <f t="shared" si="23"/>
        <v>80</v>
      </c>
      <c r="AS614" s="14">
        <f t="shared" si="23"/>
        <v>2</v>
      </c>
      <c r="AT614" s="14">
        <f t="shared" si="23"/>
        <v>0</v>
      </c>
      <c r="AU614" s="14">
        <f t="shared" si="23"/>
        <v>2</v>
      </c>
      <c r="AV614" s="14">
        <f t="shared" si="23"/>
        <v>0</v>
      </c>
      <c r="AW614" s="14">
        <f t="shared" si="23"/>
        <v>1</v>
      </c>
      <c r="AX614" s="14">
        <f t="shared" si="23"/>
        <v>5</v>
      </c>
      <c r="AY614" s="14">
        <f t="shared" si="23"/>
        <v>176</v>
      </c>
    </row>
    <row r="615" spans="1:51" ht="16.5" customHeight="1" x14ac:dyDescent="0.25">
      <c r="A615" s="9" t="s">
        <v>911</v>
      </c>
      <c r="B615" s="1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</row>
    <row r="616" spans="1:51" ht="16.5" customHeight="1" x14ac:dyDescent="0.25">
      <c r="A616" s="10">
        <v>1</v>
      </c>
      <c r="B616" s="11" t="s">
        <v>617</v>
      </c>
      <c r="C616" s="10">
        <v>0</v>
      </c>
      <c r="D616" s="10">
        <v>8</v>
      </c>
      <c r="E616" s="10">
        <v>3</v>
      </c>
      <c r="F616" s="10">
        <v>1</v>
      </c>
      <c r="G616" s="10">
        <v>2</v>
      </c>
      <c r="H616" s="10">
        <v>0</v>
      </c>
      <c r="I616" s="10">
        <v>5</v>
      </c>
      <c r="J616" s="10">
        <v>0</v>
      </c>
      <c r="K616" s="10">
        <v>0</v>
      </c>
      <c r="L616" s="10">
        <v>0</v>
      </c>
      <c r="M616" s="10">
        <v>1</v>
      </c>
      <c r="N616" s="10">
        <v>0</v>
      </c>
      <c r="O616" s="10">
        <v>1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9</v>
      </c>
      <c r="Y616" s="10">
        <v>0</v>
      </c>
      <c r="Z616" s="10">
        <v>1</v>
      </c>
      <c r="AA616" s="10">
        <v>0</v>
      </c>
      <c r="AB616" s="10">
        <v>9</v>
      </c>
      <c r="AC616" s="10">
        <v>0</v>
      </c>
      <c r="AD616" s="10">
        <v>2</v>
      </c>
      <c r="AE616" s="10">
        <v>1</v>
      </c>
      <c r="AF616" s="10">
        <v>2</v>
      </c>
      <c r="AG616" s="10">
        <v>4</v>
      </c>
      <c r="AH616" s="10">
        <v>1</v>
      </c>
      <c r="AI616" s="10">
        <v>0</v>
      </c>
      <c r="AJ616" s="10">
        <v>0</v>
      </c>
      <c r="AK616" s="10">
        <v>0</v>
      </c>
      <c r="AL616" s="10">
        <v>0</v>
      </c>
      <c r="AM616" s="10">
        <v>0</v>
      </c>
      <c r="AN616" s="10">
        <v>0</v>
      </c>
      <c r="AO616" s="10">
        <v>0</v>
      </c>
      <c r="AP616" s="10">
        <v>0</v>
      </c>
      <c r="AQ616" s="10">
        <v>1</v>
      </c>
      <c r="AR616" s="10">
        <v>12</v>
      </c>
      <c r="AS616" s="10">
        <v>0</v>
      </c>
      <c r="AT616" s="10">
        <v>0</v>
      </c>
      <c r="AU616" s="10">
        <v>0</v>
      </c>
      <c r="AV616" s="10">
        <v>0</v>
      </c>
      <c r="AW616" s="10">
        <v>0</v>
      </c>
      <c r="AX616" s="10">
        <v>0</v>
      </c>
      <c r="AY616" s="10">
        <v>21</v>
      </c>
    </row>
    <row r="617" spans="1:51" ht="16.5" customHeight="1" x14ac:dyDescent="0.25">
      <c r="A617" s="10">
        <v>2</v>
      </c>
      <c r="B617" s="11" t="s">
        <v>618</v>
      </c>
      <c r="C617" s="10">
        <v>0</v>
      </c>
      <c r="D617" s="10">
        <v>2</v>
      </c>
      <c r="E617" s="10">
        <v>0</v>
      </c>
      <c r="F617" s="10">
        <v>0</v>
      </c>
      <c r="G617" s="10">
        <v>0</v>
      </c>
      <c r="H617" s="10">
        <v>2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2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  <c r="AQ617" s="10">
        <v>0</v>
      </c>
      <c r="AR617" s="10">
        <v>0</v>
      </c>
      <c r="AS617" s="10">
        <v>0</v>
      </c>
      <c r="AT617" s="10">
        <v>0</v>
      </c>
      <c r="AU617" s="10">
        <v>0</v>
      </c>
      <c r="AV617" s="10">
        <v>0</v>
      </c>
      <c r="AW617" s="10">
        <v>0</v>
      </c>
      <c r="AX617" s="10">
        <v>0</v>
      </c>
      <c r="AY617" s="10">
        <v>2</v>
      </c>
    </row>
    <row r="618" spans="1:51" ht="16.5" customHeight="1" x14ac:dyDescent="0.25">
      <c r="A618" s="10">
        <v>3</v>
      </c>
      <c r="B618" s="11" t="s">
        <v>619</v>
      </c>
      <c r="C618" s="10">
        <v>0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1</v>
      </c>
      <c r="AC618" s="10">
        <v>0</v>
      </c>
      <c r="AD618" s="10">
        <v>1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3</v>
      </c>
      <c r="AR618" s="10">
        <v>4</v>
      </c>
      <c r="AS618" s="10">
        <v>0</v>
      </c>
      <c r="AT618" s="10">
        <v>0</v>
      </c>
      <c r="AU618" s="10">
        <v>0</v>
      </c>
      <c r="AV618" s="10">
        <v>0</v>
      </c>
      <c r="AW618" s="10">
        <v>0</v>
      </c>
      <c r="AX618" s="10">
        <v>0</v>
      </c>
      <c r="AY618" s="10">
        <v>4</v>
      </c>
    </row>
    <row r="619" spans="1:51" ht="16.5" customHeight="1" x14ac:dyDescent="0.25">
      <c r="A619" s="10">
        <v>4</v>
      </c>
      <c r="B619" s="11" t="s">
        <v>620</v>
      </c>
      <c r="C619" s="10">
        <v>0</v>
      </c>
      <c r="D619" s="10">
        <v>1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1</v>
      </c>
      <c r="K619" s="10">
        <v>0</v>
      </c>
      <c r="L619" s="10">
        <v>0</v>
      </c>
      <c r="M619" s="10">
        <v>1</v>
      </c>
      <c r="N619" s="10">
        <v>1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2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0">
        <v>0</v>
      </c>
      <c r="AT619" s="10">
        <v>0</v>
      </c>
      <c r="AU619" s="10">
        <v>0</v>
      </c>
      <c r="AV619" s="10">
        <v>0</v>
      </c>
      <c r="AW619" s="10">
        <v>0</v>
      </c>
      <c r="AX619" s="10">
        <v>0</v>
      </c>
      <c r="AY619" s="10">
        <v>2</v>
      </c>
    </row>
    <row r="620" spans="1:51" ht="16.5" customHeight="1" x14ac:dyDescent="0.25">
      <c r="A620" s="10">
        <v>5</v>
      </c>
      <c r="B620" s="11" t="s">
        <v>621</v>
      </c>
      <c r="C620" s="10">
        <v>0</v>
      </c>
      <c r="D620" s="10">
        <v>1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1</v>
      </c>
      <c r="K620" s="10">
        <v>0</v>
      </c>
      <c r="L620" s="10">
        <v>0</v>
      </c>
      <c r="M620" s="10">
        <v>2</v>
      </c>
      <c r="N620" s="10">
        <v>2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3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8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6</v>
      </c>
      <c r="AR620" s="10">
        <v>14</v>
      </c>
      <c r="AS620" s="10">
        <v>0</v>
      </c>
      <c r="AT620" s="10">
        <v>0</v>
      </c>
      <c r="AU620" s="10">
        <v>0</v>
      </c>
      <c r="AV620" s="10">
        <v>0</v>
      </c>
      <c r="AW620" s="10">
        <v>0</v>
      </c>
      <c r="AX620" s="10">
        <v>0</v>
      </c>
      <c r="AY620" s="10">
        <v>17</v>
      </c>
    </row>
    <row r="621" spans="1:51" ht="16.5" customHeight="1" x14ac:dyDescent="0.25">
      <c r="A621" s="10">
        <v>6</v>
      </c>
      <c r="B621" s="11" t="s">
        <v>622</v>
      </c>
      <c r="C621" s="10">
        <v>0</v>
      </c>
      <c r="D621" s="10">
        <v>2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2</v>
      </c>
      <c r="K621" s="10">
        <v>0</v>
      </c>
      <c r="L621" s="10">
        <v>0</v>
      </c>
      <c r="M621" s="10">
        <v>6</v>
      </c>
      <c r="N621" s="10">
        <v>2</v>
      </c>
      <c r="O621" s="10">
        <v>0</v>
      </c>
      <c r="P621" s="10">
        <v>0</v>
      </c>
      <c r="Q621" s="10">
        <v>0</v>
      </c>
      <c r="R621" s="10">
        <v>4</v>
      </c>
      <c r="S621" s="10">
        <v>0</v>
      </c>
      <c r="T621" s="10">
        <v>0</v>
      </c>
      <c r="U621" s="10">
        <v>0</v>
      </c>
      <c r="V621" s="10">
        <v>0</v>
      </c>
      <c r="W621" s="10">
        <v>6</v>
      </c>
      <c r="X621" s="10">
        <v>14</v>
      </c>
      <c r="Y621" s="10">
        <v>0</v>
      </c>
      <c r="Z621" s="10">
        <v>0</v>
      </c>
      <c r="AA621" s="10">
        <v>0</v>
      </c>
      <c r="AB621" s="10">
        <v>4</v>
      </c>
      <c r="AC621" s="10">
        <v>0</v>
      </c>
      <c r="AD621" s="10">
        <v>0</v>
      </c>
      <c r="AE621" s="10">
        <v>0</v>
      </c>
      <c r="AF621" s="10">
        <v>0</v>
      </c>
      <c r="AG621" s="10">
        <v>4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2</v>
      </c>
      <c r="AP621" s="10">
        <v>0</v>
      </c>
      <c r="AQ621" s="10">
        <v>0</v>
      </c>
      <c r="AR621" s="10">
        <v>6</v>
      </c>
      <c r="AS621" s="10">
        <v>0</v>
      </c>
      <c r="AT621" s="10">
        <v>0</v>
      </c>
      <c r="AU621" s="10">
        <v>0</v>
      </c>
      <c r="AV621" s="10">
        <v>0</v>
      </c>
      <c r="AW621" s="10">
        <v>0</v>
      </c>
      <c r="AX621" s="10">
        <v>0</v>
      </c>
      <c r="AY621" s="10">
        <v>20</v>
      </c>
    </row>
    <row r="622" spans="1:51" ht="16.5" customHeight="1" x14ac:dyDescent="0.25">
      <c r="A622" s="10">
        <v>7</v>
      </c>
      <c r="B622" s="11" t="s">
        <v>623</v>
      </c>
      <c r="C622" s="10">
        <v>0</v>
      </c>
      <c r="D622" s="10">
        <v>22</v>
      </c>
      <c r="E622" s="10">
        <v>22</v>
      </c>
      <c r="F622" s="10">
        <v>0</v>
      </c>
      <c r="G622" s="10">
        <v>22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22</v>
      </c>
      <c r="Y622" s="10">
        <v>0</v>
      </c>
      <c r="Z622" s="10">
        <v>0</v>
      </c>
      <c r="AA622" s="10">
        <v>0</v>
      </c>
      <c r="AB622" s="10">
        <v>6</v>
      </c>
      <c r="AC622" s="10">
        <v>0</v>
      </c>
      <c r="AD622" s="10">
        <v>3</v>
      </c>
      <c r="AE622" s="10">
        <v>2</v>
      </c>
      <c r="AF622" s="10">
        <v>0</v>
      </c>
      <c r="AG622" s="10">
        <v>1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0">
        <v>0</v>
      </c>
      <c r="AN622" s="10">
        <v>0</v>
      </c>
      <c r="AO622" s="10">
        <v>3</v>
      </c>
      <c r="AP622" s="10">
        <v>0</v>
      </c>
      <c r="AQ622" s="10">
        <v>7</v>
      </c>
      <c r="AR622" s="10">
        <v>16</v>
      </c>
      <c r="AS622" s="10">
        <v>0</v>
      </c>
      <c r="AT622" s="10">
        <v>0</v>
      </c>
      <c r="AU622" s="10">
        <v>0</v>
      </c>
      <c r="AV622" s="10">
        <v>0</v>
      </c>
      <c r="AW622" s="10">
        <v>1</v>
      </c>
      <c r="AX622" s="10">
        <v>1</v>
      </c>
      <c r="AY622" s="10">
        <v>39</v>
      </c>
    </row>
    <row r="623" spans="1:51" ht="16.5" customHeight="1" x14ac:dyDescent="0.25">
      <c r="A623" s="10">
        <v>8</v>
      </c>
      <c r="B623" s="11" t="s">
        <v>624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18</v>
      </c>
      <c r="X623" s="10">
        <v>18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0">
        <v>0</v>
      </c>
      <c r="AW623" s="10">
        <v>0</v>
      </c>
      <c r="AX623" s="10">
        <v>0</v>
      </c>
      <c r="AY623" s="10">
        <v>18</v>
      </c>
    </row>
    <row r="624" spans="1:51" ht="16.5" customHeight="1" x14ac:dyDescent="0.25">
      <c r="A624" s="10">
        <v>9</v>
      </c>
      <c r="B624" s="11" t="s">
        <v>625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1</v>
      </c>
      <c r="N624" s="10">
        <v>0</v>
      </c>
      <c r="O624" s="10">
        <v>0</v>
      </c>
      <c r="P624" s="10">
        <v>0</v>
      </c>
      <c r="Q624" s="10">
        <v>0</v>
      </c>
      <c r="R624" s="10">
        <v>1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1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>
        <v>0</v>
      </c>
      <c r="AK624" s="10">
        <v>0</v>
      </c>
      <c r="AL624" s="10">
        <v>0</v>
      </c>
      <c r="AM624" s="10">
        <v>0</v>
      </c>
      <c r="AN624" s="10">
        <v>0</v>
      </c>
      <c r="AO624" s="10">
        <v>0</v>
      </c>
      <c r="AP624" s="10">
        <v>0</v>
      </c>
      <c r="AQ624" s="10">
        <v>0</v>
      </c>
      <c r="AR624" s="10">
        <v>0</v>
      </c>
      <c r="AS624" s="10">
        <v>0</v>
      </c>
      <c r="AT624" s="10">
        <v>0</v>
      </c>
      <c r="AU624" s="10">
        <v>0</v>
      </c>
      <c r="AV624" s="10">
        <v>0</v>
      </c>
      <c r="AW624" s="10">
        <v>0</v>
      </c>
      <c r="AX624" s="10">
        <v>0</v>
      </c>
      <c r="AY624" s="10">
        <v>1</v>
      </c>
    </row>
    <row r="625" spans="1:51" ht="16.5" customHeight="1" x14ac:dyDescent="0.25">
      <c r="A625" s="10">
        <v>10</v>
      </c>
      <c r="B625" s="11" t="s">
        <v>626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3</v>
      </c>
      <c r="X625" s="10">
        <v>3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0</v>
      </c>
      <c r="AP625" s="10">
        <v>0</v>
      </c>
      <c r="AQ625" s="10">
        <v>0</v>
      </c>
      <c r="AR625" s="10">
        <v>0</v>
      </c>
      <c r="AS625" s="10">
        <v>0</v>
      </c>
      <c r="AT625" s="10">
        <v>0</v>
      </c>
      <c r="AU625" s="10">
        <v>0</v>
      </c>
      <c r="AV625" s="10">
        <v>0</v>
      </c>
      <c r="AW625" s="10">
        <v>0</v>
      </c>
      <c r="AX625" s="10">
        <v>0</v>
      </c>
      <c r="AY625" s="10">
        <v>3</v>
      </c>
    </row>
    <row r="626" spans="1:51" ht="16.5" customHeight="1" x14ac:dyDescent="0.25">
      <c r="A626" s="10">
        <v>11</v>
      </c>
      <c r="B626" s="11" t="s">
        <v>627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6</v>
      </c>
      <c r="X626" s="10">
        <v>6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0</v>
      </c>
      <c r="AP626" s="10">
        <v>0</v>
      </c>
      <c r="AQ626" s="10">
        <v>0</v>
      </c>
      <c r="AR626" s="10">
        <v>0</v>
      </c>
      <c r="AS626" s="10">
        <v>0</v>
      </c>
      <c r="AT626" s="10">
        <v>0</v>
      </c>
      <c r="AU626" s="10">
        <v>0</v>
      </c>
      <c r="AV626" s="10">
        <v>0</v>
      </c>
      <c r="AW626" s="10">
        <v>0</v>
      </c>
      <c r="AX626" s="10">
        <v>0</v>
      </c>
      <c r="AY626" s="10">
        <v>6</v>
      </c>
    </row>
    <row r="627" spans="1:51" ht="16.5" customHeight="1" x14ac:dyDescent="0.25">
      <c r="A627" s="10">
        <v>12</v>
      </c>
      <c r="B627" s="11" t="s">
        <v>628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47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47</v>
      </c>
      <c r="AS627" s="10">
        <v>0</v>
      </c>
      <c r="AT627" s="10">
        <v>0</v>
      </c>
      <c r="AU627" s="10">
        <v>0</v>
      </c>
      <c r="AV627" s="10">
        <v>0</v>
      </c>
      <c r="AW627" s="10">
        <v>0</v>
      </c>
      <c r="AX627" s="10">
        <v>0</v>
      </c>
      <c r="AY627" s="10">
        <v>47</v>
      </c>
    </row>
    <row r="628" spans="1:51" ht="16.5" customHeight="1" x14ac:dyDescent="0.25">
      <c r="A628" s="10">
        <v>13</v>
      </c>
      <c r="B628" s="11" t="s">
        <v>629</v>
      </c>
      <c r="C628" s="10">
        <v>0</v>
      </c>
      <c r="D628" s="10">
        <v>1</v>
      </c>
      <c r="E628" s="10">
        <v>0</v>
      </c>
      <c r="F628" s="10">
        <v>0</v>
      </c>
      <c r="G628" s="10">
        <v>0</v>
      </c>
      <c r="H628" s="10">
        <v>0</v>
      </c>
      <c r="I628" s="10">
        <v>1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1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0">
        <v>0</v>
      </c>
      <c r="AT628" s="10">
        <v>0</v>
      </c>
      <c r="AU628" s="10">
        <v>0</v>
      </c>
      <c r="AV628" s="10">
        <v>0</v>
      </c>
      <c r="AW628" s="10">
        <v>0</v>
      </c>
      <c r="AX628" s="10">
        <v>0</v>
      </c>
      <c r="AY628" s="10">
        <v>1</v>
      </c>
    </row>
    <row r="629" spans="1:51" ht="16.5" customHeight="1" x14ac:dyDescent="0.25">
      <c r="A629" s="10">
        <v>14</v>
      </c>
      <c r="B629" s="11" t="s">
        <v>630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2</v>
      </c>
      <c r="X629" s="10">
        <v>2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0">
        <v>0</v>
      </c>
      <c r="AT629" s="10">
        <v>0</v>
      </c>
      <c r="AU629" s="10">
        <v>0</v>
      </c>
      <c r="AV629" s="10">
        <v>0</v>
      </c>
      <c r="AW629" s="10">
        <v>0</v>
      </c>
      <c r="AX629" s="10">
        <v>0</v>
      </c>
      <c r="AY629" s="10">
        <v>2</v>
      </c>
    </row>
    <row r="630" spans="1:51" ht="16.5" customHeight="1" x14ac:dyDescent="0.25">
      <c r="A630" s="10">
        <v>15</v>
      </c>
      <c r="B630" s="11" t="s">
        <v>631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1</v>
      </c>
      <c r="X630" s="10">
        <v>1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0">
        <v>0</v>
      </c>
      <c r="AT630" s="10">
        <v>0</v>
      </c>
      <c r="AU630" s="10">
        <v>0</v>
      </c>
      <c r="AV630" s="10">
        <v>0</v>
      </c>
      <c r="AW630" s="10">
        <v>0</v>
      </c>
      <c r="AX630" s="10">
        <v>0</v>
      </c>
      <c r="AY630" s="10">
        <v>1</v>
      </c>
    </row>
    <row r="631" spans="1:51" ht="16.5" customHeight="1" x14ac:dyDescent="0.25">
      <c r="A631" s="10">
        <v>16</v>
      </c>
      <c r="B631" s="11" t="s">
        <v>632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0">
        <v>0</v>
      </c>
      <c r="AW631" s="10">
        <v>0</v>
      </c>
      <c r="AX631" s="10">
        <v>0</v>
      </c>
      <c r="AY631" s="10">
        <v>0</v>
      </c>
    </row>
    <row r="632" spans="1:51" ht="16.5" customHeight="1" x14ac:dyDescent="0.25">
      <c r="A632" s="10">
        <v>17</v>
      </c>
      <c r="B632" s="11" t="s">
        <v>633</v>
      </c>
      <c r="C632" s="10">
        <v>2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3</v>
      </c>
      <c r="N632" s="10">
        <v>0</v>
      </c>
      <c r="O632" s="10">
        <v>0</v>
      </c>
      <c r="P632" s="10">
        <v>0</v>
      </c>
      <c r="Q632" s="10">
        <v>0</v>
      </c>
      <c r="R632" s="10">
        <v>3</v>
      </c>
      <c r="S632" s="10">
        <v>0</v>
      </c>
      <c r="T632" s="10">
        <v>0</v>
      </c>
      <c r="U632" s="10">
        <v>0</v>
      </c>
      <c r="V632" s="10">
        <v>0</v>
      </c>
      <c r="W632" s="10">
        <v>1</v>
      </c>
      <c r="X632" s="10">
        <v>6</v>
      </c>
      <c r="Y632" s="10">
        <v>0</v>
      </c>
      <c r="Z632" s="10">
        <v>1</v>
      </c>
      <c r="AA632" s="10">
        <v>1</v>
      </c>
      <c r="AB632" s="10">
        <v>3</v>
      </c>
      <c r="AC632" s="10">
        <v>2</v>
      </c>
      <c r="AD632" s="10">
        <v>0</v>
      </c>
      <c r="AE632" s="10">
        <v>0</v>
      </c>
      <c r="AF632" s="10">
        <v>0</v>
      </c>
      <c r="AG632" s="10">
        <v>1</v>
      </c>
      <c r="AH632" s="10">
        <v>2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2</v>
      </c>
      <c r="AR632" s="10">
        <v>9</v>
      </c>
      <c r="AS632" s="10">
        <v>0</v>
      </c>
      <c r="AT632" s="10">
        <v>0</v>
      </c>
      <c r="AU632" s="10">
        <v>4</v>
      </c>
      <c r="AV632" s="10">
        <v>0</v>
      </c>
      <c r="AW632" s="10">
        <v>0</v>
      </c>
      <c r="AX632" s="10">
        <v>4</v>
      </c>
      <c r="AY632" s="10">
        <v>19</v>
      </c>
    </row>
    <row r="633" spans="1:51" ht="16.5" customHeight="1" x14ac:dyDescent="0.25">
      <c r="A633" s="10">
        <v>18</v>
      </c>
      <c r="B633" s="11" t="s">
        <v>634</v>
      </c>
      <c r="C633" s="10">
        <v>0</v>
      </c>
      <c r="D633" s="10">
        <v>1</v>
      </c>
      <c r="E633" s="10">
        <v>0</v>
      </c>
      <c r="F633" s="10">
        <v>0</v>
      </c>
      <c r="G633" s="10">
        <v>0</v>
      </c>
      <c r="H633" s="10">
        <v>0</v>
      </c>
      <c r="I633" s="10">
        <v>0</v>
      </c>
      <c r="J633" s="10">
        <v>1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4</v>
      </c>
      <c r="X633" s="10">
        <v>5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1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3</v>
      </c>
      <c r="AR633" s="10">
        <v>4</v>
      </c>
      <c r="AS633" s="10">
        <v>0</v>
      </c>
      <c r="AT633" s="10">
        <v>0</v>
      </c>
      <c r="AU633" s="10">
        <v>0</v>
      </c>
      <c r="AV633" s="10">
        <v>0</v>
      </c>
      <c r="AW633" s="10">
        <v>0</v>
      </c>
      <c r="AX633" s="10">
        <v>0</v>
      </c>
      <c r="AY633" s="10">
        <v>9</v>
      </c>
    </row>
    <row r="634" spans="1:51" ht="16.5" customHeight="1" x14ac:dyDescent="0.25">
      <c r="A634" s="10">
        <v>19</v>
      </c>
      <c r="B634" s="11" t="s">
        <v>635</v>
      </c>
      <c r="C634" s="10">
        <v>0</v>
      </c>
      <c r="D634" s="10">
        <v>67</v>
      </c>
      <c r="E634" s="10">
        <v>17</v>
      </c>
      <c r="F634" s="10">
        <v>0</v>
      </c>
      <c r="G634" s="10">
        <v>17</v>
      </c>
      <c r="H634" s="10">
        <v>0</v>
      </c>
      <c r="I634" s="10">
        <v>16</v>
      </c>
      <c r="J634" s="10">
        <v>34</v>
      </c>
      <c r="K634" s="10">
        <v>0</v>
      </c>
      <c r="L634" s="10">
        <v>0</v>
      </c>
      <c r="M634" s="10">
        <v>3</v>
      </c>
      <c r="N634" s="10">
        <v>3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70</v>
      </c>
      <c r="Y634" s="10">
        <v>0</v>
      </c>
      <c r="Z634" s="10">
        <v>0</v>
      </c>
      <c r="AA634" s="10">
        <v>2</v>
      </c>
      <c r="AB634" s="10">
        <v>18</v>
      </c>
      <c r="AC634" s="10">
        <v>8</v>
      </c>
      <c r="AD634" s="10">
        <v>5</v>
      </c>
      <c r="AE634" s="10">
        <v>5</v>
      </c>
      <c r="AF634" s="10">
        <v>0</v>
      </c>
      <c r="AG634" s="10">
        <v>0</v>
      </c>
      <c r="AH634" s="10">
        <v>30</v>
      </c>
      <c r="AI634" s="10">
        <v>0</v>
      </c>
      <c r="AJ634" s="10">
        <v>0</v>
      </c>
      <c r="AK634" s="10">
        <v>1</v>
      </c>
      <c r="AL634" s="10">
        <v>0</v>
      </c>
      <c r="AM634" s="10">
        <v>0</v>
      </c>
      <c r="AN634" s="10">
        <v>0</v>
      </c>
      <c r="AO634" s="10">
        <v>1</v>
      </c>
      <c r="AP634" s="10">
        <v>0</v>
      </c>
      <c r="AQ634" s="10">
        <v>2</v>
      </c>
      <c r="AR634" s="10">
        <v>54</v>
      </c>
      <c r="AS634" s="10">
        <v>0</v>
      </c>
      <c r="AT634" s="10">
        <v>0</v>
      </c>
      <c r="AU634" s="10">
        <v>0</v>
      </c>
      <c r="AV634" s="10">
        <v>0</v>
      </c>
      <c r="AW634" s="10">
        <v>0</v>
      </c>
      <c r="AX634" s="10">
        <v>0</v>
      </c>
      <c r="AY634" s="10">
        <v>124</v>
      </c>
    </row>
    <row r="635" spans="1:51" ht="16.5" customHeight="1" x14ac:dyDescent="0.25">
      <c r="A635" s="10">
        <v>20</v>
      </c>
      <c r="B635" s="11" t="s">
        <v>636</v>
      </c>
      <c r="C635" s="10">
        <v>0</v>
      </c>
      <c r="D635" s="10">
        <v>24</v>
      </c>
      <c r="E635" s="10">
        <v>0</v>
      </c>
      <c r="F635" s="10">
        <v>0</v>
      </c>
      <c r="G635" s="10">
        <v>0</v>
      </c>
      <c r="H635" s="10">
        <v>3</v>
      </c>
      <c r="I635" s="10">
        <v>20</v>
      </c>
      <c r="J635" s="10">
        <v>1</v>
      </c>
      <c r="K635" s="10">
        <v>0</v>
      </c>
      <c r="L635" s="10">
        <v>0</v>
      </c>
      <c r="M635" s="10">
        <v>2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121</v>
      </c>
      <c r="X635" s="10">
        <v>147</v>
      </c>
      <c r="Y635" s="10">
        <v>0</v>
      </c>
      <c r="Z635" s="10">
        <v>0</v>
      </c>
      <c r="AA635" s="10">
        <v>0</v>
      </c>
      <c r="AB635" s="10">
        <v>24</v>
      </c>
      <c r="AC635" s="10">
        <v>7</v>
      </c>
      <c r="AD635" s="10">
        <v>3</v>
      </c>
      <c r="AE635" s="10">
        <v>5</v>
      </c>
      <c r="AF635" s="10">
        <v>9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24</v>
      </c>
      <c r="AS635" s="10">
        <v>0</v>
      </c>
      <c r="AT635" s="10">
        <v>0</v>
      </c>
      <c r="AU635" s="10">
        <v>0</v>
      </c>
      <c r="AV635" s="10">
        <v>0</v>
      </c>
      <c r="AW635" s="10">
        <v>0</v>
      </c>
      <c r="AX635" s="10">
        <v>0</v>
      </c>
      <c r="AY635" s="10">
        <v>171</v>
      </c>
    </row>
    <row r="636" spans="1:51" ht="16.5" customHeight="1" x14ac:dyDescent="0.25">
      <c r="A636" s="10">
        <v>21</v>
      </c>
      <c r="B636" s="11" t="s">
        <v>637</v>
      </c>
      <c r="C636" s="10">
        <v>0</v>
      </c>
      <c r="D636" s="10">
        <v>44</v>
      </c>
      <c r="E636" s="10">
        <v>0</v>
      </c>
      <c r="F636" s="10">
        <v>0</v>
      </c>
      <c r="G636" s="10">
        <v>0</v>
      </c>
      <c r="H636" s="10">
        <v>19</v>
      </c>
      <c r="I636" s="10">
        <v>4</v>
      </c>
      <c r="J636" s="10">
        <v>21</v>
      </c>
      <c r="K636" s="10">
        <v>0</v>
      </c>
      <c r="L636" s="10">
        <v>0</v>
      </c>
      <c r="M636" s="10">
        <v>2</v>
      </c>
      <c r="N636" s="10">
        <v>0</v>
      </c>
      <c r="O636" s="10">
        <v>1</v>
      </c>
      <c r="P636" s="10">
        <v>1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49</v>
      </c>
      <c r="X636" s="10">
        <v>95</v>
      </c>
      <c r="Y636" s="10">
        <v>0</v>
      </c>
      <c r="Z636" s="10">
        <v>0</v>
      </c>
      <c r="AA636" s="10">
        <v>0</v>
      </c>
      <c r="AB636" s="10">
        <v>7</v>
      </c>
      <c r="AC636" s="10">
        <v>0</v>
      </c>
      <c r="AD636" s="10">
        <v>0</v>
      </c>
      <c r="AE636" s="10">
        <v>0</v>
      </c>
      <c r="AF636" s="10">
        <v>4</v>
      </c>
      <c r="AG636" s="10">
        <v>3</v>
      </c>
      <c r="AH636" s="10">
        <v>0</v>
      </c>
      <c r="AI636" s="10">
        <v>0</v>
      </c>
      <c r="AJ636" s="10">
        <v>0</v>
      </c>
      <c r="AK636" s="10">
        <v>0</v>
      </c>
      <c r="AL636" s="10">
        <v>0</v>
      </c>
      <c r="AM636" s="10">
        <v>0</v>
      </c>
      <c r="AN636" s="10">
        <v>0</v>
      </c>
      <c r="AO636" s="10">
        <v>0</v>
      </c>
      <c r="AP636" s="10">
        <v>0</v>
      </c>
      <c r="AQ636" s="10">
        <v>2</v>
      </c>
      <c r="AR636" s="10">
        <v>9</v>
      </c>
      <c r="AS636" s="10">
        <v>0</v>
      </c>
      <c r="AT636" s="10">
        <v>0</v>
      </c>
      <c r="AU636" s="10">
        <v>0</v>
      </c>
      <c r="AV636" s="10">
        <v>0</v>
      </c>
      <c r="AW636" s="10">
        <v>0</v>
      </c>
      <c r="AX636" s="10">
        <v>0</v>
      </c>
      <c r="AY636" s="10">
        <v>104</v>
      </c>
    </row>
    <row r="637" spans="1:51" ht="16.5" customHeight="1" x14ac:dyDescent="0.25">
      <c r="A637" s="10">
        <v>22</v>
      </c>
      <c r="B637" s="11" t="s">
        <v>638</v>
      </c>
      <c r="C637" s="10">
        <v>0</v>
      </c>
      <c r="D637" s="10">
        <v>55</v>
      </c>
      <c r="E637" s="10">
        <v>0</v>
      </c>
      <c r="F637" s="10">
        <v>0</v>
      </c>
      <c r="G637" s="10">
        <v>0</v>
      </c>
      <c r="H637" s="10">
        <v>0</v>
      </c>
      <c r="I637" s="10">
        <v>30</v>
      </c>
      <c r="J637" s="10">
        <v>25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145</v>
      </c>
      <c r="X637" s="10">
        <v>200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0</v>
      </c>
      <c r="AV637" s="10">
        <v>0</v>
      </c>
      <c r="AW637" s="10">
        <v>0</v>
      </c>
      <c r="AX637" s="10">
        <v>0</v>
      </c>
      <c r="AY637" s="10">
        <v>200</v>
      </c>
    </row>
    <row r="638" spans="1:51" ht="16.5" customHeight="1" x14ac:dyDescent="0.25">
      <c r="A638" s="10">
        <v>23</v>
      </c>
      <c r="B638" s="11" t="s">
        <v>639</v>
      </c>
      <c r="C638" s="10">
        <v>0</v>
      </c>
      <c r="D638" s="10">
        <v>42</v>
      </c>
      <c r="E638" s="10">
        <v>1</v>
      </c>
      <c r="F638" s="10">
        <v>0</v>
      </c>
      <c r="G638" s="10">
        <v>1</v>
      </c>
      <c r="H638" s="10">
        <v>0</v>
      </c>
      <c r="I638" s="10">
        <v>41</v>
      </c>
      <c r="J638" s="10">
        <v>0</v>
      </c>
      <c r="K638" s="10">
        <v>0</v>
      </c>
      <c r="L638" s="10">
        <v>0</v>
      </c>
      <c r="M638" s="10">
        <v>1</v>
      </c>
      <c r="N638" s="10">
        <v>1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147</v>
      </c>
      <c r="X638" s="10">
        <v>190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0</v>
      </c>
      <c r="AN638" s="10">
        <v>0</v>
      </c>
      <c r="AO638" s="10">
        <v>0</v>
      </c>
      <c r="AP638" s="10">
        <v>0</v>
      </c>
      <c r="AQ638" s="10">
        <v>0</v>
      </c>
      <c r="AR638" s="10">
        <v>0</v>
      </c>
      <c r="AS638" s="10">
        <v>0</v>
      </c>
      <c r="AT638" s="10">
        <v>0</v>
      </c>
      <c r="AU638" s="10">
        <v>0</v>
      </c>
      <c r="AV638" s="10">
        <v>0</v>
      </c>
      <c r="AW638" s="10">
        <v>0</v>
      </c>
      <c r="AX638" s="10">
        <v>0</v>
      </c>
      <c r="AY638" s="10">
        <v>190</v>
      </c>
    </row>
    <row r="639" spans="1:51" ht="16.5" customHeight="1" x14ac:dyDescent="0.25">
      <c r="A639" s="10">
        <v>24</v>
      </c>
      <c r="B639" s="11" t="s">
        <v>640</v>
      </c>
      <c r="C639" s="10">
        <v>0</v>
      </c>
      <c r="D639" s="10">
        <v>0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1</v>
      </c>
      <c r="N639" s="10">
        <v>0</v>
      </c>
      <c r="O639" s="10">
        <v>0</v>
      </c>
      <c r="P639" s="10">
        <v>1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1</v>
      </c>
      <c r="Y639" s="10">
        <v>0</v>
      </c>
      <c r="Z639" s="10">
        <v>1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8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5</v>
      </c>
      <c r="AR639" s="10">
        <v>14</v>
      </c>
      <c r="AS639" s="10">
        <v>0</v>
      </c>
      <c r="AT639" s="10">
        <v>0</v>
      </c>
      <c r="AU639" s="10">
        <v>0</v>
      </c>
      <c r="AV639" s="10">
        <v>0</v>
      </c>
      <c r="AW639" s="10">
        <v>0</v>
      </c>
      <c r="AX639" s="10">
        <v>0</v>
      </c>
      <c r="AY639" s="10">
        <v>15</v>
      </c>
    </row>
    <row r="640" spans="1:51" ht="16.5" customHeight="1" x14ac:dyDescent="0.25">
      <c r="A640" s="10">
        <v>25</v>
      </c>
      <c r="B640" s="11" t="s">
        <v>641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7</v>
      </c>
      <c r="X640" s="10">
        <v>7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0">
        <v>0</v>
      </c>
      <c r="AT640" s="10">
        <v>0</v>
      </c>
      <c r="AU640" s="10">
        <v>0</v>
      </c>
      <c r="AV640" s="10">
        <v>0</v>
      </c>
      <c r="AW640" s="10">
        <v>0</v>
      </c>
      <c r="AX640" s="10">
        <v>0</v>
      </c>
      <c r="AY640" s="10">
        <v>7</v>
      </c>
    </row>
    <row r="641" spans="1:51" ht="16.5" customHeight="1" x14ac:dyDescent="0.25">
      <c r="A641" s="10">
        <v>26</v>
      </c>
      <c r="B641" s="11" t="s">
        <v>642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3</v>
      </c>
      <c r="AR641" s="10">
        <v>3</v>
      </c>
      <c r="AS641" s="10">
        <v>0</v>
      </c>
      <c r="AT641" s="10">
        <v>0</v>
      </c>
      <c r="AU641" s="10">
        <v>0</v>
      </c>
      <c r="AV641" s="10">
        <v>0</v>
      </c>
      <c r="AW641" s="10">
        <v>0</v>
      </c>
      <c r="AX641" s="10">
        <v>0</v>
      </c>
      <c r="AY641" s="10">
        <v>3</v>
      </c>
    </row>
    <row r="642" spans="1:51" ht="16.5" customHeight="1" x14ac:dyDescent="0.25">
      <c r="A642" s="10">
        <v>27</v>
      </c>
      <c r="B642" s="11" t="s">
        <v>643</v>
      </c>
      <c r="C642" s="10">
        <v>0</v>
      </c>
      <c r="D642" s="10">
        <v>5</v>
      </c>
      <c r="E642" s="10">
        <v>0</v>
      </c>
      <c r="F642" s="10">
        <v>0</v>
      </c>
      <c r="G642" s="10">
        <v>0</v>
      </c>
      <c r="H642" s="10">
        <v>0</v>
      </c>
      <c r="I642" s="10">
        <v>5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5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3</v>
      </c>
      <c r="AR642" s="10">
        <v>3</v>
      </c>
      <c r="AS642" s="10">
        <v>0</v>
      </c>
      <c r="AT642" s="10">
        <v>0</v>
      </c>
      <c r="AU642" s="10">
        <v>0</v>
      </c>
      <c r="AV642" s="10">
        <v>0</v>
      </c>
      <c r="AW642" s="10">
        <v>0</v>
      </c>
      <c r="AX642" s="10">
        <v>0</v>
      </c>
      <c r="AY642" s="10">
        <v>8</v>
      </c>
    </row>
    <row r="643" spans="1:51" ht="16.5" customHeight="1" x14ac:dyDescent="0.25">
      <c r="A643" s="10">
        <v>28</v>
      </c>
      <c r="B643" s="11" t="s">
        <v>644</v>
      </c>
      <c r="C643" s="10">
        <v>0</v>
      </c>
      <c r="D643" s="10">
        <v>8</v>
      </c>
      <c r="E643" s="10">
        <v>0</v>
      </c>
      <c r="F643" s="10">
        <v>0</v>
      </c>
      <c r="G643" s="10">
        <v>0</v>
      </c>
      <c r="H643" s="10">
        <v>8</v>
      </c>
      <c r="I643" s="10">
        <v>0</v>
      </c>
      <c r="J643" s="10">
        <v>0</v>
      </c>
      <c r="K643" s="10">
        <v>0</v>
      </c>
      <c r="L643" s="10">
        <v>0</v>
      </c>
      <c r="M643" s="10">
        <v>3</v>
      </c>
      <c r="N643" s="10">
        <v>3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11</v>
      </c>
      <c r="X643" s="10">
        <v>22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6</v>
      </c>
      <c r="AI643" s="10">
        <v>5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13</v>
      </c>
      <c r="AR643" s="10">
        <v>24</v>
      </c>
      <c r="AS643" s="10">
        <v>0</v>
      </c>
      <c r="AT643" s="10">
        <v>0</v>
      </c>
      <c r="AU643" s="10">
        <v>0</v>
      </c>
      <c r="AV643" s="10">
        <v>0</v>
      </c>
      <c r="AW643" s="10">
        <v>0</v>
      </c>
      <c r="AX643" s="10">
        <v>0</v>
      </c>
      <c r="AY643" s="10">
        <v>46</v>
      </c>
    </row>
    <row r="644" spans="1:51" ht="16.5" customHeight="1" x14ac:dyDescent="0.25">
      <c r="A644" s="10">
        <v>29</v>
      </c>
      <c r="B644" s="11" t="s">
        <v>645</v>
      </c>
      <c r="C644" s="10">
        <v>0</v>
      </c>
      <c r="D644" s="10">
        <v>9</v>
      </c>
      <c r="E644" s="10">
        <v>9</v>
      </c>
      <c r="F644" s="10">
        <v>0</v>
      </c>
      <c r="G644" s="10">
        <v>9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3</v>
      </c>
      <c r="N644" s="10">
        <v>3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12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23</v>
      </c>
      <c r="AI644" s="10">
        <v>0</v>
      </c>
      <c r="AJ644" s="10">
        <v>0</v>
      </c>
      <c r="AK644" s="10">
        <v>0</v>
      </c>
      <c r="AL644" s="10">
        <v>0</v>
      </c>
      <c r="AM644" s="10">
        <v>0</v>
      </c>
      <c r="AN644" s="10">
        <v>0</v>
      </c>
      <c r="AO644" s="10">
        <v>0</v>
      </c>
      <c r="AP644" s="10">
        <v>0</v>
      </c>
      <c r="AQ644" s="10">
        <v>10</v>
      </c>
      <c r="AR644" s="10">
        <v>33</v>
      </c>
      <c r="AS644" s="10">
        <v>0</v>
      </c>
      <c r="AT644" s="10">
        <v>0</v>
      </c>
      <c r="AU644" s="10">
        <v>0</v>
      </c>
      <c r="AV644" s="10">
        <v>0</v>
      </c>
      <c r="AW644" s="10">
        <v>0</v>
      </c>
      <c r="AX644" s="10">
        <v>0</v>
      </c>
      <c r="AY644" s="10">
        <v>45</v>
      </c>
    </row>
    <row r="645" spans="1:51" ht="16.5" customHeight="1" x14ac:dyDescent="0.25">
      <c r="A645" s="10">
        <v>30</v>
      </c>
      <c r="B645" s="11" t="s">
        <v>646</v>
      </c>
      <c r="C645" s="10">
        <v>0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0</v>
      </c>
      <c r="AT645" s="10">
        <v>0</v>
      </c>
      <c r="AU645" s="10">
        <v>0</v>
      </c>
      <c r="AV645" s="10">
        <v>0</v>
      </c>
      <c r="AW645" s="10">
        <v>0</v>
      </c>
      <c r="AX645" s="10">
        <v>0</v>
      </c>
      <c r="AY645" s="10">
        <v>0</v>
      </c>
    </row>
    <row r="646" spans="1:51" ht="16.5" customHeight="1" x14ac:dyDescent="0.25">
      <c r="A646" s="10">
        <v>31</v>
      </c>
      <c r="B646" s="11" t="s">
        <v>647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2</v>
      </c>
      <c r="X646" s="10">
        <v>2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0">
        <v>0</v>
      </c>
      <c r="AW646" s="10">
        <v>0</v>
      </c>
      <c r="AX646" s="10">
        <v>0</v>
      </c>
      <c r="AY646" s="10">
        <v>2</v>
      </c>
    </row>
    <row r="647" spans="1:51" ht="16.5" customHeight="1" x14ac:dyDescent="0.25">
      <c r="A647" s="10">
        <v>32</v>
      </c>
      <c r="B647" s="11" t="s">
        <v>648</v>
      </c>
      <c r="C647" s="10">
        <v>0</v>
      </c>
      <c r="D647" s="10">
        <v>6</v>
      </c>
      <c r="E647" s="10">
        <v>4</v>
      </c>
      <c r="F647" s="10">
        <v>0</v>
      </c>
      <c r="G647" s="10">
        <v>4</v>
      </c>
      <c r="H647" s="10">
        <v>0</v>
      </c>
      <c r="I647" s="10">
        <v>1</v>
      </c>
      <c r="J647" s="10">
        <v>0</v>
      </c>
      <c r="K647" s="10">
        <v>1</v>
      </c>
      <c r="L647" s="10">
        <v>0</v>
      </c>
      <c r="M647" s="10">
        <v>3</v>
      </c>
      <c r="N647" s="10">
        <v>2</v>
      </c>
      <c r="O647" s="10">
        <v>1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9</v>
      </c>
      <c r="Y647" s="10">
        <v>0</v>
      </c>
      <c r="Z647" s="10">
        <v>1</v>
      </c>
      <c r="AA647" s="10">
        <v>0</v>
      </c>
      <c r="AB647" s="10">
        <v>7</v>
      </c>
      <c r="AC647" s="10">
        <v>0</v>
      </c>
      <c r="AD647" s="10">
        <v>1</v>
      </c>
      <c r="AE647" s="10">
        <v>5</v>
      </c>
      <c r="AF647" s="10">
        <v>1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7</v>
      </c>
      <c r="AR647" s="10">
        <v>15</v>
      </c>
      <c r="AS647" s="10">
        <v>0</v>
      </c>
      <c r="AT647" s="10">
        <v>0</v>
      </c>
      <c r="AU647" s="10">
        <v>0</v>
      </c>
      <c r="AV647" s="10">
        <v>0</v>
      </c>
      <c r="AW647" s="10">
        <v>0</v>
      </c>
      <c r="AX647" s="10">
        <v>0</v>
      </c>
      <c r="AY647" s="10">
        <v>24</v>
      </c>
    </row>
    <row r="648" spans="1:51" ht="16.5" customHeight="1" x14ac:dyDescent="0.25">
      <c r="A648" s="10">
        <v>33</v>
      </c>
      <c r="B648" s="11" t="s">
        <v>649</v>
      </c>
      <c r="C648" s="10">
        <v>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6</v>
      </c>
      <c r="X648" s="10">
        <v>6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10">
        <v>0</v>
      </c>
      <c r="AR648" s="10">
        <v>0</v>
      </c>
      <c r="AS648" s="10">
        <v>0</v>
      </c>
      <c r="AT648" s="10">
        <v>0</v>
      </c>
      <c r="AU648" s="10">
        <v>0</v>
      </c>
      <c r="AV648" s="10">
        <v>0</v>
      </c>
      <c r="AW648" s="10">
        <v>0</v>
      </c>
      <c r="AX648" s="10">
        <v>0</v>
      </c>
      <c r="AY648" s="10">
        <v>6</v>
      </c>
    </row>
    <row r="649" spans="1:51" ht="16.5" customHeight="1" x14ac:dyDescent="0.25">
      <c r="A649" s="10">
        <v>34</v>
      </c>
      <c r="B649" s="11" t="s">
        <v>650</v>
      </c>
      <c r="C649" s="10">
        <v>0</v>
      </c>
      <c r="D649" s="10">
        <v>2</v>
      </c>
      <c r="E649" s="10">
        <v>0</v>
      </c>
      <c r="F649" s="10">
        <v>0</v>
      </c>
      <c r="G649" s="10">
        <v>0</v>
      </c>
      <c r="H649" s="10">
        <v>0</v>
      </c>
      <c r="I649" s="10">
        <v>1</v>
      </c>
      <c r="J649" s="10">
        <v>0</v>
      </c>
      <c r="K649" s="10">
        <v>1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1</v>
      </c>
      <c r="X649" s="10">
        <v>3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2</v>
      </c>
      <c r="AV649" s="10">
        <v>0</v>
      </c>
      <c r="AW649" s="10">
        <v>0</v>
      </c>
      <c r="AX649" s="10">
        <v>2</v>
      </c>
      <c r="AY649" s="10">
        <v>5</v>
      </c>
    </row>
    <row r="650" spans="1:51" ht="16.5" customHeight="1" x14ac:dyDescent="0.25">
      <c r="A650" s="10">
        <v>35</v>
      </c>
      <c r="B650" s="11" t="s">
        <v>651</v>
      </c>
      <c r="C650" s="10">
        <v>0</v>
      </c>
      <c r="D650" s="10">
        <v>2</v>
      </c>
      <c r="E650" s="10">
        <v>0</v>
      </c>
      <c r="F650" s="10">
        <v>0</v>
      </c>
      <c r="G650" s="10">
        <v>0</v>
      </c>
      <c r="H650" s="10">
        <v>0</v>
      </c>
      <c r="I650" s="10">
        <v>2</v>
      </c>
      <c r="J650" s="10">
        <v>0</v>
      </c>
      <c r="K650" s="10">
        <v>0</v>
      </c>
      <c r="L650" s="10">
        <v>0</v>
      </c>
      <c r="M650" s="10">
        <v>3</v>
      </c>
      <c r="N650" s="10">
        <v>0</v>
      </c>
      <c r="O650" s="10">
        <v>3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5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0">
        <v>0</v>
      </c>
      <c r="AT650" s="10">
        <v>0</v>
      </c>
      <c r="AU650" s="10">
        <v>0</v>
      </c>
      <c r="AV650" s="10">
        <v>0</v>
      </c>
      <c r="AW650" s="10">
        <v>0</v>
      </c>
      <c r="AX650" s="10">
        <v>0</v>
      </c>
      <c r="AY650" s="10">
        <v>5</v>
      </c>
    </row>
    <row r="651" spans="1:51" ht="16.5" customHeight="1" x14ac:dyDescent="0.25">
      <c r="A651" s="10">
        <v>36</v>
      </c>
      <c r="B651" s="11" t="s">
        <v>652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1</v>
      </c>
      <c r="N651" s="10">
        <v>1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1</v>
      </c>
      <c r="X651" s="10">
        <v>2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0">
        <v>0</v>
      </c>
      <c r="AW651" s="10">
        <v>0</v>
      </c>
      <c r="AX651" s="10">
        <v>0</v>
      </c>
      <c r="AY651" s="10">
        <v>2</v>
      </c>
    </row>
    <row r="652" spans="1:51" ht="16.5" customHeight="1" x14ac:dyDescent="0.25">
      <c r="A652" s="10">
        <v>37</v>
      </c>
      <c r="B652" s="11" t="s">
        <v>653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2</v>
      </c>
      <c r="N652" s="10">
        <v>2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2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0">
        <v>0</v>
      </c>
      <c r="AW652" s="10">
        <v>0</v>
      </c>
      <c r="AX652" s="10">
        <v>0</v>
      </c>
      <c r="AY652" s="10">
        <v>2</v>
      </c>
    </row>
    <row r="653" spans="1:51" ht="16.5" customHeight="1" x14ac:dyDescent="0.25">
      <c r="A653" s="10">
        <v>38</v>
      </c>
      <c r="B653" s="11" t="s">
        <v>654</v>
      </c>
      <c r="C653" s="10">
        <v>0</v>
      </c>
      <c r="D653" s="10">
        <v>7</v>
      </c>
      <c r="E653" s="10">
        <v>5</v>
      </c>
      <c r="F653" s="10">
        <v>0</v>
      </c>
      <c r="G653" s="10">
        <v>5</v>
      </c>
      <c r="H653" s="10">
        <v>2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9</v>
      </c>
      <c r="X653" s="10">
        <v>16</v>
      </c>
      <c r="Y653" s="10">
        <v>0</v>
      </c>
      <c r="Z653" s="10">
        <v>3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  <c r="AG653" s="10">
        <v>0</v>
      </c>
      <c r="AH653" s="10">
        <v>14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2</v>
      </c>
      <c r="AP653" s="10">
        <v>0</v>
      </c>
      <c r="AQ653" s="10">
        <v>6</v>
      </c>
      <c r="AR653" s="10">
        <v>25</v>
      </c>
      <c r="AS653" s="10">
        <v>0</v>
      </c>
      <c r="AT653" s="10">
        <v>0</v>
      </c>
      <c r="AU653" s="10">
        <v>0</v>
      </c>
      <c r="AV653" s="10">
        <v>0</v>
      </c>
      <c r="AW653" s="10">
        <v>0</v>
      </c>
      <c r="AX653" s="10">
        <v>0</v>
      </c>
      <c r="AY653" s="10">
        <v>41</v>
      </c>
    </row>
    <row r="654" spans="1:51" ht="16.5" customHeight="1" x14ac:dyDescent="0.25">
      <c r="A654" s="10">
        <v>39</v>
      </c>
      <c r="B654" s="11" t="s">
        <v>655</v>
      </c>
      <c r="C654" s="10">
        <v>0</v>
      </c>
      <c r="D654" s="10">
        <v>2</v>
      </c>
      <c r="E654" s="10">
        <v>2</v>
      </c>
      <c r="F654" s="10">
        <v>0</v>
      </c>
      <c r="G654" s="10">
        <v>2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2</v>
      </c>
      <c r="N654" s="10">
        <v>2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4</v>
      </c>
      <c r="Y654" s="10">
        <v>0</v>
      </c>
      <c r="Z654" s="10">
        <v>5</v>
      </c>
      <c r="AA654" s="10">
        <v>0</v>
      </c>
      <c r="AB654" s="10">
        <v>12</v>
      </c>
      <c r="AC654" s="10">
        <v>12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  <c r="AN654" s="10">
        <v>0</v>
      </c>
      <c r="AO654" s="10">
        <v>0</v>
      </c>
      <c r="AP654" s="10">
        <v>0</v>
      </c>
      <c r="AQ654" s="10">
        <v>6</v>
      </c>
      <c r="AR654" s="10">
        <v>23</v>
      </c>
      <c r="AS654" s="10">
        <v>0</v>
      </c>
      <c r="AT654" s="10">
        <v>0</v>
      </c>
      <c r="AU654" s="10">
        <v>0</v>
      </c>
      <c r="AV654" s="10">
        <v>0</v>
      </c>
      <c r="AW654" s="10">
        <v>0</v>
      </c>
      <c r="AX654" s="10">
        <v>0</v>
      </c>
      <c r="AY654" s="10">
        <v>27</v>
      </c>
    </row>
    <row r="655" spans="1:51" ht="16.5" customHeight="1" x14ac:dyDescent="0.25">
      <c r="A655" s="10">
        <v>40</v>
      </c>
      <c r="B655" s="11" t="s">
        <v>656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1</v>
      </c>
      <c r="N655" s="10">
        <v>1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1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0">
        <v>0</v>
      </c>
      <c r="AW655" s="10">
        <v>0</v>
      </c>
      <c r="AX655" s="10">
        <v>0</v>
      </c>
      <c r="AY655" s="10">
        <v>1</v>
      </c>
    </row>
    <row r="656" spans="1:51" ht="16.5" customHeight="1" x14ac:dyDescent="0.25">
      <c r="A656" s="10">
        <v>41</v>
      </c>
      <c r="B656" s="11" t="s">
        <v>657</v>
      </c>
      <c r="C656" s="10">
        <v>0</v>
      </c>
      <c r="D656" s="10">
        <v>5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5</v>
      </c>
      <c r="K656" s="10">
        <v>0</v>
      </c>
      <c r="L656" s="10">
        <v>0</v>
      </c>
      <c r="M656" s="10">
        <v>6</v>
      </c>
      <c r="N656" s="10">
        <v>6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11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  <c r="AG656" s="10">
        <v>0</v>
      </c>
      <c r="AH656" s="10">
        <v>7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0">
        <v>0</v>
      </c>
      <c r="AQ656" s="10">
        <v>0</v>
      </c>
      <c r="AR656" s="10">
        <v>7</v>
      </c>
      <c r="AS656" s="10">
        <v>0</v>
      </c>
      <c r="AT656" s="10">
        <v>0</v>
      </c>
      <c r="AU656" s="10">
        <v>0</v>
      </c>
      <c r="AV656" s="10">
        <v>0</v>
      </c>
      <c r="AW656" s="10">
        <v>0</v>
      </c>
      <c r="AX656" s="10">
        <v>0</v>
      </c>
      <c r="AY656" s="10">
        <v>18</v>
      </c>
    </row>
    <row r="657" spans="1:51" ht="16.5" customHeight="1" x14ac:dyDescent="0.25">
      <c r="A657" s="10">
        <v>42</v>
      </c>
      <c r="B657" s="11" t="s">
        <v>658</v>
      </c>
      <c r="C657" s="10">
        <v>0</v>
      </c>
      <c r="D657" s="10">
        <v>3</v>
      </c>
      <c r="E657" s="10">
        <v>0</v>
      </c>
      <c r="F657" s="10">
        <v>0</v>
      </c>
      <c r="G657" s="10">
        <v>0</v>
      </c>
      <c r="H657" s="10">
        <v>0</v>
      </c>
      <c r="I657" s="10">
        <v>3</v>
      </c>
      <c r="J657" s="10">
        <v>0</v>
      </c>
      <c r="K657" s="10">
        <v>0</v>
      </c>
      <c r="L657" s="10">
        <v>0</v>
      </c>
      <c r="M657" s="10">
        <v>3</v>
      </c>
      <c r="N657" s="10">
        <v>0</v>
      </c>
      <c r="O657" s="10">
        <v>3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3</v>
      </c>
      <c r="X657" s="10">
        <v>9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0">
        <v>0</v>
      </c>
      <c r="AW657" s="10">
        <v>0</v>
      </c>
      <c r="AX657" s="10">
        <v>0</v>
      </c>
      <c r="AY657" s="10">
        <v>9</v>
      </c>
    </row>
    <row r="658" spans="1:51" ht="16.5" customHeight="1" x14ac:dyDescent="0.25">
      <c r="A658" s="10">
        <v>44</v>
      </c>
      <c r="B658" s="11" t="s">
        <v>659</v>
      </c>
      <c r="C658" s="10">
        <v>0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0">
        <v>0</v>
      </c>
      <c r="AQ658" s="10">
        <v>0</v>
      </c>
      <c r="AR658" s="10">
        <v>0</v>
      </c>
      <c r="AS658" s="10">
        <v>0</v>
      </c>
      <c r="AT658" s="10">
        <v>0</v>
      </c>
      <c r="AU658" s="10">
        <v>0</v>
      </c>
      <c r="AV658" s="10">
        <v>0</v>
      </c>
      <c r="AW658" s="10">
        <v>0</v>
      </c>
      <c r="AX658" s="10">
        <v>0</v>
      </c>
      <c r="AY658" s="10">
        <v>0</v>
      </c>
    </row>
    <row r="659" spans="1:51" ht="16.5" customHeight="1" x14ac:dyDescent="0.25">
      <c r="A659" s="10">
        <v>45</v>
      </c>
      <c r="B659" s="11" t="s">
        <v>660</v>
      </c>
      <c r="C659" s="10">
        <v>0</v>
      </c>
      <c r="D659" s="10">
        <v>35</v>
      </c>
      <c r="E659" s="10">
        <v>0</v>
      </c>
      <c r="F659" s="10">
        <v>0</v>
      </c>
      <c r="G659" s="10">
        <v>0</v>
      </c>
      <c r="H659" s="10">
        <v>0</v>
      </c>
      <c r="I659" s="10">
        <v>1</v>
      </c>
      <c r="J659" s="10">
        <v>34</v>
      </c>
      <c r="K659" s="10">
        <v>0</v>
      </c>
      <c r="L659" s="10">
        <v>0</v>
      </c>
      <c r="M659" s="10">
        <v>1</v>
      </c>
      <c r="N659" s="10">
        <v>0</v>
      </c>
      <c r="O659" s="10">
        <v>1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36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0">
        <v>0</v>
      </c>
      <c r="AW659" s="10">
        <v>0</v>
      </c>
      <c r="AX659" s="10">
        <v>0</v>
      </c>
      <c r="AY659" s="10">
        <v>36</v>
      </c>
    </row>
    <row r="660" spans="1:51" ht="16.5" customHeight="1" x14ac:dyDescent="0.25">
      <c r="A660" s="10">
        <v>46</v>
      </c>
      <c r="B660" s="11" t="s">
        <v>661</v>
      </c>
      <c r="C660" s="10">
        <v>0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1</v>
      </c>
      <c r="AC660" s="10">
        <v>0</v>
      </c>
      <c r="AD660" s="10">
        <v>0</v>
      </c>
      <c r="AE660" s="10">
        <v>0</v>
      </c>
      <c r="AF660" s="10">
        <v>0</v>
      </c>
      <c r="AG660" s="10">
        <v>1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0">
        <v>0</v>
      </c>
      <c r="AQ660" s="10">
        <v>0</v>
      </c>
      <c r="AR660" s="10">
        <v>1</v>
      </c>
      <c r="AS660" s="10">
        <v>0</v>
      </c>
      <c r="AT660" s="10">
        <v>0</v>
      </c>
      <c r="AU660" s="10">
        <v>0</v>
      </c>
      <c r="AV660" s="10">
        <v>0</v>
      </c>
      <c r="AW660" s="10">
        <v>0</v>
      </c>
      <c r="AX660" s="10">
        <v>0</v>
      </c>
      <c r="AY660" s="10">
        <v>1</v>
      </c>
    </row>
    <row r="661" spans="1:51" ht="16.5" customHeight="1" x14ac:dyDescent="0.25">
      <c r="A661" s="10">
        <v>47</v>
      </c>
      <c r="B661" s="11" t="s">
        <v>662</v>
      </c>
      <c r="C661" s="10">
        <v>0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  <c r="AQ661" s="10">
        <v>0</v>
      </c>
      <c r="AR661" s="10">
        <v>0</v>
      </c>
      <c r="AS661" s="10">
        <v>0</v>
      </c>
      <c r="AT661" s="10">
        <v>0</v>
      </c>
      <c r="AU661" s="10">
        <v>0</v>
      </c>
      <c r="AV661" s="10">
        <v>0</v>
      </c>
      <c r="AW661" s="10">
        <v>0</v>
      </c>
      <c r="AX661" s="10">
        <v>0</v>
      </c>
      <c r="AY661" s="10">
        <v>0</v>
      </c>
    </row>
    <row r="662" spans="1:51" ht="16.5" customHeight="1" x14ac:dyDescent="0.25">
      <c r="A662" s="12"/>
      <c r="B662" s="13" t="s">
        <v>889</v>
      </c>
      <c r="C662" s="14">
        <f>SUM(C616:C661)</f>
        <v>2</v>
      </c>
      <c r="D662" s="14">
        <f t="shared" ref="D662:AY662" si="24">SUM(D616:D661)</f>
        <v>354</v>
      </c>
      <c r="E662" s="14">
        <f t="shared" si="24"/>
        <v>63</v>
      </c>
      <c r="F662" s="14">
        <f t="shared" si="24"/>
        <v>1</v>
      </c>
      <c r="G662" s="14">
        <f t="shared" si="24"/>
        <v>62</v>
      </c>
      <c r="H662" s="14">
        <f t="shared" si="24"/>
        <v>34</v>
      </c>
      <c r="I662" s="14">
        <f t="shared" si="24"/>
        <v>130</v>
      </c>
      <c r="J662" s="14">
        <f t="shared" si="24"/>
        <v>125</v>
      </c>
      <c r="K662" s="14">
        <f t="shared" si="24"/>
        <v>2</v>
      </c>
      <c r="L662" s="14">
        <f t="shared" si="24"/>
        <v>0</v>
      </c>
      <c r="M662" s="14">
        <f t="shared" si="24"/>
        <v>51</v>
      </c>
      <c r="N662" s="14">
        <f t="shared" si="24"/>
        <v>31</v>
      </c>
      <c r="O662" s="14">
        <f t="shared" si="24"/>
        <v>10</v>
      </c>
      <c r="P662" s="14">
        <f t="shared" si="24"/>
        <v>2</v>
      </c>
      <c r="Q662" s="14">
        <f t="shared" si="24"/>
        <v>0</v>
      </c>
      <c r="R662" s="14">
        <f t="shared" si="24"/>
        <v>8</v>
      </c>
      <c r="S662" s="14">
        <f t="shared" si="24"/>
        <v>0</v>
      </c>
      <c r="T662" s="14">
        <f t="shared" si="24"/>
        <v>0</v>
      </c>
      <c r="U662" s="14">
        <f t="shared" si="24"/>
        <v>0</v>
      </c>
      <c r="V662" s="14">
        <f t="shared" si="24"/>
        <v>0</v>
      </c>
      <c r="W662" s="14">
        <f t="shared" si="24"/>
        <v>543</v>
      </c>
      <c r="X662" s="14">
        <f t="shared" si="24"/>
        <v>950</v>
      </c>
      <c r="Y662" s="14">
        <f t="shared" si="24"/>
        <v>0</v>
      </c>
      <c r="Z662" s="14">
        <f t="shared" si="24"/>
        <v>12</v>
      </c>
      <c r="AA662" s="14">
        <f t="shared" si="24"/>
        <v>3</v>
      </c>
      <c r="AB662" s="14">
        <f t="shared" si="24"/>
        <v>92</v>
      </c>
      <c r="AC662" s="14">
        <f t="shared" si="24"/>
        <v>29</v>
      </c>
      <c r="AD662" s="14">
        <f t="shared" si="24"/>
        <v>15</v>
      </c>
      <c r="AE662" s="14">
        <f t="shared" si="24"/>
        <v>18</v>
      </c>
      <c r="AF662" s="14">
        <f t="shared" si="24"/>
        <v>16</v>
      </c>
      <c r="AG662" s="14">
        <f t="shared" si="24"/>
        <v>14</v>
      </c>
      <c r="AH662" s="14">
        <f t="shared" si="24"/>
        <v>147</v>
      </c>
      <c r="AI662" s="14">
        <f t="shared" si="24"/>
        <v>5</v>
      </c>
      <c r="AJ662" s="14">
        <f t="shared" si="24"/>
        <v>0</v>
      </c>
      <c r="AK662" s="14">
        <f t="shared" si="24"/>
        <v>1</v>
      </c>
      <c r="AL662" s="14">
        <f t="shared" si="24"/>
        <v>0</v>
      </c>
      <c r="AM662" s="14">
        <f t="shared" si="24"/>
        <v>0</v>
      </c>
      <c r="AN662" s="14">
        <f t="shared" si="24"/>
        <v>0</v>
      </c>
      <c r="AO662" s="14">
        <f t="shared" si="24"/>
        <v>8</v>
      </c>
      <c r="AP662" s="14">
        <f t="shared" si="24"/>
        <v>0</v>
      </c>
      <c r="AQ662" s="14">
        <f t="shared" si="24"/>
        <v>79</v>
      </c>
      <c r="AR662" s="14">
        <f t="shared" si="24"/>
        <v>347</v>
      </c>
      <c r="AS662" s="14">
        <f t="shared" si="24"/>
        <v>0</v>
      </c>
      <c r="AT662" s="14">
        <f t="shared" si="24"/>
        <v>0</v>
      </c>
      <c r="AU662" s="14">
        <f t="shared" si="24"/>
        <v>6</v>
      </c>
      <c r="AV662" s="14">
        <f t="shared" si="24"/>
        <v>0</v>
      </c>
      <c r="AW662" s="14">
        <f t="shared" si="24"/>
        <v>1</v>
      </c>
      <c r="AX662" s="14">
        <f t="shared" si="24"/>
        <v>7</v>
      </c>
      <c r="AY662" s="14">
        <f t="shared" si="24"/>
        <v>1304</v>
      </c>
    </row>
    <row r="663" spans="1:51" ht="16.5" customHeight="1" x14ac:dyDescent="0.25">
      <c r="A663" s="9" t="s">
        <v>912</v>
      </c>
      <c r="B663" s="1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</row>
    <row r="664" spans="1:51" ht="16.5" customHeight="1" x14ac:dyDescent="0.25">
      <c r="A664" s="10">
        <v>1</v>
      </c>
      <c r="B664" s="11" t="s">
        <v>663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1</v>
      </c>
      <c r="N664" s="10">
        <v>1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1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0">
        <v>0</v>
      </c>
      <c r="AW664" s="10">
        <v>0</v>
      </c>
      <c r="AX664" s="10">
        <v>0</v>
      </c>
      <c r="AY664" s="10">
        <v>1</v>
      </c>
    </row>
    <row r="665" spans="1:51" ht="16.5" customHeight="1" x14ac:dyDescent="0.25">
      <c r="A665" s="10">
        <v>2</v>
      </c>
      <c r="B665" s="11" t="s">
        <v>664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0">
        <v>0</v>
      </c>
      <c r="AW665" s="10">
        <v>0</v>
      </c>
      <c r="AX665" s="10">
        <v>0</v>
      </c>
      <c r="AY665" s="10">
        <v>0</v>
      </c>
    </row>
    <row r="666" spans="1:51" ht="16.5" customHeight="1" x14ac:dyDescent="0.25">
      <c r="A666" s="10">
        <v>3</v>
      </c>
      <c r="B666" s="11" t="s">
        <v>665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0">
        <v>0</v>
      </c>
      <c r="AW666" s="10">
        <v>0</v>
      </c>
      <c r="AX666" s="10">
        <v>0</v>
      </c>
      <c r="AY666" s="10">
        <v>0</v>
      </c>
    </row>
    <row r="667" spans="1:51" ht="16.5" customHeight="1" x14ac:dyDescent="0.25">
      <c r="A667" s="10">
        <v>4</v>
      </c>
      <c r="B667" s="11" t="s">
        <v>666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0">
        <v>0</v>
      </c>
      <c r="AW667" s="10">
        <v>0</v>
      </c>
      <c r="AX667" s="10">
        <v>0</v>
      </c>
      <c r="AY667" s="10">
        <v>0</v>
      </c>
    </row>
    <row r="668" spans="1:51" ht="16.5" customHeight="1" x14ac:dyDescent="0.25">
      <c r="A668" s="12"/>
      <c r="B668" s="13" t="s">
        <v>889</v>
      </c>
      <c r="C668" s="14">
        <f>SUM(C664:C667)</f>
        <v>0</v>
      </c>
      <c r="D668" s="14">
        <f t="shared" ref="D668:AY668" si="25">SUM(D664:D667)</f>
        <v>0</v>
      </c>
      <c r="E668" s="14">
        <f t="shared" si="25"/>
        <v>0</v>
      </c>
      <c r="F668" s="14">
        <f t="shared" si="25"/>
        <v>0</v>
      </c>
      <c r="G668" s="14">
        <f t="shared" si="25"/>
        <v>0</v>
      </c>
      <c r="H668" s="14">
        <f t="shared" si="25"/>
        <v>0</v>
      </c>
      <c r="I668" s="14">
        <f t="shared" si="25"/>
        <v>0</v>
      </c>
      <c r="J668" s="14">
        <f t="shared" si="25"/>
        <v>0</v>
      </c>
      <c r="K668" s="14">
        <f t="shared" si="25"/>
        <v>0</v>
      </c>
      <c r="L668" s="14">
        <f t="shared" si="25"/>
        <v>0</v>
      </c>
      <c r="M668" s="14">
        <f t="shared" si="25"/>
        <v>1</v>
      </c>
      <c r="N668" s="14">
        <f t="shared" si="25"/>
        <v>1</v>
      </c>
      <c r="O668" s="14">
        <f t="shared" si="25"/>
        <v>0</v>
      </c>
      <c r="P668" s="14">
        <f t="shared" si="25"/>
        <v>0</v>
      </c>
      <c r="Q668" s="14">
        <f t="shared" si="25"/>
        <v>0</v>
      </c>
      <c r="R668" s="14">
        <f t="shared" si="25"/>
        <v>0</v>
      </c>
      <c r="S668" s="14">
        <f t="shared" si="25"/>
        <v>0</v>
      </c>
      <c r="T668" s="14">
        <f t="shared" si="25"/>
        <v>0</v>
      </c>
      <c r="U668" s="14">
        <f t="shared" si="25"/>
        <v>0</v>
      </c>
      <c r="V668" s="14">
        <f t="shared" si="25"/>
        <v>0</v>
      </c>
      <c r="W668" s="14">
        <f t="shared" si="25"/>
        <v>0</v>
      </c>
      <c r="X668" s="14">
        <f t="shared" si="25"/>
        <v>1</v>
      </c>
      <c r="Y668" s="14">
        <f t="shared" si="25"/>
        <v>0</v>
      </c>
      <c r="Z668" s="14">
        <f t="shared" si="25"/>
        <v>0</v>
      </c>
      <c r="AA668" s="14">
        <f t="shared" si="25"/>
        <v>0</v>
      </c>
      <c r="AB668" s="14">
        <f t="shared" si="25"/>
        <v>0</v>
      </c>
      <c r="AC668" s="14">
        <f t="shared" si="25"/>
        <v>0</v>
      </c>
      <c r="AD668" s="14">
        <f t="shared" si="25"/>
        <v>0</v>
      </c>
      <c r="AE668" s="14">
        <f t="shared" si="25"/>
        <v>0</v>
      </c>
      <c r="AF668" s="14">
        <f t="shared" si="25"/>
        <v>0</v>
      </c>
      <c r="AG668" s="14">
        <f t="shared" si="25"/>
        <v>0</v>
      </c>
      <c r="AH668" s="14">
        <f t="shared" si="25"/>
        <v>0</v>
      </c>
      <c r="AI668" s="14">
        <f t="shared" si="25"/>
        <v>0</v>
      </c>
      <c r="AJ668" s="14">
        <f t="shared" si="25"/>
        <v>0</v>
      </c>
      <c r="AK668" s="14">
        <f t="shared" si="25"/>
        <v>0</v>
      </c>
      <c r="AL668" s="14">
        <f t="shared" si="25"/>
        <v>0</v>
      </c>
      <c r="AM668" s="14">
        <f t="shared" si="25"/>
        <v>0</v>
      </c>
      <c r="AN668" s="14">
        <f t="shared" si="25"/>
        <v>0</v>
      </c>
      <c r="AO668" s="14">
        <f t="shared" si="25"/>
        <v>0</v>
      </c>
      <c r="AP668" s="14">
        <f t="shared" si="25"/>
        <v>0</v>
      </c>
      <c r="AQ668" s="14">
        <f t="shared" si="25"/>
        <v>0</v>
      </c>
      <c r="AR668" s="14">
        <f t="shared" si="25"/>
        <v>0</v>
      </c>
      <c r="AS668" s="14">
        <f t="shared" si="25"/>
        <v>0</v>
      </c>
      <c r="AT668" s="14">
        <f t="shared" si="25"/>
        <v>0</v>
      </c>
      <c r="AU668" s="14">
        <f t="shared" si="25"/>
        <v>0</v>
      </c>
      <c r="AV668" s="14">
        <f t="shared" si="25"/>
        <v>0</v>
      </c>
      <c r="AW668" s="14">
        <f t="shared" si="25"/>
        <v>0</v>
      </c>
      <c r="AX668" s="14">
        <f t="shared" si="25"/>
        <v>0</v>
      </c>
      <c r="AY668" s="14">
        <f t="shared" si="25"/>
        <v>1</v>
      </c>
    </row>
    <row r="669" spans="1:51" ht="16.5" customHeight="1" x14ac:dyDescent="0.25">
      <c r="A669" s="9" t="s">
        <v>913</v>
      </c>
      <c r="B669" s="1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</row>
    <row r="670" spans="1:51" ht="16.5" customHeight="1" x14ac:dyDescent="0.25">
      <c r="A670" s="10">
        <v>1</v>
      </c>
      <c r="B670" s="11" t="s">
        <v>667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0">
        <v>0</v>
      </c>
      <c r="AW670" s="10">
        <v>0</v>
      </c>
      <c r="AX670" s="10">
        <v>0</v>
      </c>
      <c r="AY670" s="10">
        <v>0</v>
      </c>
    </row>
    <row r="671" spans="1:51" ht="16.5" customHeight="1" x14ac:dyDescent="0.25">
      <c r="A671" s="10">
        <v>2</v>
      </c>
      <c r="B671" s="11" t="s">
        <v>668</v>
      </c>
      <c r="C671" s="10">
        <v>0</v>
      </c>
      <c r="D671" s="10">
        <v>35</v>
      </c>
      <c r="E671" s="10">
        <v>7</v>
      </c>
      <c r="F671" s="10">
        <v>6</v>
      </c>
      <c r="G671" s="10">
        <v>1</v>
      </c>
      <c r="H671" s="10">
        <v>1</v>
      </c>
      <c r="I671" s="10">
        <v>10</v>
      </c>
      <c r="J671" s="10">
        <v>17</v>
      </c>
      <c r="K671" s="10">
        <v>0</v>
      </c>
      <c r="L671" s="10">
        <v>0</v>
      </c>
      <c r="M671" s="10">
        <v>7</v>
      </c>
      <c r="N671" s="10">
        <v>3</v>
      </c>
      <c r="O671" s="10">
        <v>0</v>
      </c>
      <c r="P671" s="10">
        <v>1</v>
      </c>
      <c r="Q671" s="10">
        <v>0</v>
      </c>
      <c r="R671" s="10">
        <v>3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42</v>
      </c>
      <c r="Y671" s="10">
        <v>0</v>
      </c>
      <c r="Z671" s="10">
        <v>0</v>
      </c>
      <c r="AA671" s="10">
        <v>0</v>
      </c>
      <c r="AB671" s="10">
        <v>1</v>
      </c>
      <c r="AC671" s="10">
        <v>0</v>
      </c>
      <c r="AD671" s="10">
        <v>0</v>
      </c>
      <c r="AE671" s="10">
        <v>0</v>
      </c>
      <c r="AF671" s="10">
        <v>0</v>
      </c>
      <c r="AG671" s="10">
        <v>1</v>
      </c>
      <c r="AH671" s="10">
        <v>1</v>
      </c>
      <c r="AI671" s="10">
        <v>2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5</v>
      </c>
      <c r="AR671" s="10">
        <v>9</v>
      </c>
      <c r="AS671" s="10">
        <v>0</v>
      </c>
      <c r="AT671" s="10">
        <v>0</v>
      </c>
      <c r="AU671" s="10">
        <v>1</v>
      </c>
      <c r="AV671" s="10">
        <v>0</v>
      </c>
      <c r="AW671" s="10">
        <v>0</v>
      </c>
      <c r="AX671" s="10">
        <v>1</v>
      </c>
      <c r="AY671" s="10">
        <v>52</v>
      </c>
    </row>
    <row r="672" spans="1:51" ht="16.5" customHeight="1" x14ac:dyDescent="0.25">
      <c r="A672" s="10">
        <v>3</v>
      </c>
      <c r="B672" s="11" t="s">
        <v>669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0">
        <v>0</v>
      </c>
      <c r="AW672" s="10">
        <v>0</v>
      </c>
      <c r="AX672" s="10">
        <v>0</v>
      </c>
      <c r="AY672" s="10">
        <v>0</v>
      </c>
    </row>
    <row r="673" spans="1:51" ht="16.5" customHeight="1" x14ac:dyDescent="0.25">
      <c r="A673" s="10">
        <v>4</v>
      </c>
      <c r="B673" s="11" t="s">
        <v>670</v>
      </c>
      <c r="C673" s="10">
        <v>0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3</v>
      </c>
      <c r="AC673" s="10">
        <v>0</v>
      </c>
      <c r="AD673" s="10">
        <v>1</v>
      </c>
      <c r="AE673" s="10">
        <v>2</v>
      </c>
      <c r="AF673" s="10">
        <v>0</v>
      </c>
      <c r="AG673" s="10">
        <v>0</v>
      </c>
      <c r="AH673" s="10">
        <v>13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2</v>
      </c>
      <c r="AR673" s="10">
        <v>18</v>
      </c>
      <c r="AS673" s="10">
        <v>0</v>
      </c>
      <c r="AT673" s="10">
        <v>0</v>
      </c>
      <c r="AU673" s="10">
        <v>0</v>
      </c>
      <c r="AV673" s="10">
        <v>0</v>
      </c>
      <c r="AW673" s="10">
        <v>1</v>
      </c>
      <c r="AX673" s="10">
        <v>1</v>
      </c>
      <c r="AY673" s="10">
        <v>19</v>
      </c>
    </row>
    <row r="674" spans="1:51" ht="16.5" customHeight="1" x14ac:dyDescent="0.25">
      <c r="A674" s="10">
        <v>5</v>
      </c>
      <c r="B674" s="11" t="s">
        <v>671</v>
      </c>
      <c r="C674" s="10">
        <v>0</v>
      </c>
      <c r="D674" s="10">
        <v>1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1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1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0">
        <v>0</v>
      </c>
      <c r="AT674" s="10">
        <v>0</v>
      </c>
      <c r="AU674" s="10">
        <v>0</v>
      </c>
      <c r="AV674" s="10">
        <v>0</v>
      </c>
      <c r="AW674" s="10">
        <v>0</v>
      </c>
      <c r="AX674" s="10">
        <v>0</v>
      </c>
      <c r="AY674" s="10">
        <v>1</v>
      </c>
    </row>
    <row r="675" spans="1:51" ht="16.5" customHeight="1" x14ac:dyDescent="0.25">
      <c r="A675" s="10">
        <v>6</v>
      </c>
      <c r="B675" s="11" t="s">
        <v>672</v>
      </c>
      <c r="C675" s="10">
        <v>1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2</v>
      </c>
      <c r="X675" s="10">
        <v>3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0">
        <v>0</v>
      </c>
      <c r="AW675" s="10">
        <v>0</v>
      </c>
      <c r="AX675" s="10">
        <v>0</v>
      </c>
      <c r="AY675" s="10">
        <v>3</v>
      </c>
    </row>
    <row r="676" spans="1:51" ht="16.5" customHeight="1" x14ac:dyDescent="0.25">
      <c r="A676" s="10">
        <v>7</v>
      </c>
      <c r="B676" s="11" t="s">
        <v>673</v>
      </c>
      <c r="C676" s="10">
        <v>0</v>
      </c>
      <c r="D676" s="10">
        <v>1</v>
      </c>
      <c r="E676" s="10">
        <v>0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1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1</v>
      </c>
      <c r="Y676" s="10">
        <v>0</v>
      </c>
      <c r="Z676" s="10">
        <v>0</v>
      </c>
      <c r="AA676" s="10">
        <v>1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1</v>
      </c>
      <c r="AP676" s="10">
        <v>0</v>
      </c>
      <c r="AQ676" s="10">
        <v>0</v>
      </c>
      <c r="AR676" s="10">
        <v>2</v>
      </c>
      <c r="AS676" s="10">
        <v>0</v>
      </c>
      <c r="AT676" s="10">
        <v>0</v>
      </c>
      <c r="AU676" s="10">
        <v>0</v>
      </c>
      <c r="AV676" s="10">
        <v>0</v>
      </c>
      <c r="AW676" s="10">
        <v>0</v>
      </c>
      <c r="AX676" s="10">
        <v>0</v>
      </c>
      <c r="AY676" s="10">
        <v>3</v>
      </c>
    </row>
    <row r="677" spans="1:51" ht="16.5" customHeight="1" x14ac:dyDescent="0.25">
      <c r="A677" s="10">
        <v>8</v>
      </c>
      <c r="B677" s="11" t="s">
        <v>674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0">
        <v>0</v>
      </c>
      <c r="AW677" s="10">
        <v>0</v>
      </c>
      <c r="AX677" s="10">
        <v>0</v>
      </c>
      <c r="AY677" s="10">
        <v>0</v>
      </c>
    </row>
    <row r="678" spans="1:51" ht="16.5" customHeight="1" x14ac:dyDescent="0.25">
      <c r="A678" s="10">
        <v>9</v>
      </c>
      <c r="B678" s="11" t="s">
        <v>675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0</v>
      </c>
      <c r="AS678" s="10">
        <v>0</v>
      </c>
      <c r="AT678" s="10">
        <v>0</v>
      </c>
      <c r="AU678" s="10">
        <v>0</v>
      </c>
      <c r="AV678" s="10">
        <v>0</v>
      </c>
      <c r="AW678" s="10">
        <v>0</v>
      </c>
      <c r="AX678" s="10">
        <v>0</v>
      </c>
      <c r="AY678" s="10">
        <v>0</v>
      </c>
    </row>
    <row r="679" spans="1:51" ht="16.5" customHeight="1" x14ac:dyDescent="0.25">
      <c r="A679" s="10">
        <v>10</v>
      </c>
      <c r="B679" s="11" t="s">
        <v>676</v>
      </c>
      <c r="C679" s="10">
        <v>0</v>
      </c>
      <c r="D679" s="10">
        <v>4</v>
      </c>
      <c r="E679" s="10">
        <v>4</v>
      </c>
      <c r="F679" s="10">
        <v>0</v>
      </c>
      <c r="G679" s="10">
        <v>4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4</v>
      </c>
      <c r="N679" s="10">
        <v>0</v>
      </c>
      <c r="O679" s="10">
        <v>4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8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0">
        <v>0</v>
      </c>
      <c r="AW679" s="10">
        <v>0</v>
      </c>
      <c r="AX679" s="10">
        <v>0</v>
      </c>
      <c r="AY679" s="10">
        <v>8</v>
      </c>
    </row>
    <row r="680" spans="1:51" ht="16.5" customHeight="1" x14ac:dyDescent="0.25">
      <c r="A680" s="10">
        <v>11</v>
      </c>
      <c r="B680" s="11" t="s">
        <v>677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1</v>
      </c>
      <c r="X680" s="10">
        <v>1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0">
        <v>0</v>
      </c>
      <c r="AW680" s="10">
        <v>0</v>
      </c>
      <c r="AX680" s="10">
        <v>0</v>
      </c>
      <c r="AY680" s="10">
        <v>1</v>
      </c>
    </row>
    <row r="681" spans="1:51" ht="16.5" customHeight="1" x14ac:dyDescent="0.25">
      <c r="A681" s="10">
        <v>12</v>
      </c>
      <c r="B681" s="11" t="s">
        <v>678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1</v>
      </c>
      <c r="X681" s="10">
        <v>1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0">
        <v>0</v>
      </c>
      <c r="AW681" s="10">
        <v>0</v>
      </c>
      <c r="AX681" s="10">
        <v>0</v>
      </c>
      <c r="AY681" s="10">
        <v>1</v>
      </c>
    </row>
    <row r="682" spans="1:51" ht="16.5" customHeight="1" x14ac:dyDescent="0.25">
      <c r="A682" s="10">
        <v>13</v>
      </c>
      <c r="B682" s="11" t="s">
        <v>679</v>
      </c>
      <c r="C682" s="10">
        <v>0</v>
      </c>
      <c r="D682" s="10">
        <v>2</v>
      </c>
      <c r="E682" s="10">
        <v>1</v>
      </c>
      <c r="F682" s="10">
        <v>0</v>
      </c>
      <c r="G682" s="10">
        <v>1</v>
      </c>
      <c r="H682" s="10">
        <v>0</v>
      </c>
      <c r="I682" s="10">
        <v>1</v>
      </c>
      <c r="J682" s="10">
        <v>0</v>
      </c>
      <c r="K682" s="10">
        <v>0</v>
      </c>
      <c r="L682" s="10">
        <v>1</v>
      </c>
      <c r="M682" s="10">
        <v>6</v>
      </c>
      <c r="N682" s="10">
        <v>0</v>
      </c>
      <c r="O682" s="10">
        <v>0</v>
      </c>
      <c r="P682" s="10">
        <v>0</v>
      </c>
      <c r="Q682" s="10">
        <v>0</v>
      </c>
      <c r="R682" s="10">
        <v>6</v>
      </c>
      <c r="S682" s="10">
        <v>0</v>
      </c>
      <c r="T682" s="10">
        <v>0</v>
      </c>
      <c r="U682" s="10">
        <v>0</v>
      </c>
      <c r="V682" s="10">
        <v>0</v>
      </c>
      <c r="W682" s="10">
        <v>3</v>
      </c>
      <c r="X682" s="10">
        <v>12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0">
        <v>0</v>
      </c>
      <c r="AW682" s="10">
        <v>0</v>
      </c>
      <c r="AX682" s="10">
        <v>0</v>
      </c>
      <c r="AY682" s="10">
        <v>12</v>
      </c>
    </row>
    <row r="683" spans="1:51" ht="16.5" customHeight="1" x14ac:dyDescent="0.25">
      <c r="A683" s="10">
        <v>14</v>
      </c>
      <c r="B683" s="11" t="s">
        <v>680</v>
      </c>
      <c r="C683" s="10">
        <v>0</v>
      </c>
      <c r="D683" s="10">
        <v>0</v>
      </c>
      <c r="E683" s="10">
        <v>0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3</v>
      </c>
      <c r="N683" s="10">
        <v>3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3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0">
        <v>0</v>
      </c>
      <c r="AW683" s="10">
        <v>0</v>
      </c>
      <c r="AX683" s="10">
        <v>0</v>
      </c>
      <c r="AY683" s="10">
        <v>3</v>
      </c>
    </row>
    <row r="684" spans="1:51" ht="16.5" customHeight="1" x14ac:dyDescent="0.25">
      <c r="A684" s="10">
        <v>15</v>
      </c>
      <c r="B684" s="11" t="s">
        <v>681</v>
      </c>
      <c r="C684" s="10">
        <v>0</v>
      </c>
      <c r="D684" s="10">
        <v>0</v>
      </c>
      <c r="E684" s="10">
        <v>0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0">
        <v>0</v>
      </c>
      <c r="AW684" s="10">
        <v>0</v>
      </c>
      <c r="AX684" s="10">
        <v>0</v>
      </c>
      <c r="AY684" s="10">
        <v>0</v>
      </c>
    </row>
    <row r="685" spans="1:51" ht="16.5" customHeight="1" x14ac:dyDescent="0.25">
      <c r="A685" s="10">
        <v>16</v>
      </c>
      <c r="B685" s="11" t="s">
        <v>682</v>
      </c>
      <c r="C685" s="10">
        <v>0</v>
      </c>
      <c r="D685" s="10">
        <v>1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1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1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0">
        <v>0</v>
      </c>
      <c r="AW685" s="10">
        <v>0</v>
      </c>
      <c r="AX685" s="10">
        <v>0</v>
      </c>
      <c r="AY685" s="10">
        <v>1</v>
      </c>
    </row>
    <row r="686" spans="1:51" ht="16.5" customHeight="1" x14ac:dyDescent="0.25">
      <c r="A686" s="10">
        <v>17</v>
      </c>
      <c r="B686" s="11" t="s">
        <v>683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0">
        <v>0</v>
      </c>
      <c r="AW686" s="10">
        <v>0</v>
      </c>
      <c r="AX686" s="10">
        <v>0</v>
      </c>
      <c r="AY686" s="10">
        <v>0</v>
      </c>
    </row>
    <row r="687" spans="1:51" ht="16.5" customHeight="1" x14ac:dyDescent="0.25">
      <c r="A687" s="10">
        <v>18</v>
      </c>
      <c r="B687" s="11" t="s">
        <v>684</v>
      </c>
      <c r="C687" s="10">
        <v>0</v>
      </c>
      <c r="D687" s="10">
        <v>1</v>
      </c>
      <c r="E687" s="10">
        <v>0</v>
      </c>
      <c r="F687" s="10">
        <v>0</v>
      </c>
      <c r="G687" s="10">
        <v>0</v>
      </c>
      <c r="H687" s="10">
        <v>0</v>
      </c>
      <c r="I687" s="10">
        <v>1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1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0">
        <v>0</v>
      </c>
      <c r="AT687" s="10">
        <v>0</v>
      </c>
      <c r="AU687" s="10">
        <v>0</v>
      </c>
      <c r="AV687" s="10">
        <v>0</v>
      </c>
      <c r="AW687" s="10">
        <v>0</v>
      </c>
      <c r="AX687" s="10">
        <v>0</v>
      </c>
      <c r="AY687" s="10">
        <v>1</v>
      </c>
    </row>
    <row r="688" spans="1:51" ht="16.5" customHeight="1" x14ac:dyDescent="0.25">
      <c r="A688" s="10">
        <v>19</v>
      </c>
      <c r="B688" s="11" t="s">
        <v>685</v>
      </c>
      <c r="C688" s="10">
        <v>0</v>
      </c>
      <c r="D688" s="10">
        <v>0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3</v>
      </c>
      <c r="N688" s="10">
        <v>0</v>
      </c>
      <c r="O688" s="10">
        <v>3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3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0">
        <v>0</v>
      </c>
      <c r="AN688" s="10">
        <v>0</v>
      </c>
      <c r="AO688" s="10">
        <v>0</v>
      </c>
      <c r="AP688" s="10">
        <v>0</v>
      </c>
      <c r="AQ688" s="10">
        <v>0</v>
      </c>
      <c r="AR688" s="10">
        <v>0</v>
      </c>
      <c r="AS688" s="10">
        <v>0</v>
      </c>
      <c r="AT688" s="10">
        <v>0</v>
      </c>
      <c r="AU688" s="10">
        <v>0</v>
      </c>
      <c r="AV688" s="10">
        <v>0</v>
      </c>
      <c r="AW688" s="10">
        <v>0</v>
      </c>
      <c r="AX688" s="10">
        <v>0</v>
      </c>
      <c r="AY688" s="10">
        <v>3</v>
      </c>
    </row>
    <row r="689" spans="1:51" ht="16.5" customHeight="1" x14ac:dyDescent="0.25">
      <c r="A689" s="10">
        <v>20</v>
      </c>
      <c r="B689" s="11" t="s">
        <v>686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4</v>
      </c>
      <c r="N689" s="10">
        <v>4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4</v>
      </c>
      <c r="Y689" s="10">
        <v>0</v>
      </c>
      <c r="Z689" s="10">
        <v>1</v>
      </c>
      <c r="AA689" s="10">
        <v>0</v>
      </c>
      <c r="AB689" s="10">
        <v>2</v>
      </c>
      <c r="AC689" s="10">
        <v>0</v>
      </c>
      <c r="AD689" s="10">
        <v>0</v>
      </c>
      <c r="AE689" s="10">
        <v>2</v>
      </c>
      <c r="AF689" s="10">
        <v>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0</v>
      </c>
      <c r="AP689" s="10">
        <v>1</v>
      </c>
      <c r="AQ689" s="10">
        <v>1</v>
      </c>
      <c r="AR689" s="10">
        <v>5</v>
      </c>
      <c r="AS689" s="10">
        <v>0</v>
      </c>
      <c r="AT689" s="10">
        <v>0</v>
      </c>
      <c r="AU689" s="10">
        <v>0</v>
      </c>
      <c r="AV689" s="10">
        <v>0</v>
      </c>
      <c r="AW689" s="10">
        <v>0</v>
      </c>
      <c r="AX689" s="10">
        <v>0</v>
      </c>
      <c r="AY689" s="10">
        <v>9</v>
      </c>
    </row>
    <row r="690" spans="1:51" ht="16.5" customHeight="1" x14ac:dyDescent="0.25">
      <c r="A690" s="10">
        <v>21</v>
      </c>
      <c r="B690" s="11" t="s">
        <v>687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</v>
      </c>
      <c r="AN690" s="10">
        <v>0</v>
      </c>
      <c r="AO690" s="10">
        <v>0</v>
      </c>
      <c r="AP690" s="10">
        <v>0</v>
      </c>
      <c r="AQ690" s="10">
        <v>0</v>
      </c>
      <c r="AR690" s="10">
        <v>0</v>
      </c>
      <c r="AS690" s="10">
        <v>0</v>
      </c>
      <c r="AT690" s="10">
        <v>0</v>
      </c>
      <c r="AU690" s="10">
        <v>0</v>
      </c>
      <c r="AV690" s="10">
        <v>0</v>
      </c>
      <c r="AW690" s="10">
        <v>0</v>
      </c>
      <c r="AX690" s="10">
        <v>0</v>
      </c>
      <c r="AY690" s="10">
        <v>0</v>
      </c>
    </row>
    <row r="691" spans="1:51" ht="16.5" customHeight="1" x14ac:dyDescent="0.25">
      <c r="A691" s="10">
        <v>22</v>
      </c>
      <c r="B691" s="11" t="s">
        <v>688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0">
        <v>0</v>
      </c>
      <c r="AT691" s="10">
        <v>0</v>
      </c>
      <c r="AU691" s="10">
        <v>0</v>
      </c>
      <c r="AV691" s="10">
        <v>0</v>
      </c>
      <c r="AW691" s="10">
        <v>0</v>
      </c>
      <c r="AX691" s="10">
        <v>0</v>
      </c>
      <c r="AY691" s="10">
        <v>0</v>
      </c>
    </row>
    <row r="692" spans="1:51" ht="16.5" customHeight="1" x14ac:dyDescent="0.25">
      <c r="A692" s="10">
        <v>23</v>
      </c>
      <c r="B692" s="11" t="s">
        <v>689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4</v>
      </c>
      <c r="N692" s="10">
        <v>0</v>
      </c>
      <c r="O692" s="10">
        <v>0</v>
      </c>
      <c r="P692" s="10">
        <v>0</v>
      </c>
      <c r="Q692" s="10">
        <v>0</v>
      </c>
      <c r="R692" s="10">
        <v>4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4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0</v>
      </c>
      <c r="AN692" s="10">
        <v>0</v>
      </c>
      <c r="AO692" s="10">
        <v>0</v>
      </c>
      <c r="AP692" s="10">
        <v>0</v>
      </c>
      <c r="AQ692" s="10">
        <v>0</v>
      </c>
      <c r="AR692" s="10">
        <v>0</v>
      </c>
      <c r="AS692" s="10">
        <v>0</v>
      </c>
      <c r="AT692" s="10">
        <v>0</v>
      </c>
      <c r="AU692" s="10">
        <v>0</v>
      </c>
      <c r="AV692" s="10">
        <v>0</v>
      </c>
      <c r="AW692" s="10">
        <v>0</v>
      </c>
      <c r="AX692" s="10">
        <v>0</v>
      </c>
      <c r="AY692" s="10">
        <v>4</v>
      </c>
    </row>
    <row r="693" spans="1:51" ht="16.5" customHeight="1" x14ac:dyDescent="0.25">
      <c r="A693" s="10">
        <v>24</v>
      </c>
      <c r="B693" s="11" t="s">
        <v>690</v>
      </c>
      <c r="C693" s="10">
        <v>0</v>
      </c>
      <c r="D693" s="10">
        <v>1</v>
      </c>
      <c r="E693" s="10">
        <v>0</v>
      </c>
      <c r="F693" s="10">
        <v>0</v>
      </c>
      <c r="G693" s="10">
        <v>0</v>
      </c>
      <c r="H693" s="10">
        <v>0</v>
      </c>
      <c r="I693" s="10">
        <v>1</v>
      </c>
      <c r="J693" s="10">
        <v>0</v>
      </c>
      <c r="K693" s="10">
        <v>0</v>
      </c>
      <c r="L693" s="10">
        <v>0</v>
      </c>
      <c r="M693" s="10">
        <v>2</v>
      </c>
      <c r="N693" s="10">
        <v>0</v>
      </c>
      <c r="O693" s="10">
        <v>0</v>
      </c>
      <c r="P693" s="10">
        <v>0</v>
      </c>
      <c r="Q693" s="10">
        <v>0</v>
      </c>
      <c r="R693" s="10">
        <v>2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3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0">
        <v>0</v>
      </c>
      <c r="AT693" s="10">
        <v>0</v>
      </c>
      <c r="AU693" s="10">
        <v>0</v>
      </c>
      <c r="AV693" s="10">
        <v>0</v>
      </c>
      <c r="AW693" s="10">
        <v>0</v>
      </c>
      <c r="AX693" s="10">
        <v>0</v>
      </c>
      <c r="AY693" s="10">
        <v>3</v>
      </c>
    </row>
    <row r="694" spans="1:51" ht="16.5" customHeight="1" x14ac:dyDescent="0.25">
      <c r="A694" s="10">
        <v>25</v>
      </c>
      <c r="B694" s="11" t="s">
        <v>691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2</v>
      </c>
      <c r="N694" s="10">
        <v>0</v>
      </c>
      <c r="O694" s="10">
        <v>2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1</v>
      </c>
      <c r="X694" s="10">
        <v>3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0</v>
      </c>
      <c r="AQ694" s="10">
        <v>0</v>
      </c>
      <c r="AR694" s="10">
        <v>0</v>
      </c>
      <c r="AS694" s="10">
        <v>0</v>
      </c>
      <c r="AT694" s="10">
        <v>0</v>
      </c>
      <c r="AU694" s="10">
        <v>0</v>
      </c>
      <c r="AV694" s="10">
        <v>0</v>
      </c>
      <c r="AW694" s="10">
        <v>0</v>
      </c>
      <c r="AX694" s="10">
        <v>0</v>
      </c>
      <c r="AY694" s="10">
        <v>3</v>
      </c>
    </row>
    <row r="695" spans="1:51" ht="16.5" customHeight="1" x14ac:dyDescent="0.25">
      <c r="A695" s="10">
        <v>26</v>
      </c>
      <c r="B695" s="11" t="s">
        <v>692</v>
      </c>
      <c r="C695" s="10">
        <v>0</v>
      </c>
      <c r="D695" s="10">
        <v>1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1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1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0">
        <v>0</v>
      </c>
      <c r="AT695" s="10">
        <v>0</v>
      </c>
      <c r="AU695" s="10">
        <v>0</v>
      </c>
      <c r="AV695" s="10">
        <v>0</v>
      </c>
      <c r="AW695" s="10">
        <v>0</v>
      </c>
      <c r="AX695" s="10">
        <v>0</v>
      </c>
      <c r="AY695" s="10">
        <v>1</v>
      </c>
    </row>
    <row r="696" spans="1:51" ht="16.5" customHeight="1" x14ac:dyDescent="0.25">
      <c r="A696" s="10">
        <v>27</v>
      </c>
      <c r="B696" s="11" t="s">
        <v>693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0">
        <v>0</v>
      </c>
      <c r="AT696" s="10">
        <v>0</v>
      </c>
      <c r="AU696" s="10">
        <v>0</v>
      </c>
      <c r="AV696" s="10">
        <v>0</v>
      </c>
      <c r="AW696" s="10">
        <v>0</v>
      </c>
      <c r="AX696" s="10">
        <v>0</v>
      </c>
      <c r="AY696" s="10">
        <v>0</v>
      </c>
    </row>
    <row r="697" spans="1:51" ht="16.5" customHeight="1" x14ac:dyDescent="0.25">
      <c r="A697" s="10">
        <v>28</v>
      </c>
      <c r="B697" s="11" t="s">
        <v>694</v>
      </c>
      <c r="C697" s="10">
        <v>0</v>
      </c>
      <c r="D697" s="10">
        <v>4</v>
      </c>
      <c r="E697" s="10">
        <v>1</v>
      </c>
      <c r="F697" s="10">
        <v>0</v>
      </c>
      <c r="G697" s="10">
        <v>1</v>
      </c>
      <c r="H697" s="10">
        <v>0</v>
      </c>
      <c r="I697" s="10">
        <v>0</v>
      </c>
      <c r="J697" s="10">
        <v>2</v>
      </c>
      <c r="K697" s="10">
        <v>1</v>
      </c>
      <c r="L697" s="10">
        <v>0</v>
      </c>
      <c r="M697" s="10">
        <v>5</v>
      </c>
      <c r="N697" s="10">
        <v>4</v>
      </c>
      <c r="O697" s="10">
        <v>1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1</v>
      </c>
      <c r="X697" s="10">
        <v>10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0">
        <v>0</v>
      </c>
      <c r="AW697" s="10">
        <v>0</v>
      </c>
      <c r="AX697" s="10">
        <v>0</v>
      </c>
      <c r="AY697" s="10">
        <v>10</v>
      </c>
    </row>
    <row r="698" spans="1:51" ht="16.5" customHeight="1" x14ac:dyDescent="0.25">
      <c r="A698" s="10">
        <v>29</v>
      </c>
      <c r="B698" s="11" t="s">
        <v>695</v>
      </c>
      <c r="C698" s="10">
        <v>0</v>
      </c>
      <c r="D698" s="10">
        <v>1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1</v>
      </c>
      <c r="K698" s="10">
        <v>0</v>
      </c>
      <c r="L698" s="10">
        <v>0</v>
      </c>
      <c r="M698" s="10">
        <v>1</v>
      </c>
      <c r="N698" s="10">
        <v>0</v>
      </c>
      <c r="O698" s="10">
        <v>0</v>
      </c>
      <c r="P698" s="10">
        <v>0</v>
      </c>
      <c r="Q698" s="10">
        <v>0</v>
      </c>
      <c r="R698" s="10">
        <v>1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2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0</v>
      </c>
      <c r="AP698" s="10">
        <v>0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0">
        <v>0</v>
      </c>
      <c r="AW698" s="10">
        <v>0</v>
      </c>
      <c r="AX698" s="10">
        <v>0</v>
      </c>
      <c r="AY698" s="10">
        <v>2</v>
      </c>
    </row>
    <row r="699" spans="1:51" ht="16.5" customHeight="1" x14ac:dyDescent="0.25">
      <c r="A699" s="10">
        <v>30</v>
      </c>
      <c r="B699" s="11" t="s">
        <v>696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2</v>
      </c>
      <c r="X699" s="10">
        <v>2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0">
        <v>0</v>
      </c>
      <c r="AW699" s="10">
        <v>0</v>
      </c>
      <c r="AX699" s="10">
        <v>0</v>
      </c>
      <c r="AY699" s="10">
        <v>2</v>
      </c>
    </row>
    <row r="700" spans="1:51" ht="16.5" customHeight="1" x14ac:dyDescent="0.25">
      <c r="A700" s="10">
        <v>31</v>
      </c>
      <c r="B700" s="11" t="s">
        <v>697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0</v>
      </c>
      <c r="AV700" s="10">
        <v>0</v>
      </c>
      <c r="AW700" s="10">
        <v>0</v>
      </c>
      <c r="AX700" s="10">
        <v>0</v>
      </c>
      <c r="AY700" s="10">
        <v>0</v>
      </c>
    </row>
    <row r="701" spans="1:51" ht="16.5" customHeight="1" x14ac:dyDescent="0.25">
      <c r="A701" s="10">
        <v>32</v>
      </c>
      <c r="B701" s="11" t="s">
        <v>698</v>
      </c>
      <c r="C701" s="10">
        <v>0</v>
      </c>
      <c r="D701" s="10">
        <v>3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2</v>
      </c>
      <c r="K701" s="10">
        <v>1</v>
      </c>
      <c r="L701" s="10">
        <v>0</v>
      </c>
      <c r="M701" s="10">
        <v>1</v>
      </c>
      <c r="N701" s="10">
        <v>0</v>
      </c>
      <c r="O701" s="10">
        <v>0</v>
      </c>
      <c r="P701" s="10">
        <v>0</v>
      </c>
      <c r="Q701" s="10">
        <v>0</v>
      </c>
      <c r="R701" s="10">
        <v>1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4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0">
        <v>0</v>
      </c>
      <c r="AT701" s="10">
        <v>0</v>
      </c>
      <c r="AU701" s="10">
        <v>0</v>
      </c>
      <c r="AV701" s="10">
        <v>0</v>
      </c>
      <c r="AW701" s="10">
        <v>0</v>
      </c>
      <c r="AX701" s="10">
        <v>0</v>
      </c>
      <c r="AY701" s="10">
        <v>4</v>
      </c>
    </row>
    <row r="702" spans="1:51" ht="16.5" customHeight="1" x14ac:dyDescent="0.25">
      <c r="A702" s="10">
        <v>33</v>
      </c>
      <c r="B702" s="11" t="s">
        <v>699</v>
      </c>
      <c r="C702" s="10">
        <v>0</v>
      </c>
      <c r="D702" s="10">
        <v>2</v>
      </c>
      <c r="E702" s="10">
        <v>2</v>
      </c>
      <c r="F702" s="10">
        <v>0</v>
      </c>
      <c r="G702" s="10">
        <v>2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13</v>
      </c>
      <c r="N702" s="10">
        <v>8</v>
      </c>
      <c r="O702" s="10">
        <v>5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15</v>
      </c>
      <c r="Y702" s="10">
        <v>0</v>
      </c>
      <c r="Z702" s="10">
        <v>0</v>
      </c>
      <c r="AA702" s="10">
        <v>0</v>
      </c>
      <c r="AB702" s="10">
        <v>8</v>
      </c>
      <c r="AC702" s="10">
        <v>0</v>
      </c>
      <c r="AD702" s="10">
        <v>1</v>
      </c>
      <c r="AE702" s="10">
        <v>0</v>
      </c>
      <c r="AF702" s="10">
        <v>7</v>
      </c>
      <c r="AG702" s="10">
        <v>0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8</v>
      </c>
      <c r="AS702" s="10">
        <v>0</v>
      </c>
      <c r="AT702" s="10">
        <v>0</v>
      </c>
      <c r="AU702" s="10">
        <v>0</v>
      </c>
      <c r="AV702" s="10">
        <v>0</v>
      </c>
      <c r="AW702" s="10">
        <v>0</v>
      </c>
      <c r="AX702" s="10">
        <v>0</v>
      </c>
      <c r="AY702" s="10">
        <v>23</v>
      </c>
    </row>
    <row r="703" spans="1:51" ht="16.5" customHeight="1" x14ac:dyDescent="0.25">
      <c r="A703" s="10">
        <v>34</v>
      </c>
      <c r="B703" s="11" t="s">
        <v>700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0">
        <v>0</v>
      </c>
      <c r="AT703" s="10">
        <v>0</v>
      </c>
      <c r="AU703" s="10">
        <v>0</v>
      </c>
      <c r="AV703" s="10">
        <v>0</v>
      </c>
      <c r="AW703" s="10">
        <v>0</v>
      </c>
      <c r="AX703" s="10">
        <v>0</v>
      </c>
      <c r="AY703" s="10">
        <v>0</v>
      </c>
    </row>
    <row r="704" spans="1:51" ht="16.5" customHeight="1" x14ac:dyDescent="0.25">
      <c r="A704" s="10">
        <v>35</v>
      </c>
      <c r="B704" s="11" t="s">
        <v>701</v>
      </c>
      <c r="C704" s="10">
        <v>0</v>
      </c>
      <c r="D704" s="10">
        <v>2</v>
      </c>
      <c r="E704" s="10">
        <v>2</v>
      </c>
      <c r="F704" s="10">
        <v>0</v>
      </c>
      <c r="G704" s="10">
        <v>2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1</v>
      </c>
      <c r="N704" s="10">
        <v>0</v>
      </c>
      <c r="O704" s="10">
        <v>0</v>
      </c>
      <c r="P704" s="10">
        <v>1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3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0">
        <v>0</v>
      </c>
      <c r="AW704" s="10">
        <v>0</v>
      </c>
      <c r="AX704" s="10">
        <v>0</v>
      </c>
      <c r="AY704" s="10">
        <v>3</v>
      </c>
    </row>
    <row r="705" spans="1:51" ht="16.5" customHeight="1" x14ac:dyDescent="0.25">
      <c r="A705" s="10">
        <v>36</v>
      </c>
      <c r="B705" s="11" t="s">
        <v>702</v>
      </c>
      <c r="C705" s="10">
        <v>0</v>
      </c>
      <c r="D705" s="10">
        <v>2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1</v>
      </c>
      <c r="K705" s="10">
        <v>1</v>
      </c>
      <c r="L705" s="10">
        <v>0</v>
      </c>
      <c r="M705" s="10">
        <v>1</v>
      </c>
      <c r="N705" s="10">
        <v>0</v>
      </c>
      <c r="O705" s="10">
        <v>1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3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1</v>
      </c>
      <c r="AQ705" s="10">
        <v>0</v>
      </c>
      <c r="AR705" s="10">
        <v>1</v>
      </c>
      <c r="AS705" s="10">
        <v>0</v>
      </c>
      <c r="AT705" s="10">
        <v>0</v>
      </c>
      <c r="AU705" s="10">
        <v>0</v>
      </c>
      <c r="AV705" s="10">
        <v>0</v>
      </c>
      <c r="AW705" s="10">
        <v>0</v>
      </c>
      <c r="AX705" s="10">
        <v>0</v>
      </c>
      <c r="AY705" s="10">
        <v>4</v>
      </c>
    </row>
    <row r="706" spans="1:51" ht="16.5" customHeight="1" x14ac:dyDescent="0.25">
      <c r="A706" s="10">
        <v>37</v>
      </c>
      <c r="B706" s="11" t="s">
        <v>703</v>
      </c>
      <c r="C706" s="10">
        <v>0</v>
      </c>
      <c r="D706" s="10">
        <v>34</v>
      </c>
      <c r="E706" s="10">
        <v>0</v>
      </c>
      <c r="F706" s="10">
        <v>0</v>
      </c>
      <c r="G706" s="10">
        <v>0</v>
      </c>
      <c r="H706" s="10">
        <v>0</v>
      </c>
      <c r="I706" s="10">
        <v>15</v>
      </c>
      <c r="J706" s="10">
        <v>19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34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0">
        <v>0</v>
      </c>
      <c r="AW706" s="10">
        <v>0</v>
      </c>
      <c r="AX706" s="10">
        <v>0</v>
      </c>
      <c r="AY706" s="10">
        <v>34</v>
      </c>
    </row>
    <row r="707" spans="1:51" ht="16.5" customHeight="1" x14ac:dyDescent="0.25">
      <c r="A707" s="10">
        <v>38</v>
      </c>
      <c r="B707" s="11" t="s">
        <v>704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0">
        <v>0</v>
      </c>
      <c r="AT707" s="10">
        <v>0</v>
      </c>
      <c r="AU707" s="10">
        <v>0</v>
      </c>
      <c r="AV707" s="10">
        <v>0</v>
      </c>
      <c r="AW707" s="10">
        <v>0</v>
      </c>
      <c r="AX707" s="10">
        <v>0</v>
      </c>
      <c r="AY707" s="10">
        <v>0</v>
      </c>
    </row>
    <row r="708" spans="1:51" ht="16.5" customHeight="1" x14ac:dyDescent="0.25">
      <c r="A708" s="10">
        <v>39</v>
      </c>
      <c r="B708" s="11" t="s">
        <v>705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4</v>
      </c>
      <c r="N708" s="10">
        <v>0</v>
      </c>
      <c r="O708" s="10">
        <v>0</v>
      </c>
      <c r="P708" s="10">
        <v>0</v>
      </c>
      <c r="Q708" s="10">
        <v>0</v>
      </c>
      <c r="R708" s="10">
        <v>4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4</v>
      </c>
      <c r="Y708" s="10">
        <v>0</v>
      </c>
      <c r="Z708" s="10">
        <v>0</v>
      </c>
      <c r="AA708" s="10">
        <v>0</v>
      </c>
      <c r="AB708" s="10">
        <v>5</v>
      </c>
      <c r="AC708" s="10">
        <v>0</v>
      </c>
      <c r="AD708" s="10">
        <v>0</v>
      </c>
      <c r="AE708" s="10">
        <v>5</v>
      </c>
      <c r="AF708" s="10">
        <v>0</v>
      </c>
      <c r="AG708" s="10">
        <v>0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1</v>
      </c>
      <c r="AQ708" s="10">
        <v>0</v>
      </c>
      <c r="AR708" s="10">
        <v>6</v>
      </c>
      <c r="AS708" s="10">
        <v>0</v>
      </c>
      <c r="AT708" s="10">
        <v>0</v>
      </c>
      <c r="AU708" s="10">
        <v>0</v>
      </c>
      <c r="AV708" s="10">
        <v>0</v>
      </c>
      <c r="AW708" s="10">
        <v>0</v>
      </c>
      <c r="AX708" s="10">
        <v>0</v>
      </c>
      <c r="AY708" s="10">
        <v>10</v>
      </c>
    </row>
    <row r="709" spans="1:51" ht="16.5" customHeight="1" x14ac:dyDescent="0.25">
      <c r="A709" s="10">
        <v>40</v>
      </c>
      <c r="B709" s="11" t="s">
        <v>706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1</v>
      </c>
      <c r="N709" s="10">
        <v>0</v>
      </c>
      <c r="O709" s="10">
        <v>0</v>
      </c>
      <c r="P709" s="10">
        <v>0</v>
      </c>
      <c r="Q709" s="10">
        <v>0</v>
      </c>
      <c r="R709" s="10">
        <v>1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1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0">
        <v>0</v>
      </c>
      <c r="AW709" s="10">
        <v>0</v>
      </c>
      <c r="AX709" s="10">
        <v>0</v>
      </c>
      <c r="AY709" s="10">
        <v>1</v>
      </c>
    </row>
    <row r="710" spans="1:51" ht="16.5" customHeight="1" x14ac:dyDescent="0.25">
      <c r="A710" s="10">
        <v>41</v>
      </c>
      <c r="B710" s="11" t="s">
        <v>707</v>
      </c>
      <c r="C710" s="10">
        <v>0</v>
      </c>
      <c r="D710" s="10">
        <v>1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1</v>
      </c>
      <c r="K710" s="10">
        <v>0</v>
      </c>
      <c r="L710" s="10">
        <v>0</v>
      </c>
      <c r="M710" s="10">
        <v>2</v>
      </c>
      <c r="N710" s="10">
        <v>0</v>
      </c>
      <c r="O710" s="10">
        <v>2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3</v>
      </c>
      <c r="Y710" s="10">
        <v>0</v>
      </c>
      <c r="Z710" s="10">
        <v>1</v>
      </c>
      <c r="AA710" s="10">
        <v>0</v>
      </c>
      <c r="AB710" s="10">
        <v>2</v>
      </c>
      <c r="AC710" s="10">
        <v>0</v>
      </c>
      <c r="AD710" s="10">
        <v>0</v>
      </c>
      <c r="AE710" s="10">
        <v>2</v>
      </c>
      <c r="AF710" s="10">
        <v>0</v>
      </c>
      <c r="AG710" s="10">
        <v>0</v>
      </c>
      <c r="AH710" s="10">
        <v>1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4</v>
      </c>
      <c r="AS710" s="10">
        <v>0</v>
      </c>
      <c r="AT710" s="10">
        <v>0</v>
      </c>
      <c r="AU710" s="10">
        <v>0</v>
      </c>
      <c r="AV710" s="10">
        <v>0</v>
      </c>
      <c r="AW710" s="10">
        <v>0</v>
      </c>
      <c r="AX710" s="10">
        <v>0</v>
      </c>
      <c r="AY710" s="10">
        <v>7</v>
      </c>
    </row>
    <row r="711" spans="1:51" ht="16.5" customHeight="1" x14ac:dyDescent="0.25">
      <c r="A711" s="10">
        <v>42</v>
      </c>
      <c r="B711" s="11" t="s">
        <v>708</v>
      </c>
      <c r="C711" s="10">
        <v>0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0">
        <v>0</v>
      </c>
      <c r="AW711" s="10">
        <v>0</v>
      </c>
      <c r="AX711" s="10">
        <v>0</v>
      </c>
      <c r="AY711" s="10">
        <v>0</v>
      </c>
    </row>
    <row r="712" spans="1:51" ht="16.5" customHeight="1" x14ac:dyDescent="0.25">
      <c r="A712" s="12"/>
      <c r="B712" s="13" t="s">
        <v>889</v>
      </c>
      <c r="C712" s="14">
        <f>SUM(C670:C711)</f>
        <v>1</v>
      </c>
      <c r="D712" s="14">
        <f t="shared" ref="D712:AY712" si="26">SUM(D670:D711)</f>
        <v>96</v>
      </c>
      <c r="E712" s="14">
        <f t="shared" si="26"/>
        <v>17</v>
      </c>
      <c r="F712" s="14">
        <f t="shared" si="26"/>
        <v>6</v>
      </c>
      <c r="G712" s="14">
        <f t="shared" si="26"/>
        <v>11</v>
      </c>
      <c r="H712" s="14">
        <f t="shared" si="26"/>
        <v>1</v>
      </c>
      <c r="I712" s="14">
        <f t="shared" si="26"/>
        <v>28</v>
      </c>
      <c r="J712" s="14">
        <f t="shared" si="26"/>
        <v>44</v>
      </c>
      <c r="K712" s="14">
        <f t="shared" si="26"/>
        <v>6</v>
      </c>
      <c r="L712" s="14">
        <f t="shared" si="26"/>
        <v>1</v>
      </c>
      <c r="M712" s="14">
        <f t="shared" si="26"/>
        <v>64</v>
      </c>
      <c r="N712" s="14">
        <f t="shared" si="26"/>
        <v>22</v>
      </c>
      <c r="O712" s="14">
        <f t="shared" si="26"/>
        <v>18</v>
      </c>
      <c r="P712" s="14">
        <f t="shared" si="26"/>
        <v>2</v>
      </c>
      <c r="Q712" s="14">
        <f t="shared" si="26"/>
        <v>0</v>
      </c>
      <c r="R712" s="14">
        <f t="shared" si="26"/>
        <v>22</v>
      </c>
      <c r="S712" s="14">
        <f t="shared" si="26"/>
        <v>0</v>
      </c>
      <c r="T712" s="14">
        <f t="shared" si="26"/>
        <v>0</v>
      </c>
      <c r="U712" s="14">
        <f t="shared" si="26"/>
        <v>0</v>
      </c>
      <c r="V712" s="14">
        <f t="shared" si="26"/>
        <v>0</v>
      </c>
      <c r="W712" s="14">
        <f t="shared" si="26"/>
        <v>11</v>
      </c>
      <c r="X712" s="14">
        <f t="shared" si="26"/>
        <v>173</v>
      </c>
      <c r="Y712" s="14">
        <f t="shared" si="26"/>
        <v>0</v>
      </c>
      <c r="Z712" s="14">
        <f t="shared" si="26"/>
        <v>2</v>
      </c>
      <c r="AA712" s="14">
        <f t="shared" si="26"/>
        <v>1</v>
      </c>
      <c r="AB712" s="14">
        <f t="shared" si="26"/>
        <v>21</v>
      </c>
      <c r="AC712" s="14">
        <f t="shared" si="26"/>
        <v>0</v>
      </c>
      <c r="AD712" s="14">
        <f t="shared" si="26"/>
        <v>2</v>
      </c>
      <c r="AE712" s="14">
        <f t="shared" si="26"/>
        <v>11</v>
      </c>
      <c r="AF712" s="14">
        <f t="shared" si="26"/>
        <v>7</v>
      </c>
      <c r="AG712" s="14">
        <f t="shared" si="26"/>
        <v>1</v>
      </c>
      <c r="AH712" s="14">
        <f t="shared" si="26"/>
        <v>15</v>
      </c>
      <c r="AI712" s="14">
        <f t="shared" si="26"/>
        <v>2</v>
      </c>
      <c r="AJ712" s="14">
        <f t="shared" si="26"/>
        <v>0</v>
      </c>
      <c r="AK712" s="14">
        <f t="shared" si="26"/>
        <v>0</v>
      </c>
      <c r="AL712" s="14">
        <f t="shared" si="26"/>
        <v>0</v>
      </c>
      <c r="AM712" s="14">
        <f t="shared" si="26"/>
        <v>0</v>
      </c>
      <c r="AN712" s="14">
        <f t="shared" si="26"/>
        <v>0</v>
      </c>
      <c r="AO712" s="14">
        <f t="shared" si="26"/>
        <v>1</v>
      </c>
      <c r="AP712" s="14">
        <f t="shared" si="26"/>
        <v>3</v>
      </c>
      <c r="AQ712" s="14">
        <f t="shared" si="26"/>
        <v>8</v>
      </c>
      <c r="AR712" s="14">
        <f t="shared" si="26"/>
        <v>53</v>
      </c>
      <c r="AS712" s="14">
        <f t="shared" si="26"/>
        <v>0</v>
      </c>
      <c r="AT712" s="14">
        <f t="shared" si="26"/>
        <v>0</v>
      </c>
      <c r="AU712" s="14">
        <f t="shared" si="26"/>
        <v>1</v>
      </c>
      <c r="AV712" s="14">
        <f t="shared" si="26"/>
        <v>0</v>
      </c>
      <c r="AW712" s="14">
        <f t="shared" si="26"/>
        <v>1</v>
      </c>
      <c r="AX712" s="14">
        <f t="shared" si="26"/>
        <v>2</v>
      </c>
      <c r="AY712" s="14">
        <f t="shared" si="26"/>
        <v>228</v>
      </c>
    </row>
    <row r="713" spans="1:51" ht="16.5" customHeight="1" x14ac:dyDescent="0.25">
      <c r="A713" s="9" t="s">
        <v>914</v>
      </c>
      <c r="B713" s="1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</row>
    <row r="714" spans="1:51" ht="16.5" customHeight="1" x14ac:dyDescent="0.25">
      <c r="A714" s="10">
        <v>1</v>
      </c>
      <c r="B714" s="11" t="s">
        <v>709</v>
      </c>
      <c r="C714" s="10">
        <v>2</v>
      </c>
      <c r="D714" s="10">
        <v>7</v>
      </c>
      <c r="E714" s="10">
        <v>1</v>
      </c>
      <c r="F714" s="10">
        <v>0</v>
      </c>
      <c r="G714" s="10">
        <v>1</v>
      </c>
      <c r="H714" s="10">
        <v>1</v>
      </c>
      <c r="I714" s="10">
        <v>2</v>
      </c>
      <c r="J714" s="10">
        <v>2</v>
      </c>
      <c r="K714" s="10">
        <v>1</v>
      </c>
      <c r="L714" s="10">
        <v>0</v>
      </c>
      <c r="M714" s="10">
        <v>2</v>
      </c>
      <c r="N714" s="10">
        <v>2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11</v>
      </c>
      <c r="Y714" s="10">
        <v>0</v>
      </c>
      <c r="Z714" s="10">
        <v>21</v>
      </c>
      <c r="AA714" s="10">
        <v>0</v>
      </c>
      <c r="AB714" s="10">
        <v>102</v>
      </c>
      <c r="AC714" s="10">
        <v>6</v>
      </c>
      <c r="AD714" s="10">
        <v>9</v>
      </c>
      <c r="AE714" s="10">
        <v>58</v>
      </c>
      <c r="AF714" s="10">
        <v>24</v>
      </c>
      <c r="AG714" s="10">
        <v>5</v>
      </c>
      <c r="AH714" s="10">
        <v>56</v>
      </c>
      <c r="AI714" s="10">
        <v>0</v>
      </c>
      <c r="AJ714" s="10">
        <v>0</v>
      </c>
      <c r="AK714" s="10">
        <v>14</v>
      </c>
      <c r="AL714" s="10">
        <v>0</v>
      </c>
      <c r="AM714" s="10">
        <v>0</v>
      </c>
      <c r="AN714" s="10">
        <v>0</v>
      </c>
      <c r="AO714" s="10">
        <v>11</v>
      </c>
      <c r="AP714" s="10">
        <v>0</v>
      </c>
      <c r="AQ714" s="10">
        <v>40</v>
      </c>
      <c r="AR714" s="10">
        <v>244</v>
      </c>
      <c r="AS714" s="10">
        <v>0</v>
      </c>
      <c r="AT714" s="10">
        <v>0</v>
      </c>
      <c r="AU714" s="10">
        <v>0</v>
      </c>
      <c r="AV714" s="10">
        <v>0</v>
      </c>
      <c r="AW714" s="10">
        <v>0</v>
      </c>
      <c r="AX714" s="10">
        <v>0</v>
      </c>
      <c r="AY714" s="10">
        <v>255</v>
      </c>
    </row>
    <row r="715" spans="1:51" ht="16.5" customHeight="1" x14ac:dyDescent="0.25">
      <c r="A715" s="10">
        <v>2</v>
      </c>
      <c r="B715" s="11" t="s">
        <v>710</v>
      </c>
      <c r="C715" s="10">
        <v>0</v>
      </c>
      <c r="D715" s="10">
        <v>282</v>
      </c>
      <c r="E715" s="10">
        <v>4</v>
      </c>
      <c r="F715" s="10">
        <v>1</v>
      </c>
      <c r="G715" s="10">
        <v>3</v>
      </c>
      <c r="H715" s="10">
        <v>0</v>
      </c>
      <c r="I715" s="10">
        <v>0</v>
      </c>
      <c r="J715" s="10">
        <v>278</v>
      </c>
      <c r="K715" s="10">
        <v>0</v>
      </c>
      <c r="L715" s="10">
        <v>0</v>
      </c>
      <c r="M715" s="10">
        <v>32</v>
      </c>
      <c r="N715" s="10">
        <v>0</v>
      </c>
      <c r="O715" s="10">
        <v>30</v>
      </c>
      <c r="P715" s="10">
        <v>0</v>
      </c>
      <c r="Q715" s="10">
        <v>0</v>
      </c>
      <c r="R715" s="10">
        <v>2</v>
      </c>
      <c r="S715" s="10">
        <v>0</v>
      </c>
      <c r="T715" s="10">
        <v>0</v>
      </c>
      <c r="U715" s="10">
        <v>0</v>
      </c>
      <c r="V715" s="10">
        <v>0</v>
      </c>
      <c r="W715" s="10">
        <v>14</v>
      </c>
      <c r="X715" s="10">
        <v>328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0</v>
      </c>
      <c r="AN715" s="10">
        <v>0</v>
      </c>
      <c r="AO715" s="10">
        <v>0</v>
      </c>
      <c r="AP715" s="10">
        <v>0</v>
      </c>
      <c r="AQ715" s="10">
        <v>0</v>
      </c>
      <c r="AR715" s="10">
        <v>0</v>
      </c>
      <c r="AS715" s="10">
        <v>0</v>
      </c>
      <c r="AT715" s="10">
        <v>0</v>
      </c>
      <c r="AU715" s="10">
        <v>0</v>
      </c>
      <c r="AV715" s="10">
        <v>0</v>
      </c>
      <c r="AW715" s="10">
        <v>0</v>
      </c>
      <c r="AX715" s="10">
        <v>0</v>
      </c>
      <c r="AY715" s="10">
        <v>328</v>
      </c>
    </row>
    <row r="716" spans="1:51" ht="16.5" customHeight="1" x14ac:dyDescent="0.25">
      <c r="A716" s="10">
        <v>3</v>
      </c>
      <c r="B716" s="11" t="s">
        <v>711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5</v>
      </c>
      <c r="N716" s="10">
        <v>0</v>
      </c>
      <c r="O716" s="10">
        <v>2</v>
      </c>
      <c r="P716" s="10">
        <v>0</v>
      </c>
      <c r="Q716" s="10">
        <v>0</v>
      </c>
      <c r="R716" s="10">
        <v>3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5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0</v>
      </c>
      <c r="AN716" s="10">
        <v>0</v>
      </c>
      <c r="AO716" s="10">
        <v>0</v>
      </c>
      <c r="AP716" s="10">
        <v>2</v>
      </c>
      <c r="AQ716" s="10">
        <v>0</v>
      </c>
      <c r="AR716" s="10">
        <v>2</v>
      </c>
      <c r="AS716" s="10">
        <v>0</v>
      </c>
      <c r="AT716" s="10">
        <v>0</v>
      </c>
      <c r="AU716" s="10">
        <v>0</v>
      </c>
      <c r="AV716" s="10">
        <v>0</v>
      </c>
      <c r="AW716" s="10">
        <v>0</v>
      </c>
      <c r="AX716" s="10">
        <v>0</v>
      </c>
      <c r="AY716" s="10">
        <v>7</v>
      </c>
    </row>
    <row r="717" spans="1:51" ht="16.5" customHeight="1" x14ac:dyDescent="0.25">
      <c r="A717" s="10">
        <v>4</v>
      </c>
      <c r="B717" s="11" t="s">
        <v>712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1</v>
      </c>
      <c r="AA717" s="10">
        <v>0</v>
      </c>
      <c r="AB717" s="10">
        <v>20</v>
      </c>
      <c r="AC717" s="10">
        <v>0</v>
      </c>
      <c r="AD717" s="10">
        <v>6</v>
      </c>
      <c r="AE717" s="10">
        <v>7</v>
      </c>
      <c r="AF717" s="10">
        <v>7</v>
      </c>
      <c r="AG717" s="10">
        <v>0</v>
      </c>
      <c r="AH717" s="10">
        <v>4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  <c r="AR717" s="10">
        <v>25</v>
      </c>
      <c r="AS717" s="10">
        <v>0</v>
      </c>
      <c r="AT717" s="10">
        <v>0</v>
      </c>
      <c r="AU717" s="10">
        <v>0</v>
      </c>
      <c r="AV717" s="10">
        <v>0</v>
      </c>
      <c r="AW717" s="10">
        <v>0</v>
      </c>
      <c r="AX717" s="10">
        <v>0</v>
      </c>
      <c r="AY717" s="10">
        <v>25</v>
      </c>
    </row>
    <row r="718" spans="1:51" ht="16.5" customHeight="1" x14ac:dyDescent="0.25">
      <c r="A718" s="10">
        <v>5</v>
      </c>
      <c r="B718" s="11" t="s">
        <v>713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2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6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3</v>
      </c>
      <c r="AP718" s="10">
        <v>0</v>
      </c>
      <c r="AQ718" s="10">
        <v>2</v>
      </c>
      <c r="AR718" s="10">
        <v>13</v>
      </c>
      <c r="AS718" s="10">
        <v>0</v>
      </c>
      <c r="AT718" s="10">
        <v>0</v>
      </c>
      <c r="AU718" s="10">
        <v>0</v>
      </c>
      <c r="AV718" s="10">
        <v>0</v>
      </c>
      <c r="AW718" s="10">
        <v>0</v>
      </c>
      <c r="AX718" s="10">
        <v>0</v>
      </c>
      <c r="AY718" s="10">
        <v>13</v>
      </c>
    </row>
    <row r="719" spans="1:51" ht="16.5" customHeight="1" x14ac:dyDescent="0.25">
      <c r="A719" s="10">
        <v>6</v>
      </c>
      <c r="B719" s="11" t="s">
        <v>714</v>
      </c>
      <c r="C719" s="10">
        <v>0</v>
      </c>
      <c r="D719" s="10">
        <v>9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  <c r="J719" s="10">
        <v>9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9</v>
      </c>
      <c r="Y719" s="10">
        <v>0</v>
      </c>
      <c r="Z719" s="10">
        <v>0</v>
      </c>
      <c r="AA719" s="10">
        <v>201</v>
      </c>
      <c r="AB719" s="10">
        <v>136</v>
      </c>
      <c r="AC719" s="10">
        <v>38</v>
      </c>
      <c r="AD719" s="10">
        <v>22</v>
      </c>
      <c r="AE719" s="10">
        <v>46</v>
      </c>
      <c r="AF719" s="10">
        <v>30</v>
      </c>
      <c r="AG719" s="10">
        <v>0</v>
      </c>
      <c r="AH719" s="10">
        <v>0</v>
      </c>
      <c r="AI719" s="10">
        <v>0</v>
      </c>
      <c r="AJ719" s="10">
        <v>0</v>
      </c>
      <c r="AK719" s="10">
        <v>16</v>
      </c>
      <c r="AL719" s="10">
        <v>0</v>
      </c>
      <c r="AM719" s="10">
        <v>0</v>
      </c>
      <c r="AN719" s="10">
        <v>0</v>
      </c>
      <c r="AO719" s="10">
        <v>0</v>
      </c>
      <c r="AP719" s="10">
        <v>4</v>
      </c>
      <c r="AQ719" s="10">
        <v>0</v>
      </c>
      <c r="AR719" s="10">
        <v>357</v>
      </c>
      <c r="AS719" s="10">
        <v>0</v>
      </c>
      <c r="AT719" s="10">
        <v>0</v>
      </c>
      <c r="AU719" s="10">
        <v>0</v>
      </c>
      <c r="AV719" s="10">
        <v>0</v>
      </c>
      <c r="AW719" s="10">
        <v>0</v>
      </c>
      <c r="AX719" s="10">
        <v>0</v>
      </c>
      <c r="AY719" s="10">
        <v>366</v>
      </c>
    </row>
    <row r="720" spans="1:51" ht="16.5" customHeight="1" x14ac:dyDescent="0.25">
      <c r="A720" s="10">
        <v>7</v>
      </c>
      <c r="B720" s="11" t="s">
        <v>715</v>
      </c>
      <c r="C720" s="10">
        <v>0</v>
      </c>
      <c r="D720" s="10">
        <v>3</v>
      </c>
      <c r="E720" s="10">
        <v>0</v>
      </c>
      <c r="F720" s="10">
        <v>0</v>
      </c>
      <c r="G720" s="10">
        <v>0</v>
      </c>
      <c r="H720" s="10">
        <v>0</v>
      </c>
      <c r="I720" s="10">
        <v>1</v>
      </c>
      <c r="J720" s="10">
        <v>2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3</v>
      </c>
      <c r="Y720" s="10">
        <v>0</v>
      </c>
      <c r="Z720" s="10">
        <v>1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22</v>
      </c>
      <c r="AI720" s="10">
        <v>0</v>
      </c>
      <c r="AJ720" s="10">
        <v>0</v>
      </c>
      <c r="AK720" s="10">
        <v>0</v>
      </c>
      <c r="AL720" s="10">
        <v>0</v>
      </c>
      <c r="AM720" s="10">
        <v>0</v>
      </c>
      <c r="AN720" s="10">
        <v>0</v>
      </c>
      <c r="AO720" s="10">
        <v>0</v>
      </c>
      <c r="AP720" s="10">
        <v>0</v>
      </c>
      <c r="AQ720" s="10">
        <v>7</v>
      </c>
      <c r="AR720" s="10">
        <v>30</v>
      </c>
      <c r="AS720" s="10">
        <v>0</v>
      </c>
      <c r="AT720" s="10">
        <v>0</v>
      </c>
      <c r="AU720" s="10">
        <v>0</v>
      </c>
      <c r="AV720" s="10">
        <v>0</v>
      </c>
      <c r="AW720" s="10">
        <v>0</v>
      </c>
      <c r="AX720" s="10">
        <v>0</v>
      </c>
      <c r="AY720" s="10">
        <v>33</v>
      </c>
    </row>
    <row r="721" spans="1:51" ht="16.5" customHeight="1" x14ac:dyDescent="0.25">
      <c r="A721" s="10">
        <v>8</v>
      </c>
      <c r="B721" s="11" t="s">
        <v>716</v>
      </c>
      <c r="C721" s="10">
        <v>9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9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0</v>
      </c>
      <c r="AS721" s="10">
        <v>0</v>
      </c>
      <c r="AT721" s="10">
        <v>0</v>
      </c>
      <c r="AU721" s="10">
        <v>0</v>
      </c>
      <c r="AV721" s="10">
        <v>0</v>
      </c>
      <c r="AW721" s="10">
        <v>0</v>
      </c>
      <c r="AX721" s="10">
        <v>0</v>
      </c>
      <c r="AY721" s="10">
        <v>9</v>
      </c>
    </row>
    <row r="722" spans="1:51" ht="16.5" customHeight="1" x14ac:dyDescent="0.25">
      <c r="A722" s="10">
        <v>9</v>
      </c>
      <c r="B722" s="11" t="s">
        <v>717</v>
      </c>
      <c r="C722" s="10">
        <v>0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32</v>
      </c>
      <c r="AR722" s="10">
        <v>32</v>
      </c>
      <c r="AS722" s="10">
        <v>0</v>
      </c>
      <c r="AT722" s="10">
        <v>0</v>
      </c>
      <c r="AU722" s="10">
        <v>0</v>
      </c>
      <c r="AV722" s="10">
        <v>0</v>
      </c>
      <c r="AW722" s="10">
        <v>0</v>
      </c>
      <c r="AX722" s="10">
        <v>0</v>
      </c>
      <c r="AY722" s="10">
        <v>32</v>
      </c>
    </row>
    <row r="723" spans="1:51" ht="16.5" customHeight="1" x14ac:dyDescent="0.25">
      <c r="A723" s="10">
        <v>10</v>
      </c>
      <c r="B723" s="11" t="s">
        <v>718</v>
      </c>
      <c r="C723" s="10">
        <v>0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0">
        <v>0</v>
      </c>
      <c r="AT723" s="10">
        <v>0</v>
      </c>
      <c r="AU723" s="10">
        <v>0</v>
      </c>
      <c r="AV723" s="10">
        <v>0</v>
      </c>
      <c r="AW723" s="10">
        <v>0</v>
      </c>
      <c r="AX723" s="10">
        <v>0</v>
      </c>
      <c r="AY723" s="10">
        <v>0</v>
      </c>
    </row>
    <row r="724" spans="1:51" ht="16.5" customHeight="1" x14ac:dyDescent="0.25">
      <c r="A724" s="10">
        <v>11</v>
      </c>
      <c r="B724" s="11" t="s">
        <v>719</v>
      </c>
      <c r="C724" s="10">
        <v>6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6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0</v>
      </c>
      <c r="AN724" s="10">
        <v>0</v>
      </c>
      <c r="AO724" s="10">
        <v>0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0">
        <v>0</v>
      </c>
      <c r="AW724" s="10">
        <v>0</v>
      </c>
      <c r="AX724" s="10">
        <v>0</v>
      </c>
      <c r="AY724" s="10">
        <v>6</v>
      </c>
    </row>
    <row r="725" spans="1:51" ht="16.5" customHeight="1" x14ac:dyDescent="0.25">
      <c r="A725" s="10">
        <v>12</v>
      </c>
      <c r="B725" s="11" t="s">
        <v>720</v>
      </c>
      <c r="C725" s="10">
        <v>0</v>
      </c>
      <c r="D725" s="10">
        <v>2</v>
      </c>
      <c r="E725" s="10">
        <v>0</v>
      </c>
      <c r="F725" s="10">
        <v>0</v>
      </c>
      <c r="G725" s="10">
        <v>0</v>
      </c>
      <c r="H725" s="10">
        <v>1</v>
      </c>
      <c r="I725" s="10">
        <v>0</v>
      </c>
      <c r="J725" s="10">
        <v>1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2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0">
        <v>0</v>
      </c>
      <c r="AQ725" s="10">
        <v>0</v>
      </c>
      <c r="AR725" s="10">
        <v>0</v>
      </c>
      <c r="AS725" s="10">
        <v>0</v>
      </c>
      <c r="AT725" s="10">
        <v>0</v>
      </c>
      <c r="AU725" s="10">
        <v>0</v>
      </c>
      <c r="AV725" s="10">
        <v>0</v>
      </c>
      <c r="AW725" s="10">
        <v>0</v>
      </c>
      <c r="AX725" s="10">
        <v>0</v>
      </c>
      <c r="AY725" s="10">
        <v>2</v>
      </c>
    </row>
    <row r="726" spans="1:51" ht="16.5" customHeight="1" x14ac:dyDescent="0.25">
      <c r="A726" s="10">
        <v>13</v>
      </c>
      <c r="B726" s="11" t="s">
        <v>721</v>
      </c>
      <c r="C726" s="10">
        <v>0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4</v>
      </c>
      <c r="AI726" s="10">
        <v>0</v>
      </c>
      <c r="AJ726" s="10">
        <v>0</v>
      </c>
      <c r="AK726" s="10">
        <v>0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6</v>
      </c>
      <c r="AR726" s="10">
        <v>10</v>
      </c>
      <c r="AS726" s="10">
        <v>0</v>
      </c>
      <c r="AT726" s="10">
        <v>0</v>
      </c>
      <c r="AU726" s="10">
        <v>0</v>
      </c>
      <c r="AV726" s="10">
        <v>0</v>
      </c>
      <c r="AW726" s="10">
        <v>0</v>
      </c>
      <c r="AX726" s="10">
        <v>0</v>
      </c>
      <c r="AY726" s="10">
        <v>10</v>
      </c>
    </row>
    <row r="727" spans="1:51" ht="16.5" customHeight="1" x14ac:dyDescent="0.25">
      <c r="A727" s="10">
        <v>14</v>
      </c>
      <c r="B727" s="11" t="s">
        <v>722</v>
      </c>
      <c r="C727" s="10">
        <v>0</v>
      </c>
      <c r="D727" s="10">
        <v>23</v>
      </c>
      <c r="E727" s="10">
        <v>0</v>
      </c>
      <c r="F727" s="10">
        <v>0</v>
      </c>
      <c r="G727" s="10">
        <v>0</v>
      </c>
      <c r="H727" s="10">
        <v>0</v>
      </c>
      <c r="I727" s="10">
        <v>3</v>
      </c>
      <c r="J727" s="10">
        <v>20</v>
      </c>
      <c r="K727" s="10">
        <v>0</v>
      </c>
      <c r="L727" s="10">
        <v>0</v>
      </c>
      <c r="M727" s="10">
        <v>1</v>
      </c>
      <c r="N727" s="10">
        <v>1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24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0">
        <v>0</v>
      </c>
      <c r="AQ727" s="10">
        <v>0</v>
      </c>
      <c r="AR727" s="10">
        <v>0</v>
      </c>
      <c r="AS727" s="10">
        <v>0</v>
      </c>
      <c r="AT727" s="10">
        <v>0</v>
      </c>
      <c r="AU727" s="10">
        <v>1</v>
      </c>
      <c r="AV727" s="10">
        <v>0</v>
      </c>
      <c r="AW727" s="10">
        <v>0</v>
      </c>
      <c r="AX727" s="10">
        <v>1</v>
      </c>
      <c r="AY727" s="10">
        <v>25</v>
      </c>
    </row>
    <row r="728" spans="1:51" ht="16.5" customHeight="1" x14ac:dyDescent="0.25">
      <c r="A728" s="10">
        <v>15</v>
      </c>
      <c r="B728" s="11" t="s">
        <v>723</v>
      </c>
      <c r="C728" s="10">
        <v>0</v>
      </c>
      <c r="D728" s="10">
        <v>13</v>
      </c>
      <c r="E728" s="10">
        <v>0</v>
      </c>
      <c r="F728" s="10">
        <v>0</v>
      </c>
      <c r="G728" s="10">
        <v>0</v>
      </c>
      <c r="H728" s="10">
        <v>1</v>
      </c>
      <c r="I728" s="10">
        <v>10</v>
      </c>
      <c r="J728" s="10">
        <v>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1</v>
      </c>
      <c r="X728" s="10">
        <v>14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0">
        <v>0</v>
      </c>
      <c r="AW728" s="10">
        <v>0</v>
      </c>
      <c r="AX728" s="10">
        <v>0</v>
      </c>
      <c r="AY728" s="10">
        <v>14</v>
      </c>
    </row>
    <row r="729" spans="1:51" ht="16.5" customHeight="1" x14ac:dyDescent="0.25">
      <c r="A729" s="10">
        <v>16</v>
      </c>
      <c r="B729" s="11" t="s">
        <v>724</v>
      </c>
      <c r="C729" s="10">
        <v>0</v>
      </c>
      <c r="D729" s="10">
        <v>0</v>
      </c>
      <c r="E729" s="10">
        <v>0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1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1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3</v>
      </c>
      <c r="AP729" s="10">
        <v>0</v>
      </c>
      <c r="AQ729" s="10">
        <v>3</v>
      </c>
      <c r="AR729" s="10">
        <v>8</v>
      </c>
      <c r="AS729" s="10">
        <v>0</v>
      </c>
      <c r="AT729" s="10">
        <v>0</v>
      </c>
      <c r="AU729" s="10">
        <v>0</v>
      </c>
      <c r="AV729" s="10">
        <v>0</v>
      </c>
      <c r="AW729" s="10">
        <v>0</v>
      </c>
      <c r="AX729" s="10">
        <v>0</v>
      </c>
      <c r="AY729" s="10">
        <v>8</v>
      </c>
    </row>
    <row r="730" spans="1:51" ht="16.5" customHeight="1" x14ac:dyDescent="0.25">
      <c r="A730" s="10">
        <v>17</v>
      </c>
      <c r="B730" s="11" t="s">
        <v>725</v>
      </c>
      <c r="C730" s="10">
        <v>0</v>
      </c>
      <c r="D730" s="10">
        <v>2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2</v>
      </c>
      <c r="K730" s="10">
        <v>0</v>
      </c>
      <c r="L730" s="10">
        <v>0</v>
      </c>
      <c r="M730" s="10">
        <v>3</v>
      </c>
      <c r="N730" s="10">
        <v>0</v>
      </c>
      <c r="O730" s="10">
        <v>3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5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0</v>
      </c>
      <c r="AR730" s="10">
        <v>0</v>
      </c>
      <c r="AS730" s="10">
        <v>0</v>
      </c>
      <c r="AT730" s="10">
        <v>0</v>
      </c>
      <c r="AU730" s="10">
        <v>0</v>
      </c>
      <c r="AV730" s="10">
        <v>0</v>
      </c>
      <c r="AW730" s="10">
        <v>0</v>
      </c>
      <c r="AX730" s="10">
        <v>0</v>
      </c>
      <c r="AY730" s="10">
        <v>5</v>
      </c>
    </row>
    <row r="731" spans="1:51" ht="16.5" customHeight="1" x14ac:dyDescent="0.25">
      <c r="A731" s="10">
        <v>18</v>
      </c>
      <c r="B731" s="11" t="s">
        <v>726</v>
      </c>
      <c r="C731" s="10">
        <v>0</v>
      </c>
      <c r="D731" s="10">
        <v>6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6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6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0</v>
      </c>
      <c r="AS731" s="10">
        <v>0</v>
      </c>
      <c r="AT731" s="10">
        <v>0</v>
      </c>
      <c r="AU731" s="10">
        <v>0</v>
      </c>
      <c r="AV731" s="10">
        <v>0</v>
      </c>
      <c r="AW731" s="10">
        <v>0</v>
      </c>
      <c r="AX731" s="10">
        <v>0</v>
      </c>
      <c r="AY731" s="10">
        <v>6</v>
      </c>
    </row>
    <row r="732" spans="1:51" ht="16.5" customHeight="1" x14ac:dyDescent="0.25">
      <c r="A732" s="10">
        <v>19</v>
      </c>
      <c r="B732" s="11" t="s">
        <v>727</v>
      </c>
      <c r="C732" s="10">
        <v>0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9</v>
      </c>
      <c r="AC732" s="10">
        <v>0</v>
      </c>
      <c r="AD732" s="10">
        <v>9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0</v>
      </c>
      <c r="AK732" s="10">
        <v>0</v>
      </c>
      <c r="AL732" s="10">
        <v>0</v>
      </c>
      <c r="AM732" s="10">
        <v>0</v>
      </c>
      <c r="AN732" s="10">
        <v>0</v>
      </c>
      <c r="AO732" s="10">
        <v>0</v>
      </c>
      <c r="AP732" s="10">
        <v>0</v>
      </c>
      <c r="AQ732" s="10">
        <v>0</v>
      </c>
      <c r="AR732" s="10">
        <v>9</v>
      </c>
      <c r="AS732" s="10">
        <v>0</v>
      </c>
      <c r="AT732" s="10">
        <v>0</v>
      </c>
      <c r="AU732" s="10">
        <v>0</v>
      </c>
      <c r="AV732" s="10">
        <v>0</v>
      </c>
      <c r="AW732" s="10">
        <v>0</v>
      </c>
      <c r="AX732" s="10">
        <v>0</v>
      </c>
      <c r="AY732" s="10">
        <v>9</v>
      </c>
    </row>
    <row r="733" spans="1:51" ht="16.5" customHeight="1" x14ac:dyDescent="0.25">
      <c r="A733" s="10">
        <v>20</v>
      </c>
      <c r="B733" s="11" t="s">
        <v>728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7</v>
      </c>
      <c r="AC733" s="10">
        <v>0</v>
      </c>
      <c r="AD733" s="10">
        <v>7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  <c r="AQ733" s="10">
        <v>0</v>
      </c>
      <c r="AR733" s="10">
        <v>7</v>
      </c>
      <c r="AS733" s="10">
        <v>0</v>
      </c>
      <c r="AT733" s="10">
        <v>0</v>
      </c>
      <c r="AU733" s="10">
        <v>0</v>
      </c>
      <c r="AV733" s="10">
        <v>0</v>
      </c>
      <c r="AW733" s="10">
        <v>0</v>
      </c>
      <c r="AX733" s="10">
        <v>0</v>
      </c>
      <c r="AY733" s="10">
        <v>7</v>
      </c>
    </row>
    <row r="734" spans="1:51" ht="16.5" customHeight="1" x14ac:dyDescent="0.25">
      <c r="A734" s="10">
        <v>21</v>
      </c>
      <c r="B734" s="11" t="s">
        <v>729</v>
      </c>
      <c r="C734" s="10">
        <v>0</v>
      </c>
      <c r="D734" s="10">
        <v>10</v>
      </c>
      <c r="E734" s="10">
        <v>2</v>
      </c>
      <c r="F734" s="10">
        <v>0</v>
      </c>
      <c r="G734" s="10">
        <v>2</v>
      </c>
      <c r="H734" s="10">
        <v>0</v>
      </c>
      <c r="I734" s="10">
        <v>6</v>
      </c>
      <c r="J734" s="10">
        <v>2</v>
      </c>
      <c r="K734" s="10">
        <v>0</v>
      </c>
      <c r="L734" s="10">
        <v>0</v>
      </c>
      <c r="M734" s="10">
        <v>8</v>
      </c>
      <c r="N734" s="10">
        <v>8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5</v>
      </c>
      <c r="X734" s="10">
        <v>23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0</v>
      </c>
      <c r="AK734" s="10">
        <v>0</v>
      </c>
      <c r="AL734" s="10">
        <v>0</v>
      </c>
      <c r="AM734" s="10">
        <v>0</v>
      </c>
      <c r="AN734" s="10">
        <v>0</v>
      </c>
      <c r="AO734" s="10">
        <v>0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0</v>
      </c>
      <c r="AV734" s="10">
        <v>0</v>
      </c>
      <c r="AW734" s="10">
        <v>0</v>
      </c>
      <c r="AX734" s="10">
        <v>0</v>
      </c>
      <c r="AY734" s="10">
        <v>23</v>
      </c>
    </row>
    <row r="735" spans="1:51" ht="16.5" customHeight="1" x14ac:dyDescent="0.25">
      <c r="A735" s="10">
        <v>22</v>
      </c>
      <c r="B735" s="11" t="s">
        <v>730</v>
      </c>
      <c r="C735" s="10">
        <v>0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2</v>
      </c>
      <c r="AQ735" s="10">
        <v>2</v>
      </c>
      <c r="AR735" s="10">
        <v>4</v>
      </c>
      <c r="AS735" s="10">
        <v>0</v>
      </c>
      <c r="AT735" s="10">
        <v>0</v>
      </c>
      <c r="AU735" s="10">
        <v>0</v>
      </c>
      <c r="AV735" s="10">
        <v>0</v>
      </c>
      <c r="AW735" s="10">
        <v>0</v>
      </c>
      <c r="AX735" s="10">
        <v>0</v>
      </c>
      <c r="AY735" s="10">
        <v>4</v>
      </c>
    </row>
    <row r="736" spans="1:51" ht="16.5" customHeight="1" x14ac:dyDescent="0.25">
      <c r="A736" s="10">
        <v>23</v>
      </c>
      <c r="B736" s="11" t="s">
        <v>731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3</v>
      </c>
      <c r="AC736" s="10">
        <v>0</v>
      </c>
      <c r="AD736" s="10">
        <v>3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0">
        <v>0</v>
      </c>
      <c r="AQ736" s="10">
        <v>0</v>
      </c>
      <c r="AR736" s="10">
        <v>3</v>
      </c>
      <c r="AS736" s="10">
        <v>0</v>
      </c>
      <c r="AT736" s="10">
        <v>0</v>
      </c>
      <c r="AU736" s="10">
        <v>0</v>
      </c>
      <c r="AV736" s="10">
        <v>0</v>
      </c>
      <c r="AW736" s="10">
        <v>1</v>
      </c>
      <c r="AX736" s="10">
        <v>1</v>
      </c>
      <c r="AY736" s="10">
        <v>4</v>
      </c>
    </row>
    <row r="737" spans="1:51" ht="16.5" customHeight="1" x14ac:dyDescent="0.25">
      <c r="A737" s="10">
        <v>24</v>
      </c>
      <c r="B737" s="11" t="s">
        <v>732</v>
      </c>
      <c r="C737" s="10">
        <v>0</v>
      </c>
      <c r="D737" s="10">
        <v>5</v>
      </c>
      <c r="E737" s="10">
        <v>3</v>
      </c>
      <c r="F737" s="10">
        <v>0</v>
      </c>
      <c r="G737" s="10">
        <v>3</v>
      </c>
      <c r="H737" s="10">
        <v>0</v>
      </c>
      <c r="I737" s="10">
        <v>0</v>
      </c>
      <c r="J737" s="10">
        <v>2</v>
      </c>
      <c r="K737" s="10">
        <v>0</v>
      </c>
      <c r="L737" s="10">
        <v>0</v>
      </c>
      <c r="M737" s="10">
        <v>1</v>
      </c>
      <c r="N737" s="10">
        <v>1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6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0">
        <v>0</v>
      </c>
      <c r="AT737" s="10">
        <v>0</v>
      </c>
      <c r="AU737" s="10">
        <v>0</v>
      </c>
      <c r="AV737" s="10">
        <v>0</v>
      </c>
      <c r="AW737" s="10">
        <v>0</v>
      </c>
      <c r="AX737" s="10">
        <v>0</v>
      </c>
      <c r="AY737" s="10">
        <v>6</v>
      </c>
    </row>
    <row r="738" spans="1:51" ht="16.5" customHeight="1" x14ac:dyDescent="0.25">
      <c r="A738" s="10">
        <v>25</v>
      </c>
      <c r="B738" s="11" t="s">
        <v>733</v>
      </c>
      <c r="C738" s="10">
        <v>0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1</v>
      </c>
      <c r="X738" s="10">
        <v>1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0">
        <v>0</v>
      </c>
      <c r="AW738" s="10">
        <v>0</v>
      </c>
      <c r="AX738" s="10">
        <v>0</v>
      </c>
      <c r="AY738" s="10">
        <v>1</v>
      </c>
    </row>
    <row r="739" spans="1:51" ht="16.5" customHeight="1" x14ac:dyDescent="0.25">
      <c r="A739" s="10">
        <v>26</v>
      </c>
      <c r="B739" s="11" t="s">
        <v>734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2</v>
      </c>
      <c r="N739" s="10">
        <v>2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2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4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4</v>
      </c>
      <c r="AP739" s="10">
        <v>0</v>
      </c>
      <c r="AQ739" s="10">
        <v>0</v>
      </c>
      <c r="AR739" s="10">
        <v>8</v>
      </c>
      <c r="AS739" s="10">
        <v>0</v>
      </c>
      <c r="AT739" s="10">
        <v>0</v>
      </c>
      <c r="AU739" s="10">
        <v>0</v>
      </c>
      <c r="AV739" s="10">
        <v>0</v>
      </c>
      <c r="AW739" s="10">
        <v>0</v>
      </c>
      <c r="AX739" s="10">
        <v>0</v>
      </c>
      <c r="AY739" s="10">
        <v>10</v>
      </c>
    </row>
    <row r="740" spans="1:51" ht="16.5" customHeight="1" x14ac:dyDescent="0.25">
      <c r="A740" s="10">
        <v>27</v>
      </c>
      <c r="B740" s="11" t="s">
        <v>735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1</v>
      </c>
      <c r="N740" s="10">
        <v>1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1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0">
        <v>0</v>
      </c>
      <c r="AT740" s="10">
        <v>0</v>
      </c>
      <c r="AU740" s="10">
        <v>0</v>
      </c>
      <c r="AV740" s="10">
        <v>0</v>
      </c>
      <c r="AW740" s="10">
        <v>0</v>
      </c>
      <c r="AX740" s="10">
        <v>0</v>
      </c>
      <c r="AY740" s="10">
        <v>1</v>
      </c>
    </row>
    <row r="741" spans="1:51" ht="16.5" customHeight="1" x14ac:dyDescent="0.25">
      <c r="A741" s="10">
        <v>28</v>
      </c>
      <c r="B741" s="11" t="s">
        <v>736</v>
      </c>
      <c r="C741" s="10">
        <v>0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0</v>
      </c>
      <c r="AR741" s="10">
        <v>0</v>
      </c>
      <c r="AS741" s="10">
        <v>0</v>
      </c>
      <c r="AT741" s="10">
        <v>0</v>
      </c>
      <c r="AU741" s="10">
        <v>0</v>
      </c>
      <c r="AV741" s="10">
        <v>0</v>
      </c>
      <c r="AW741" s="10">
        <v>0</v>
      </c>
      <c r="AX741" s="10">
        <v>0</v>
      </c>
      <c r="AY741" s="10">
        <v>0</v>
      </c>
    </row>
    <row r="742" spans="1:51" ht="16.5" customHeight="1" x14ac:dyDescent="0.25">
      <c r="A742" s="12"/>
      <c r="B742" s="13" t="s">
        <v>889</v>
      </c>
      <c r="C742" s="14">
        <f>SUM(C714:C741)</f>
        <v>17</v>
      </c>
      <c r="D742" s="14">
        <f t="shared" ref="D742:AY742" si="27">SUM(D714:D741)</f>
        <v>362</v>
      </c>
      <c r="E742" s="14">
        <f t="shared" si="27"/>
        <v>10</v>
      </c>
      <c r="F742" s="14">
        <f t="shared" si="27"/>
        <v>1</v>
      </c>
      <c r="G742" s="14">
        <f t="shared" si="27"/>
        <v>9</v>
      </c>
      <c r="H742" s="14">
        <f t="shared" si="27"/>
        <v>3</v>
      </c>
      <c r="I742" s="14">
        <f t="shared" si="27"/>
        <v>22</v>
      </c>
      <c r="J742" s="14">
        <f t="shared" si="27"/>
        <v>326</v>
      </c>
      <c r="K742" s="14">
        <f t="shared" si="27"/>
        <v>1</v>
      </c>
      <c r="L742" s="14">
        <f t="shared" si="27"/>
        <v>0</v>
      </c>
      <c r="M742" s="14">
        <f t="shared" si="27"/>
        <v>55</v>
      </c>
      <c r="N742" s="14">
        <f t="shared" si="27"/>
        <v>15</v>
      </c>
      <c r="O742" s="14">
        <f t="shared" si="27"/>
        <v>35</v>
      </c>
      <c r="P742" s="14">
        <f t="shared" si="27"/>
        <v>0</v>
      </c>
      <c r="Q742" s="14">
        <f t="shared" si="27"/>
        <v>0</v>
      </c>
      <c r="R742" s="14">
        <f t="shared" si="27"/>
        <v>5</v>
      </c>
      <c r="S742" s="14">
        <f t="shared" si="27"/>
        <v>0</v>
      </c>
      <c r="T742" s="14">
        <f t="shared" si="27"/>
        <v>0</v>
      </c>
      <c r="U742" s="14">
        <f t="shared" si="27"/>
        <v>0</v>
      </c>
      <c r="V742" s="14">
        <f t="shared" si="27"/>
        <v>0</v>
      </c>
      <c r="W742" s="14">
        <f t="shared" si="27"/>
        <v>21</v>
      </c>
      <c r="X742" s="14">
        <f t="shared" si="27"/>
        <v>455</v>
      </c>
      <c r="Y742" s="14">
        <f t="shared" si="27"/>
        <v>0</v>
      </c>
      <c r="Z742" s="14">
        <f t="shared" si="27"/>
        <v>26</v>
      </c>
      <c r="AA742" s="14">
        <f t="shared" si="27"/>
        <v>201</v>
      </c>
      <c r="AB742" s="14">
        <f t="shared" si="27"/>
        <v>277</v>
      </c>
      <c r="AC742" s="14">
        <f t="shared" si="27"/>
        <v>44</v>
      </c>
      <c r="AD742" s="14">
        <f t="shared" si="27"/>
        <v>56</v>
      </c>
      <c r="AE742" s="14">
        <f t="shared" si="27"/>
        <v>111</v>
      </c>
      <c r="AF742" s="14">
        <f t="shared" si="27"/>
        <v>61</v>
      </c>
      <c r="AG742" s="14">
        <f t="shared" si="27"/>
        <v>5</v>
      </c>
      <c r="AH742" s="14">
        <f t="shared" si="27"/>
        <v>97</v>
      </c>
      <c r="AI742" s="14">
        <f t="shared" si="27"/>
        <v>0</v>
      </c>
      <c r="AJ742" s="14">
        <f t="shared" si="27"/>
        <v>0</v>
      </c>
      <c r="AK742" s="14">
        <f t="shared" si="27"/>
        <v>30</v>
      </c>
      <c r="AL742" s="14">
        <f t="shared" si="27"/>
        <v>0</v>
      </c>
      <c r="AM742" s="14">
        <f t="shared" si="27"/>
        <v>0</v>
      </c>
      <c r="AN742" s="14">
        <f t="shared" si="27"/>
        <v>0</v>
      </c>
      <c r="AO742" s="14">
        <f t="shared" si="27"/>
        <v>21</v>
      </c>
      <c r="AP742" s="14">
        <f t="shared" si="27"/>
        <v>8</v>
      </c>
      <c r="AQ742" s="14">
        <f t="shared" si="27"/>
        <v>92</v>
      </c>
      <c r="AR742" s="14">
        <f t="shared" si="27"/>
        <v>752</v>
      </c>
      <c r="AS742" s="14">
        <f t="shared" si="27"/>
        <v>0</v>
      </c>
      <c r="AT742" s="14">
        <f t="shared" si="27"/>
        <v>0</v>
      </c>
      <c r="AU742" s="14">
        <f t="shared" si="27"/>
        <v>1</v>
      </c>
      <c r="AV742" s="14">
        <f t="shared" si="27"/>
        <v>0</v>
      </c>
      <c r="AW742" s="14">
        <f t="shared" si="27"/>
        <v>1</v>
      </c>
      <c r="AX742" s="14">
        <f t="shared" si="27"/>
        <v>2</v>
      </c>
      <c r="AY742" s="14">
        <f t="shared" si="27"/>
        <v>1209</v>
      </c>
    </row>
    <row r="743" spans="1:51" ht="16.5" customHeight="1" x14ac:dyDescent="0.25">
      <c r="A743" s="9" t="s">
        <v>915</v>
      </c>
      <c r="B743" s="1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</row>
    <row r="744" spans="1:51" ht="16.5" customHeight="1" x14ac:dyDescent="0.25">
      <c r="A744" s="10">
        <v>1</v>
      </c>
      <c r="B744" s="11" t="s">
        <v>737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0</v>
      </c>
      <c r="AI744" s="10">
        <v>0</v>
      </c>
      <c r="AJ744" s="10">
        <v>0</v>
      </c>
      <c r="AK744" s="10">
        <v>0</v>
      </c>
      <c r="AL744" s="10">
        <v>0</v>
      </c>
      <c r="AM744" s="10">
        <v>0</v>
      </c>
      <c r="AN744" s="10">
        <v>0</v>
      </c>
      <c r="AO744" s="10">
        <v>0</v>
      </c>
      <c r="AP744" s="10">
        <v>0</v>
      </c>
      <c r="AQ744" s="10">
        <v>0</v>
      </c>
      <c r="AR744" s="10">
        <v>0</v>
      </c>
      <c r="AS744" s="10">
        <v>0</v>
      </c>
      <c r="AT744" s="10">
        <v>0</v>
      </c>
      <c r="AU744" s="10">
        <v>0</v>
      </c>
      <c r="AV744" s="10">
        <v>0</v>
      </c>
      <c r="AW744" s="10">
        <v>0</v>
      </c>
      <c r="AX744" s="10">
        <v>0</v>
      </c>
      <c r="AY744" s="10">
        <v>0</v>
      </c>
    </row>
    <row r="745" spans="1:51" ht="16.5" customHeight="1" x14ac:dyDescent="0.25">
      <c r="A745" s="10">
        <v>2</v>
      </c>
      <c r="B745" s="11" t="s">
        <v>738</v>
      </c>
      <c r="C745" s="10">
        <v>0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0">
        <v>0</v>
      </c>
      <c r="AT745" s="10">
        <v>0</v>
      </c>
      <c r="AU745" s="10">
        <v>0</v>
      </c>
      <c r="AV745" s="10">
        <v>0</v>
      </c>
      <c r="AW745" s="10">
        <v>0</v>
      </c>
      <c r="AX745" s="10">
        <v>0</v>
      </c>
      <c r="AY745" s="10">
        <v>0</v>
      </c>
    </row>
    <row r="746" spans="1:51" ht="16.5" customHeight="1" x14ac:dyDescent="0.25">
      <c r="A746" s="10">
        <v>3</v>
      </c>
      <c r="B746" s="11" t="s">
        <v>113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0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0">
        <v>0</v>
      </c>
      <c r="AT746" s="10">
        <v>0</v>
      </c>
      <c r="AU746" s="10">
        <v>0</v>
      </c>
      <c r="AV746" s="10">
        <v>0</v>
      </c>
      <c r="AW746" s="10">
        <v>0</v>
      </c>
      <c r="AX746" s="10">
        <v>0</v>
      </c>
      <c r="AY746" s="10">
        <v>0</v>
      </c>
    </row>
    <row r="747" spans="1:51" ht="16.5" customHeight="1" x14ac:dyDescent="0.25">
      <c r="A747" s="10">
        <v>4</v>
      </c>
      <c r="B747" s="11" t="s">
        <v>739</v>
      </c>
      <c r="C747" s="10">
        <v>0</v>
      </c>
      <c r="D747" s="10">
        <v>0</v>
      </c>
      <c r="E747" s="10">
        <v>0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3</v>
      </c>
      <c r="AC747" s="10">
        <v>0</v>
      </c>
      <c r="AD747" s="10">
        <v>0</v>
      </c>
      <c r="AE747" s="10">
        <v>0</v>
      </c>
      <c r="AF747" s="10">
        <v>0</v>
      </c>
      <c r="AG747" s="10">
        <v>3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3</v>
      </c>
      <c r="AS747" s="10">
        <v>0</v>
      </c>
      <c r="AT747" s="10">
        <v>0</v>
      </c>
      <c r="AU747" s="10">
        <v>0</v>
      </c>
      <c r="AV747" s="10">
        <v>0</v>
      </c>
      <c r="AW747" s="10">
        <v>0</v>
      </c>
      <c r="AX747" s="10">
        <v>0</v>
      </c>
      <c r="AY747" s="10">
        <v>3</v>
      </c>
    </row>
    <row r="748" spans="1:51" ht="16.5" customHeight="1" x14ac:dyDescent="0.25">
      <c r="A748" s="10">
        <v>5</v>
      </c>
      <c r="B748" s="11" t="s">
        <v>664</v>
      </c>
      <c r="C748" s="10">
        <v>0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1</v>
      </c>
      <c r="AR748" s="10">
        <v>1</v>
      </c>
      <c r="AS748" s="10">
        <v>0</v>
      </c>
      <c r="AT748" s="10">
        <v>0</v>
      </c>
      <c r="AU748" s="10">
        <v>0</v>
      </c>
      <c r="AV748" s="10">
        <v>0</v>
      </c>
      <c r="AW748" s="10">
        <v>0</v>
      </c>
      <c r="AX748" s="10">
        <v>0</v>
      </c>
      <c r="AY748" s="10">
        <v>1</v>
      </c>
    </row>
    <row r="749" spans="1:51" ht="16.5" customHeight="1" x14ac:dyDescent="0.25">
      <c r="A749" s="10">
        <v>6</v>
      </c>
      <c r="B749" s="11" t="s">
        <v>740</v>
      </c>
      <c r="C749" s="10">
        <v>0</v>
      </c>
      <c r="D749" s="10">
        <v>0</v>
      </c>
      <c r="E749" s="10">
        <v>0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0">
        <v>0</v>
      </c>
      <c r="AT749" s="10">
        <v>0</v>
      </c>
      <c r="AU749" s="10">
        <v>0</v>
      </c>
      <c r="AV749" s="10">
        <v>0</v>
      </c>
      <c r="AW749" s="10">
        <v>0</v>
      </c>
      <c r="AX749" s="10">
        <v>0</v>
      </c>
      <c r="AY749" s="10">
        <v>0</v>
      </c>
    </row>
    <row r="750" spans="1:51" ht="16.5" customHeight="1" x14ac:dyDescent="0.25">
      <c r="A750" s="10">
        <v>7</v>
      </c>
      <c r="B750" s="11" t="s">
        <v>665</v>
      </c>
      <c r="C750" s="10">
        <v>0</v>
      </c>
      <c r="D750" s="10">
        <v>0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0">
        <v>0</v>
      </c>
      <c r="AW750" s="10">
        <v>0</v>
      </c>
      <c r="AX750" s="10">
        <v>0</v>
      </c>
      <c r="AY750" s="10">
        <v>0</v>
      </c>
    </row>
    <row r="751" spans="1:51" ht="16.5" customHeight="1" x14ac:dyDescent="0.25">
      <c r="A751" s="10">
        <v>8</v>
      </c>
      <c r="B751" s="11" t="s">
        <v>741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  <c r="AQ751" s="10">
        <v>1</v>
      </c>
      <c r="AR751" s="10">
        <v>1</v>
      </c>
      <c r="AS751" s="10">
        <v>0</v>
      </c>
      <c r="AT751" s="10">
        <v>0</v>
      </c>
      <c r="AU751" s="10">
        <v>0</v>
      </c>
      <c r="AV751" s="10">
        <v>0</v>
      </c>
      <c r="AW751" s="10">
        <v>0</v>
      </c>
      <c r="AX751" s="10">
        <v>0</v>
      </c>
      <c r="AY751" s="10">
        <v>1</v>
      </c>
    </row>
    <row r="752" spans="1:51" ht="16.5" customHeight="1" x14ac:dyDescent="0.25">
      <c r="A752" s="10">
        <v>9</v>
      </c>
      <c r="B752" s="11" t="s">
        <v>666</v>
      </c>
      <c r="C752" s="10">
        <v>0</v>
      </c>
      <c r="D752" s="10">
        <v>2</v>
      </c>
      <c r="E752" s="10">
        <v>2</v>
      </c>
      <c r="F752" s="10">
        <v>0</v>
      </c>
      <c r="G752" s="10">
        <v>2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2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0">
        <v>0</v>
      </c>
      <c r="AT752" s="10">
        <v>0</v>
      </c>
      <c r="AU752" s="10">
        <v>0</v>
      </c>
      <c r="AV752" s="10">
        <v>0</v>
      </c>
      <c r="AW752" s="10">
        <v>0</v>
      </c>
      <c r="AX752" s="10">
        <v>0</v>
      </c>
      <c r="AY752" s="10">
        <v>2</v>
      </c>
    </row>
    <row r="753" spans="1:51" ht="16.5" customHeight="1" x14ac:dyDescent="0.25">
      <c r="A753" s="12"/>
      <c r="B753" s="13" t="s">
        <v>889</v>
      </c>
      <c r="C753" s="14">
        <f>SUM(C744:C752)</f>
        <v>0</v>
      </c>
      <c r="D753" s="14">
        <f t="shared" ref="D753:AY753" si="28">SUM(D744:D752)</f>
        <v>2</v>
      </c>
      <c r="E753" s="14">
        <f t="shared" si="28"/>
        <v>2</v>
      </c>
      <c r="F753" s="14">
        <f t="shared" si="28"/>
        <v>0</v>
      </c>
      <c r="G753" s="14">
        <f t="shared" si="28"/>
        <v>2</v>
      </c>
      <c r="H753" s="14">
        <f t="shared" si="28"/>
        <v>0</v>
      </c>
      <c r="I753" s="14">
        <f t="shared" si="28"/>
        <v>0</v>
      </c>
      <c r="J753" s="14">
        <f t="shared" si="28"/>
        <v>0</v>
      </c>
      <c r="K753" s="14">
        <f t="shared" si="28"/>
        <v>0</v>
      </c>
      <c r="L753" s="14">
        <f t="shared" si="28"/>
        <v>0</v>
      </c>
      <c r="M753" s="14">
        <f t="shared" si="28"/>
        <v>0</v>
      </c>
      <c r="N753" s="14">
        <f t="shared" si="28"/>
        <v>0</v>
      </c>
      <c r="O753" s="14">
        <f t="shared" si="28"/>
        <v>0</v>
      </c>
      <c r="P753" s="14">
        <f t="shared" si="28"/>
        <v>0</v>
      </c>
      <c r="Q753" s="14">
        <f t="shared" si="28"/>
        <v>0</v>
      </c>
      <c r="R753" s="14">
        <f t="shared" si="28"/>
        <v>0</v>
      </c>
      <c r="S753" s="14">
        <f t="shared" si="28"/>
        <v>0</v>
      </c>
      <c r="T753" s="14">
        <f t="shared" si="28"/>
        <v>0</v>
      </c>
      <c r="U753" s="14">
        <f t="shared" si="28"/>
        <v>0</v>
      </c>
      <c r="V753" s="14">
        <f t="shared" si="28"/>
        <v>0</v>
      </c>
      <c r="W753" s="14">
        <f t="shared" si="28"/>
        <v>0</v>
      </c>
      <c r="X753" s="14">
        <f t="shared" si="28"/>
        <v>2</v>
      </c>
      <c r="Y753" s="14">
        <f t="shared" si="28"/>
        <v>0</v>
      </c>
      <c r="Z753" s="14">
        <f t="shared" si="28"/>
        <v>0</v>
      </c>
      <c r="AA753" s="14">
        <f t="shared" si="28"/>
        <v>0</v>
      </c>
      <c r="AB753" s="14">
        <f t="shared" si="28"/>
        <v>3</v>
      </c>
      <c r="AC753" s="14">
        <f t="shared" si="28"/>
        <v>0</v>
      </c>
      <c r="AD753" s="14">
        <f t="shared" si="28"/>
        <v>0</v>
      </c>
      <c r="AE753" s="14">
        <f t="shared" si="28"/>
        <v>0</v>
      </c>
      <c r="AF753" s="14">
        <f t="shared" si="28"/>
        <v>0</v>
      </c>
      <c r="AG753" s="14">
        <f t="shared" si="28"/>
        <v>3</v>
      </c>
      <c r="AH753" s="14">
        <f t="shared" si="28"/>
        <v>0</v>
      </c>
      <c r="AI753" s="14">
        <f t="shared" si="28"/>
        <v>0</v>
      </c>
      <c r="AJ753" s="14">
        <f t="shared" si="28"/>
        <v>0</v>
      </c>
      <c r="AK753" s="14">
        <f t="shared" si="28"/>
        <v>0</v>
      </c>
      <c r="AL753" s="14">
        <f t="shared" si="28"/>
        <v>0</v>
      </c>
      <c r="AM753" s="14">
        <f t="shared" si="28"/>
        <v>0</v>
      </c>
      <c r="AN753" s="14">
        <f t="shared" si="28"/>
        <v>0</v>
      </c>
      <c r="AO753" s="14">
        <f t="shared" si="28"/>
        <v>0</v>
      </c>
      <c r="AP753" s="14">
        <f t="shared" si="28"/>
        <v>0</v>
      </c>
      <c r="AQ753" s="14">
        <f t="shared" si="28"/>
        <v>2</v>
      </c>
      <c r="AR753" s="14">
        <f t="shared" si="28"/>
        <v>5</v>
      </c>
      <c r="AS753" s="14">
        <f t="shared" si="28"/>
        <v>0</v>
      </c>
      <c r="AT753" s="14">
        <f t="shared" si="28"/>
        <v>0</v>
      </c>
      <c r="AU753" s="14">
        <f t="shared" si="28"/>
        <v>0</v>
      </c>
      <c r="AV753" s="14">
        <f t="shared" si="28"/>
        <v>0</v>
      </c>
      <c r="AW753" s="14">
        <f t="shared" si="28"/>
        <v>0</v>
      </c>
      <c r="AX753" s="14">
        <f t="shared" si="28"/>
        <v>0</v>
      </c>
      <c r="AY753" s="14">
        <f t="shared" si="28"/>
        <v>7</v>
      </c>
    </row>
    <row r="754" spans="1:51" ht="16.5" customHeight="1" x14ac:dyDescent="0.25">
      <c r="A754" s="9" t="s">
        <v>916</v>
      </c>
      <c r="B754" s="1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</row>
    <row r="755" spans="1:51" ht="16.5" customHeight="1" x14ac:dyDescent="0.25">
      <c r="A755" s="10">
        <v>1</v>
      </c>
      <c r="B755" s="11" t="s">
        <v>742</v>
      </c>
      <c r="C755" s="10">
        <v>3</v>
      </c>
      <c r="D755" s="10">
        <v>30</v>
      </c>
      <c r="E755" s="10">
        <v>0</v>
      </c>
      <c r="F755" s="10">
        <v>0</v>
      </c>
      <c r="G755" s="10">
        <v>0</v>
      </c>
      <c r="H755" s="10">
        <v>1</v>
      </c>
      <c r="I755" s="10">
        <v>14</v>
      </c>
      <c r="J755" s="10">
        <v>13</v>
      </c>
      <c r="K755" s="10">
        <v>2</v>
      </c>
      <c r="L755" s="10">
        <v>1</v>
      </c>
      <c r="M755" s="10">
        <v>3</v>
      </c>
      <c r="N755" s="10">
        <v>0</v>
      </c>
      <c r="O755" s="10">
        <v>2</v>
      </c>
      <c r="P755" s="10">
        <v>1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44</v>
      </c>
      <c r="X755" s="10">
        <v>81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0">
        <v>0</v>
      </c>
      <c r="AW755" s="10">
        <v>0</v>
      </c>
      <c r="AX755" s="10">
        <v>0</v>
      </c>
      <c r="AY755" s="10">
        <v>81</v>
      </c>
    </row>
    <row r="756" spans="1:51" ht="16.5" customHeight="1" x14ac:dyDescent="0.25">
      <c r="A756" s="10">
        <v>2</v>
      </c>
      <c r="B756" s="11" t="s">
        <v>743</v>
      </c>
      <c r="C756" s="10">
        <v>87</v>
      </c>
      <c r="D756" s="10">
        <v>0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87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0">
        <v>0</v>
      </c>
      <c r="AT756" s="10">
        <v>0</v>
      </c>
      <c r="AU756" s="10">
        <v>0</v>
      </c>
      <c r="AV756" s="10">
        <v>0</v>
      </c>
      <c r="AW756" s="10">
        <v>0</v>
      </c>
      <c r="AX756" s="10">
        <v>0</v>
      </c>
      <c r="AY756" s="10">
        <v>87</v>
      </c>
    </row>
    <row r="757" spans="1:51" ht="16.5" customHeight="1" x14ac:dyDescent="0.25">
      <c r="A757" s="10">
        <v>3</v>
      </c>
      <c r="B757" s="11" t="s">
        <v>744</v>
      </c>
      <c r="C757" s="10">
        <v>0</v>
      </c>
      <c r="D757" s="10">
        <v>255</v>
      </c>
      <c r="E757" s="10">
        <v>255</v>
      </c>
      <c r="F757" s="10">
        <v>0</v>
      </c>
      <c r="G757" s="10">
        <v>255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14</v>
      </c>
      <c r="N757" s="10">
        <v>14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269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0">
        <v>0</v>
      </c>
      <c r="AW757" s="10">
        <v>0</v>
      </c>
      <c r="AX757" s="10">
        <v>0</v>
      </c>
      <c r="AY757" s="10">
        <v>269</v>
      </c>
    </row>
    <row r="758" spans="1:51" ht="16.5" customHeight="1" x14ac:dyDescent="0.25">
      <c r="A758" s="10">
        <v>4</v>
      </c>
      <c r="B758" s="11" t="s">
        <v>745</v>
      </c>
      <c r="C758" s="10">
        <v>0</v>
      </c>
      <c r="D758" s="10">
        <v>15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15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15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0">
        <v>0</v>
      </c>
      <c r="AW758" s="10">
        <v>0</v>
      </c>
      <c r="AX758" s="10">
        <v>0</v>
      </c>
      <c r="AY758" s="10">
        <v>15</v>
      </c>
    </row>
    <row r="759" spans="1:51" ht="16.5" customHeight="1" x14ac:dyDescent="0.25">
      <c r="A759" s="10">
        <v>5</v>
      </c>
      <c r="B759" s="11" t="s">
        <v>746</v>
      </c>
      <c r="C759" s="10">
        <v>0</v>
      </c>
      <c r="D759" s="10">
        <v>76</v>
      </c>
      <c r="E759" s="10">
        <v>76</v>
      </c>
      <c r="F759" s="10">
        <v>0</v>
      </c>
      <c r="G759" s="10">
        <v>76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76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10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10</v>
      </c>
      <c r="AS759" s="10">
        <v>0</v>
      </c>
      <c r="AT759" s="10">
        <v>0</v>
      </c>
      <c r="AU759" s="10">
        <v>0</v>
      </c>
      <c r="AV759" s="10">
        <v>0</v>
      </c>
      <c r="AW759" s="10">
        <v>0</v>
      </c>
      <c r="AX759" s="10">
        <v>0</v>
      </c>
      <c r="AY759" s="10">
        <v>86</v>
      </c>
    </row>
    <row r="760" spans="1:51" ht="16.5" customHeight="1" x14ac:dyDescent="0.25">
      <c r="A760" s="10">
        <v>6</v>
      </c>
      <c r="B760" s="11" t="s">
        <v>747</v>
      </c>
      <c r="C760" s="10">
        <v>0</v>
      </c>
      <c r="D760" s="10">
        <v>21</v>
      </c>
      <c r="E760" s="10">
        <v>0</v>
      </c>
      <c r="F760" s="10">
        <v>0</v>
      </c>
      <c r="G760" s="10">
        <v>0</v>
      </c>
      <c r="H760" s="10">
        <v>0</v>
      </c>
      <c r="I760" s="10">
        <v>21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21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0</v>
      </c>
      <c r="AO760" s="10">
        <v>0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0">
        <v>0</v>
      </c>
      <c r="AW760" s="10">
        <v>0</v>
      </c>
      <c r="AX760" s="10">
        <v>0</v>
      </c>
      <c r="AY760" s="10">
        <v>21</v>
      </c>
    </row>
    <row r="761" spans="1:51" ht="16.5" customHeight="1" x14ac:dyDescent="0.25">
      <c r="A761" s="10">
        <v>7</v>
      </c>
      <c r="B761" s="11" t="s">
        <v>748</v>
      </c>
      <c r="C761" s="10">
        <v>0</v>
      </c>
      <c r="D761" s="10">
        <v>10</v>
      </c>
      <c r="E761" s="10">
        <v>0</v>
      </c>
      <c r="F761" s="10">
        <v>0</v>
      </c>
      <c r="G761" s="10">
        <v>0</v>
      </c>
      <c r="H761" s="10">
        <v>10</v>
      </c>
      <c r="I761" s="10">
        <v>0</v>
      </c>
      <c r="J761" s="10">
        <v>0</v>
      </c>
      <c r="K761" s="10">
        <v>0</v>
      </c>
      <c r="L761" s="10">
        <v>0</v>
      </c>
      <c r="M761" s="10">
        <v>1</v>
      </c>
      <c r="N761" s="10">
        <v>1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11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11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7</v>
      </c>
      <c r="AR761" s="10">
        <v>18</v>
      </c>
      <c r="AS761" s="10">
        <v>0</v>
      </c>
      <c r="AT761" s="10">
        <v>0</v>
      </c>
      <c r="AU761" s="10">
        <v>0</v>
      </c>
      <c r="AV761" s="10">
        <v>0</v>
      </c>
      <c r="AW761" s="10">
        <v>0</v>
      </c>
      <c r="AX761" s="10">
        <v>0</v>
      </c>
      <c r="AY761" s="10">
        <v>29</v>
      </c>
    </row>
    <row r="762" spans="1:51" ht="16.5" customHeight="1" x14ac:dyDescent="0.25">
      <c r="A762" s="10">
        <v>8</v>
      </c>
      <c r="B762" s="11" t="s">
        <v>749</v>
      </c>
      <c r="C762" s="10">
        <v>10</v>
      </c>
      <c r="D762" s="10">
        <v>68</v>
      </c>
      <c r="E762" s="10">
        <v>31</v>
      </c>
      <c r="F762" s="10">
        <v>0</v>
      </c>
      <c r="G762" s="10">
        <v>31</v>
      </c>
      <c r="H762" s="10">
        <v>2</v>
      </c>
      <c r="I762" s="10">
        <v>2</v>
      </c>
      <c r="J762" s="10">
        <v>30</v>
      </c>
      <c r="K762" s="10">
        <v>3</v>
      </c>
      <c r="L762" s="10">
        <v>0</v>
      </c>
      <c r="M762" s="10">
        <v>25</v>
      </c>
      <c r="N762" s="10">
        <v>25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4</v>
      </c>
      <c r="X762" s="10">
        <v>107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0">
        <v>0</v>
      </c>
      <c r="AW762" s="10">
        <v>0</v>
      </c>
      <c r="AX762" s="10">
        <v>0</v>
      </c>
      <c r="AY762" s="10">
        <v>107</v>
      </c>
    </row>
    <row r="763" spans="1:51" ht="16.5" customHeight="1" x14ac:dyDescent="0.25">
      <c r="A763" s="10">
        <v>9</v>
      </c>
      <c r="B763" s="11" t="s">
        <v>750</v>
      </c>
      <c r="C763" s="10">
        <v>0</v>
      </c>
      <c r="D763" s="10">
        <v>37</v>
      </c>
      <c r="E763" s="10">
        <v>37</v>
      </c>
      <c r="F763" s="10">
        <v>0</v>
      </c>
      <c r="G763" s="10">
        <v>37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37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0">
        <v>0</v>
      </c>
      <c r="AW763" s="10">
        <v>0</v>
      </c>
      <c r="AX763" s="10">
        <v>0</v>
      </c>
      <c r="AY763" s="10">
        <v>37</v>
      </c>
    </row>
    <row r="764" spans="1:51" ht="16.5" customHeight="1" x14ac:dyDescent="0.25">
      <c r="A764" s="10">
        <v>10</v>
      </c>
      <c r="B764" s="11" t="s">
        <v>751</v>
      </c>
      <c r="C764" s="10">
        <v>0</v>
      </c>
      <c r="D764" s="10">
        <v>19</v>
      </c>
      <c r="E764" s="10">
        <v>16</v>
      </c>
      <c r="F764" s="10">
        <v>0</v>
      </c>
      <c r="G764" s="10">
        <v>16</v>
      </c>
      <c r="H764" s="10">
        <v>3</v>
      </c>
      <c r="I764" s="10">
        <v>0</v>
      </c>
      <c r="J764" s="10">
        <v>0</v>
      </c>
      <c r="K764" s="10">
        <v>0</v>
      </c>
      <c r="L764" s="10">
        <v>0</v>
      </c>
      <c r="M764" s="10">
        <v>3</v>
      </c>
      <c r="N764" s="10">
        <v>3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22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0">
        <v>0</v>
      </c>
      <c r="AW764" s="10">
        <v>0</v>
      </c>
      <c r="AX764" s="10">
        <v>0</v>
      </c>
      <c r="AY764" s="10">
        <v>22</v>
      </c>
    </row>
    <row r="765" spans="1:51" ht="16.5" customHeight="1" x14ac:dyDescent="0.25">
      <c r="A765" s="10">
        <v>11</v>
      </c>
      <c r="B765" s="11" t="s">
        <v>752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20</v>
      </c>
      <c r="X765" s="10">
        <v>20</v>
      </c>
      <c r="Y765" s="10">
        <v>0</v>
      </c>
      <c r="Z765" s="10">
        <v>0</v>
      </c>
      <c r="AA765" s="10">
        <v>0</v>
      </c>
      <c r="AB765" s="10">
        <v>19</v>
      </c>
      <c r="AC765" s="10">
        <v>0</v>
      </c>
      <c r="AD765" s="10">
        <v>0</v>
      </c>
      <c r="AE765" s="10">
        <v>0</v>
      </c>
      <c r="AF765" s="10">
        <v>0</v>
      </c>
      <c r="AG765" s="10">
        <v>19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19</v>
      </c>
      <c r="AS765" s="10">
        <v>0</v>
      </c>
      <c r="AT765" s="10">
        <v>0</v>
      </c>
      <c r="AU765" s="10">
        <v>0</v>
      </c>
      <c r="AV765" s="10">
        <v>0</v>
      </c>
      <c r="AW765" s="10">
        <v>0</v>
      </c>
      <c r="AX765" s="10">
        <v>0</v>
      </c>
      <c r="AY765" s="10">
        <v>39</v>
      </c>
    </row>
    <row r="766" spans="1:51" ht="16.5" customHeight="1" x14ac:dyDescent="0.25">
      <c r="A766" s="10">
        <v>12</v>
      </c>
      <c r="B766" s="11" t="s">
        <v>753</v>
      </c>
      <c r="C766" s="10">
        <v>4</v>
      </c>
      <c r="D766" s="10">
        <v>24</v>
      </c>
      <c r="E766" s="10">
        <v>17</v>
      </c>
      <c r="F766" s="10">
        <v>0</v>
      </c>
      <c r="G766" s="10">
        <v>17</v>
      </c>
      <c r="H766" s="10">
        <v>0</v>
      </c>
      <c r="I766" s="10">
        <v>7</v>
      </c>
      <c r="J766" s="10">
        <v>0</v>
      </c>
      <c r="K766" s="10">
        <v>0</v>
      </c>
      <c r="L766" s="10">
        <v>0</v>
      </c>
      <c r="M766" s="10">
        <v>2</v>
      </c>
      <c r="N766" s="10">
        <v>2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30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0">
        <v>0</v>
      </c>
      <c r="AW766" s="10">
        <v>0</v>
      </c>
      <c r="AX766" s="10">
        <v>0</v>
      </c>
      <c r="AY766" s="10">
        <v>30</v>
      </c>
    </row>
    <row r="767" spans="1:51" ht="16.5" customHeight="1" x14ac:dyDescent="0.25">
      <c r="A767" s="10">
        <v>13</v>
      </c>
      <c r="B767" s="11" t="s">
        <v>190</v>
      </c>
      <c r="C767" s="10">
        <v>0</v>
      </c>
      <c r="D767" s="10">
        <v>21</v>
      </c>
      <c r="E767" s="10">
        <v>0</v>
      </c>
      <c r="F767" s="10">
        <v>0</v>
      </c>
      <c r="G767" s="10">
        <v>0</v>
      </c>
      <c r="H767" s="10">
        <v>18</v>
      </c>
      <c r="I767" s="10">
        <v>0</v>
      </c>
      <c r="J767" s="10">
        <v>0</v>
      </c>
      <c r="K767" s="10">
        <v>3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21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0">
        <v>0</v>
      </c>
      <c r="AW767" s="10">
        <v>0</v>
      </c>
      <c r="AX767" s="10">
        <v>0</v>
      </c>
      <c r="AY767" s="10">
        <v>21</v>
      </c>
    </row>
    <row r="768" spans="1:51" ht="16.5" customHeight="1" x14ac:dyDescent="0.25">
      <c r="A768" s="10">
        <v>14</v>
      </c>
      <c r="B768" s="11" t="s">
        <v>754</v>
      </c>
      <c r="C768" s="10">
        <v>0</v>
      </c>
      <c r="D768" s="10">
        <v>27</v>
      </c>
      <c r="E768" s="10">
        <v>27</v>
      </c>
      <c r="F768" s="10">
        <v>0</v>
      </c>
      <c r="G768" s="10">
        <v>27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27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27</v>
      </c>
    </row>
    <row r="769" spans="1:51" ht="16.5" customHeight="1" x14ac:dyDescent="0.25">
      <c r="A769" s="10">
        <v>15</v>
      </c>
      <c r="B769" s="11" t="s">
        <v>755</v>
      </c>
      <c r="C769" s="10">
        <v>0</v>
      </c>
      <c r="D769" s="10">
        <v>25</v>
      </c>
      <c r="E769" s="10">
        <v>25</v>
      </c>
      <c r="F769" s="10">
        <v>0</v>
      </c>
      <c r="G769" s="10">
        <v>25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25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0">
        <v>0</v>
      </c>
      <c r="AT769" s="10">
        <v>0</v>
      </c>
      <c r="AU769" s="10">
        <v>0</v>
      </c>
      <c r="AV769" s="10">
        <v>0</v>
      </c>
      <c r="AW769" s="10">
        <v>0</v>
      </c>
      <c r="AX769" s="10">
        <v>0</v>
      </c>
      <c r="AY769" s="10">
        <v>25</v>
      </c>
    </row>
    <row r="770" spans="1:51" ht="16.5" customHeight="1" x14ac:dyDescent="0.25">
      <c r="A770" s="10">
        <v>16</v>
      </c>
      <c r="B770" s="11" t="s">
        <v>756</v>
      </c>
      <c r="C770" s="10">
        <v>0</v>
      </c>
      <c r="D770" s="10">
        <v>28</v>
      </c>
      <c r="E770" s="10">
        <v>28</v>
      </c>
      <c r="F770" s="10">
        <v>0</v>
      </c>
      <c r="G770" s="10">
        <v>28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19</v>
      </c>
      <c r="N770" s="10">
        <v>0</v>
      </c>
      <c r="O770" s="10">
        <v>0</v>
      </c>
      <c r="P770" s="10">
        <v>0</v>
      </c>
      <c r="Q770" s="10">
        <v>0</v>
      </c>
      <c r="R770" s="10">
        <v>19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47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0">
        <v>0</v>
      </c>
      <c r="AW770" s="10">
        <v>0</v>
      </c>
      <c r="AX770" s="10">
        <v>0</v>
      </c>
      <c r="AY770" s="10">
        <v>47</v>
      </c>
    </row>
    <row r="771" spans="1:51" ht="16.5" customHeight="1" x14ac:dyDescent="0.25">
      <c r="A771" s="10">
        <v>17</v>
      </c>
      <c r="B771" s="11" t="s">
        <v>757</v>
      </c>
      <c r="C771" s="10">
        <v>0</v>
      </c>
      <c r="D771" s="10">
        <v>60</v>
      </c>
      <c r="E771" s="10">
        <v>60</v>
      </c>
      <c r="F771" s="10">
        <v>0</v>
      </c>
      <c r="G771" s="10">
        <v>60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60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0">
        <v>0</v>
      </c>
      <c r="AW771" s="10">
        <v>0</v>
      </c>
      <c r="AX771" s="10">
        <v>0</v>
      </c>
      <c r="AY771" s="10">
        <v>60</v>
      </c>
    </row>
    <row r="772" spans="1:51" ht="16.5" customHeight="1" x14ac:dyDescent="0.25">
      <c r="A772" s="10">
        <v>18</v>
      </c>
      <c r="B772" s="11" t="s">
        <v>758</v>
      </c>
      <c r="C772" s="10">
        <v>0</v>
      </c>
      <c r="D772" s="10">
        <v>44</v>
      </c>
      <c r="E772" s="10">
        <v>29</v>
      </c>
      <c r="F772" s="10">
        <v>0</v>
      </c>
      <c r="G772" s="10">
        <v>29</v>
      </c>
      <c r="H772" s="10">
        <v>0</v>
      </c>
      <c r="I772" s="10">
        <v>0</v>
      </c>
      <c r="J772" s="10">
        <v>0</v>
      </c>
      <c r="K772" s="10">
        <v>15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44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0">
        <v>0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44</v>
      </c>
    </row>
    <row r="773" spans="1:51" ht="16.5" customHeight="1" x14ac:dyDescent="0.25">
      <c r="A773" s="10">
        <v>19</v>
      </c>
      <c r="B773" s="11" t="s">
        <v>759</v>
      </c>
      <c r="C773" s="10">
        <v>0</v>
      </c>
      <c r="D773" s="10">
        <v>8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  <c r="J773" s="10">
        <v>1</v>
      </c>
      <c r="K773" s="10">
        <v>7</v>
      </c>
      <c r="L773" s="10">
        <v>0</v>
      </c>
      <c r="M773" s="10">
        <v>25</v>
      </c>
      <c r="N773" s="10">
        <v>25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37</v>
      </c>
      <c r="X773" s="10">
        <v>70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0">
        <v>0</v>
      </c>
      <c r="AW773" s="10">
        <v>0</v>
      </c>
      <c r="AX773" s="10">
        <v>0</v>
      </c>
      <c r="AY773" s="10">
        <v>70</v>
      </c>
    </row>
    <row r="774" spans="1:51" ht="16.5" customHeight="1" x14ac:dyDescent="0.25">
      <c r="A774" s="10">
        <v>20</v>
      </c>
      <c r="B774" s="11" t="s">
        <v>760</v>
      </c>
      <c r="C774" s="10">
        <v>0</v>
      </c>
      <c r="D774" s="10">
        <v>20</v>
      </c>
      <c r="E774" s="10">
        <v>7</v>
      </c>
      <c r="F774" s="10">
        <v>6</v>
      </c>
      <c r="G774" s="10">
        <v>1</v>
      </c>
      <c r="H774" s="10">
        <v>1</v>
      </c>
      <c r="I774" s="10">
        <v>4</v>
      </c>
      <c r="J774" s="10">
        <v>7</v>
      </c>
      <c r="K774" s="10">
        <v>1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2</v>
      </c>
      <c r="X774" s="10">
        <v>22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2</v>
      </c>
      <c r="AV774" s="10">
        <v>0</v>
      </c>
      <c r="AW774" s="10">
        <v>0</v>
      </c>
      <c r="AX774" s="10">
        <v>2</v>
      </c>
      <c r="AY774" s="10">
        <v>24</v>
      </c>
    </row>
    <row r="775" spans="1:51" ht="16.5" customHeight="1" x14ac:dyDescent="0.25">
      <c r="A775" s="10">
        <v>21</v>
      </c>
      <c r="B775" s="11" t="s">
        <v>761</v>
      </c>
      <c r="C775" s="10">
        <v>15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15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0">
        <v>0</v>
      </c>
      <c r="AW775" s="10">
        <v>0</v>
      </c>
      <c r="AX775" s="10">
        <v>0</v>
      </c>
      <c r="AY775" s="10">
        <v>15</v>
      </c>
    </row>
    <row r="776" spans="1:51" ht="16.5" customHeight="1" x14ac:dyDescent="0.25">
      <c r="A776" s="10">
        <v>22</v>
      </c>
      <c r="B776" s="11" t="s">
        <v>762</v>
      </c>
      <c r="C776" s="10">
        <v>0</v>
      </c>
      <c r="D776" s="10">
        <v>65</v>
      </c>
      <c r="E776" s="10">
        <v>65</v>
      </c>
      <c r="F776" s="10">
        <v>0</v>
      </c>
      <c r="G776" s="10">
        <v>65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65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0</v>
      </c>
      <c r="AJ776" s="10">
        <v>0</v>
      </c>
      <c r="AK776" s="10">
        <v>0</v>
      </c>
      <c r="AL776" s="10">
        <v>0</v>
      </c>
      <c r="AM776" s="10">
        <v>0</v>
      </c>
      <c r="AN776" s="10">
        <v>0</v>
      </c>
      <c r="AO776" s="10">
        <v>0</v>
      </c>
      <c r="AP776" s="10">
        <v>0</v>
      </c>
      <c r="AQ776" s="10">
        <v>0</v>
      </c>
      <c r="AR776" s="10">
        <v>0</v>
      </c>
      <c r="AS776" s="10">
        <v>0</v>
      </c>
      <c r="AT776" s="10">
        <v>0</v>
      </c>
      <c r="AU776" s="10">
        <v>0</v>
      </c>
      <c r="AV776" s="10">
        <v>0</v>
      </c>
      <c r="AW776" s="10">
        <v>0</v>
      </c>
      <c r="AX776" s="10">
        <v>0</v>
      </c>
      <c r="AY776" s="10">
        <v>65</v>
      </c>
    </row>
    <row r="777" spans="1:51" ht="16.5" customHeight="1" x14ac:dyDescent="0.25">
      <c r="A777" s="10">
        <v>23</v>
      </c>
      <c r="B777" s="11" t="s">
        <v>763</v>
      </c>
      <c r="C777" s="10">
        <v>0</v>
      </c>
      <c r="D777" s="10">
        <v>27</v>
      </c>
      <c r="E777" s="10">
        <v>0</v>
      </c>
      <c r="F777" s="10">
        <v>0</v>
      </c>
      <c r="G777" s="10">
        <v>0</v>
      </c>
      <c r="H777" s="10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27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0">
        <v>0</v>
      </c>
      <c r="AT777" s="10">
        <v>0</v>
      </c>
      <c r="AU777" s="10">
        <v>0</v>
      </c>
      <c r="AV777" s="10">
        <v>0</v>
      </c>
      <c r="AW777" s="10">
        <v>0</v>
      </c>
      <c r="AX777" s="10">
        <v>0</v>
      </c>
      <c r="AY777" s="10">
        <v>27</v>
      </c>
    </row>
    <row r="778" spans="1:51" ht="16.5" customHeight="1" x14ac:dyDescent="0.25">
      <c r="A778" s="10">
        <v>24</v>
      </c>
      <c r="B778" s="11" t="s">
        <v>764</v>
      </c>
      <c r="C778" s="10">
        <v>0</v>
      </c>
      <c r="D778" s="10">
        <v>48</v>
      </c>
      <c r="E778" s="10">
        <v>39</v>
      </c>
      <c r="F778" s="10">
        <v>0</v>
      </c>
      <c r="G778" s="10">
        <v>39</v>
      </c>
      <c r="H778" s="10">
        <v>1</v>
      </c>
      <c r="I778" s="10">
        <v>8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48</v>
      </c>
      <c r="Y778" s="10">
        <v>0</v>
      </c>
      <c r="Z778" s="10">
        <v>2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28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30</v>
      </c>
      <c r="AS778" s="10">
        <v>0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78</v>
      </c>
    </row>
    <row r="779" spans="1:51" ht="16.5" customHeight="1" x14ac:dyDescent="0.25">
      <c r="A779" s="10">
        <v>25</v>
      </c>
      <c r="B779" s="11" t="s">
        <v>765</v>
      </c>
      <c r="C779" s="10">
        <v>0</v>
      </c>
      <c r="D779" s="10">
        <v>33</v>
      </c>
      <c r="E779" s="10">
        <v>22</v>
      </c>
      <c r="F779" s="10">
        <v>0</v>
      </c>
      <c r="G779" s="10">
        <v>22</v>
      </c>
      <c r="H779" s="10">
        <v>0</v>
      </c>
      <c r="I779" s="10">
        <v>0</v>
      </c>
      <c r="J779" s="10">
        <v>8</v>
      </c>
      <c r="K779" s="10">
        <v>3</v>
      </c>
      <c r="L779" s="10">
        <v>0</v>
      </c>
      <c r="M779" s="10">
        <v>6</v>
      </c>
      <c r="N779" s="10">
        <v>3</v>
      </c>
      <c r="O779" s="10">
        <v>3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39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0">
        <v>0</v>
      </c>
      <c r="AW779" s="10">
        <v>0</v>
      </c>
      <c r="AX779" s="10">
        <v>0</v>
      </c>
      <c r="AY779" s="10">
        <v>39</v>
      </c>
    </row>
    <row r="780" spans="1:51" ht="16.5" customHeight="1" x14ac:dyDescent="0.25">
      <c r="A780" s="10">
        <v>26</v>
      </c>
      <c r="B780" s="11" t="s">
        <v>766</v>
      </c>
      <c r="C780" s="10">
        <v>0</v>
      </c>
      <c r="D780" s="10">
        <v>25</v>
      </c>
      <c r="E780" s="10">
        <v>7</v>
      </c>
      <c r="F780" s="10">
        <v>0</v>
      </c>
      <c r="G780" s="10">
        <v>7</v>
      </c>
      <c r="H780" s="10">
        <v>15</v>
      </c>
      <c r="I780" s="10">
        <v>2</v>
      </c>
      <c r="J780" s="10">
        <v>0</v>
      </c>
      <c r="K780" s="10">
        <v>1</v>
      </c>
      <c r="L780" s="10">
        <v>0</v>
      </c>
      <c r="M780" s="10">
        <v>3</v>
      </c>
      <c r="N780" s="10">
        <v>3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28</v>
      </c>
      <c r="Y780" s="10">
        <v>0</v>
      </c>
      <c r="Z780" s="10">
        <v>2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13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15</v>
      </c>
      <c r="AS780" s="10">
        <v>0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43</v>
      </c>
    </row>
    <row r="781" spans="1:51" ht="16.5" customHeight="1" x14ac:dyDescent="0.25">
      <c r="A781" s="10">
        <v>27</v>
      </c>
      <c r="B781" s="11" t="s">
        <v>767</v>
      </c>
      <c r="C781" s="10">
        <v>0</v>
      </c>
      <c r="D781" s="10">
        <v>31</v>
      </c>
      <c r="E781" s="10">
        <v>26</v>
      </c>
      <c r="F781" s="10">
        <v>26</v>
      </c>
      <c r="G781" s="10">
        <v>0</v>
      </c>
      <c r="H781" s="10">
        <v>5</v>
      </c>
      <c r="I781" s="10">
        <v>0</v>
      </c>
      <c r="J781" s="10">
        <v>0</v>
      </c>
      <c r="K781" s="10">
        <v>0</v>
      </c>
      <c r="L781" s="10">
        <v>0</v>
      </c>
      <c r="M781" s="10">
        <v>8</v>
      </c>
      <c r="N781" s="10">
        <v>8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39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0">
        <v>0</v>
      </c>
      <c r="AW781" s="10">
        <v>0</v>
      </c>
      <c r="AX781" s="10">
        <v>0</v>
      </c>
      <c r="AY781" s="10">
        <v>39</v>
      </c>
    </row>
    <row r="782" spans="1:51" ht="16.5" customHeight="1" x14ac:dyDescent="0.25">
      <c r="A782" s="10">
        <v>28</v>
      </c>
      <c r="B782" s="11" t="s">
        <v>768</v>
      </c>
      <c r="C782" s="10">
        <v>0</v>
      </c>
      <c r="D782" s="10">
        <v>3</v>
      </c>
      <c r="E782" s="10">
        <v>0</v>
      </c>
      <c r="F782" s="10">
        <v>0</v>
      </c>
      <c r="G782" s="10">
        <v>0</v>
      </c>
      <c r="H782" s="10">
        <v>1</v>
      </c>
      <c r="I782" s="10">
        <v>1</v>
      </c>
      <c r="J782" s="10">
        <v>1</v>
      </c>
      <c r="K782" s="10">
        <v>0</v>
      </c>
      <c r="L782" s="10">
        <v>0</v>
      </c>
      <c r="M782" s="10">
        <v>6</v>
      </c>
      <c r="N782" s="10">
        <v>1</v>
      </c>
      <c r="O782" s="10">
        <v>5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44</v>
      </c>
      <c r="X782" s="10">
        <v>53</v>
      </c>
      <c r="Y782" s="10">
        <v>0</v>
      </c>
      <c r="Z782" s="10">
        <v>1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3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1</v>
      </c>
      <c r="AP782" s="10">
        <v>1</v>
      </c>
      <c r="AQ782" s="10">
        <v>0</v>
      </c>
      <c r="AR782" s="10">
        <v>6</v>
      </c>
      <c r="AS782" s="10">
        <v>0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59</v>
      </c>
    </row>
    <row r="783" spans="1:51" ht="16.5" customHeight="1" x14ac:dyDescent="0.25">
      <c r="A783" s="10">
        <v>29</v>
      </c>
      <c r="B783" s="11" t="s">
        <v>113</v>
      </c>
      <c r="C783" s="10">
        <v>0</v>
      </c>
      <c r="D783" s="10">
        <v>1</v>
      </c>
      <c r="E783" s="10">
        <v>1</v>
      </c>
      <c r="F783" s="10">
        <v>0</v>
      </c>
      <c r="G783" s="10">
        <v>1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2</v>
      </c>
      <c r="N783" s="10">
        <v>0</v>
      </c>
      <c r="O783" s="10">
        <v>0</v>
      </c>
      <c r="P783" s="10">
        <v>0</v>
      </c>
      <c r="Q783" s="10">
        <v>0</v>
      </c>
      <c r="R783" s="10">
        <v>2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3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0">
        <v>0</v>
      </c>
      <c r="AW783" s="10">
        <v>0</v>
      </c>
      <c r="AX783" s="10">
        <v>0</v>
      </c>
      <c r="AY783" s="10">
        <v>3</v>
      </c>
    </row>
    <row r="784" spans="1:51" ht="16.5" customHeight="1" x14ac:dyDescent="0.25">
      <c r="A784" s="10">
        <v>30</v>
      </c>
      <c r="B784" s="11" t="s">
        <v>769</v>
      </c>
      <c r="C784" s="10">
        <v>0</v>
      </c>
      <c r="D784" s="10">
        <v>224</v>
      </c>
      <c r="E784" s="10">
        <v>224</v>
      </c>
      <c r="F784" s="10">
        <v>0</v>
      </c>
      <c r="G784" s="10">
        <v>224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224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224</v>
      </c>
    </row>
    <row r="785" spans="1:51" ht="16.5" customHeight="1" x14ac:dyDescent="0.25">
      <c r="A785" s="10">
        <v>31</v>
      </c>
      <c r="B785" s="11" t="s">
        <v>770</v>
      </c>
      <c r="C785" s="10">
        <v>0</v>
      </c>
      <c r="D785" s="10">
        <v>145</v>
      </c>
      <c r="E785" s="10">
        <v>145</v>
      </c>
      <c r="F785" s="10">
        <v>145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145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0">
        <v>0</v>
      </c>
      <c r="AW785" s="10">
        <v>0</v>
      </c>
      <c r="AX785" s="10">
        <v>0</v>
      </c>
      <c r="AY785" s="10">
        <v>145</v>
      </c>
    </row>
    <row r="786" spans="1:51" ht="16.5" customHeight="1" x14ac:dyDescent="0.25">
      <c r="A786" s="10">
        <v>32</v>
      </c>
      <c r="B786" s="11" t="s">
        <v>771</v>
      </c>
      <c r="C786" s="10">
        <v>7</v>
      </c>
      <c r="D786" s="10">
        <v>68</v>
      </c>
      <c r="E786" s="10">
        <v>0</v>
      </c>
      <c r="F786" s="10">
        <v>0</v>
      </c>
      <c r="G786" s="10">
        <v>0</v>
      </c>
      <c r="H786" s="10">
        <v>0</v>
      </c>
      <c r="I786" s="10">
        <v>9</v>
      </c>
      <c r="J786" s="10">
        <v>59</v>
      </c>
      <c r="K786" s="10">
        <v>0</v>
      </c>
      <c r="L786" s="10">
        <v>0</v>
      </c>
      <c r="M786" s="10">
        <v>3</v>
      </c>
      <c r="N786" s="10">
        <v>3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6</v>
      </c>
      <c r="X786" s="10">
        <v>84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0">
        <v>0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84</v>
      </c>
    </row>
    <row r="787" spans="1:51" ht="16.5" customHeight="1" x14ac:dyDescent="0.25">
      <c r="A787" s="10">
        <v>33</v>
      </c>
      <c r="B787" s="11" t="s">
        <v>772</v>
      </c>
      <c r="C787" s="10">
        <v>0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23</v>
      </c>
      <c r="X787" s="10">
        <v>23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  <c r="AQ787" s="10">
        <v>0</v>
      </c>
      <c r="AR787" s="10">
        <v>0</v>
      </c>
      <c r="AS787" s="10">
        <v>0</v>
      </c>
      <c r="AT787" s="10">
        <v>0</v>
      </c>
      <c r="AU787" s="10">
        <v>0</v>
      </c>
      <c r="AV787" s="10">
        <v>0</v>
      </c>
      <c r="AW787" s="10">
        <v>0</v>
      </c>
      <c r="AX787" s="10">
        <v>0</v>
      </c>
      <c r="AY787" s="10">
        <v>23</v>
      </c>
    </row>
    <row r="788" spans="1:51" ht="16.5" customHeight="1" x14ac:dyDescent="0.25">
      <c r="A788" s="10">
        <v>34</v>
      </c>
      <c r="B788" s="11" t="s">
        <v>773</v>
      </c>
      <c r="C788" s="10">
        <v>0</v>
      </c>
      <c r="D788" s="10">
        <v>188</v>
      </c>
      <c r="E788" s="10">
        <v>188</v>
      </c>
      <c r="F788" s="10">
        <v>0</v>
      </c>
      <c r="G788" s="10">
        <v>188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188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188</v>
      </c>
    </row>
    <row r="789" spans="1:51" ht="16.5" customHeight="1" x14ac:dyDescent="0.25">
      <c r="A789" s="10">
        <v>35</v>
      </c>
      <c r="B789" s="11" t="s">
        <v>285</v>
      </c>
      <c r="C789" s="10">
        <v>0</v>
      </c>
      <c r="D789" s="10">
        <v>4</v>
      </c>
      <c r="E789" s="10">
        <v>0</v>
      </c>
      <c r="F789" s="10">
        <v>0</v>
      </c>
      <c r="G789" s="10">
        <v>0</v>
      </c>
      <c r="H789" s="10">
        <v>0</v>
      </c>
      <c r="I789" s="10">
        <v>1</v>
      </c>
      <c r="J789" s="10">
        <v>3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4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0">
        <v>0</v>
      </c>
      <c r="AT789" s="10">
        <v>0</v>
      </c>
      <c r="AU789" s="10">
        <v>0</v>
      </c>
      <c r="AV789" s="10">
        <v>0</v>
      </c>
      <c r="AW789" s="10">
        <v>0</v>
      </c>
      <c r="AX789" s="10">
        <v>0</v>
      </c>
      <c r="AY789" s="10">
        <v>4</v>
      </c>
    </row>
    <row r="790" spans="1:51" ht="16.5" customHeight="1" x14ac:dyDescent="0.25">
      <c r="A790" s="10">
        <v>36</v>
      </c>
      <c r="B790" s="11" t="s">
        <v>774</v>
      </c>
      <c r="C790" s="10">
        <v>0</v>
      </c>
      <c r="D790" s="10">
        <v>19</v>
      </c>
      <c r="E790" s="10">
        <v>17</v>
      </c>
      <c r="F790" s="10">
        <v>0</v>
      </c>
      <c r="G790" s="10">
        <v>17</v>
      </c>
      <c r="H790" s="10">
        <v>0</v>
      </c>
      <c r="I790" s="10">
        <v>0</v>
      </c>
      <c r="J790" s="10">
        <v>2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19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0">
        <v>0</v>
      </c>
      <c r="AQ790" s="10">
        <v>0</v>
      </c>
      <c r="AR790" s="10">
        <v>0</v>
      </c>
      <c r="AS790" s="10">
        <v>0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19</v>
      </c>
    </row>
    <row r="791" spans="1:51" ht="16.5" customHeight="1" x14ac:dyDescent="0.25">
      <c r="A791" s="10">
        <v>37</v>
      </c>
      <c r="B791" s="11" t="s">
        <v>775</v>
      </c>
      <c r="C791" s="10">
        <v>0</v>
      </c>
      <c r="D791" s="10">
        <v>0</v>
      </c>
      <c r="E791" s="10">
        <v>0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18</v>
      </c>
      <c r="X791" s="10">
        <v>18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0">
        <v>0</v>
      </c>
      <c r="AT791" s="10">
        <v>0</v>
      </c>
      <c r="AU791" s="10">
        <v>0</v>
      </c>
      <c r="AV791" s="10">
        <v>0</v>
      </c>
      <c r="AW791" s="10">
        <v>0</v>
      </c>
      <c r="AX791" s="10">
        <v>0</v>
      </c>
      <c r="AY791" s="10">
        <v>18</v>
      </c>
    </row>
    <row r="792" spans="1:51" ht="16.5" customHeight="1" x14ac:dyDescent="0.25">
      <c r="A792" s="10">
        <v>38</v>
      </c>
      <c r="B792" s="11" t="s">
        <v>776</v>
      </c>
      <c r="C792" s="10">
        <v>0</v>
      </c>
      <c r="D792" s="10">
        <v>30</v>
      </c>
      <c r="E792" s="10">
        <v>30</v>
      </c>
      <c r="F792" s="10">
        <v>0</v>
      </c>
      <c r="G792" s="10">
        <v>30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30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0">
        <v>0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30</v>
      </c>
    </row>
    <row r="793" spans="1:51" ht="16.5" customHeight="1" x14ac:dyDescent="0.25">
      <c r="A793" s="10">
        <v>39</v>
      </c>
      <c r="B793" s="11" t="s">
        <v>777</v>
      </c>
      <c r="C793" s="10">
        <v>0</v>
      </c>
      <c r="D793" s="10">
        <v>16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16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16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0">
        <v>0</v>
      </c>
      <c r="AT793" s="10">
        <v>0</v>
      </c>
      <c r="AU793" s="10">
        <v>0</v>
      </c>
      <c r="AV793" s="10">
        <v>0</v>
      </c>
      <c r="AW793" s="10">
        <v>0</v>
      </c>
      <c r="AX793" s="10">
        <v>0</v>
      </c>
      <c r="AY793" s="10">
        <v>16</v>
      </c>
    </row>
    <row r="794" spans="1:51" ht="16.5" customHeight="1" x14ac:dyDescent="0.25">
      <c r="A794" s="10">
        <v>40</v>
      </c>
      <c r="B794" s="11" t="s">
        <v>778</v>
      </c>
      <c r="C794" s="10">
        <v>0</v>
      </c>
      <c r="D794" s="10">
        <v>26</v>
      </c>
      <c r="E794" s="10">
        <v>26</v>
      </c>
      <c r="F794" s="10">
        <v>0</v>
      </c>
      <c r="G794" s="10">
        <v>26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26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0">
        <v>0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26</v>
      </c>
    </row>
    <row r="795" spans="1:51" ht="16.5" customHeight="1" x14ac:dyDescent="0.25">
      <c r="A795" s="10">
        <v>41</v>
      </c>
      <c r="B795" s="11" t="s">
        <v>779</v>
      </c>
      <c r="C795" s="10">
        <v>0</v>
      </c>
      <c r="D795" s="10">
        <v>41</v>
      </c>
      <c r="E795" s="10">
        <v>32</v>
      </c>
      <c r="F795" s="10">
        <v>0</v>
      </c>
      <c r="G795" s="10">
        <v>32</v>
      </c>
      <c r="H795" s="10">
        <v>0</v>
      </c>
      <c r="I795" s="10">
        <v>0</v>
      </c>
      <c r="J795" s="10">
        <v>9</v>
      </c>
      <c r="K795" s="10">
        <v>0</v>
      </c>
      <c r="L795" s="10">
        <v>0</v>
      </c>
      <c r="M795" s="10">
        <v>12</v>
      </c>
      <c r="N795" s="10">
        <v>0</v>
      </c>
      <c r="O795" s="10">
        <v>0</v>
      </c>
      <c r="P795" s="10">
        <v>0</v>
      </c>
      <c r="Q795" s="10">
        <v>0</v>
      </c>
      <c r="R795" s="10">
        <v>12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53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0">
        <v>0</v>
      </c>
      <c r="AT795" s="10">
        <v>0</v>
      </c>
      <c r="AU795" s="10">
        <v>0</v>
      </c>
      <c r="AV795" s="10">
        <v>0</v>
      </c>
      <c r="AW795" s="10">
        <v>0</v>
      </c>
      <c r="AX795" s="10">
        <v>0</v>
      </c>
      <c r="AY795" s="10">
        <v>53</v>
      </c>
    </row>
    <row r="796" spans="1:51" ht="16.5" customHeight="1" x14ac:dyDescent="0.25">
      <c r="A796" s="10">
        <v>42</v>
      </c>
      <c r="B796" s="11" t="s">
        <v>780</v>
      </c>
      <c r="C796" s="10">
        <v>0</v>
      </c>
      <c r="D796" s="10">
        <v>21</v>
      </c>
      <c r="E796" s="10">
        <v>21</v>
      </c>
      <c r="F796" s="10">
        <v>0</v>
      </c>
      <c r="G796" s="10">
        <v>21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21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21</v>
      </c>
    </row>
    <row r="797" spans="1:51" ht="16.5" customHeight="1" x14ac:dyDescent="0.25">
      <c r="A797" s="10">
        <v>43</v>
      </c>
      <c r="B797" s="11" t="s">
        <v>781</v>
      </c>
      <c r="C797" s="10">
        <v>0</v>
      </c>
      <c r="D797" s="10">
        <v>85</v>
      </c>
      <c r="E797" s="10">
        <v>85</v>
      </c>
      <c r="F797" s="10">
        <v>0</v>
      </c>
      <c r="G797" s="10">
        <v>85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85</v>
      </c>
      <c r="Y797" s="10">
        <v>0</v>
      </c>
      <c r="Z797" s="10">
        <v>0</v>
      </c>
      <c r="AA797" s="10">
        <v>0</v>
      </c>
      <c r="AB797" s="10">
        <v>1</v>
      </c>
      <c r="AC797" s="10">
        <v>0</v>
      </c>
      <c r="AD797" s="10">
        <v>0</v>
      </c>
      <c r="AE797" s="10">
        <v>0</v>
      </c>
      <c r="AF797" s="10">
        <v>1</v>
      </c>
      <c r="AG797" s="10">
        <v>0</v>
      </c>
      <c r="AH797" s="10">
        <v>2</v>
      </c>
      <c r="AI797" s="10">
        <v>0</v>
      </c>
      <c r="AJ797" s="10">
        <v>0</v>
      </c>
      <c r="AK797" s="10">
        <v>0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  <c r="AQ797" s="10">
        <v>0</v>
      </c>
      <c r="AR797" s="10">
        <v>3</v>
      </c>
      <c r="AS797" s="10">
        <v>0</v>
      </c>
      <c r="AT797" s="10">
        <v>0</v>
      </c>
      <c r="AU797" s="10">
        <v>0</v>
      </c>
      <c r="AV797" s="10">
        <v>0</v>
      </c>
      <c r="AW797" s="10">
        <v>0</v>
      </c>
      <c r="AX797" s="10">
        <v>0</v>
      </c>
      <c r="AY797" s="10">
        <v>88</v>
      </c>
    </row>
    <row r="798" spans="1:51" ht="16.5" customHeight="1" x14ac:dyDescent="0.25">
      <c r="A798" s="10">
        <v>44</v>
      </c>
      <c r="B798" s="11" t="s">
        <v>782</v>
      </c>
      <c r="C798" s="10">
        <v>0</v>
      </c>
      <c r="D798" s="10">
        <v>217</v>
      </c>
      <c r="E798" s="10">
        <v>176</v>
      </c>
      <c r="F798" s="10">
        <v>0</v>
      </c>
      <c r="G798" s="10">
        <v>176</v>
      </c>
      <c r="H798" s="10">
        <v>0</v>
      </c>
      <c r="I798" s="10">
        <v>41</v>
      </c>
      <c r="J798" s="10">
        <v>0</v>
      </c>
      <c r="K798" s="10">
        <v>0</v>
      </c>
      <c r="L798" s="10">
        <v>0</v>
      </c>
      <c r="M798" s="10">
        <v>31</v>
      </c>
      <c r="N798" s="10">
        <v>31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248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248</v>
      </c>
    </row>
    <row r="799" spans="1:51" ht="16.5" customHeight="1" x14ac:dyDescent="0.25">
      <c r="A799" s="10">
        <v>45</v>
      </c>
      <c r="B799" s="11" t="s">
        <v>783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26</v>
      </c>
      <c r="N799" s="10">
        <v>26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26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0">
        <v>0</v>
      </c>
      <c r="AQ799" s="10">
        <v>0</v>
      </c>
      <c r="AR799" s="10">
        <v>0</v>
      </c>
      <c r="AS799" s="10">
        <v>0</v>
      </c>
      <c r="AT799" s="10">
        <v>0</v>
      </c>
      <c r="AU799" s="10">
        <v>0</v>
      </c>
      <c r="AV799" s="10">
        <v>0</v>
      </c>
      <c r="AW799" s="10">
        <v>0</v>
      </c>
      <c r="AX799" s="10">
        <v>0</v>
      </c>
      <c r="AY799" s="10">
        <v>26</v>
      </c>
    </row>
    <row r="800" spans="1:51" ht="16.5" customHeight="1" x14ac:dyDescent="0.25">
      <c r="A800" s="10">
        <v>46</v>
      </c>
      <c r="B800" s="11" t="s">
        <v>784</v>
      </c>
      <c r="C800" s="10">
        <v>0</v>
      </c>
      <c r="D800" s="10">
        <v>73</v>
      </c>
      <c r="E800" s="10">
        <v>73</v>
      </c>
      <c r="F800" s="10">
        <v>0</v>
      </c>
      <c r="G800" s="10">
        <v>73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73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0">
        <v>0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73</v>
      </c>
    </row>
    <row r="801" spans="1:51" ht="16.5" customHeight="1" x14ac:dyDescent="0.25">
      <c r="A801" s="10">
        <v>47</v>
      </c>
      <c r="B801" s="11" t="s">
        <v>785</v>
      </c>
      <c r="C801" s="10">
        <v>0</v>
      </c>
      <c r="D801" s="10">
        <v>71</v>
      </c>
      <c r="E801" s="10">
        <v>71</v>
      </c>
      <c r="F801" s="10">
        <v>0</v>
      </c>
      <c r="G801" s="10">
        <v>71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71</v>
      </c>
      <c r="Y801" s="10">
        <v>0</v>
      </c>
      <c r="Z801" s="10">
        <v>0</v>
      </c>
      <c r="AA801" s="10">
        <v>0</v>
      </c>
      <c r="AB801" s="10">
        <v>4</v>
      </c>
      <c r="AC801" s="10">
        <v>4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  <c r="AQ801" s="10">
        <v>15</v>
      </c>
      <c r="AR801" s="10">
        <v>19</v>
      </c>
      <c r="AS801" s="10">
        <v>0</v>
      </c>
      <c r="AT801" s="10">
        <v>0</v>
      </c>
      <c r="AU801" s="10">
        <v>0</v>
      </c>
      <c r="AV801" s="10">
        <v>0</v>
      </c>
      <c r="AW801" s="10">
        <v>0</v>
      </c>
      <c r="AX801" s="10">
        <v>0</v>
      </c>
      <c r="AY801" s="10">
        <v>90</v>
      </c>
    </row>
    <row r="802" spans="1:51" ht="16.5" customHeight="1" x14ac:dyDescent="0.25">
      <c r="A802" s="10">
        <v>48</v>
      </c>
      <c r="B802" s="11" t="s">
        <v>786</v>
      </c>
      <c r="C802" s="10">
        <v>0</v>
      </c>
      <c r="D802" s="10">
        <v>38</v>
      </c>
      <c r="E802" s="10">
        <v>0</v>
      </c>
      <c r="F802" s="10">
        <v>0</v>
      </c>
      <c r="G802" s="10">
        <v>0</v>
      </c>
      <c r="H802" s="10">
        <v>38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38</v>
      </c>
      <c r="Y802" s="10">
        <v>0</v>
      </c>
      <c r="Z802" s="10">
        <v>2</v>
      </c>
      <c r="AA802" s="10">
        <v>3</v>
      </c>
      <c r="AB802" s="10">
        <v>23</v>
      </c>
      <c r="AC802" s="10">
        <v>0</v>
      </c>
      <c r="AD802" s="10">
        <v>0</v>
      </c>
      <c r="AE802" s="10">
        <v>23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0">
        <v>7</v>
      </c>
      <c r="AQ802" s="10">
        <v>2</v>
      </c>
      <c r="AR802" s="10">
        <v>37</v>
      </c>
      <c r="AS802" s="10">
        <v>0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75</v>
      </c>
    </row>
    <row r="803" spans="1:51" ht="16.5" customHeight="1" x14ac:dyDescent="0.25">
      <c r="A803" s="10">
        <v>49</v>
      </c>
      <c r="B803" s="11" t="s">
        <v>787</v>
      </c>
      <c r="C803" s="10">
        <v>0</v>
      </c>
      <c r="D803" s="10">
        <v>1</v>
      </c>
      <c r="E803" s="10">
        <v>1</v>
      </c>
      <c r="F803" s="10">
        <v>0</v>
      </c>
      <c r="G803" s="10">
        <v>1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1</v>
      </c>
      <c r="N803" s="10">
        <v>1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2</v>
      </c>
      <c r="Y803" s="10">
        <v>0</v>
      </c>
      <c r="Z803" s="10">
        <v>0</v>
      </c>
      <c r="AA803" s="10">
        <v>0</v>
      </c>
      <c r="AB803" s="10">
        <v>7</v>
      </c>
      <c r="AC803" s="10">
        <v>0</v>
      </c>
      <c r="AD803" s="10">
        <v>5</v>
      </c>
      <c r="AE803" s="10">
        <v>1</v>
      </c>
      <c r="AF803" s="10">
        <v>1</v>
      </c>
      <c r="AG803" s="10">
        <v>0</v>
      </c>
      <c r="AH803" s="10">
        <v>0</v>
      </c>
      <c r="AI803" s="10">
        <v>0</v>
      </c>
      <c r="AJ803" s="10">
        <v>0</v>
      </c>
      <c r="AK803" s="10">
        <v>8</v>
      </c>
      <c r="AL803" s="10">
        <v>0</v>
      </c>
      <c r="AM803" s="10">
        <v>0</v>
      </c>
      <c r="AN803" s="10">
        <v>0</v>
      </c>
      <c r="AO803" s="10">
        <v>2</v>
      </c>
      <c r="AP803" s="10">
        <v>1</v>
      </c>
      <c r="AQ803" s="10">
        <v>0</v>
      </c>
      <c r="AR803" s="10">
        <v>18</v>
      </c>
      <c r="AS803" s="10">
        <v>0</v>
      </c>
      <c r="AT803" s="10">
        <v>0</v>
      </c>
      <c r="AU803" s="10">
        <v>0</v>
      </c>
      <c r="AV803" s="10">
        <v>0</v>
      </c>
      <c r="AW803" s="10">
        <v>0</v>
      </c>
      <c r="AX803" s="10">
        <v>0</v>
      </c>
      <c r="AY803" s="10">
        <v>20</v>
      </c>
    </row>
    <row r="804" spans="1:51" ht="16.5" customHeight="1" x14ac:dyDescent="0.25">
      <c r="A804" s="10">
        <v>50</v>
      </c>
      <c r="B804" s="11" t="s">
        <v>788</v>
      </c>
      <c r="C804" s="10">
        <v>16</v>
      </c>
      <c r="D804" s="10">
        <v>546</v>
      </c>
      <c r="E804" s="10">
        <v>471</v>
      </c>
      <c r="F804" s="10">
        <v>0</v>
      </c>
      <c r="G804" s="10">
        <v>471</v>
      </c>
      <c r="H804" s="10">
        <v>8</v>
      </c>
      <c r="I804" s="10">
        <v>53</v>
      </c>
      <c r="J804" s="10">
        <v>13</v>
      </c>
      <c r="K804" s="10">
        <v>1</v>
      </c>
      <c r="L804" s="10">
        <v>0</v>
      </c>
      <c r="M804" s="10">
        <v>47</v>
      </c>
      <c r="N804" s="10">
        <v>40</v>
      </c>
      <c r="O804" s="10">
        <v>6</v>
      </c>
      <c r="P804" s="10">
        <v>1</v>
      </c>
      <c r="Q804" s="10">
        <v>0</v>
      </c>
      <c r="R804" s="10">
        <v>0</v>
      </c>
      <c r="S804" s="10">
        <v>3</v>
      </c>
      <c r="T804" s="10">
        <v>0</v>
      </c>
      <c r="U804" s="10">
        <v>0</v>
      </c>
      <c r="V804" s="10">
        <v>0</v>
      </c>
      <c r="W804" s="10">
        <v>0</v>
      </c>
      <c r="X804" s="10">
        <v>612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0</v>
      </c>
      <c r="AP804" s="10">
        <v>10</v>
      </c>
      <c r="AQ804" s="10">
        <v>0</v>
      </c>
      <c r="AR804" s="10">
        <v>10</v>
      </c>
      <c r="AS804" s="10">
        <v>3</v>
      </c>
      <c r="AT804" s="10">
        <v>0</v>
      </c>
      <c r="AU804" s="10">
        <v>2</v>
      </c>
      <c r="AV804" s="10">
        <v>4</v>
      </c>
      <c r="AW804" s="10">
        <v>0</v>
      </c>
      <c r="AX804" s="10">
        <v>9</v>
      </c>
      <c r="AY804" s="10">
        <v>631</v>
      </c>
    </row>
    <row r="805" spans="1:51" ht="16.5" customHeight="1" x14ac:dyDescent="0.25">
      <c r="A805" s="10">
        <v>51</v>
      </c>
      <c r="B805" s="11" t="s">
        <v>789</v>
      </c>
      <c r="C805" s="10">
        <v>0</v>
      </c>
      <c r="D805" s="10">
        <v>17</v>
      </c>
      <c r="E805" s="10">
        <v>16</v>
      </c>
      <c r="F805" s="10">
        <v>0</v>
      </c>
      <c r="G805" s="10">
        <v>16</v>
      </c>
      <c r="H805" s="10">
        <v>1</v>
      </c>
      <c r="I805" s="10">
        <v>0</v>
      </c>
      <c r="J805" s="10">
        <v>0</v>
      </c>
      <c r="K805" s="10">
        <v>0</v>
      </c>
      <c r="L805" s="10">
        <v>0</v>
      </c>
      <c r="M805" s="10">
        <v>12</v>
      </c>
      <c r="N805" s="10">
        <v>12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29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0">
        <v>0</v>
      </c>
      <c r="AQ805" s="10">
        <v>0</v>
      </c>
      <c r="AR805" s="10">
        <v>0</v>
      </c>
      <c r="AS805" s="10">
        <v>0</v>
      </c>
      <c r="AT805" s="10">
        <v>0</v>
      </c>
      <c r="AU805" s="10">
        <v>0</v>
      </c>
      <c r="AV805" s="10">
        <v>0</v>
      </c>
      <c r="AW805" s="10">
        <v>0</v>
      </c>
      <c r="AX805" s="10">
        <v>0</v>
      </c>
      <c r="AY805" s="10">
        <v>29</v>
      </c>
    </row>
    <row r="806" spans="1:51" ht="16.5" customHeight="1" x14ac:dyDescent="0.25">
      <c r="A806" s="10">
        <v>52</v>
      </c>
      <c r="B806" s="11" t="s">
        <v>790</v>
      </c>
      <c r="C806" s="10">
        <v>0</v>
      </c>
      <c r="D806" s="10">
        <v>12</v>
      </c>
      <c r="E806" s="10">
        <v>12</v>
      </c>
      <c r="F806" s="10">
        <v>0</v>
      </c>
      <c r="G806" s="10">
        <v>12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12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12</v>
      </c>
    </row>
    <row r="807" spans="1:51" ht="16.5" customHeight="1" x14ac:dyDescent="0.25">
      <c r="A807" s="10">
        <v>53</v>
      </c>
      <c r="B807" s="11" t="s">
        <v>791</v>
      </c>
      <c r="C807" s="10">
        <v>0</v>
      </c>
      <c r="D807" s="10">
        <v>78</v>
      </c>
      <c r="E807" s="10">
        <v>78</v>
      </c>
      <c r="F807" s="10">
        <v>0</v>
      </c>
      <c r="G807" s="10">
        <v>78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78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15</v>
      </c>
      <c r="AR807" s="10">
        <v>15</v>
      </c>
      <c r="AS807" s="10">
        <v>0</v>
      </c>
      <c r="AT807" s="10">
        <v>0</v>
      </c>
      <c r="AU807" s="10">
        <v>0</v>
      </c>
      <c r="AV807" s="10">
        <v>0</v>
      </c>
      <c r="AW807" s="10">
        <v>0</v>
      </c>
      <c r="AX807" s="10">
        <v>0</v>
      </c>
      <c r="AY807" s="10">
        <v>93</v>
      </c>
    </row>
    <row r="808" spans="1:51" ht="16.5" customHeight="1" x14ac:dyDescent="0.25">
      <c r="A808" s="10">
        <v>54</v>
      </c>
      <c r="B808" s="11" t="s">
        <v>792</v>
      </c>
      <c r="C808" s="10">
        <v>1</v>
      </c>
      <c r="D808" s="10">
        <v>25</v>
      </c>
      <c r="E808" s="10">
        <v>21</v>
      </c>
      <c r="F808" s="10">
        <v>0</v>
      </c>
      <c r="G808" s="10">
        <v>21</v>
      </c>
      <c r="H808" s="10">
        <v>0</v>
      </c>
      <c r="I808" s="10">
        <v>0</v>
      </c>
      <c r="J808" s="10">
        <v>4</v>
      </c>
      <c r="K808" s="10">
        <v>0</v>
      </c>
      <c r="L808" s="10">
        <v>0</v>
      </c>
      <c r="M808" s="10">
        <v>17</v>
      </c>
      <c r="N808" s="10">
        <v>17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43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0</v>
      </c>
      <c r="AP808" s="10">
        <v>0</v>
      </c>
      <c r="AQ808" s="10">
        <v>0</v>
      </c>
      <c r="AR808" s="10">
        <v>0</v>
      </c>
      <c r="AS808" s="10">
        <v>0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43</v>
      </c>
    </row>
    <row r="809" spans="1:51" ht="16.5" customHeight="1" x14ac:dyDescent="0.25">
      <c r="A809" s="10">
        <v>55</v>
      </c>
      <c r="B809" s="11" t="s">
        <v>793</v>
      </c>
      <c r="C809" s="10">
        <v>0</v>
      </c>
      <c r="D809" s="10">
        <v>83</v>
      </c>
      <c r="E809" s="10">
        <v>83</v>
      </c>
      <c r="F809" s="10">
        <v>0</v>
      </c>
      <c r="G809" s="10">
        <v>83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83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0">
        <v>0</v>
      </c>
      <c r="AT809" s="10">
        <v>0</v>
      </c>
      <c r="AU809" s="10">
        <v>0</v>
      </c>
      <c r="AV809" s="10">
        <v>0</v>
      </c>
      <c r="AW809" s="10">
        <v>0</v>
      </c>
      <c r="AX809" s="10">
        <v>0</v>
      </c>
      <c r="AY809" s="10">
        <v>83</v>
      </c>
    </row>
    <row r="810" spans="1:51" ht="16.5" customHeight="1" x14ac:dyDescent="0.25">
      <c r="A810" s="10">
        <v>56</v>
      </c>
      <c r="B810" s="11" t="s">
        <v>794</v>
      </c>
      <c r="C810" s="10">
        <v>0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57</v>
      </c>
      <c r="N810" s="10">
        <v>57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57</v>
      </c>
      <c r="Y810" s="10">
        <v>0</v>
      </c>
      <c r="Z810" s="10">
        <v>0</v>
      </c>
      <c r="AA810" s="10">
        <v>0</v>
      </c>
      <c r="AB810" s="10">
        <v>23</v>
      </c>
      <c r="AC810" s="10">
        <v>0</v>
      </c>
      <c r="AD810" s="10">
        <v>10</v>
      </c>
      <c r="AE810" s="10">
        <v>8</v>
      </c>
      <c r="AF810" s="10">
        <v>5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0</v>
      </c>
      <c r="AP810" s="10">
        <v>0</v>
      </c>
      <c r="AQ810" s="10">
        <v>0</v>
      </c>
      <c r="AR810" s="10">
        <v>23</v>
      </c>
      <c r="AS810" s="10">
        <v>0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80</v>
      </c>
    </row>
    <row r="811" spans="1:51" ht="16.5" customHeight="1" x14ac:dyDescent="0.25">
      <c r="A811" s="10">
        <v>57</v>
      </c>
      <c r="B811" s="11" t="s">
        <v>795</v>
      </c>
      <c r="C811" s="10">
        <v>11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18</v>
      </c>
      <c r="X811" s="10">
        <v>29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0">
        <v>0</v>
      </c>
      <c r="AW811" s="10">
        <v>0</v>
      </c>
      <c r="AX811" s="10">
        <v>0</v>
      </c>
      <c r="AY811" s="10">
        <v>29</v>
      </c>
    </row>
    <row r="812" spans="1:51" ht="16.5" customHeight="1" x14ac:dyDescent="0.25">
      <c r="A812" s="10">
        <v>58</v>
      </c>
      <c r="B812" s="11" t="s">
        <v>917</v>
      </c>
      <c r="C812" s="10">
        <v>0</v>
      </c>
      <c r="D812" s="10">
        <v>59</v>
      </c>
      <c r="E812" s="10">
        <v>10</v>
      </c>
      <c r="F812" s="10">
        <v>0</v>
      </c>
      <c r="G812" s="10">
        <v>10</v>
      </c>
      <c r="H812" s="10">
        <v>10</v>
      </c>
      <c r="I812" s="10">
        <v>18</v>
      </c>
      <c r="J812" s="10">
        <v>21</v>
      </c>
      <c r="K812" s="10">
        <v>0</v>
      </c>
      <c r="L812" s="10">
        <v>0</v>
      </c>
      <c r="M812" s="10">
        <v>17</v>
      </c>
      <c r="N812" s="10">
        <v>17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76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76</v>
      </c>
    </row>
    <row r="813" spans="1:51" ht="16.5" customHeight="1" x14ac:dyDescent="0.25">
      <c r="A813" s="10">
        <v>59</v>
      </c>
      <c r="B813" s="11" t="s">
        <v>796</v>
      </c>
      <c r="C813" s="10">
        <v>0</v>
      </c>
      <c r="D813" s="10">
        <v>24</v>
      </c>
      <c r="E813" s="10">
        <v>24</v>
      </c>
      <c r="F813" s="10">
        <v>24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6</v>
      </c>
      <c r="N813" s="10">
        <v>6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30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0">
        <v>0</v>
      </c>
      <c r="AW813" s="10">
        <v>0</v>
      </c>
      <c r="AX813" s="10">
        <v>0</v>
      </c>
      <c r="AY813" s="10">
        <v>30</v>
      </c>
    </row>
    <row r="814" spans="1:51" ht="16.5" customHeight="1" x14ac:dyDescent="0.25">
      <c r="A814" s="10">
        <v>60</v>
      </c>
      <c r="B814" s="11" t="s">
        <v>797</v>
      </c>
      <c r="C814" s="10">
        <v>1</v>
      </c>
      <c r="D814" s="10">
        <v>29</v>
      </c>
      <c r="E814" s="10">
        <v>29</v>
      </c>
      <c r="F814" s="10">
        <v>29</v>
      </c>
      <c r="G814" s="10">
        <v>0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11</v>
      </c>
      <c r="N814" s="10">
        <v>11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41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3</v>
      </c>
      <c r="AP814" s="10">
        <v>0</v>
      </c>
      <c r="AQ814" s="10">
        <v>0</v>
      </c>
      <c r="AR814" s="10">
        <v>3</v>
      </c>
      <c r="AS814" s="10">
        <v>0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44</v>
      </c>
    </row>
    <row r="815" spans="1:51" ht="16.5" customHeight="1" x14ac:dyDescent="0.25">
      <c r="A815" s="10">
        <v>61</v>
      </c>
      <c r="B815" s="11" t="s">
        <v>652</v>
      </c>
      <c r="C815" s="10">
        <v>0</v>
      </c>
      <c r="D815" s="10">
        <v>21</v>
      </c>
      <c r="E815" s="10">
        <v>14</v>
      </c>
      <c r="F815" s="10">
        <v>0</v>
      </c>
      <c r="G815" s="10">
        <v>14</v>
      </c>
      <c r="H815" s="10">
        <v>4</v>
      </c>
      <c r="I815" s="10">
        <v>0</v>
      </c>
      <c r="J815" s="10">
        <v>3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21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0">
        <v>0</v>
      </c>
      <c r="AT815" s="10">
        <v>0</v>
      </c>
      <c r="AU815" s="10">
        <v>0</v>
      </c>
      <c r="AV815" s="10">
        <v>0</v>
      </c>
      <c r="AW815" s="10">
        <v>0</v>
      </c>
      <c r="AX815" s="10">
        <v>0</v>
      </c>
      <c r="AY815" s="10">
        <v>21</v>
      </c>
    </row>
    <row r="816" spans="1:51" ht="16.5" customHeight="1" x14ac:dyDescent="0.25">
      <c r="A816" s="10">
        <v>62</v>
      </c>
      <c r="B816" s="11" t="s">
        <v>798</v>
      </c>
      <c r="C816" s="10">
        <v>0</v>
      </c>
      <c r="D816" s="10">
        <v>32</v>
      </c>
      <c r="E816" s="10">
        <v>32</v>
      </c>
      <c r="F816" s="10">
        <v>0</v>
      </c>
      <c r="G816" s="10">
        <v>32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32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32</v>
      </c>
    </row>
    <row r="817" spans="1:51" ht="16.5" customHeight="1" x14ac:dyDescent="0.25">
      <c r="A817" s="10">
        <v>63</v>
      </c>
      <c r="B817" s="11" t="s">
        <v>799</v>
      </c>
      <c r="C817" s="10">
        <v>0</v>
      </c>
      <c r="D817" s="10">
        <v>19</v>
      </c>
      <c r="E817" s="10">
        <v>7</v>
      </c>
      <c r="F817" s="10">
        <v>0</v>
      </c>
      <c r="G817" s="10">
        <v>7</v>
      </c>
      <c r="H817" s="10">
        <v>0</v>
      </c>
      <c r="I817" s="10">
        <v>0</v>
      </c>
      <c r="J817" s="10">
        <v>12</v>
      </c>
      <c r="K817" s="10">
        <v>0</v>
      </c>
      <c r="L817" s="10">
        <v>0</v>
      </c>
      <c r="M817" s="10">
        <v>21</v>
      </c>
      <c r="N817" s="10">
        <v>21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40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0">
        <v>0</v>
      </c>
      <c r="AT817" s="10">
        <v>0</v>
      </c>
      <c r="AU817" s="10">
        <v>0</v>
      </c>
      <c r="AV817" s="10">
        <v>0</v>
      </c>
      <c r="AW817" s="10">
        <v>0</v>
      </c>
      <c r="AX817" s="10">
        <v>0</v>
      </c>
      <c r="AY817" s="10">
        <v>40</v>
      </c>
    </row>
    <row r="818" spans="1:51" ht="16.5" customHeight="1" x14ac:dyDescent="0.25">
      <c r="A818" s="10">
        <v>64</v>
      </c>
      <c r="B818" s="11" t="s">
        <v>800</v>
      </c>
      <c r="C818" s="10">
        <v>0</v>
      </c>
      <c r="D818" s="10">
        <v>58</v>
      </c>
      <c r="E818" s="10">
        <v>20</v>
      </c>
      <c r="F818" s="10">
        <v>0</v>
      </c>
      <c r="G818" s="10">
        <v>20</v>
      </c>
      <c r="H818" s="10">
        <v>18</v>
      </c>
      <c r="I818" s="10">
        <v>10</v>
      </c>
      <c r="J818" s="10">
        <v>10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58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0">
        <v>0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58</v>
      </c>
    </row>
    <row r="819" spans="1:51" ht="16.5" customHeight="1" x14ac:dyDescent="0.25">
      <c r="A819" s="10">
        <v>65</v>
      </c>
      <c r="B819" s="11" t="s">
        <v>801</v>
      </c>
      <c r="C819" s="10">
        <v>0</v>
      </c>
      <c r="D819" s="10">
        <v>10</v>
      </c>
      <c r="E819" s="10">
        <v>10</v>
      </c>
      <c r="F819" s="10">
        <v>8</v>
      </c>
      <c r="G819" s="10">
        <v>2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4</v>
      </c>
      <c r="N819" s="10">
        <v>2</v>
      </c>
      <c r="O819" s="10">
        <v>2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14</v>
      </c>
      <c r="Y819" s="10">
        <v>0</v>
      </c>
      <c r="Z819" s="10">
        <v>0</v>
      </c>
      <c r="AA819" s="10">
        <v>0</v>
      </c>
      <c r="AB819" s="10">
        <v>8</v>
      </c>
      <c r="AC819" s="10">
        <v>0</v>
      </c>
      <c r="AD819" s="10">
        <v>5</v>
      </c>
      <c r="AE819" s="10">
        <v>0</v>
      </c>
      <c r="AF819" s="10">
        <v>0</v>
      </c>
      <c r="AG819" s="10">
        <v>3</v>
      </c>
      <c r="AH819" s="10">
        <v>3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5</v>
      </c>
      <c r="AP819" s="10">
        <v>1</v>
      </c>
      <c r="AQ819" s="10">
        <v>0</v>
      </c>
      <c r="AR819" s="10">
        <v>17</v>
      </c>
      <c r="AS819" s="10">
        <v>0</v>
      </c>
      <c r="AT819" s="10">
        <v>0</v>
      </c>
      <c r="AU819" s="10">
        <v>0</v>
      </c>
      <c r="AV819" s="10">
        <v>0</v>
      </c>
      <c r="AW819" s="10">
        <v>0</v>
      </c>
      <c r="AX819" s="10">
        <v>0</v>
      </c>
      <c r="AY819" s="10">
        <v>31</v>
      </c>
    </row>
    <row r="820" spans="1:51" ht="16.5" customHeight="1" x14ac:dyDescent="0.25">
      <c r="A820" s="10">
        <v>66</v>
      </c>
      <c r="B820" s="11" t="s">
        <v>802</v>
      </c>
      <c r="C820" s="10">
        <v>0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22</v>
      </c>
      <c r="X820" s="10">
        <v>22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22</v>
      </c>
    </row>
    <row r="821" spans="1:51" ht="16.5" customHeight="1" x14ac:dyDescent="0.25">
      <c r="A821" s="10">
        <v>67</v>
      </c>
      <c r="B821" s="11" t="s">
        <v>803</v>
      </c>
      <c r="C821" s="10">
        <v>0</v>
      </c>
      <c r="D821" s="10">
        <v>14</v>
      </c>
      <c r="E821" s="10">
        <v>14</v>
      </c>
      <c r="F821" s="10">
        <v>0</v>
      </c>
      <c r="G821" s="10">
        <v>14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26</v>
      </c>
      <c r="N821" s="10">
        <v>0</v>
      </c>
      <c r="O821" s="10">
        <v>0</v>
      </c>
      <c r="P821" s="10">
        <v>0</v>
      </c>
      <c r="Q821" s="10">
        <v>0</v>
      </c>
      <c r="R821" s="10">
        <v>26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40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0">
        <v>0</v>
      </c>
      <c r="AW821" s="10">
        <v>0</v>
      </c>
      <c r="AX821" s="10">
        <v>0</v>
      </c>
      <c r="AY821" s="10">
        <v>40</v>
      </c>
    </row>
    <row r="822" spans="1:51" ht="16.5" customHeight="1" x14ac:dyDescent="0.25">
      <c r="A822" s="10">
        <v>68</v>
      </c>
      <c r="B822" s="11" t="s">
        <v>804</v>
      </c>
      <c r="C822" s="10">
        <v>0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18</v>
      </c>
      <c r="N822" s="10">
        <v>18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14</v>
      </c>
      <c r="X822" s="10">
        <v>32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0">
        <v>0</v>
      </c>
      <c r="AQ822" s="10">
        <v>0</v>
      </c>
      <c r="AR822" s="10">
        <v>0</v>
      </c>
      <c r="AS822" s="10">
        <v>0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32</v>
      </c>
    </row>
    <row r="823" spans="1:51" ht="16.5" customHeight="1" x14ac:dyDescent="0.25">
      <c r="A823" s="10">
        <v>69</v>
      </c>
      <c r="B823" s="11" t="s">
        <v>805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1</v>
      </c>
      <c r="N823" s="10">
        <v>1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1</v>
      </c>
      <c r="Y823" s="10">
        <v>0</v>
      </c>
      <c r="Z823" s="10">
        <v>0</v>
      </c>
      <c r="AA823" s="10">
        <v>0</v>
      </c>
      <c r="AB823" s="10">
        <v>9</v>
      </c>
      <c r="AC823" s="10">
        <v>0</v>
      </c>
      <c r="AD823" s="10">
        <v>0</v>
      </c>
      <c r="AE823" s="10">
        <v>0</v>
      </c>
      <c r="AF823" s="10">
        <v>0</v>
      </c>
      <c r="AG823" s="10">
        <v>9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  <c r="AQ823" s="10">
        <v>0</v>
      </c>
      <c r="AR823" s="10">
        <v>9</v>
      </c>
      <c r="AS823" s="10">
        <v>0</v>
      </c>
      <c r="AT823" s="10">
        <v>0</v>
      </c>
      <c r="AU823" s="10">
        <v>0</v>
      </c>
      <c r="AV823" s="10">
        <v>0</v>
      </c>
      <c r="AW823" s="10">
        <v>0</v>
      </c>
      <c r="AX823" s="10">
        <v>0</v>
      </c>
      <c r="AY823" s="10">
        <v>10</v>
      </c>
    </row>
    <row r="824" spans="1:51" ht="16.5" customHeight="1" x14ac:dyDescent="0.25">
      <c r="A824" s="10">
        <v>70</v>
      </c>
      <c r="B824" s="11" t="s">
        <v>806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39</v>
      </c>
      <c r="X824" s="10">
        <v>39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  <c r="AR824" s="10">
        <v>0</v>
      </c>
      <c r="AS824" s="10">
        <v>0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39</v>
      </c>
    </row>
    <row r="825" spans="1:51" ht="16.5" customHeight="1" x14ac:dyDescent="0.25">
      <c r="A825" s="10">
        <v>71</v>
      </c>
      <c r="B825" s="11" t="s">
        <v>807</v>
      </c>
      <c r="C825" s="10">
        <v>1</v>
      </c>
      <c r="D825" s="10">
        <v>10</v>
      </c>
      <c r="E825" s="10">
        <v>8</v>
      </c>
      <c r="F825" s="10">
        <v>0</v>
      </c>
      <c r="G825" s="10">
        <v>8</v>
      </c>
      <c r="H825" s="10">
        <v>0</v>
      </c>
      <c r="I825" s="10">
        <v>2</v>
      </c>
      <c r="J825" s="10">
        <v>0</v>
      </c>
      <c r="K825" s="10">
        <v>0</v>
      </c>
      <c r="L825" s="10">
        <v>0</v>
      </c>
      <c r="M825" s="10">
        <v>3</v>
      </c>
      <c r="N825" s="10">
        <v>3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2</v>
      </c>
      <c r="X825" s="10">
        <v>16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  <c r="AQ825" s="10">
        <v>0</v>
      </c>
      <c r="AR825" s="10">
        <v>0</v>
      </c>
      <c r="AS825" s="10">
        <v>0</v>
      </c>
      <c r="AT825" s="10">
        <v>0</v>
      </c>
      <c r="AU825" s="10">
        <v>0</v>
      </c>
      <c r="AV825" s="10">
        <v>0</v>
      </c>
      <c r="AW825" s="10">
        <v>0</v>
      </c>
      <c r="AX825" s="10">
        <v>0</v>
      </c>
      <c r="AY825" s="10">
        <v>16</v>
      </c>
    </row>
    <row r="826" spans="1:51" ht="16.5" customHeight="1" x14ac:dyDescent="0.25">
      <c r="A826" s="10">
        <v>72</v>
      </c>
      <c r="B826" s="11" t="s">
        <v>808</v>
      </c>
      <c r="C826" s="10">
        <v>0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47</v>
      </c>
      <c r="N826" s="10">
        <v>47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47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0">
        <v>0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47</v>
      </c>
    </row>
    <row r="827" spans="1:51" ht="16.5" customHeight="1" x14ac:dyDescent="0.25">
      <c r="A827" s="10">
        <v>73</v>
      </c>
      <c r="B827" s="11" t="s">
        <v>809</v>
      </c>
      <c r="C827" s="10">
        <v>0</v>
      </c>
      <c r="D827" s="10">
        <v>20</v>
      </c>
      <c r="E827" s="10">
        <v>20</v>
      </c>
      <c r="F827" s="10">
        <v>0</v>
      </c>
      <c r="G827" s="10">
        <v>20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20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  <c r="AQ827" s="10">
        <v>0</v>
      </c>
      <c r="AR827" s="10">
        <v>0</v>
      </c>
      <c r="AS827" s="10">
        <v>0</v>
      </c>
      <c r="AT827" s="10">
        <v>0</v>
      </c>
      <c r="AU827" s="10">
        <v>0</v>
      </c>
      <c r="AV827" s="10">
        <v>0</v>
      </c>
      <c r="AW827" s="10">
        <v>0</v>
      </c>
      <c r="AX827" s="10">
        <v>0</v>
      </c>
      <c r="AY827" s="10">
        <v>20</v>
      </c>
    </row>
    <row r="828" spans="1:51" ht="16.5" customHeight="1" x14ac:dyDescent="0.25">
      <c r="A828" s="10">
        <v>74</v>
      </c>
      <c r="B828" s="11" t="s">
        <v>810</v>
      </c>
      <c r="C828" s="10">
        <v>0</v>
      </c>
      <c r="D828" s="10">
        <v>59</v>
      </c>
      <c r="E828" s="10">
        <v>59</v>
      </c>
      <c r="F828" s="10">
        <v>0</v>
      </c>
      <c r="G828" s="10">
        <v>59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59</v>
      </c>
      <c r="Y828" s="10">
        <v>0</v>
      </c>
      <c r="Z828" s="10">
        <v>0</v>
      </c>
      <c r="AA828" s="10">
        <v>0</v>
      </c>
      <c r="AB828" s="10">
        <v>12</v>
      </c>
      <c r="AC828" s="10">
        <v>0</v>
      </c>
      <c r="AD828" s="10">
        <v>8</v>
      </c>
      <c r="AE828" s="10">
        <v>4</v>
      </c>
      <c r="AF828" s="10">
        <v>0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12</v>
      </c>
      <c r="AS828" s="10">
        <v>0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71</v>
      </c>
    </row>
    <row r="829" spans="1:51" ht="16.5" customHeight="1" x14ac:dyDescent="0.25">
      <c r="A829" s="10">
        <v>75</v>
      </c>
      <c r="B829" s="11" t="s">
        <v>811</v>
      </c>
      <c r="C829" s="10">
        <v>1</v>
      </c>
      <c r="D829" s="10">
        <v>31</v>
      </c>
      <c r="E829" s="10">
        <v>28</v>
      </c>
      <c r="F829" s="10">
        <v>0</v>
      </c>
      <c r="G829" s="10">
        <v>28</v>
      </c>
      <c r="H829" s="10">
        <v>0</v>
      </c>
      <c r="I829" s="10">
        <v>2</v>
      </c>
      <c r="J829" s="10">
        <v>1</v>
      </c>
      <c r="K829" s="10">
        <v>0</v>
      </c>
      <c r="L829" s="10">
        <v>0</v>
      </c>
      <c r="M829" s="10">
        <v>10</v>
      </c>
      <c r="N829" s="10">
        <v>10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42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0">
        <v>0</v>
      </c>
      <c r="AT829" s="10">
        <v>0</v>
      </c>
      <c r="AU829" s="10">
        <v>0</v>
      </c>
      <c r="AV829" s="10">
        <v>0</v>
      </c>
      <c r="AW829" s="10">
        <v>0</v>
      </c>
      <c r="AX829" s="10">
        <v>0</v>
      </c>
      <c r="AY829" s="10">
        <v>42</v>
      </c>
    </row>
    <row r="830" spans="1:51" ht="16.5" customHeight="1" x14ac:dyDescent="0.25">
      <c r="A830" s="10">
        <v>76</v>
      </c>
      <c r="B830" s="11" t="s">
        <v>812</v>
      </c>
      <c r="C830" s="10">
        <v>10</v>
      </c>
      <c r="D830" s="10">
        <v>74</v>
      </c>
      <c r="E830" s="10">
        <v>17</v>
      </c>
      <c r="F830" s="10">
        <v>7</v>
      </c>
      <c r="G830" s="10">
        <v>10</v>
      </c>
      <c r="H830" s="10">
        <v>8</v>
      </c>
      <c r="I830" s="10">
        <v>18</v>
      </c>
      <c r="J830" s="10">
        <v>20</v>
      </c>
      <c r="K830" s="10">
        <v>11</v>
      </c>
      <c r="L830" s="10">
        <v>0</v>
      </c>
      <c r="M830" s="10">
        <v>30</v>
      </c>
      <c r="N830" s="10">
        <v>13</v>
      </c>
      <c r="O830" s="10">
        <v>2</v>
      </c>
      <c r="P830" s="10">
        <v>14</v>
      </c>
      <c r="Q830" s="10">
        <v>1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114</v>
      </c>
      <c r="Y830" s="10">
        <v>0</v>
      </c>
      <c r="Z830" s="10">
        <v>0</v>
      </c>
      <c r="AA830" s="10">
        <v>16</v>
      </c>
      <c r="AB830" s="10">
        <v>164</v>
      </c>
      <c r="AC830" s="10">
        <v>22</v>
      </c>
      <c r="AD830" s="10">
        <v>92</v>
      </c>
      <c r="AE830" s="10">
        <v>33</v>
      </c>
      <c r="AF830" s="10">
        <v>11</v>
      </c>
      <c r="AG830" s="10">
        <v>6</v>
      </c>
      <c r="AH830" s="10">
        <v>10</v>
      </c>
      <c r="AI830" s="10">
        <v>1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14</v>
      </c>
      <c r="AP830" s="10">
        <v>1</v>
      </c>
      <c r="AQ830" s="10">
        <v>0</v>
      </c>
      <c r="AR830" s="10">
        <v>206</v>
      </c>
      <c r="AS830" s="10">
        <v>0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320</v>
      </c>
    </row>
    <row r="831" spans="1:51" ht="16.5" customHeight="1" x14ac:dyDescent="0.25">
      <c r="A831" s="12"/>
      <c r="B831" s="13" t="s">
        <v>889</v>
      </c>
      <c r="C831" s="14">
        <f t="shared" ref="C831:AH831" si="29">SUM(C755:C830)</f>
        <v>167</v>
      </c>
      <c r="D831" s="14">
        <f t="shared" si="29"/>
        <v>3509</v>
      </c>
      <c r="E831" s="14">
        <f t="shared" si="29"/>
        <v>2830</v>
      </c>
      <c r="F831" s="14">
        <f t="shared" si="29"/>
        <v>245</v>
      </c>
      <c r="G831" s="14">
        <f t="shared" si="29"/>
        <v>2585</v>
      </c>
      <c r="H831" s="14">
        <f t="shared" si="29"/>
        <v>171</v>
      </c>
      <c r="I831" s="14">
        <f t="shared" si="29"/>
        <v>213</v>
      </c>
      <c r="J831" s="14">
        <f t="shared" si="29"/>
        <v>248</v>
      </c>
      <c r="K831" s="14">
        <f t="shared" si="29"/>
        <v>47</v>
      </c>
      <c r="L831" s="14">
        <f t="shared" si="29"/>
        <v>1</v>
      </c>
      <c r="M831" s="14">
        <f t="shared" si="29"/>
        <v>517</v>
      </c>
      <c r="N831" s="14">
        <f t="shared" si="29"/>
        <v>421</v>
      </c>
      <c r="O831" s="14">
        <f t="shared" si="29"/>
        <v>20</v>
      </c>
      <c r="P831" s="14">
        <f t="shared" si="29"/>
        <v>16</v>
      </c>
      <c r="Q831" s="14">
        <f t="shared" si="29"/>
        <v>1</v>
      </c>
      <c r="R831" s="14">
        <f t="shared" si="29"/>
        <v>59</v>
      </c>
      <c r="S831" s="14">
        <f t="shared" si="29"/>
        <v>3</v>
      </c>
      <c r="T831" s="14">
        <f t="shared" si="29"/>
        <v>0</v>
      </c>
      <c r="U831" s="14">
        <f t="shared" si="29"/>
        <v>0</v>
      </c>
      <c r="V831" s="14">
        <f t="shared" si="29"/>
        <v>0</v>
      </c>
      <c r="W831" s="14">
        <f t="shared" si="29"/>
        <v>293</v>
      </c>
      <c r="X831" s="14">
        <f t="shared" si="29"/>
        <v>4490</v>
      </c>
      <c r="Y831" s="14">
        <f t="shared" si="29"/>
        <v>0</v>
      </c>
      <c r="Z831" s="14">
        <f t="shared" si="29"/>
        <v>7</v>
      </c>
      <c r="AA831" s="14">
        <f t="shared" si="29"/>
        <v>19</v>
      </c>
      <c r="AB831" s="14">
        <f t="shared" si="29"/>
        <v>270</v>
      </c>
      <c r="AC831" s="14">
        <f t="shared" si="29"/>
        <v>26</v>
      </c>
      <c r="AD831" s="14">
        <f t="shared" si="29"/>
        <v>120</v>
      </c>
      <c r="AE831" s="14">
        <f t="shared" si="29"/>
        <v>69</v>
      </c>
      <c r="AF831" s="14">
        <f t="shared" si="29"/>
        <v>18</v>
      </c>
      <c r="AG831" s="14">
        <f t="shared" si="29"/>
        <v>37</v>
      </c>
      <c r="AH831" s="14">
        <f t="shared" si="29"/>
        <v>80</v>
      </c>
      <c r="AI831" s="14">
        <f t="shared" ref="AI831:AY831" si="30">SUM(AI755:AI830)</f>
        <v>1</v>
      </c>
      <c r="AJ831" s="14">
        <f t="shared" si="30"/>
        <v>0</v>
      </c>
      <c r="AK831" s="14">
        <f t="shared" si="30"/>
        <v>8</v>
      </c>
      <c r="AL831" s="14">
        <f t="shared" si="30"/>
        <v>0</v>
      </c>
      <c r="AM831" s="14">
        <f t="shared" si="30"/>
        <v>0</v>
      </c>
      <c r="AN831" s="14">
        <f t="shared" si="30"/>
        <v>0</v>
      </c>
      <c r="AO831" s="14">
        <f t="shared" si="30"/>
        <v>25</v>
      </c>
      <c r="AP831" s="14">
        <f t="shared" si="30"/>
        <v>21</v>
      </c>
      <c r="AQ831" s="14">
        <f t="shared" si="30"/>
        <v>39</v>
      </c>
      <c r="AR831" s="14">
        <f t="shared" si="30"/>
        <v>470</v>
      </c>
      <c r="AS831" s="14">
        <f t="shared" si="30"/>
        <v>3</v>
      </c>
      <c r="AT831" s="14">
        <f t="shared" si="30"/>
        <v>0</v>
      </c>
      <c r="AU831" s="14">
        <f t="shared" si="30"/>
        <v>4</v>
      </c>
      <c r="AV831" s="14">
        <f t="shared" si="30"/>
        <v>4</v>
      </c>
      <c r="AW831" s="14">
        <f t="shared" si="30"/>
        <v>0</v>
      </c>
      <c r="AX831" s="14">
        <f t="shared" si="30"/>
        <v>11</v>
      </c>
      <c r="AY831" s="14">
        <f t="shared" si="30"/>
        <v>4971</v>
      </c>
    </row>
    <row r="832" spans="1:51" ht="16.5" customHeight="1" x14ac:dyDescent="0.25">
      <c r="A832" s="9" t="s">
        <v>918</v>
      </c>
      <c r="B832" s="1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</row>
    <row r="833" spans="1:51" ht="16.5" customHeight="1" x14ac:dyDescent="0.25">
      <c r="A833" s="10">
        <v>1</v>
      </c>
      <c r="B833" s="11" t="s">
        <v>813</v>
      </c>
      <c r="C833" s="10">
        <v>0</v>
      </c>
      <c r="D833" s="10">
        <v>1</v>
      </c>
      <c r="E833" s="10">
        <v>1</v>
      </c>
      <c r="F833" s="10">
        <v>0</v>
      </c>
      <c r="G833" s="10">
        <v>1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1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0">
        <v>0</v>
      </c>
      <c r="AT833" s="10">
        <v>0</v>
      </c>
      <c r="AU833" s="10">
        <v>0</v>
      </c>
      <c r="AV833" s="10">
        <v>0</v>
      </c>
      <c r="AW833" s="10">
        <v>0</v>
      </c>
      <c r="AX833" s="10">
        <v>0</v>
      </c>
      <c r="AY833" s="10">
        <v>1</v>
      </c>
    </row>
    <row r="834" spans="1:51" ht="16.5" customHeight="1" x14ac:dyDescent="0.25">
      <c r="A834" s="10">
        <v>2</v>
      </c>
      <c r="B834" s="11" t="s">
        <v>814</v>
      </c>
      <c r="C834" s="10">
        <v>0</v>
      </c>
      <c r="D834" s="10">
        <v>1</v>
      </c>
      <c r="E834" s="10">
        <v>1</v>
      </c>
      <c r="F834" s="10">
        <v>0</v>
      </c>
      <c r="G834" s="10">
        <v>1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1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0">
        <v>0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1</v>
      </c>
    </row>
    <row r="835" spans="1:51" ht="16.5" customHeight="1" x14ac:dyDescent="0.25">
      <c r="A835" s="10">
        <v>3</v>
      </c>
      <c r="B835" s="11" t="s">
        <v>815</v>
      </c>
      <c r="C835" s="10">
        <v>1</v>
      </c>
      <c r="D835" s="10">
        <v>3</v>
      </c>
      <c r="E835" s="10">
        <v>2</v>
      </c>
      <c r="F835" s="10">
        <v>2</v>
      </c>
      <c r="G835" s="10">
        <v>0</v>
      </c>
      <c r="H835" s="10">
        <v>0</v>
      </c>
      <c r="I835" s="10">
        <v>0</v>
      </c>
      <c r="J835" s="10">
        <v>1</v>
      </c>
      <c r="K835" s="10">
        <v>0</v>
      </c>
      <c r="L835" s="10">
        <v>0</v>
      </c>
      <c r="M835" s="10">
        <v>1</v>
      </c>
      <c r="N835" s="10">
        <v>1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5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0">
        <v>0</v>
      </c>
      <c r="AT835" s="10">
        <v>0</v>
      </c>
      <c r="AU835" s="10">
        <v>0</v>
      </c>
      <c r="AV835" s="10">
        <v>0</v>
      </c>
      <c r="AW835" s="10">
        <v>0</v>
      </c>
      <c r="AX835" s="10">
        <v>0</v>
      </c>
      <c r="AY835" s="10">
        <v>5</v>
      </c>
    </row>
    <row r="836" spans="1:51" ht="16.5" customHeight="1" x14ac:dyDescent="0.25">
      <c r="A836" s="10">
        <v>4</v>
      </c>
      <c r="B836" s="11" t="s">
        <v>816</v>
      </c>
      <c r="C836" s="10">
        <v>0</v>
      </c>
      <c r="D836" s="10">
        <v>7</v>
      </c>
      <c r="E836" s="10">
        <v>5</v>
      </c>
      <c r="F836" s="10">
        <v>0</v>
      </c>
      <c r="G836" s="10">
        <v>5</v>
      </c>
      <c r="H836" s="10">
        <v>0</v>
      </c>
      <c r="I836" s="10">
        <v>2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7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0</v>
      </c>
      <c r="AN836" s="10">
        <v>0</v>
      </c>
      <c r="AO836" s="10">
        <v>0</v>
      </c>
      <c r="AP836" s="10">
        <v>0</v>
      </c>
      <c r="AQ836" s="10">
        <v>0</v>
      </c>
      <c r="AR836" s="10">
        <v>0</v>
      </c>
      <c r="AS836" s="10">
        <v>0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7</v>
      </c>
    </row>
    <row r="837" spans="1:51" ht="16.5" customHeight="1" x14ac:dyDescent="0.25">
      <c r="A837" s="10">
        <v>5</v>
      </c>
      <c r="B837" s="11" t="s">
        <v>817</v>
      </c>
      <c r="C837" s="10">
        <v>1</v>
      </c>
      <c r="D837" s="10">
        <v>28</v>
      </c>
      <c r="E837" s="10">
        <v>0</v>
      </c>
      <c r="F837" s="10">
        <v>0</v>
      </c>
      <c r="G837" s="10">
        <v>0</v>
      </c>
      <c r="H837" s="10">
        <v>0</v>
      </c>
      <c r="I837" s="10">
        <v>8</v>
      </c>
      <c r="J837" s="10">
        <v>18</v>
      </c>
      <c r="K837" s="10">
        <v>2</v>
      </c>
      <c r="L837" s="10">
        <v>0</v>
      </c>
      <c r="M837" s="10">
        <v>15</v>
      </c>
      <c r="N837" s="10">
        <v>0</v>
      </c>
      <c r="O837" s="10">
        <v>1</v>
      </c>
      <c r="P837" s="10">
        <v>0</v>
      </c>
      <c r="Q837" s="10">
        <v>0</v>
      </c>
      <c r="R837" s="10">
        <v>14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44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0">
        <v>0</v>
      </c>
      <c r="AT837" s="10">
        <v>0</v>
      </c>
      <c r="AU837" s="10">
        <v>2</v>
      </c>
      <c r="AV837" s="10">
        <v>0</v>
      </c>
      <c r="AW837" s="10">
        <v>0</v>
      </c>
      <c r="AX837" s="10">
        <v>2</v>
      </c>
      <c r="AY837" s="10">
        <v>46</v>
      </c>
    </row>
    <row r="838" spans="1:51" ht="16.5" customHeight="1" x14ac:dyDescent="0.25">
      <c r="A838" s="10">
        <v>6</v>
      </c>
      <c r="B838" s="11" t="s">
        <v>818</v>
      </c>
      <c r="C838" s="10">
        <v>0</v>
      </c>
      <c r="D838" s="10">
        <v>44</v>
      </c>
      <c r="E838" s="10">
        <v>44</v>
      </c>
      <c r="F838" s="10">
        <v>0</v>
      </c>
      <c r="G838" s="10">
        <v>44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44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0">
        <v>0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0">
        <v>0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44</v>
      </c>
    </row>
    <row r="839" spans="1:51" ht="16.5" customHeight="1" x14ac:dyDescent="0.25">
      <c r="A839" s="10">
        <v>7</v>
      </c>
      <c r="B839" s="11" t="s">
        <v>819</v>
      </c>
      <c r="C839" s="10">
        <v>3</v>
      </c>
      <c r="D839" s="10">
        <v>2</v>
      </c>
      <c r="E839" s="10">
        <v>1</v>
      </c>
      <c r="F839" s="10">
        <v>0</v>
      </c>
      <c r="G839" s="10">
        <v>1</v>
      </c>
      <c r="H839" s="10">
        <v>0</v>
      </c>
      <c r="I839" s="10">
        <v>1</v>
      </c>
      <c r="J839" s="10">
        <v>0</v>
      </c>
      <c r="K839" s="10">
        <v>0</v>
      </c>
      <c r="L839" s="10">
        <v>0</v>
      </c>
      <c r="M839" s="10">
        <v>2</v>
      </c>
      <c r="N839" s="10">
        <v>2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7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  <c r="AQ839" s="10">
        <v>0</v>
      </c>
      <c r="AR839" s="10">
        <v>0</v>
      </c>
      <c r="AS839" s="10">
        <v>0</v>
      </c>
      <c r="AT839" s="10">
        <v>0</v>
      </c>
      <c r="AU839" s="10">
        <v>0</v>
      </c>
      <c r="AV839" s="10">
        <v>0</v>
      </c>
      <c r="AW839" s="10">
        <v>0</v>
      </c>
      <c r="AX839" s="10">
        <v>0</v>
      </c>
      <c r="AY839" s="10">
        <v>7</v>
      </c>
    </row>
    <row r="840" spans="1:51" ht="16.5" customHeight="1" x14ac:dyDescent="0.25">
      <c r="A840" s="10">
        <v>8</v>
      </c>
      <c r="B840" s="11" t="s">
        <v>820</v>
      </c>
      <c r="C840" s="10">
        <v>0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1</v>
      </c>
      <c r="AC840" s="10">
        <v>0</v>
      </c>
      <c r="AD840" s="10">
        <v>1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0">
        <v>0</v>
      </c>
      <c r="AN840" s="10">
        <v>0</v>
      </c>
      <c r="AO840" s="10">
        <v>0</v>
      </c>
      <c r="AP840" s="10">
        <v>0</v>
      </c>
      <c r="AQ840" s="10">
        <v>0</v>
      </c>
      <c r="AR840" s="10">
        <v>1</v>
      </c>
      <c r="AS840" s="10">
        <v>0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1</v>
      </c>
    </row>
    <row r="841" spans="1:51" ht="16.5" customHeight="1" x14ac:dyDescent="0.25">
      <c r="A841" s="10">
        <v>9</v>
      </c>
      <c r="B841" s="11" t="s">
        <v>821</v>
      </c>
      <c r="C841" s="10">
        <v>0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  <c r="AQ841" s="10">
        <v>0</v>
      </c>
      <c r="AR841" s="10">
        <v>0</v>
      </c>
      <c r="AS841" s="10">
        <v>0</v>
      </c>
      <c r="AT841" s="10">
        <v>0</v>
      </c>
      <c r="AU841" s="10">
        <v>0</v>
      </c>
      <c r="AV841" s="10">
        <v>0</v>
      </c>
      <c r="AW841" s="10">
        <v>0</v>
      </c>
      <c r="AX841" s="10">
        <v>0</v>
      </c>
      <c r="AY841" s="10">
        <v>0</v>
      </c>
    </row>
    <row r="842" spans="1:51" ht="16.5" customHeight="1" x14ac:dyDescent="0.25">
      <c r="A842" s="10">
        <v>10</v>
      </c>
      <c r="B842" s="11" t="s">
        <v>822</v>
      </c>
      <c r="C842" s="10">
        <v>0</v>
      </c>
      <c r="D842" s="10">
        <v>1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1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1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0">
        <v>0</v>
      </c>
      <c r="AN842" s="10">
        <v>0</v>
      </c>
      <c r="AO842" s="10">
        <v>0</v>
      </c>
      <c r="AP842" s="10">
        <v>0</v>
      </c>
      <c r="AQ842" s="10">
        <v>0</v>
      </c>
      <c r="AR842" s="10">
        <v>0</v>
      </c>
      <c r="AS842" s="10">
        <v>0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1</v>
      </c>
    </row>
    <row r="843" spans="1:51" ht="16.5" customHeight="1" x14ac:dyDescent="0.25">
      <c r="A843" s="10">
        <v>11</v>
      </c>
      <c r="B843" s="11" t="s">
        <v>823</v>
      </c>
      <c r="C843" s="10">
        <v>0</v>
      </c>
      <c r="D843" s="10">
        <v>8</v>
      </c>
      <c r="E843" s="10">
        <v>4</v>
      </c>
      <c r="F843" s="10">
        <v>0</v>
      </c>
      <c r="G843" s="10">
        <v>4</v>
      </c>
      <c r="H843" s="10">
        <v>0</v>
      </c>
      <c r="I843" s="10">
        <v>0</v>
      </c>
      <c r="J843" s="10">
        <v>4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8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  <c r="AQ843" s="10">
        <v>0</v>
      </c>
      <c r="AR843" s="10">
        <v>0</v>
      </c>
      <c r="AS843" s="10">
        <v>0</v>
      </c>
      <c r="AT843" s="10">
        <v>0</v>
      </c>
      <c r="AU843" s="10">
        <v>0</v>
      </c>
      <c r="AV843" s="10">
        <v>0</v>
      </c>
      <c r="AW843" s="10">
        <v>0</v>
      </c>
      <c r="AX843" s="10">
        <v>0</v>
      </c>
      <c r="AY843" s="10">
        <v>8</v>
      </c>
    </row>
    <row r="844" spans="1:51" ht="16.5" customHeight="1" x14ac:dyDescent="0.25">
      <c r="A844" s="10">
        <v>12</v>
      </c>
      <c r="B844" s="11" t="s">
        <v>824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0">
        <v>0</v>
      </c>
      <c r="AT844" s="10">
        <v>0</v>
      </c>
      <c r="AU844" s="10">
        <v>0</v>
      </c>
      <c r="AV844" s="10">
        <v>0</v>
      </c>
      <c r="AW844" s="10">
        <v>0</v>
      </c>
      <c r="AX844" s="10">
        <v>0</v>
      </c>
      <c r="AY844" s="10">
        <v>0</v>
      </c>
    </row>
    <row r="845" spans="1:51" ht="16.5" customHeight="1" x14ac:dyDescent="0.25">
      <c r="A845" s="10">
        <v>13</v>
      </c>
      <c r="B845" s="11" t="s">
        <v>825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2</v>
      </c>
      <c r="N845" s="10">
        <v>0</v>
      </c>
      <c r="O845" s="10">
        <v>2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2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1</v>
      </c>
      <c r="AQ845" s="10">
        <v>0</v>
      </c>
      <c r="AR845" s="10">
        <v>1</v>
      </c>
      <c r="AS845" s="10">
        <v>0</v>
      </c>
      <c r="AT845" s="10">
        <v>0</v>
      </c>
      <c r="AU845" s="10">
        <v>0</v>
      </c>
      <c r="AV845" s="10">
        <v>0</v>
      </c>
      <c r="AW845" s="10">
        <v>0</v>
      </c>
      <c r="AX845" s="10">
        <v>0</v>
      </c>
      <c r="AY845" s="10">
        <v>3</v>
      </c>
    </row>
    <row r="846" spans="1:51" ht="16.5" customHeight="1" x14ac:dyDescent="0.25">
      <c r="A846" s="10">
        <v>14</v>
      </c>
      <c r="B846" s="11" t="s">
        <v>113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0">
        <v>0</v>
      </c>
      <c r="AT846" s="10">
        <v>0</v>
      </c>
      <c r="AU846" s="10">
        <v>0</v>
      </c>
      <c r="AV846" s="10">
        <v>0</v>
      </c>
      <c r="AW846" s="10">
        <v>0</v>
      </c>
      <c r="AX846" s="10">
        <v>0</v>
      </c>
      <c r="AY846" s="10">
        <v>0</v>
      </c>
    </row>
    <row r="847" spans="1:51" ht="16.5" customHeight="1" x14ac:dyDescent="0.25">
      <c r="A847" s="12"/>
      <c r="B847" s="13" t="s">
        <v>889</v>
      </c>
      <c r="C847" s="14">
        <f>SUM(C833:C846)</f>
        <v>5</v>
      </c>
      <c r="D847" s="14">
        <f t="shared" ref="D847:AY847" si="31">SUM(D833:D846)</f>
        <v>95</v>
      </c>
      <c r="E847" s="14">
        <f t="shared" si="31"/>
        <v>58</v>
      </c>
      <c r="F847" s="14">
        <f t="shared" si="31"/>
        <v>2</v>
      </c>
      <c r="G847" s="14">
        <f t="shared" si="31"/>
        <v>56</v>
      </c>
      <c r="H847" s="14">
        <f t="shared" si="31"/>
        <v>0</v>
      </c>
      <c r="I847" s="14">
        <f t="shared" si="31"/>
        <v>11</v>
      </c>
      <c r="J847" s="14">
        <f t="shared" si="31"/>
        <v>24</v>
      </c>
      <c r="K847" s="14">
        <f t="shared" si="31"/>
        <v>2</v>
      </c>
      <c r="L847" s="14">
        <f t="shared" si="31"/>
        <v>0</v>
      </c>
      <c r="M847" s="14">
        <f t="shared" si="31"/>
        <v>20</v>
      </c>
      <c r="N847" s="14">
        <f t="shared" si="31"/>
        <v>3</v>
      </c>
      <c r="O847" s="14">
        <f t="shared" si="31"/>
        <v>3</v>
      </c>
      <c r="P847" s="14">
        <f t="shared" si="31"/>
        <v>0</v>
      </c>
      <c r="Q847" s="14">
        <f t="shared" si="31"/>
        <v>0</v>
      </c>
      <c r="R847" s="14">
        <f t="shared" si="31"/>
        <v>14</v>
      </c>
      <c r="S847" s="14">
        <f t="shared" si="31"/>
        <v>0</v>
      </c>
      <c r="T847" s="14">
        <f t="shared" si="31"/>
        <v>0</v>
      </c>
      <c r="U847" s="14">
        <f t="shared" si="31"/>
        <v>0</v>
      </c>
      <c r="V847" s="14">
        <f t="shared" si="31"/>
        <v>0</v>
      </c>
      <c r="W847" s="14">
        <f t="shared" si="31"/>
        <v>0</v>
      </c>
      <c r="X847" s="14">
        <f t="shared" si="31"/>
        <v>120</v>
      </c>
      <c r="Y847" s="14">
        <f t="shared" si="31"/>
        <v>0</v>
      </c>
      <c r="Z847" s="14">
        <f t="shared" si="31"/>
        <v>0</v>
      </c>
      <c r="AA847" s="14">
        <f t="shared" si="31"/>
        <v>0</v>
      </c>
      <c r="AB847" s="14">
        <f t="shared" si="31"/>
        <v>1</v>
      </c>
      <c r="AC847" s="14">
        <f t="shared" si="31"/>
        <v>0</v>
      </c>
      <c r="AD847" s="14">
        <f t="shared" si="31"/>
        <v>1</v>
      </c>
      <c r="AE847" s="14">
        <f t="shared" si="31"/>
        <v>0</v>
      </c>
      <c r="AF847" s="14">
        <f t="shared" si="31"/>
        <v>0</v>
      </c>
      <c r="AG847" s="14">
        <f t="shared" si="31"/>
        <v>0</v>
      </c>
      <c r="AH847" s="14">
        <f t="shared" si="31"/>
        <v>0</v>
      </c>
      <c r="AI847" s="14">
        <f t="shared" si="31"/>
        <v>0</v>
      </c>
      <c r="AJ847" s="14">
        <f t="shared" si="31"/>
        <v>0</v>
      </c>
      <c r="AK847" s="14">
        <f t="shared" si="31"/>
        <v>0</v>
      </c>
      <c r="AL847" s="14">
        <f t="shared" si="31"/>
        <v>0</v>
      </c>
      <c r="AM847" s="14">
        <f t="shared" si="31"/>
        <v>0</v>
      </c>
      <c r="AN847" s="14">
        <f t="shared" si="31"/>
        <v>0</v>
      </c>
      <c r="AO847" s="14">
        <f t="shared" si="31"/>
        <v>0</v>
      </c>
      <c r="AP847" s="14">
        <f t="shared" si="31"/>
        <v>1</v>
      </c>
      <c r="AQ847" s="14">
        <f t="shared" si="31"/>
        <v>0</v>
      </c>
      <c r="AR847" s="14">
        <f t="shared" si="31"/>
        <v>2</v>
      </c>
      <c r="AS847" s="14">
        <f t="shared" si="31"/>
        <v>0</v>
      </c>
      <c r="AT847" s="14">
        <f t="shared" si="31"/>
        <v>0</v>
      </c>
      <c r="AU847" s="14">
        <f t="shared" si="31"/>
        <v>2</v>
      </c>
      <c r="AV847" s="14">
        <f t="shared" si="31"/>
        <v>0</v>
      </c>
      <c r="AW847" s="14">
        <f t="shared" si="31"/>
        <v>0</v>
      </c>
      <c r="AX847" s="14">
        <f t="shared" si="31"/>
        <v>2</v>
      </c>
      <c r="AY847" s="14">
        <f t="shared" si="31"/>
        <v>124</v>
      </c>
    </row>
    <row r="848" spans="1:51" ht="16.5" customHeight="1" x14ac:dyDescent="0.25">
      <c r="A848" s="9" t="s">
        <v>919</v>
      </c>
      <c r="B848" s="1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</row>
    <row r="849" spans="1:51" ht="16.5" customHeight="1" x14ac:dyDescent="0.25">
      <c r="A849" s="10">
        <v>1</v>
      </c>
      <c r="B849" s="11" t="s">
        <v>826</v>
      </c>
      <c r="C849" s="10">
        <v>0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12</v>
      </c>
      <c r="X849" s="10">
        <v>12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0">
        <v>0</v>
      </c>
      <c r="AT849" s="10">
        <v>0</v>
      </c>
      <c r="AU849" s="10">
        <v>0</v>
      </c>
      <c r="AV849" s="10">
        <v>0</v>
      </c>
      <c r="AW849" s="10">
        <v>0</v>
      </c>
      <c r="AX849" s="10">
        <v>0</v>
      </c>
      <c r="AY849" s="10">
        <v>12</v>
      </c>
    </row>
    <row r="850" spans="1:51" ht="16.5" customHeight="1" x14ac:dyDescent="0.25">
      <c r="A850" s="10">
        <v>2</v>
      </c>
      <c r="B850" s="11" t="s">
        <v>827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1</v>
      </c>
      <c r="N850" s="10">
        <v>0</v>
      </c>
      <c r="O850" s="10">
        <v>1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1</v>
      </c>
      <c r="Y850" s="10">
        <v>0</v>
      </c>
      <c r="Z850" s="10">
        <v>1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24</v>
      </c>
      <c r="AI850" s="10">
        <v>6</v>
      </c>
      <c r="AJ850" s="10">
        <v>0</v>
      </c>
      <c r="AK850" s="10">
        <v>0</v>
      </c>
      <c r="AL850" s="10">
        <v>0</v>
      </c>
      <c r="AM850" s="10">
        <v>0</v>
      </c>
      <c r="AN850" s="10">
        <v>0</v>
      </c>
      <c r="AO850" s="10">
        <v>4</v>
      </c>
      <c r="AP850" s="10">
        <v>0</v>
      </c>
      <c r="AQ850" s="10">
        <v>9</v>
      </c>
      <c r="AR850" s="10">
        <v>44</v>
      </c>
      <c r="AS850" s="10">
        <v>0</v>
      </c>
      <c r="AT850" s="10">
        <v>0</v>
      </c>
      <c r="AU850" s="10">
        <v>0</v>
      </c>
      <c r="AV850" s="10">
        <v>0</v>
      </c>
      <c r="AW850" s="10">
        <v>0</v>
      </c>
      <c r="AX850" s="10">
        <v>0</v>
      </c>
      <c r="AY850" s="10">
        <v>45</v>
      </c>
    </row>
    <row r="851" spans="1:51" ht="16.5" customHeight="1" x14ac:dyDescent="0.25">
      <c r="A851" s="10">
        <v>3</v>
      </c>
      <c r="B851" s="11" t="s">
        <v>828</v>
      </c>
      <c r="C851" s="10">
        <v>0</v>
      </c>
      <c r="D851" s="10">
        <v>0</v>
      </c>
      <c r="E851" s="10">
        <v>0</v>
      </c>
      <c r="F851" s="10">
        <v>0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1</v>
      </c>
      <c r="X851" s="10">
        <v>1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  <c r="AQ851" s="10">
        <v>0</v>
      </c>
      <c r="AR851" s="10">
        <v>0</v>
      </c>
      <c r="AS851" s="10">
        <v>0</v>
      </c>
      <c r="AT851" s="10">
        <v>0</v>
      </c>
      <c r="AU851" s="10">
        <v>0</v>
      </c>
      <c r="AV851" s="10">
        <v>0</v>
      </c>
      <c r="AW851" s="10">
        <v>0</v>
      </c>
      <c r="AX851" s="10">
        <v>0</v>
      </c>
      <c r="AY851" s="10">
        <v>1</v>
      </c>
    </row>
    <row r="852" spans="1:51" ht="16.5" customHeight="1" x14ac:dyDescent="0.25">
      <c r="A852" s="10">
        <v>4</v>
      </c>
      <c r="B852" s="11" t="s">
        <v>829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2</v>
      </c>
      <c r="AI852" s="10">
        <v>1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0</v>
      </c>
      <c r="AP852" s="10">
        <v>0</v>
      </c>
      <c r="AQ852" s="10">
        <v>6</v>
      </c>
      <c r="AR852" s="10">
        <v>9</v>
      </c>
      <c r="AS852" s="10">
        <v>0</v>
      </c>
      <c r="AT852" s="10">
        <v>0</v>
      </c>
      <c r="AU852" s="10">
        <v>0</v>
      </c>
      <c r="AV852" s="10">
        <v>0</v>
      </c>
      <c r="AW852" s="10">
        <v>0</v>
      </c>
      <c r="AX852" s="10">
        <v>0</v>
      </c>
      <c r="AY852" s="10">
        <v>9</v>
      </c>
    </row>
    <row r="853" spans="1:51" ht="16.5" customHeight="1" x14ac:dyDescent="0.25">
      <c r="A853" s="10">
        <v>5</v>
      </c>
      <c r="B853" s="11" t="s">
        <v>830</v>
      </c>
      <c r="C853" s="10">
        <v>0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5</v>
      </c>
      <c r="X853" s="10">
        <v>5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0">
        <v>0</v>
      </c>
      <c r="AQ853" s="10">
        <v>0</v>
      </c>
      <c r="AR853" s="10">
        <v>0</v>
      </c>
      <c r="AS853" s="10">
        <v>0</v>
      </c>
      <c r="AT853" s="10">
        <v>0</v>
      </c>
      <c r="AU853" s="10">
        <v>0</v>
      </c>
      <c r="AV853" s="10">
        <v>0</v>
      </c>
      <c r="AW853" s="10">
        <v>0</v>
      </c>
      <c r="AX853" s="10">
        <v>0</v>
      </c>
      <c r="AY853" s="10">
        <v>5</v>
      </c>
    </row>
    <row r="854" spans="1:51" ht="16.5" customHeight="1" x14ac:dyDescent="0.25">
      <c r="A854" s="10">
        <v>6</v>
      </c>
      <c r="B854" s="11" t="s">
        <v>831</v>
      </c>
      <c r="C854" s="10">
        <v>0</v>
      </c>
      <c r="D854" s="10">
        <v>3</v>
      </c>
      <c r="E854" s="10">
        <v>0</v>
      </c>
      <c r="F854" s="10">
        <v>0</v>
      </c>
      <c r="G854" s="10">
        <v>0</v>
      </c>
      <c r="H854" s="10">
        <v>0</v>
      </c>
      <c r="I854" s="10">
        <v>3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3</v>
      </c>
      <c r="Y854" s="10">
        <v>0</v>
      </c>
      <c r="Z854" s="10">
        <v>0</v>
      </c>
      <c r="AA854" s="10">
        <v>0</v>
      </c>
      <c r="AB854" s="10">
        <v>5</v>
      </c>
      <c r="AC854" s="10">
        <v>0</v>
      </c>
      <c r="AD854" s="10">
        <v>4</v>
      </c>
      <c r="AE854" s="10">
        <v>1</v>
      </c>
      <c r="AF854" s="10">
        <v>0</v>
      </c>
      <c r="AG854" s="10">
        <v>0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3</v>
      </c>
      <c r="AP854" s="10">
        <v>2</v>
      </c>
      <c r="AQ854" s="10">
        <v>7</v>
      </c>
      <c r="AR854" s="10">
        <v>17</v>
      </c>
      <c r="AS854" s="10">
        <v>0</v>
      </c>
      <c r="AT854" s="10">
        <v>0</v>
      </c>
      <c r="AU854" s="10">
        <v>0</v>
      </c>
      <c r="AV854" s="10">
        <v>0</v>
      </c>
      <c r="AW854" s="10">
        <v>0</v>
      </c>
      <c r="AX854" s="10">
        <v>0</v>
      </c>
      <c r="AY854" s="10">
        <v>20</v>
      </c>
    </row>
    <row r="855" spans="1:51" ht="16.5" customHeight="1" x14ac:dyDescent="0.25">
      <c r="A855" s="10">
        <v>7</v>
      </c>
      <c r="B855" s="11" t="s">
        <v>832</v>
      </c>
      <c r="C855" s="10">
        <v>0</v>
      </c>
      <c r="D855" s="10">
        <v>0</v>
      </c>
      <c r="E855" s="10">
        <v>0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1</v>
      </c>
      <c r="AQ855" s="10">
        <v>0</v>
      </c>
      <c r="AR855" s="10">
        <v>1</v>
      </c>
      <c r="AS855" s="10">
        <v>0</v>
      </c>
      <c r="AT855" s="10">
        <v>0</v>
      </c>
      <c r="AU855" s="10">
        <v>0</v>
      </c>
      <c r="AV855" s="10">
        <v>0</v>
      </c>
      <c r="AW855" s="10">
        <v>0</v>
      </c>
      <c r="AX855" s="10">
        <v>0</v>
      </c>
      <c r="AY855" s="10">
        <v>1</v>
      </c>
    </row>
    <row r="856" spans="1:51" ht="16.5" customHeight="1" x14ac:dyDescent="0.25">
      <c r="A856" s="10">
        <v>8</v>
      </c>
      <c r="B856" s="11" t="s">
        <v>833</v>
      </c>
      <c r="C856" s="10">
        <v>0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5</v>
      </c>
      <c r="N856" s="10">
        <v>1</v>
      </c>
      <c r="O856" s="10">
        <v>4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5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3</v>
      </c>
      <c r="AQ856" s="10">
        <v>2</v>
      </c>
      <c r="AR856" s="10">
        <v>5</v>
      </c>
      <c r="AS856" s="10">
        <v>0</v>
      </c>
      <c r="AT856" s="10">
        <v>0</v>
      </c>
      <c r="AU856" s="10">
        <v>0</v>
      </c>
      <c r="AV856" s="10">
        <v>0</v>
      </c>
      <c r="AW856" s="10">
        <v>0</v>
      </c>
      <c r="AX856" s="10">
        <v>0</v>
      </c>
      <c r="AY856" s="10">
        <v>10</v>
      </c>
    </row>
    <row r="857" spans="1:51" ht="16.5" customHeight="1" x14ac:dyDescent="0.25">
      <c r="A857" s="10">
        <v>9</v>
      </c>
      <c r="B857" s="11" t="s">
        <v>834</v>
      </c>
      <c r="C857" s="10">
        <v>0</v>
      </c>
      <c r="D857" s="10">
        <v>1</v>
      </c>
      <c r="E857" s="10">
        <v>1</v>
      </c>
      <c r="F857" s="10">
        <v>0</v>
      </c>
      <c r="G857" s="10">
        <v>1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1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1</v>
      </c>
      <c r="AR857" s="10">
        <v>1</v>
      </c>
      <c r="AS857" s="10">
        <v>0</v>
      </c>
      <c r="AT857" s="10">
        <v>0</v>
      </c>
      <c r="AU857" s="10">
        <v>0</v>
      </c>
      <c r="AV857" s="10">
        <v>0</v>
      </c>
      <c r="AW857" s="10">
        <v>0</v>
      </c>
      <c r="AX857" s="10">
        <v>0</v>
      </c>
      <c r="AY857" s="10">
        <v>2</v>
      </c>
    </row>
    <row r="858" spans="1:51" ht="16.5" customHeight="1" x14ac:dyDescent="0.25">
      <c r="A858" s="10">
        <v>10</v>
      </c>
      <c r="B858" s="11" t="s">
        <v>835</v>
      </c>
      <c r="C858" s="10">
        <v>0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4</v>
      </c>
      <c r="X858" s="10">
        <v>4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0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0">
        <v>0</v>
      </c>
      <c r="AT858" s="10">
        <v>0</v>
      </c>
      <c r="AU858" s="10">
        <v>0</v>
      </c>
      <c r="AV858" s="10">
        <v>0</v>
      </c>
      <c r="AW858" s="10">
        <v>0</v>
      </c>
      <c r="AX858" s="10">
        <v>0</v>
      </c>
      <c r="AY858" s="10">
        <v>4</v>
      </c>
    </row>
    <row r="859" spans="1:51" ht="16.5" customHeight="1" x14ac:dyDescent="0.25">
      <c r="A859" s="10">
        <v>11</v>
      </c>
      <c r="B859" s="11" t="s">
        <v>836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0">
        <v>0</v>
      </c>
      <c r="AT859" s="10">
        <v>0</v>
      </c>
      <c r="AU859" s="10">
        <v>0</v>
      </c>
      <c r="AV859" s="10">
        <v>0</v>
      </c>
      <c r="AW859" s="10">
        <v>0</v>
      </c>
      <c r="AX859" s="10">
        <v>0</v>
      </c>
      <c r="AY859" s="10">
        <v>0</v>
      </c>
    </row>
    <row r="860" spans="1:51" ht="16.5" customHeight="1" x14ac:dyDescent="0.25">
      <c r="A860" s="10">
        <v>12</v>
      </c>
      <c r="B860" s="11" t="s">
        <v>837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22</v>
      </c>
      <c r="X860" s="10">
        <v>22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0">
        <v>0</v>
      </c>
      <c r="AT860" s="10">
        <v>0</v>
      </c>
      <c r="AU860" s="10">
        <v>0</v>
      </c>
      <c r="AV860" s="10">
        <v>0</v>
      </c>
      <c r="AW860" s="10">
        <v>0</v>
      </c>
      <c r="AX860" s="10">
        <v>0</v>
      </c>
      <c r="AY860" s="10">
        <v>22</v>
      </c>
    </row>
    <row r="861" spans="1:51" ht="16.5" customHeight="1" x14ac:dyDescent="0.25">
      <c r="A861" s="10">
        <v>13</v>
      </c>
      <c r="B861" s="11" t="s">
        <v>838</v>
      </c>
      <c r="C861" s="10">
        <v>0</v>
      </c>
      <c r="D861" s="10">
        <v>3</v>
      </c>
      <c r="E861" s="10">
        <v>0</v>
      </c>
      <c r="F861" s="10">
        <v>0</v>
      </c>
      <c r="G861" s="10">
        <v>0</v>
      </c>
      <c r="H861" s="10">
        <v>0</v>
      </c>
      <c r="I861" s="10">
        <v>1</v>
      </c>
      <c r="J861" s="10">
        <v>0</v>
      </c>
      <c r="K861" s="10">
        <v>2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5</v>
      </c>
      <c r="X861" s="10">
        <v>8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0">
        <v>0</v>
      </c>
      <c r="AT861" s="10">
        <v>0</v>
      </c>
      <c r="AU861" s="10">
        <v>0</v>
      </c>
      <c r="AV861" s="10">
        <v>0</v>
      </c>
      <c r="AW861" s="10">
        <v>0</v>
      </c>
      <c r="AX861" s="10">
        <v>0</v>
      </c>
      <c r="AY861" s="10">
        <v>8</v>
      </c>
    </row>
    <row r="862" spans="1:51" ht="16.5" customHeight="1" x14ac:dyDescent="0.25">
      <c r="A862" s="10">
        <v>14</v>
      </c>
      <c r="B862" s="11" t="s">
        <v>839</v>
      </c>
      <c r="C862" s="10">
        <v>0</v>
      </c>
      <c r="D862" s="10">
        <v>4</v>
      </c>
      <c r="E862" s="10">
        <v>0</v>
      </c>
      <c r="F862" s="10">
        <v>0</v>
      </c>
      <c r="G862" s="10">
        <v>0</v>
      </c>
      <c r="H862" s="10">
        <v>0</v>
      </c>
      <c r="I862" s="10">
        <v>1</v>
      </c>
      <c r="J862" s="10">
        <v>3</v>
      </c>
      <c r="K862" s="10">
        <v>0</v>
      </c>
      <c r="L862" s="10">
        <v>1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5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2</v>
      </c>
      <c r="AP862" s="10">
        <v>0</v>
      </c>
      <c r="AQ862" s="10">
        <v>0</v>
      </c>
      <c r="AR862" s="10">
        <v>2</v>
      </c>
      <c r="AS862" s="10">
        <v>0</v>
      </c>
      <c r="AT862" s="10">
        <v>0</v>
      </c>
      <c r="AU862" s="10">
        <v>0</v>
      </c>
      <c r="AV862" s="10">
        <v>0</v>
      </c>
      <c r="AW862" s="10">
        <v>0</v>
      </c>
      <c r="AX862" s="10">
        <v>0</v>
      </c>
      <c r="AY862" s="10">
        <v>7</v>
      </c>
    </row>
    <row r="863" spans="1:51" ht="16.5" customHeight="1" x14ac:dyDescent="0.25">
      <c r="A863" s="10">
        <v>15</v>
      </c>
      <c r="B863" s="11" t="s">
        <v>840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1</v>
      </c>
      <c r="AP863" s="10">
        <v>0</v>
      </c>
      <c r="AQ863" s="10">
        <v>0</v>
      </c>
      <c r="AR863" s="10">
        <v>1</v>
      </c>
      <c r="AS863" s="10">
        <v>0</v>
      </c>
      <c r="AT863" s="10">
        <v>0</v>
      </c>
      <c r="AU863" s="10">
        <v>0</v>
      </c>
      <c r="AV863" s="10">
        <v>0</v>
      </c>
      <c r="AW863" s="10">
        <v>0</v>
      </c>
      <c r="AX863" s="10">
        <v>0</v>
      </c>
      <c r="AY863" s="10">
        <v>1</v>
      </c>
    </row>
    <row r="864" spans="1:51" ht="16.5" customHeight="1" x14ac:dyDescent="0.25">
      <c r="A864" s="10">
        <v>16</v>
      </c>
      <c r="B864" s="11" t="s">
        <v>841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0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0">
        <v>0</v>
      </c>
      <c r="AT864" s="10">
        <v>0</v>
      </c>
      <c r="AU864" s="10">
        <v>0</v>
      </c>
      <c r="AV864" s="10">
        <v>0</v>
      </c>
      <c r="AW864" s="10">
        <v>0</v>
      </c>
      <c r="AX864" s="10">
        <v>0</v>
      </c>
      <c r="AY864" s="10">
        <v>0</v>
      </c>
    </row>
    <row r="865" spans="1:51" ht="16.5" customHeight="1" x14ac:dyDescent="0.25">
      <c r="A865" s="10">
        <v>17</v>
      </c>
      <c r="B865" s="11" t="s">
        <v>842</v>
      </c>
      <c r="C865" s="10">
        <v>1</v>
      </c>
      <c r="D865" s="10">
        <v>38</v>
      </c>
      <c r="E865" s="10">
        <v>11</v>
      </c>
      <c r="F865" s="10">
        <v>0</v>
      </c>
      <c r="G865" s="10">
        <v>11</v>
      </c>
      <c r="H865" s="10">
        <v>0</v>
      </c>
      <c r="I865" s="10">
        <v>23</v>
      </c>
      <c r="J865" s="10">
        <v>4</v>
      </c>
      <c r="K865" s="10">
        <v>0</v>
      </c>
      <c r="L865" s="10">
        <v>0</v>
      </c>
      <c r="M865" s="10">
        <v>55</v>
      </c>
      <c r="N865" s="10">
        <v>55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91</v>
      </c>
      <c r="X865" s="10">
        <v>185</v>
      </c>
      <c r="Y865" s="10">
        <v>0</v>
      </c>
      <c r="Z865" s="10">
        <v>3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8</v>
      </c>
      <c r="AR865" s="10">
        <v>11</v>
      </c>
      <c r="AS865" s="10">
        <v>0</v>
      </c>
      <c r="AT865" s="10">
        <v>0</v>
      </c>
      <c r="AU865" s="10">
        <v>0</v>
      </c>
      <c r="AV865" s="10">
        <v>0</v>
      </c>
      <c r="AW865" s="10">
        <v>0</v>
      </c>
      <c r="AX865" s="10">
        <v>0</v>
      </c>
      <c r="AY865" s="10">
        <v>196</v>
      </c>
    </row>
    <row r="866" spans="1:51" ht="16.5" customHeight="1" x14ac:dyDescent="0.25">
      <c r="A866" s="10">
        <v>18</v>
      </c>
      <c r="B866" s="11" t="s">
        <v>843</v>
      </c>
      <c r="C866" s="10">
        <v>0</v>
      </c>
      <c r="D866" s="10">
        <v>2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2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1</v>
      </c>
      <c r="X866" s="10">
        <v>3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0</v>
      </c>
      <c r="AK866" s="10">
        <v>0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0">
        <v>0</v>
      </c>
      <c r="AT866" s="10">
        <v>0</v>
      </c>
      <c r="AU866" s="10">
        <v>0</v>
      </c>
      <c r="AV866" s="10">
        <v>0</v>
      </c>
      <c r="AW866" s="10">
        <v>0</v>
      </c>
      <c r="AX866" s="10">
        <v>0</v>
      </c>
      <c r="AY866" s="10">
        <v>3</v>
      </c>
    </row>
    <row r="867" spans="1:51" ht="16.5" customHeight="1" x14ac:dyDescent="0.25">
      <c r="A867" s="10">
        <v>19</v>
      </c>
      <c r="B867" s="11" t="s">
        <v>844</v>
      </c>
      <c r="C867" s="10">
        <v>0</v>
      </c>
      <c r="D867" s="10">
        <v>2</v>
      </c>
      <c r="E867" s="10">
        <v>0</v>
      </c>
      <c r="F867" s="10">
        <v>0</v>
      </c>
      <c r="G867" s="10">
        <v>0</v>
      </c>
      <c r="H867" s="10">
        <v>0</v>
      </c>
      <c r="I867" s="10">
        <v>2</v>
      </c>
      <c r="J867" s="10">
        <v>0</v>
      </c>
      <c r="K867" s="10">
        <v>0</v>
      </c>
      <c r="L867" s="10">
        <v>0</v>
      </c>
      <c r="M867" s="10">
        <v>4</v>
      </c>
      <c r="N867" s="10">
        <v>2</v>
      </c>
      <c r="O867" s="10">
        <v>2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6</v>
      </c>
      <c r="Y867" s="10">
        <v>0</v>
      </c>
      <c r="Z867" s="10">
        <v>3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3</v>
      </c>
      <c r="AI867" s="10">
        <v>1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9</v>
      </c>
      <c r="AR867" s="10">
        <v>16</v>
      </c>
      <c r="AS867" s="10">
        <v>0</v>
      </c>
      <c r="AT867" s="10">
        <v>0</v>
      </c>
      <c r="AU867" s="10">
        <v>0</v>
      </c>
      <c r="AV867" s="10">
        <v>0</v>
      </c>
      <c r="AW867" s="10">
        <v>0</v>
      </c>
      <c r="AX867" s="10">
        <v>0</v>
      </c>
      <c r="AY867" s="10">
        <v>22</v>
      </c>
    </row>
    <row r="868" spans="1:51" ht="16.5" customHeight="1" x14ac:dyDescent="0.25">
      <c r="A868" s="10">
        <v>20</v>
      </c>
      <c r="B868" s="11" t="s">
        <v>845</v>
      </c>
      <c r="C868" s="10">
        <v>0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12</v>
      </c>
      <c r="X868" s="10">
        <v>12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0">
        <v>0</v>
      </c>
      <c r="AT868" s="10">
        <v>0</v>
      </c>
      <c r="AU868" s="10">
        <v>0</v>
      </c>
      <c r="AV868" s="10">
        <v>0</v>
      </c>
      <c r="AW868" s="10">
        <v>0</v>
      </c>
      <c r="AX868" s="10">
        <v>0</v>
      </c>
      <c r="AY868" s="10">
        <v>12</v>
      </c>
    </row>
    <row r="869" spans="1:51" ht="16.5" customHeight="1" x14ac:dyDescent="0.25">
      <c r="A869" s="10">
        <v>21</v>
      </c>
      <c r="B869" s="11" t="s">
        <v>846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2</v>
      </c>
      <c r="X869" s="10">
        <v>2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0">
        <v>0</v>
      </c>
      <c r="AT869" s="10">
        <v>0</v>
      </c>
      <c r="AU869" s="10">
        <v>0</v>
      </c>
      <c r="AV869" s="10">
        <v>0</v>
      </c>
      <c r="AW869" s="10">
        <v>0</v>
      </c>
      <c r="AX869" s="10">
        <v>0</v>
      </c>
      <c r="AY869" s="10">
        <v>2</v>
      </c>
    </row>
    <row r="870" spans="1:51" ht="16.5" customHeight="1" x14ac:dyDescent="0.25">
      <c r="A870" s="10">
        <v>22</v>
      </c>
      <c r="B870" s="11" t="s">
        <v>847</v>
      </c>
      <c r="C870" s="10">
        <v>0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3</v>
      </c>
      <c r="X870" s="10">
        <v>3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0</v>
      </c>
      <c r="AK870" s="10">
        <v>0</v>
      </c>
      <c r="AL870" s="10">
        <v>0</v>
      </c>
      <c r="AM870" s="10">
        <v>0</v>
      </c>
      <c r="AN870" s="10">
        <v>0</v>
      </c>
      <c r="AO870" s="10">
        <v>0</v>
      </c>
      <c r="AP870" s="10">
        <v>0</v>
      </c>
      <c r="AQ870" s="10">
        <v>0</v>
      </c>
      <c r="AR870" s="10">
        <v>0</v>
      </c>
      <c r="AS870" s="10">
        <v>0</v>
      </c>
      <c r="AT870" s="10">
        <v>0</v>
      </c>
      <c r="AU870" s="10">
        <v>0</v>
      </c>
      <c r="AV870" s="10">
        <v>0</v>
      </c>
      <c r="AW870" s="10">
        <v>0</v>
      </c>
      <c r="AX870" s="10">
        <v>0</v>
      </c>
      <c r="AY870" s="10">
        <v>3</v>
      </c>
    </row>
    <row r="871" spans="1:51" ht="16.5" customHeight="1" x14ac:dyDescent="0.25">
      <c r="A871" s="10">
        <v>23</v>
      </c>
      <c r="B871" s="11" t="s">
        <v>848</v>
      </c>
      <c r="C871" s="10">
        <v>0</v>
      </c>
      <c r="D871" s="10">
        <v>4</v>
      </c>
      <c r="E871" s="10">
        <v>0</v>
      </c>
      <c r="F871" s="10">
        <v>0</v>
      </c>
      <c r="G871" s="10">
        <v>0</v>
      </c>
      <c r="H871" s="10">
        <v>0</v>
      </c>
      <c r="I871" s="10">
        <v>1</v>
      </c>
      <c r="J871" s="10">
        <v>2</v>
      </c>
      <c r="K871" s="10">
        <v>1</v>
      </c>
      <c r="L871" s="10">
        <v>0</v>
      </c>
      <c r="M871" s="10">
        <v>1</v>
      </c>
      <c r="N871" s="10">
        <v>1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5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0">
        <v>0</v>
      </c>
      <c r="AT871" s="10">
        <v>0</v>
      </c>
      <c r="AU871" s="10">
        <v>0</v>
      </c>
      <c r="AV871" s="10">
        <v>0</v>
      </c>
      <c r="AW871" s="10">
        <v>0</v>
      </c>
      <c r="AX871" s="10">
        <v>0</v>
      </c>
      <c r="AY871" s="10">
        <v>5</v>
      </c>
    </row>
    <row r="872" spans="1:51" ht="16.5" customHeight="1" x14ac:dyDescent="0.25">
      <c r="A872" s="10">
        <v>24</v>
      </c>
      <c r="B872" s="11" t="s">
        <v>849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0">
        <v>0</v>
      </c>
      <c r="AT872" s="10">
        <v>0</v>
      </c>
      <c r="AU872" s="10">
        <v>0</v>
      </c>
      <c r="AV872" s="10">
        <v>0</v>
      </c>
      <c r="AW872" s="10">
        <v>0</v>
      </c>
      <c r="AX872" s="10">
        <v>0</v>
      </c>
      <c r="AY872" s="10">
        <v>0</v>
      </c>
    </row>
    <row r="873" spans="1:51" ht="16.5" customHeight="1" x14ac:dyDescent="0.25">
      <c r="A873" s="10">
        <v>25</v>
      </c>
      <c r="B873" s="11" t="s">
        <v>850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0">
        <v>0</v>
      </c>
      <c r="AT873" s="10">
        <v>0</v>
      </c>
      <c r="AU873" s="10">
        <v>0</v>
      </c>
      <c r="AV873" s="10">
        <v>0</v>
      </c>
      <c r="AW873" s="10">
        <v>0</v>
      </c>
      <c r="AX873" s="10">
        <v>0</v>
      </c>
      <c r="AY873" s="10">
        <v>0</v>
      </c>
    </row>
    <row r="874" spans="1:51" ht="16.5" customHeight="1" x14ac:dyDescent="0.25">
      <c r="A874" s="10">
        <v>26</v>
      </c>
      <c r="B874" s="11" t="s">
        <v>851</v>
      </c>
      <c r="C874" s="10">
        <v>0</v>
      </c>
      <c r="D874" s="10">
        <v>5</v>
      </c>
      <c r="E874" s="10">
        <v>4</v>
      </c>
      <c r="F874" s="10">
        <v>2</v>
      </c>
      <c r="G874" s="10">
        <v>2</v>
      </c>
      <c r="H874" s="10">
        <v>0</v>
      </c>
      <c r="I874" s="10">
        <v>0</v>
      </c>
      <c r="J874" s="10">
        <v>1</v>
      </c>
      <c r="K874" s="10">
        <v>0</v>
      </c>
      <c r="L874" s="10">
        <v>0</v>
      </c>
      <c r="M874" s="10">
        <v>3</v>
      </c>
      <c r="N874" s="10">
        <v>1</v>
      </c>
      <c r="O874" s="10">
        <v>0</v>
      </c>
      <c r="P874" s="10">
        <v>0</v>
      </c>
      <c r="Q874" s="10">
        <v>0</v>
      </c>
      <c r="R874" s="10">
        <v>2</v>
      </c>
      <c r="S874" s="10">
        <v>0</v>
      </c>
      <c r="T874" s="10">
        <v>0</v>
      </c>
      <c r="U874" s="10">
        <v>0</v>
      </c>
      <c r="V874" s="10">
        <v>0</v>
      </c>
      <c r="W874" s="10">
        <v>15</v>
      </c>
      <c r="X874" s="10">
        <v>23</v>
      </c>
      <c r="Y874" s="10">
        <v>0</v>
      </c>
      <c r="Z874" s="10">
        <v>1</v>
      </c>
      <c r="AA874" s="10">
        <v>0</v>
      </c>
      <c r="AB874" s="10">
        <v>15</v>
      </c>
      <c r="AC874" s="10">
        <v>2</v>
      </c>
      <c r="AD874" s="10">
        <v>0</v>
      </c>
      <c r="AE874" s="10">
        <v>1</v>
      </c>
      <c r="AF874" s="10">
        <v>8</v>
      </c>
      <c r="AG874" s="10">
        <v>4</v>
      </c>
      <c r="AH874" s="10">
        <v>4</v>
      </c>
      <c r="AI874" s="10">
        <v>1</v>
      </c>
      <c r="AJ874" s="10">
        <v>0</v>
      </c>
      <c r="AK874" s="10">
        <v>0</v>
      </c>
      <c r="AL874" s="10">
        <v>0</v>
      </c>
      <c r="AM874" s="10">
        <v>0</v>
      </c>
      <c r="AN874" s="10">
        <v>0</v>
      </c>
      <c r="AO874" s="10">
        <v>0</v>
      </c>
      <c r="AP874" s="10">
        <v>0</v>
      </c>
      <c r="AQ874" s="10">
        <v>0</v>
      </c>
      <c r="AR874" s="10">
        <v>21</v>
      </c>
      <c r="AS874" s="10">
        <v>0</v>
      </c>
      <c r="AT874" s="10">
        <v>0</v>
      </c>
      <c r="AU874" s="10">
        <v>0</v>
      </c>
      <c r="AV874" s="10">
        <v>0</v>
      </c>
      <c r="AW874" s="10">
        <v>0</v>
      </c>
      <c r="AX874" s="10">
        <v>0</v>
      </c>
      <c r="AY874" s="10">
        <v>44</v>
      </c>
    </row>
    <row r="875" spans="1:51" ht="16.5" customHeight="1" x14ac:dyDescent="0.25">
      <c r="A875" s="10">
        <v>27</v>
      </c>
      <c r="B875" s="11" t="s">
        <v>852</v>
      </c>
      <c r="C875" s="10">
        <v>0</v>
      </c>
      <c r="D875" s="10">
        <v>5</v>
      </c>
      <c r="E875" s="10">
        <v>0</v>
      </c>
      <c r="F875" s="10">
        <v>0</v>
      </c>
      <c r="G875" s="10">
        <v>0</v>
      </c>
      <c r="H875" s="10">
        <v>0</v>
      </c>
      <c r="I875" s="10">
        <v>4</v>
      </c>
      <c r="J875" s="10">
        <v>1</v>
      </c>
      <c r="K875" s="10">
        <v>0</v>
      </c>
      <c r="L875" s="10">
        <v>0</v>
      </c>
      <c r="M875" s="10">
        <v>9</v>
      </c>
      <c r="N875" s="10">
        <v>8</v>
      </c>
      <c r="O875" s="10">
        <v>1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14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1</v>
      </c>
      <c r="AQ875" s="10">
        <v>0</v>
      </c>
      <c r="AR875" s="10">
        <v>1</v>
      </c>
      <c r="AS875" s="10">
        <v>0</v>
      </c>
      <c r="AT875" s="10">
        <v>0</v>
      </c>
      <c r="AU875" s="10">
        <v>0</v>
      </c>
      <c r="AV875" s="10">
        <v>0</v>
      </c>
      <c r="AW875" s="10">
        <v>0</v>
      </c>
      <c r="AX875" s="10">
        <v>0</v>
      </c>
      <c r="AY875" s="10">
        <v>15</v>
      </c>
    </row>
    <row r="876" spans="1:51" ht="16.5" customHeight="1" x14ac:dyDescent="0.25">
      <c r="A876" s="10">
        <v>28</v>
      </c>
      <c r="B876" s="11" t="s">
        <v>853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7</v>
      </c>
      <c r="X876" s="10">
        <v>7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2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7</v>
      </c>
      <c r="AR876" s="10">
        <v>9</v>
      </c>
      <c r="AS876" s="10">
        <v>0</v>
      </c>
      <c r="AT876" s="10">
        <v>0</v>
      </c>
      <c r="AU876" s="10">
        <v>0</v>
      </c>
      <c r="AV876" s="10">
        <v>0</v>
      </c>
      <c r="AW876" s="10">
        <v>0</v>
      </c>
      <c r="AX876" s="10">
        <v>0</v>
      </c>
      <c r="AY876" s="10">
        <v>16</v>
      </c>
    </row>
    <row r="877" spans="1:51" ht="16.5" customHeight="1" x14ac:dyDescent="0.25">
      <c r="A877" s="10">
        <v>29</v>
      </c>
      <c r="B877" s="11" t="s">
        <v>854</v>
      </c>
      <c r="C877" s="10">
        <v>0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8</v>
      </c>
      <c r="X877" s="10">
        <v>8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0">
        <v>0</v>
      </c>
      <c r="AQ877" s="10">
        <v>0</v>
      </c>
      <c r="AR877" s="10">
        <v>0</v>
      </c>
      <c r="AS877" s="10">
        <v>0</v>
      </c>
      <c r="AT877" s="10">
        <v>0</v>
      </c>
      <c r="AU877" s="10">
        <v>0</v>
      </c>
      <c r="AV877" s="10">
        <v>0</v>
      </c>
      <c r="AW877" s="10">
        <v>0</v>
      </c>
      <c r="AX877" s="10">
        <v>0</v>
      </c>
      <c r="AY877" s="10">
        <v>8</v>
      </c>
    </row>
    <row r="878" spans="1:51" ht="16.5" customHeight="1" x14ac:dyDescent="0.25">
      <c r="A878" s="10">
        <v>30</v>
      </c>
      <c r="B878" s="11" t="s">
        <v>855</v>
      </c>
      <c r="C878" s="10">
        <v>0</v>
      </c>
      <c r="D878" s="10">
        <v>1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1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1</v>
      </c>
      <c r="Y878" s="10">
        <v>0</v>
      </c>
      <c r="Z878" s="10">
        <v>0</v>
      </c>
      <c r="AA878" s="10">
        <v>0</v>
      </c>
      <c r="AB878" s="10">
        <v>2</v>
      </c>
      <c r="AC878" s="10">
        <v>0</v>
      </c>
      <c r="AD878" s="10">
        <v>2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13</v>
      </c>
      <c r="AR878" s="10">
        <v>15</v>
      </c>
      <c r="AS878" s="10">
        <v>0</v>
      </c>
      <c r="AT878" s="10">
        <v>0</v>
      </c>
      <c r="AU878" s="10">
        <v>0</v>
      </c>
      <c r="AV878" s="10">
        <v>0</v>
      </c>
      <c r="AW878" s="10">
        <v>0</v>
      </c>
      <c r="AX878" s="10">
        <v>0</v>
      </c>
      <c r="AY878" s="10">
        <v>16</v>
      </c>
    </row>
    <row r="879" spans="1:51" ht="16.5" customHeight="1" x14ac:dyDescent="0.25">
      <c r="A879" s="10">
        <v>31</v>
      </c>
      <c r="B879" s="11" t="s">
        <v>856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1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1</v>
      </c>
      <c r="AS879" s="10">
        <v>0</v>
      </c>
      <c r="AT879" s="10">
        <v>0</v>
      </c>
      <c r="AU879" s="10">
        <v>0</v>
      </c>
      <c r="AV879" s="10">
        <v>0</v>
      </c>
      <c r="AW879" s="10">
        <v>0</v>
      </c>
      <c r="AX879" s="10">
        <v>0</v>
      </c>
      <c r="AY879" s="10">
        <v>1</v>
      </c>
    </row>
    <row r="880" spans="1:51" ht="16.5" customHeight="1" x14ac:dyDescent="0.25">
      <c r="A880" s="10">
        <v>32</v>
      </c>
      <c r="B880" s="11" t="s">
        <v>857</v>
      </c>
      <c r="C880" s="10">
        <v>0</v>
      </c>
      <c r="D880" s="10">
        <v>10</v>
      </c>
      <c r="E880" s="10">
        <v>6</v>
      </c>
      <c r="F880" s="10">
        <v>0</v>
      </c>
      <c r="G880" s="10">
        <v>6</v>
      </c>
      <c r="H880" s="10">
        <v>0</v>
      </c>
      <c r="I880" s="10">
        <v>0</v>
      </c>
      <c r="J880" s="10">
        <v>4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10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0">
        <v>0</v>
      </c>
      <c r="AQ880" s="10">
        <v>0</v>
      </c>
      <c r="AR880" s="10">
        <v>0</v>
      </c>
      <c r="AS880" s="10">
        <v>0</v>
      </c>
      <c r="AT880" s="10">
        <v>0</v>
      </c>
      <c r="AU880" s="10">
        <v>0</v>
      </c>
      <c r="AV880" s="10">
        <v>0</v>
      </c>
      <c r="AW880" s="10">
        <v>0</v>
      </c>
      <c r="AX880" s="10">
        <v>0</v>
      </c>
      <c r="AY880" s="10">
        <v>10</v>
      </c>
    </row>
    <row r="881" spans="1:51" ht="16.5" customHeight="1" x14ac:dyDescent="0.25">
      <c r="A881" s="10">
        <v>33</v>
      </c>
      <c r="B881" s="11" t="s">
        <v>858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10</v>
      </c>
      <c r="X881" s="10">
        <v>10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10</v>
      </c>
      <c r="AR881" s="10">
        <v>10</v>
      </c>
      <c r="AS881" s="10">
        <v>0</v>
      </c>
      <c r="AT881" s="10">
        <v>0</v>
      </c>
      <c r="AU881" s="10">
        <v>6</v>
      </c>
      <c r="AV881" s="10">
        <v>0</v>
      </c>
      <c r="AW881" s="10">
        <v>0</v>
      </c>
      <c r="AX881" s="10">
        <v>6</v>
      </c>
      <c r="AY881" s="10">
        <v>26</v>
      </c>
    </row>
    <row r="882" spans="1:51" ht="16.5" customHeight="1" x14ac:dyDescent="0.25">
      <c r="A882" s="10">
        <v>34</v>
      </c>
      <c r="B882" s="11" t="s">
        <v>859</v>
      </c>
      <c r="C882" s="10">
        <v>0</v>
      </c>
      <c r="D882" s="10">
        <v>25</v>
      </c>
      <c r="E882" s="10">
        <v>12</v>
      </c>
      <c r="F882" s="10">
        <v>0</v>
      </c>
      <c r="G882" s="10">
        <v>12</v>
      </c>
      <c r="H882" s="10">
        <v>0</v>
      </c>
      <c r="I882" s="10">
        <v>10</v>
      </c>
      <c r="J882" s="10">
        <v>2</v>
      </c>
      <c r="K882" s="10">
        <v>1</v>
      </c>
      <c r="L882" s="10">
        <v>0</v>
      </c>
      <c r="M882" s="10">
        <v>12</v>
      </c>
      <c r="N882" s="10">
        <v>12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37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0</v>
      </c>
      <c r="AK882" s="10">
        <v>0</v>
      </c>
      <c r="AL882" s="10">
        <v>0</v>
      </c>
      <c r="AM882" s="10">
        <v>0</v>
      </c>
      <c r="AN882" s="10">
        <v>0</v>
      </c>
      <c r="AO882" s="10">
        <v>0</v>
      </c>
      <c r="AP882" s="10">
        <v>0</v>
      </c>
      <c r="AQ882" s="10">
        <v>0</v>
      </c>
      <c r="AR882" s="10">
        <v>0</v>
      </c>
      <c r="AS882" s="10">
        <v>0</v>
      </c>
      <c r="AT882" s="10">
        <v>0</v>
      </c>
      <c r="AU882" s="10">
        <v>0</v>
      </c>
      <c r="AV882" s="10">
        <v>0</v>
      </c>
      <c r="AW882" s="10">
        <v>0</v>
      </c>
      <c r="AX882" s="10">
        <v>0</v>
      </c>
      <c r="AY882" s="10">
        <v>37</v>
      </c>
    </row>
    <row r="883" spans="1:51" ht="16.5" customHeight="1" x14ac:dyDescent="0.25">
      <c r="A883" s="10">
        <v>35</v>
      </c>
      <c r="B883" s="11" t="s">
        <v>860</v>
      </c>
      <c r="C883" s="10">
        <v>0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5</v>
      </c>
      <c r="X883" s="10">
        <v>5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0">
        <v>0</v>
      </c>
      <c r="AT883" s="10">
        <v>0</v>
      </c>
      <c r="AU883" s="10">
        <v>0</v>
      </c>
      <c r="AV883" s="10">
        <v>0</v>
      </c>
      <c r="AW883" s="10">
        <v>0</v>
      </c>
      <c r="AX883" s="10">
        <v>0</v>
      </c>
      <c r="AY883" s="10">
        <v>5</v>
      </c>
    </row>
    <row r="884" spans="1:51" ht="16.5" customHeight="1" x14ac:dyDescent="0.25">
      <c r="A884" s="12"/>
      <c r="B884" s="13" t="s">
        <v>889</v>
      </c>
      <c r="C884" s="14">
        <f>SUM(C849:C883)</f>
        <v>1</v>
      </c>
      <c r="D884" s="14">
        <f t="shared" ref="D884:AY884" si="32">SUM(D849:D883)</f>
        <v>103</v>
      </c>
      <c r="E884" s="14">
        <f t="shared" si="32"/>
        <v>34</v>
      </c>
      <c r="F884" s="14">
        <f t="shared" si="32"/>
        <v>2</v>
      </c>
      <c r="G884" s="14">
        <f t="shared" si="32"/>
        <v>32</v>
      </c>
      <c r="H884" s="14">
        <f t="shared" si="32"/>
        <v>0</v>
      </c>
      <c r="I884" s="14">
        <f t="shared" si="32"/>
        <v>45</v>
      </c>
      <c r="J884" s="14">
        <f t="shared" si="32"/>
        <v>20</v>
      </c>
      <c r="K884" s="14">
        <f t="shared" si="32"/>
        <v>4</v>
      </c>
      <c r="L884" s="14">
        <f t="shared" si="32"/>
        <v>1</v>
      </c>
      <c r="M884" s="14">
        <f t="shared" si="32"/>
        <v>90</v>
      </c>
      <c r="N884" s="14">
        <f t="shared" si="32"/>
        <v>80</v>
      </c>
      <c r="O884" s="14">
        <f t="shared" si="32"/>
        <v>8</v>
      </c>
      <c r="P884" s="14">
        <f t="shared" si="32"/>
        <v>0</v>
      </c>
      <c r="Q884" s="14">
        <f t="shared" si="32"/>
        <v>0</v>
      </c>
      <c r="R884" s="14">
        <f t="shared" si="32"/>
        <v>2</v>
      </c>
      <c r="S884" s="14">
        <f t="shared" si="32"/>
        <v>0</v>
      </c>
      <c r="T884" s="14">
        <f t="shared" si="32"/>
        <v>0</v>
      </c>
      <c r="U884" s="14">
        <f t="shared" si="32"/>
        <v>0</v>
      </c>
      <c r="V884" s="14">
        <f t="shared" si="32"/>
        <v>0</v>
      </c>
      <c r="W884" s="14">
        <f t="shared" si="32"/>
        <v>203</v>
      </c>
      <c r="X884" s="14">
        <f t="shared" si="32"/>
        <v>398</v>
      </c>
      <c r="Y884" s="14">
        <f t="shared" si="32"/>
        <v>0</v>
      </c>
      <c r="Z884" s="14">
        <f t="shared" si="32"/>
        <v>9</v>
      </c>
      <c r="AA884" s="14">
        <f t="shared" si="32"/>
        <v>0</v>
      </c>
      <c r="AB884" s="14">
        <f t="shared" si="32"/>
        <v>22</v>
      </c>
      <c r="AC884" s="14">
        <f t="shared" si="32"/>
        <v>2</v>
      </c>
      <c r="AD884" s="14">
        <f t="shared" si="32"/>
        <v>6</v>
      </c>
      <c r="AE884" s="14">
        <f t="shared" si="32"/>
        <v>2</v>
      </c>
      <c r="AF884" s="14">
        <f t="shared" si="32"/>
        <v>8</v>
      </c>
      <c r="AG884" s="14">
        <f t="shared" si="32"/>
        <v>4</v>
      </c>
      <c r="AH884" s="14">
        <f t="shared" si="32"/>
        <v>35</v>
      </c>
      <c r="AI884" s="14">
        <f t="shared" si="32"/>
        <v>9</v>
      </c>
      <c r="AJ884" s="14">
        <f t="shared" si="32"/>
        <v>0</v>
      </c>
      <c r="AK884" s="14">
        <f t="shared" si="32"/>
        <v>0</v>
      </c>
      <c r="AL884" s="14">
        <f t="shared" si="32"/>
        <v>0</v>
      </c>
      <c r="AM884" s="14">
        <f t="shared" si="32"/>
        <v>0</v>
      </c>
      <c r="AN884" s="14">
        <f t="shared" si="32"/>
        <v>0</v>
      </c>
      <c r="AO884" s="14">
        <f t="shared" si="32"/>
        <v>10</v>
      </c>
      <c r="AP884" s="14">
        <f t="shared" si="32"/>
        <v>7</v>
      </c>
      <c r="AQ884" s="14">
        <f t="shared" si="32"/>
        <v>72</v>
      </c>
      <c r="AR884" s="14">
        <f t="shared" si="32"/>
        <v>164</v>
      </c>
      <c r="AS884" s="14">
        <f t="shared" si="32"/>
        <v>0</v>
      </c>
      <c r="AT884" s="14">
        <f t="shared" si="32"/>
        <v>0</v>
      </c>
      <c r="AU884" s="14">
        <f t="shared" si="32"/>
        <v>6</v>
      </c>
      <c r="AV884" s="14">
        <f t="shared" si="32"/>
        <v>0</v>
      </c>
      <c r="AW884" s="14">
        <f t="shared" si="32"/>
        <v>0</v>
      </c>
      <c r="AX884" s="14">
        <f t="shared" si="32"/>
        <v>6</v>
      </c>
      <c r="AY884" s="14">
        <f t="shared" si="32"/>
        <v>568</v>
      </c>
    </row>
    <row r="885" spans="1:51" ht="16.5" customHeight="1" x14ac:dyDescent="0.25">
      <c r="A885" s="9" t="s">
        <v>920</v>
      </c>
      <c r="B885" s="1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</row>
    <row r="886" spans="1:51" ht="16.5" customHeight="1" x14ac:dyDescent="0.25">
      <c r="A886" s="10">
        <v>1</v>
      </c>
      <c r="B886" s="11" t="s">
        <v>861</v>
      </c>
      <c r="C886" s="10">
        <v>0</v>
      </c>
      <c r="D886" s="10">
        <v>2</v>
      </c>
      <c r="E886" s="10">
        <v>0</v>
      </c>
      <c r="F886" s="10">
        <v>0</v>
      </c>
      <c r="G886" s="10">
        <v>0</v>
      </c>
      <c r="H886" s="10">
        <v>0</v>
      </c>
      <c r="I886" s="10">
        <v>2</v>
      </c>
      <c r="J886" s="10">
        <v>0</v>
      </c>
      <c r="K886" s="10">
        <v>0</v>
      </c>
      <c r="L886" s="10">
        <v>0</v>
      </c>
      <c r="M886" s="10">
        <v>1</v>
      </c>
      <c r="N886" s="10">
        <v>1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3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0">
        <v>0</v>
      </c>
      <c r="AN886" s="10">
        <v>0</v>
      </c>
      <c r="AO886" s="10">
        <v>0</v>
      </c>
      <c r="AP886" s="10">
        <v>0</v>
      </c>
      <c r="AQ886" s="10">
        <v>0</v>
      </c>
      <c r="AR886" s="10">
        <v>0</v>
      </c>
      <c r="AS886" s="10">
        <v>0</v>
      </c>
      <c r="AT886" s="10">
        <v>0</v>
      </c>
      <c r="AU886" s="10">
        <v>0</v>
      </c>
      <c r="AV886" s="10">
        <v>0</v>
      </c>
      <c r="AW886" s="10">
        <v>0</v>
      </c>
      <c r="AX886" s="10">
        <v>0</v>
      </c>
      <c r="AY886" s="10">
        <v>3</v>
      </c>
    </row>
    <row r="887" spans="1:51" ht="16.5" customHeight="1" x14ac:dyDescent="0.25">
      <c r="A887" s="10">
        <v>2</v>
      </c>
      <c r="B887" s="11" t="s">
        <v>862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0">
        <v>0</v>
      </c>
      <c r="AN887" s="10">
        <v>0</v>
      </c>
      <c r="AO887" s="10">
        <v>0</v>
      </c>
      <c r="AP887" s="10">
        <v>0</v>
      </c>
      <c r="AQ887" s="10">
        <v>0</v>
      </c>
      <c r="AR887" s="10">
        <v>0</v>
      </c>
      <c r="AS887" s="10">
        <v>0</v>
      </c>
      <c r="AT887" s="10">
        <v>0</v>
      </c>
      <c r="AU887" s="10">
        <v>0</v>
      </c>
      <c r="AV887" s="10">
        <v>0</v>
      </c>
      <c r="AW887" s="10">
        <v>0</v>
      </c>
      <c r="AX887" s="10">
        <v>0</v>
      </c>
      <c r="AY887" s="10">
        <v>0</v>
      </c>
    </row>
    <row r="888" spans="1:51" ht="16.5" customHeight="1" x14ac:dyDescent="0.25">
      <c r="A888" s="10">
        <v>3</v>
      </c>
      <c r="B888" s="11" t="s">
        <v>863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0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  <c r="AR888" s="10">
        <v>0</v>
      </c>
      <c r="AS888" s="10">
        <v>0</v>
      </c>
      <c r="AT888" s="10">
        <v>0</v>
      </c>
      <c r="AU888" s="10">
        <v>0</v>
      </c>
      <c r="AV888" s="10">
        <v>0</v>
      </c>
      <c r="AW888" s="10">
        <v>0</v>
      </c>
      <c r="AX888" s="10">
        <v>0</v>
      </c>
      <c r="AY888" s="10">
        <v>0</v>
      </c>
    </row>
    <row r="889" spans="1:51" ht="16.5" customHeight="1" x14ac:dyDescent="0.25">
      <c r="A889" s="12"/>
      <c r="B889" s="13" t="s">
        <v>889</v>
      </c>
      <c r="C889" s="14">
        <f>SUM(C886:C888)</f>
        <v>0</v>
      </c>
      <c r="D889" s="14">
        <f t="shared" ref="D889:AY889" si="33">SUM(D886:D888)</f>
        <v>2</v>
      </c>
      <c r="E889" s="14">
        <f t="shared" si="33"/>
        <v>0</v>
      </c>
      <c r="F889" s="14">
        <f t="shared" si="33"/>
        <v>0</v>
      </c>
      <c r="G889" s="14">
        <f t="shared" si="33"/>
        <v>0</v>
      </c>
      <c r="H889" s="14">
        <f t="shared" si="33"/>
        <v>0</v>
      </c>
      <c r="I889" s="14">
        <f t="shared" si="33"/>
        <v>2</v>
      </c>
      <c r="J889" s="14">
        <f t="shared" si="33"/>
        <v>0</v>
      </c>
      <c r="K889" s="14">
        <f t="shared" si="33"/>
        <v>0</v>
      </c>
      <c r="L889" s="14">
        <f t="shared" si="33"/>
        <v>0</v>
      </c>
      <c r="M889" s="14">
        <f t="shared" si="33"/>
        <v>1</v>
      </c>
      <c r="N889" s="14">
        <f t="shared" si="33"/>
        <v>1</v>
      </c>
      <c r="O889" s="14">
        <f t="shared" si="33"/>
        <v>0</v>
      </c>
      <c r="P889" s="14">
        <f t="shared" si="33"/>
        <v>0</v>
      </c>
      <c r="Q889" s="14">
        <f t="shared" si="33"/>
        <v>0</v>
      </c>
      <c r="R889" s="14">
        <f t="shared" si="33"/>
        <v>0</v>
      </c>
      <c r="S889" s="14">
        <f t="shared" si="33"/>
        <v>0</v>
      </c>
      <c r="T889" s="14">
        <f t="shared" si="33"/>
        <v>0</v>
      </c>
      <c r="U889" s="14">
        <f t="shared" si="33"/>
        <v>0</v>
      </c>
      <c r="V889" s="14">
        <f t="shared" si="33"/>
        <v>0</v>
      </c>
      <c r="W889" s="14">
        <f t="shared" si="33"/>
        <v>0</v>
      </c>
      <c r="X889" s="14">
        <f t="shared" si="33"/>
        <v>3</v>
      </c>
      <c r="Y889" s="14">
        <f t="shared" si="33"/>
        <v>0</v>
      </c>
      <c r="Z889" s="14">
        <f t="shared" si="33"/>
        <v>0</v>
      </c>
      <c r="AA889" s="14">
        <f t="shared" si="33"/>
        <v>0</v>
      </c>
      <c r="AB889" s="14">
        <f t="shared" si="33"/>
        <v>0</v>
      </c>
      <c r="AC889" s="14">
        <f t="shared" si="33"/>
        <v>0</v>
      </c>
      <c r="AD889" s="14">
        <f t="shared" si="33"/>
        <v>0</v>
      </c>
      <c r="AE889" s="14">
        <f t="shared" si="33"/>
        <v>0</v>
      </c>
      <c r="AF889" s="14">
        <f t="shared" si="33"/>
        <v>0</v>
      </c>
      <c r="AG889" s="14">
        <f t="shared" si="33"/>
        <v>0</v>
      </c>
      <c r="AH889" s="14">
        <f t="shared" si="33"/>
        <v>0</v>
      </c>
      <c r="AI889" s="14">
        <f t="shared" si="33"/>
        <v>0</v>
      </c>
      <c r="AJ889" s="14">
        <f t="shared" si="33"/>
        <v>0</v>
      </c>
      <c r="AK889" s="14">
        <f t="shared" si="33"/>
        <v>0</v>
      </c>
      <c r="AL889" s="14">
        <f t="shared" si="33"/>
        <v>0</v>
      </c>
      <c r="AM889" s="14">
        <f t="shared" si="33"/>
        <v>0</v>
      </c>
      <c r="AN889" s="14">
        <f t="shared" si="33"/>
        <v>0</v>
      </c>
      <c r="AO889" s="14">
        <f t="shared" si="33"/>
        <v>0</v>
      </c>
      <c r="AP889" s="14">
        <f t="shared" si="33"/>
        <v>0</v>
      </c>
      <c r="AQ889" s="14">
        <f t="shared" si="33"/>
        <v>0</v>
      </c>
      <c r="AR889" s="14">
        <f t="shared" si="33"/>
        <v>0</v>
      </c>
      <c r="AS889" s="14">
        <f t="shared" si="33"/>
        <v>0</v>
      </c>
      <c r="AT889" s="14">
        <f t="shared" si="33"/>
        <v>0</v>
      </c>
      <c r="AU889" s="14">
        <f t="shared" si="33"/>
        <v>0</v>
      </c>
      <c r="AV889" s="14">
        <f t="shared" si="33"/>
        <v>0</v>
      </c>
      <c r="AW889" s="14">
        <f t="shared" si="33"/>
        <v>0</v>
      </c>
      <c r="AX889" s="14">
        <f t="shared" si="33"/>
        <v>0</v>
      </c>
      <c r="AY889" s="14">
        <f t="shared" si="33"/>
        <v>3</v>
      </c>
    </row>
    <row r="890" spans="1:51" ht="16.5" customHeight="1" x14ac:dyDescent="0.25">
      <c r="A890" s="9" t="s">
        <v>921</v>
      </c>
      <c r="B890" s="1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</row>
    <row r="891" spans="1:51" ht="16.5" customHeight="1" x14ac:dyDescent="0.25">
      <c r="A891" s="10">
        <v>1</v>
      </c>
      <c r="B891" s="11" t="s">
        <v>864</v>
      </c>
      <c r="C891" s="10">
        <v>0</v>
      </c>
      <c r="D891" s="10">
        <v>14</v>
      </c>
      <c r="E891" s="10">
        <v>1</v>
      </c>
      <c r="F891" s="10">
        <v>0</v>
      </c>
      <c r="G891" s="10">
        <v>1</v>
      </c>
      <c r="H891" s="10">
        <v>0</v>
      </c>
      <c r="I891" s="10">
        <v>2</v>
      </c>
      <c r="J891" s="10">
        <v>11</v>
      </c>
      <c r="K891" s="10">
        <v>0</v>
      </c>
      <c r="L891" s="10">
        <v>0</v>
      </c>
      <c r="M891" s="10">
        <v>3</v>
      </c>
      <c r="N891" s="10">
        <v>1</v>
      </c>
      <c r="O891" s="10">
        <v>2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17</v>
      </c>
      <c r="Y891" s="10">
        <v>0</v>
      </c>
      <c r="Z891" s="10">
        <v>2</v>
      </c>
      <c r="AA891" s="10">
        <v>0</v>
      </c>
      <c r="AB891" s="10">
        <v>6</v>
      </c>
      <c r="AC891" s="10">
        <v>0</v>
      </c>
      <c r="AD891" s="10">
        <v>0</v>
      </c>
      <c r="AE891" s="10">
        <v>4</v>
      </c>
      <c r="AF891" s="10">
        <v>0</v>
      </c>
      <c r="AG891" s="10">
        <v>2</v>
      </c>
      <c r="AH891" s="10">
        <v>4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1</v>
      </c>
      <c r="AP891" s="10">
        <v>0</v>
      </c>
      <c r="AQ891" s="10">
        <v>2</v>
      </c>
      <c r="AR891" s="10">
        <v>15</v>
      </c>
      <c r="AS891" s="10">
        <v>0</v>
      </c>
      <c r="AT891" s="10">
        <v>0</v>
      </c>
      <c r="AU891" s="10">
        <v>0</v>
      </c>
      <c r="AV891" s="10">
        <v>0</v>
      </c>
      <c r="AW891" s="10">
        <v>0</v>
      </c>
      <c r="AX891" s="10">
        <v>0</v>
      </c>
      <c r="AY891" s="10">
        <v>32</v>
      </c>
    </row>
    <row r="892" spans="1:51" ht="16.5" customHeight="1" x14ac:dyDescent="0.25">
      <c r="A892" s="12"/>
      <c r="B892" s="13" t="s">
        <v>889</v>
      </c>
      <c r="C892" s="14">
        <f>+C891</f>
        <v>0</v>
      </c>
      <c r="D892" s="14">
        <f t="shared" ref="D892:AY892" si="34">+D891</f>
        <v>14</v>
      </c>
      <c r="E892" s="14">
        <f t="shared" si="34"/>
        <v>1</v>
      </c>
      <c r="F892" s="14">
        <f t="shared" si="34"/>
        <v>0</v>
      </c>
      <c r="G892" s="14">
        <f t="shared" si="34"/>
        <v>1</v>
      </c>
      <c r="H892" s="14">
        <f t="shared" si="34"/>
        <v>0</v>
      </c>
      <c r="I892" s="14">
        <f t="shared" si="34"/>
        <v>2</v>
      </c>
      <c r="J892" s="14">
        <f t="shared" si="34"/>
        <v>11</v>
      </c>
      <c r="K892" s="14">
        <f t="shared" si="34"/>
        <v>0</v>
      </c>
      <c r="L892" s="14">
        <f t="shared" si="34"/>
        <v>0</v>
      </c>
      <c r="M892" s="14">
        <f t="shared" si="34"/>
        <v>3</v>
      </c>
      <c r="N892" s="14">
        <f t="shared" si="34"/>
        <v>1</v>
      </c>
      <c r="O892" s="14">
        <f t="shared" si="34"/>
        <v>2</v>
      </c>
      <c r="P892" s="14">
        <f t="shared" si="34"/>
        <v>0</v>
      </c>
      <c r="Q892" s="14">
        <f t="shared" si="34"/>
        <v>0</v>
      </c>
      <c r="R892" s="14">
        <f t="shared" si="34"/>
        <v>0</v>
      </c>
      <c r="S892" s="14">
        <f t="shared" si="34"/>
        <v>0</v>
      </c>
      <c r="T892" s="14">
        <f t="shared" si="34"/>
        <v>0</v>
      </c>
      <c r="U892" s="14">
        <f t="shared" si="34"/>
        <v>0</v>
      </c>
      <c r="V892" s="14">
        <f t="shared" si="34"/>
        <v>0</v>
      </c>
      <c r="W892" s="14">
        <f t="shared" si="34"/>
        <v>0</v>
      </c>
      <c r="X892" s="14">
        <f t="shared" si="34"/>
        <v>17</v>
      </c>
      <c r="Y892" s="14">
        <f t="shared" si="34"/>
        <v>0</v>
      </c>
      <c r="Z892" s="14">
        <f t="shared" si="34"/>
        <v>2</v>
      </c>
      <c r="AA892" s="14">
        <f t="shared" si="34"/>
        <v>0</v>
      </c>
      <c r="AB892" s="14">
        <f t="shared" si="34"/>
        <v>6</v>
      </c>
      <c r="AC892" s="14">
        <f t="shared" si="34"/>
        <v>0</v>
      </c>
      <c r="AD892" s="14">
        <f t="shared" si="34"/>
        <v>0</v>
      </c>
      <c r="AE892" s="14">
        <f t="shared" si="34"/>
        <v>4</v>
      </c>
      <c r="AF892" s="14">
        <f t="shared" si="34"/>
        <v>0</v>
      </c>
      <c r="AG892" s="14">
        <f t="shared" si="34"/>
        <v>2</v>
      </c>
      <c r="AH892" s="14">
        <f t="shared" si="34"/>
        <v>4</v>
      </c>
      <c r="AI892" s="14">
        <f t="shared" si="34"/>
        <v>0</v>
      </c>
      <c r="AJ892" s="14">
        <f t="shared" si="34"/>
        <v>0</v>
      </c>
      <c r="AK892" s="14">
        <f t="shared" si="34"/>
        <v>0</v>
      </c>
      <c r="AL892" s="14">
        <f t="shared" si="34"/>
        <v>0</v>
      </c>
      <c r="AM892" s="14">
        <f t="shared" si="34"/>
        <v>0</v>
      </c>
      <c r="AN892" s="14">
        <f t="shared" si="34"/>
        <v>0</v>
      </c>
      <c r="AO892" s="14">
        <f t="shared" si="34"/>
        <v>1</v>
      </c>
      <c r="AP892" s="14">
        <f t="shared" si="34"/>
        <v>0</v>
      </c>
      <c r="AQ892" s="14">
        <f t="shared" si="34"/>
        <v>2</v>
      </c>
      <c r="AR892" s="14">
        <f t="shared" si="34"/>
        <v>15</v>
      </c>
      <c r="AS892" s="14">
        <f t="shared" si="34"/>
        <v>0</v>
      </c>
      <c r="AT892" s="14">
        <f t="shared" si="34"/>
        <v>0</v>
      </c>
      <c r="AU892" s="14">
        <f t="shared" si="34"/>
        <v>0</v>
      </c>
      <c r="AV892" s="14">
        <f t="shared" si="34"/>
        <v>0</v>
      </c>
      <c r="AW892" s="14">
        <f t="shared" si="34"/>
        <v>0</v>
      </c>
      <c r="AX892" s="14">
        <f t="shared" si="34"/>
        <v>0</v>
      </c>
      <c r="AY892" s="14">
        <f t="shared" si="34"/>
        <v>32</v>
      </c>
    </row>
    <row r="893" spans="1:51" ht="16.5" customHeight="1" x14ac:dyDescent="0.25">
      <c r="A893" s="9" t="s">
        <v>922</v>
      </c>
      <c r="B893" s="1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</row>
    <row r="894" spans="1:51" ht="16.5" customHeight="1" x14ac:dyDescent="0.25">
      <c r="A894" s="10">
        <v>1</v>
      </c>
      <c r="B894" s="11" t="s">
        <v>865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1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1</v>
      </c>
      <c r="AS894" s="10">
        <v>0</v>
      </c>
      <c r="AT894" s="10">
        <v>0</v>
      </c>
      <c r="AU894" s="10">
        <v>0</v>
      </c>
      <c r="AV894" s="10">
        <v>0</v>
      </c>
      <c r="AW894" s="10">
        <v>0</v>
      </c>
      <c r="AX894" s="10">
        <v>0</v>
      </c>
      <c r="AY894" s="10">
        <v>1</v>
      </c>
    </row>
    <row r="895" spans="1:51" ht="16.5" customHeight="1" x14ac:dyDescent="0.25">
      <c r="A895" s="12"/>
      <c r="B895" s="13" t="s">
        <v>889</v>
      </c>
      <c r="C895" s="14">
        <f>+C894</f>
        <v>0</v>
      </c>
      <c r="D895" s="14">
        <f t="shared" ref="D895" si="35">+D894</f>
        <v>0</v>
      </c>
      <c r="E895" s="14">
        <f t="shared" ref="E895" si="36">+E894</f>
        <v>0</v>
      </c>
      <c r="F895" s="14">
        <f t="shared" ref="F895" si="37">+F894</f>
        <v>0</v>
      </c>
      <c r="G895" s="14">
        <f t="shared" ref="G895" si="38">+G894</f>
        <v>0</v>
      </c>
      <c r="H895" s="14">
        <f t="shared" ref="H895" si="39">+H894</f>
        <v>0</v>
      </c>
      <c r="I895" s="14">
        <f t="shared" ref="I895" si="40">+I894</f>
        <v>0</v>
      </c>
      <c r="J895" s="14">
        <f t="shared" ref="J895" si="41">+J894</f>
        <v>0</v>
      </c>
      <c r="K895" s="14">
        <f t="shared" ref="K895" si="42">+K894</f>
        <v>0</v>
      </c>
      <c r="L895" s="14">
        <f t="shared" ref="L895" si="43">+L894</f>
        <v>0</v>
      </c>
      <c r="M895" s="14">
        <f t="shared" ref="M895" si="44">+M894</f>
        <v>0</v>
      </c>
      <c r="N895" s="14">
        <f t="shared" ref="N895" si="45">+N894</f>
        <v>0</v>
      </c>
      <c r="O895" s="14">
        <f t="shared" ref="O895" si="46">+O894</f>
        <v>0</v>
      </c>
      <c r="P895" s="14">
        <f t="shared" ref="P895" si="47">+P894</f>
        <v>0</v>
      </c>
      <c r="Q895" s="14">
        <f t="shared" ref="Q895" si="48">+Q894</f>
        <v>0</v>
      </c>
      <c r="R895" s="14">
        <f t="shared" ref="R895" si="49">+R894</f>
        <v>0</v>
      </c>
      <c r="S895" s="14">
        <f t="shared" ref="S895" si="50">+S894</f>
        <v>0</v>
      </c>
      <c r="T895" s="14">
        <f t="shared" ref="T895" si="51">+T894</f>
        <v>0</v>
      </c>
      <c r="U895" s="14">
        <f t="shared" ref="U895" si="52">+U894</f>
        <v>0</v>
      </c>
      <c r="V895" s="14">
        <f t="shared" ref="V895" si="53">+V894</f>
        <v>0</v>
      </c>
      <c r="W895" s="14">
        <f t="shared" ref="W895" si="54">+W894</f>
        <v>0</v>
      </c>
      <c r="X895" s="14">
        <f t="shared" ref="X895" si="55">+X894</f>
        <v>0</v>
      </c>
      <c r="Y895" s="14">
        <f t="shared" ref="Y895" si="56">+Y894</f>
        <v>0</v>
      </c>
      <c r="Z895" s="14">
        <f t="shared" ref="Z895" si="57">+Z894</f>
        <v>1</v>
      </c>
      <c r="AA895" s="14">
        <f t="shared" ref="AA895" si="58">+AA894</f>
        <v>0</v>
      </c>
      <c r="AB895" s="14">
        <f t="shared" ref="AB895" si="59">+AB894</f>
        <v>0</v>
      </c>
      <c r="AC895" s="14">
        <f t="shared" ref="AC895" si="60">+AC894</f>
        <v>0</v>
      </c>
      <c r="AD895" s="14">
        <f t="shared" ref="AD895" si="61">+AD894</f>
        <v>0</v>
      </c>
      <c r="AE895" s="14">
        <f t="shared" ref="AE895" si="62">+AE894</f>
        <v>0</v>
      </c>
      <c r="AF895" s="14">
        <f t="shared" ref="AF895" si="63">+AF894</f>
        <v>0</v>
      </c>
      <c r="AG895" s="14">
        <f t="shared" ref="AG895" si="64">+AG894</f>
        <v>0</v>
      </c>
      <c r="AH895" s="14">
        <f t="shared" ref="AH895" si="65">+AH894</f>
        <v>0</v>
      </c>
      <c r="AI895" s="14">
        <f t="shared" ref="AI895" si="66">+AI894</f>
        <v>0</v>
      </c>
      <c r="AJ895" s="14">
        <f t="shared" ref="AJ895" si="67">+AJ894</f>
        <v>0</v>
      </c>
      <c r="AK895" s="14">
        <f t="shared" ref="AK895" si="68">+AK894</f>
        <v>0</v>
      </c>
      <c r="AL895" s="14">
        <f t="shared" ref="AL895" si="69">+AL894</f>
        <v>0</v>
      </c>
      <c r="AM895" s="14">
        <f t="shared" ref="AM895" si="70">+AM894</f>
        <v>0</v>
      </c>
      <c r="AN895" s="14">
        <f t="shared" ref="AN895" si="71">+AN894</f>
        <v>0</v>
      </c>
      <c r="AO895" s="14">
        <f t="shared" ref="AO895" si="72">+AO894</f>
        <v>0</v>
      </c>
      <c r="AP895" s="14">
        <f t="shared" ref="AP895" si="73">+AP894</f>
        <v>0</v>
      </c>
      <c r="AQ895" s="14">
        <f t="shared" ref="AQ895" si="74">+AQ894</f>
        <v>0</v>
      </c>
      <c r="AR895" s="14">
        <f t="shared" ref="AR895" si="75">+AR894</f>
        <v>1</v>
      </c>
      <c r="AS895" s="14">
        <f t="shared" ref="AS895" si="76">+AS894</f>
        <v>0</v>
      </c>
      <c r="AT895" s="14">
        <f t="shared" ref="AT895" si="77">+AT894</f>
        <v>0</v>
      </c>
      <c r="AU895" s="14">
        <f t="shared" ref="AU895" si="78">+AU894</f>
        <v>0</v>
      </c>
      <c r="AV895" s="14">
        <f t="shared" ref="AV895" si="79">+AV894</f>
        <v>0</v>
      </c>
      <c r="AW895" s="14">
        <f t="shared" ref="AW895" si="80">+AW894</f>
        <v>0</v>
      </c>
      <c r="AX895" s="14">
        <f t="shared" ref="AX895" si="81">+AX894</f>
        <v>0</v>
      </c>
      <c r="AY895" s="14">
        <f t="shared" ref="AY895" si="82">+AY894</f>
        <v>1</v>
      </c>
    </row>
    <row r="896" spans="1:51" ht="16.5" customHeight="1" x14ac:dyDescent="0.25">
      <c r="A896" s="9" t="s">
        <v>923</v>
      </c>
      <c r="B896" s="1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</row>
    <row r="897" spans="1:51" ht="16.5" customHeight="1" x14ac:dyDescent="0.25">
      <c r="A897" s="10">
        <v>1</v>
      </c>
      <c r="B897" s="11" t="s">
        <v>866</v>
      </c>
      <c r="C897" s="10">
        <v>0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0</v>
      </c>
      <c r="AQ897" s="10">
        <v>0</v>
      </c>
      <c r="AR897" s="10">
        <v>0</v>
      </c>
      <c r="AS897" s="10">
        <v>0</v>
      </c>
      <c r="AT897" s="10">
        <v>0</v>
      </c>
      <c r="AU897" s="10">
        <v>0</v>
      </c>
      <c r="AV897" s="10">
        <v>0</v>
      </c>
      <c r="AW897" s="10">
        <v>0</v>
      </c>
      <c r="AX897" s="10">
        <v>0</v>
      </c>
      <c r="AY897" s="10">
        <v>0</v>
      </c>
    </row>
    <row r="898" spans="1:51" ht="16.5" customHeight="1" x14ac:dyDescent="0.25">
      <c r="A898" s="10">
        <v>2</v>
      </c>
      <c r="B898" s="11" t="s">
        <v>867</v>
      </c>
      <c r="C898" s="10">
        <v>0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0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0">
        <v>0</v>
      </c>
      <c r="AT898" s="10">
        <v>0</v>
      </c>
      <c r="AU898" s="10">
        <v>0</v>
      </c>
      <c r="AV898" s="10">
        <v>0</v>
      </c>
      <c r="AW898" s="10">
        <v>0</v>
      </c>
      <c r="AX898" s="10">
        <v>0</v>
      </c>
      <c r="AY898" s="10">
        <v>0</v>
      </c>
    </row>
    <row r="899" spans="1:51" ht="16.5" customHeight="1" x14ac:dyDescent="0.25">
      <c r="A899" s="12"/>
      <c r="B899" s="13" t="s">
        <v>889</v>
      </c>
      <c r="C899" s="14">
        <f>SUM(C897:C898)</f>
        <v>0</v>
      </c>
      <c r="D899" s="14">
        <f t="shared" ref="D899:AY899" si="83">SUM(D897:D898)</f>
        <v>0</v>
      </c>
      <c r="E899" s="14">
        <f t="shared" si="83"/>
        <v>0</v>
      </c>
      <c r="F899" s="14">
        <f t="shared" si="83"/>
        <v>0</v>
      </c>
      <c r="G899" s="14">
        <f t="shared" si="83"/>
        <v>0</v>
      </c>
      <c r="H899" s="14">
        <f t="shared" si="83"/>
        <v>0</v>
      </c>
      <c r="I899" s="14">
        <f t="shared" si="83"/>
        <v>0</v>
      </c>
      <c r="J899" s="14">
        <f t="shared" si="83"/>
        <v>0</v>
      </c>
      <c r="K899" s="14">
        <f t="shared" si="83"/>
        <v>0</v>
      </c>
      <c r="L899" s="14">
        <f t="shared" si="83"/>
        <v>0</v>
      </c>
      <c r="M899" s="14">
        <f t="shared" si="83"/>
        <v>0</v>
      </c>
      <c r="N899" s="14">
        <f t="shared" si="83"/>
        <v>0</v>
      </c>
      <c r="O899" s="14">
        <f t="shared" si="83"/>
        <v>0</v>
      </c>
      <c r="P899" s="14">
        <f t="shared" si="83"/>
        <v>0</v>
      </c>
      <c r="Q899" s="14">
        <f t="shared" si="83"/>
        <v>0</v>
      </c>
      <c r="R899" s="14">
        <f t="shared" si="83"/>
        <v>0</v>
      </c>
      <c r="S899" s="14">
        <f t="shared" si="83"/>
        <v>0</v>
      </c>
      <c r="T899" s="14">
        <f t="shared" si="83"/>
        <v>0</v>
      </c>
      <c r="U899" s="14">
        <f t="shared" si="83"/>
        <v>0</v>
      </c>
      <c r="V899" s="14">
        <f t="shared" si="83"/>
        <v>0</v>
      </c>
      <c r="W899" s="14">
        <f t="shared" si="83"/>
        <v>0</v>
      </c>
      <c r="X899" s="14">
        <f t="shared" si="83"/>
        <v>0</v>
      </c>
      <c r="Y899" s="14">
        <f t="shared" si="83"/>
        <v>0</v>
      </c>
      <c r="Z899" s="14">
        <f t="shared" si="83"/>
        <v>0</v>
      </c>
      <c r="AA899" s="14">
        <f t="shared" si="83"/>
        <v>0</v>
      </c>
      <c r="AB899" s="14">
        <f t="shared" si="83"/>
        <v>0</v>
      </c>
      <c r="AC899" s="14">
        <f t="shared" si="83"/>
        <v>0</v>
      </c>
      <c r="AD899" s="14">
        <f t="shared" si="83"/>
        <v>0</v>
      </c>
      <c r="AE899" s="14">
        <f t="shared" si="83"/>
        <v>0</v>
      </c>
      <c r="AF899" s="14">
        <f t="shared" si="83"/>
        <v>0</v>
      </c>
      <c r="AG899" s="14">
        <f t="shared" si="83"/>
        <v>0</v>
      </c>
      <c r="AH899" s="14">
        <f t="shared" si="83"/>
        <v>0</v>
      </c>
      <c r="AI899" s="14">
        <f t="shared" si="83"/>
        <v>0</v>
      </c>
      <c r="AJ899" s="14">
        <f t="shared" si="83"/>
        <v>0</v>
      </c>
      <c r="AK899" s="14">
        <f t="shared" si="83"/>
        <v>0</v>
      </c>
      <c r="AL899" s="14">
        <f t="shared" si="83"/>
        <v>0</v>
      </c>
      <c r="AM899" s="14">
        <f t="shared" si="83"/>
        <v>0</v>
      </c>
      <c r="AN899" s="14">
        <f t="shared" si="83"/>
        <v>0</v>
      </c>
      <c r="AO899" s="14">
        <f t="shared" si="83"/>
        <v>0</v>
      </c>
      <c r="AP899" s="14">
        <f t="shared" si="83"/>
        <v>0</v>
      </c>
      <c r="AQ899" s="14">
        <f t="shared" si="83"/>
        <v>0</v>
      </c>
      <c r="AR899" s="14">
        <f t="shared" si="83"/>
        <v>0</v>
      </c>
      <c r="AS899" s="14">
        <f t="shared" si="83"/>
        <v>0</v>
      </c>
      <c r="AT899" s="14">
        <f t="shared" si="83"/>
        <v>0</v>
      </c>
      <c r="AU899" s="14">
        <f t="shared" si="83"/>
        <v>0</v>
      </c>
      <c r="AV899" s="14">
        <f t="shared" si="83"/>
        <v>0</v>
      </c>
      <c r="AW899" s="14">
        <f t="shared" si="83"/>
        <v>0</v>
      </c>
      <c r="AX899" s="14">
        <f t="shared" si="83"/>
        <v>0</v>
      </c>
      <c r="AY899" s="14">
        <f t="shared" si="83"/>
        <v>0</v>
      </c>
    </row>
    <row r="900" spans="1:51" ht="16.5" customHeight="1" x14ac:dyDescent="0.25">
      <c r="A900" s="9" t="s">
        <v>924</v>
      </c>
      <c r="B900" s="1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</row>
    <row r="901" spans="1:51" ht="16.5" customHeight="1" x14ac:dyDescent="0.25">
      <c r="A901" s="10">
        <v>1</v>
      </c>
      <c r="B901" s="11" t="s">
        <v>868</v>
      </c>
      <c r="C901" s="10">
        <v>0</v>
      </c>
      <c r="D901" s="10">
        <v>1</v>
      </c>
      <c r="E901" s="10">
        <v>0</v>
      </c>
      <c r="F901" s="10">
        <v>0</v>
      </c>
      <c r="G901" s="10">
        <v>0</v>
      </c>
      <c r="H901" s="10">
        <v>0</v>
      </c>
      <c r="I901" s="10">
        <v>1</v>
      </c>
      <c r="J901" s="10">
        <v>0</v>
      </c>
      <c r="K901" s="10">
        <v>0</v>
      </c>
      <c r="L901" s="10">
        <v>0</v>
      </c>
      <c r="M901" s="10">
        <v>6</v>
      </c>
      <c r="N901" s="10">
        <v>2</v>
      </c>
      <c r="O901" s="10">
        <v>2</v>
      </c>
      <c r="P901" s="10">
        <v>2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7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0</v>
      </c>
      <c r="AP901" s="10">
        <v>0</v>
      </c>
      <c r="AQ901" s="10">
        <v>0</v>
      </c>
      <c r="AR901" s="10">
        <v>0</v>
      </c>
      <c r="AS901" s="10">
        <v>0</v>
      </c>
      <c r="AT901" s="10">
        <v>0</v>
      </c>
      <c r="AU901" s="10">
        <v>0</v>
      </c>
      <c r="AV901" s="10">
        <v>0</v>
      </c>
      <c r="AW901" s="10">
        <v>0</v>
      </c>
      <c r="AX901" s="10">
        <v>0</v>
      </c>
      <c r="AY901" s="10">
        <v>7</v>
      </c>
    </row>
    <row r="902" spans="1:51" ht="16.5" customHeight="1" x14ac:dyDescent="0.25">
      <c r="A902" s="10">
        <v>2</v>
      </c>
      <c r="B902" s="11" t="s">
        <v>81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6</v>
      </c>
      <c r="AI902" s="10">
        <v>2</v>
      </c>
      <c r="AJ902" s="10">
        <v>0</v>
      </c>
      <c r="AK902" s="10">
        <v>0</v>
      </c>
      <c r="AL902" s="10">
        <v>0</v>
      </c>
      <c r="AM902" s="10">
        <v>0</v>
      </c>
      <c r="AN902" s="10">
        <v>0</v>
      </c>
      <c r="AO902" s="10">
        <v>1</v>
      </c>
      <c r="AP902" s="10">
        <v>0</v>
      </c>
      <c r="AQ902" s="10">
        <v>2</v>
      </c>
      <c r="AR902" s="10">
        <v>11</v>
      </c>
      <c r="AS902" s="10">
        <v>2</v>
      </c>
      <c r="AT902" s="10">
        <v>0</v>
      </c>
      <c r="AU902" s="10">
        <v>0</v>
      </c>
      <c r="AV902" s="10">
        <v>0</v>
      </c>
      <c r="AW902" s="10">
        <v>0</v>
      </c>
      <c r="AX902" s="10">
        <v>2</v>
      </c>
      <c r="AY902" s="10">
        <v>13</v>
      </c>
    </row>
    <row r="903" spans="1:51" ht="16.5" customHeight="1" x14ac:dyDescent="0.25">
      <c r="A903" s="10">
        <v>3</v>
      </c>
      <c r="B903" s="11" t="s">
        <v>663</v>
      </c>
      <c r="C903" s="10">
        <v>0</v>
      </c>
      <c r="D903" s="10">
        <v>1</v>
      </c>
      <c r="E903" s="10">
        <v>0</v>
      </c>
      <c r="F903" s="10">
        <v>0</v>
      </c>
      <c r="G903" s="10">
        <v>0</v>
      </c>
      <c r="H903" s="10">
        <v>0</v>
      </c>
      <c r="I903" s="10">
        <v>1</v>
      </c>
      <c r="J903" s="10">
        <v>0</v>
      </c>
      <c r="K903" s="10">
        <v>0</v>
      </c>
      <c r="L903" s="10">
        <v>0</v>
      </c>
      <c r="M903" s="10">
        <v>3</v>
      </c>
      <c r="N903" s="10">
        <v>2</v>
      </c>
      <c r="O903" s="10">
        <v>1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4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1</v>
      </c>
      <c r="AP903" s="10">
        <v>0</v>
      </c>
      <c r="AQ903" s="10">
        <v>0</v>
      </c>
      <c r="AR903" s="10">
        <v>1</v>
      </c>
      <c r="AS903" s="10">
        <v>0</v>
      </c>
      <c r="AT903" s="10">
        <v>0</v>
      </c>
      <c r="AU903" s="10">
        <v>0</v>
      </c>
      <c r="AV903" s="10">
        <v>0</v>
      </c>
      <c r="AW903" s="10">
        <v>0</v>
      </c>
      <c r="AX903" s="10">
        <v>0</v>
      </c>
      <c r="AY903" s="10">
        <v>5</v>
      </c>
    </row>
    <row r="904" spans="1:51" ht="16.5" customHeight="1" x14ac:dyDescent="0.25">
      <c r="A904" s="10">
        <v>4</v>
      </c>
      <c r="B904" s="11" t="s">
        <v>869</v>
      </c>
      <c r="C904" s="10">
        <v>0</v>
      </c>
      <c r="D904" s="10">
        <v>14</v>
      </c>
      <c r="E904" s="10">
        <v>9</v>
      </c>
      <c r="F904" s="10">
        <v>0</v>
      </c>
      <c r="G904" s="10">
        <v>9</v>
      </c>
      <c r="H904" s="10">
        <v>0</v>
      </c>
      <c r="I904" s="10">
        <v>4</v>
      </c>
      <c r="J904" s="10">
        <v>1</v>
      </c>
      <c r="K904" s="10">
        <v>0</v>
      </c>
      <c r="L904" s="10">
        <v>0</v>
      </c>
      <c r="M904" s="10">
        <v>4</v>
      </c>
      <c r="N904" s="10">
        <v>0</v>
      </c>
      <c r="O904" s="10">
        <v>4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18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0">
        <v>0</v>
      </c>
      <c r="AN904" s="10">
        <v>0</v>
      </c>
      <c r="AO904" s="10">
        <v>0</v>
      </c>
      <c r="AP904" s="10">
        <v>1</v>
      </c>
      <c r="AQ904" s="10">
        <v>0</v>
      </c>
      <c r="AR904" s="10">
        <v>1</v>
      </c>
      <c r="AS904" s="10">
        <v>0</v>
      </c>
      <c r="AT904" s="10">
        <v>0</v>
      </c>
      <c r="AU904" s="10">
        <v>0</v>
      </c>
      <c r="AV904" s="10">
        <v>0</v>
      </c>
      <c r="AW904" s="10">
        <v>0</v>
      </c>
      <c r="AX904" s="10">
        <v>0</v>
      </c>
      <c r="AY904" s="10">
        <v>19</v>
      </c>
    </row>
    <row r="905" spans="1:51" ht="16.5" customHeight="1" x14ac:dyDescent="0.25">
      <c r="A905" s="10">
        <v>5</v>
      </c>
      <c r="B905" s="11" t="s">
        <v>870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0">
        <v>0</v>
      </c>
      <c r="AT905" s="10">
        <v>0</v>
      </c>
      <c r="AU905" s="10">
        <v>0</v>
      </c>
      <c r="AV905" s="10">
        <v>0</v>
      </c>
      <c r="AW905" s="10">
        <v>0</v>
      </c>
      <c r="AX905" s="10">
        <v>0</v>
      </c>
      <c r="AY905" s="10">
        <v>0</v>
      </c>
    </row>
    <row r="906" spans="1:51" ht="16.5" customHeight="1" x14ac:dyDescent="0.25">
      <c r="A906" s="10">
        <v>6</v>
      </c>
      <c r="B906" s="11" t="s">
        <v>871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0">
        <v>0</v>
      </c>
      <c r="AT906" s="10">
        <v>0</v>
      </c>
      <c r="AU906" s="10">
        <v>0</v>
      </c>
      <c r="AV906" s="10">
        <v>0</v>
      </c>
      <c r="AW906" s="10">
        <v>0</v>
      </c>
      <c r="AX906" s="10">
        <v>0</v>
      </c>
      <c r="AY906" s="10">
        <v>0</v>
      </c>
    </row>
    <row r="907" spans="1:51" ht="16.5" customHeight="1" x14ac:dyDescent="0.25">
      <c r="A907" s="10">
        <v>7</v>
      </c>
      <c r="B907" s="11" t="s">
        <v>872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4</v>
      </c>
      <c r="AC907" s="10">
        <v>0</v>
      </c>
      <c r="AD907" s="10">
        <v>0</v>
      </c>
      <c r="AE907" s="10">
        <v>0</v>
      </c>
      <c r="AF907" s="10">
        <v>0</v>
      </c>
      <c r="AG907" s="10">
        <v>4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2</v>
      </c>
      <c r="AR907" s="10">
        <v>6</v>
      </c>
      <c r="AS907" s="10">
        <v>0</v>
      </c>
      <c r="AT907" s="10">
        <v>0</v>
      </c>
      <c r="AU907" s="10">
        <v>0</v>
      </c>
      <c r="AV907" s="10">
        <v>0</v>
      </c>
      <c r="AW907" s="10">
        <v>0</v>
      </c>
      <c r="AX907" s="10">
        <v>0</v>
      </c>
      <c r="AY907" s="10">
        <v>6</v>
      </c>
    </row>
    <row r="908" spans="1:51" ht="16.5" customHeight="1" x14ac:dyDescent="0.25">
      <c r="A908" s="10">
        <v>8</v>
      </c>
      <c r="B908" s="11" t="s">
        <v>664</v>
      </c>
      <c r="C908" s="10">
        <v>0</v>
      </c>
      <c r="D908" s="10">
        <v>2</v>
      </c>
      <c r="E908" s="10">
        <v>0</v>
      </c>
      <c r="F908" s="10">
        <v>0</v>
      </c>
      <c r="G908" s="10">
        <v>0</v>
      </c>
      <c r="H908" s="10">
        <v>1</v>
      </c>
      <c r="I908" s="10">
        <v>1</v>
      </c>
      <c r="J908" s="10">
        <v>0</v>
      </c>
      <c r="K908" s="10">
        <v>0</v>
      </c>
      <c r="L908" s="10">
        <v>0</v>
      </c>
      <c r="M908" s="10">
        <v>1</v>
      </c>
      <c r="N908" s="10">
        <v>1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3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2</v>
      </c>
      <c r="AR908" s="10">
        <v>2</v>
      </c>
      <c r="AS908" s="10">
        <v>0</v>
      </c>
      <c r="AT908" s="10">
        <v>0</v>
      </c>
      <c r="AU908" s="10">
        <v>0</v>
      </c>
      <c r="AV908" s="10">
        <v>0</v>
      </c>
      <c r="AW908" s="10">
        <v>0</v>
      </c>
      <c r="AX908" s="10">
        <v>0</v>
      </c>
      <c r="AY908" s="10">
        <v>5</v>
      </c>
    </row>
    <row r="909" spans="1:51" ht="16.5" customHeight="1" x14ac:dyDescent="0.25">
      <c r="A909" s="10">
        <v>9</v>
      </c>
      <c r="B909" s="11" t="s">
        <v>873</v>
      </c>
      <c r="C909" s="10">
        <v>0</v>
      </c>
      <c r="D909" s="10">
        <v>0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2</v>
      </c>
      <c r="N909" s="10">
        <v>2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2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2</v>
      </c>
      <c r="AP909" s="10">
        <v>0</v>
      </c>
      <c r="AQ909" s="10">
        <v>0</v>
      </c>
      <c r="AR909" s="10">
        <v>2</v>
      </c>
      <c r="AS909" s="10">
        <v>0</v>
      </c>
      <c r="AT909" s="10">
        <v>0</v>
      </c>
      <c r="AU909" s="10">
        <v>0</v>
      </c>
      <c r="AV909" s="10">
        <v>0</v>
      </c>
      <c r="AW909" s="10">
        <v>0</v>
      </c>
      <c r="AX909" s="10">
        <v>0</v>
      </c>
      <c r="AY909" s="10">
        <v>4</v>
      </c>
    </row>
    <row r="910" spans="1:51" ht="16.5" customHeight="1" x14ac:dyDescent="0.25">
      <c r="A910" s="10">
        <v>10</v>
      </c>
      <c r="B910" s="11" t="s">
        <v>874</v>
      </c>
      <c r="C910" s="10">
        <v>0</v>
      </c>
      <c r="D910" s="10">
        <v>2</v>
      </c>
      <c r="E910" s="10">
        <v>1</v>
      </c>
      <c r="F910" s="10">
        <v>0</v>
      </c>
      <c r="G910" s="10">
        <v>1</v>
      </c>
      <c r="H910" s="10">
        <v>0</v>
      </c>
      <c r="I910" s="10">
        <v>1</v>
      </c>
      <c r="J910" s="10">
        <v>0</v>
      </c>
      <c r="K910" s="10">
        <v>0</v>
      </c>
      <c r="L910" s="10">
        <v>0</v>
      </c>
      <c r="M910" s="10">
        <v>2</v>
      </c>
      <c r="N910" s="10">
        <v>0</v>
      </c>
      <c r="O910" s="10">
        <v>2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4</v>
      </c>
      <c r="Y910" s="10">
        <v>0</v>
      </c>
      <c r="Z910" s="10">
        <v>0</v>
      </c>
      <c r="AA910" s="10">
        <v>0</v>
      </c>
      <c r="AB910" s="10">
        <v>4</v>
      </c>
      <c r="AC910" s="10">
        <v>0</v>
      </c>
      <c r="AD910" s="10">
        <v>0</v>
      </c>
      <c r="AE910" s="10">
        <v>1</v>
      </c>
      <c r="AF910" s="10">
        <v>3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2</v>
      </c>
      <c r="AR910" s="10">
        <v>6</v>
      </c>
      <c r="AS910" s="10">
        <v>0</v>
      </c>
      <c r="AT910" s="10">
        <v>0</v>
      </c>
      <c r="AU910" s="10">
        <v>0</v>
      </c>
      <c r="AV910" s="10">
        <v>0</v>
      </c>
      <c r="AW910" s="10">
        <v>0</v>
      </c>
      <c r="AX910" s="10">
        <v>0</v>
      </c>
      <c r="AY910" s="10">
        <v>10</v>
      </c>
    </row>
    <row r="911" spans="1:51" ht="16.5" customHeight="1" x14ac:dyDescent="0.25">
      <c r="A911" s="10">
        <v>11</v>
      </c>
      <c r="B911" s="11" t="s">
        <v>875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0</v>
      </c>
      <c r="AP911" s="10">
        <v>0</v>
      </c>
      <c r="AQ911" s="10">
        <v>0</v>
      </c>
      <c r="AR911" s="10">
        <v>0</v>
      </c>
      <c r="AS911" s="10">
        <v>0</v>
      </c>
      <c r="AT911" s="10">
        <v>0</v>
      </c>
      <c r="AU911" s="10">
        <v>0</v>
      </c>
      <c r="AV911" s="10">
        <v>0</v>
      </c>
      <c r="AW911" s="10">
        <v>0</v>
      </c>
      <c r="AX911" s="10">
        <v>0</v>
      </c>
      <c r="AY911" s="10">
        <v>0</v>
      </c>
    </row>
    <row r="912" spans="1:51" ht="16.5" customHeight="1" x14ac:dyDescent="0.25">
      <c r="A912" s="10">
        <v>12</v>
      </c>
      <c r="B912" s="11" t="s">
        <v>876</v>
      </c>
      <c r="C912" s="10">
        <v>0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0">
        <v>0</v>
      </c>
      <c r="AT912" s="10">
        <v>0</v>
      </c>
      <c r="AU912" s="10">
        <v>0</v>
      </c>
      <c r="AV912" s="10">
        <v>0</v>
      </c>
      <c r="AW912" s="10">
        <v>0</v>
      </c>
      <c r="AX912" s="10">
        <v>0</v>
      </c>
      <c r="AY912" s="10">
        <v>0</v>
      </c>
    </row>
    <row r="913" spans="1:51" ht="16.5" customHeight="1" x14ac:dyDescent="0.25">
      <c r="A913" s="10">
        <v>13</v>
      </c>
      <c r="B913" s="11" t="s">
        <v>665</v>
      </c>
      <c r="C913" s="10">
        <v>0</v>
      </c>
      <c r="D913" s="10">
        <v>6</v>
      </c>
      <c r="E913" s="10">
        <v>2</v>
      </c>
      <c r="F913" s="10">
        <v>0</v>
      </c>
      <c r="G913" s="10">
        <v>2</v>
      </c>
      <c r="H913" s="10">
        <v>0</v>
      </c>
      <c r="I913" s="10">
        <v>2</v>
      </c>
      <c r="J913" s="10">
        <v>2</v>
      </c>
      <c r="K913" s="10">
        <v>0</v>
      </c>
      <c r="L913" s="10">
        <v>0</v>
      </c>
      <c r="M913" s="10">
        <v>4</v>
      </c>
      <c r="N913" s="10">
        <v>0</v>
      </c>
      <c r="O913" s="10">
        <v>3</v>
      </c>
      <c r="P913" s="10">
        <v>1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2</v>
      </c>
      <c r="X913" s="10">
        <v>12</v>
      </c>
      <c r="Y913" s="10">
        <v>0</v>
      </c>
      <c r="Z913" s="10">
        <v>1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0">
        <v>0</v>
      </c>
      <c r="AN913" s="10">
        <v>0</v>
      </c>
      <c r="AO913" s="10">
        <v>0</v>
      </c>
      <c r="AP913" s="10">
        <v>0</v>
      </c>
      <c r="AQ913" s="10">
        <v>0</v>
      </c>
      <c r="AR913" s="10">
        <v>1</v>
      </c>
      <c r="AS913" s="10">
        <v>0</v>
      </c>
      <c r="AT913" s="10">
        <v>0</v>
      </c>
      <c r="AU913" s="10">
        <v>0</v>
      </c>
      <c r="AV913" s="10">
        <v>0</v>
      </c>
      <c r="AW913" s="10">
        <v>0</v>
      </c>
      <c r="AX913" s="10">
        <v>0</v>
      </c>
      <c r="AY913" s="10">
        <v>13</v>
      </c>
    </row>
    <row r="914" spans="1:51" ht="16.5" customHeight="1" x14ac:dyDescent="0.25">
      <c r="A914" s="10">
        <v>14</v>
      </c>
      <c r="B914" s="11" t="s">
        <v>877</v>
      </c>
      <c r="C914" s="10">
        <v>0</v>
      </c>
      <c r="D914" s="10">
        <v>5</v>
      </c>
      <c r="E914" s="10">
        <v>0</v>
      </c>
      <c r="F914" s="10">
        <v>0</v>
      </c>
      <c r="G914" s="10">
        <v>0</v>
      </c>
      <c r="H914" s="10">
        <v>0</v>
      </c>
      <c r="I914" s="10">
        <v>3</v>
      </c>
      <c r="J914" s="10">
        <v>2</v>
      </c>
      <c r="K914" s="10">
        <v>0</v>
      </c>
      <c r="L914" s="10">
        <v>0</v>
      </c>
      <c r="M914" s="10">
        <v>4</v>
      </c>
      <c r="N914" s="10">
        <v>3</v>
      </c>
      <c r="O914" s="10">
        <v>1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9</v>
      </c>
      <c r="Y914" s="10">
        <v>0</v>
      </c>
      <c r="Z914" s="10">
        <v>2</v>
      </c>
      <c r="AA914" s="10">
        <v>0</v>
      </c>
      <c r="AB914" s="10">
        <v>3</v>
      </c>
      <c r="AC914" s="10">
        <v>0</v>
      </c>
      <c r="AD914" s="10">
        <v>0</v>
      </c>
      <c r="AE914" s="10">
        <v>0</v>
      </c>
      <c r="AF914" s="10">
        <v>0</v>
      </c>
      <c r="AG914" s="10">
        <v>3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1</v>
      </c>
      <c r="AQ914" s="10">
        <v>1</v>
      </c>
      <c r="AR914" s="10">
        <v>7</v>
      </c>
      <c r="AS914" s="10">
        <v>0</v>
      </c>
      <c r="AT914" s="10">
        <v>0</v>
      </c>
      <c r="AU914" s="10">
        <v>0</v>
      </c>
      <c r="AV914" s="10">
        <v>0</v>
      </c>
      <c r="AW914" s="10">
        <v>0</v>
      </c>
      <c r="AX914" s="10">
        <v>0</v>
      </c>
      <c r="AY914" s="10">
        <v>16</v>
      </c>
    </row>
    <row r="915" spans="1:51" ht="16.5" customHeight="1" x14ac:dyDescent="0.25">
      <c r="A915" s="10">
        <v>15</v>
      </c>
      <c r="B915" s="11" t="s">
        <v>878</v>
      </c>
      <c r="C915" s="10">
        <v>0</v>
      </c>
      <c r="D915" s="10">
        <v>6</v>
      </c>
      <c r="E915" s="10">
        <v>5</v>
      </c>
      <c r="F915" s="10">
        <v>0</v>
      </c>
      <c r="G915" s="10">
        <v>5</v>
      </c>
      <c r="H915" s="10">
        <v>0</v>
      </c>
      <c r="I915" s="10">
        <v>0</v>
      </c>
      <c r="J915" s="10">
        <v>0</v>
      </c>
      <c r="K915" s="10">
        <v>1</v>
      </c>
      <c r="L915" s="10">
        <v>0</v>
      </c>
      <c r="M915" s="10">
        <v>2</v>
      </c>
      <c r="N915" s="10">
        <v>1</v>
      </c>
      <c r="O915" s="10">
        <v>0</v>
      </c>
      <c r="P915" s="10">
        <v>0</v>
      </c>
      <c r="Q915" s="10">
        <v>0</v>
      </c>
      <c r="R915" s="10">
        <v>1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8</v>
      </c>
      <c r="Y915" s="10">
        <v>0</v>
      </c>
      <c r="Z915" s="10">
        <v>2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1</v>
      </c>
      <c r="AI915" s="10">
        <v>0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1</v>
      </c>
      <c r="AP915" s="10">
        <v>0</v>
      </c>
      <c r="AQ915" s="10">
        <v>3</v>
      </c>
      <c r="AR915" s="10">
        <v>7</v>
      </c>
      <c r="AS915" s="10">
        <v>0</v>
      </c>
      <c r="AT915" s="10">
        <v>0</v>
      </c>
      <c r="AU915" s="10">
        <v>0</v>
      </c>
      <c r="AV915" s="10">
        <v>0</v>
      </c>
      <c r="AW915" s="10">
        <v>0</v>
      </c>
      <c r="AX915" s="10">
        <v>0</v>
      </c>
      <c r="AY915" s="10">
        <v>15</v>
      </c>
    </row>
    <row r="916" spans="1:51" ht="16.5" customHeight="1" x14ac:dyDescent="0.25">
      <c r="A916" s="10">
        <v>16</v>
      </c>
      <c r="B916" s="11" t="s">
        <v>879</v>
      </c>
      <c r="C916" s="10">
        <v>0</v>
      </c>
      <c r="D916" s="10">
        <v>2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2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2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0">
        <v>0</v>
      </c>
      <c r="AQ916" s="10">
        <v>0</v>
      </c>
      <c r="AR916" s="10">
        <v>0</v>
      </c>
      <c r="AS916" s="10">
        <v>0</v>
      </c>
      <c r="AT916" s="10">
        <v>0</v>
      </c>
      <c r="AU916" s="10">
        <v>0</v>
      </c>
      <c r="AV916" s="10">
        <v>0</v>
      </c>
      <c r="AW916" s="10">
        <v>0</v>
      </c>
      <c r="AX916" s="10">
        <v>0</v>
      </c>
      <c r="AY916" s="10">
        <v>2</v>
      </c>
    </row>
    <row r="917" spans="1:51" ht="16.5" customHeight="1" x14ac:dyDescent="0.25">
      <c r="A917" s="10">
        <v>17</v>
      </c>
      <c r="B917" s="11" t="s">
        <v>880</v>
      </c>
      <c r="C917" s="10">
        <v>0</v>
      </c>
      <c r="D917" s="10">
        <v>0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  <c r="AQ917" s="10">
        <v>0</v>
      </c>
      <c r="AR917" s="10">
        <v>0</v>
      </c>
      <c r="AS917" s="10">
        <v>0</v>
      </c>
      <c r="AT917" s="10">
        <v>0</v>
      </c>
      <c r="AU917" s="10">
        <v>0</v>
      </c>
      <c r="AV917" s="10">
        <v>0</v>
      </c>
      <c r="AW917" s="10">
        <v>0</v>
      </c>
      <c r="AX917" s="10">
        <v>0</v>
      </c>
      <c r="AY917" s="10">
        <v>0</v>
      </c>
    </row>
    <row r="918" spans="1:51" ht="16.5" customHeight="1" x14ac:dyDescent="0.25">
      <c r="A918" s="10">
        <v>18</v>
      </c>
      <c r="B918" s="11" t="s">
        <v>881</v>
      </c>
      <c r="C918" s="10">
        <v>0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0</v>
      </c>
      <c r="AK918" s="10">
        <v>0</v>
      </c>
      <c r="AL918" s="10">
        <v>0</v>
      </c>
      <c r="AM918" s="10">
        <v>0</v>
      </c>
      <c r="AN918" s="10">
        <v>0</v>
      </c>
      <c r="AO918" s="10">
        <v>0</v>
      </c>
      <c r="AP918" s="10">
        <v>0</v>
      </c>
      <c r="AQ918" s="10">
        <v>0</v>
      </c>
      <c r="AR918" s="10">
        <v>0</v>
      </c>
      <c r="AS918" s="10">
        <v>0</v>
      </c>
      <c r="AT918" s="10">
        <v>0</v>
      </c>
      <c r="AU918" s="10">
        <v>0</v>
      </c>
      <c r="AV918" s="10">
        <v>0</v>
      </c>
      <c r="AW918" s="10">
        <v>0</v>
      </c>
      <c r="AX918" s="10">
        <v>0</v>
      </c>
      <c r="AY918" s="10">
        <v>0</v>
      </c>
    </row>
    <row r="919" spans="1:51" ht="16.5" customHeight="1" x14ac:dyDescent="0.25">
      <c r="A919" s="10">
        <v>19</v>
      </c>
      <c r="B919" s="11" t="s">
        <v>666</v>
      </c>
      <c r="C919" s="10">
        <v>0</v>
      </c>
      <c r="D919" s="10">
        <v>4</v>
      </c>
      <c r="E919" s="10">
        <v>2</v>
      </c>
      <c r="F919" s="10">
        <v>0</v>
      </c>
      <c r="G919" s="10">
        <v>2</v>
      </c>
      <c r="H919" s="10">
        <v>2</v>
      </c>
      <c r="I919" s="10">
        <v>0</v>
      </c>
      <c r="J919" s="10">
        <v>0</v>
      </c>
      <c r="K919" s="10">
        <v>0</v>
      </c>
      <c r="L919" s="10">
        <v>0</v>
      </c>
      <c r="M919" s="10">
        <v>3</v>
      </c>
      <c r="N919" s="10">
        <v>0</v>
      </c>
      <c r="O919" s="10">
        <v>3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2</v>
      </c>
      <c r="X919" s="10">
        <v>9</v>
      </c>
      <c r="Y919" s="10">
        <v>0</v>
      </c>
      <c r="Z919" s="10">
        <v>1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6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1</v>
      </c>
      <c r="AQ919" s="10">
        <v>4</v>
      </c>
      <c r="AR919" s="10">
        <v>12</v>
      </c>
      <c r="AS919" s="10">
        <v>0</v>
      </c>
      <c r="AT919" s="10">
        <v>0</v>
      </c>
      <c r="AU919" s="10">
        <v>0</v>
      </c>
      <c r="AV919" s="10">
        <v>0</v>
      </c>
      <c r="AW919" s="10">
        <v>0</v>
      </c>
      <c r="AX919" s="10">
        <v>0</v>
      </c>
      <c r="AY919" s="10">
        <v>21</v>
      </c>
    </row>
    <row r="920" spans="1:51" ht="16.5" customHeight="1" x14ac:dyDescent="0.25">
      <c r="A920" s="10">
        <v>20</v>
      </c>
      <c r="B920" s="11" t="s">
        <v>882</v>
      </c>
      <c r="C920" s="10">
        <v>0</v>
      </c>
      <c r="D920" s="10">
        <v>1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1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1</v>
      </c>
      <c r="Y920" s="10">
        <v>0</v>
      </c>
      <c r="Z920" s="10">
        <v>1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2</v>
      </c>
      <c r="AR920" s="10">
        <v>3</v>
      </c>
      <c r="AS920" s="10">
        <v>0</v>
      </c>
      <c r="AT920" s="10">
        <v>0</v>
      </c>
      <c r="AU920" s="10">
        <v>0</v>
      </c>
      <c r="AV920" s="10">
        <v>0</v>
      </c>
      <c r="AW920" s="10">
        <v>0</v>
      </c>
      <c r="AX920" s="10">
        <v>0</v>
      </c>
      <c r="AY920" s="10">
        <v>4</v>
      </c>
    </row>
    <row r="921" spans="1:51" ht="16.5" customHeight="1" x14ac:dyDescent="0.25">
      <c r="A921" s="10">
        <v>21</v>
      </c>
      <c r="B921" s="11" t="s">
        <v>883</v>
      </c>
      <c r="C921" s="10">
        <v>0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2</v>
      </c>
      <c r="N921" s="10">
        <v>1</v>
      </c>
      <c r="O921" s="10">
        <v>0</v>
      </c>
      <c r="P921" s="10">
        <v>0</v>
      </c>
      <c r="Q921" s="10">
        <v>0</v>
      </c>
      <c r="R921" s="10">
        <v>1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2</v>
      </c>
      <c r="Y921" s="10">
        <v>0</v>
      </c>
      <c r="Z921" s="10">
        <v>0</v>
      </c>
      <c r="AA921" s="10">
        <v>0</v>
      </c>
      <c r="AB921" s="10">
        <v>12</v>
      </c>
      <c r="AC921" s="10">
        <v>0</v>
      </c>
      <c r="AD921" s="10">
        <v>9</v>
      </c>
      <c r="AE921" s="10">
        <v>1</v>
      </c>
      <c r="AF921" s="10">
        <v>2</v>
      </c>
      <c r="AG921" s="10">
        <v>0</v>
      </c>
      <c r="AH921" s="10">
        <v>1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1</v>
      </c>
      <c r="AQ921" s="10">
        <v>0</v>
      </c>
      <c r="AR921" s="10">
        <v>14</v>
      </c>
      <c r="AS921" s="10">
        <v>0</v>
      </c>
      <c r="AT921" s="10">
        <v>0</v>
      </c>
      <c r="AU921" s="10">
        <v>0</v>
      </c>
      <c r="AV921" s="10">
        <v>0</v>
      </c>
      <c r="AW921" s="10">
        <v>0</v>
      </c>
      <c r="AX921" s="10">
        <v>0</v>
      </c>
      <c r="AY921" s="10">
        <v>16</v>
      </c>
    </row>
    <row r="922" spans="1:51" ht="16.5" customHeight="1" x14ac:dyDescent="0.25">
      <c r="A922" s="10">
        <v>22</v>
      </c>
      <c r="B922" s="11" t="s">
        <v>884</v>
      </c>
      <c r="C922" s="10">
        <v>0</v>
      </c>
      <c r="D922" s="10">
        <v>2</v>
      </c>
      <c r="E922" s="10">
        <v>0</v>
      </c>
      <c r="F922" s="10">
        <v>0</v>
      </c>
      <c r="G922" s="10">
        <v>0</v>
      </c>
      <c r="H922" s="10">
        <v>0</v>
      </c>
      <c r="I922" s="10">
        <v>1</v>
      </c>
      <c r="J922" s="10">
        <v>1</v>
      </c>
      <c r="K922" s="10">
        <v>0</v>
      </c>
      <c r="L922" s="10">
        <v>0</v>
      </c>
      <c r="M922" s="10">
        <v>1</v>
      </c>
      <c r="N922" s="10">
        <v>0</v>
      </c>
      <c r="O922" s="10">
        <v>1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3</v>
      </c>
      <c r="Y922" s="10">
        <v>0</v>
      </c>
      <c r="Z922" s="10">
        <v>2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1</v>
      </c>
      <c r="AI922" s="10">
        <v>0</v>
      </c>
      <c r="AJ922" s="10">
        <v>0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3</v>
      </c>
      <c r="AS922" s="10">
        <v>0</v>
      </c>
      <c r="AT922" s="10">
        <v>0</v>
      </c>
      <c r="AU922" s="10">
        <v>0</v>
      </c>
      <c r="AV922" s="10">
        <v>0</v>
      </c>
      <c r="AW922" s="10">
        <v>0</v>
      </c>
      <c r="AX922" s="10">
        <v>0</v>
      </c>
      <c r="AY922" s="10">
        <v>6</v>
      </c>
    </row>
    <row r="923" spans="1:51" ht="16.5" customHeight="1" x14ac:dyDescent="0.25">
      <c r="A923" s="12"/>
      <c r="B923" s="13" t="s">
        <v>889</v>
      </c>
      <c r="C923" s="14">
        <f>SUM(C901:C922)</f>
        <v>0</v>
      </c>
      <c r="D923" s="14">
        <f t="shared" ref="D923:AY923" si="84">SUM(D901:D922)</f>
        <v>46</v>
      </c>
      <c r="E923" s="14">
        <f t="shared" si="84"/>
        <v>19</v>
      </c>
      <c r="F923" s="14">
        <f t="shared" si="84"/>
        <v>0</v>
      </c>
      <c r="G923" s="14">
        <f t="shared" si="84"/>
        <v>19</v>
      </c>
      <c r="H923" s="14">
        <f t="shared" si="84"/>
        <v>3</v>
      </c>
      <c r="I923" s="14">
        <f t="shared" si="84"/>
        <v>14</v>
      </c>
      <c r="J923" s="14">
        <f t="shared" si="84"/>
        <v>8</v>
      </c>
      <c r="K923" s="14">
        <f t="shared" si="84"/>
        <v>2</v>
      </c>
      <c r="L923" s="14">
        <f t="shared" si="84"/>
        <v>0</v>
      </c>
      <c r="M923" s="14">
        <f t="shared" si="84"/>
        <v>34</v>
      </c>
      <c r="N923" s="14">
        <f t="shared" si="84"/>
        <v>12</v>
      </c>
      <c r="O923" s="14">
        <f t="shared" si="84"/>
        <v>17</v>
      </c>
      <c r="P923" s="14">
        <f t="shared" si="84"/>
        <v>3</v>
      </c>
      <c r="Q923" s="14">
        <f t="shared" si="84"/>
        <v>0</v>
      </c>
      <c r="R923" s="14">
        <f t="shared" si="84"/>
        <v>2</v>
      </c>
      <c r="S923" s="14">
        <f t="shared" si="84"/>
        <v>0</v>
      </c>
      <c r="T923" s="14">
        <f t="shared" si="84"/>
        <v>0</v>
      </c>
      <c r="U923" s="14">
        <f t="shared" si="84"/>
        <v>0</v>
      </c>
      <c r="V923" s="14">
        <f t="shared" si="84"/>
        <v>0</v>
      </c>
      <c r="W923" s="14">
        <f t="shared" si="84"/>
        <v>4</v>
      </c>
      <c r="X923" s="14">
        <f t="shared" si="84"/>
        <v>84</v>
      </c>
      <c r="Y923" s="14">
        <f t="shared" si="84"/>
        <v>0</v>
      </c>
      <c r="Z923" s="14">
        <f t="shared" si="84"/>
        <v>9</v>
      </c>
      <c r="AA923" s="14">
        <f t="shared" si="84"/>
        <v>0</v>
      </c>
      <c r="AB923" s="14">
        <f t="shared" si="84"/>
        <v>23</v>
      </c>
      <c r="AC923" s="14">
        <f t="shared" si="84"/>
        <v>0</v>
      </c>
      <c r="AD923" s="14">
        <f t="shared" si="84"/>
        <v>9</v>
      </c>
      <c r="AE923" s="14">
        <f t="shared" si="84"/>
        <v>2</v>
      </c>
      <c r="AF923" s="14">
        <f t="shared" si="84"/>
        <v>5</v>
      </c>
      <c r="AG923" s="14">
        <f t="shared" si="84"/>
        <v>7</v>
      </c>
      <c r="AH923" s="14">
        <f t="shared" si="84"/>
        <v>15</v>
      </c>
      <c r="AI923" s="14">
        <f t="shared" si="84"/>
        <v>2</v>
      </c>
      <c r="AJ923" s="14">
        <f t="shared" si="84"/>
        <v>0</v>
      </c>
      <c r="AK923" s="14">
        <f t="shared" si="84"/>
        <v>0</v>
      </c>
      <c r="AL923" s="14">
        <f t="shared" si="84"/>
        <v>0</v>
      </c>
      <c r="AM923" s="14">
        <f t="shared" si="84"/>
        <v>0</v>
      </c>
      <c r="AN923" s="14">
        <f t="shared" si="84"/>
        <v>0</v>
      </c>
      <c r="AO923" s="14">
        <f t="shared" si="84"/>
        <v>5</v>
      </c>
      <c r="AP923" s="14">
        <f t="shared" si="84"/>
        <v>4</v>
      </c>
      <c r="AQ923" s="14">
        <f t="shared" si="84"/>
        <v>18</v>
      </c>
      <c r="AR923" s="14">
        <f t="shared" si="84"/>
        <v>76</v>
      </c>
      <c r="AS923" s="14">
        <f t="shared" si="84"/>
        <v>2</v>
      </c>
      <c r="AT923" s="14">
        <f t="shared" si="84"/>
        <v>0</v>
      </c>
      <c r="AU923" s="14">
        <f t="shared" si="84"/>
        <v>0</v>
      </c>
      <c r="AV923" s="14">
        <f t="shared" si="84"/>
        <v>0</v>
      </c>
      <c r="AW923" s="14">
        <f t="shared" si="84"/>
        <v>0</v>
      </c>
      <c r="AX923" s="14">
        <f t="shared" si="84"/>
        <v>2</v>
      </c>
      <c r="AY923" s="14">
        <f t="shared" si="84"/>
        <v>162</v>
      </c>
    </row>
    <row r="924" spans="1:51" ht="16.5" customHeight="1" x14ac:dyDescent="0.25">
      <c r="A924" s="9" t="s">
        <v>925</v>
      </c>
      <c r="B924" s="1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</row>
    <row r="925" spans="1:51" ht="16.5" customHeight="1" x14ac:dyDescent="0.25">
      <c r="A925" s="10">
        <v>1</v>
      </c>
      <c r="B925" s="11" t="s">
        <v>885</v>
      </c>
      <c r="C925" s="10">
        <v>0</v>
      </c>
      <c r="D925" s="10">
        <v>0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0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0">
        <v>0</v>
      </c>
      <c r="AT925" s="10">
        <v>0</v>
      </c>
      <c r="AU925" s="10">
        <v>0</v>
      </c>
      <c r="AV925" s="10">
        <v>0</v>
      </c>
      <c r="AW925" s="10">
        <v>0</v>
      </c>
      <c r="AX925" s="10">
        <v>0</v>
      </c>
      <c r="AY925" s="10">
        <v>0</v>
      </c>
    </row>
    <row r="926" spans="1:51" ht="16.5" customHeight="1" x14ac:dyDescent="0.25">
      <c r="A926" s="12"/>
      <c r="B926" s="13" t="s">
        <v>889</v>
      </c>
      <c r="C926" s="14">
        <f>SUM(C925)</f>
        <v>0</v>
      </c>
      <c r="D926" s="14">
        <f t="shared" ref="D926:AY926" si="85">SUM(D925)</f>
        <v>0</v>
      </c>
      <c r="E926" s="14">
        <f t="shared" si="85"/>
        <v>0</v>
      </c>
      <c r="F926" s="14">
        <f t="shared" si="85"/>
        <v>0</v>
      </c>
      <c r="G926" s="14">
        <f t="shared" si="85"/>
        <v>0</v>
      </c>
      <c r="H926" s="14">
        <f t="shared" si="85"/>
        <v>0</v>
      </c>
      <c r="I926" s="14">
        <f t="shared" si="85"/>
        <v>0</v>
      </c>
      <c r="J926" s="14">
        <f t="shared" si="85"/>
        <v>0</v>
      </c>
      <c r="K926" s="14">
        <f t="shared" si="85"/>
        <v>0</v>
      </c>
      <c r="L926" s="14">
        <f t="shared" si="85"/>
        <v>0</v>
      </c>
      <c r="M926" s="14">
        <f t="shared" si="85"/>
        <v>0</v>
      </c>
      <c r="N926" s="14">
        <f t="shared" si="85"/>
        <v>0</v>
      </c>
      <c r="O926" s="14">
        <f t="shared" si="85"/>
        <v>0</v>
      </c>
      <c r="P926" s="14">
        <f t="shared" si="85"/>
        <v>0</v>
      </c>
      <c r="Q926" s="14">
        <f t="shared" si="85"/>
        <v>0</v>
      </c>
      <c r="R926" s="14">
        <f t="shared" si="85"/>
        <v>0</v>
      </c>
      <c r="S926" s="14">
        <f t="shared" si="85"/>
        <v>0</v>
      </c>
      <c r="T926" s="14">
        <f t="shared" si="85"/>
        <v>0</v>
      </c>
      <c r="U926" s="14">
        <f t="shared" si="85"/>
        <v>0</v>
      </c>
      <c r="V926" s="14">
        <f t="shared" si="85"/>
        <v>0</v>
      </c>
      <c r="W926" s="14">
        <f t="shared" si="85"/>
        <v>0</v>
      </c>
      <c r="X926" s="14">
        <f t="shared" si="85"/>
        <v>0</v>
      </c>
      <c r="Y926" s="14">
        <f t="shared" si="85"/>
        <v>0</v>
      </c>
      <c r="Z926" s="14">
        <f t="shared" si="85"/>
        <v>0</v>
      </c>
      <c r="AA926" s="14">
        <f t="shared" si="85"/>
        <v>0</v>
      </c>
      <c r="AB926" s="14">
        <f t="shared" si="85"/>
        <v>0</v>
      </c>
      <c r="AC926" s="14">
        <f t="shared" si="85"/>
        <v>0</v>
      </c>
      <c r="AD926" s="14">
        <f t="shared" si="85"/>
        <v>0</v>
      </c>
      <c r="AE926" s="14">
        <f t="shared" si="85"/>
        <v>0</v>
      </c>
      <c r="AF926" s="14">
        <f t="shared" si="85"/>
        <v>0</v>
      </c>
      <c r="AG926" s="14">
        <f t="shared" si="85"/>
        <v>0</v>
      </c>
      <c r="AH926" s="14">
        <f t="shared" si="85"/>
        <v>0</v>
      </c>
      <c r="AI926" s="14">
        <f t="shared" si="85"/>
        <v>0</v>
      </c>
      <c r="AJ926" s="14">
        <f t="shared" si="85"/>
        <v>0</v>
      </c>
      <c r="AK926" s="14">
        <f t="shared" si="85"/>
        <v>0</v>
      </c>
      <c r="AL926" s="14">
        <f t="shared" si="85"/>
        <v>0</v>
      </c>
      <c r="AM926" s="14">
        <f t="shared" si="85"/>
        <v>0</v>
      </c>
      <c r="AN926" s="14">
        <f t="shared" si="85"/>
        <v>0</v>
      </c>
      <c r="AO926" s="14">
        <f t="shared" si="85"/>
        <v>0</v>
      </c>
      <c r="AP926" s="14">
        <f t="shared" si="85"/>
        <v>0</v>
      </c>
      <c r="AQ926" s="14">
        <f t="shared" si="85"/>
        <v>0</v>
      </c>
      <c r="AR926" s="14">
        <f t="shared" si="85"/>
        <v>0</v>
      </c>
      <c r="AS926" s="14">
        <f t="shared" si="85"/>
        <v>0</v>
      </c>
      <c r="AT926" s="14">
        <f t="shared" si="85"/>
        <v>0</v>
      </c>
      <c r="AU926" s="14">
        <f t="shared" si="85"/>
        <v>0</v>
      </c>
      <c r="AV926" s="14">
        <f t="shared" si="85"/>
        <v>0</v>
      </c>
      <c r="AW926" s="14">
        <f t="shared" si="85"/>
        <v>0</v>
      </c>
      <c r="AX926" s="14">
        <f t="shared" si="85"/>
        <v>0</v>
      </c>
      <c r="AY926" s="14">
        <f t="shared" si="85"/>
        <v>0</v>
      </c>
    </row>
    <row r="927" spans="1:51" ht="16.5" customHeight="1" x14ac:dyDescent="0.25">
      <c r="A927" s="9" t="s">
        <v>926</v>
      </c>
      <c r="B927" s="1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</row>
    <row r="928" spans="1:51" ht="16.5" customHeight="1" x14ac:dyDescent="0.25">
      <c r="A928" s="10">
        <v>1</v>
      </c>
      <c r="B928" s="11" t="s">
        <v>886</v>
      </c>
      <c r="C928" s="10">
        <v>0</v>
      </c>
      <c r="D928" s="10">
        <v>0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0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0">
        <v>0</v>
      </c>
      <c r="AT928" s="10">
        <v>0</v>
      </c>
      <c r="AU928" s="10">
        <v>0</v>
      </c>
      <c r="AV928" s="10">
        <v>0</v>
      </c>
      <c r="AW928" s="10">
        <v>0</v>
      </c>
      <c r="AX928" s="10">
        <v>0</v>
      </c>
      <c r="AY928" s="10">
        <v>0</v>
      </c>
    </row>
    <row r="929" spans="1:51" ht="16.5" customHeight="1" x14ac:dyDescent="0.25">
      <c r="A929" s="10">
        <v>2</v>
      </c>
      <c r="B929" s="11" t="s">
        <v>887</v>
      </c>
      <c r="C929" s="10">
        <v>0</v>
      </c>
      <c r="D929" s="10">
        <v>1</v>
      </c>
      <c r="E929" s="10">
        <v>0</v>
      </c>
      <c r="F929" s="10">
        <v>0</v>
      </c>
      <c r="G929" s="10">
        <v>0</v>
      </c>
      <c r="H929" s="10">
        <v>0</v>
      </c>
      <c r="I929" s="10">
        <v>0</v>
      </c>
      <c r="J929" s="10">
        <v>1</v>
      </c>
      <c r="K929" s="10">
        <v>0</v>
      </c>
      <c r="L929" s="10">
        <v>0</v>
      </c>
      <c r="M929" s="10">
        <v>4</v>
      </c>
      <c r="N929" s="10">
        <v>0</v>
      </c>
      <c r="O929" s="10">
        <v>0</v>
      </c>
      <c r="P929" s="10">
        <v>0</v>
      </c>
      <c r="Q929" s="10">
        <v>0</v>
      </c>
      <c r="R929" s="10">
        <v>4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5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0">
        <v>0</v>
      </c>
      <c r="AT929" s="10">
        <v>0</v>
      </c>
      <c r="AU929" s="10">
        <v>0</v>
      </c>
      <c r="AV929" s="10">
        <v>0</v>
      </c>
      <c r="AW929" s="10">
        <v>0</v>
      </c>
      <c r="AX929" s="10">
        <v>0</v>
      </c>
      <c r="AY929" s="10">
        <v>5</v>
      </c>
    </row>
    <row r="930" spans="1:51" ht="16.5" customHeight="1" x14ac:dyDescent="0.25">
      <c r="A930" s="12"/>
      <c r="B930" s="13" t="s">
        <v>889</v>
      </c>
      <c r="C930" s="14">
        <f>SUM(C928:C929)</f>
        <v>0</v>
      </c>
      <c r="D930" s="14">
        <f t="shared" ref="D930:AY930" si="86">SUM(D928:D929)</f>
        <v>1</v>
      </c>
      <c r="E930" s="14">
        <f t="shared" si="86"/>
        <v>0</v>
      </c>
      <c r="F930" s="14">
        <f t="shared" si="86"/>
        <v>0</v>
      </c>
      <c r="G930" s="14">
        <f t="shared" si="86"/>
        <v>0</v>
      </c>
      <c r="H930" s="14">
        <f t="shared" si="86"/>
        <v>0</v>
      </c>
      <c r="I930" s="14">
        <f t="shared" si="86"/>
        <v>0</v>
      </c>
      <c r="J930" s="14">
        <f t="shared" si="86"/>
        <v>1</v>
      </c>
      <c r="K930" s="14">
        <f t="shared" si="86"/>
        <v>0</v>
      </c>
      <c r="L930" s="14">
        <f t="shared" si="86"/>
        <v>0</v>
      </c>
      <c r="M930" s="14">
        <f t="shared" si="86"/>
        <v>4</v>
      </c>
      <c r="N930" s="14">
        <f t="shared" si="86"/>
        <v>0</v>
      </c>
      <c r="O930" s="14">
        <f t="shared" si="86"/>
        <v>0</v>
      </c>
      <c r="P930" s="14">
        <f t="shared" si="86"/>
        <v>0</v>
      </c>
      <c r="Q930" s="14">
        <f t="shared" si="86"/>
        <v>0</v>
      </c>
      <c r="R930" s="14">
        <f t="shared" si="86"/>
        <v>4</v>
      </c>
      <c r="S930" s="14">
        <f t="shared" si="86"/>
        <v>0</v>
      </c>
      <c r="T930" s="14">
        <f t="shared" si="86"/>
        <v>0</v>
      </c>
      <c r="U930" s="14">
        <f t="shared" si="86"/>
        <v>0</v>
      </c>
      <c r="V930" s="14">
        <f t="shared" si="86"/>
        <v>0</v>
      </c>
      <c r="W930" s="14">
        <f t="shared" si="86"/>
        <v>0</v>
      </c>
      <c r="X930" s="14">
        <f t="shared" si="86"/>
        <v>5</v>
      </c>
      <c r="Y930" s="14">
        <f t="shared" si="86"/>
        <v>0</v>
      </c>
      <c r="Z930" s="14">
        <f t="shared" si="86"/>
        <v>0</v>
      </c>
      <c r="AA930" s="14">
        <f t="shared" si="86"/>
        <v>0</v>
      </c>
      <c r="AB930" s="14">
        <f t="shared" si="86"/>
        <v>0</v>
      </c>
      <c r="AC930" s="14">
        <f t="shared" si="86"/>
        <v>0</v>
      </c>
      <c r="AD930" s="14">
        <f t="shared" si="86"/>
        <v>0</v>
      </c>
      <c r="AE930" s="14">
        <f t="shared" si="86"/>
        <v>0</v>
      </c>
      <c r="AF930" s="14">
        <f t="shared" si="86"/>
        <v>0</v>
      </c>
      <c r="AG930" s="14">
        <f t="shared" si="86"/>
        <v>0</v>
      </c>
      <c r="AH930" s="14">
        <f t="shared" si="86"/>
        <v>0</v>
      </c>
      <c r="AI930" s="14">
        <f t="shared" si="86"/>
        <v>0</v>
      </c>
      <c r="AJ930" s="14">
        <f t="shared" si="86"/>
        <v>0</v>
      </c>
      <c r="AK930" s="14">
        <f t="shared" si="86"/>
        <v>0</v>
      </c>
      <c r="AL930" s="14">
        <f t="shared" si="86"/>
        <v>0</v>
      </c>
      <c r="AM930" s="14">
        <f t="shared" si="86"/>
        <v>0</v>
      </c>
      <c r="AN930" s="14">
        <f t="shared" si="86"/>
        <v>0</v>
      </c>
      <c r="AO930" s="14">
        <f t="shared" si="86"/>
        <v>0</v>
      </c>
      <c r="AP930" s="14">
        <f t="shared" si="86"/>
        <v>0</v>
      </c>
      <c r="AQ930" s="14">
        <f t="shared" si="86"/>
        <v>0</v>
      </c>
      <c r="AR930" s="14">
        <f t="shared" si="86"/>
        <v>0</v>
      </c>
      <c r="AS930" s="14">
        <f t="shared" si="86"/>
        <v>0</v>
      </c>
      <c r="AT930" s="14">
        <f t="shared" si="86"/>
        <v>0</v>
      </c>
      <c r="AU930" s="14">
        <f t="shared" si="86"/>
        <v>0</v>
      </c>
      <c r="AV930" s="14">
        <f t="shared" si="86"/>
        <v>0</v>
      </c>
      <c r="AW930" s="14">
        <f t="shared" si="86"/>
        <v>0</v>
      </c>
      <c r="AX930" s="14">
        <f t="shared" si="86"/>
        <v>0</v>
      </c>
      <c r="AY930" s="14">
        <f t="shared" si="86"/>
        <v>5</v>
      </c>
    </row>
  </sheetData>
  <mergeCells count="56">
    <mergeCell ref="L3:L5"/>
    <mergeCell ref="A2:A5"/>
    <mergeCell ref="C3:C5"/>
    <mergeCell ref="H4:H5"/>
    <mergeCell ref="I4:I5"/>
    <mergeCell ref="D3:K3"/>
    <mergeCell ref="D4:D5"/>
    <mergeCell ref="E4:G4"/>
    <mergeCell ref="B2:B5"/>
    <mergeCell ref="M3:R3"/>
    <mergeCell ref="M4:M5"/>
    <mergeCell ref="C2:X2"/>
    <mergeCell ref="X3:X5"/>
    <mergeCell ref="AI3:AI5"/>
    <mergeCell ref="S3:S5"/>
    <mergeCell ref="N4:N5"/>
    <mergeCell ref="O4:O5"/>
    <mergeCell ref="P4:P5"/>
    <mergeCell ref="Q4:Q5"/>
    <mergeCell ref="R4:R5"/>
    <mergeCell ref="J4:J5"/>
    <mergeCell ref="K4:K5"/>
    <mergeCell ref="T3:T5"/>
    <mergeCell ref="U3:U5"/>
    <mergeCell ref="V3:V5"/>
    <mergeCell ref="AW3:AW5"/>
    <mergeCell ref="AP3:AP5"/>
    <mergeCell ref="AQ3:AQ5"/>
    <mergeCell ref="AM4:AM5"/>
    <mergeCell ref="AN4:AN5"/>
    <mergeCell ref="AO3:AO5"/>
    <mergeCell ref="AV3:AV5"/>
    <mergeCell ref="AB4:AB5"/>
    <mergeCell ref="AL3:AN3"/>
    <mergeCell ref="AL4:AL5"/>
    <mergeCell ref="Y2:AR2"/>
    <mergeCell ref="AJ3:AJ5"/>
    <mergeCell ref="AK3:AK5"/>
    <mergeCell ref="Y3:Y5"/>
    <mergeCell ref="AR3:AR5"/>
    <mergeCell ref="AS2:AX2"/>
    <mergeCell ref="W3:W5"/>
    <mergeCell ref="AX3:AX5"/>
    <mergeCell ref="AY2:AY5"/>
    <mergeCell ref="AS3:AS5"/>
    <mergeCell ref="AT3:AT5"/>
    <mergeCell ref="AU3:AU5"/>
    <mergeCell ref="Z3:Z5"/>
    <mergeCell ref="AA3:AA5"/>
    <mergeCell ref="AC4:AC5"/>
    <mergeCell ref="AD4:AD5"/>
    <mergeCell ref="AE4:AE5"/>
    <mergeCell ref="AF4:AF5"/>
    <mergeCell ref="AG4:AG5"/>
    <mergeCell ref="AH3:AH5"/>
    <mergeCell ref="AB3:AG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2019-07-24T11:19:51Z</cp:lastPrinted>
  <dcterms:created xsi:type="dcterms:W3CDTF">2019-07-05T08:31:20Z</dcterms:created>
  <dcterms:modified xsi:type="dcterms:W3CDTF">2019-12-17T10:15:14Z</dcterms:modified>
</cp:coreProperties>
</file>