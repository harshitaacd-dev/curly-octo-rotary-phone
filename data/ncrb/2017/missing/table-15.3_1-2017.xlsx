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91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26" i="1" l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25" i="1"/>
  <c r="I7" i="1" l="1"/>
  <c r="I8" i="1"/>
  <c r="I9" i="1"/>
  <c r="I11" i="1"/>
  <c r="I12" i="1"/>
  <c r="I13" i="1"/>
  <c r="I15" i="1"/>
  <c r="I16" i="1"/>
  <c r="I17" i="1"/>
  <c r="I18" i="1"/>
  <c r="I19" i="1"/>
  <c r="I21" i="1"/>
  <c r="I22" i="1"/>
  <c r="I23" i="1"/>
  <c r="I6" i="1"/>
  <c r="C24" i="1"/>
  <c r="D24" i="1"/>
  <c r="E24" i="1"/>
  <c r="F24" i="1"/>
  <c r="G24" i="1"/>
  <c r="H24" i="1"/>
  <c r="J24" i="1"/>
  <c r="K24" i="1"/>
  <c r="L24" i="1"/>
  <c r="C20" i="1"/>
  <c r="D20" i="1"/>
  <c r="E20" i="1"/>
  <c r="F20" i="1"/>
  <c r="G20" i="1"/>
  <c r="H20" i="1"/>
  <c r="J20" i="1"/>
  <c r="K20" i="1"/>
  <c r="L20" i="1"/>
  <c r="C14" i="1"/>
  <c r="D14" i="1"/>
  <c r="E14" i="1"/>
  <c r="F14" i="1"/>
  <c r="G14" i="1"/>
  <c r="H14" i="1"/>
  <c r="J14" i="1"/>
  <c r="K14" i="1"/>
  <c r="L14" i="1"/>
  <c r="C10" i="1"/>
  <c r="D10" i="1"/>
  <c r="E10" i="1"/>
  <c r="F10" i="1"/>
  <c r="G10" i="1"/>
  <c r="H10" i="1"/>
  <c r="J10" i="1"/>
  <c r="K10" i="1"/>
  <c r="L10" i="1"/>
  <c r="I20" i="1" l="1"/>
  <c r="I24" i="1"/>
  <c r="I10" i="1"/>
  <c r="I14" i="1"/>
</calcChain>
</file>

<file path=xl/sharedStrings.xml><?xml version="1.0" encoding="utf-8"?>
<sst xmlns="http://schemas.openxmlformats.org/spreadsheetml/2006/main" count="84" uniqueCount="63">
  <si>
    <t>S. No</t>
  </si>
  <si>
    <t>Total Missing (3+4)</t>
  </si>
  <si>
    <t>Age Group &amp; Gender</t>
  </si>
  <si>
    <t>Below  5 years</t>
  </si>
  <si>
    <t>Transgender</t>
  </si>
  <si>
    <t>Total Male</t>
  </si>
  <si>
    <t>1</t>
  </si>
  <si>
    <t>1.1.1</t>
  </si>
  <si>
    <t>1.1.2</t>
  </si>
  <si>
    <t>1.1.3</t>
  </si>
  <si>
    <t>1.2.1</t>
  </si>
  <si>
    <t>1.2.2</t>
  </si>
  <si>
    <t>1.2.3</t>
  </si>
  <si>
    <t>6 Yrs - 14 Yrs</t>
  </si>
  <si>
    <t>15 Yrs - 18 Yrs</t>
  </si>
  <si>
    <t>19 Yrs - 30 Yrs</t>
  </si>
  <si>
    <t>31 Yrs  –  45 Yrs</t>
  </si>
  <si>
    <t>60 Yrs &amp; Above 
(Male Sr. Citizen)</t>
  </si>
  <si>
    <t>Boys/Male Children</t>
  </si>
  <si>
    <t>2.1.1</t>
  </si>
  <si>
    <t>2.1.2</t>
  </si>
  <si>
    <t>2.1.3</t>
  </si>
  <si>
    <t>2.2.1</t>
  </si>
  <si>
    <t>2.2.2</t>
  </si>
  <si>
    <t>2.2.3</t>
  </si>
  <si>
    <t>Girls/Female Children</t>
  </si>
  <si>
    <t>Adult Male</t>
  </si>
  <si>
    <t>Adult Female</t>
  </si>
  <si>
    <t>60 Yrs &amp; Above 
(Female Sr. Citizen)</t>
  </si>
  <si>
    <t>Total Female</t>
  </si>
  <si>
    <t>Transgender Children</t>
  </si>
  <si>
    <t>Adult Transgender</t>
  </si>
  <si>
    <t>3.1.1</t>
  </si>
  <si>
    <t>3.1.2</t>
  </si>
  <si>
    <t>3.1.3</t>
  </si>
  <si>
    <t>3.2.1</t>
  </si>
  <si>
    <t>3.2.2</t>
  </si>
  <si>
    <t>3.2.3</t>
  </si>
  <si>
    <t xml:space="preserve">Total Persons </t>
  </si>
  <si>
    <t>4.1.1</t>
  </si>
  <si>
    <t>4.1.2</t>
  </si>
  <si>
    <t>4.1.3</t>
  </si>
  <si>
    <t>4.2.1</t>
  </si>
  <si>
    <t>4.2.2</t>
  </si>
  <si>
    <t>4.2.3</t>
  </si>
  <si>
    <t>Children</t>
  </si>
  <si>
    <t>Adults</t>
  </si>
  <si>
    <t>Senior Citizen</t>
  </si>
  <si>
    <t>Unrecovered Persons of Previous years</t>
  </si>
  <si>
    <t>Persons Missing during 2017</t>
  </si>
  <si>
    <t>Persons Traced</t>
  </si>
  <si>
    <t>Person Untraced</t>
  </si>
  <si>
    <t>from Previous years Missing</t>
  </si>
  <si>
    <t>from Missing Persons - 2017</t>
  </si>
  <si>
    <t xml:space="preserve">Total Traced </t>
  </si>
  <si>
    <t>% of Persons Traced (Col.8/Col.5 * 100)</t>
  </si>
  <si>
    <t>Missing and Traced Persons (Gender &amp; Age-wise) - 2017</t>
  </si>
  <si>
    <t>TABLE 15.3 Page 1 of 1</t>
  </si>
  <si>
    <t>TABLE 15.3</t>
  </si>
  <si>
    <t>46 Yrs - 60 Yrs</t>
  </si>
  <si>
    <t>● As per data provided by States/UTs</t>
  </si>
  <si>
    <t>60 Yrs &amp; Above 
(Trans. Sr. Citizen)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</si>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</sst>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5" fillId="2" borderId="7" xfId="0" applyFont="1" applyFill="1" applyBorder="1" applyAlignment="1">
      <alignment horizontal="right" vertical="center" wrapText="1"/>
    </xf>
    <xf numFmtId="164" fontId="5" fillId="2" borderId="7" xfId="0" applyNumberFormat="1" applyFont="1" applyFill="1" applyBorder="1" applyAlignment="1">
      <alignment horizontal="right" vertical="center" wrapText="1"/>
    </xf>
    <xf numFmtId="0" fontId="5" fillId="2" borderId="9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right" vertical="center" wrapText="1"/>
    </xf>
    <xf numFmtId="164" fontId="7" fillId="0" borderId="0" xfId="0" applyNumberFormat="1" applyFont="1" applyFill="1" applyBorder="1" applyAlignment="1">
      <alignment horizontal="right" vertical="center" wrapText="1"/>
    </xf>
    <xf numFmtId="0" fontId="7" fillId="0" borderId="3" xfId="0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horizontal="right"/>
    </xf>
    <xf numFmtId="164" fontId="7" fillId="3" borderId="0" xfId="0" applyNumberFormat="1" applyFont="1" applyFill="1" applyBorder="1" applyAlignment="1">
      <alignment horizontal="right"/>
    </xf>
    <xf numFmtId="0" fontId="7" fillId="3" borderId="3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right" vertical="center" wrapText="1"/>
    </xf>
    <xf numFmtId="164" fontId="5" fillId="2" borderId="5" xfId="0" applyNumberFormat="1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E1BE"/>
      <color rgb="FFE6F0E6"/>
      <color rgb="FFE6E6FA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zoomScaleNormal="100" workbookViewId="0">
      <selection activeCell="N29" sqref="N29"/>
    </sheetView>
  </sheetViews>
  <sheetFormatPr defaultRowHeight="15" x14ac:dyDescent="0.25"/>
  <cols>
    <col min="1" max="1" width="5.7109375" customWidth="1"/>
    <col min="2" max="2" width="17.85546875" customWidth="1"/>
    <col min="3" max="3" width="6.85546875" customWidth="1"/>
    <col min="4" max="4" width="6.42578125" customWidth="1"/>
    <col min="5" max="5" width="6.28515625" customWidth="1"/>
    <col min="6" max="6" width="7.140625" customWidth="1"/>
    <col min="7" max="7" width="7.42578125" customWidth="1"/>
    <col min="8" max="8" width="7.28515625" customWidth="1"/>
    <col min="9" max="9" width="6" customWidth="1"/>
    <col min="10" max="10" width="7" bestFit="1" customWidth="1"/>
    <col min="11" max="11" width="7.42578125" customWidth="1"/>
    <col min="12" max="12" width="7" customWidth="1"/>
    <col min="13" max="14" width="5.28515625" bestFit="1" customWidth="1"/>
  </cols>
  <sheetData>
    <row r="1" spans="1:12" ht="15.75" x14ac:dyDescent="0.25">
      <c r="A1" s="34" t="s">
        <v>58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5.75" x14ac:dyDescent="0.25">
      <c r="A2" s="34" t="s">
        <v>56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4.25" customHeight="1" x14ac:dyDescent="0.25">
      <c r="A3" s="36" t="s">
        <v>0</v>
      </c>
      <c r="B3" s="36" t="s">
        <v>2</v>
      </c>
      <c r="C3" s="35" t="s">
        <v>48</v>
      </c>
      <c r="D3" s="35" t="s">
        <v>49</v>
      </c>
      <c r="E3" s="35" t="s">
        <v>1</v>
      </c>
      <c r="F3" s="35" t="s">
        <v>50</v>
      </c>
      <c r="G3" s="35"/>
      <c r="H3" s="35"/>
      <c r="I3" s="35" t="s">
        <v>55</v>
      </c>
      <c r="J3" s="35" t="s">
        <v>51</v>
      </c>
      <c r="K3" s="35"/>
      <c r="L3" s="35"/>
    </row>
    <row r="4" spans="1:12" s="3" customFormat="1" ht="69.75" customHeight="1" x14ac:dyDescent="0.2">
      <c r="A4" s="36"/>
      <c r="B4" s="36"/>
      <c r="C4" s="35"/>
      <c r="D4" s="35"/>
      <c r="E4" s="35"/>
      <c r="F4" s="9" t="s">
        <v>52</v>
      </c>
      <c r="G4" s="9" t="s">
        <v>53</v>
      </c>
      <c r="H4" s="9" t="s">
        <v>54</v>
      </c>
      <c r="I4" s="35"/>
      <c r="J4" s="9" t="s">
        <v>52</v>
      </c>
      <c r="K4" s="9" t="s">
        <v>53</v>
      </c>
      <c r="L4" s="9" t="s">
        <v>54</v>
      </c>
    </row>
    <row r="5" spans="1:12" s="4" customFormat="1" ht="17.25" customHeight="1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</row>
    <row r="6" spans="1:12" ht="15" customHeight="1" x14ac:dyDescent="0.25">
      <c r="A6" s="10" t="s">
        <v>6</v>
      </c>
      <c r="B6" s="11" t="s">
        <v>5</v>
      </c>
      <c r="C6" s="19">
        <v>141022</v>
      </c>
      <c r="D6" s="19">
        <v>116467</v>
      </c>
      <c r="E6" s="19">
        <v>257489</v>
      </c>
      <c r="F6" s="19">
        <v>51582</v>
      </c>
      <c r="G6" s="19">
        <v>68853</v>
      </c>
      <c r="H6" s="19">
        <v>120435</v>
      </c>
      <c r="I6" s="20">
        <f>H6/E6*100</f>
        <v>46.772871850836346</v>
      </c>
      <c r="J6" s="19">
        <v>89440</v>
      </c>
      <c r="K6" s="19">
        <v>47614</v>
      </c>
      <c r="L6" s="21">
        <v>137054</v>
      </c>
    </row>
    <row r="7" spans="1:12" ht="15" customHeight="1" x14ac:dyDescent="0.25">
      <c r="A7" s="12" t="s">
        <v>7</v>
      </c>
      <c r="B7" s="7" t="s">
        <v>3</v>
      </c>
      <c r="C7" s="22">
        <v>1656</v>
      </c>
      <c r="D7" s="22">
        <v>2078</v>
      </c>
      <c r="E7" s="22">
        <v>3734</v>
      </c>
      <c r="F7" s="22">
        <v>655</v>
      </c>
      <c r="G7" s="22">
        <v>1513</v>
      </c>
      <c r="H7" s="22">
        <v>2168</v>
      </c>
      <c r="I7" s="23">
        <f t="shared" ref="I7:I25" si="0">H7/E7*100</f>
        <v>58.061060524906274</v>
      </c>
      <c r="J7" s="22">
        <v>1001</v>
      </c>
      <c r="K7" s="22">
        <v>565</v>
      </c>
      <c r="L7" s="24">
        <v>1566</v>
      </c>
    </row>
    <row r="8" spans="1:12" ht="15" customHeight="1" x14ac:dyDescent="0.25">
      <c r="A8" s="13" t="s">
        <v>8</v>
      </c>
      <c r="B8" s="8" t="s">
        <v>13</v>
      </c>
      <c r="C8" s="25">
        <v>8099</v>
      </c>
      <c r="D8" s="25">
        <v>7814</v>
      </c>
      <c r="E8" s="25">
        <v>15913</v>
      </c>
      <c r="F8" s="25">
        <v>3338</v>
      </c>
      <c r="G8" s="25">
        <v>5523</v>
      </c>
      <c r="H8" s="25">
        <v>8861</v>
      </c>
      <c r="I8" s="26">
        <f t="shared" si="0"/>
        <v>55.684031923584485</v>
      </c>
      <c r="J8" s="25">
        <v>4761</v>
      </c>
      <c r="K8" s="25">
        <v>2291</v>
      </c>
      <c r="L8" s="27">
        <v>7052</v>
      </c>
    </row>
    <row r="9" spans="1:12" ht="15" customHeight="1" x14ac:dyDescent="0.25">
      <c r="A9" s="12" t="s">
        <v>9</v>
      </c>
      <c r="B9" s="7" t="s">
        <v>14</v>
      </c>
      <c r="C9" s="22">
        <v>10958</v>
      </c>
      <c r="D9" s="22">
        <v>10663</v>
      </c>
      <c r="E9" s="22">
        <v>21621</v>
      </c>
      <c r="F9" s="22">
        <v>4817</v>
      </c>
      <c r="G9" s="22">
        <v>7718</v>
      </c>
      <c r="H9" s="22">
        <v>12535</v>
      </c>
      <c r="I9" s="23">
        <f t="shared" si="0"/>
        <v>57.976041811202073</v>
      </c>
      <c r="J9" s="22">
        <v>6141</v>
      </c>
      <c r="K9" s="22">
        <v>2945</v>
      </c>
      <c r="L9" s="24">
        <v>9086</v>
      </c>
    </row>
    <row r="10" spans="1:12" ht="15" customHeight="1" x14ac:dyDescent="0.25">
      <c r="A10" s="14">
        <v>1.1000000000000001</v>
      </c>
      <c r="B10" s="6" t="s">
        <v>18</v>
      </c>
      <c r="C10" s="28">
        <f t="shared" ref="C10:H10" si="1">SUM(C7:C9)</f>
        <v>20713</v>
      </c>
      <c r="D10" s="28">
        <f t="shared" si="1"/>
        <v>20555</v>
      </c>
      <c r="E10" s="28">
        <f t="shared" si="1"/>
        <v>41268</v>
      </c>
      <c r="F10" s="28">
        <f t="shared" si="1"/>
        <v>8810</v>
      </c>
      <c r="G10" s="28">
        <f t="shared" si="1"/>
        <v>14754</v>
      </c>
      <c r="H10" s="28">
        <f t="shared" si="1"/>
        <v>23564</v>
      </c>
      <c r="I10" s="29">
        <f t="shared" si="0"/>
        <v>57.099932150819029</v>
      </c>
      <c r="J10" s="28">
        <f>SUM(J7:J9)</f>
        <v>11903</v>
      </c>
      <c r="K10" s="28">
        <f>SUM(K7:K9)</f>
        <v>5801</v>
      </c>
      <c r="L10" s="30">
        <f>SUM(L7:L9)</f>
        <v>17704</v>
      </c>
    </row>
    <row r="11" spans="1:12" ht="15" customHeight="1" x14ac:dyDescent="0.25">
      <c r="A11" s="12" t="s">
        <v>10</v>
      </c>
      <c r="B11" s="7" t="s">
        <v>15</v>
      </c>
      <c r="C11" s="22">
        <v>47721</v>
      </c>
      <c r="D11" s="22">
        <v>33401</v>
      </c>
      <c r="E11" s="22">
        <v>81122</v>
      </c>
      <c r="F11" s="22">
        <v>17351</v>
      </c>
      <c r="G11" s="22">
        <v>19799</v>
      </c>
      <c r="H11" s="22">
        <v>37150</v>
      </c>
      <c r="I11" s="23">
        <f t="shared" si="0"/>
        <v>45.795222011291635</v>
      </c>
      <c r="J11" s="22">
        <v>30370</v>
      </c>
      <c r="K11" s="22">
        <v>13602</v>
      </c>
      <c r="L11" s="24">
        <v>43972</v>
      </c>
    </row>
    <row r="12" spans="1:12" ht="15" customHeight="1" x14ac:dyDescent="0.25">
      <c r="A12" s="13" t="s">
        <v>11</v>
      </c>
      <c r="B12" s="8" t="s">
        <v>16</v>
      </c>
      <c r="C12" s="25">
        <v>34551</v>
      </c>
      <c r="D12" s="25">
        <v>34927</v>
      </c>
      <c r="E12" s="25">
        <v>69478</v>
      </c>
      <c r="F12" s="25">
        <v>11172</v>
      </c>
      <c r="G12" s="25">
        <v>19377</v>
      </c>
      <c r="H12" s="25">
        <v>30549</v>
      </c>
      <c r="I12" s="26">
        <f t="shared" si="0"/>
        <v>43.969314027461934</v>
      </c>
      <c r="J12" s="25">
        <v>23379</v>
      </c>
      <c r="K12" s="25">
        <v>15550</v>
      </c>
      <c r="L12" s="27">
        <v>38929</v>
      </c>
    </row>
    <row r="13" spans="1:12" ht="15" customHeight="1" x14ac:dyDescent="0.25">
      <c r="A13" s="12" t="s">
        <v>12</v>
      </c>
      <c r="B13" s="7" t="s">
        <v>59</v>
      </c>
      <c r="C13" s="22">
        <v>24144</v>
      </c>
      <c r="D13" s="22">
        <v>18782</v>
      </c>
      <c r="E13" s="22">
        <v>42926</v>
      </c>
      <c r="F13" s="22">
        <v>9947</v>
      </c>
      <c r="G13" s="22">
        <v>10234</v>
      </c>
      <c r="H13" s="22">
        <v>20181</v>
      </c>
      <c r="I13" s="23">
        <f t="shared" si="0"/>
        <v>47.013465032847222</v>
      </c>
      <c r="J13" s="22">
        <v>14197</v>
      </c>
      <c r="K13" s="22">
        <v>8548</v>
      </c>
      <c r="L13" s="24">
        <v>22745</v>
      </c>
    </row>
    <row r="14" spans="1:12" ht="15" customHeight="1" x14ac:dyDescent="0.25">
      <c r="A14" s="14">
        <v>1.2</v>
      </c>
      <c r="B14" s="6" t="s">
        <v>26</v>
      </c>
      <c r="C14" s="28">
        <f t="shared" ref="C14:H14" si="2">SUM(C11:C13)</f>
        <v>106416</v>
      </c>
      <c r="D14" s="28">
        <f t="shared" si="2"/>
        <v>87110</v>
      </c>
      <c r="E14" s="28">
        <f t="shared" si="2"/>
        <v>193526</v>
      </c>
      <c r="F14" s="28">
        <f t="shared" si="2"/>
        <v>38470</v>
      </c>
      <c r="G14" s="28">
        <f t="shared" si="2"/>
        <v>49410</v>
      </c>
      <c r="H14" s="28">
        <f t="shared" si="2"/>
        <v>87880</v>
      </c>
      <c r="I14" s="29">
        <f t="shared" si="0"/>
        <v>45.409919080640329</v>
      </c>
      <c r="J14" s="28">
        <f>SUM(J11:J13)</f>
        <v>67946</v>
      </c>
      <c r="K14" s="28">
        <f>SUM(K11:K13)</f>
        <v>37700</v>
      </c>
      <c r="L14" s="30">
        <f>SUM(L11:L13)</f>
        <v>105646</v>
      </c>
    </row>
    <row r="15" spans="1:12" ht="27" customHeight="1" x14ac:dyDescent="0.25">
      <c r="A15" s="1">
        <v>1.3</v>
      </c>
      <c r="B15" s="5" t="s">
        <v>17</v>
      </c>
      <c r="C15" s="22">
        <v>13893</v>
      </c>
      <c r="D15" s="22">
        <v>8802</v>
      </c>
      <c r="E15" s="22">
        <v>22695</v>
      </c>
      <c r="F15" s="22">
        <v>4302</v>
      </c>
      <c r="G15" s="22">
        <v>4689</v>
      </c>
      <c r="H15" s="22">
        <v>8991</v>
      </c>
      <c r="I15" s="23">
        <f t="shared" si="0"/>
        <v>39.616655651024459</v>
      </c>
      <c r="J15" s="22">
        <v>9591</v>
      </c>
      <c r="K15" s="22">
        <v>4113</v>
      </c>
      <c r="L15" s="24">
        <v>13704</v>
      </c>
    </row>
    <row r="16" spans="1:12" ht="15" customHeight="1" x14ac:dyDescent="0.25">
      <c r="A16" s="14">
        <v>2</v>
      </c>
      <c r="B16" s="6" t="s">
        <v>29</v>
      </c>
      <c r="C16" s="28">
        <v>172569</v>
      </c>
      <c r="D16" s="28">
        <v>188382</v>
      </c>
      <c r="E16" s="28">
        <v>360951</v>
      </c>
      <c r="F16" s="28">
        <v>78640</v>
      </c>
      <c r="G16" s="28">
        <v>121717</v>
      </c>
      <c r="H16" s="28">
        <v>200357</v>
      </c>
      <c r="I16" s="29">
        <f t="shared" si="0"/>
        <v>55.508088355483153</v>
      </c>
      <c r="J16" s="28">
        <v>93929</v>
      </c>
      <c r="K16" s="28">
        <v>66665</v>
      </c>
      <c r="L16" s="30">
        <v>160594</v>
      </c>
    </row>
    <row r="17" spans="1:12" ht="15" customHeight="1" x14ac:dyDescent="0.25">
      <c r="A17" s="12" t="s">
        <v>19</v>
      </c>
      <c r="B17" s="7" t="s">
        <v>3</v>
      </c>
      <c r="C17" s="22">
        <v>1549</v>
      </c>
      <c r="D17" s="22">
        <v>1735</v>
      </c>
      <c r="E17" s="22">
        <v>3284</v>
      </c>
      <c r="F17" s="22">
        <v>703</v>
      </c>
      <c r="G17" s="22">
        <v>1235</v>
      </c>
      <c r="H17" s="22">
        <v>1938</v>
      </c>
      <c r="I17" s="23">
        <f t="shared" si="0"/>
        <v>59.013398294762489</v>
      </c>
      <c r="J17" s="22">
        <v>846</v>
      </c>
      <c r="K17" s="22">
        <v>500</v>
      </c>
      <c r="L17" s="24">
        <v>1346</v>
      </c>
    </row>
    <row r="18" spans="1:12" ht="15" customHeight="1" x14ac:dyDescent="0.25">
      <c r="A18" s="13" t="s">
        <v>20</v>
      </c>
      <c r="B18" s="8" t="s">
        <v>13</v>
      </c>
      <c r="C18" s="25">
        <v>6885</v>
      </c>
      <c r="D18" s="25">
        <v>7290</v>
      </c>
      <c r="E18" s="25">
        <v>14175</v>
      </c>
      <c r="F18" s="25">
        <v>3238</v>
      </c>
      <c r="G18" s="25">
        <v>4887</v>
      </c>
      <c r="H18" s="25">
        <v>8125</v>
      </c>
      <c r="I18" s="26">
        <f t="shared" si="0"/>
        <v>57.319223985890652</v>
      </c>
      <c r="J18" s="25">
        <v>3647</v>
      </c>
      <c r="K18" s="25">
        <v>2403</v>
      </c>
      <c r="L18" s="27">
        <v>6050</v>
      </c>
    </row>
    <row r="19" spans="1:12" ht="15" customHeight="1" x14ac:dyDescent="0.25">
      <c r="A19" s="12" t="s">
        <v>21</v>
      </c>
      <c r="B19" s="7" t="s">
        <v>14</v>
      </c>
      <c r="C19" s="22">
        <v>26398</v>
      </c>
      <c r="D19" s="22">
        <v>33666</v>
      </c>
      <c r="E19" s="22">
        <v>60064</v>
      </c>
      <c r="F19" s="22">
        <v>12955</v>
      </c>
      <c r="G19" s="22">
        <v>23780</v>
      </c>
      <c r="H19" s="22">
        <v>36735</v>
      </c>
      <c r="I19" s="23">
        <f t="shared" si="0"/>
        <v>61.159762919552477</v>
      </c>
      <c r="J19" s="22">
        <v>13443</v>
      </c>
      <c r="K19" s="22">
        <v>9886</v>
      </c>
      <c r="L19" s="24">
        <v>23329</v>
      </c>
    </row>
    <row r="20" spans="1:12" ht="15" customHeight="1" x14ac:dyDescent="0.25">
      <c r="A20" s="14">
        <v>2.1</v>
      </c>
      <c r="B20" s="6" t="s">
        <v>25</v>
      </c>
      <c r="C20" s="28">
        <f t="shared" ref="C20:H20" si="3">SUM(C17:C19)</f>
        <v>34832</v>
      </c>
      <c r="D20" s="28">
        <f t="shared" si="3"/>
        <v>42691</v>
      </c>
      <c r="E20" s="28">
        <f t="shared" si="3"/>
        <v>77523</v>
      </c>
      <c r="F20" s="28">
        <f t="shared" si="3"/>
        <v>16896</v>
      </c>
      <c r="G20" s="28">
        <f t="shared" si="3"/>
        <v>29902</v>
      </c>
      <c r="H20" s="28">
        <f t="shared" si="3"/>
        <v>46798</v>
      </c>
      <c r="I20" s="29">
        <f t="shared" si="0"/>
        <v>60.366600879738918</v>
      </c>
      <c r="J20" s="28">
        <f>SUM(J17:J19)</f>
        <v>17936</v>
      </c>
      <c r="K20" s="28">
        <f>SUM(K17:K19)</f>
        <v>12789</v>
      </c>
      <c r="L20" s="30">
        <f>SUM(L17:L19)</f>
        <v>30725</v>
      </c>
    </row>
    <row r="21" spans="1:12" ht="15" customHeight="1" x14ac:dyDescent="0.25">
      <c r="A21" s="12" t="s">
        <v>22</v>
      </c>
      <c r="B21" s="7" t="s">
        <v>15</v>
      </c>
      <c r="C21" s="22">
        <v>73519</v>
      </c>
      <c r="D21" s="22">
        <v>95701</v>
      </c>
      <c r="E21" s="22">
        <v>169220</v>
      </c>
      <c r="F21" s="22">
        <v>30566</v>
      </c>
      <c r="G21" s="22">
        <v>62753</v>
      </c>
      <c r="H21" s="22">
        <v>93319</v>
      </c>
      <c r="I21" s="23">
        <f t="shared" si="0"/>
        <v>55.14655478075877</v>
      </c>
      <c r="J21" s="22">
        <v>42953</v>
      </c>
      <c r="K21" s="22">
        <v>32948</v>
      </c>
      <c r="L21" s="24">
        <v>75901</v>
      </c>
    </row>
    <row r="22" spans="1:12" ht="15" customHeight="1" x14ac:dyDescent="0.25">
      <c r="A22" s="13" t="s">
        <v>23</v>
      </c>
      <c r="B22" s="8" t="s">
        <v>16</v>
      </c>
      <c r="C22" s="25">
        <v>30695</v>
      </c>
      <c r="D22" s="25">
        <v>36962</v>
      </c>
      <c r="E22" s="25">
        <v>67657</v>
      </c>
      <c r="F22" s="25">
        <v>11076</v>
      </c>
      <c r="G22" s="25">
        <v>21387</v>
      </c>
      <c r="H22" s="25">
        <v>32463</v>
      </c>
      <c r="I22" s="26">
        <f t="shared" si="0"/>
        <v>47.981731380344975</v>
      </c>
      <c r="J22" s="25">
        <v>19619</v>
      </c>
      <c r="K22" s="25">
        <v>15575</v>
      </c>
      <c r="L22" s="27">
        <v>35194</v>
      </c>
    </row>
    <row r="23" spans="1:12" ht="15" customHeight="1" x14ac:dyDescent="0.25">
      <c r="A23" s="12" t="s">
        <v>24</v>
      </c>
      <c r="B23" s="7" t="s">
        <v>59</v>
      </c>
      <c r="C23" s="22">
        <v>27144</v>
      </c>
      <c r="D23" s="22">
        <v>9043</v>
      </c>
      <c r="E23" s="22">
        <v>36187</v>
      </c>
      <c r="F23" s="22">
        <v>18012</v>
      </c>
      <c r="G23" s="22">
        <v>5349</v>
      </c>
      <c r="H23" s="22">
        <v>23361</v>
      </c>
      <c r="I23" s="23">
        <f t="shared" si="0"/>
        <v>64.55633238455799</v>
      </c>
      <c r="J23" s="22">
        <v>9132</v>
      </c>
      <c r="K23" s="22">
        <v>3694</v>
      </c>
      <c r="L23" s="24">
        <v>12826</v>
      </c>
    </row>
    <row r="24" spans="1:12" ht="15" customHeight="1" x14ac:dyDescent="0.25">
      <c r="A24" s="14">
        <v>2.2000000000000002</v>
      </c>
      <c r="B24" s="6" t="s">
        <v>27</v>
      </c>
      <c r="C24" s="28">
        <f t="shared" ref="C24:H24" si="4">SUM(C21:C23)</f>
        <v>131358</v>
      </c>
      <c r="D24" s="28">
        <f t="shared" si="4"/>
        <v>141706</v>
      </c>
      <c r="E24" s="28">
        <f t="shared" si="4"/>
        <v>273064</v>
      </c>
      <c r="F24" s="28">
        <f t="shared" si="4"/>
        <v>59654</v>
      </c>
      <c r="G24" s="28">
        <f t="shared" si="4"/>
        <v>89489</v>
      </c>
      <c r="H24" s="28">
        <f t="shared" si="4"/>
        <v>149143</v>
      </c>
      <c r="I24" s="29">
        <f t="shared" si="0"/>
        <v>54.618331233703458</v>
      </c>
      <c r="J24" s="28">
        <f>SUM(J21:J23)</f>
        <v>71704</v>
      </c>
      <c r="K24" s="28">
        <f>SUM(K21:K23)</f>
        <v>52217</v>
      </c>
      <c r="L24" s="30">
        <f>SUM(L21:L23)</f>
        <v>123921</v>
      </c>
    </row>
    <row r="25" spans="1:12" ht="28.5" customHeight="1" x14ac:dyDescent="0.25">
      <c r="A25" s="1">
        <v>2.2999999999999998</v>
      </c>
      <c r="B25" s="5" t="s">
        <v>28</v>
      </c>
      <c r="C25" s="22">
        <v>6379</v>
      </c>
      <c r="D25" s="22">
        <v>3985</v>
      </c>
      <c r="E25" s="22">
        <v>10364</v>
      </c>
      <c r="F25" s="22">
        <v>2090</v>
      </c>
      <c r="G25" s="22">
        <v>2326</v>
      </c>
      <c r="H25" s="22">
        <v>4416</v>
      </c>
      <c r="I25" s="23">
        <f>H25/E25*100</f>
        <v>42.609031262060981</v>
      </c>
      <c r="J25" s="22">
        <v>4289</v>
      </c>
      <c r="K25" s="22">
        <v>1659</v>
      </c>
      <c r="L25" s="24">
        <v>5948</v>
      </c>
    </row>
    <row r="26" spans="1:12" ht="15" customHeight="1" x14ac:dyDescent="0.25">
      <c r="A26" s="14">
        <v>3</v>
      </c>
      <c r="B26" s="6" t="s">
        <v>4</v>
      </c>
      <c r="C26" s="28">
        <v>91</v>
      </c>
      <c r="D26" s="28">
        <v>418</v>
      </c>
      <c r="E26" s="28">
        <v>509</v>
      </c>
      <c r="F26" s="28">
        <v>34</v>
      </c>
      <c r="G26" s="28">
        <v>312</v>
      </c>
      <c r="H26" s="28">
        <v>346</v>
      </c>
      <c r="I26" s="29">
        <f t="shared" ref="I26:I45" si="5">H26/E26*100</f>
        <v>67.97642436149313</v>
      </c>
      <c r="J26" s="28">
        <v>57</v>
      </c>
      <c r="K26" s="28">
        <v>106</v>
      </c>
      <c r="L26" s="30">
        <v>163</v>
      </c>
    </row>
    <row r="27" spans="1:12" ht="15" customHeight="1" x14ac:dyDescent="0.25">
      <c r="A27" s="12" t="s">
        <v>32</v>
      </c>
      <c r="B27" s="7" t="s">
        <v>3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3" t="s">
        <v>62</v>
      </c>
      <c r="J27" s="22">
        <v>0</v>
      </c>
      <c r="K27" s="22">
        <v>0</v>
      </c>
      <c r="L27" s="24">
        <v>0</v>
      </c>
    </row>
    <row r="28" spans="1:12" ht="15" customHeight="1" x14ac:dyDescent="0.25">
      <c r="A28" s="13" t="s">
        <v>33</v>
      </c>
      <c r="B28" s="8" t="s">
        <v>13</v>
      </c>
      <c r="C28" s="25">
        <v>6</v>
      </c>
      <c r="D28" s="25">
        <v>29</v>
      </c>
      <c r="E28" s="25">
        <v>35</v>
      </c>
      <c r="F28" s="25">
        <v>4</v>
      </c>
      <c r="G28" s="25">
        <v>18</v>
      </c>
      <c r="H28" s="25">
        <v>22</v>
      </c>
      <c r="I28" s="26">
        <f t="shared" si="5"/>
        <v>62.857142857142854</v>
      </c>
      <c r="J28" s="25">
        <v>2</v>
      </c>
      <c r="K28" s="25">
        <v>11</v>
      </c>
      <c r="L28" s="27">
        <v>13</v>
      </c>
    </row>
    <row r="29" spans="1:12" ht="15" customHeight="1" x14ac:dyDescent="0.25">
      <c r="A29" s="12" t="s">
        <v>34</v>
      </c>
      <c r="B29" s="7" t="s">
        <v>14</v>
      </c>
      <c r="C29" s="22">
        <v>71</v>
      </c>
      <c r="D29" s="22">
        <v>74</v>
      </c>
      <c r="E29" s="22">
        <v>145</v>
      </c>
      <c r="F29" s="22">
        <v>25</v>
      </c>
      <c r="G29" s="22">
        <v>31</v>
      </c>
      <c r="H29" s="22">
        <v>56</v>
      </c>
      <c r="I29" s="23">
        <f t="shared" si="5"/>
        <v>38.620689655172413</v>
      </c>
      <c r="J29" s="22">
        <v>46</v>
      </c>
      <c r="K29" s="22">
        <v>43</v>
      </c>
      <c r="L29" s="24">
        <v>89</v>
      </c>
    </row>
    <row r="30" spans="1:12" ht="15" customHeight="1" x14ac:dyDescent="0.25">
      <c r="A30" s="14">
        <v>3.1</v>
      </c>
      <c r="B30" s="6" t="s">
        <v>30</v>
      </c>
      <c r="C30" s="28">
        <v>168</v>
      </c>
      <c r="D30" s="28">
        <v>521</v>
      </c>
      <c r="E30" s="28">
        <v>689</v>
      </c>
      <c r="F30" s="28">
        <v>63</v>
      </c>
      <c r="G30" s="28">
        <v>361</v>
      </c>
      <c r="H30" s="28">
        <v>424</v>
      </c>
      <c r="I30" s="29">
        <f t="shared" si="5"/>
        <v>61.53846153846154</v>
      </c>
      <c r="J30" s="28">
        <v>105</v>
      </c>
      <c r="K30" s="28">
        <v>160</v>
      </c>
      <c r="L30" s="30">
        <v>265</v>
      </c>
    </row>
    <row r="31" spans="1:12" ht="15" customHeight="1" x14ac:dyDescent="0.25">
      <c r="A31" s="12" t="s">
        <v>35</v>
      </c>
      <c r="B31" s="7" t="s">
        <v>15</v>
      </c>
      <c r="C31" s="22">
        <v>4</v>
      </c>
      <c r="D31" s="22">
        <v>188</v>
      </c>
      <c r="E31" s="22">
        <v>192</v>
      </c>
      <c r="F31" s="22">
        <v>2</v>
      </c>
      <c r="G31" s="22">
        <v>159</v>
      </c>
      <c r="H31" s="22">
        <v>161</v>
      </c>
      <c r="I31" s="23">
        <f t="shared" si="5"/>
        <v>83.854166666666657</v>
      </c>
      <c r="J31" s="22">
        <v>2</v>
      </c>
      <c r="K31" s="22">
        <v>29</v>
      </c>
      <c r="L31" s="24">
        <v>31</v>
      </c>
    </row>
    <row r="32" spans="1:12" ht="15" customHeight="1" x14ac:dyDescent="0.25">
      <c r="A32" s="13" t="s">
        <v>36</v>
      </c>
      <c r="B32" s="8" t="s">
        <v>16</v>
      </c>
      <c r="C32" s="25">
        <v>9</v>
      </c>
      <c r="D32" s="25">
        <v>80</v>
      </c>
      <c r="E32" s="25">
        <v>89</v>
      </c>
      <c r="F32" s="25">
        <v>2</v>
      </c>
      <c r="G32" s="25">
        <v>66</v>
      </c>
      <c r="H32" s="25">
        <v>68</v>
      </c>
      <c r="I32" s="26">
        <f t="shared" si="5"/>
        <v>76.404494382022463</v>
      </c>
      <c r="J32" s="25">
        <v>7</v>
      </c>
      <c r="K32" s="25">
        <v>14</v>
      </c>
      <c r="L32" s="27">
        <v>21</v>
      </c>
    </row>
    <row r="33" spans="1:12" ht="15" customHeight="1" x14ac:dyDescent="0.25">
      <c r="A33" s="12" t="s">
        <v>37</v>
      </c>
      <c r="B33" s="7" t="s">
        <v>59</v>
      </c>
      <c r="C33" s="22">
        <v>1</v>
      </c>
      <c r="D33" s="22">
        <v>29</v>
      </c>
      <c r="E33" s="22">
        <v>30</v>
      </c>
      <c r="F33" s="22">
        <v>1</v>
      </c>
      <c r="G33" s="22">
        <v>25</v>
      </c>
      <c r="H33" s="22">
        <v>26</v>
      </c>
      <c r="I33" s="23">
        <f t="shared" si="5"/>
        <v>86.666666666666671</v>
      </c>
      <c r="J33" s="22">
        <v>0</v>
      </c>
      <c r="K33" s="22">
        <v>4</v>
      </c>
      <c r="L33" s="24">
        <v>4</v>
      </c>
    </row>
    <row r="34" spans="1:12" ht="15" customHeight="1" x14ac:dyDescent="0.25">
      <c r="A34" s="14">
        <v>3.2</v>
      </c>
      <c r="B34" s="6" t="s">
        <v>31</v>
      </c>
      <c r="C34" s="28">
        <v>14</v>
      </c>
      <c r="D34" s="28">
        <v>297</v>
      </c>
      <c r="E34" s="28">
        <v>311</v>
      </c>
      <c r="F34" s="28">
        <v>5</v>
      </c>
      <c r="G34" s="28">
        <v>250</v>
      </c>
      <c r="H34" s="28">
        <v>255</v>
      </c>
      <c r="I34" s="29">
        <f t="shared" si="5"/>
        <v>81.9935691318328</v>
      </c>
      <c r="J34" s="28">
        <v>9</v>
      </c>
      <c r="K34" s="28">
        <v>47</v>
      </c>
      <c r="L34" s="30">
        <v>56</v>
      </c>
    </row>
    <row r="35" spans="1:12" ht="28.5" customHeight="1" x14ac:dyDescent="0.25">
      <c r="A35" s="1">
        <v>3.3</v>
      </c>
      <c r="B35" s="5" t="s">
        <v>61</v>
      </c>
      <c r="C35" s="22">
        <v>0</v>
      </c>
      <c r="D35" s="22">
        <v>18</v>
      </c>
      <c r="E35" s="22">
        <v>18</v>
      </c>
      <c r="F35" s="22">
        <v>0</v>
      </c>
      <c r="G35" s="22">
        <v>13</v>
      </c>
      <c r="H35" s="22">
        <v>13</v>
      </c>
      <c r="I35" s="23">
        <f t="shared" si="5"/>
        <v>72.222222222222214</v>
      </c>
      <c r="J35" s="22">
        <v>0</v>
      </c>
      <c r="K35" s="22">
        <v>5</v>
      </c>
      <c r="L35" s="24">
        <v>5</v>
      </c>
    </row>
    <row r="36" spans="1:12" ht="15" customHeight="1" x14ac:dyDescent="0.25">
      <c r="A36" s="14">
        <v>4</v>
      </c>
      <c r="B36" s="6" t="s">
        <v>38</v>
      </c>
      <c r="C36" s="28">
        <v>313682</v>
      </c>
      <c r="D36" s="28">
        <v>305267</v>
      </c>
      <c r="E36" s="28">
        <v>618949</v>
      </c>
      <c r="F36" s="28">
        <v>130256</v>
      </c>
      <c r="G36" s="28">
        <v>190882</v>
      </c>
      <c r="H36" s="28">
        <v>321138</v>
      </c>
      <c r="I36" s="29">
        <f t="shared" si="5"/>
        <v>51.884404046213831</v>
      </c>
      <c r="J36" s="28">
        <v>183426</v>
      </c>
      <c r="K36" s="28">
        <v>114385</v>
      </c>
      <c r="L36" s="30">
        <v>297811</v>
      </c>
    </row>
    <row r="37" spans="1:12" ht="15" customHeight="1" x14ac:dyDescent="0.25">
      <c r="A37" s="12" t="s">
        <v>39</v>
      </c>
      <c r="B37" s="7" t="s">
        <v>3</v>
      </c>
      <c r="C37" s="22">
        <v>3205</v>
      </c>
      <c r="D37" s="22">
        <v>3813</v>
      </c>
      <c r="E37" s="22">
        <v>7018</v>
      </c>
      <c r="F37" s="22">
        <v>1358</v>
      </c>
      <c r="G37" s="22">
        <v>2748</v>
      </c>
      <c r="H37" s="22">
        <v>4106</v>
      </c>
      <c r="I37" s="23">
        <f t="shared" si="5"/>
        <v>58.50669706469079</v>
      </c>
      <c r="J37" s="22">
        <v>1847</v>
      </c>
      <c r="K37" s="22">
        <v>1065</v>
      </c>
      <c r="L37" s="24">
        <v>2912</v>
      </c>
    </row>
    <row r="38" spans="1:12" ht="15" customHeight="1" x14ac:dyDescent="0.25">
      <c r="A38" s="13" t="s">
        <v>40</v>
      </c>
      <c r="B38" s="8" t="s">
        <v>13</v>
      </c>
      <c r="C38" s="25">
        <v>14990</v>
      </c>
      <c r="D38" s="25">
        <v>15133</v>
      </c>
      <c r="E38" s="25">
        <v>30123</v>
      </c>
      <c r="F38" s="25">
        <v>6580</v>
      </c>
      <c r="G38" s="25">
        <v>10428</v>
      </c>
      <c r="H38" s="25">
        <v>17008</v>
      </c>
      <c r="I38" s="26">
        <f t="shared" si="5"/>
        <v>56.461839790193537</v>
      </c>
      <c r="J38" s="25">
        <v>8410</v>
      </c>
      <c r="K38" s="25">
        <v>4705</v>
      </c>
      <c r="L38" s="27">
        <v>13115</v>
      </c>
    </row>
    <row r="39" spans="1:12" ht="15" customHeight="1" x14ac:dyDescent="0.25">
      <c r="A39" s="12" t="s">
        <v>41</v>
      </c>
      <c r="B39" s="7" t="s">
        <v>14</v>
      </c>
      <c r="C39" s="22">
        <v>37427</v>
      </c>
      <c r="D39" s="22">
        <v>44403</v>
      </c>
      <c r="E39" s="22">
        <v>81830</v>
      </c>
      <c r="F39" s="22">
        <v>17797</v>
      </c>
      <c r="G39" s="22">
        <v>31529</v>
      </c>
      <c r="H39" s="22">
        <v>49326</v>
      </c>
      <c r="I39" s="23">
        <f t="shared" si="5"/>
        <v>60.278626420628136</v>
      </c>
      <c r="J39" s="22">
        <v>19630</v>
      </c>
      <c r="K39" s="22">
        <v>12874</v>
      </c>
      <c r="L39" s="24">
        <v>32504</v>
      </c>
    </row>
    <row r="40" spans="1:12" ht="15" customHeight="1" x14ac:dyDescent="0.25">
      <c r="A40" s="14">
        <v>4.0999999999999996</v>
      </c>
      <c r="B40" s="6" t="s">
        <v>45</v>
      </c>
      <c r="C40" s="28">
        <v>55622</v>
      </c>
      <c r="D40" s="28">
        <v>63349</v>
      </c>
      <c r="E40" s="28">
        <v>118971</v>
      </c>
      <c r="F40" s="28">
        <v>25735</v>
      </c>
      <c r="G40" s="28">
        <v>44705</v>
      </c>
      <c r="H40" s="28">
        <v>70440</v>
      </c>
      <c r="I40" s="29">
        <f t="shared" si="5"/>
        <v>59.20770607963285</v>
      </c>
      <c r="J40" s="28">
        <v>29887</v>
      </c>
      <c r="K40" s="28">
        <v>18644</v>
      </c>
      <c r="L40" s="30">
        <v>48531</v>
      </c>
    </row>
    <row r="41" spans="1:12" ht="15" customHeight="1" x14ac:dyDescent="0.25">
      <c r="A41" s="12" t="s">
        <v>42</v>
      </c>
      <c r="B41" s="7" t="s">
        <v>15</v>
      </c>
      <c r="C41" s="22">
        <v>121244</v>
      </c>
      <c r="D41" s="22">
        <v>129290</v>
      </c>
      <c r="E41" s="22">
        <v>250534</v>
      </c>
      <c r="F41" s="22">
        <v>47919</v>
      </c>
      <c r="G41" s="22">
        <v>82711</v>
      </c>
      <c r="H41" s="22">
        <v>130630</v>
      </c>
      <c r="I41" s="23">
        <f t="shared" si="5"/>
        <v>52.140627619404952</v>
      </c>
      <c r="J41" s="22">
        <v>73325</v>
      </c>
      <c r="K41" s="22">
        <v>46579</v>
      </c>
      <c r="L41" s="24">
        <v>119904</v>
      </c>
    </row>
    <row r="42" spans="1:12" ht="15" customHeight="1" x14ac:dyDescent="0.25">
      <c r="A42" s="13" t="s">
        <v>43</v>
      </c>
      <c r="B42" s="8" t="s">
        <v>16</v>
      </c>
      <c r="C42" s="25">
        <v>65255</v>
      </c>
      <c r="D42" s="25">
        <v>71969</v>
      </c>
      <c r="E42" s="25">
        <v>137224</v>
      </c>
      <c r="F42" s="25">
        <v>22250</v>
      </c>
      <c r="G42" s="25">
        <v>40830</v>
      </c>
      <c r="H42" s="25">
        <v>63080</v>
      </c>
      <c r="I42" s="26">
        <f t="shared" si="5"/>
        <v>45.968635224159037</v>
      </c>
      <c r="J42" s="25">
        <v>43005</v>
      </c>
      <c r="K42" s="25">
        <v>31139</v>
      </c>
      <c r="L42" s="27">
        <v>74144</v>
      </c>
    </row>
    <row r="43" spans="1:12" ht="15" customHeight="1" x14ac:dyDescent="0.25">
      <c r="A43" s="12" t="s">
        <v>44</v>
      </c>
      <c r="B43" s="7" t="s">
        <v>59</v>
      </c>
      <c r="C43" s="22">
        <v>51289</v>
      </c>
      <c r="D43" s="22">
        <v>27854</v>
      </c>
      <c r="E43" s="22">
        <v>79143</v>
      </c>
      <c r="F43" s="22">
        <v>27960</v>
      </c>
      <c r="G43" s="22">
        <v>15608</v>
      </c>
      <c r="H43" s="22">
        <v>43568</v>
      </c>
      <c r="I43" s="23">
        <f t="shared" si="5"/>
        <v>55.049720126858979</v>
      </c>
      <c r="J43" s="22">
        <v>23329</v>
      </c>
      <c r="K43" s="22">
        <v>12246</v>
      </c>
      <c r="L43" s="24">
        <v>35575</v>
      </c>
    </row>
    <row r="44" spans="1:12" ht="15" customHeight="1" x14ac:dyDescent="0.25">
      <c r="A44" s="14">
        <v>4.2</v>
      </c>
      <c r="B44" s="6" t="s">
        <v>46</v>
      </c>
      <c r="C44" s="28">
        <v>258060</v>
      </c>
      <c r="D44" s="28">
        <v>241918</v>
      </c>
      <c r="E44" s="28">
        <v>499978</v>
      </c>
      <c r="F44" s="28">
        <v>104521</v>
      </c>
      <c r="G44" s="28">
        <v>146177</v>
      </c>
      <c r="H44" s="28">
        <v>250698</v>
      </c>
      <c r="I44" s="29">
        <f t="shared" si="5"/>
        <v>50.141806239474541</v>
      </c>
      <c r="J44" s="28">
        <v>153539</v>
      </c>
      <c r="K44" s="28">
        <v>95741</v>
      </c>
      <c r="L44" s="30">
        <v>249280</v>
      </c>
    </row>
    <row r="45" spans="1:12" ht="15" customHeight="1" x14ac:dyDescent="0.25">
      <c r="A45" s="15">
        <v>4.3</v>
      </c>
      <c r="B45" s="16" t="s">
        <v>47</v>
      </c>
      <c r="C45" s="31">
        <v>20272</v>
      </c>
      <c r="D45" s="31">
        <v>12805</v>
      </c>
      <c r="E45" s="31">
        <v>33077</v>
      </c>
      <c r="F45" s="31">
        <v>6392</v>
      </c>
      <c r="G45" s="31">
        <v>7028</v>
      </c>
      <c r="H45" s="31">
        <v>13420</v>
      </c>
      <c r="I45" s="32">
        <f t="shared" si="5"/>
        <v>40.571998669770537</v>
      </c>
      <c r="J45" s="31">
        <v>13880</v>
      </c>
      <c r="K45" s="31">
        <v>5777</v>
      </c>
      <c r="L45" s="33">
        <v>19657</v>
      </c>
    </row>
    <row r="46" spans="1:12" x14ac:dyDescent="0.25">
      <c r="A46" s="18" t="s">
        <v>60</v>
      </c>
      <c r="L46" s="17" t="s">
        <v>57</v>
      </c>
    </row>
  </sheetData>
  <mergeCells count="10">
    <mergeCell ref="A1:L1"/>
    <mergeCell ref="A2:L2"/>
    <mergeCell ref="F3:H3"/>
    <mergeCell ref="J3:L3"/>
    <mergeCell ref="I3:I4"/>
    <mergeCell ref="E3:E4"/>
    <mergeCell ref="D3:D4"/>
    <mergeCell ref="C3:C4"/>
    <mergeCell ref="B3:B4"/>
    <mergeCell ref="A3:A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2019-07-24T12:17:58Z</cp:lastPrinted>
  <dcterms:created xsi:type="dcterms:W3CDTF">2017-09-20T11:08:22Z</dcterms:created>
  <dcterms:modified xsi:type="dcterms:W3CDTF">2020-01-08T05:21:08Z</dcterms:modified>
</cp:coreProperties>
</file>