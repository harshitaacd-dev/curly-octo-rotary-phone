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resh\Office\CII DB Jan 2023\cii 2022-files to be replaced-27092023\Old Tables\Book 1\Excel\"/>
    </mc:Choice>
  </mc:AlternateContent>
  <xr:revisionPtr revIDLastSave="0" documentId="13_ncr:1_{143FAC29-61A4-4B14-9C86-8FAE30ECDA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IIReport" sheetId="1" r:id="rId1"/>
  </sheets>
  <calcPr calcId="191029"/>
</workbook>
</file>

<file path=xl/calcChain.xml><?xml version="1.0" encoding="utf-8"?>
<calcChain xmlns="http://schemas.openxmlformats.org/spreadsheetml/2006/main">
  <c r="AV28" i="1" l="1"/>
  <c r="AR28" i="1"/>
  <c r="AL28" i="1"/>
  <c r="AH28" i="1"/>
  <c r="AD28" i="1"/>
  <c r="X28" i="1"/>
  <c r="T28" i="1"/>
  <c r="N28" i="1"/>
  <c r="J28" i="1"/>
  <c r="F28" i="1"/>
</calcChain>
</file>

<file path=xl/sharedStrings.xml><?xml version="1.0" encoding="utf-8"?>
<sst xmlns="http://schemas.openxmlformats.org/spreadsheetml/2006/main" count="295" uniqueCount="118">
  <si>
    <t>TABLE 2D.2 (i)</t>
  </si>
  <si>
    <t>Child Victims of Kidnapping &amp; Abduction (Gender &amp; Age Group-wise) (City-wise) - 2022</t>
  </si>
  <si>
    <t>Child Victims of Kidnapping &amp; Abduction (Gender &amp; Age Group-wise) (City-wise) - 2022 (Continued)</t>
  </si>
  <si>
    <t>TABLE 2D.2 (ii)</t>
  </si>
  <si>
    <t>Adult Victims of Kidnapping &amp; Abduction (Gender &amp; Age Group-wise) (City-wise) - 2022 (Continued)</t>
  </si>
  <si>
    <t>Adult Victims of Kidnapping &amp; Abduction (Gender &amp; Age Group-wise) (City-wise) - 2022 (Concluded)</t>
  </si>
  <si>
    <t>SL</t>
  </si>
  <si>
    <t>City</t>
  </si>
  <si>
    <t>Child Victims</t>
  </si>
  <si>
    <t>Below 6 Years</t>
  </si>
  <si>
    <t>6 Years to 12 Years</t>
  </si>
  <si>
    <t>12 Years to 16 Years</t>
  </si>
  <si>
    <t>M</t>
  </si>
  <si>
    <t>F</t>
  </si>
  <si>
    <t>Tr</t>
  </si>
  <si>
    <t>T</t>
  </si>
  <si>
    <t>16 Years to 18 Years</t>
  </si>
  <si>
    <t>Total Child Victims</t>
  </si>
  <si>
    <t>Adult Victims</t>
  </si>
  <si>
    <t>18 Years to 30 Years</t>
  </si>
  <si>
    <t>30 Years to 60 Years</t>
  </si>
  <si>
    <t>60 Years &amp; above</t>
  </si>
  <si>
    <t>Total Victims (Child + Adult)</t>
  </si>
  <si>
    <t>Total Adult Victims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</si>
  <si>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</si>
  <si>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</si>
  <si>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</si>
  <si>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</si>
  <si>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</si>
  <si>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</si>
  <si>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</si>
  <si>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</si>
  <si>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</si>
  <si>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</si>
  <si>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</si>
  <si>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</si>
  <si>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</si>
  <si>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</si>
  <si>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</si>
  <si>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</si>
  <si>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</si>
  <si>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</si>
  <si>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</si>
  <si>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</si>
  <si>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</si>
  <si>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</si>
  <si>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</si>
  <si>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</si>
  <si>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</si>
  <si>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</si>
  <si>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</si>
  <si>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</si>
  <si>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</si>
  <si>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</si>
  <si>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</si>
  <si>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</si>
  <si>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</si>
  <si>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</si>
  <si>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</si>
  <si>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</si>
  <si>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</si>
  <si>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</si>
  <si>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</si>
  <si>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</si>
  <si>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</si>
  <si>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</si>
  <si>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</si>
  <si>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</si>
  <si>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</si>
  <si>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</si>
  <si>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</si>
  <si>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</si>
  <si>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</si>
  <si>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</si>
  <si>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</si>
  <si>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</si>
  <si>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</si>
  <si>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</si>
  <si>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</si>
  <si>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</si>
  <si>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</si>
  <si>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</si>
  <si>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</si>
  <si>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</si>
  <si>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</si>
  <si>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</si>
  <si>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</si>
  <si>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</si>
  <si>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</si>
  <si>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</si>
  <si>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</si>
  <si>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</si>
  <si>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</si>
  <si>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</si>
  <si>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</si>
  <si>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</si>
  <si>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</si>
  <si>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</si>
  <si>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</si>
  <si>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</si>
  <si>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</si>
  <si>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</si>
  <si>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</si>
  <si>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</si>
  <si>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</si>
  <si>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TABLE 2D.2 Page 1 of 4</t>
  </si>
  <si>
    <t>Col.19 = Col.3+Col.7+Col.11+Col.15     Col.20 = Col.4+Col.8+Col.12+Col.16</t>
  </si>
  <si>
    <t>Col.21 = Col.5+Col.9+Col.13+Col.17     Col.22 = Col.6+Col.10+Col.14+Col.18</t>
  </si>
  <si>
    <t>TABLE 2D.2 Page 2 of 4</t>
  </si>
  <si>
    <t>Col.35 = Col.23+Col.27+Col.31      Col.36 = Col.24+Col.28+Col.32</t>
  </si>
  <si>
    <t>Col.37 = Col.25+Col.29+Col.33      Col.38 = Col.26+Col.30+Col.34</t>
  </si>
  <si>
    <t>TABLE 2D.2 Page 3 of 4</t>
  </si>
  <si>
    <t>Col.39 = Col.19+Col.35   Col.40 = Col.20+Col.36     Col.41 = Col.21+Col.37      Col.42 = Col.22+Col.38</t>
  </si>
  <si>
    <t>TABLE 2D.2 Page 4 of 4</t>
  </si>
  <si>
    <t>Victims Age Group-wise % Share</t>
  </si>
  <si>
    <t>● As per data provided by States/UTs        M=Male,F=Female,Tr=Transgender &amp; T=Total</t>
  </si>
  <si>
    <t>● States/UTs/Cities may not be compared purely on the basis of crime figures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</si>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</sst>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9" xfId="0" applyFont="1" applyBorder="1"/>
    <xf numFmtId="0" fontId="3" fillId="0" borderId="0" xfId="0" applyFont="1"/>
    <xf numFmtId="0" fontId="3" fillId="0" borderId="11" xfId="0" applyFont="1" applyBorder="1"/>
    <xf numFmtId="0" fontId="3" fillId="3" borderId="9" xfId="0" applyFont="1" applyFill="1" applyBorder="1" applyAlignment="1">
      <alignment vertical="center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1" xfId="0" applyFont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4" fillId="0" borderId="0" xfId="0" applyFont="1" applyAlignment="1">
      <alignment horizontal="right"/>
    </xf>
    <xf numFmtId="0" fontId="2" fillId="0" borderId="14" xfId="0" applyFont="1" applyBorder="1" applyAlignment="1">
      <alignment vertical="center"/>
    </xf>
    <xf numFmtId="164" fontId="2" fillId="0" borderId="15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2"/>
  <sheetViews>
    <sheetView tabSelected="1" topLeftCell="T1" workbookViewId="0">
      <selection activeCell="AO36" sqref="AO36"/>
    </sheetView>
  </sheetViews>
  <sheetFormatPr defaultRowHeight="14.4" x14ac:dyDescent="0.3"/>
  <cols>
    <col min="1" max="1" width="2.6640625" customWidth="1"/>
    <col min="2" max="2" width="18.33203125" customWidth="1"/>
    <col min="3" max="14" width="6" customWidth="1"/>
    <col min="15" max="15" width="2.6640625" customWidth="1"/>
    <col min="16" max="16" width="18.33203125" customWidth="1"/>
    <col min="17" max="24" width="9.109375" customWidth="1"/>
    <col min="25" max="25" width="2.6640625" customWidth="1"/>
    <col min="26" max="26" width="18.33203125" customWidth="1"/>
    <col min="27" max="38" width="6" customWidth="1"/>
    <col min="39" max="39" width="2.6640625" customWidth="1"/>
    <col min="40" max="40" width="18.33203125" customWidth="1"/>
    <col min="41" max="44" width="9.109375" customWidth="1"/>
  </cols>
  <sheetData>
    <row r="1" spans="1:48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 t="s">
        <v>0</v>
      </c>
      <c r="P1" s="31"/>
      <c r="Q1" s="31"/>
      <c r="R1" s="31"/>
      <c r="S1" s="31"/>
      <c r="T1" s="31"/>
      <c r="U1" s="31"/>
      <c r="V1" s="31"/>
      <c r="W1" s="31"/>
      <c r="X1" s="31"/>
      <c r="Y1" s="31" t="s">
        <v>3</v>
      </c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 t="s">
        <v>3</v>
      </c>
      <c r="AN1" s="31"/>
      <c r="AO1" s="31"/>
      <c r="AP1" s="31"/>
      <c r="AQ1" s="31"/>
      <c r="AR1" s="31"/>
      <c r="AS1" s="31"/>
      <c r="AT1" s="31"/>
      <c r="AU1" s="31"/>
      <c r="AV1" s="31"/>
    </row>
    <row r="2" spans="1:48" x14ac:dyDescent="0.3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 t="s">
        <v>2</v>
      </c>
      <c r="P2" s="31"/>
      <c r="Q2" s="31"/>
      <c r="R2" s="31"/>
      <c r="S2" s="31"/>
      <c r="T2" s="31"/>
      <c r="U2" s="31"/>
      <c r="V2" s="31"/>
      <c r="W2" s="31"/>
      <c r="X2" s="31"/>
      <c r="Y2" s="31" t="s">
        <v>4</v>
      </c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 t="s">
        <v>5</v>
      </c>
      <c r="AN2" s="31"/>
      <c r="AO2" s="31"/>
      <c r="AP2" s="31"/>
      <c r="AQ2" s="31"/>
      <c r="AR2" s="31"/>
      <c r="AS2" s="31"/>
      <c r="AT2" s="31"/>
      <c r="AU2" s="31"/>
      <c r="AV2" s="31"/>
    </row>
    <row r="3" spans="1:48" ht="15" customHeight="1" x14ac:dyDescent="0.3">
      <c r="A3" s="27" t="s">
        <v>6</v>
      </c>
      <c r="B3" s="28" t="s">
        <v>7</v>
      </c>
      <c r="C3" s="29" t="s">
        <v>8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7" t="s">
        <v>6</v>
      </c>
      <c r="P3" s="28" t="s">
        <v>7</v>
      </c>
      <c r="Q3" s="29" t="s">
        <v>8</v>
      </c>
      <c r="R3" s="29"/>
      <c r="S3" s="29"/>
      <c r="T3" s="29"/>
      <c r="U3" s="29"/>
      <c r="V3" s="29"/>
      <c r="W3" s="29"/>
      <c r="X3" s="29"/>
      <c r="Y3" s="27" t="s">
        <v>6</v>
      </c>
      <c r="Z3" s="28" t="s">
        <v>7</v>
      </c>
      <c r="AA3" s="29" t="s">
        <v>18</v>
      </c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7" t="s">
        <v>6</v>
      </c>
      <c r="AN3" s="28" t="s">
        <v>7</v>
      </c>
      <c r="AO3" s="29" t="s">
        <v>18</v>
      </c>
      <c r="AP3" s="29"/>
      <c r="AQ3" s="29"/>
      <c r="AR3" s="29"/>
      <c r="AS3" s="32" t="s">
        <v>22</v>
      </c>
      <c r="AT3" s="32"/>
      <c r="AU3" s="32"/>
      <c r="AV3" s="32"/>
    </row>
    <row r="4" spans="1:48" ht="30" customHeight="1" x14ac:dyDescent="0.3">
      <c r="A4" s="27"/>
      <c r="B4" s="28"/>
      <c r="C4" s="29" t="s">
        <v>9</v>
      </c>
      <c r="D4" s="29"/>
      <c r="E4" s="29"/>
      <c r="F4" s="29"/>
      <c r="G4" s="30" t="s">
        <v>10</v>
      </c>
      <c r="H4" s="30"/>
      <c r="I4" s="30"/>
      <c r="J4" s="30"/>
      <c r="K4" s="30" t="s">
        <v>11</v>
      </c>
      <c r="L4" s="30"/>
      <c r="M4" s="30"/>
      <c r="N4" s="30"/>
      <c r="O4" s="27"/>
      <c r="P4" s="28"/>
      <c r="Q4" s="29" t="s">
        <v>16</v>
      </c>
      <c r="R4" s="29"/>
      <c r="S4" s="29"/>
      <c r="T4" s="29"/>
      <c r="U4" s="30" t="s">
        <v>17</v>
      </c>
      <c r="V4" s="30"/>
      <c r="W4" s="30"/>
      <c r="X4" s="30"/>
      <c r="Y4" s="27"/>
      <c r="Z4" s="28"/>
      <c r="AA4" s="29" t="s">
        <v>19</v>
      </c>
      <c r="AB4" s="29"/>
      <c r="AC4" s="29"/>
      <c r="AD4" s="29"/>
      <c r="AE4" s="30" t="s">
        <v>20</v>
      </c>
      <c r="AF4" s="30"/>
      <c r="AG4" s="30"/>
      <c r="AH4" s="30"/>
      <c r="AI4" s="30" t="s">
        <v>21</v>
      </c>
      <c r="AJ4" s="30"/>
      <c r="AK4" s="30"/>
      <c r="AL4" s="30"/>
      <c r="AM4" s="27"/>
      <c r="AN4" s="28"/>
      <c r="AO4" s="29" t="s">
        <v>23</v>
      </c>
      <c r="AP4" s="29"/>
      <c r="AQ4" s="29"/>
      <c r="AR4" s="29"/>
      <c r="AS4" s="32"/>
      <c r="AT4" s="32"/>
      <c r="AU4" s="32"/>
      <c r="AV4" s="32"/>
    </row>
    <row r="5" spans="1:48" ht="15" customHeight="1" x14ac:dyDescent="0.3">
      <c r="A5" s="27"/>
      <c r="B5" s="28"/>
      <c r="C5" s="1" t="s">
        <v>12</v>
      </c>
      <c r="D5" s="1" t="s">
        <v>13</v>
      </c>
      <c r="E5" s="1" t="s">
        <v>14</v>
      </c>
      <c r="F5" s="1" t="s">
        <v>15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12</v>
      </c>
      <c r="L5" s="1" t="s">
        <v>13</v>
      </c>
      <c r="M5" s="1" t="s">
        <v>14</v>
      </c>
      <c r="N5" s="2" t="s">
        <v>15</v>
      </c>
      <c r="O5" s="27"/>
      <c r="P5" s="28"/>
      <c r="Q5" s="1" t="s">
        <v>12</v>
      </c>
      <c r="R5" s="1" t="s">
        <v>13</v>
      </c>
      <c r="S5" s="1" t="s">
        <v>14</v>
      </c>
      <c r="T5" s="1" t="s">
        <v>15</v>
      </c>
      <c r="U5" s="1" t="s">
        <v>12</v>
      </c>
      <c r="V5" s="1" t="s">
        <v>13</v>
      </c>
      <c r="W5" s="1" t="s">
        <v>14</v>
      </c>
      <c r="X5" s="2" t="s">
        <v>15</v>
      </c>
      <c r="Y5" s="27"/>
      <c r="Z5" s="28"/>
      <c r="AA5" s="1" t="s">
        <v>12</v>
      </c>
      <c r="AB5" s="1" t="s">
        <v>13</v>
      </c>
      <c r="AC5" s="1" t="s">
        <v>14</v>
      </c>
      <c r="AD5" s="1" t="s">
        <v>15</v>
      </c>
      <c r="AE5" s="1" t="s">
        <v>12</v>
      </c>
      <c r="AF5" s="1" t="s">
        <v>13</v>
      </c>
      <c r="AG5" s="1" t="s">
        <v>14</v>
      </c>
      <c r="AH5" s="1" t="s">
        <v>15</v>
      </c>
      <c r="AI5" s="1" t="s">
        <v>12</v>
      </c>
      <c r="AJ5" s="1" t="s">
        <v>13</v>
      </c>
      <c r="AK5" s="1" t="s">
        <v>14</v>
      </c>
      <c r="AL5" s="2" t="s">
        <v>15</v>
      </c>
      <c r="AM5" s="27"/>
      <c r="AN5" s="28"/>
      <c r="AO5" s="1" t="s">
        <v>12</v>
      </c>
      <c r="AP5" s="1" t="s">
        <v>13</v>
      </c>
      <c r="AQ5" s="1" t="s">
        <v>14</v>
      </c>
      <c r="AR5" s="1" t="s">
        <v>15</v>
      </c>
      <c r="AS5" s="1" t="s">
        <v>12</v>
      </c>
      <c r="AT5" s="1" t="s">
        <v>13</v>
      </c>
      <c r="AU5" s="1" t="s">
        <v>14</v>
      </c>
      <c r="AV5" s="2" t="s">
        <v>15</v>
      </c>
    </row>
    <row r="6" spans="1:48" x14ac:dyDescent="0.3">
      <c r="A6" s="3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  <c r="L6" s="4" t="s">
        <v>35</v>
      </c>
      <c r="M6" s="4" t="s">
        <v>36</v>
      </c>
      <c r="N6" s="5" t="s">
        <v>37</v>
      </c>
      <c r="O6" s="3" t="s">
        <v>24</v>
      </c>
      <c r="P6" s="4" t="s">
        <v>25</v>
      </c>
      <c r="Q6" s="4" t="s">
        <v>38</v>
      </c>
      <c r="R6" s="4" t="s">
        <v>39</v>
      </c>
      <c r="S6" s="4" t="s">
        <v>40</v>
      </c>
      <c r="T6" s="4" t="s">
        <v>41</v>
      </c>
      <c r="U6" s="4" t="s">
        <v>42</v>
      </c>
      <c r="V6" s="4" t="s">
        <v>43</v>
      </c>
      <c r="W6" s="4" t="s">
        <v>44</v>
      </c>
      <c r="X6" s="5" t="s">
        <v>45</v>
      </c>
      <c r="Y6" s="3" t="s">
        <v>24</v>
      </c>
      <c r="Z6" s="4" t="s">
        <v>25</v>
      </c>
      <c r="AA6" s="4" t="s">
        <v>46</v>
      </c>
      <c r="AB6" s="4" t="s">
        <v>47</v>
      </c>
      <c r="AC6" s="4" t="s">
        <v>48</v>
      </c>
      <c r="AD6" s="4" t="s">
        <v>49</v>
      </c>
      <c r="AE6" s="4" t="s">
        <v>50</v>
      </c>
      <c r="AF6" s="4" t="s">
        <v>51</v>
      </c>
      <c r="AG6" s="4" t="s">
        <v>52</v>
      </c>
      <c r="AH6" s="4" t="s">
        <v>53</v>
      </c>
      <c r="AI6" s="4" t="s">
        <v>54</v>
      </c>
      <c r="AJ6" s="4" t="s">
        <v>55</v>
      </c>
      <c r="AK6" s="4" t="s">
        <v>56</v>
      </c>
      <c r="AL6" s="5" t="s">
        <v>57</v>
      </c>
      <c r="AM6" s="3" t="s">
        <v>24</v>
      </c>
      <c r="AN6" s="4" t="s">
        <v>25</v>
      </c>
      <c r="AO6" s="4" t="s">
        <v>58</v>
      </c>
      <c r="AP6" s="4" t="s">
        <v>59</v>
      </c>
      <c r="AQ6" s="4" t="s">
        <v>60</v>
      </c>
      <c r="AR6" s="4" t="s">
        <v>61</v>
      </c>
      <c r="AS6" s="4" t="s">
        <v>62</v>
      </c>
      <c r="AT6" s="4" t="s">
        <v>63</v>
      </c>
      <c r="AU6" s="4" t="s">
        <v>64</v>
      </c>
      <c r="AV6" s="5" t="s">
        <v>65</v>
      </c>
    </row>
    <row r="7" spans="1:48" x14ac:dyDescent="0.3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8"/>
      <c r="O7" s="6"/>
      <c r="P7" s="7"/>
      <c r="Q7" s="7"/>
      <c r="R7" s="7"/>
      <c r="S7" s="7"/>
      <c r="T7" s="7"/>
      <c r="U7" s="7"/>
      <c r="V7" s="7"/>
      <c r="W7" s="7"/>
      <c r="X7" s="8"/>
      <c r="Y7" s="6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8"/>
      <c r="AM7" s="6"/>
      <c r="AN7" s="7"/>
      <c r="AO7" s="7"/>
      <c r="AP7" s="7"/>
      <c r="AQ7" s="7"/>
      <c r="AR7" s="7"/>
      <c r="AS7" s="7"/>
      <c r="AT7" s="7"/>
      <c r="AU7" s="7"/>
      <c r="AV7" s="8"/>
    </row>
    <row r="8" spans="1:48" ht="28.5" customHeight="1" x14ac:dyDescent="0.3">
      <c r="A8" s="9" t="s">
        <v>66</v>
      </c>
      <c r="B8" s="10" t="s">
        <v>67</v>
      </c>
      <c r="C8" s="11">
        <v>0</v>
      </c>
      <c r="D8" s="11">
        <v>3</v>
      </c>
      <c r="E8" s="11">
        <v>0</v>
      </c>
      <c r="F8" s="11">
        <v>3</v>
      </c>
      <c r="G8" s="11">
        <v>9</v>
      </c>
      <c r="H8" s="11">
        <v>3</v>
      </c>
      <c r="I8" s="11">
        <v>0</v>
      </c>
      <c r="J8" s="11">
        <v>12</v>
      </c>
      <c r="K8" s="11">
        <v>42</v>
      </c>
      <c r="L8" s="11">
        <v>65</v>
      </c>
      <c r="M8" s="11">
        <v>0</v>
      </c>
      <c r="N8" s="12">
        <v>107</v>
      </c>
      <c r="O8" s="9" t="s">
        <v>66</v>
      </c>
      <c r="P8" s="10" t="s">
        <v>67</v>
      </c>
      <c r="Q8" s="11">
        <v>26</v>
      </c>
      <c r="R8" s="11">
        <v>94</v>
      </c>
      <c r="S8" s="11">
        <v>0</v>
      </c>
      <c r="T8" s="11">
        <v>120</v>
      </c>
      <c r="U8" s="11">
        <v>77</v>
      </c>
      <c r="V8" s="11">
        <v>165</v>
      </c>
      <c r="W8" s="11">
        <v>0</v>
      </c>
      <c r="X8" s="12">
        <v>242</v>
      </c>
      <c r="Y8" s="9" t="s">
        <v>66</v>
      </c>
      <c r="Z8" s="10" t="s">
        <v>67</v>
      </c>
      <c r="AA8" s="11">
        <v>11</v>
      </c>
      <c r="AB8" s="11">
        <v>6</v>
      </c>
      <c r="AC8" s="11">
        <v>0</v>
      </c>
      <c r="AD8" s="11">
        <v>17</v>
      </c>
      <c r="AE8" s="11">
        <v>8</v>
      </c>
      <c r="AF8" s="11">
        <v>0</v>
      </c>
      <c r="AG8" s="11">
        <v>0</v>
      </c>
      <c r="AH8" s="11">
        <v>8</v>
      </c>
      <c r="AI8" s="11">
        <v>0</v>
      </c>
      <c r="AJ8" s="11">
        <v>0</v>
      </c>
      <c r="AK8" s="11">
        <v>0</v>
      </c>
      <c r="AL8" s="12">
        <v>0</v>
      </c>
      <c r="AM8" s="9" t="s">
        <v>66</v>
      </c>
      <c r="AN8" s="10" t="s">
        <v>67</v>
      </c>
      <c r="AO8" s="11">
        <v>19</v>
      </c>
      <c r="AP8" s="11">
        <v>6</v>
      </c>
      <c r="AQ8" s="11">
        <v>0</v>
      </c>
      <c r="AR8" s="11">
        <v>25</v>
      </c>
      <c r="AS8" s="11">
        <v>96</v>
      </c>
      <c r="AT8" s="11">
        <v>171</v>
      </c>
      <c r="AU8" s="11">
        <v>0</v>
      </c>
      <c r="AV8" s="12">
        <v>267</v>
      </c>
    </row>
    <row r="9" spans="1:48" ht="28.5" customHeight="1" x14ac:dyDescent="0.3">
      <c r="A9" s="13" t="s">
        <v>68</v>
      </c>
      <c r="B9" s="14" t="s">
        <v>69</v>
      </c>
      <c r="C9" s="15">
        <v>10</v>
      </c>
      <c r="D9" s="15">
        <v>7</v>
      </c>
      <c r="E9" s="15">
        <v>0</v>
      </c>
      <c r="F9" s="15">
        <v>17</v>
      </c>
      <c r="G9" s="15">
        <v>30</v>
      </c>
      <c r="H9" s="15">
        <v>13</v>
      </c>
      <c r="I9" s="15">
        <v>0</v>
      </c>
      <c r="J9" s="15">
        <v>43</v>
      </c>
      <c r="K9" s="15">
        <v>162</v>
      </c>
      <c r="L9" s="15">
        <v>235</v>
      </c>
      <c r="M9" s="15">
        <v>0</v>
      </c>
      <c r="N9" s="16">
        <v>397</v>
      </c>
      <c r="O9" s="13" t="s">
        <v>68</v>
      </c>
      <c r="P9" s="14" t="s">
        <v>69</v>
      </c>
      <c r="Q9" s="15">
        <v>96</v>
      </c>
      <c r="R9" s="15">
        <v>369</v>
      </c>
      <c r="S9" s="15">
        <v>0</v>
      </c>
      <c r="T9" s="15">
        <v>465</v>
      </c>
      <c r="U9" s="15">
        <v>298</v>
      </c>
      <c r="V9" s="15">
        <v>624</v>
      </c>
      <c r="W9" s="15">
        <v>0</v>
      </c>
      <c r="X9" s="16">
        <v>922</v>
      </c>
      <c r="Y9" s="13" t="s">
        <v>68</v>
      </c>
      <c r="Z9" s="14" t="s">
        <v>69</v>
      </c>
      <c r="AA9" s="15">
        <v>24</v>
      </c>
      <c r="AB9" s="15">
        <v>9</v>
      </c>
      <c r="AC9" s="15">
        <v>0</v>
      </c>
      <c r="AD9" s="15">
        <v>33</v>
      </c>
      <c r="AE9" s="15">
        <v>30</v>
      </c>
      <c r="AF9" s="15">
        <v>6</v>
      </c>
      <c r="AG9" s="15">
        <v>0</v>
      </c>
      <c r="AH9" s="15">
        <v>36</v>
      </c>
      <c r="AI9" s="15">
        <v>1</v>
      </c>
      <c r="AJ9" s="15">
        <v>0</v>
      </c>
      <c r="AK9" s="15">
        <v>0</v>
      </c>
      <c r="AL9" s="16">
        <v>1</v>
      </c>
      <c r="AM9" s="13" t="s">
        <v>68</v>
      </c>
      <c r="AN9" s="14" t="s">
        <v>69</v>
      </c>
      <c r="AO9" s="15">
        <v>55</v>
      </c>
      <c r="AP9" s="15">
        <v>15</v>
      </c>
      <c r="AQ9" s="15">
        <v>0</v>
      </c>
      <c r="AR9" s="15">
        <v>70</v>
      </c>
      <c r="AS9" s="15">
        <v>353</v>
      </c>
      <c r="AT9" s="15">
        <v>639</v>
      </c>
      <c r="AU9" s="15">
        <v>0</v>
      </c>
      <c r="AV9" s="16">
        <v>992</v>
      </c>
    </row>
    <row r="10" spans="1:48" ht="28.5" customHeight="1" x14ac:dyDescent="0.3">
      <c r="A10" s="9" t="s">
        <v>70</v>
      </c>
      <c r="B10" s="10" t="s">
        <v>71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1</v>
      </c>
      <c r="M10" s="11">
        <v>0</v>
      </c>
      <c r="N10" s="12">
        <v>1</v>
      </c>
      <c r="O10" s="9" t="s">
        <v>70</v>
      </c>
      <c r="P10" s="10" t="s">
        <v>71</v>
      </c>
      <c r="Q10" s="11">
        <v>0</v>
      </c>
      <c r="R10" s="11">
        <v>4</v>
      </c>
      <c r="S10" s="11">
        <v>0</v>
      </c>
      <c r="T10" s="11">
        <v>4</v>
      </c>
      <c r="U10" s="11">
        <v>0</v>
      </c>
      <c r="V10" s="11">
        <v>5</v>
      </c>
      <c r="W10" s="11">
        <v>0</v>
      </c>
      <c r="X10" s="12">
        <v>5</v>
      </c>
      <c r="Y10" s="9" t="s">
        <v>70</v>
      </c>
      <c r="Z10" s="10" t="s">
        <v>71</v>
      </c>
      <c r="AA10" s="11">
        <v>14</v>
      </c>
      <c r="AB10" s="11">
        <v>2</v>
      </c>
      <c r="AC10" s="11">
        <v>0</v>
      </c>
      <c r="AD10" s="11">
        <v>16</v>
      </c>
      <c r="AE10" s="11">
        <v>10</v>
      </c>
      <c r="AF10" s="11">
        <v>0</v>
      </c>
      <c r="AG10" s="11">
        <v>0</v>
      </c>
      <c r="AH10" s="11">
        <v>10</v>
      </c>
      <c r="AI10" s="11">
        <v>2</v>
      </c>
      <c r="AJ10" s="11">
        <v>0</v>
      </c>
      <c r="AK10" s="11">
        <v>0</v>
      </c>
      <c r="AL10" s="12">
        <v>2</v>
      </c>
      <c r="AM10" s="9" t="s">
        <v>70</v>
      </c>
      <c r="AN10" s="10" t="s">
        <v>71</v>
      </c>
      <c r="AO10" s="11">
        <v>26</v>
      </c>
      <c r="AP10" s="11">
        <v>2</v>
      </c>
      <c r="AQ10" s="11">
        <v>0</v>
      </c>
      <c r="AR10" s="11">
        <v>28</v>
      </c>
      <c r="AS10" s="11">
        <v>26</v>
      </c>
      <c r="AT10" s="11">
        <v>7</v>
      </c>
      <c r="AU10" s="11">
        <v>0</v>
      </c>
      <c r="AV10" s="12">
        <v>33</v>
      </c>
    </row>
    <row r="11" spans="1:48" ht="28.5" customHeight="1" x14ac:dyDescent="0.3">
      <c r="A11" s="13" t="s">
        <v>72</v>
      </c>
      <c r="B11" s="14" t="s">
        <v>73</v>
      </c>
      <c r="C11" s="15">
        <v>0</v>
      </c>
      <c r="D11" s="15">
        <v>0</v>
      </c>
      <c r="E11" s="15">
        <v>0</v>
      </c>
      <c r="F11" s="15">
        <v>0</v>
      </c>
      <c r="G11" s="15">
        <v>1</v>
      </c>
      <c r="H11" s="15">
        <v>3</v>
      </c>
      <c r="I11" s="15">
        <v>0</v>
      </c>
      <c r="J11" s="15">
        <v>4</v>
      </c>
      <c r="K11" s="15">
        <v>0</v>
      </c>
      <c r="L11" s="15">
        <v>0</v>
      </c>
      <c r="M11" s="15">
        <v>0</v>
      </c>
      <c r="N11" s="16">
        <v>0</v>
      </c>
      <c r="O11" s="13" t="s">
        <v>72</v>
      </c>
      <c r="P11" s="14" t="s">
        <v>73</v>
      </c>
      <c r="Q11" s="15">
        <v>0</v>
      </c>
      <c r="R11" s="15">
        <v>0</v>
      </c>
      <c r="S11" s="15">
        <v>0</v>
      </c>
      <c r="T11" s="15">
        <v>0</v>
      </c>
      <c r="U11" s="15">
        <v>1</v>
      </c>
      <c r="V11" s="15">
        <v>3</v>
      </c>
      <c r="W11" s="15">
        <v>0</v>
      </c>
      <c r="X11" s="16">
        <v>4</v>
      </c>
      <c r="Y11" s="13" t="s">
        <v>72</v>
      </c>
      <c r="Z11" s="14" t="s">
        <v>73</v>
      </c>
      <c r="AA11" s="15">
        <v>1</v>
      </c>
      <c r="AB11" s="15">
        <v>1</v>
      </c>
      <c r="AC11" s="15">
        <v>0</v>
      </c>
      <c r="AD11" s="15">
        <v>2</v>
      </c>
      <c r="AE11" s="15">
        <v>4</v>
      </c>
      <c r="AF11" s="15">
        <v>0</v>
      </c>
      <c r="AG11" s="15">
        <v>0</v>
      </c>
      <c r="AH11" s="15">
        <v>4</v>
      </c>
      <c r="AI11" s="15">
        <v>1</v>
      </c>
      <c r="AJ11" s="15">
        <v>0</v>
      </c>
      <c r="AK11" s="15">
        <v>0</v>
      </c>
      <c r="AL11" s="16">
        <v>1</v>
      </c>
      <c r="AM11" s="13" t="s">
        <v>72</v>
      </c>
      <c r="AN11" s="14" t="s">
        <v>73</v>
      </c>
      <c r="AO11" s="15">
        <v>6</v>
      </c>
      <c r="AP11" s="15">
        <v>1</v>
      </c>
      <c r="AQ11" s="15">
        <v>0</v>
      </c>
      <c r="AR11" s="15">
        <v>7</v>
      </c>
      <c r="AS11" s="15">
        <v>7</v>
      </c>
      <c r="AT11" s="15">
        <v>4</v>
      </c>
      <c r="AU11" s="15">
        <v>0</v>
      </c>
      <c r="AV11" s="16">
        <v>11</v>
      </c>
    </row>
    <row r="12" spans="1:48" ht="28.5" customHeight="1" x14ac:dyDescent="0.3">
      <c r="A12" s="9" t="s">
        <v>74</v>
      </c>
      <c r="B12" s="10" t="s">
        <v>75</v>
      </c>
      <c r="C12" s="11">
        <v>66</v>
      </c>
      <c r="D12" s="11">
        <v>45</v>
      </c>
      <c r="E12" s="11">
        <v>0</v>
      </c>
      <c r="F12" s="11">
        <v>111</v>
      </c>
      <c r="G12" s="11">
        <v>315</v>
      </c>
      <c r="H12" s="11">
        <v>260</v>
      </c>
      <c r="I12" s="11">
        <v>0</v>
      </c>
      <c r="J12" s="11">
        <v>575</v>
      </c>
      <c r="K12" s="11">
        <v>771</v>
      </c>
      <c r="L12" s="11">
        <v>1888</v>
      </c>
      <c r="M12" s="11">
        <v>0</v>
      </c>
      <c r="N12" s="12">
        <v>2659</v>
      </c>
      <c r="O12" s="9" t="s">
        <v>74</v>
      </c>
      <c r="P12" s="10" t="s">
        <v>75</v>
      </c>
      <c r="Q12" s="11">
        <v>569</v>
      </c>
      <c r="R12" s="11">
        <v>1676</v>
      </c>
      <c r="S12" s="11">
        <v>0</v>
      </c>
      <c r="T12" s="11">
        <v>2245</v>
      </c>
      <c r="U12" s="11">
        <v>1721</v>
      </c>
      <c r="V12" s="11">
        <v>3869</v>
      </c>
      <c r="W12" s="11">
        <v>0</v>
      </c>
      <c r="X12" s="12">
        <v>5590</v>
      </c>
      <c r="Y12" s="9" t="s">
        <v>74</v>
      </c>
      <c r="Z12" s="10" t="s">
        <v>75</v>
      </c>
      <c r="AA12" s="11">
        <v>79</v>
      </c>
      <c r="AB12" s="11">
        <v>118</v>
      </c>
      <c r="AC12" s="11">
        <v>0</v>
      </c>
      <c r="AD12" s="11">
        <v>197</v>
      </c>
      <c r="AE12" s="11">
        <v>43</v>
      </c>
      <c r="AF12" s="11">
        <v>28</v>
      </c>
      <c r="AG12" s="11">
        <v>0</v>
      </c>
      <c r="AH12" s="11">
        <v>71</v>
      </c>
      <c r="AI12" s="11">
        <v>2</v>
      </c>
      <c r="AJ12" s="11">
        <v>0</v>
      </c>
      <c r="AK12" s="11">
        <v>0</v>
      </c>
      <c r="AL12" s="12">
        <v>2</v>
      </c>
      <c r="AM12" s="9" t="s">
        <v>74</v>
      </c>
      <c r="AN12" s="10" t="s">
        <v>75</v>
      </c>
      <c r="AO12" s="11">
        <v>124</v>
      </c>
      <c r="AP12" s="11">
        <v>146</v>
      </c>
      <c r="AQ12" s="11">
        <v>0</v>
      </c>
      <c r="AR12" s="11">
        <v>270</v>
      </c>
      <c r="AS12" s="11">
        <v>1845</v>
      </c>
      <c r="AT12" s="11">
        <v>4015</v>
      </c>
      <c r="AU12" s="11">
        <v>0</v>
      </c>
      <c r="AV12" s="12">
        <v>5860</v>
      </c>
    </row>
    <row r="13" spans="1:48" ht="28.5" customHeight="1" x14ac:dyDescent="0.3">
      <c r="A13" s="13" t="s">
        <v>76</v>
      </c>
      <c r="B13" s="14" t="s">
        <v>77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3</v>
      </c>
      <c r="I13" s="15">
        <v>0</v>
      </c>
      <c r="J13" s="15">
        <v>3</v>
      </c>
      <c r="K13" s="15">
        <v>0</v>
      </c>
      <c r="L13" s="15">
        <v>18</v>
      </c>
      <c r="M13" s="15">
        <v>0</v>
      </c>
      <c r="N13" s="16">
        <v>18</v>
      </c>
      <c r="O13" s="13" t="s">
        <v>76</v>
      </c>
      <c r="P13" s="14" t="s">
        <v>77</v>
      </c>
      <c r="Q13" s="15">
        <v>0</v>
      </c>
      <c r="R13" s="15">
        <v>29</v>
      </c>
      <c r="S13" s="15">
        <v>0</v>
      </c>
      <c r="T13" s="15">
        <v>29</v>
      </c>
      <c r="U13" s="15">
        <v>0</v>
      </c>
      <c r="V13" s="15">
        <v>50</v>
      </c>
      <c r="W13" s="15">
        <v>0</v>
      </c>
      <c r="X13" s="16">
        <v>50</v>
      </c>
      <c r="Y13" s="13" t="s">
        <v>76</v>
      </c>
      <c r="Z13" s="14" t="s">
        <v>77</v>
      </c>
      <c r="AA13" s="15">
        <v>4</v>
      </c>
      <c r="AB13" s="15">
        <v>1</v>
      </c>
      <c r="AC13" s="15">
        <v>0</v>
      </c>
      <c r="AD13" s="15">
        <v>5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6">
        <v>0</v>
      </c>
      <c r="AM13" s="13" t="s">
        <v>76</v>
      </c>
      <c r="AN13" s="14" t="s">
        <v>77</v>
      </c>
      <c r="AO13" s="15">
        <v>4</v>
      </c>
      <c r="AP13" s="15">
        <v>1</v>
      </c>
      <c r="AQ13" s="15">
        <v>0</v>
      </c>
      <c r="AR13" s="15">
        <v>5</v>
      </c>
      <c r="AS13" s="15">
        <v>4</v>
      </c>
      <c r="AT13" s="15">
        <v>51</v>
      </c>
      <c r="AU13" s="15">
        <v>0</v>
      </c>
      <c r="AV13" s="16">
        <v>55</v>
      </c>
    </row>
    <row r="14" spans="1:48" ht="28.5" customHeight="1" x14ac:dyDescent="0.3">
      <c r="A14" s="9" t="s">
        <v>78</v>
      </c>
      <c r="B14" s="10" t="s">
        <v>79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130</v>
      </c>
      <c r="M14" s="11">
        <v>0</v>
      </c>
      <c r="N14" s="12">
        <v>130</v>
      </c>
      <c r="O14" s="9" t="s">
        <v>78</v>
      </c>
      <c r="P14" s="10" t="s">
        <v>79</v>
      </c>
      <c r="Q14" s="11">
        <v>5</v>
      </c>
      <c r="R14" s="11">
        <v>5</v>
      </c>
      <c r="S14" s="11">
        <v>0</v>
      </c>
      <c r="T14" s="11">
        <v>10</v>
      </c>
      <c r="U14" s="11">
        <v>5</v>
      </c>
      <c r="V14" s="11">
        <v>135</v>
      </c>
      <c r="W14" s="11">
        <v>0</v>
      </c>
      <c r="X14" s="12">
        <v>140</v>
      </c>
      <c r="Y14" s="9" t="s">
        <v>78</v>
      </c>
      <c r="Z14" s="10" t="s">
        <v>79</v>
      </c>
      <c r="AA14" s="11">
        <v>19</v>
      </c>
      <c r="AB14" s="11">
        <v>152</v>
      </c>
      <c r="AC14" s="11">
        <v>0</v>
      </c>
      <c r="AD14" s="11">
        <v>171</v>
      </c>
      <c r="AE14" s="11">
        <v>103</v>
      </c>
      <c r="AF14" s="11">
        <v>212</v>
      </c>
      <c r="AG14" s="11">
        <v>0</v>
      </c>
      <c r="AH14" s="11">
        <v>315</v>
      </c>
      <c r="AI14" s="11">
        <v>0</v>
      </c>
      <c r="AJ14" s="11">
        <v>0</v>
      </c>
      <c r="AK14" s="11">
        <v>0</v>
      </c>
      <c r="AL14" s="12">
        <v>0</v>
      </c>
      <c r="AM14" s="9" t="s">
        <v>78</v>
      </c>
      <c r="AN14" s="10" t="s">
        <v>79</v>
      </c>
      <c r="AO14" s="11">
        <v>122</v>
      </c>
      <c r="AP14" s="11">
        <v>364</v>
      </c>
      <c r="AQ14" s="11">
        <v>0</v>
      </c>
      <c r="AR14" s="11">
        <v>486</v>
      </c>
      <c r="AS14" s="11">
        <v>127</v>
      </c>
      <c r="AT14" s="11">
        <v>499</v>
      </c>
      <c r="AU14" s="11">
        <v>0</v>
      </c>
      <c r="AV14" s="12">
        <v>626</v>
      </c>
    </row>
    <row r="15" spans="1:48" ht="28.5" customHeight="1" x14ac:dyDescent="0.3">
      <c r="A15" s="13" t="s">
        <v>80</v>
      </c>
      <c r="B15" s="14" t="s">
        <v>81</v>
      </c>
      <c r="C15" s="15">
        <v>3</v>
      </c>
      <c r="D15" s="15">
        <v>1</v>
      </c>
      <c r="E15" s="15">
        <v>0</v>
      </c>
      <c r="F15" s="15">
        <v>4</v>
      </c>
      <c r="G15" s="15">
        <v>18</v>
      </c>
      <c r="H15" s="15">
        <v>18</v>
      </c>
      <c r="I15" s="15">
        <v>0</v>
      </c>
      <c r="J15" s="15">
        <v>36</v>
      </c>
      <c r="K15" s="15">
        <v>79</v>
      </c>
      <c r="L15" s="15">
        <v>189</v>
      </c>
      <c r="M15" s="15">
        <v>0</v>
      </c>
      <c r="N15" s="16">
        <v>268</v>
      </c>
      <c r="O15" s="13" t="s">
        <v>80</v>
      </c>
      <c r="P15" s="14" t="s">
        <v>81</v>
      </c>
      <c r="Q15" s="15">
        <v>65</v>
      </c>
      <c r="R15" s="15">
        <v>298</v>
      </c>
      <c r="S15" s="15">
        <v>0</v>
      </c>
      <c r="T15" s="15">
        <v>363</v>
      </c>
      <c r="U15" s="15">
        <v>165</v>
      </c>
      <c r="V15" s="15">
        <v>506</v>
      </c>
      <c r="W15" s="15">
        <v>0</v>
      </c>
      <c r="X15" s="16">
        <v>671</v>
      </c>
      <c r="Y15" s="13" t="s">
        <v>80</v>
      </c>
      <c r="Z15" s="14" t="s">
        <v>81</v>
      </c>
      <c r="AA15" s="15">
        <v>7</v>
      </c>
      <c r="AB15" s="15">
        <v>6</v>
      </c>
      <c r="AC15" s="15">
        <v>0</v>
      </c>
      <c r="AD15" s="15">
        <v>13</v>
      </c>
      <c r="AE15" s="15">
        <v>3</v>
      </c>
      <c r="AF15" s="15">
        <v>1</v>
      </c>
      <c r="AG15" s="15">
        <v>0</v>
      </c>
      <c r="AH15" s="15">
        <v>4</v>
      </c>
      <c r="AI15" s="15">
        <v>0</v>
      </c>
      <c r="AJ15" s="15">
        <v>0</v>
      </c>
      <c r="AK15" s="15">
        <v>0</v>
      </c>
      <c r="AL15" s="16">
        <v>0</v>
      </c>
      <c r="AM15" s="13" t="s">
        <v>80</v>
      </c>
      <c r="AN15" s="14" t="s">
        <v>81</v>
      </c>
      <c r="AO15" s="15">
        <v>10</v>
      </c>
      <c r="AP15" s="15">
        <v>7</v>
      </c>
      <c r="AQ15" s="15">
        <v>0</v>
      </c>
      <c r="AR15" s="15">
        <v>17</v>
      </c>
      <c r="AS15" s="15">
        <v>175</v>
      </c>
      <c r="AT15" s="15">
        <v>513</v>
      </c>
      <c r="AU15" s="15">
        <v>0</v>
      </c>
      <c r="AV15" s="16">
        <v>688</v>
      </c>
    </row>
    <row r="16" spans="1:48" ht="28.5" customHeight="1" x14ac:dyDescent="0.3">
      <c r="A16" s="9" t="s">
        <v>82</v>
      </c>
      <c r="B16" s="10" t="s">
        <v>83</v>
      </c>
      <c r="C16" s="11">
        <v>6</v>
      </c>
      <c r="D16" s="11">
        <v>5</v>
      </c>
      <c r="E16" s="11">
        <v>0</v>
      </c>
      <c r="F16" s="11">
        <v>11</v>
      </c>
      <c r="G16" s="11">
        <v>19</v>
      </c>
      <c r="H16" s="11">
        <v>14</v>
      </c>
      <c r="I16" s="11">
        <v>0</v>
      </c>
      <c r="J16" s="11">
        <v>33</v>
      </c>
      <c r="K16" s="11">
        <v>91</v>
      </c>
      <c r="L16" s="11">
        <v>167</v>
      </c>
      <c r="M16" s="11">
        <v>0</v>
      </c>
      <c r="N16" s="12">
        <v>258</v>
      </c>
      <c r="O16" s="9" t="s">
        <v>82</v>
      </c>
      <c r="P16" s="10" t="s">
        <v>83</v>
      </c>
      <c r="Q16" s="11">
        <v>72</v>
      </c>
      <c r="R16" s="11">
        <v>201</v>
      </c>
      <c r="S16" s="11">
        <v>0</v>
      </c>
      <c r="T16" s="11">
        <v>273</v>
      </c>
      <c r="U16" s="11">
        <v>188</v>
      </c>
      <c r="V16" s="11">
        <v>387</v>
      </c>
      <c r="W16" s="11">
        <v>0</v>
      </c>
      <c r="X16" s="12">
        <v>575</v>
      </c>
      <c r="Y16" s="9" t="s">
        <v>82</v>
      </c>
      <c r="Z16" s="10" t="s">
        <v>83</v>
      </c>
      <c r="AA16" s="11">
        <v>56</v>
      </c>
      <c r="AB16" s="11">
        <v>78</v>
      </c>
      <c r="AC16" s="11">
        <v>0</v>
      </c>
      <c r="AD16" s="11">
        <v>134</v>
      </c>
      <c r="AE16" s="11">
        <v>61</v>
      </c>
      <c r="AF16" s="11">
        <v>23</v>
      </c>
      <c r="AG16" s="11">
        <v>0</v>
      </c>
      <c r="AH16" s="11">
        <v>84</v>
      </c>
      <c r="AI16" s="11">
        <v>0</v>
      </c>
      <c r="AJ16" s="11">
        <v>5</v>
      </c>
      <c r="AK16" s="11">
        <v>0</v>
      </c>
      <c r="AL16" s="12">
        <v>5</v>
      </c>
      <c r="AM16" s="9" t="s">
        <v>82</v>
      </c>
      <c r="AN16" s="10" t="s">
        <v>83</v>
      </c>
      <c r="AO16" s="11">
        <v>117</v>
      </c>
      <c r="AP16" s="11">
        <v>106</v>
      </c>
      <c r="AQ16" s="11">
        <v>0</v>
      </c>
      <c r="AR16" s="11">
        <v>223</v>
      </c>
      <c r="AS16" s="11">
        <v>305</v>
      </c>
      <c r="AT16" s="11">
        <v>493</v>
      </c>
      <c r="AU16" s="11">
        <v>0</v>
      </c>
      <c r="AV16" s="12">
        <v>798</v>
      </c>
    </row>
    <row r="17" spans="1:48" ht="28.5" customHeight="1" x14ac:dyDescent="0.3">
      <c r="A17" s="13" t="s">
        <v>84</v>
      </c>
      <c r="B17" s="14" t="s">
        <v>85</v>
      </c>
      <c r="C17" s="15">
        <v>0</v>
      </c>
      <c r="D17" s="15">
        <v>0</v>
      </c>
      <c r="E17" s="15">
        <v>0</v>
      </c>
      <c r="F17" s="15">
        <v>0</v>
      </c>
      <c r="G17" s="15">
        <v>14</v>
      </c>
      <c r="H17" s="15">
        <v>12</v>
      </c>
      <c r="I17" s="15">
        <v>0</v>
      </c>
      <c r="J17" s="15">
        <v>26</v>
      </c>
      <c r="K17" s="15">
        <v>33</v>
      </c>
      <c r="L17" s="15">
        <v>29</v>
      </c>
      <c r="M17" s="15">
        <v>0</v>
      </c>
      <c r="N17" s="16">
        <v>62</v>
      </c>
      <c r="O17" s="13" t="s">
        <v>84</v>
      </c>
      <c r="P17" s="14" t="s">
        <v>85</v>
      </c>
      <c r="Q17" s="15">
        <v>38</v>
      </c>
      <c r="R17" s="15">
        <v>32</v>
      </c>
      <c r="S17" s="15">
        <v>0</v>
      </c>
      <c r="T17" s="15">
        <v>70</v>
      </c>
      <c r="U17" s="15">
        <v>85</v>
      </c>
      <c r="V17" s="15">
        <v>73</v>
      </c>
      <c r="W17" s="15">
        <v>0</v>
      </c>
      <c r="X17" s="16">
        <v>158</v>
      </c>
      <c r="Y17" s="13" t="s">
        <v>84</v>
      </c>
      <c r="Z17" s="14" t="s">
        <v>85</v>
      </c>
      <c r="AA17" s="15">
        <v>5</v>
      </c>
      <c r="AB17" s="15">
        <v>74</v>
      </c>
      <c r="AC17" s="15">
        <v>0</v>
      </c>
      <c r="AD17" s="15">
        <v>79</v>
      </c>
      <c r="AE17" s="15">
        <v>9</v>
      </c>
      <c r="AF17" s="15">
        <v>91</v>
      </c>
      <c r="AG17" s="15">
        <v>0</v>
      </c>
      <c r="AH17" s="15">
        <v>100</v>
      </c>
      <c r="AI17" s="15">
        <v>1</v>
      </c>
      <c r="AJ17" s="15">
        <v>3</v>
      </c>
      <c r="AK17" s="15">
        <v>0</v>
      </c>
      <c r="AL17" s="16">
        <v>4</v>
      </c>
      <c r="AM17" s="13" t="s">
        <v>84</v>
      </c>
      <c r="AN17" s="14" t="s">
        <v>85</v>
      </c>
      <c r="AO17" s="15">
        <v>15</v>
      </c>
      <c r="AP17" s="15">
        <v>168</v>
      </c>
      <c r="AQ17" s="15">
        <v>0</v>
      </c>
      <c r="AR17" s="15">
        <v>183</v>
      </c>
      <c r="AS17" s="15">
        <v>100</v>
      </c>
      <c r="AT17" s="15">
        <v>241</v>
      </c>
      <c r="AU17" s="15">
        <v>0</v>
      </c>
      <c r="AV17" s="16">
        <v>341</v>
      </c>
    </row>
    <row r="18" spans="1:48" ht="28.5" customHeight="1" x14ac:dyDescent="0.3">
      <c r="A18" s="9" t="s">
        <v>86</v>
      </c>
      <c r="B18" s="10" t="s">
        <v>87</v>
      </c>
      <c r="C18" s="11">
        <v>0</v>
      </c>
      <c r="D18" s="11">
        <v>0</v>
      </c>
      <c r="E18" s="11">
        <v>0</v>
      </c>
      <c r="F18" s="11">
        <v>0</v>
      </c>
      <c r="G18" s="11">
        <v>1</v>
      </c>
      <c r="H18" s="11">
        <v>0</v>
      </c>
      <c r="I18" s="11">
        <v>0</v>
      </c>
      <c r="J18" s="11">
        <v>1</v>
      </c>
      <c r="K18" s="11">
        <v>1</v>
      </c>
      <c r="L18" s="11">
        <v>4</v>
      </c>
      <c r="M18" s="11">
        <v>0</v>
      </c>
      <c r="N18" s="12">
        <v>5</v>
      </c>
      <c r="O18" s="9" t="s">
        <v>86</v>
      </c>
      <c r="P18" s="10" t="s">
        <v>87</v>
      </c>
      <c r="Q18" s="11">
        <v>1</v>
      </c>
      <c r="R18" s="11">
        <v>4</v>
      </c>
      <c r="S18" s="11">
        <v>0</v>
      </c>
      <c r="T18" s="11">
        <v>5</v>
      </c>
      <c r="U18" s="11">
        <v>3</v>
      </c>
      <c r="V18" s="11">
        <v>8</v>
      </c>
      <c r="W18" s="11">
        <v>0</v>
      </c>
      <c r="X18" s="12">
        <v>11</v>
      </c>
      <c r="Y18" s="9" t="s">
        <v>86</v>
      </c>
      <c r="Z18" s="10" t="s">
        <v>87</v>
      </c>
      <c r="AA18" s="11">
        <v>5</v>
      </c>
      <c r="AB18" s="11">
        <v>1</v>
      </c>
      <c r="AC18" s="11">
        <v>0</v>
      </c>
      <c r="AD18" s="11">
        <v>6</v>
      </c>
      <c r="AE18" s="11">
        <v>2</v>
      </c>
      <c r="AF18" s="11">
        <v>0</v>
      </c>
      <c r="AG18" s="11">
        <v>0</v>
      </c>
      <c r="AH18" s="11">
        <v>2</v>
      </c>
      <c r="AI18" s="11">
        <v>0</v>
      </c>
      <c r="AJ18" s="11">
        <v>0</v>
      </c>
      <c r="AK18" s="11">
        <v>0</v>
      </c>
      <c r="AL18" s="12">
        <v>0</v>
      </c>
      <c r="AM18" s="9" t="s">
        <v>86</v>
      </c>
      <c r="AN18" s="10" t="s">
        <v>87</v>
      </c>
      <c r="AO18" s="11">
        <v>7</v>
      </c>
      <c r="AP18" s="11">
        <v>1</v>
      </c>
      <c r="AQ18" s="11">
        <v>0</v>
      </c>
      <c r="AR18" s="11">
        <v>8</v>
      </c>
      <c r="AS18" s="11">
        <v>10</v>
      </c>
      <c r="AT18" s="11">
        <v>9</v>
      </c>
      <c r="AU18" s="11">
        <v>0</v>
      </c>
      <c r="AV18" s="12">
        <v>19</v>
      </c>
    </row>
    <row r="19" spans="1:48" ht="28.5" customHeight="1" x14ac:dyDescent="0.3">
      <c r="A19" s="13" t="s">
        <v>88</v>
      </c>
      <c r="B19" s="14" t="s">
        <v>89</v>
      </c>
      <c r="C19" s="15">
        <v>12</v>
      </c>
      <c r="D19" s="15">
        <v>6</v>
      </c>
      <c r="E19" s="15">
        <v>0</v>
      </c>
      <c r="F19" s="15">
        <v>18</v>
      </c>
      <c r="G19" s="15">
        <v>25</v>
      </c>
      <c r="H19" s="15">
        <v>121</v>
      </c>
      <c r="I19" s="15">
        <v>0</v>
      </c>
      <c r="J19" s="15">
        <v>146</v>
      </c>
      <c r="K19" s="15">
        <v>78</v>
      </c>
      <c r="L19" s="15">
        <v>110</v>
      </c>
      <c r="M19" s="15">
        <v>0</v>
      </c>
      <c r="N19" s="16">
        <v>188</v>
      </c>
      <c r="O19" s="13" t="s">
        <v>88</v>
      </c>
      <c r="P19" s="14" t="s">
        <v>89</v>
      </c>
      <c r="Q19" s="15">
        <v>0</v>
      </c>
      <c r="R19" s="15">
        <v>44</v>
      </c>
      <c r="S19" s="15">
        <v>0</v>
      </c>
      <c r="T19" s="15">
        <v>44</v>
      </c>
      <c r="U19" s="15">
        <v>115</v>
      </c>
      <c r="V19" s="15">
        <v>281</v>
      </c>
      <c r="W19" s="15">
        <v>0</v>
      </c>
      <c r="X19" s="16">
        <v>396</v>
      </c>
      <c r="Y19" s="13" t="s">
        <v>88</v>
      </c>
      <c r="Z19" s="14" t="s">
        <v>89</v>
      </c>
      <c r="AA19" s="15">
        <v>15</v>
      </c>
      <c r="AB19" s="15">
        <v>13</v>
      </c>
      <c r="AC19" s="15">
        <v>0</v>
      </c>
      <c r="AD19" s="15">
        <v>28</v>
      </c>
      <c r="AE19" s="15">
        <v>15</v>
      </c>
      <c r="AF19" s="15">
        <v>6</v>
      </c>
      <c r="AG19" s="15">
        <v>0</v>
      </c>
      <c r="AH19" s="15">
        <v>21</v>
      </c>
      <c r="AI19" s="15">
        <v>3</v>
      </c>
      <c r="AJ19" s="15">
        <v>4</v>
      </c>
      <c r="AK19" s="15">
        <v>0</v>
      </c>
      <c r="AL19" s="16">
        <v>7</v>
      </c>
      <c r="AM19" s="13" t="s">
        <v>88</v>
      </c>
      <c r="AN19" s="14" t="s">
        <v>89</v>
      </c>
      <c r="AO19" s="15">
        <v>33</v>
      </c>
      <c r="AP19" s="15">
        <v>23</v>
      </c>
      <c r="AQ19" s="15">
        <v>0</v>
      </c>
      <c r="AR19" s="15">
        <v>56</v>
      </c>
      <c r="AS19" s="15">
        <v>148</v>
      </c>
      <c r="AT19" s="15">
        <v>304</v>
      </c>
      <c r="AU19" s="15">
        <v>0</v>
      </c>
      <c r="AV19" s="16">
        <v>452</v>
      </c>
    </row>
    <row r="20" spans="1:48" ht="28.5" customHeight="1" x14ac:dyDescent="0.3">
      <c r="A20" s="9" t="s">
        <v>90</v>
      </c>
      <c r="B20" s="10" t="s">
        <v>91</v>
      </c>
      <c r="C20" s="11">
        <v>1</v>
      </c>
      <c r="D20" s="11">
        <v>0</v>
      </c>
      <c r="E20" s="11">
        <v>0</v>
      </c>
      <c r="F20" s="11">
        <v>1</v>
      </c>
      <c r="G20" s="11">
        <v>1</v>
      </c>
      <c r="H20" s="11">
        <v>1</v>
      </c>
      <c r="I20" s="11">
        <v>0</v>
      </c>
      <c r="J20" s="11">
        <v>2</v>
      </c>
      <c r="K20" s="11">
        <v>5</v>
      </c>
      <c r="L20" s="11">
        <v>21</v>
      </c>
      <c r="M20" s="11">
        <v>0</v>
      </c>
      <c r="N20" s="12">
        <v>26</v>
      </c>
      <c r="O20" s="9" t="s">
        <v>90</v>
      </c>
      <c r="P20" s="10" t="s">
        <v>91</v>
      </c>
      <c r="Q20" s="11">
        <v>1</v>
      </c>
      <c r="R20" s="11">
        <v>6</v>
      </c>
      <c r="S20" s="11">
        <v>0</v>
      </c>
      <c r="T20" s="11">
        <v>7</v>
      </c>
      <c r="U20" s="11">
        <v>8</v>
      </c>
      <c r="V20" s="11">
        <v>28</v>
      </c>
      <c r="W20" s="11">
        <v>0</v>
      </c>
      <c r="X20" s="12">
        <v>36</v>
      </c>
      <c r="Y20" s="9" t="s">
        <v>90</v>
      </c>
      <c r="Z20" s="10" t="s">
        <v>91</v>
      </c>
      <c r="AA20" s="11">
        <v>2</v>
      </c>
      <c r="AB20" s="11">
        <v>2</v>
      </c>
      <c r="AC20" s="11">
        <v>0</v>
      </c>
      <c r="AD20" s="11">
        <v>4</v>
      </c>
      <c r="AE20" s="11">
        <v>1</v>
      </c>
      <c r="AF20" s="11">
        <v>1</v>
      </c>
      <c r="AG20" s="11">
        <v>0</v>
      </c>
      <c r="AH20" s="11">
        <v>2</v>
      </c>
      <c r="AI20" s="11">
        <v>3</v>
      </c>
      <c r="AJ20" s="11">
        <v>0</v>
      </c>
      <c r="AK20" s="11">
        <v>0</v>
      </c>
      <c r="AL20" s="12">
        <v>3</v>
      </c>
      <c r="AM20" s="9" t="s">
        <v>90</v>
      </c>
      <c r="AN20" s="10" t="s">
        <v>91</v>
      </c>
      <c r="AO20" s="11">
        <v>6</v>
      </c>
      <c r="AP20" s="11">
        <v>3</v>
      </c>
      <c r="AQ20" s="11">
        <v>0</v>
      </c>
      <c r="AR20" s="11">
        <v>9</v>
      </c>
      <c r="AS20" s="11">
        <v>14</v>
      </c>
      <c r="AT20" s="11">
        <v>31</v>
      </c>
      <c r="AU20" s="11">
        <v>0</v>
      </c>
      <c r="AV20" s="12">
        <v>45</v>
      </c>
    </row>
    <row r="21" spans="1:48" ht="28.5" customHeight="1" x14ac:dyDescent="0.3">
      <c r="A21" s="13" t="s">
        <v>92</v>
      </c>
      <c r="B21" s="14" t="s">
        <v>93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19</v>
      </c>
      <c r="M21" s="15">
        <v>0</v>
      </c>
      <c r="N21" s="16">
        <v>19</v>
      </c>
      <c r="O21" s="13" t="s">
        <v>92</v>
      </c>
      <c r="P21" s="14" t="s">
        <v>93</v>
      </c>
      <c r="Q21" s="15">
        <v>0</v>
      </c>
      <c r="R21" s="15">
        <v>82</v>
      </c>
      <c r="S21" s="15">
        <v>0</v>
      </c>
      <c r="T21" s="15">
        <v>82</v>
      </c>
      <c r="U21" s="15">
        <v>0</v>
      </c>
      <c r="V21" s="15">
        <v>101</v>
      </c>
      <c r="W21" s="15">
        <v>0</v>
      </c>
      <c r="X21" s="16">
        <v>101</v>
      </c>
      <c r="Y21" s="13" t="s">
        <v>92</v>
      </c>
      <c r="Z21" s="14" t="s">
        <v>93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125</v>
      </c>
      <c r="AG21" s="15">
        <v>0</v>
      </c>
      <c r="AH21" s="15">
        <v>125</v>
      </c>
      <c r="AI21" s="15">
        <v>0</v>
      </c>
      <c r="AJ21" s="15">
        <v>67</v>
      </c>
      <c r="AK21" s="15">
        <v>0</v>
      </c>
      <c r="AL21" s="16">
        <v>67</v>
      </c>
      <c r="AM21" s="13" t="s">
        <v>92</v>
      </c>
      <c r="AN21" s="14" t="s">
        <v>93</v>
      </c>
      <c r="AO21" s="15">
        <v>0</v>
      </c>
      <c r="AP21" s="15">
        <v>192</v>
      </c>
      <c r="AQ21" s="15">
        <v>0</v>
      </c>
      <c r="AR21" s="15">
        <v>192</v>
      </c>
      <c r="AS21" s="15">
        <v>0</v>
      </c>
      <c r="AT21" s="15">
        <v>293</v>
      </c>
      <c r="AU21" s="15">
        <v>0</v>
      </c>
      <c r="AV21" s="16">
        <v>293</v>
      </c>
    </row>
    <row r="22" spans="1:48" ht="28.5" customHeight="1" x14ac:dyDescent="0.3">
      <c r="A22" s="9" t="s">
        <v>94</v>
      </c>
      <c r="B22" s="10" t="s">
        <v>95</v>
      </c>
      <c r="C22" s="11">
        <v>19</v>
      </c>
      <c r="D22" s="11">
        <v>19</v>
      </c>
      <c r="E22" s="11">
        <v>0</v>
      </c>
      <c r="F22" s="11">
        <v>38</v>
      </c>
      <c r="G22" s="11">
        <v>112</v>
      </c>
      <c r="H22" s="11">
        <v>50</v>
      </c>
      <c r="I22" s="11">
        <v>0</v>
      </c>
      <c r="J22" s="11">
        <v>162</v>
      </c>
      <c r="K22" s="11">
        <v>292</v>
      </c>
      <c r="L22" s="11">
        <v>537</v>
      </c>
      <c r="M22" s="11">
        <v>0</v>
      </c>
      <c r="N22" s="12">
        <v>829</v>
      </c>
      <c r="O22" s="9" t="s">
        <v>94</v>
      </c>
      <c r="P22" s="10" t="s">
        <v>95</v>
      </c>
      <c r="Q22" s="11">
        <v>172</v>
      </c>
      <c r="R22" s="11">
        <v>575</v>
      </c>
      <c r="S22" s="11">
        <v>0</v>
      </c>
      <c r="T22" s="11">
        <v>747</v>
      </c>
      <c r="U22" s="11">
        <v>595</v>
      </c>
      <c r="V22" s="11">
        <v>1181</v>
      </c>
      <c r="W22" s="11">
        <v>0</v>
      </c>
      <c r="X22" s="12">
        <v>1776</v>
      </c>
      <c r="Y22" s="9" t="s">
        <v>94</v>
      </c>
      <c r="Z22" s="10" t="s">
        <v>95</v>
      </c>
      <c r="AA22" s="11">
        <v>14</v>
      </c>
      <c r="AB22" s="11">
        <v>10</v>
      </c>
      <c r="AC22" s="11">
        <v>0</v>
      </c>
      <c r="AD22" s="11">
        <v>24</v>
      </c>
      <c r="AE22" s="11">
        <v>10</v>
      </c>
      <c r="AF22" s="11">
        <v>1</v>
      </c>
      <c r="AG22" s="11">
        <v>0</v>
      </c>
      <c r="AH22" s="11">
        <v>11</v>
      </c>
      <c r="AI22" s="11">
        <v>0</v>
      </c>
      <c r="AJ22" s="11">
        <v>0</v>
      </c>
      <c r="AK22" s="11">
        <v>0</v>
      </c>
      <c r="AL22" s="12">
        <v>0</v>
      </c>
      <c r="AM22" s="9" t="s">
        <v>94</v>
      </c>
      <c r="AN22" s="10" t="s">
        <v>95</v>
      </c>
      <c r="AO22" s="11">
        <v>24</v>
      </c>
      <c r="AP22" s="11">
        <v>11</v>
      </c>
      <c r="AQ22" s="11">
        <v>0</v>
      </c>
      <c r="AR22" s="11">
        <v>35</v>
      </c>
      <c r="AS22" s="11">
        <v>619</v>
      </c>
      <c r="AT22" s="11">
        <v>1192</v>
      </c>
      <c r="AU22" s="11">
        <v>0</v>
      </c>
      <c r="AV22" s="12">
        <v>1811</v>
      </c>
    </row>
    <row r="23" spans="1:48" ht="28.5" customHeight="1" x14ac:dyDescent="0.3">
      <c r="A23" s="13" t="s">
        <v>96</v>
      </c>
      <c r="B23" s="14" t="s">
        <v>97</v>
      </c>
      <c r="C23" s="15">
        <v>3</v>
      </c>
      <c r="D23" s="15">
        <v>1</v>
      </c>
      <c r="E23" s="15">
        <v>0</v>
      </c>
      <c r="F23" s="15">
        <v>4</v>
      </c>
      <c r="G23" s="15">
        <v>7</v>
      </c>
      <c r="H23" s="15">
        <v>7</v>
      </c>
      <c r="I23" s="15">
        <v>0</v>
      </c>
      <c r="J23" s="15">
        <v>14</v>
      </c>
      <c r="K23" s="15">
        <v>59</v>
      </c>
      <c r="L23" s="15">
        <v>204</v>
      </c>
      <c r="M23" s="15">
        <v>0</v>
      </c>
      <c r="N23" s="16">
        <v>263</v>
      </c>
      <c r="O23" s="13" t="s">
        <v>96</v>
      </c>
      <c r="P23" s="14" t="s">
        <v>97</v>
      </c>
      <c r="Q23" s="15">
        <v>40</v>
      </c>
      <c r="R23" s="15">
        <v>151</v>
      </c>
      <c r="S23" s="15">
        <v>0</v>
      </c>
      <c r="T23" s="15">
        <v>191</v>
      </c>
      <c r="U23" s="15">
        <v>109</v>
      </c>
      <c r="V23" s="15">
        <v>363</v>
      </c>
      <c r="W23" s="15">
        <v>0</v>
      </c>
      <c r="X23" s="16">
        <v>472</v>
      </c>
      <c r="Y23" s="13" t="s">
        <v>96</v>
      </c>
      <c r="Z23" s="14" t="s">
        <v>97</v>
      </c>
      <c r="AA23" s="15">
        <v>5</v>
      </c>
      <c r="AB23" s="15">
        <v>9</v>
      </c>
      <c r="AC23" s="15">
        <v>0</v>
      </c>
      <c r="AD23" s="15">
        <v>14</v>
      </c>
      <c r="AE23" s="15">
        <v>3</v>
      </c>
      <c r="AF23" s="15">
        <v>0</v>
      </c>
      <c r="AG23" s="15">
        <v>0</v>
      </c>
      <c r="AH23" s="15">
        <v>3</v>
      </c>
      <c r="AI23" s="15">
        <v>0</v>
      </c>
      <c r="AJ23" s="15">
        <v>0</v>
      </c>
      <c r="AK23" s="15">
        <v>0</v>
      </c>
      <c r="AL23" s="16">
        <v>0</v>
      </c>
      <c r="AM23" s="13" t="s">
        <v>96</v>
      </c>
      <c r="AN23" s="14" t="s">
        <v>97</v>
      </c>
      <c r="AO23" s="15">
        <v>8</v>
      </c>
      <c r="AP23" s="15">
        <v>9</v>
      </c>
      <c r="AQ23" s="15">
        <v>0</v>
      </c>
      <c r="AR23" s="15">
        <v>17</v>
      </c>
      <c r="AS23" s="15">
        <v>117</v>
      </c>
      <c r="AT23" s="15">
        <v>372</v>
      </c>
      <c r="AU23" s="15">
        <v>0</v>
      </c>
      <c r="AV23" s="16">
        <v>489</v>
      </c>
    </row>
    <row r="24" spans="1:48" ht="28.5" customHeight="1" x14ac:dyDescent="0.3">
      <c r="A24" s="9" t="s">
        <v>98</v>
      </c>
      <c r="B24" s="10" t="s">
        <v>99</v>
      </c>
      <c r="C24" s="11">
        <v>0</v>
      </c>
      <c r="D24" s="11">
        <v>0</v>
      </c>
      <c r="E24" s="11">
        <v>0</v>
      </c>
      <c r="F24" s="11">
        <v>0</v>
      </c>
      <c r="G24" s="11">
        <v>9</v>
      </c>
      <c r="H24" s="11">
        <v>5</v>
      </c>
      <c r="I24" s="11">
        <v>0</v>
      </c>
      <c r="J24" s="11">
        <v>14</v>
      </c>
      <c r="K24" s="11">
        <v>8</v>
      </c>
      <c r="L24" s="11">
        <v>4</v>
      </c>
      <c r="M24" s="11">
        <v>0</v>
      </c>
      <c r="N24" s="12">
        <v>12</v>
      </c>
      <c r="O24" s="9" t="s">
        <v>98</v>
      </c>
      <c r="P24" s="10" t="s">
        <v>99</v>
      </c>
      <c r="Q24" s="11">
        <v>9</v>
      </c>
      <c r="R24" s="11">
        <v>6</v>
      </c>
      <c r="S24" s="11">
        <v>0</v>
      </c>
      <c r="T24" s="11">
        <v>15</v>
      </c>
      <c r="U24" s="11">
        <v>26</v>
      </c>
      <c r="V24" s="11">
        <v>15</v>
      </c>
      <c r="W24" s="11">
        <v>0</v>
      </c>
      <c r="X24" s="12">
        <v>41</v>
      </c>
      <c r="Y24" s="9" t="s">
        <v>98</v>
      </c>
      <c r="Z24" s="10" t="s">
        <v>99</v>
      </c>
      <c r="AA24" s="11">
        <v>128</v>
      </c>
      <c r="AB24" s="11">
        <v>105</v>
      </c>
      <c r="AC24" s="11">
        <v>0</v>
      </c>
      <c r="AD24" s="11">
        <v>233</v>
      </c>
      <c r="AE24" s="11">
        <v>267</v>
      </c>
      <c r="AF24" s="11">
        <v>123</v>
      </c>
      <c r="AG24" s="11">
        <v>0</v>
      </c>
      <c r="AH24" s="11">
        <v>390</v>
      </c>
      <c r="AI24" s="11">
        <v>0</v>
      </c>
      <c r="AJ24" s="11">
        <v>0</v>
      </c>
      <c r="AK24" s="11">
        <v>0</v>
      </c>
      <c r="AL24" s="12">
        <v>0</v>
      </c>
      <c r="AM24" s="9" t="s">
        <v>98</v>
      </c>
      <c r="AN24" s="10" t="s">
        <v>99</v>
      </c>
      <c r="AO24" s="11">
        <v>395</v>
      </c>
      <c r="AP24" s="11">
        <v>228</v>
      </c>
      <c r="AQ24" s="11">
        <v>0</v>
      </c>
      <c r="AR24" s="11">
        <v>623</v>
      </c>
      <c r="AS24" s="11">
        <v>421</v>
      </c>
      <c r="AT24" s="11">
        <v>243</v>
      </c>
      <c r="AU24" s="11">
        <v>0</v>
      </c>
      <c r="AV24" s="12">
        <v>664</v>
      </c>
    </row>
    <row r="25" spans="1:48" ht="28.5" customHeight="1" x14ac:dyDescent="0.3">
      <c r="A25" s="13" t="s">
        <v>100</v>
      </c>
      <c r="B25" s="14" t="s">
        <v>101</v>
      </c>
      <c r="C25" s="15">
        <v>3</v>
      </c>
      <c r="D25" s="15">
        <v>1</v>
      </c>
      <c r="E25" s="15">
        <v>0</v>
      </c>
      <c r="F25" s="15">
        <v>4</v>
      </c>
      <c r="G25" s="15">
        <v>15</v>
      </c>
      <c r="H25" s="15">
        <v>8</v>
      </c>
      <c r="I25" s="15">
        <v>0</v>
      </c>
      <c r="J25" s="15">
        <v>23</v>
      </c>
      <c r="K25" s="15">
        <v>44</v>
      </c>
      <c r="L25" s="15">
        <v>160</v>
      </c>
      <c r="M25" s="15">
        <v>0</v>
      </c>
      <c r="N25" s="16">
        <v>204</v>
      </c>
      <c r="O25" s="13" t="s">
        <v>100</v>
      </c>
      <c r="P25" s="14" t="s">
        <v>101</v>
      </c>
      <c r="Q25" s="15">
        <v>52</v>
      </c>
      <c r="R25" s="15">
        <v>393</v>
      </c>
      <c r="S25" s="15">
        <v>0</v>
      </c>
      <c r="T25" s="15">
        <v>445</v>
      </c>
      <c r="U25" s="15">
        <v>114</v>
      </c>
      <c r="V25" s="15">
        <v>562</v>
      </c>
      <c r="W25" s="15">
        <v>0</v>
      </c>
      <c r="X25" s="16">
        <v>676</v>
      </c>
      <c r="Y25" s="13" t="s">
        <v>100</v>
      </c>
      <c r="Z25" s="14" t="s">
        <v>101</v>
      </c>
      <c r="AA25" s="15">
        <v>40</v>
      </c>
      <c r="AB25" s="15">
        <v>4</v>
      </c>
      <c r="AC25" s="15">
        <v>0</v>
      </c>
      <c r="AD25" s="15">
        <v>44</v>
      </c>
      <c r="AE25" s="15">
        <v>11</v>
      </c>
      <c r="AF25" s="15">
        <v>1</v>
      </c>
      <c r="AG25" s="15">
        <v>0</v>
      </c>
      <c r="AH25" s="15">
        <v>12</v>
      </c>
      <c r="AI25" s="15">
        <v>0</v>
      </c>
      <c r="AJ25" s="15">
        <v>0</v>
      </c>
      <c r="AK25" s="15">
        <v>0</v>
      </c>
      <c r="AL25" s="16">
        <v>0</v>
      </c>
      <c r="AM25" s="13" t="s">
        <v>100</v>
      </c>
      <c r="AN25" s="14" t="s">
        <v>101</v>
      </c>
      <c r="AO25" s="15">
        <v>51</v>
      </c>
      <c r="AP25" s="15">
        <v>5</v>
      </c>
      <c r="AQ25" s="15">
        <v>0</v>
      </c>
      <c r="AR25" s="15">
        <v>56</v>
      </c>
      <c r="AS25" s="15">
        <v>165</v>
      </c>
      <c r="AT25" s="15">
        <v>567</v>
      </c>
      <c r="AU25" s="15">
        <v>0</v>
      </c>
      <c r="AV25" s="16">
        <v>732</v>
      </c>
    </row>
    <row r="26" spans="1:48" ht="28.5" customHeight="1" x14ac:dyDescent="0.3">
      <c r="A26" s="9" t="s">
        <v>102</v>
      </c>
      <c r="B26" s="10" t="s">
        <v>103</v>
      </c>
      <c r="C26" s="11">
        <v>4</v>
      </c>
      <c r="D26" s="11">
        <v>4</v>
      </c>
      <c r="E26" s="11">
        <v>0</v>
      </c>
      <c r="F26" s="11">
        <v>8</v>
      </c>
      <c r="G26" s="11">
        <v>21</v>
      </c>
      <c r="H26" s="11">
        <v>6</v>
      </c>
      <c r="I26" s="11">
        <v>0</v>
      </c>
      <c r="J26" s="11">
        <v>27</v>
      </c>
      <c r="K26" s="11">
        <v>67</v>
      </c>
      <c r="L26" s="11">
        <v>114</v>
      </c>
      <c r="M26" s="11">
        <v>0</v>
      </c>
      <c r="N26" s="12">
        <v>181</v>
      </c>
      <c r="O26" s="9" t="s">
        <v>102</v>
      </c>
      <c r="P26" s="10" t="s">
        <v>103</v>
      </c>
      <c r="Q26" s="11">
        <v>20</v>
      </c>
      <c r="R26" s="11">
        <v>43</v>
      </c>
      <c r="S26" s="11">
        <v>0</v>
      </c>
      <c r="T26" s="11">
        <v>63</v>
      </c>
      <c r="U26" s="11">
        <v>112</v>
      </c>
      <c r="V26" s="11">
        <v>167</v>
      </c>
      <c r="W26" s="11">
        <v>0</v>
      </c>
      <c r="X26" s="12">
        <v>279</v>
      </c>
      <c r="Y26" s="9" t="s">
        <v>102</v>
      </c>
      <c r="Z26" s="10" t="s">
        <v>103</v>
      </c>
      <c r="AA26" s="11">
        <v>6</v>
      </c>
      <c r="AB26" s="11">
        <v>1</v>
      </c>
      <c r="AC26" s="11">
        <v>0</v>
      </c>
      <c r="AD26" s="11">
        <v>7</v>
      </c>
      <c r="AE26" s="11">
        <v>21</v>
      </c>
      <c r="AF26" s="11">
        <v>2</v>
      </c>
      <c r="AG26" s="11">
        <v>0</v>
      </c>
      <c r="AH26" s="11">
        <v>23</v>
      </c>
      <c r="AI26" s="11">
        <v>0</v>
      </c>
      <c r="AJ26" s="11">
        <v>0</v>
      </c>
      <c r="AK26" s="11">
        <v>0</v>
      </c>
      <c r="AL26" s="12">
        <v>0</v>
      </c>
      <c r="AM26" s="9" t="s">
        <v>102</v>
      </c>
      <c r="AN26" s="10" t="s">
        <v>103</v>
      </c>
      <c r="AO26" s="11">
        <v>27</v>
      </c>
      <c r="AP26" s="11">
        <v>3</v>
      </c>
      <c r="AQ26" s="11">
        <v>0</v>
      </c>
      <c r="AR26" s="11">
        <v>30</v>
      </c>
      <c r="AS26" s="11">
        <v>139</v>
      </c>
      <c r="AT26" s="11">
        <v>170</v>
      </c>
      <c r="AU26" s="11">
        <v>0</v>
      </c>
      <c r="AV26" s="12">
        <v>309</v>
      </c>
    </row>
    <row r="27" spans="1:48" ht="28.5" customHeight="1" x14ac:dyDescent="0.3">
      <c r="A27" s="17"/>
      <c r="B27" s="18" t="s">
        <v>104</v>
      </c>
      <c r="C27" s="19">
        <v>127</v>
      </c>
      <c r="D27" s="19">
        <v>92</v>
      </c>
      <c r="E27" s="19">
        <v>0</v>
      </c>
      <c r="F27" s="19">
        <v>219</v>
      </c>
      <c r="G27" s="19">
        <v>597</v>
      </c>
      <c r="H27" s="19">
        <v>524</v>
      </c>
      <c r="I27" s="19">
        <v>0</v>
      </c>
      <c r="J27" s="19">
        <v>1121</v>
      </c>
      <c r="K27" s="19">
        <v>1732</v>
      </c>
      <c r="L27" s="19">
        <v>3895</v>
      </c>
      <c r="M27" s="19">
        <v>0</v>
      </c>
      <c r="N27" s="20">
        <v>5627</v>
      </c>
      <c r="O27" s="17"/>
      <c r="P27" s="18" t="s">
        <v>104</v>
      </c>
      <c r="Q27" s="19">
        <v>1166</v>
      </c>
      <c r="R27" s="19">
        <v>4012</v>
      </c>
      <c r="S27" s="19">
        <v>0</v>
      </c>
      <c r="T27" s="19">
        <v>5178</v>
      </c>
      <c r="U27" s="19">
        <v>3622</v>
      </c>
      <c r="V27" s="19">
        <v>8523</v>
      </c>
      <c r="W27" s="19">
        <v>0</v>
      </c>
      <c r="X27" s="20">
        <v>12145</v>
      </c>
      <c r="Y27" s="17"/>
      <c r="Z27" s="18" t="s">
        <v>104</v>
      </c>
      <c r="AA27" s="19">
        <v>435</v>
      </c>
      <c r="AB27" s="19">
        <v>592</v>
      </c>
      <c r="AC27" s="19">
        <v>0</v>
      </c>
      <c r="AD27" s="19">
        <v>1027</v>
      </c>
      <c r="AE27" s="19">
        <v>601</v>
      </c>
      <c r="AF27" s="19">
        <v>620</v>
      </c>
      <c r="AG27" s="19">
        <v>0</v>
      </c>
      <c r="AH27" s="19">
        <v>1221</v>
      </c>
      <c r="AI27" s="19">
        <v>13</v>
      </c>
      <c r="AJ27" s="19">
        <v>79</v>
      </c>
      <c r="AK27" s="19">
        <v>0</v>
      </c>
      <c r="AL27" s="20">
        <v>92</v>
      </c>
      <c r="AM27" s="17"/>
      <c r="AN27" s="18" t="s">
        <v>104</v>
      </c>
      <c r="AO27" s="19">
        <v>1049</v>
      </c>
      <c r="AP27" s="19">
        <v>1291</v>
      </c>
      <c r="AQ27" s="19">
        <v>0</v>
      </c>
      <c r="AR27" s="19">
        <v>2340</v>
      </c>
      <c r="AS27" s="19">
        <v>4671</v>
      </c>
      <c r="AT27" s="19">
        <v>9814</v>
      </c>
      <c r="AU27" s="19">
        <v>0</v>
      </c>
      <c r="AV27" s="20">
        <v>14485</v>
      </c>
    </row>
    <row r="28" spans="1:48" s="24" customFormat="1" ht="28.5" customHeight="1" x14ac:dyDescent="0.3">
      <c r="A28" s="25" t="s">
        <v>114</v>
      </c>
      <c r="B28" s="26"/>
      <c r="C28" s="22"/>
      <c r="D28" s="22"/>
      <c r="E28" s="22"/>
      <c r="F28" s="23">
        <f>F27/$AV$27*100</f>
        <v>1.5119088712461168</v>
      </c>
      <c r="G28" s="22"/>
      <c r="H28" s="22"/>
      <c r="I28" s="22"/>
      <c r="J28" s="23">
        <f>J27/$AV$27*100</f>
        <v>7.7390403866068356</v>
      </c>
      <c r="K28" s="22"/>
      <c r="L28" s="22"/>
      <c r="M28" s="22"/>
      <c r="N28" s="23">
        <f>N27/$AV$27*100</f>
        <v>38.847083189506385</v>
      </c>
      <c r="O28" s="25" t="s">
        <v>114</v>
      </c>
      <c r="P28" s="26"/>
      <c r="Q28" s="22"/>
      <c r="R28" s="22"/>
      <c r="S28" s="22"/>
      <c r="T28" s="23">
        <f>T27/$AV$27*100</f>
        <v>35.747324818778047</v>
      </c>
      <c r="U28" s="22"/>
      <c r="V28" s="22"/>
      <c r="W28" s="22"/>
      <c r="X28" s="23">
        <f>X27/$AV$27*100</f>
        <v>83.845357266137384</v>
      </c>
      <c r="Y28" s="25" t="s">
        <v>114</v>
      </c>
      <c r="Z28" s="26"/>
      <c r="AA28" s="22"/>
      <c r="AB28" s="22"/>
      <c r="AC28" s="22"/>
      <c r="AD28" s="23">
        <f>AD27/$AV$27*100</f>
        <v>7.0900931998619257</v>
      </c>
      <c r="AE28" s="22"/>
      <c r="AF28" s="22"/>
      <c r="AG28" s="22"/>
      <c r="AH28" s="23">
        <f>AH27/$AV$27*100</f>
        <v>8.4294097342078018</v>
      </c>
      <c r="AI28" s="22"/>
      <c r="AJ28" s="22"/>
      <c r="AK28" s="22"/>
      <c r="AL28" s="23">
        <f>AL27/$AV$27*100</f>
        <v>0.63513979979288926</v>
      </c>
      <c r="AM28" s="25" t="s">
        <v>114</v>
      </c>
      <c r="AN28" s="26"/>
      <c r="AO28" s="22"/>
      <c r="AP28" s="22"/>
      <c r="AQ28" s="22"/>
      <c r="AR28" s="23">
        <f>AR27/$AV$27*100</f>
        <v>16.154642733862616</v>
      </c>
      <c r="AS28" s="22"/>
      <c r="AT28" s="22"/>
      <c r="AU28" s="22"/>
      <c r="AV28" s="23">
        <f>AV27/$AV$27*100</f>
        <v>100</v>
      </c>
    </row>
    <row r="29" spans="1:48" ht="12" customHeight="1" x14ac:dyDescent="0.3">
      <c r="A29" s="7" t="s">
        <v>115</v>
      </c>
      <c r="N29" s="21" t="s">
        <v>105</v>
      </c>
      <c r="O29" s="7" t="s">
        <v>106</v>
      </c>
      <c r="X29" s="21" t="s">
        <v>108</v>
      </c>
      <c r="Y29" s="7" t="s">
        <v>109</v>
      </c>
      <c r="AL29" s="21" t="s">
        <v>111</v>
      </c>
      <c r="AM29" s="7" t="s">
        <v>112</v>
      </c>
      <c r="AV29" s="21" t="s">
        <v>113</v>
      </c>
    </row>
    <row r="30" spans="1:48" ht="12" customHeight="1" x14ac:dyDescent="0.3">
      <c r="A30" s="7" t="s">
        <v>116</v>
      </c>
      <c r="O30" s="7" t="s">
        <v>107</v>
      </c>
      <c r="Y30" s="7" t="s">
        <v>110</v>
      </c>
      <c r="AM30" s="7" t="s">
        <v>117</v>
      </c>
    </row>
    <row r="31" spans="1:48" ht="12" customHeight="1" x14ac:dyDescent="0.3">
      <c r="O31" s="7" t="s">
        <v>117</v>
      </c>
      <c r="Y31" s="7" t="s">
        <v>117</v>
      </c>
      <c r="AM31" s="7" t="s">
        <v>116</v>
      </c>
    </row>
    <row r="32" spans="1:48" ht="12" customHeight="1" x14ac:dyDescent="0.3">
      <c r="O32" s="7" t="s">
        <v>116</v>
      </c>
      <c r="Y32" s="7" t="s">
        <v>116</v>
      </c>
    </row>
  </sheetData>
  <mergeCells count="34">
    <mergeCell ref="AM1:AV1"/>
    <mergeCell ref="AM2:AV2"/>
    <mergeCell ref="Y1:AL1"/>
    <mergeCell ref="Y2:AL2"/>
    <mergeCell ref="Q3:X3"/>
    <mergeCell ref="Y3:Y5"/>
    <mergeCell ref="Z3:Z5"/>
    <mergeCell ref="AM3:AM5"/>
    <mergeCell ref="AN3:AN5"/>
    <mergeCell ref="AO3:AR3"/>
    <mergeCell ref="AS3:AV4"/>
    <mergeCell ref="AO4:AR4"/>
    <mergeCell ref="A1:N1"/>
    <mergeCell ref="A2:N2"/>
    <mergeCell ref="O1:X1"/>
    <mergeCell ref="O2:X2"/>
    <mergeCell ref="A3:A5"/>
    <mergeCell ref="B3:B5"/>
    <mergeCell ref="C3:N3"/>
    <mergeCell ref="C4:F4"/>
    <mergeCell ref="G4:J4"/>
    <mergeCell ref="K4:N4"/>
    <mergeCell ref="Q4:T4"/>
    <mergeCell ref="U4:X4"/>
    <mergeCell ref="A28:B28"/>
    <mergeCell ref="O28:P28"/>
    <mergeCell ref="Y28:Z28"/>
    <mergeCell ref="AM28:AN28"/>
    <mergeCell ref="O3:O5"/>
    <mergeCell ref="P3:P5"/>
    <mergeCell ref="AA3:AL3"/>
    <mergeCell ref="AA4:AD4"/>
    <mergeCell ref="AE4:AH4"/>
    <mergeCell ref="AI4:AL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3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213332 - S ADITHYA</cp:lastModifiedBy>
  <cp:lastPrinted>2023-09-27T17:36:02Z</cp:lastPrinted>
  <dcterms:created xsi:type="dcterms:W3CDTF">2023-07-10T09:18:02Z</dcterms:created>
  <dcterms:modified xsi:type="dcterms:W3CDTF">2023-09-27T17:36:37Z</dcterms:modified>
</cp:coreProperties>
</file>