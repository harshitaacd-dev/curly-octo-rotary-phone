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calcChain.xml><?xml version="1.0" encoding="utf-8"?>
<calcChain xmlns="http://schemas.openxmlformats.org/spreadsheetml/2006/main">
  <c r="E47" i="1" l="1"/>
  <c r="F47" i="1"/>
  <c r="G47" i="1"/>
  <c r="H47" i="1"/>
  <c r="I47" i="1"/>
  <c r="J47" i="1"/>
  <c r="K47" i="1"/>
  <c r="L47" i="1"/>
  <c r="M47" i="1"/>
  <c r="N47" i="1"/>
  <c r="D47" i="1"/>
</calcChain>
</file>

<file path=xl/sharedStrings.xml><?xml version="1.0" encoding="utf-8"?>
<sst xmlns="http://schemas.openxmlformats.org/spreadsheetml/2006/main" count="113" uniqueCount="113">
  <si>
    <t>TABLE 3A.3</t>
  </si>
  <si>
    <t>Women &amp; Girls Victims of Rape (Age Group-wise) - 2022</t>
  </si>
  <si>
    <t>SL</t>
  </si>
  <si>
    <t>State/UT</t>
  </si>
  <si>
    <t>Cases Reported</t>
  </si>
  <si>
    <t>Child Victims of Rape (Below 18 Yrs)</t>
  </si>
  <si>
    <t>Women Victims of Rape (Above 18 Years)</t>
  </si>
  <si>
    <t>Total Victims (Col.8+Col.13)</t>
  </si>
  <si>
    <t>Below 6 Years</t>
  </si>
  <si>
    <t>6 Years &amp; Above - Below 12 Years</t>
  </si>
  <si>
    <t>12 Years &amp; Above - Below 16 Years</t>
  </si>
  <si>
    <t>16 Years &amp; Above - Below 18 Years</t>
  </si>
  <si>
    <t>Total Girl / Child Victims</t>
  </si>
  <si>
    <t>18 Years &amp; Above - Below 30 Years</t>
  </si>
  <si>
    <t>30 Years &amp; Above - Below 45 Years</t>
  </si>
  <si>
    <t>45 Years &amp; Above - Below 60 Years</t>
  </si>
  <si>
    <t>60 Years &amp; Above</t>
  </si>
  <si>
    <t>Total Women / Adult Victims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</si>
  <si>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</si>
  <si>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</si>
  <si>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</si>
  <si>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</si>
  <si>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</si>
  <si>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</si>
  <si>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</si>
  <si>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</si>
  <si>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</si>
  <si>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</si>
  <si>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</si>
  <si>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</si>
  <si>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</si>
  <si>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</si>
  <si>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</si>
  <si>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</si>
  <si>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</si>
  <si>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</si>
  <si>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</si>
  <si>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</si>
  <si>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</si>
  <si>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</si>
  <si>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</si>
  <si>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</si>
  <si>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</si>
  <si>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</si>
  <si>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</si>
  <si>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</si>
  <si>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</si>
  <si>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</si>
  <si>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</si>
  <si>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</si>
  <si>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</si>
  <si>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</si>
  <si>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</si>
  <si>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</si>
  <si>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</si>
  <si>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</si>
  <si>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</si>
  <si>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</si>
  <si>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</si>
  <si>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</si>
  <si>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</si>
  <si>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</si>
  <si>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</si>
  <si>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</si>
  <si>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</si>
  <si>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</si>
  <si>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</si>
  <si>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</si>
  <si>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</si>
  <si>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</si>
  <si>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</si>
  <si>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</si>
  <si>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</si>
  <si>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</si>
  <si>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</si>
  <si>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</si>
  <si>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</si>
  <si>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</si>
  <si>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</si>
  <si>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</si>
  <si>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</si>
  <si>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</si>
  <si>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</si>
  <si>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</si>
  <si>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</si>
  <si>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</si>
  <si>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</si>
  <si>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</si>
  <si>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</si>
  <si>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</si>
  <si>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</si>
  <si>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</si>
  <si>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</si>
  <si>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</si>
  <si>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</si>
  <si>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</si>
  <si>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</si>
  <si>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</si>
  <si>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</si>
  <si>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</si>
  <si>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</si>
  <si>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</si>
  <si>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</si>
  <si>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</si>
  <si>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</si>
  <si>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</si>
  <si>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</si>
  <si>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</si>
  <si>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</si>
  <si>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</si>
  <si>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TABLE 3A.3 Page 1 of 1</t>
  </si>
  <si>
    <t>Percentage Share of Age-Group of Victims</t>
  </si>
  <si>
    <t>● States/UTs may not be compared purely on the basis of crime figures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</si>
</sst>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164" fontId="0" fillId="0" borderId="14" xfId="0" applyNumberFormat="1" applyBorder="1" applyAlignment="1">
      <alignment vertical="center"/>
    </xf>
    <xf numFmtId="164" fontId="0" fillId="0" borderId="15" xfId="0" applyNumberFormat="1" applyBorder="1" applyAlignment="1">
      <alignment vertical="center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tabSelected="1" topLeftCell="A34" zoomScaleNormal="100" workbookViewId="0">
      <selection activeCell="A49" sqref="A49"/>
    </sheetView>
  </sheetViews>
  <sheetFormatPr defaultRowHeight="15" x14ac:dyDescent="0.25"/>
  <cols>
    <col min="1" max="1" width="2.85546875" style="18" customWidth="1"/>
    <col min="2" max="2" width="15.7109375" style="18" customWidth="1"/>
    <col min="3" max="3" width="7" style="18" customWidth="1"/>
    <col min="4" max="4" width="6.140625" style="18" bestFit="1" customWidth="1"/>
    <col min="5" max="5" width="6" style="18" customWidth="1"/>
    <col min="6" max="6" width="5.85546875" style="18" customWidth="1"/>
    <col min="7" max="13" width="6.28515625" style="18" customWidth="1"/>
    <col min="14" max="14" width="7.140625" style="18" customWidth="1"/>
    <col min="15" max="16384" width="9.140625" style="18"/>
  </cols>
  <sheetData>
    <row r="1" spans="1:14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x14ac:dyDescent="0.25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15" customHeight="1" x14ac:dyDescent="0.25">
      <c r="A3" s="34" t="s">
        <v>2</v>
      </c>
      <c r="B3" s="35" t="s">
        <v>3</v>
      </c>
      <c r="C3" s="36" t="s">
        <v>4</v>
      </c>
      <c r="D3" s="37" t="s">
        <v>5</v>
      </c>
      <c r="E3" s="37"/>
      <c r="F3" s="37"/>
      <c r="G3" s="37"/>
      <c r="H3" s="37"/>
      <c r="I3" s="38" t="s">
        <v>6</v>
      </c>
      <c r="J3" s="38"/>
      <c r="K3" s="38"/>
      <c r="L3" s="38"/>
      <c r="M3" s="38"/>
      <c r="N3" s="39" t="s">
        <v>7</v>
      </c>
    </row>
    <row r="4" spans="1:14" ht="84" x14ac:dyDescent="0.25">
      <c r="A4" s="34"/>
      <c r="B4" s="35"/>
      <c r="C4" s="36"/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  <c r="M4" s="1" t="s">
        <v>17</v>
      </c>
      <c r="N4" s="39"/>
    </row>
    <row r="5" spans="1:14" x14ac:dyDescent="0.25">
      <c r="A5" s="19" t="s">
        <v>19</v>
      </c>
      <c r="B5" s="20" t="s">
        <v>20</v>
      </c>
      <c r="C5" s="20" t="s">
        <v>21</v>
      </c>
      <c r="D5" s="20" t="s">
        <v>22</v>
      </c>
      <c r="E5" s="20" t="s">
        <v>23</v>
      </c>
      <c r="F5" s="20" t="s">
        <v>24</v>
      </c>
      <c r="G5" s="20" t="s">
        <v>25</v>
      </c>
      <c r="H5" s="20" t="s">
        <v>26</v>
      </c>
      <c r="I5" s="20" t="s">
        <v>27</v>
      </c>
      <c r="J5" s="20" t="s">
        <v>28</v>
      </c>
      <c r="K5" s="20" t="s">
        <v>29</v>
      </c>
      <c r="L5" s="20" t="s">
        <v>30</v>
      </c>
      <c r="M5" s="20" t="s">
        <v>31</v>
      </c>
      <c r="N5" s="21" t="s">
        <v>32</v>
      </c>
    </row>
    <row r="6" spans="1:14" ht="14.1" customHeight="1" x14ac:dyDescent="0.25">
      <c r="A6" s="31" t="s">
        <v>18</v>
      </c>
      <c r="B6" s="32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9"/>
    </row>
    <row r="7" spans="1:14" ht="14.1" customHeight="1" x14ac:dyDescent="0.25">
      <c r="A7" s="2" t="s">
        <v>33</v>
      </c>
      <c r="B7" s="3" t="s">
        <v>34</v>
      </c>
      <c r="C7" s="4">
        <v>621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458</v>
      </c>
      <c r="J7" s="4">
        <v>160</v>
      </c>
      <c r="K7" s="4">
        <v>8</v>
      </c>
      <c r="L7" s="4">
        <v>1</v>
      </c>
      <c r="M7" s="4">
        <v>627</v>
      </c>
      <c r="N7" s="5">
        <v>627</v>
      </c>
    </row>
    <row r="8" spans="1:14" ht="14.1" customHeight="1" x14ac:dyDescent="0.25">
      <c r="A8" s="6" t="s">
        <v>35</v>
      </c>
      <c r="B8" s="7" t="s">
        <v>36</v>
      </c>
      <c r="C8" s="8">
        <v>74</v>
      </c>
      <c r="D8" s="8">
        <v>1</v>
      </c>
      <c r="E8" s="8">
        <v>3</v>
      </c>
      <c r="F8" s="8">
        <v>17</v>
      </c>
      <c r="G8" s="8">
        <v>9</v>
      </c>
      <c r="H8" s="8">
        <v>30</v>
      </c>
      <c r="I8" s="8">
        <v>24</v>
      </c>
      <c r="J8" s="8">
        <v>19</v>
      </c>
      <c r="K8" s="8">
        <v>1</v>
      </c>
      <c r="L8" s="8">
        <v>0</v>
      </c>
      <c r="M8" s="8">
        <v>44</v>
      </c>
      <c r="N8" s="9">
        <v>74</v>
      </c>
    </row>
    <row r="9" spans="1:14" ht="14.1" customHeight="1" x14ac:dyDescent="0.25">
      <c r="A9" s="2" t="s">
        <v>37</v>
      </c>
      <c r="B9" s="3" t="s">
        <v>38</v>
      </c>
      <c r="C9" s="4">
        <v>1113</v>
      </c>
      <c r="D9" s="4">
        <v>0</v>
      </c>
      <c r="E9" s="4">
        <v>0</v>
      </c>
      <c r="F9" s="4">
        <v>2</v>
      </c>
      <c r="G9" s="4">
        <v>2</v>
      </c>
      <c r="H9" s="4">
        <v>4</v>
      </c>
      <c r="I9" s="4">
        <v>868</v>
      </c>
      <c r="J9" s="4">
        <v>455</v>
      </c>
      <c r="K9" s="4">
        <v>151</v>
      </c>
      <c r="L9" s="4">
        <v>0</v>
      </c>
      <c r="M9" s="4">
        <v>1474</v>
      </c>
      <c r="N9" s="5">
        <v>1478</v>
      </c>
    </row>
    <row r="10" spans="1:14" ht="14.1" customHeight="1" x14ac:dyDescent="0.25">
      <c r="A10" s="6" t="s">
        <v>39</v>
      </c>
      <c r="B10" s="7" t="s">
        <v>40</v>
      </c>
      <c r="C10" s="8">
        <v>881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644</v>
      </c>
      <c r="J10" s="8">
        <v>225</v>
      </c>
      <c r="K10" s="8">
        <v>10</v>
      </c>
      <c r="L10" s="8">
        <v>2</v>
      </c>
      <c r="M10" s="8">
        <v>881</v>
      </c>
      <c r="N10" s="9">
        <v>881</v>
      </c>
    </row>
    <row r="11" spans="1:14" ht="14.1" customHeight="1" x14ac:dyDescent="0.25">
      <c r="A11" s="2" t="s">
        <v>41</v>
      </c>
      <c r="B11" s="3" t="s">
        <v>42</v>
      </c>
      <c r="C11" s="4">
        <v>1246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786</v>
      </c>
      <c r="J11" s="4">
        <v>408</v>
      </c>
      <c r="K11" s="4">
        <v>47</v>
      </c>
      <c r="L11" s="4">
        <v>5</v>
      </c>
      <c r="M11" s="4">
        <v>1246</v>
      </c>
      <c r="N11" s="5">
        <v>1246</v>
      </c>
    </row>
    <row r="12" spans="1:14" ht="14.1" customHeight="1" x14ac:dyDescent="0.25">
      <c r="A12" s="6" t="s">
        <v>43</v>
      </c>
      <c r="B12" s="7" t="s">
        <v>44</v>
      </c>
      <c r="C12" s="8">
        <v>73</v>
      </c>
      <c r="D12" s="8">
        <v>2</v>
      </c>
      <c r="E12" s="8">
        <v>12</v>
      </c>
      <c r="F12" s="8">
        <v>26</v>
      </c>
      <c r="G12" s="8">
        <v>17</v>
      </c>
      <c r="H12" s="8">
        <v>57</v>
      </c>
      <c r="I12" s="8">
        <v>10</v>
      </c>
      <c r="J12" s="8">
        <v>6</v>
      </c>
      <c r="K12" s="8">
        <v>2</v>
      </c>
      <c r="L12" s="8">
        <v>0</v>
      </c>
      <c r="M12" s="8">
        <v>18</v>
      </c>
      <c r="N12" s="9">
        <v>75</v>
      </c>
    </row>
    <row r="13" spans="1:14" ht="14.1" customHeight="1" x14ac:dyDescent="0.25">
      <c r="A13" s="2" t="s">
        <v>45</v>
      </c>
      <c r="B13" s="3" t="s">
        <v>46</v>
      </c>
      <c r="C13" s="4">
        <v>610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407</v>
      </c>
      <c r="J13" s="4">
        <v>189</v>
      </c>
      <c r="K13" s="4">
        <v>12</v>
      </c>
      <c r="L13" s="4">
        <v>2</v>
      </c>
      <c r="M13" s="4">
        <v>610</v>
      </c>
      <c r="N13" s="5">
        <v>610</v>
      </c>
    </row>
    <row r="14" spans="1:14" ht="14.1" customHeight="1" x14ac:dyDescent="0.25">
      <c r="A14" s="6" t="s">
        <v>47</v>
      </c>
      <c r="B14" s="7" t="s">
        <v>48</v>
      </c>
      <c r="C14" s="8">
        <v>1787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1094</v>
      </c>
      <c r="J14" s="8">
        <v>628</v>
      </c>
      <c r="K14" s="8">
        <v>59</v>
      </c>
      <c r="L14" s="8">
        <v>6</v>
      </c>
      <c r="M14" s="8">
        <v>1787</v>
      </c>
      <c r="N14" s="9">
        <v>1787</v>
      </c>
    </row>
    <row r="15" spans="1:14" ht="14.1" customHeight="1" x14ac:dyDescent="0.25">
      <c r="A15" s="2" t="s">
        <v>49</v>
      </c>
      <c r="B15" s="3" t="s">
        <v>50</v>
      </c>
      <c r="C15" s="4">
        <v>359</v>
      </c>
      <c r="D15" s="4">
        <v>10</v>
      </c>
      <c r="E15" s="4">
        <v>22</v>
      </c>
      <c r="F15" s="4">
        <v>95</v>
      </c>
      <c r="G15" s="4">
        <v>96</v>
      </c>
      <c r="H15" s="4">
        <v>223</v>
      </c>
      <c r="I15" s="4">
        <v>109</v>
      </c>
      <c r="J15" s="4">
        <v>32</v>
      </c>
      <c r="K15" s="4">
        <v>5</v>
      </c>
      <c r="L15" s="4">
        <v>0</v>
      </c>
      <c r="M15" s="4">
        <v>146</v>
      </c>
      <c r="N15" s="5">
        <v>369</v>
      </c>
    </row>
    <row r="16" spans="1:14" ht="14.1" customHeight="1" x14ac:dyDescent="0.25">
      <c r="A16" s="6" t="s">
        <v>51</v>
      </c>
      <c r="B16" s="7" t="s">
        <v>52</v>
      </c>
      <c r="C16" s="8">
        <v>1298</v>
      </c>
      <c r="D16" s="8">
        <v>0</v>
      </c>
      <c r="E16" s="8">
        <v>0</v>
      </c>
      <c r="F16" s="8">
        <v>10</v>
      </c>
      <c r="G16" s="8">
        <v>174</v>
      </c>
      <c r="H16" s="8">
        <v>184</v>
      </c>
      <c r="I16" s="8">
        <v>903</v>
      </c>
      <c r="J16" s="8">
        <v>208</v>
      </c>
      <c r="K16" s="8">
        <v>3</v>
      </c>
      <c r="L16" s="8">
        <v>0</v>
      </c>
      <c r="M16" s="8">
        <v>1114</v>
      </c>
      <c r="N16" s="9">
        <v>1298</v>
      </c>
    </row>
    <row r="17" spans="1:14" ht="14.1" customHeight="1" x14ac:dyDescent="0.25">
      <c r="A17" s="2" t="s">
        <v>53</v>
      </c>
      <c r="B17" s="3" t="s">
        <v>54</v>
      </c>
      <c r="C17" s="4">
        <v>595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385</v>
      </c>
      <c r="J17" s="4">
        <v>190</v>
      </c>
      <c r="K17" s="4">
        <v>21</v>
      </c>
      <c r="L17" s="4">
        <v>2</v>
      </c>
      <c r="M17" s="4">
        <v>598</v>
      </c>
      <c r="N17" s="5">
        <v>598</v>
      </c>
    </row>
    <row r="18" spans="1:14" ht="14.1" customHeight="1" x14ac:dyDescent="0.25">
      <c r="A18" s="6" t="s">
        <v>55</v>
      </c>
      <c r="B18" s="7" t="s">
        <v>56</v>
      </c>
      <c r="C18" s="8">
        <v>814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414</v>
      </c>
      <c r="J18" s="8">
        <v>336</v>
      </c>
      <c r="K18" s="8">
        <v>55</v>
      </c>
      <c r="L18" s="8">
        <v>15</v>
      </c>
      <c r="M18" s="8">
        <v>820</v>
      </c>
      <c r="N18" s="9">
        <v>820</v>
      </c>
    </row>
    <row r="19" spans="1:14" ht="14.1" customHeight="1" x14ac:dyDescent="0.25">
      <c r="A19" s="2" t="s">
        <v>57</v>
      </c>
      <c r="B19" s="3" t="s">
        <v>58</v>
      </c>
      <c r="C19" s="4">
        <v>3029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1970</v>
      </c>
      <c r="J19" s="4">
        <v>931</v>
      </c>
      <c r="K19" s="4">
        <v>138</v>
      </c>
      <c r="L19" s="4">
        <v>7</v>
      </c>
      <c r="M19" s="4">
        <v>3046</v>
      </c>
      <c r="N19" s="5">
        <v>3046</v>
      </c>
    </row>
    <row r="20" spans="1:14" ht="14.1" customHeight="1" x14ac:dyDescent="0.25">
      <c r="A20" s="6" t="s">
        <v>59</v>
      </c>
      <c r="B20" s="7" t="s">
        <v>60</v>
      </c>
      <c r="C20" s="8">
        <v>2904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1860</v>
      </c>
      <c r="J20" s="8">
        <v>934</v>
      </c>
      <c r="K20" s="8">
        <v>106</v>
      </c>
      <c r="L20" s="8">
        <v>11</v>
      </c>
      <c r="M20" s="8">
        <v>2911</v>
      </c>
      <c r="N20" s="9">
        <v>2911</v>
      </c>
    </row>
    <row r="21" spans="1:14" ht="14.1" customHeight="1" x14ac:dyDescent="0.25">
      <c r="A21" s="2" t="s">
        <v>61</v>
      </c>
      <c r="B21" s="3" t="s">
        <v>62</v>
      </c>
      <c r="C21" s="4">
        <v>42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29</v>
      </c>
      <c r="J21" s="4">
        <v>13</v>
      </c>
      <c r="K21" s="4">
        <v>0</v>
      </c>
      <c r="L21" s="4">
        <v>0</v>
      </c>
      <c r="M21" s="4">
        <v>42</v>
      </c>
      <c r="N21" s="5">
        <v>42</v>
      </c>
    </row>
    <row r="22" spans="1:14" ht="14.1" customHeight="1" x14ac:dyDescent="0.25">
      <c r="A22" s="6" t="s">
        <v>63</v>
      </c>
      <c r="B22" s="7" t="s">
        <v>64</v>
      </c>
      <c r="C22" s="8">
        <v>75</v>
      </c>
      <c r="D22" s="8">
        <v>0</v>
      </c>
      <c r="E22" s="8">
        <v>1</v>
      </c>
      <c r="F22" s="8">
        <v>2</v>
      </c>
      <c r="G22" s="8">
        <v>0</v>
      </c>
      <c r="H22" s="8">
        <v>3</v>
      </c>
      <c r="I22" s="8">
        <v>39</v>
      </c>
      <c r="J22" s="8">
        <v>30</v>
      </c>
      <c r="K22" s="8">
        <v>3</v>
      </c>
      <c r="L22" s="8">
        <v>0</v>
      </c>
      <c r="M22" s="8">
        <v>72</v>
      </c>
      <c r="N22" s="9">
        <v>75</v>
      </c>
    </row>
    <row r="23" spans="1:14" ht="14.1" customHeight="1" x14ac:dyDescent="0.25">
      <c r="A23" s="2" t="s">
        <v>65</v>
      </c>
      <c r="B23" s="3" t="s">
        <v>66</v>
      </c>
      <c r="C23" s="4">
        <v>14</v>
      </c>
      <c r="D23" s="4">
        <v>0</v>
      </c>
      <c r="E23" s="4">
        <v>0</v>
      </c>
      <c r="F23" s="4">
        <v>0</v>
      </c>
      <c r="G23" s="4">
        <v>1</v>
      </c>
      <c r="H23" s="4">
        <v>1</v>
      </c>
      <c r="I23" s="4">
        <v>11</v>
      </c>
      <c r="J23" s="4">
        <v>1</v>
      </c>
      <c r="K23" s="4">
        <v>1</v>
      </c>
      <c r="L23" s="4">
        <v>0</v>
      </c>
      <c r="M23" s="4">
        <v>13</v>
      </c>
      <c r="N23" s="5">
        <v>14</v>
      </c>
    </row>
    <row r="24" spans="1:14" ht="14.1" customHeight="1" x14ac:dyDescent="0.25">
      <c r="A24" s="6" t="s">
        <v>67</v>
      </c>
      <c r="B24" s="7" t="s">
        <v>68</v>
      </c>
      <c r="C24" s="8">
        <v>7</v>
      </c>
      <c r="D24" s="8">
        <v>0</v>
      </c>
      <c r="E24" s="8">
        <v>0</v>
      </c>
      <c r="F24" s="8">
        <v>1</v>
      </c>
      <c r="G24" s="8">
        <v>0</v>
      </c>
      <c r="H24" s="8">
        <v>1</v>
      </c>
      <c r="I24" s="8">
        <v>5</v>
      </c>
      <c r="J24" s="8">
        <v>1</v>
      </c>
      <c r="K24" s="8">
        <v>0</v>
      </c>
      <c r="L24" s="8">
        <v>0</v>
      </c>
      <c r="M24" s="8">
        <v>6</v>
      </c>
      <c r="N24" s="9">
        <v>7</v>
      </c>
    </row>
    <row r="25" spans="1:14" ht="14.1" customHeight="1" x14ac:dyDescent="0.25">
      <c r="A25" s="2" t="s">
        <v>69</v>
      </c>
      <c r="B25" s="3" t="s">
        <v>70</v>
      </c>
      <c r="C25" s="4">
        <v>1464</v>
      </c>
      <c r="D25" s="4">
        <v>0</v>
      </c>
      <c r="E25" s="4">
        <v>0</v>
      </c>
      <c r="F25" s="4">
        <v>0</v>
      </c>
      <c r="G25" s="4">
        <v>1</v>
      </c>
      <c r="H25" s="4">
        <v>1</v>
      </c>
      <c r="I25" s="4">
        <v>1425</v>
      </c>
      <c r="J25" s="4">
        <v>31</v>
      </c>
      <c r="K25" s="4">
        <v>3</v>
      </c>
      <c r="L25" s="4">
        <v>4</v>
      </c>
      <c r="M25" s="4">
        <v>1463</v>
      </c>
      <c r="N25" s="5">
        <v>1464</v>
      </c>
    </row>
    <row r="26" spans="1:14" ht="14.1" customHeight="1" x14ac:dyDescent="0.25">
      <c r="A26" s="6" t="s">
        <v>71</v>
      </c>
      <c r="B26" s="7" t="s">
        <v>72</v>
      </c>
      <c r="C26" s="8">
        <v>517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349</v>
      </c>
      <c r="J26" s="8">
        <v>150</v>
      </c>
      <c r="K26" s="8">
        <v>12</v>
      </c>
      <c r="L26" s="8">
        <v>6</v>
      </c>
      <c r="M26" s="8">
        <v>517</v>
      </c>
      <c r="N26" s="9">
        <v>517</v>
      </c>
    </row>
    <row r="27" spans="1:14" ht="14.1" customHeight="1" x14ac:dyDescent="0.25">
      <c r="A27" s="2" t="s">
        <v>73</v>
      </c>
      <c r="B27" s="3" t="s">
        <v>74</v>
      </c>
      <c r="C27" s="4">
        <v>5399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3615</v>
      </c>
      <c r="J27" s="4">
        <v>1506</v>
      </c>
      <c r="K27" s="4">
        <v>287</v>
      </c>
      <c r="L27" s="4">
        <v>0</v>
      </c>
      <c r="M27" s="4">
        <v>5408</v>
      </c>
      <c r="N27" s="5">
        <v>5408</v>
      </c>
    </row>
    <row r="28" spans="1:14" ht="14.1" customHeight="1" x14ac:dyDescent="0.25">
      <c r="A28" s="6" t="s">
        <v>75</v>
      </c>
      <c r="B28" s="7" t="s">
        <v>76</v>
      </c>
      <c r="C28" s="8">
        <v>13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9</v>
      </c>
      <c r="J28" s="8">
        <v>3</v>
      </c>
      <c r="K28" s="8">
        <v>0</v>
      </c>
      <c r="L28" s="8">
        <v>1</v>
      </c>
      <c r="M28" s="8">
        <v>13</v>
      </c>
      <c r="N28" s="9">
        <v>13</v>
      </c>
    </row>
    <row r="29" spans="1:14" ht="14.1" customHeight="1" x14ac:dyDescent="0.25">
      <c r="A29" s="2" t="s">
        <v>77</v>
      </c>
      <c r="B29" s="3" t="s">
        <v>78</v>
      </c>
      <c r="C29" s="4">
        <v>421</v>
      </c>
      <c r="D29" s="4">
        <v>0</v>
      </c>
      <c r="E29" s="4">
        <v>0</v>
      </c>
      <c r="F29" s="4">
        <v>2</v>
      </c>
      <c r="G29" s="4">
        <v>3</v>
      </c>
      <c r="H29" s="4">
        <v>5</v>
      </c>
      <c r="I29" s="4">
        <v>312</v>
      </c>
      <c r="J29" s="4">
        <v>84</v>
      </c>
      <c r="K29" s="4">
        <v>9</v>
      </c>
      <c r="L29" s="4">
        <v>11</v>
      </c>
      <c r="M29" s="4">
        <v>416</v>
      </c>
      <c r="N29" s="5">
        <v>421</v>
      </c>
    </row>
    <row r="30" spans="1:14" ht="14.1" customHeight="1" x14ac:dyDescent="0.25">
      <c r="A30" s="6" t="s">
        <v>79</v>
      </c>
      <c r="B30" s="7" t="s">
        <v>80</v>
      </c>
      <c r="C30" s="8">
        <v>814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563</v>
      </c>
      <c r="J30" s="8">
        <v>221</v>
      </c>
      <c r="K30" s="8">
        <v>27</v>
      </c>
      <c r="L30" s="8">
        <v>3</v>
      </c>
      <c r="M30" s="8">
        <v>814</v>
      </c>
      <c r="N30" s="9">
        <v>814</v>
      </c>
    </row>
    <row r="31" spans="1:14" ht="14.1" customHeight="1" x14ac:dyDescent="0.25">
      <c r="A31" s="2" t="s">
        <v>81</v>
      </c>
      <c r="B31" s="3" t="s">
        <v>82</v>
      </c>
      <c r="C31" s="4">
        <v>62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42</v>
      </c>
      <c r="J31" s="4">
        <v>16</v>
      </c>
      <c r="K31" s="4">
        <v>4</v>
      </c>
      <c r="L31" s="4">
        <v>0</v>
      </c>
      <c r="M31" s="4">
        <v>62</v>
      </c>
      <c r="N31" s="5">
        <v>62</v>
      </c>
    </row>
    <row r="32" spans="1:14" ht="14.1" customHeight="1" x14ac:dyDescent="0.25">
      <c r="A32" s="6" t="s">
        <v>83</v>
      </c>
      <c r="B32" s="7" t="s">
        <v>84</v>
      </c>
      <c r="C32" s="8">
        <v>3690</v>
      </c>
      <c r="D32" s="8">
        <v>17</v>
      </c>
      <c r="E32" s="8">
        <v>46</v>
      </c>
      <c r="F32" s="8">
        <v>193</v>
      </c>
      <c r="G32" s="8">
        <v>203</v>
      </c>
      <c r="H32" s="8">
        <v>459</v>
      </c>
      <c r="I32" s="8">
        <v>2427</v>
      </c>
      <c r="J32" s="8">
        <v>724</v>
      </c>
      <c r="K32" s="8">
        <v>81</v>
      </c>
      <c r="L32" s="8">
        <v>1</v>
      </c>
      <c r="M32" s="8">
        <v>3233</v>
      </c>
      <c r="N32" s="9">
        <v>3692</v>
      </c>
    </row>
    <row r="33" spans="1:14" ht="14.1" customHeight="1" x14ac:dyDescent="0.25">
      <c r="A33" s="2" t="s">
        <v>85</v>
      </c>
      <c r="B33" s="3" t="s">
        <v>86</v>
      </c>
      <c r="C33" s="4">
        <v>867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487</v>
      </c>
      <c r="J33" s="4">
        <v>352</v>
      </c>
      <c r="K33" s="4">
        <v>65</v>
      </c>
      <c r="L33" s="4">
        <v>1</v>
      </c>
      <c r="M33" s="4">
        <v>905</v>
      </c>
      <c r="N33" s="5">
        <v>905</v>
      </c>
    </row>
    <row r="34" spans="1:14" ht="14.1" customHeight="1" x14ac:dyDescent="0.25">
      <c r="A34" s="6" t="s">
        <v>87</v>
      </c>
      <c r="B34" s="7" t="s">
        <v>88</v>
      </c>
      <c r="C34" s="8">
        <v>1111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680</v>
      </c>
      <c r="J34" s="8">
        <v>392</v>
      </c>
      <c r="K34" s="8">
        <v>38</v>
      </c>
      <c r="L34" s="8">
        <v>2</v>
      </c>
      <c r="M34" s="8">
        <v>1112</v>
      </c>
      <c r="N34" s="9">
        <v>1112</v>
      </c>
    </row>
    <row r="35" spans="1:14" ht="14.1" customHeight="1" x14ac:dyDescent="0.25">
      <c r="A35" s="10"/>
      <c r="B35" s="11" t="s">
        <v>89</v>
      </c>
      <c r="C35" s="12">
        <v>29900</v>
      </c>
      <c r="D35" s="12">
        <v>30</v>
      </c>
      <c r="E35" s="12">
        <v>84</v>
      </c>
      <c r="F35" s="12">
        <v>348</v>
      </c>
      <c r="G35" s="12">
        <v>506</v>
      </c>
      <c r="H35" s="12">
        <v>968</v>
      </c>
      <c r="I35" s="12">
        <v>19925</v>
      </c>
      <c r="J35" s="12">
        <v>8245</v>
      </c>
      <c r="K35" s="12">
        <v>1148</v>
      </c>
      <c r="L35" s="12">
        <v>80</v>
      </c>
      <c r="M35" s="12">
        <v>29398</v>
      </c>
      <c r="N35" s="13">
        <v>30366</v>
      </c>
    </row>
    <row r="36" spans="1:14" ht="14.1" customHeight="1" x14ac:dyDescent="0.25">
      <c r="A36" s="31" t="s">
        <v>90</v>
      </c>
      <c r="B36" s="32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9"/>
    </row>
    <row r="37" spans="1:14" ht="14.1" customHeight="1" x14ac:dyDescent="0.25">
      <c r="A37" s="2" t="s">
        <v>91</v>
      </c>
      <c r="B37" s="3" t="s">
        <v>92</v>
      </c>
      <c r="C37" s="4">
        <v>12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9</v>
      </c>
      <c r="J37" s="4">
        <v>3</v>
      </c>
      <c r="K37" s="4">
        <v>0</v>
      </c>
      <c r="L37" s="4">
        <v>0</v>
      </c>
      <c r="M37" s="4">
        <v>12</v>
      </c>
      <c r="N37" s="5">
        <v>12</v>
      </c>
    </row>
    <row r="38" spans="1:14" ht="14.1" customHeight="1" x14ac:dyDescent="0.25">
      <c r="A38" s="6" t="s">
        <v>93</v>
      </c>
      <c r="B38" s="7" t="s">
        <v>94</v>
      </c>
      <c r="C38" s="8">
        <v>78</v>
      </c>
      <c r="D38" s="8">
        <v>2</v>
      </c>
      <c r="E38" s="8">
        <v>4</v>
      </c>
      <c r="F38" s="8">
        <v>21</v>
      </c>
      <c r="G38" s="8">
        <v>21</v>
      </c>
      <c r="H38" s="8">
        <v>48</v>
      </c>
      <c r="I38" s="8">
        <v>21</v>
      </c>
      <c r="J38" s="8">
        <v>9</v>
      </c>
      <c r="K38" s="8">
        <v>0</v>
      </c>
      <c r="L38" s="8">
        <v>0</v>
      </c>
      <c r="M38" s="8">
        <v>30</v>
      </c>
      <c r="N38" s="9">
        <v>78</v>
      </c>
    </row>
    <row r="39" spans="1:14" ht="25.5" x14ac:dyDescent="0.25">
      <c r="A39" s="2" t="s">
        <v>95</v>
      </c>
      <c r="B39" s="3" t="s">
        <v>96</v>
      </c>
      <c r="C39" s="4">
        <v>9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6</v>
      </c>
      <c r="J39" s="4">
        <v>3</v>
      </c>
      <c r="K39" s="4">
        <v>0</v>
      </c>
      <c r="L39" s="4">
        <v>0</v>
      </c>
      <c r="M39" s="4">
        <v>9</v>
      </c>
      <c r="N39" s="5">
        <v>9</v>
      </c>
    </row>
    <row r="40" spans="1:14" ht="14.1" customHeight="1" x14ac:dyDescent="0.25">
      <c r="A40" s="6" t="s">
        <v>97</v>
      </c>
      <c r="B40" s="7" t="s">
        <v>98</v>
      </c>
      <c r="C40" s="8">
        <v>1212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886</v>
      </c>
      <c r="J40" s="8">
        <v>304</v>
      </c>
      <c r="K40" s="8">
        <v>17</v>
      </c>
      <c r="L40" s="8">
        <v>5</v>
      </c>
      <c r="M40" s="8">
        <v>1212</v>
      </c>
      <c r="N40" s="9">
        <v>1212</v>
      </c>
    </row>
    <row r="41" spans="1:14" ht="14.1" customHeight="1" x14ac:dyDescent="0.25">
      <c r="A41" s="2" t="s">
        <v>99</v>
      </c>
      <c r="B41" s="3" t="s">
        <v>100</v>
      </c>
      <c r="C41" s="4">
        <v>287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203</v>
      </c>
      <c r="J41" s="4">
        <v>78</v>
      </c>
      <c r="K41" s="4">
        <v>5</v>
      </c>
      <c r="L41" s="4">
        <v>1</v>
      </c>
      <c r="M41" s="4">
        <v>287</v>
      </c>
      <c r="N41" s="5">
        <v>287</v>
      </c>
    </row>
    <row r="42" spans="1:14" ht="14.1" customHeight="1" x14ac:dyDescent="0.25">
      <c r="A42" s="6" t="s">
        <v>101</v>
      </c>
      <c r="B42" s="7" t="s">
        <v>102</v>
      </c>
      <c r="C42" s="8">
        <v>5</v>
      </c>
      <c r="D42" s="8">
        <v>0</v>
      </c>
      <c r="E42" s="8">
        <v>0</v>
      </c>
      <c r="F42" s="8">
        <v>1</v>
      </c>
      <c r="G42" s="8">
        <v>0</v>
      </c>
      <c r="H42" s="8">
        <v>1</v>
      </c>
      <c r="I42" s="8">
        <v>2</v>
      </c>
      <c r="J42" s="8">
        <v>2</v>
      </c>
      <c r="K42" s="8">
        <v>0</v>
      </c>
      <c r="L42" s="8">
        <v>0</v>
      </c>
      <c r="M42" s="8">
        <v>4</v>
      </c>
      <c r="N42" s="9">
        <v>5</v>
      </c>
    </row>
    <row r="43" spans="1:14" ht="14.1" customHeight="1" x14ac:dyDescent="0.25">
      <c r="A43" s="2" t="s">
        <v>103</v>
      </c>
      <c r="B43" s="3" t="s">
        <v>104</v>
      </c>
      <c r="C43" s="4">
        <v>4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4</v>
      </c>
      <c r="J43" s="4">
        <v>0</v>
      </c>
      <c r="K43" s="4">
        <v>0</v>
      </c>
      <c r="L43" s="4">
        <v>0</v>
      </c>
      <c r="M43" s="4">
        <v>4</v>
      </c>
      <c r="N43" s="5">
        <v>4</v>
      </c>
    </row>
    <row r="44" spans="1:14" ht="14.1" customHeight="1" x14ac:dyDescent="0.25">
      <c r="A44" s="6" t="s">
        <v>105</v>
      </c>
      <c r="B44" s="7" t="s">
        <v>106</v>
      </c>
      <c r="C44" s="8">
        <v>9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7</v>
      </c>
      <c r="J44" s="8">
        <v>0</v>
      </c>
      <c r="K44" s="8">
        <v>1</v>
      </c>
      <c r="L44" s="8">
        <v>1</v>
      </c>
      <c r="M44" s="8">
        <v>9</v>
      </c>
      <c r="N44" s="9">
        <v>9</v>
      </c>
    </row>
    <row r="45" spans="1:14" ht="14.1" customHeight="1" x14ac:dyDescent="0.25">
      <c r="A45" s="10"/>
      <c r="B45" s="11" t="s">
        <v>107</v>
      </c>
      <c r="C45" s="12">
        <v>1616</v>
      </c>
      <c r="D45" s="12">
        <v>2</v>
      </c>
      <c r="E45" s="12">
        <v>4</v>
      </c>
      <c r="F45" s="12">
        <v>22</v>
      </c>
      <c r="G45" s="12">
        <v>21</v>
      </c>
      <c r="H45" s="12">
        <v>49</v>
      </c>
      <c r="I45" s="12">
        <v>1138</v>
      </c>
      <c r="J45" s="12">
        <v>399</v>
      </c>
      <c r="K45" s="12">
        <v>23</v>
      </c>
      <c r="L45" s="12">
        <v>7</v>
      </c>
      <c r="M45" s="12">
        <v>1567</v>
      </c>
      <c r="N45" s="13">
        <v>1616</v>
      </c>
    </row>
    <row r="46" spans="1:14" ht="14.1" customHeight="1" x14ac:dyDescent="0.25">
      <c r="A46" s="14"/>
      <c r="B46" s="15" t="s">
        <v>108</v>
      </c>
      <c r="C46" s="16">
        <v>31516</v>
      </c>
      <c r="D46" s="16">
        <v>32</v>
      </c>
      <c r="E46" s="16">
        <v>88</v>
      </c>
      <c r="F46" s="16">
        <v>370</v>
      </c>
      <c r="G46" s="16">
        <v>527</v>
      </c>
      <c r="H46" s="16">
        <v>1017</v>
      </c>
      <c r="I46" s="16">
        <v>21063</v>
      </c>
      <c r="J46" s="16">
        <v>8644</v>
      </c>
      <c r="K46" s="16">
        <v>1171</v>
      </c>
      <c r="L46" s="16">
        <v>87</v>
      </c>
      <c r="M46" s="16">
        <v>30965</v>
      </c>
      <c r="N46" s="17">
        <v>31982</v>
      </c>
    </row>
    <row r="47" spans="1:14" ht="24" customHeight="1" x14ac:dyDescent="0.25">
      <c r="A47" s="29" t="s">
        <v>111</v>
      </c>
      <c r="B47" s="30"/>
      <c r="C47" s="25"/>
      <c r="D47" s="27">
        <f>(D46/$N$46)*100</f>
        <v>0.10005628165843287</v>
      </c>
      <c r="E47" s="27">
        <f t="shared" ref="E47:N47" si="0">(E46/$N$46)*100</f>
        <v>0.27515477456069037</v>
      </c>
      <c r="F47" s="27">
        <f t="shared" si="0"/>
        <v>1.15690075667563</v>
      </c>
      <c r="G47" s="27">
        <f t="shared" si="0"/>
        <v>1.6478018885623162</v>
      </c>
      <c r="H47" s="28">
        <f t="shared" si="0"/>
        <v>3.1799137014570698</v>
      </c>
      <c r="I47" s="27">
        <f t="shared" si="0"/>
        <v>65.858920642861605</v>
      </c>
      <c r="J47" s="27">
        <f t="shared" si="0"/>
        <v>27.027703082984178</v>
      </c>
      <c r="K47" s="27">
        <f t="shared" si="0"/>
        <v>3.6614345569382776</v>
      </c>
      <c r="L47" s="27">
        <f t="shared" si="0"/>
        <v>0.27202801575886437</v>
      </c>
      <c r="M47" s="28">
        <f t="shared" si="0"/>
        <v>96.820086298542932</v>
      </c>
      <c r="N47" s="26">
        <f t="shared" si="0"/>
        <v>100</v>
      </c>
    </row>
    <row r="48" spans="1:14" ht="12" customHeight="1" x14ac:dyDescent="0.25">
      <c r="A48" s="22" t="s">
        <v>109</v>
      </c>
      <c r="N48" s="23" t="s">
        <v>110</v>
      </c>
    </row>
    <row r="49" spans="1:1" ht="12" customHeight="1" x14ac:dyDescent="0.25">
      <c r="A49" s="22" t="s">
        <v>112</v>
      </c>
    </row>
    <row r="50" spans="1:1" x14ac:dyDescent="0.25">
      <c r="A50" s="24"/>
    </row>
  </sheetData>
  <mergeCells count="11">
    <mergeCell ref="A47:B47"/>
    <mergeCell ref="A6:B6"/>
    <mergeCell ref="A36:B36"/>
    <mergeCell ref="A1:N1"/>
    <mergeCell ref="A2:N2"/>
    <mergeCell ref="A3:A4"/>
    <mergeCell ref="B3:B4"/>
    <mergeCell ref="C3:C4"/>
    <mergeCell ref="D3:H3"/>
    <mergeCell ref="I3:M3"/>
    <mergeCell ref="N3:N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2023-12-01T05:26:25Z</cp:lastPrinted>
  <dcterms:created xsi:type="dcterms:W3CDTF">2023-07-11T08:46:39Z</dcterms:created>
  <dcterms:modified xsi:type="dcterms:W3CDTF">2023-12-01T06:51:27Z</dcterms:modified>
</cp:coreProperties>
</file>