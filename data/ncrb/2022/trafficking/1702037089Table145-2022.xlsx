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5" sheetId="21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14.5'!$A$1:$Q$48</definedName>
  </definedNames>
  <calcPr calcId="145621"/>
</workbook>
</file>

<file path=xl/calcChain.xml><?xml version="1.0" encoding="utf-8"?>
<calcChain xmlns="http://schemas.openxmlformats.org/spreadsheetml/2006/main">
  <c r="Q6" i="21" l="1"/>
  <c r="M44" i="21" l="1"/>
  <c r="N44" i="21"/>
  <c r="O44" i="21"/>
  <c r="P44" i="21"/>
  <c r="L44" i="21"/>
  <c r="D44" i="21"/>
  <c r="E44" i="21"/>
  <c r="F44" i="21"/>
  <c r="G44" i="21"/>
  <c r="H44" i="21"/>
  <c r="C44" i="21"/>
  <c r="M34" i="21"/>
  <c r="N34" i="21"/>
  <c r="O34" i="21"/>
  <c r="P34" i="21"/>
  <c r="L34" i="21"/>
  <c r="D34" i="21"/>
  <c r="E34" i="21"/>
  <c r="F34" i="21"/>
  <c r="G34" i="21"/>
  <c r="H34" i="21"/>
  <c r="C34" i="21"/>
  <c r="C45" i="21" s="1"/>
  <c r="Q37" i="21" l="1"/>
  <c r="Q38" i="21"/>
  <c r="Q39" i="21"/>
  <c r="Q40" i="21"/>
  <c r="Q41" i="21"/>
  <c r="Q42" i="21"/>
  <c r="Q43" i="21"/>
  <c r="Q3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44" i="21" l="1"/>
  <c r="Q34" i="21"/>
  <c r="F45" i="21"/>
  <c r="H45" i="21"/>
  <c r="P45" i="21"/>
  <c r="E45" i="21"/>
  <c r="N45" i="21"/>
  <c r="M45" i="21"/>
  <c r="L45" i="21"/>
  <c r="G45" i="21"/>
  <c r="D45" i="21"/>
  <c r="Q45" i="21" l="1"/>
  <c r="O45" i="21"/>
  <c r="I33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42" i="1" l="1"/>
  <c r="F41" i="1"/>
  <c r="F32" i="1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41" i="6"/>
  <c r="F42" i="6"/>
  <c r="F43" i="6"/>
  <c r="F5" i="6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3" l="1"/>
  <c r="E43" i="3"/>
  <c r="F43" i="3"/>
  <c r="G43" i="3"/>
  <c r="H43" i="3"/>
  <c r="I43" i="3"/>
  <c r="J43" i="3"/>
  <c r="K43" i="3"/>
  <c r="C43" i="3"/>
  <c r="D42" i="3"/>
  <c r="E42" i="3"/>
  <c r="F42" i="3"/>
  <c r="G42" i="3"/>
  <c r="H42" i="3"/>
  <c r="I42" i="3"/>
  <c r="J42" i="3"/>
  <c r="K42" i="3"/>
  <c r="C42" i="3"/>
  <c r="D33" i="3"/>
  <c r="E33" i="3"/>
  <c r="F33" i="3"/>
  <c r="G33" i="3"/>
  <c r="H33" i="3"/>
  <c r="I33" i="3"/>
  <c r="J33" i="3"/>
  <c r="K33" i="3"/>
  <c r="C33" i="3"/>
  <c r="F4" i="1" l="1"/>
  <c r="E32" i="1"/>
  <c r="J22" i="1"/>
  <c r="F5" i="1" l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G42" i="6" l="1"/>
  <c r="G33" i="6"/>
  <c r="G43" i="6" s="1"/>
  <c r="D42" i="6"/>
  <c r="D33" i="6"/>
  <c r="E42" i="6"/>
  <c r="E33" i="6"/>
  <c r="C42" i="6"/>
  <c r="C41" i="1"/>
  <c r="C32" i="1"/>
  <c r="C33" i="6"/>
  <c r="E43" i="6" l="1"/>
  <c r="D43" i="6"/>
  <c r="C43" i="6"/>
  <c r="C42" i="1"/>
  <c r="D4" i="1" l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s="1"/>
  <c r="I43" i="6" l="1"/>
  <c r="J43" i="6" s="1"/>
  <c r="J33" i="6"/>
</calcChain>
</file>

<file path=xl/sharedStrings.xml><?xml version="1.0" encoding="utf-8"?>
<sst xmlns="http://schemas.openxmlformats.org/spreadsheetml/2006/main" count="313" uniqueCount="119">
  <si>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</si>
  <si>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</si>
  <si>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</si>
  <si>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</si>
  <si>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</si>
  <si>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</si>
  <si>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</si>
  <si>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</si>
  <si>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</si>
  <si>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</si>
  <si>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</si>
  <si>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</si>
  <si>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</si>
  <si>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</si>
  <si>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</si>
  <si>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</si>
  <si>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</si>
  <si>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</si>
  <si>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</si>
  <si>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</si>
  <si>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</si>
  <si>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</si>
  <si>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</si>
  <si>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</si>
  <si>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</si>
  <si>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</si>
  <si>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</si>
  <si>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</si>
  <si>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</si>
  <si>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</si>
  <si>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</si>
  <si>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</si>
  <si>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</si>
  <si>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</si>
  <si>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</si>
  <si>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</si>
  <si>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</si>
  <si>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</si>
  <si>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</si>
  <si>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</si>
  <si>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</si>
  <si>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</si>
  <si>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</si>
  <si>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</si>
  <si>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</si>
  <si>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</si>
  <si>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</si>
  <si>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</si>
  <si>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</si>
  <si>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</si>
  <si>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</si>
  <si>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</si>
  <si>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</si>
  <si>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</si>
  <si>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</si>
  <si>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</si>
  <si>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</si>
  <si>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</si>
  <si>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</si>
  <si>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</si>
  <si>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States/UTs</t>
  </si>
  <si>
    <t>Other forms of sexual exploitation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</si>
  <si>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</si>
  <si>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</si>
  <si>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</si>
  <si>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</si>
  <si>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</si>
  <si>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</si>
  <si>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</si>
  <si>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</si>
  <si>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</si>
  <si>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</si>
  <si>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</si>
  <si>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</si>
  <si>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</si>
  <si>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</si>
  <si>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</si>
  <si>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</si>
  <si>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</si>
  <si>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</si>
  <si>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</si>
  <si>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</si>
  <si>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</si>
  <si>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</si>
  <si>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14.5</t>
  </si>
  <si>
    <t>Forced Labour</t>
  </si>
  <si>
    <t>Sexual Exploitation for Prostitution</t>
  </si>
  <si>
    <t>Petty Crimes</t>
  </si>
  <si>
    <t xml:space="preserve">Child Pornography </t>
  </si>
  <si>
    <t>Begging</t>
  </si>
  <si>
    <t>Drug Peddling</t>
  </si>
  <si>
    <t>Removal of Organs</t>
  </si>
  <si>
    <t>Other reasons</t>
  </si>
  <si>
    <t>Total Persons</t>
  </si>
  <si>
    <t>Forced marriage</t>
  </si>
  <si>
    <t>Domestic Servitude</t>
  </si>
  <si>
    <t>Human Trafficking data published is based on annual data as provided by States/UTs from their Anti Human Trafficking Units</t>
  </si>
  <si>
    <t>STATES:</t>
  </si>
  <si>
    <t>UNION TERRITORIES:</t>
  </si>
  <si>
    <t>TABLE 14.5 (Concluded)</t>
  </si>
  <si>
    <t>TABLE 14.5 - Page 1 of 2</t>
  </si>
  <si>
    <t>TABLE 14.5 - Page 2 of 2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</si>
  <si>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</si>
  <si>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</si>
  <si>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</si>
  <si>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</si>
  <si>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</si>
  <si>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</si>
  <si>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</si>
  <si>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</si>
  <si>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</si>
  <si>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</si>
  <si>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</si>
  <si>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</si>
  <si>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</si>
  <si>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</si>
  <si>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</si>
  <si>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</si>
  <si>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Purpose of Human Trafficking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</si>
</sst>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94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3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0" fillId="0" borderId="0" xfId="0" applyFont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right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8" borderId="4" xfId="0" applyFont="1" applyFill="1" applyBorder="1" applyAlignment="1">
      <alignment horizontal="right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3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right"/>
    </xf>
    <xf numFmtId="0" fontId="13" fillId="8" borderId="2" xfId="0" quotePrefix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8" borderId="6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right"/>
    </xf>
    <xf numFmtId="0" fontId="0" fillId="6" borderId="4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6" borderId="0" xfId="0" applyFont="1" applyFill="1" applyBorder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3" xfId="0" applyFont="1" applyFill="1" applyBorder="1" applyAlignment="1">
      <alignment horizontal="center" vertical="center"/>
    </xf>
    <xf numFmtId="0" fontId="8" fillId="0" borderId="0" xfId="0" applyFont="1"/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zoomScaleNormal="100" workbookViewId="0">
      <selection activeCell="K12" sqref="K12"/>
    </sheetView>
  </sheetViews>
  <sheetFormatPr defaultRowHeight="15" x14ac:dyDescent="0.25"/>
  <cols>
    <col min="1" max="1" width="4.140625" style="49" customWidth="1"/>
    <col min="2" max="2" width="25.85546875" style="42" customWidth="1"/>
    <col min="3" max="3" width="8.28515625" style="47" customWidth="1"/>
    <col min="4" max="4" width="12.140625" style="47" customWidth="1"/>
    <col min="5" max="6" width="11.5703125" style="47" customWidth="1"/>
    <col min="7" max="7" width="9" style="47" customWidth="1"/>
    <col min="8" max="8" width="8.7109375" style="42" customWidth="1"/>
    <col min="9" max="9" width="1.7109375" style="42" customWidth="1"/>
    <col min="10" max="10" width="4.85546875" style="49" customWidth="1"/>
    <col min="11" max="11" width="23.85546875" style="42" customWidth="1"/>
    <col min="12" max="12" width="8.7109375" style="47" customWidth="1"/>
    <col min="13" max="13" width="8.28515625" style="47" customWidth="1"/>
    <col min="14" max="14" width="9.85546875" style="47" customWidth="1"/>
    <col min="15" max="15" width="9.7109375" style="47" customWidth="1"/>
    <col min="16" max="17" width="8.28515625" style="47" customWidth="1"/>
    <col min="18" max="16384" width="9.140625" style="42"/>
  </cols>
  <sheetData>
    <row r="1" spans="1:20" ht="21.75" customHeight="1" x14ac:dyDescent="0.25">
      <c r="A1" s="86" t="s">
        <v>84</v>
      </c>
      <c r="B1" s="86"/>
      <c r="C1" s="86"/>
      <c r="D1" s="86"/>
      <c r="E1" s="86"/>
      <c r="F1" s="86"/>
      <c r="G1" s="86"/>
      <c r="H1" s="86"/>
      <c r="I1" s="67"/>
      <c r="J1" s="86" t="s">
        <v>99</v>
      </c>
      <c r="K1" s="86"/>
      <c r="L1" s="86"/>
      <c r="M1" s="86"/>
      <c r="N1" s="86"/>
      <c r="O1" s="86"/>
      <c r="P1" s="86"/>
      <c r="Q1" s="86"/>
    </row>
    <row r="2" spans="1:20" ht="22.5" customHeight="1" x14ac:dyDescent="0.25">
      <c r="A2" s="86" t="s">
        <v>118</v>
      </c>
      <c r="B2" s="86"/>
      <c r="C2" s="86"/>
      <c r="D2" s="86"/>
      <c r="E2" s="86"/>
      <c r="F2" s="86"/>
      <c r="G2" s="86"/>
      <c r="H2" s="86"/>
      <c r="I2" s="67"/>
      <c r="J2" s="86" t="s">
        <v>118</v>
      </c>
      <c r="K2" s="86"/>
      <c r="L2" s="86"/>
      <c r="M2" s="86"/>
      <c r="N2" s="86"/>
      <c r="O2" s="86"/>
      <c r="P2" s="86"/>
      <c r="Q2" s="86"/>
    </row>
    <row r="3" spans="1:20" ht="59.25" customHeight="1" x14ac:dyDescent="0.25">
      <c r="A3" s="41" t="s">
        <v>38</v>
      </c>
      <c r="B3" s="41" t="s">
        <v>60</v>
      </c>
      <c r="C3" s="41" t="s">
        <v>85</v>
      </c>
      <c r="D3" s="41" t="s">
        <v>86</v>
      </c>
      <c r="E3" s="41" t="s">
        <v>61</v>
      </c>
      <c r="F3" s="41" t="s">
        <v>95</v>
      </c>
      <c r="G3" s="41" t="s">
        <v>94</v>
      </c>
      <c r="H3" s="41" t="s">
        <v>87</v>
      </c>
      <c r="I3" s="68"/>
      <c r="J3" s="41" t="s">
        <v>38</v>
      </c>
      <c r="K3" s="41" t="s">
        <v>60</v>
      </c>
      <c r="L3" s="41" t="s">
        <v>88</v>
      </c>
      <c r="M3" s="41" t="s">
        <v>89</v>
      </c>
      <c r="N3" s="41" t="s">
        <v>90</v>
      </c>
      <c r="O3" s="41" t="s">
        <v>91</v>
      </c>
      <c r="P3" s="41" t="s">
        <v>92</v>
      </c>
      <c r="Q3" s="41" t="s">
        <v>93</v>
      </c>
    </row>
    <row r="4" spans="1:20" ht="15" customHeight="1" x14ac:dyDescent="0.25">
      <c r="A4" s="65" t="s">
        <v>104</v>
      </c>
      <c r="B4" s="65" t="s">
        <v>105</v>
      </c>
      <c r="C4" s="65" t="s">
        <v>106</v>
      </c>
      <c r="D4" s="65" t="s">
        <v>107</v>
      </c>
      <c r="E4" s="65" t="s">
        <v>108</v>
      </c>
      <c r="F4" s="65" t="s">
        <v>109</v>
      </c>
      <c r="G4" s="65" t="s">
        <v>110</v>
      </c>
      <c r="H4" s="65" t="s">
        <v>111</v>
      </c>
      <c r="I4" s="68"/>
      <c r="J4" s="65" t="s">
        <v>104</v>
      </c>
      <c r="K4" s="65" t="s">
        <v>105</v>
      </c>
      <c r="L4" s="65" t="s">
        <v>112</v>
      </c>
      <c r="M4" s="65" t="s">
        <v>113</v>
      </c>
      <c r="N4" s="65" t="s">
        <v>114</v>
      </c>
      <c r="O4" s="65" t="s">
        <v>115</v>
      </c>
      <c r="P4" s="65" t="s">
        <v>116</v>
      </c>
      <c r="Q4" s="65" t="s">
        <v>117</v>
      </c>
    </row>
    <row r="5" spans="1:20" ht="19.5" customHeight="1" x14ac:dyDescent="0.25">
      <c r="A5" s="87" t="s">
        <v>97</v>
      </c>
      <c r="B5" s="88"/>
      <c r="C5" s="88"/>
      <c r="D5" s="88"/>
      <c r="E5" s="88"/>
      <c r="F5" s="88"/>
      <c r="G5" s="88"/>
      <c r="H5" s="89"/>
      <c r="I5" s="68"/>
      <c r="J5" s="87" t="s">
        <v>97</v>
      </c>
      <c r="K5" s="88"/>
      <c r="L5" s="88"/>
      <c r="M5" s="88"/>
      <c r="N5" s="88"/>
      <c r="O5" s="88"/>
      <c r="P5" s="88"/>
      <c r="Q5" s="89"/>
    </row>
    <row r="6" spans="1:20" ht="13.5" customHeight="1" x14ac:dyDescent="0.25">
      <c r="A6" s="70">
        <v>1</v>
      </c>
      <c r="B6" s="71" t="s">
        <v>0</v>
      </c>
      <c r="C6" s="72">
        <v>0</v>
      </c>
      <c r="D6" s="72">
        <v>260</v>
      </c>
      <c r="E6" s="72">
        <v>0</v>
      </c>
      <c r="F6" s="72">
        <v>5</v>
      </c>
      <c r="G6" s="72">
        <v>21</v>
      </c>
      <c r="H6" s="73">
        <v>0</v>
      </c>
      <c r="I6" s="68"/>
      <c r="J6" s="56">
        <v>1</v>
      </c>
      <c r="K6" s="50" t="s">
        <v>0</v>
      </c>
      <c r="L6" s="72">
        <v>0</v>
      </c>
      <c r="M6" s="72">
        <v>0</v>
      </c>
      <c r="N6" s="72">
        <v>0</v>
      </c>
      <c r="O6" s="72">
        <v>0</v>
      </c>
      <c r="P6" s="76">
        <v>8</v>
      </c>
      <c r="Q6" s="73">
        <f>+P6+O6+N6+M6+L6+H6+G6+F6+E6+D6+C6</f>
        <v>294</v>
      </c>
      <c r="T6" s="68"/>
    </row>
    <row r="7" spans="1:20" ht="13.5" customHeight="1" x14ac:dyDescent="0.25">
      <c r="A7" s="61">
        <v>2</v>
      </c>
      <c r="B7" s="52" t="s">
        <v>1</v>
      </c>
      <c r="C7" s="74">
        <v>1</v>
      </c>
      <c r="D7" s="74">
        <v>0</v>
      </c>
      <c r="E7" s="74">
        <v>0</v>
      </c>
      <c r="F7" s="74">
        <v>0</v>
      </c>
      <c r="G7" s="74">
        <v>0</v>
      </c>
      <c r="H7" s="75">
        <v>0</v>
      </c>
      <c r="I7" s="68"/>
      <c r="J7" s="77">
        <v>2</v>
      </c>
      <c r="K7" s="78" t="s">
        <v>1</v>
      </c>
      <c r="L7" s="79">
        <v>0</v>
      </c>
      <c r="M7" s="79">
        <v>0</v>
      </c>
      <c r="N7" s="79">
        <v>0</v>
      </c>
      <c r="O7" s="79">
        <v>0</v>
      </c>
      <c r="P7" s="80">
        <v>3</v>
      </c>
      <c r="Q7" s="81">
        <f t="shared" ref="Q7:Q43" si="0">+P7+O7+N7+M7+L7+H7+G7+F7+E7+D7+C7</f>
        <v>4</v>
      </c>
    </row>
    <row r="8" spans="1:20" ht="13.5" customHeight="1" x14ac:dyDescent="0.25">
      <c r="A8" s="70">
        <v>3</v>
      </c>
      <c r="B8" s="71" t="s">
        <v>46</v>
      </c>
      <c r="C8" s="72">
        <v>27</v>
      </c>
      <c r="D8" s="72">
        <v>18</v>
      </c>
      <c r="E8" s="72">
        <v>0</v>
      </c>
      <c r="F8" s="72">
        <v>68</v>
      </c>
      <c r="G8" s="72">
        <v>58</v>
      </c>
      <c r="H8" s="73">
        <v>0</v>
      </c>
      <c r="I8" s="68"/>
      <c r="J8" s="56">
        <v>3</v>
      </c>
      <c r="K8" s="50" t="s">
        <v>46</v>
      </c>
      <c r="L8" s="72">
        <v>0</v>
      </c>
      <c r="M8" s="72">
        <v>0</v>
      </c>
      <c r="N8" s="72">
        <v>0</v>
      </c>
      <c r="O8" s="72">
        <v>1</v>
      </c>
      <c r="P8" s="76">
        <v>88</v>
      </c>
      <c r="Q8" s="73">
        <f t="shared" si="0"/>
        <v>260</v>
      </c>
    </row>
    <row r="9" spans="1:20" ht="13.5" customHeight="1" x14ac:dyDescent="0.25">
      <c r="A9" s="61">
        <v>4</v>
      </c>
      <c r="B9" s="52" t="s">
        <v>2</v>
      </c>
      <c r="C9" s="74">
        <v>449</v>
      </c>
      <c r="D9" s="74">
        <v>126</v>
      </c>
      <c r="E9" s="74">
        <v>0</v>
      </c>
      <c r="F9" s="74">
        <v>9</v>
      </c>
      <c r="G9" s="74">
        <v>6</v>
      </c>
      <c r="H9" s="75">
        <v>0</v>
      </c>
      <c r="I9" s="68"/>
      <c r="J9" s="77">
        <v>4</v>
      </c>
      <c r="K9" s="78" t="s">
        <v>2</v>
      </c>
      <c r="L9" s="79">
        <v>0</v>
      </c>
      <c r="M9" s="79">
        <v>0</v>
      </c>
      <c r="N9" s="79">
        <v>0</v>
      </c>
      <c r="O9" s="79">
        <v>14</v>
      </c>
      <c r="P9" s="80">
        <v>147</v>
      </c>
      <c r="Q9" s="81">
        <f t="shared" si="0"/>
        <v>751</v>
      </c>
    </row>
    <row r="10" spans="1:20" ht="13.5" customHeight="1" x14ac:dyDescent="0.25">
      <c r="A10" s="70">
        <v>5</v>
      </c>
      <c r="B10" s="71" t="s">
        <v>3</v>
      </c>
      <c r="C10" s="72">
        <v>1</v>
      </c>
      <c r="D10" s="72">
        <v>2</v>
      </c>
      <c r="E10" s="72">
        <v>0</v>
      </c>
      <c r="F10" s="72">
        <v>1</v>
      </c>
      <c r="G10" s="72">
        <v>5</v>
      </c>
      <c r="H10" s="73">
        <v>0</v>
      </c>
      <c r="I10" s="68"/>
      <c r="J10" s="56">
        <v>5</v>
      </c>
      <c r="K10" s="50" t="s">
        <v>3</v>
      </c>
      <c r="L10" s="72">
        <v>0</v>
      </c>
      <c r="M10" s="72">
        <v>0</v>
      </c>
      <c r="N10" s="72">
        <v>0</v>
      </c>
      <c r="O10" s="72">
        <v>0</v>
      </c>
      <c r="P10" s="76">
        <v>32</v>
      </c>
      <c r="Q10" s="73">
        <f t="shared" si="0"/>
        <v>41</v>
      </c>
    </row>
    <row r="11" spans="1:20" ht="13.5" customHeight="1" x14ac:dyDescent="0.25">
      <c r="A11" s="61">
        <v>6</v>
      </c>
      <c r="B11" s="52" t="s">
        <v>4</v>
      </c>
      <c r="C11" s="74">
        <v>0</v>
      </c>
      <c r="D11" s="74">
        <v>1</v>
      </c>
      <c r="E11" s="74">
        <v>0</v>
      </c>
      <c r="F11" s="74">
        <v>0</v>
      </c>
      <c r="G11" s="74">
        <v>0</v>
      </c>
      <c r="H11" s="75">
        <v>0</v>
      </c>
      <c r="I11" s="68"/>
      <c r="J11" s="77">
        <v>6</v>
      </c>
      <c r="K11" s="78" t="s">
        <v>4</v>
      </c>
      <c r="L11" s="79">
        <v>0</v>
      </c>
      <c r="M11" s="79">
        <v>0</v>
      </c>
      <c r="N11" s="79">
        <v>0</v>
      </c>
      <c r="O11" s="79">
        <v>0</v>
      </c>
      <c r="P11" s="80">
        <v>0</v>
      </c>
      <c r="Q11" s="81">
        <f t="shared" si="0"/>
        <v>1</v>
      </c>
    </row>
    <row r="12" spans="1:20" ht="13.5" customHeight="1" x14ac:dyDescent="0.25">
      <c r="A12" s="70">
        <v>7</v>
      </c>
      <c r="B12" s="71" t="s">
        <v>5</v>
      </c>
      <c r="C12" s="72">
        <v>0</v>
      </c>
      <c r="D12" s="72">
        <v>3</v>
      </c>
      <c r="E12" s="72">
        <v>0</v>
      </c>
      <c r="F12" s="72">
        <v>0</v>
      </c>
      <c r="G12" s="72">
        <v>1</v>
      </c>
      <c r="H12" s="73">
        <v>0</v>
      </c>
      <c r="I12" s="68"/>
      <c r="J12" s="56">
        <v>7</v>
      </c>
      <c r="K12" s="50" t="s">
        <v>5</v>
      </c>
      <c r="L12" s="72">
        <v>0</v>
      </c>
      <c r="M12" s="72">
        <v>0</v>
      </c>
      <c r="N12" s="72">
        <v>0</v>
      </c>
      <c r="O12" s="72">
        <v>0</v>
      </c>
      <c r="P12" s="76">
        <v>7</v>
      </c>
      <c r="Q12" s="73">
        <f t="shared" si="0"/>
        <v>11</v>
      </c>
    </row>
    <row r="13" spans="1:20" ht="13.5" customHeight="1" x14ac:dyDescent="0.25">
      <c r="A13" s="61">
        <v>8</v>
      </c>
      <c r="B13" s="52" t="s">
        <v>6</v>
      </c>
      <c r="C13" s="74">
        <v>0</v>
      </c>
      <c r="D13" s="74">
        <v>3</v>
      </c>
      <c r="E13" s="74">
        <v>0</v>
      </c>
      <c r="F13" s="74">
        <v>0</v>
      </c>
      <c r="G13" s="74">
        <v>4</v>
      </c>
      <c r="H13" s="75">
        <v>0</v>
      </c>
      <c r="I13" s="68"/>
      <c r="J13" s="77">
        <v>8</v>
      </c>
      <c r="K13" s="78" t="s">
        <v>6</v>
      </c>
      <c r="L13" s="79">
        <v>0</v>
      </c>
      <c r="M13" s="79">
        <v>0</v>
      </c>
      <c r="N13" s="79">
        <v>0</v>
      </c>
      <c r="O13" s="79">
        <v>0</v>
      </c>
      <c r="P13" s="80">
        <v>10</v>
      </c>
      <c r="Q13" s="81">
        <f t="shared" si="0"/>
        <v>17</v>
      </c>
    </row>
    <row r="14" spans="1:20" ht="13.5" customHeight="1" x14ac:dyDescent="0.25">
      <c r="A14" s="70">
        <v>9</v>
      </c>
      <c r="B14" s="71" t="s">
        <v>7</v>
      </c>
      <c r="C14" s="72">
        <v>0</v>
      </c>
      <c r="D14" s="72">
        <v>9</v>
      </c>
      <c r="E14" s="72">
        <v>0</v>
      </c>
      <c r="F14" s="72">
        <v>0</v>
      </c>
      <c r="G14" s="72">
        <v>0</v>
      </c>
      <c r="H14" s="73">
        <v>0</v>
      </c>
      <c r="I14" s="68"/>
      <c r="J14" s="56">
        <v>9</v>
      </c>
      <c r="K14" s="50" t="s">
        <v>7</v>
      </c>
      <c r="L14" s="72">
        <v>0</v>
      </c>
      <c r="M14" s="72">
        <v>0</v>
      </c>
      <c r="N14" s="72">
        <v>0</v>
      </c>
      <c r="O14" s="72">
        <v>0</v>
      </c>
      <c r="P14" s="76">
        <v>4</v>
      </c>
      <c r="Q14" s="73">
        <f t="shared" si="0"/>
        <v>13</v>
      </c>
    </row>
    <row r="15" spans="1:20" ht="13.5" customHeight="1" x14ac:dyDescent="0.25">
      <c r="A15" s="61">
        <v>10</v>
      </c>
      <c r="B15" s="52" t="s">
        <v>47</v>
      </c>
      <c r="C15" s="74">
        <v>90</v>
      </c>
      <c r="D15" s="74">
        <v>2</v>
      </c>
      <c r="E15" s="74">
        <v>0</v>
      </c>
      <c r="F15" s="74">
        <v>57</v>
      </c>
      <c r="G15" s="74">
        <v>1</v>
      </c>
      <c r="H15" s="75">
        <v>0</v>
      </c>
      <c r="I15" s="68"/>
      <c r="J15" s="77">
        <v>10</v>
      </c>
      <c r="K15" s="78" t="s">
        <v>47</v>
      </c>
      <c r="L15" s="79">
        <v>0</v>
      </c>
      <c r="M15" s="79">
        <v>0</v>
      </c>
      <c r="N15" s="79">
        <v>0</v>
      </c>
      <c r="O15" s="79">
        <v>0</v>
      </c>
      <c r="P15" s="80">
        <v>2</v>
      </c>
      <c r="Q15" s="81">
        <f t="shared" si="0"/>
        <v>152</v>
      </c>
    </row>
    <row r="16" spans="1:20" ht="13.5" customHeight="1" x14ac:dyDescent="0.25">
      <c r="A16" s="70">
        <v>11</v>
      </c>
      <c r="B16" s="71" t="s">
        <v>9</v>
      </c>
      <c r="C16" s="72">
        <v>3</v>
      </c>
      <c r="D16" s="72">
        <v>11</v>
      </c>
      <c r="E16" s="72">
        <v>0</v>
      </c>
      <c r="F16" s="72">
        <v>0</v>
      </c>
      <c r="G16" s="72">
        <v>0</v>
      </c>
      <c r="H16" s="73">
        <v>0</v>
      </c>
      <c r="I16" s="68"/>
      <c r="J16" s="56">
        <v>11</v>
      </c>
      <c r="K16" s="50" t="s">
        <v>9</v>
      </c>
      <c r="L16" s="72">
        <v>47</v>
      </c>
      <c r="M16" s="72">
        <v>0</v>
      </c>
      <c r="N16" s="72">
        <v>0</v>
      </c>
      <c r="O16" s="72">
        <v>0</v>
      </c>
      <c r="P16" s="76">
        <v>5</v>
      </c>
      <c r="Q16" s="73">
        <f t="shared" si="0"/>
        <v>66</v>
      </c>
    </row>
    <row r="17" spans="1:17" ht="13.5" customHeight="1" x14ac:dyDescent="0.25">
      <c r="A17" s="61">
        <v>12</v>
      </c>
      <c r="B17" s="52" t="s">
        <v>10</v>
      </c>
      <c r="C17" s="74">
        <v>0</v>
      </c>
      <c r="D17" s="74">
        <v>0</v>
      </c>
      <c r="E17" s="74">
        <v>0</v>
      </c>
      <c r="F17" s="74">
        <v>15</v>
      </c>
      <c r="G17" s="74">
        <v>2</v>
      </c>
      <c r="H17" s="75">
        <v>0</v>
      </c>
      <c r="I17" s="68"/>
      <c r="J17" s="77">
        <v>12</v>
      </c>
      <c r="K17" s="78" t="s">
        <v>10</v>
      </c>
      <c r="L17" s="79">
        <v>0</v>
      </c>
      <c r="M17" s="79">
        <v>0</v>
      </c>
      <c r="N17" s="79">
        <v>0</v>
      </c>
      <c r="O17" s="79">
        <v>0</v>
      </c>
      <c r="P17" s="80">
        <v>137</v>
      </c>
      <c r="Q17" s="81">
        <f t="shared" si="0"/>
        <v>154</v>
      </c>
    </row>
    <row r="18" spans="1:17" ht="13.5" customHeight="1" x14ac:dyDescent="0.25">
      <c r="A18" s="70">
        <v>13</v>
      </c>
      <c r="B18" s="71" t="s">
        <v>11</v>
      </c>
      <c r="C18" s="72">
        <v>71</v>
      </c>
      <c r="D18" s="72">
        <v>33</v>
      </c>
      <c r="E18" s="72">
        <v>0</v>
      </c>
      <c r="F18" s="72">
        <v>3</v>
      </c>
      <c r="G18" s="72">
        <v>39</v>
      </c>
      <c r="H18" s="73">
        <v>0</v>
      </c>
      <c r="I18" s="68"/>
      <c r="J18" s="56">
        <v>13</v>
      </c>
      <c r="K18" s="50" t="s">
        <v>11</v>
      </c>
      <c r="L18" s="72">
        <v>0</v>
      </c>
      <c r="M18" s="72">
        <v>3</v>
      </c>
      <c r="N18" s="72">
        <v>0</v>
      </c>
      <c r="O18" s="72">
        <v>1</v>
      </c>
      <c r="P18" s="76">
        <v>4</v>
      </c>
      <c r="Q18" s="73">
        <f t="shared" si="0"/>
        <v>154</v>
      </c>
    </row>
    <row r="19" spans="1:17" ht="13.5" customHeight="1" x14ac:dyDescent="0.25">
      <c r="A19" s="61">
        <v>14</v>
      </c>
      <c r="B19" s="52" t="s">
        <v>12</v>
      </c>
      <c r="C19" s="74">
        <v>1</v>
      </c>
      <c r="D19" s="74">
        <v>784</v>
      </c>
      <c r="E19" s="74">
        <v>0</v>
      </c>
      <c r="F19" s="74">
        <v>0</v>
      </c>
      <c r="G19" s="74">
        <v>3</v>
      </c>
      <c r="H19" s="75">
        <v>0</v>
      </c>
      <c r="I19" s="68"/>
      <c r="J19" s="77">
        <v>14</v>
      </c>
      <c r="K19" s="78" t="s">
        <v>12</v>
      </c>
      <c r="L19" s="79">
        <v>0</v>
      </c>
      <c r="M19" s="79">
        <v>0</v>
      </c>
      <c r="N19" s="79">
        <v>0</v>
      </c>
      <c r="O19" s="79">
        <v>0</v>
      </c>
      <c r="P19" s="80">
        <v>17</v>
      </c>
      <c r="Q19" s="81">
        <f t="shared" si="0"/>
        <v>805</v>
      </c>
    </row>
    <row r="20" spans="1:17" ht="13.5" customHeight="1" x14ac:dyDescent="0.25">
      <c r="A20" s="70">
        <v>15</v>
      </c>
      <c r="B20" s="71" t="s">
        <v>13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3">
        <v>0</v>
      </c>
      <c r="I20" s="68"/>
      <c r="J20" s="56">
        <v>15</v>
      </c>
      <c r="K20" s="50" t="s">
        <v>13</v>
      </c>
      <c r="L20" s="72">
        <v>0</v>
      </c>
      <c r="M20" s="72">
        <v>0</v>
      </c>
      <c r="N20" s="72">
        <v>0</v>
      </c>
      <c r="O20" s="72">
        <v>0</v>
      </c>
      <c r="P20" s="76">
        <v>0</v>
      </c>
      <c r="Q20" s="73">
        <f t="shared" si="0"/>
        <v>0</v>
      </c>
    </row>
    <row r="21" spans="1:17" ht="13.5" customHeight="1" x14ac:dyDescent="0.25">
      <c r="A21" s="61">
        <v>16</v>
      </c>
      <c r="B21" s="52" t="s">
        <v>14</v>
      </c>
      <c r="C21" s="74">
        <v>0</v>
      </c>
      <c r="D21" s="74">
        <v>0</v>
      </c>
      <c r="E21" s="74">
        <v>0</v>
      </c>
      <c r="F21" s="74">
        <v>0</v>
      </c>
      <c r="G21" s="74">
        <v>0</v>
      </c>
      <c r="H21" s="75">
        <v>0</v>
      </c>
      <c r="I21" s="68"/>
      <c r="J21" s="77">
        <v>16</v>
      </c>
      <c r="K21" s="78" t="s">
        <v>14</v>
      </c>
      <c r="L21" s="79">
        <v>0</v>
      </c>
      <c r="M21" s="79">
        <v>0</v>
      </c>
      <c r="N21" s="79">
        <v>0</v>
      </c>
      <c r="O21" s="79">
        <v>0</v>
      </c>
      <c r="P21" s="80">
        <v>0</v>
      </c>
      <c r="Q21" s="81">
        <f t="shared" si="0"/>
        <v>0</v>
      </c>
    </row>
    <row r="22" spans="1:17" ht="13.5" customHeight="1" x14ac:dyDescent="0.25">
      <c r="A22" s="70">
        <v>17</v>
      </c>
      <c r="B22" s="71" t="s">
        <v>15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3">
        <v>0</v>
      </c>
      <c r="I22" s="68"/>
      <c r="J22" s="56">
        <v>17</v>
      </c>
      <c r="K22" s="50" t="s">
        <v>15</v>
      </c>
      <c r="L22" s="72">
        <v>0</v>
      </c>
      <c r="M22" s="72">
        <v>0</v>
      </c>
      <c r="N22" s="72">
        <v>0</v>
      </c>
      <c r="O22" s="72">
        <v>0</v>
      </c>
      <c r="P22" s="76">
        <v>0</v>
      </c>
      <c r="Q22" s="73">
        <f t="shared" si="0"/>
        <v>0</v>
      </c>
    </row>
    <row r="23" spans="1:17" ht="13.5" customHeight="1" x14ac:dyDescent="0.25">
      <c r="A23" s="61">
        <v>18</v>
      </c>
      <c r="B23" s="52" t="s">
        <v>16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5">
        <v>0</v>
      </c>
      <c r="I23" s="68"/>
      <c r="J23" s="77">
        <v>18</v>
      </c>
      <c r="K23" s="78" t="s">
        <v>16</v>
      </c>
      <c r="L23" s="79">
        <v>0</v>
      </c>
      <c r="M23" s="79">
        <v>0</v>
      </c>
      <c r="N23" s="79">
        <v>0</v>
      </c>
      <c r="O23" s="79">
        <v>0</v>
      </c>
      <c r="P23" s="80">
        <v>0</v>
      </c>
      <c r="Q23" s="81">
        <f t="shared" si="0"/>
        <v>0</v>
      </c>
    </row>
    <row r="24" spans="1:17" ht="13.5" customHeight="1" x14ac:dyDescent="0.25">
      <c r="A24" s="70">
        <v>19</v>
      </c>
      <c r="B24" s="71" t="s">
        <v>17</v>
      </c>
      <c r="C24" s="72">
        <v>1586</v>
      </c>
      <c r="D24" s="72">
        <v>7</v>
      </c>
      <c r="E24" s="72">
        <v>0</v>
      </c>
      <c r="F24" s="72">
        <v>3</v>
      </c>
      <c r="G24" s="72">
        <v>4</v>
      </c>
      <c r="H24" s="73">
        <v>1</v>
      </c>
      <c r="I24" s="68"/>
      <c r="J24" s="56">
        <v>19</v>
      </c>
      <c r="K24" s="50" t="s">
        <v>17</v>
      </c>
      <c r="L24" s="72">
        <v>0</v>
      </c>
      <c r="M24" s="72">
        <v>0</v>
      </c>
      <c r="N24" s="72">
        <v>0</v>
      </c>
      <c r="O24" s="72">
        <v>0</v>
      </c>
      <c r="P24" s="76">
        <v>215</v>
      </c>
      <c r="Q24" s="73">
        <f t="shared" si="0"/>
        <v>1816</v>
      </c>
    </row>
    <row r="25" spans="1:17" ht="13.5" customHeight="1" x14ac:dyDescent="0.25">
      <c r="A25" s="61">
        <v>20</v>
      </c>
      <c r="B25" s="52" t="s">
        <v>18</v>
      </c>
      <c r="C25" s="74">
        <v>0</v>
      </c>
      <c r="D25" s="74">
        <v>2</v>
      </c>
      <c r="E25" s="74">
        <v>0</v>
      </c>
      <c r="F25" s="74">
        <v>0</v>
      </c>
      <c r="G25" s="74">
        <v>1</v>
      </c>
      <c r="H25" s="75">
        <v>0</v>
      </c>
      <c r="I25" s="68"/>
      <c r="J25" s="77">
        <v>20</v>
      </c>
      <c r="K25" s="78" t="s">
        <v>18</v>
      </c>
      <c r="L25" s="79">
        <v>0</v>
      </c>
      <c r="M25" s="79">
        <v>0</v>
      </c>
      <c r="N25" s="79">
        <v>0</v>
      </c>
      <c r="O25" s="79">
        <v>1</v>
      </c>
      <c r="P25" s="80">
        <v>10</v>
      </c>
      <c r="Q25" s="81">
        <f t="shared" si="0"/>
        <v>14</v>
      </c>
    </row>
    <row r="26" spans="1:17" ht="13.5" customHeight="1" x14ac:dyDescent="0.25">
      <c r="A26" s="70">
        <v>21</v>
      </c>
      <c r="B26" s="71" t="s">
        <v>19</v>
      </c>
      <c r="C26" s="72">
        <v>432</v>
      </c>
      <c r="D26" s="72">
        <v>5</v>
      </c>
      <c r="E26" s="72">
        <v>0</v>
      </c>
      <c r="F26" s="72">
        <v>18</v>
      </c>
      <c r="G26" s="72">
        <v>6</v>
      </c>
      <c r="H26" s="73">
        <v>0</v>
      </c>
      <c r="I26" s="68"/>
      <c r="J26" s="56">
        <v>21</v>
      </c>
      <c r="K26" s="50" t="s">
        <v>19</v>
      </c>
      <c r="L26" s="72">
        <v>0</v>
      </c>
      <c r="M26" s="72">
        <v>0</v>
      </c>
      <c r="N26" s="72">
        <v>0</v>
      </c>
      <c r="O26" s="72">
        <v>0</v>
      </c>
      <c r="P26" s="76">
        <v>0</v>
      </c>
      <c r="Q26" s="73">
        <f t="shared" si="0"/>
        <v>461</v>
      </c>
    </row>
    <row r="27" spans="1:17" ht="13.5" customHeight="1" x14ac:dyDescent="0.25">
      <c r="A27" s="61">
        <v>22</v>
      </c>
      <c r="B27" s="52" t="s">
        <v>48</v>
      </c>
      <c r="C27" s="74">
        <v>0</v>
      </c>
      <c r="D27" s="74">
        <v>1</v>
      </c>
      <c r="E27" s="74">
        <v>0</v>
      </c>
      <c r="F27" s="74">
        <v>0</v>
      </c>
      <c r="G27" s="74">
        <v>0</v>
      </c>
      <c r="H27" s="75">
        <v>0</v>
      </c>
      <c r="I27" s="68"/>
      <c r="J27" s="77">
        <v>22</v>
      </c>
      <c r="K27" s="78" t="s">
        <v>48</v>
      </c>
      <c r="L27" s="79">
        <v>0</v>
      </c>
      <c r="M27" s="79">
        <v>0</v>
      </c>
      <c r="N27" s="79">
        <v>0</v>
      </c>
      <c r="O27" s="79">
        <v>0</v>
      </c>
      <c r="P27" s="80">
        <v>0</v>
      </c>
      <c r="Q27" s="81">
        <f t="shared" si="0"/>
        <v>1</v>
      </c>
    </row>
    <row r="28" spans="1:17" ht="13.5" customHeight="1" x14ac:dyDescent="0.25">
      <c r="A28" s="70">
        <v>23</v>
      </c>
      <c r="B28" s="71" t="s">
        <v>20</v>
      </c>
      <c r="C28" s="72">
        <v>5</v>
      </c>
      <c r="D28" s="72">
        <v>0</v>
      </c>
      <c r="E28" s="72">
        <v>0</v>
      </c>
      <c r="F28" s="72">
        <v>0</v>
      </c>
      <c r="G28" s="72">
        <v>0</v>
      </c>
      <c r="H28" s="73">
        <v>0</v>
      </c>
      <c r="I28" s="68"/>
      <c r="J28" s="56">
        <v>23</v>
      </c>
      <c r="K28" s="50" t="s">
        <v>20</v>
      </c>
      <c r="L28" s="72">
        <v>0</v>
      </c>
      <c r="M28" s="72">
        <v>0</v>
      </c>
      <c r="N28" s="72">
        <v>0</v>
      </c>
      <c r="O28" s="72">
        <v>0</v>
      </c>
      <c r="P28" s="76">
        <v>0</v>
      </c>
      <c r="Q28" s="73">
        <f t="shared" si="0"/>
        <v>5</v>
      </c>
    </row>
    <row r="29" spans="1:17" ht="13.5" customHeight="1" x14ac:dyDescent="0.25">
      <c r="A29" s="61">
        <v>24</v>
      </c>
      <c r="B29" s="52" t="s">
        <v>21</v>
      </c>
      <c r="C29" s="74">
        <v>40</v>
      </c>
      <c r="D29" s="74">
        <v>646</v>
      </c>
      <c r="E29" s="74">
        <v>0</v>
      </c>
      <c r="F29" s="74">
        <v>0</v>
      </c>
      <c r="G29" s="74">
        <v>1</v>
      </c>
      <c r="H29" s="75">
        <v>0</v>
      </c>
      <c r="I29" s="68"/>
      <c r="J29" s="77">
        <v>24</v>
      </c>
      <c r="K29" s="78" t="s">
        <v>21</v>
      </c>
      <c r="L29" s="79">
        <v>0</v>
      </c>
      <c r="M29" s="79">
        <v>7</v>
      </c>
      <c r="N29" s="79">
        <v>0</v>
      </c>
      <c r="O29" s="79">
        <v>0</v>
      </c>
      <c r="P29" s="80">
        <v>10</v>
      </c>
      <c r="Q29" s="81">
        <f t="shared" si="0"/>
        <v>704</v>
      </c>
    </row>
    <row r="30" spans="1:17" ht="13.5" customHeight="1" x14ac:dyDescent="0.25">
      <c r="A30" s="70">
        <v>25</v>
      </c>
      <c r="B30" s="71" t="s">
        <v>22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3">
        <v>0</v>
      </c>
      <c r="I30" s="68"/>
      <c r="J30" s="56">
        <v>25</v>
      </c>
      <c r="K30" s="50" t="s">
        <v>22</v>
      </c>
      <c r="L30" s="72">
        <v>0</v>
      </c>
      <c r="M30" s="72">
        <v>0</v>
      </c>
      <c r="N30" s="72">
        <v>0</v>
      </c>
      <c r="O30" s="72">
        <v>0</v>
      </c>
      <c r="P30" s="76">
        <v>0</v>
      </c>
      <c r="Q30" s="73">
        <f t="shared" si="0"/>
        <v>0</v>
      </c>
    </row>
    <row r="31" spans="1:17" ht="13.5" customHeight="1" x14ac:dyDescent="0.25">
      <c r="A31" s="61">
        <v>26</v>
      </c>
      <c r="B31" s="52" t="s">
        <v>23</v>
      </c>
      <c r="C31" s="74">
        <v>1</v>
      </c>
      <c r="D31" s="74">
        <v>10</v>
      </c>
      <c r="E31" s="74">
        <v>0</v>
      </c>
      <c r="F31" s="74">
        <v>1</v>
      </c>
      <c r="G31" s="74">
        <v>22</v>
      </c>
      <c r="H31" s="75">
        <v>0</v>
      </c>
      <c r="I31" s="68"/>
      <c r="J31" s="77">
        <v>26</v>
      </c>
      <c r="K31" s="78" t="s">
        <v>23</v>
      </c>
      <c r="L31" s="79">
        <v>0</v>
      </c>
      <c r="M31" s="79">
        <v>1</v>
      </c>
      <c r="N31" s="79">
        <v>0</v>
      </c>
      <c r="O31" s="79">
        <v>0</v>
      </c>
      <c r="P31" s="80">
        <v>103</v>
      </c>
      <c r="Q31" s="81">
        <f t="shared" si="0"/>
        <v>138</v>
      </c>
    </row>
    <row r="32" spans="1:17" ht="13.5" customHeight="1" x14ac:dyDescent="0.25">
      <c r="A32" s="70">
        <v>27</v>
      </c>
      <c r="B32" s="71" t="s">
        <v>24</v>
      </c>
      <c r="C32" s="72">
        <v>0</v>
      </c>
      <c r="D32" s="72">
        <v>22</v>
      </c>
      <c r="E32" s="72">
        <v>0</v>
      </c>
      <c r="F32" s="72">
        <v>0</v>
      </c>
      <c r="G32" s="72">
        <v>3</v>
      </c>
      <c r="H32" s="73">
        <v>0</v>
      </c>
      <c r="I32" s="68"/>
      <c r="J32" s="56">
        <v>27</v>
      </c>
      <c r="K32" s="50" t="s">
        <v>24</v>
      </c>
      <c r="L32" s="72">
        <v>0</v>
      </c>
      <c r="M32" s="72">
        <v>0</v>
      </c>
      <c r="N32" s="72">
        <v>0</v>
      </c>
      <c r="O32" s="72">
        <v>0</v>
      </c>
      <c r="P32" s="76">
        <v>5</v>
      </c>
      <c r="Q32" s="73">
        <f t="shared" si="0"/>
        <v>30</v>
      </c>
    </row>
    <row r="33" spans="1:17" s="44" customFormat="1" ht="13.5" customHeight="1" x14ac:dyDescent="0.25">
      <c r="A33" s="61">
        <v>28</v>
      </c>
      <c r="B33" s="52" t="s">
        <v>49</v>
      </c>
      <c r="C33" s="74">
        <v>1</v>
      </c>
      <c r="D33" s="74">
        <v>10</v>
      </c>
      <c r="E33" s="74">
        <v>0</v>
      </c>
      <c r="F33" s="74">
        <v>2</v>
      </c>
      <c r="G33" s="74">
        <v>8</v>
      </c>
      <c r="H33" s="75">
        <v>0</v>
      </c>
      <c r="I33" s="68"/>
      <c r="J33" s="77">
        <v>28</v>
      </c>
      <c r="K33" s="78" t="s">
        <v>49</v>
      </c>
      <c r="L33" s="79">
        <v>0</v>
      </c>
      <c r="M33" s="79">
        <v>0</v>
      </c>
      <c r="N33" s="79">
        <v>0</v>
      </c>
      <c r="O33" s="79">
        <v>0</v>
      </c>
      <c r="P33" s="80">
        <v>82</v>
      </c>
      <c r="Q33" s="81">
        <f t="shared" si="0"/>
        <v>103</v>
      </c>
    </row>
    <row r="34" spans="1:17" ht="13.5" customHeight="1" x14ac:dyDescent="0.25">
      <c r="A34" s="55"/>
      <c r="B34" s="53" t="s">
        <v>25</v>
      </c>
      <c r="C34" s="54">
        <f>SUM(C6:C33)</f>
        <v>2708</v>
      </c>
      <c r="D34" s="54">
        <f t="shared" ref="D34:H34" si="1">SUM(D6:D33)</f>
        <v>1955</v>
      </c>
      <c r="E34" s="54">
        <f t="shared" si="1"/>
        <v>0</v>
      </c>
      <c r="F34" s="54">
        <f t="shared" si="1"/>
        <v>182</v>
      </c>
      <c r="G34" s="54">
        <f t="shared" si="1"/>
        <v>185</v>
      </c>
      <c r="H34" s="58">
        <f t="shared" si="1"/>
        <v>1</v>
      </c>
      <c r="I34" s="68"/>
      <c r="J34" s="55"/>
      <c r="K34" s="53" t="s">
        <v>25</v>
      </c>
      <c r="L34" s="54">
        <f>SUM(L6:L33)</f>
        <v>47</v>
      </c>
      <c r="M34" s="54">
        <f t="shared" ref="M34:P34" si="2">SUM(M6:M33)</f>
        <v>11</v>
      </c>
      <c r="N34" s="54">
        <f t="shared" si="2"/>
        <v>0</v>
      </c>
      <c r="O34" s="54">
        <f t="shared" si="2"/>
        <v>17</v>
      </c>
      <c r="P34" s="54">
        <f t="shared" si="2"/>
        <v>889</v>
      </c>
      <c r="Q34" s="58">
        <f>SUM(Q6:Q33)</f>
        <v>5995</v>
      </c>
    </row>
    <row r="35" spans="1:17" ht="15.75" customHeight="1" x14ac:dyDescent="0.25">
      <c r="A35" s="59" t="s">
        <v>98</v>
      </c>
      <c r="B35" s="43"/>
      <c r="C35" s="1"/>
      <c r="D35" s="51"/>
      <c r="E35" s="1"/>
      <c r="F35" s="51"/>
      <c r="G35" s="51"/>
      <c r="H35" s="60"/>
      <c r="I35" s="68"/>
      <c r="J35" s="59" t="s">
        <v>98</v>
      </c>
      <c r="K35" s="43"/>
      <c r="L35" s="51"/>
      <c r="M35" s="51"/>
      <c r="N35" s="1"/>
      <c r="O35" s="51"/>
      <c r="P35" s="1"/>
      <c r="Q35" s="60"/>
    </row>
    <row r="36" spans="1:17" ht="13.5" customHeight="1" x14ac:dyDescent="0.25">
      <c r="A36" s="56">
        <v>29</v>
      </c>
      <c r="B36" s="50" t="s">
        <v>26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3">
        <v>0</v>
      </c>
      <c r="I36" s="68"/>
      <c r="J36" s="56">
        <v>29</v>
      </c>
      <c r="K36" s="50" t="s">
        <v>26</v>
      </c>
      <c r="L36" s="72">
        <v>0</v>
      </c>
      <c r="M36" s="72">
        <v>0</v>
      </c>
      <c r="N36" s="72">
        <v>0</v>
      </c>
      <c r="O36" s="72">
        <v>0</v>
      </c>
      <c r="P36" s="76">
        <v>0</v>
      </c>
      <c r="Q36" s="73">
        <f t="shared" si="0"/>
        <v>0</v>
      </c>
    </row>
    <row r="37" spans="1:17" ht="13.5" customHeight="1" x14ac:dyDescent="0.25">
      <c r="A37" s="57">
        <v>30</v>
      </c>
      <c r="B37" s="43" t="s">
        <v>27</v>
      </c>
      <c r="C37" s="74">
        <v>0</v>
      </c>
      <c r="D37" s="74">
        <v>1</v>
      </c>
      <c r="E37" s="74">
        <v>0</v>
      </c>
      <c r="F37" s="74">
        <v>0</v>
      </c>
      <c r="G37" s="74">
        <v>0</v>
      </c>
      <c r="H37" s="75">
        <v>0</v>
      </c>
      <c r="I37" s="68"/>
      <c r="J37" s="77">
        <v>30</v>
      </c>
      <c r="K37" s="78" t="s">
        <v>27</v>
      </c>
      <c r="L37" s="79">
        <v>0</v>
      </c>
      <c r="M37" s="79">
        <v>0</v>
      </c>
      <c r="N37" s="79">
        <v>0</v>
      </c>
      <c r="O37" s="79">
        <v>0</v>
      </c>
      <c r="P37" s="80">
        <v>0</v>
      </c>
      <c r="Q37" s="81">
        <f t="shared" si="0"/>
        <v>1</v>
      </c>
    </row>
    <row r="38" spans="1:17" ht="13.5" customHeight="1" x14ac:dyDescent="0.25">
      <c r="A38" s="56">
        <v>31</v>
      </c>
      <c r="B38" s="50" t="s">
        <v>102</v>
      </c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73">
        <v>0</v>
      </c>
      <c r="I38" s="68"/>
      <c r="J38" s="56">
        <v>31</v>
      </c>
      <c r="K38" s="50" t="s">
        <v>102</v>
      </c>
      <c r="L38" s="72">
        <v>0</v>
      </c>
      <c r="M38" s="72">
        <v>0</v>
      </c>
      <c r="N38" s="72">
        <v>0</v>
      </c>
      <c r="O38" s="72">
        <v>0</v>
      </c>
      <c r="P38" s="76">
        <v>0</v>
      </c>
      <c r="Q38" s="73">
        <f t="shared" si="0"/>
        <v>0</v>
      </c>
    </row>
    <row r="39" spans="1:17" s="44" customFormat="1" ht="13.5" customHeight="1" x14ac:dyDescent="0.25">
      <c r="A39" s="61">
        <v>32</v>
      </c>
      <c r="B39" s="52" t="s">
        <v>28</v>
      </c>
      <c r="C39" s="74">
        <v>627</v>
      </c>
      <c r="D39" s="74">
        <v>27</v>
      </c>
      <c r="E39" s="74">
        <v>0</v>
      </c>
      <c r="F39" s="74">
        <v>19</v>
      </c>
      <c r="G39" s="74">
        <v>4</v>
      </c>
      <c r="H39" s="75">
        <v>0</v>
      </c>
      <c r="I39" s="68"/>
      <c r="J39" s="82">
        <v>32</v>
      </c>
      <c r="K39" s="78" t="s">
        <v>28</v>
      </c>
      <c r="L39" s="79">
        <v>0</v>
      </c>
      <c r="M39" s="79">
        <v>0</v>
      </c>
      <c r="N39" s="79">
        <v>0</v>
      </c>
      <c r="O39" s="79">
        <v>0</v>
      </c>
      <c r="P39" s="80">
        <v>10</v>
      </c>
      <c r="Q39" s="81">
        <f t="shared" si="0"/>
        <v>687</v>
      </c>
    </row>
    <row r="40" spans="1:17" s="44" customFormat="1" ht="13.5" customHeight="1" x14ac:dyDescent="0.25">
      <c r="A40" s="56">
        <v>33</v>
      </c>
      <c r="B40" s="50" t="s">
        <v>8</v>
      </c>
      <c r="C40" s="72">
        <v>0</v>
      </c>
      <c r="D40" s="72">
        <v>0</v>
      </c>
      <c r="E40" s="72">
        <v>0</v>
      </c>
      <c r="F40" s="72">
        <v>3</v>
      </c>
      <c r="G40" s="72">
        <v>6</v>
      </c>
      <c r="H40" s="73">
        <v>0</v>
      </c>
      <c r="I40" s="68"/>
      <c r="J40" s="56">
        <v>33</v>
      </c>
      <c r="K40" s="50" t="s">
        <v>8</v>
      </c>
      <c r="L40" s="72">
        <v>0</v>
      </c>
      <c r="M40" s="72">
        <v>0</v>
      </c>
      <c r="N40" s="72">
        <v>0</v>
      </c>
      <c r="O40" s="72">
        <v>0</v>
      </c>
      <c r="P40" s="76">
        <v>1</v>
      </c>
      <c r="Q40" s="73">
        <f t="shared" si="0"/>
        <v>10</v>
      </c>
    </row>
    <row r="41" spans="1:17" s="44" customFormat="1" ht="13.5" customHeight="1" x14ac:dyDescent="0.25">
      <c r="A41" s="57">
        <v>34</v>
      </c>
      <c r="B41" s="43" t="s">
        <v>103</v>
      </c>
      <c r="C41" s="74">
        <v>0</v>
      </c>
      <c r="D41" s="74">
        <v>0</v>
      </c>
      <c r="E41" s="74">
        <v>0</v>
      </c>
      <c r="F41" s="74">
        <v>0</v>
      </c>
      <c r="G41" s="74">
        <v>0</v>
      </c>
      <c r="H41" s="75">
        <v>0</v>
      </c>
      <c r="I41" s="68"/>
      <c r="J41" s="77">
        <v>34</v>
      </c>
      <c r="K41" s="78" t="s">
        <v>103</v>
      </c>
      <c r="L41" s="79">
        <v>0</v>
      </c>
      <c r="M41" s="79">
        <v>0</v>
      </c>
      <c r="N41" s="79">
        <v>0</v>
      </c>
      <c r="O41" s="79">
        <v>0</v>
      </c>
      <c r="P41" s="80">
        <v>0</v>
      </c>
      <c r="Q41" s="81">
        <f t="shared" si="0"/>
        <v>0</v>
      </c>
    </row>
    <row r="42" spans="1:17" ht="13.5" customHeight="1" x14ac:dyDescent="0.25">
      <c r="A42" s="56">
        <v>35</v>
      </c>
      <c r="B42" s="50" t="s">
        <v>29</v>
      </c>
      <c r="C42" s="72">
        <v>0</v>
      </c>
      <c r="D42" s="72">
        <v>0</v>
      </c>
      <c r="E42" s="72">
        <v>0</v>
      </c>
      <c r="F42" s="72">
        <v>0</v>
      </c>
      <c r="G42" s="72">
        <v>0</v>
      </c>
      <c r="H42" s="73">
        <v>0</v>
      </c>
      <c r="I42" s="68"/>
      <c r="J42" s="56">
        <v>35</v>
      </c>
      <c r="K42" s="50" t="s">
        <v>29</v>
      </c>
      <c r="L42" s="72">
        <v>0</v>
      </c>
      <c r="M42" s="72">
        <v>0</v>
      </c>
      <c r="N42" s="72">
        <v>0</v>
      </c>
      <c r="O42" s="72">
        <v>0</v>
      </c>
      <c r="P42" s="76">
        <v>0</v>
      </c>
      <c r="Q42" s="73">
        <f t="shared" si="0"/>
        <v>0</v>
      </c>
    </row>
    <row r="43" spans="1:17" ht="13.5" customHeight="1" x14ac:dyDescent="0.25">
      <c r="A43" s="57">
        <v>36</v>
      </c>
      <c r="B43" s="43" t="s">
        <v>30</v>
      </c>
      <c r="C43" s="74">
        <v>0</v>
      </c>
      <c r="D43" s="74">
        <v>0</v>
      </c>
      <c r="E43" s="74">
        <v>0</v>
      </c>
      <c r="F43" s="74">
        <v>0</v>
      </c>
      <c r="G43" s="74">
        <v>0</v>
      </c>
      <c r="H43" s="75">
        <v>0</v>
      </c>
      <c r="I43" s="68"/>
      <c r="J43" s="77">
        <v>36</v>
      </c>
      <c r="K43" s="78" t="s">
        <v>30</v>
      </c>
      <c r="L43" s="79">
        <v>0</v>
      </c>
      <c r="M43" s="79">
        <v>0</v>
      </c>
      <c r="N43" s="79">
        <v>0</v>
      </c>
      <c r="O43" s="79">
        <v>0</v>
      </c>
      <c r="P43" s="80">
        <v>0</v>
      </c>
      <c r="Q43" s="81">
        <f t="shared" si="0"/>
        <v>0</v>
      </c>
    </row>
    <row r="44" spans="1:17" ht="13.5" customHeight="1" x14ac:dyDescent="0.25">
      <c r="A44" s="55"/>
      <c r="B44" s="53" t="s">
        <v>31</v>
      </c>
      <c r="C44" s="54">
        <f>SUM(C36:C43)</f>
        <v>627</v>
      </c>
      <c r="D44" s="54">
        <f t="shared" ref="D44:H44" si="3">SUM(D36:D43)</f>
        <v>28</v>
      </c>
      <c r="E44" s="54">
        <f t="shared" si="3"/>
        <v>0</v>
      </c>
      <c r="F44" s="54">
        <f t="shared" si="3"/>
        <v>22</v>
      </c>
      <c r="G44" s="54">
        <f t="shared" si="3"/>
        <v>10</v>
      </c>
      <c r="H44" s="58">
        <f t="shared" si="3"/>
        <v>0</v>
      </c>
      <c r="I44" s="68"/>
      <c r="J44" s="55"/>
      <c r="K44" s="53" t="s">
        <v>31</v>
      </c>
      <c r="L44" s="54">
        <f>SUM(L36:L43)</f>
        <v>0</v>
      </c>
      <c r="M44" s="54">
        <f t="shared" ref="M44:Q44" si="4">SUM(M36:M43)</f>
        <v>0</v>
      </c>
      <c r="N44" s="54">
        <f t="shared" si="4"/>
        <v>0</v>
      </c>
      <c r="O44" s="54">
        <f t="shared" si="4"/>
        <v>0</v>
      </c>
      <c r="P44" s="54">
        <f t="shared" si="4"/>
        <v>11</v>
      </c>
      <c r="Q44" s="58">
        <f t="shared" si="4"/>
        <v>698</v>
      </c>
    </row>
    <row r="45" spans="1:17" ht="13.5" customHeight="1" x14ac:dyDescent="0.25">
      <c r="A45" s="62"/>
      <c r="B45" s="63" t="s">
        <v>32</v>
      </c>
      <c r="C45" s="64">
        <f>SUM(C34,C44)</f>
        <v>3335</v>
      </c>
      <c r="D45" s="64">
        <f t="shared" ref="D45:H45" si="5">SUM(D34,D44)</f>
        <v>1983</v>
      </c>
      <c r="E45" s="64">
        <f t="shared" si="5"/>
        <v>0</v>
      </c>
      <c r="F45" s="64">
        <f t="shared" si="5"/>
        <v>204</v>
      </c>
      <c r="G45" s="64">
        <f t="shared" si="5"/>
        <v>195</v>
      </c>
      <c r="H45" s="69">
        <f t="shared" si="5"/>
        <v>1</v>
      </c>
      <c r="I45" s="68"/>
      <c r="J45" s="62"/>
      <c r="K45" s="63" t="s">
        <v>32</v>
      </c>
      <c r="L45" s="64">
        <f t="shared" ref="L45:P45" si="6">SUM(L34,L44)</f>
        <v>47</v>
      </c>
      <c r="M45" s="64">
        <f t="shared" si="6"/>
        <v>11</v>
      </c>
      <c r="N45" s="64">
        <f t="shared" si="6"/>
        <v>0</v>
      </c>
      <c r="O45" s="64">
        <f t="shared" si="6"/>
        <v>17</v>
      </c>
      <c r="P45" s="64">
        <f t="shared" si="6"/>
        <v>900</v>
      </c>
      <c r="Q45" s="69">
        <f>SUM(Q34,Q44)</f>
        <v>6693</v>
      </c>
    </row>
    <row r="46" spans="1:17" ht="13.5" customHeight="1" x14ac:dyDescent="0.25">
      <c r="A46" s="85" t="s">
        <v>100</v>
      </c>
      <c r="B46" s="85"/>
      <c r="C46" s="85"/>
      <c r="D46" s="85"/>
      <c r="E46" s="85"/>
      <c r="F46" s="85"/>
      <c r="G46" s="85"/>
      <c r="H46" s="85"/>
      <c r="I46" s="66"/>
      <c r="J46" s="85" t="s">
        <v>101</v>
      </c>
      <c r="K46" s="85"/>
      <c r="L46" s="85"/>
      <c r="M46" s="85"/>
      <c r="N46" s="85"/>
      <c r="O46" s="85"/>
      <c r="P46" s="85"/>
      <c r="Q46" s="85"/>
    </row>
    <row r="47" spans="1:17" ht="13.5" customHeight="1" x14ac:dyDescent="0.25">
      <c r="A47" s="45" t="s">
        <v>83</v>
      </c>
      <c r="B47" s="48" t="s">
        <v>96</v>
      </c>
      <c r="C47" s="43"/>
      <c r="D47" s="43"/>
      <c r="E47" s="43"/>
      <c r="F47" s="46"/>
      <c r="G47" s="42"/>
      <c r="J47" s="45" t="s">
        <v>83</v>
      </c>
      <c r="K47" s="48" t="s">
        <v>96</v>
      </c>
    </row>
    <row r="48" spans="1:17" x14ac:dyDescent="0.2">
      <c r="B48" s="83"/>
      <c r="C48" s="43"/>
      <c r="D48" s="43"/>
      <c r="E48" s="43"/>
      <c r="F48" s="42"/>
      <c r="G48" s="42"/>
      <c r="K48" s="83"/>
    </row>
    <row r="49" spans="4:13" ht="15.75" x14ac:dyDescent="0.25">
      <c r="D49" s="84"/>
      <c r="E49" s="84"/>
      <c r="L49" s="84"/>
      <c r="M49" s="84"/>
    </row>
  </sheetData>
  <mergeCells count="10">
    <mergeCell ref="D49:E49"/>
    <mergeCell ref="L49:M49"/>
    <mergeCell ref="A46:H46"/>
    <mergeCell ref="J46:Q46"/>
    <mergeCell ref="A1:H1"/>
    <mergeCell ref="A2:H2"/>
    <mergeCell ref="J1:Q1"/>
    <mergeCell ref="J2:Q2"/>
    <mergeCell ref="A5:H5"/>
    <mergeCell ref="J5:Q5"/>
  </mergeCells>
  <hyperlinks>
    <hyperlink ref="B41" r:id="rId1" display="Ladakh@"/>
    <hyperlink ref="K41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3"/>
  <colBreaks count="1" manualBreakCount="1">
    <brk id="9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90" t="s">
        <v>69</v>
      </c>
      <c r="B1" s="90"/>
      <c r="C1" s="90"/>
      <c r="D1" s="90"/>
      <c r="E1" s="90"/>
      <c r="F1" s="9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70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62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63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64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65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66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67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68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75</v>
      </c>
      <c r="B44" s="1"/>
      <c r="C44" s="1"/>
      <c r="D44" s="1"/>
      <c r="E44" s="1"/>
      <c r="F44" s="33"/>
    </row>
    <row r="45" spans="1:10" x14ac:dyDescent="0.25">
      <c r="A45" s="32" t="s">
        <v>76</v>
      </c>
      <c r="B45" s="1"/>
      <c r="C45" s="1"/>
      <c r="D45" s="1"/>
      <c r="E45" s="1"/>
    </row>
    <row r="46" spans="1:10" x14ac:dyDescent="0.25">
      <c r="A46" s="32" t="s">
        <v>77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91" t="s">
        <v>80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22" x14ac:dyDescent="0.25">
      <c r="A2" s="92" t="s">
        <v>42</v>
      </c>
      <c r="B2" s="92" t="s">
        <v>43</v>
      </c>
      <c r="C2" s="93" t="s">
        <v>44</v>
      </c>
      <c r="D2" s="93"/>
      <c r="E2" s="93"/>
      <c r="F2" s="93" t="s">
        <v>45</v>
      </c>
      <c r="G2" s="93"/>
      <c r="H2" s="93"/>
      <c r="I2" s="93" t="s">
        <v>37</v>
      </c>
      <c r="J2" s="93"/>
      <c r="K2" s="93"/>
    </row>
    <row r="3" spans="1:22" x14ac:dyDescent="0.25">
      <c r="A3" s="92"/>
      <c r="B3" s="9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78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73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81</v>
      </c>
      <c r="B45" s="1"/>
      <c r="C45" s="1"/>
      <c r="D45" s="1"/>
      <c r="E45" s="1"/>
      <c r="F45" s="33"/>
    </row>
    <row r="46" spans="1:22" x14ac:dyDescent="0.25">
      <c r="A46" s="32" t="s">
        <v>77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91" t="s">
        <v>71</v>
      </c>
      <c r="B1" s="91"/>
      <c r="C1" s="91"/>
      <c r="D1" s="91"/>
      <c r="E1" s="91"/>
      <c r="F1" s="91"/>
      <c r="G1" s="91"/>
      <c r="H1" s="91"/>
      <c r="I1" s="91"/>
      <c r="J1" s="91"/>
    </row>
    <row r="2" spans="1:13" x14ac:dyDescent="0.25">
      <c r="A2" s="92" t="s">
        <v>42</v>
      </c>
      <c r="B2" s="92" t="s">
        <v>43</v>
      </c>
      <c r="C2" s="92" t="s">
        <v>50</v>
      </c>
      <c r="D2" s="93" t="s">
        <v>51</v>
      </c>
      <c r="E2" s="93"/>
      <c r="F2" s="93"/>
      <c r="G2" s="93" t="s">
        <v>52</v>
      </c>
      <c r="H2" s="93"/>
      <c r="I2" s="93"/>
      <c r="J2" s="93"/>
    </row>
    <row r="3" spans="1:13" ht="78.75" customHeight="1" x14ac:dyDescent="0.25">
      <c r="A3" s="92"/>
      <c r="B3" s="92"/>
      <c r="C3" s="9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72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72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72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72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72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72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72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72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72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72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72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72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72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72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72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72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72</v>
      </c>
    </row>
    <row r="36" spans="1:10" x14ac:dyDescent="0.25">
      <c r="A36" s="16">
        <v>32</v>
      </c>
      <c r="B36" s="6" t="s">
        <v>79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73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72</v>
      </c>
    </row>
    <row r="39" spans="1:10" x14ac:dyDescent="0.25">
      <c r="A39" s="16">
        <v>35</v>
      </c>
      <c r="B39" s="6" t="s">
        <v>74</v>
      </c>
      <c r="C39" s="18">
        <v>0</v>
      </c>
      <c r="D39" s="18">
        <v>0</v>
      </c>
      <c r="E39" s="18">
        <v>0</v>
      </c>
      <c r="F39" s="36" t="s">
        <v>72</v>
      </c>
      <c r="G39" s="18">
        <v>0</v>
      </c>
      <c r="H39" s="18">
        <v>0</v>
      </c>
      <c r="I39" s="18"/>
      <c r="J39" s="37" t="s">
        <v>72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72</v>
      </c>
      <c r="G40" s="18">
        <v>0</v>
      </c>
      <c r="H40" s="6">
        <v>0</v>
      </c>
      <c r="I40" s="6">
        <f t="shared" ref="I40:I42" si="4">G40+H40</f>
        <v>0</v>
      </c>
      <c r="J40" s="36" t="s">
        <v>72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72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82</v>
      </c>
      <c r="B45" s="1"/>
      <c r="C45" s="1"/>
      <c r="D45" s="1"/>
      <c r="E45" s="1"/>
      <c r="F45" s="33"/>
      <c r="G45"/>
    </row>
    <row r="46" spans="1:10" x14ac:dyDescent="0.25">
      <c r="A46" s="32" t="s">
        <v>77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14.5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2023-07-17T07:15:30Z</dcterms:modified>
</cp:coreProperties>
</file>