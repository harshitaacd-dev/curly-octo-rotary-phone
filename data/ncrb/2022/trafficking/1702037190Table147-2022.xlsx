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7" sheetId="24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14.7'!$A$1:$F$50</definedName>
  </definedNames>
  <calcPr calcId="145621"/>
</workbook>
</file>

<file path=xl/calcChain.xml><?xml version="1.0" encoding="utf-8"?>
<calcChain xmlns="http://schemas.openxmlformats.org/spreadsheetml/2006/main">
  <c r="C35" i="24" l="1"/>
  <c r="C45" i="24"/>
  <c r="C46" i="24" s="1"/>
  <c r="D45" i="24" l="1"/>
  <c r="E45" i="24"/>
  <c r="F45" i="24"/>
  <c r="D35" i="24"/>
  <c r="E35" i="24"/>
  <c r="F35" i="24"/>
  <c r="F46" i="24" l="1"/>
  <c r="E46" i="24"/>
  <c r="D46" i="24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3" i="6" s="1"/>
  <c r="H42" i="6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4" i="6"/>
  <c r="F35" i="6"/>
  <c r="F36" i="6"/>
  <c r="F37" i="6"/>
  <c r="F38" i="6"/>
  <c r="F41" i="6"/>
  <c r="F5" i="6"/>
  <c r="J43" i="3" l="1"/>
  <c r="D42" i="3"/>
  <c r="E42" i="3"/>
  <c r="F42" i="3"/>
  <c r="G42" i="3"/>
  <c r="H42" i="3"/>
  <c r="I42" i="3"/>
  <c r="I43" i="3" s="1"/>
  <c r="J42" i="3"/>
  <c r="K42" i="3"/>
  <c r="C42" i="3"/>
  <c r="D33" i="3"/>
  <c r="D43" i="3" s="1"/>
  <c r="E33" i="3"/>
  <c r="E43" i="3" s="1"/>
  <c r="F33" i="3"/>
  <c r="F43" i="3" s="1"/>
  <c r="G33" i="3"/>
  <c r="G43" i="3" s="1"/>
  <c r="H33" i="3"/>
  <c r="H43" i="3" s="1"/>
  <c r="I33" i="3"/>
  <c r="J33" i="3"/>
  <c r="K33" i="3"/>
  <c r="K43" i="3" s="1"/>
  <c r="C33" i="3"/>
  <c r="C43" i="3" s="1"/>
  <c r="F4" i="1" l="1"/>
  <c r="E32" i="1"/>
  <c r="J22" i="1"/>
  <c r="F5" i="1" l="1"/>
  <c r="F32" i="1" s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F41" i="1" l="1"/>
  <c r="F42" i="1" s="1"/>
  <c r="G42" i="6"/>
  <c r="G33" i="6"/>
  <c r="G43" i="6" s="1"/>
  <c r="D42" i="6"/>
  <c r="D33" i="6"/>
  <c r="F33" i="6" s="1"/>
  <c r="E42" i="6"/>
  <c r="E33" i="6"/>
  <c r="C42" i="6"/>
  <c r="C41" i="1"/>
  <c r="C32" i="1"/>
  <c r="C33" i="6"/>
  <c r="F42" i="6" l="1"/>
  <c r="E43" i="6"/>
  <c r="D43" i="6"/>
  <c r="F43" i="6" s="1"/>
  <c r="C43" i="6"/>
  <c r="C42" i="1"/>
  <c r="D5" i="1" l="1"/>
  <c r="D13" i="1"/>
  <c r="D21" i="1"/>
  <c r="D29" i="1"/>
  <c r="D37" i="1"/>
  <c r="D8" i="1"/>
  <c r="D25" i="1"/>
  <c r="D34" i="1"/>
  <c r="D27" i="1"/>
  <c r="D28" i="1"/>
  <c r="D6" i="1"/>
  <c r="D14" i="1"/>
  <c r="D22" i="1"/>
  <c r="D30" i="1"/>
  <c r="D38" i="1"/>
  <c r="D23" i="1"/>
  <c r="D39" i="1"/>
  <c r="D24" i="1"/>
  <c r="D17" i="1"/>
  <c r="D33" i="1"/>
  <c r="D10" i="1"/>
  <c r="D42" i="1"/>
  <c r="D35" i="1"/>
  <c r="D20" i="1"/>
  <c r="D7" i="1"/>
  <c r="D15" i="1"/>
  <c r="D31" i="1"/>
  <c r="D16" i="1"/>
  <c r="D40" i="1"/>
  <c r="D26" i="1"/>
  <c r="D19" i="1"/>
  <c r="D36" i="1"/>
  <c r="D9" i="1"/>
  <c r="D18" i="1"/>
  <c r="D11" i="1"/>
  <c r="D12" i="1"/>
  <c r="D41" i="1"/>
  <c r="D32" i="1"/>
  <c r="D4" i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l="1"/>
  <c r="I33" i="6"/>
  <c r="I43" i="6"/>
  <c r="J43" i="6" s="1"/>
  <c r="J33" i="6"/>
</calcChain>
</file>

<file path=xl/sharedStrings.xml><?xml version="1.0" encoding="utf-8"?>
<sst xmlns="http://schemas.openxmlformats.org/spreadsheetml/2006/main" count="247" uniqueCount="137">
  <si>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</si>
  <si>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</si>
  <si>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</si>
  <si>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</si>
  <si>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</si>
  <si>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</si>
  <si>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</si>
  <si>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</si>
  <si>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</si>
  <si>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</si>
  <si>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</si>
  <si>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</si>
  <si>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</si>
  <si>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</si>
  <si>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</si>
  <si>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</si>
  <si>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</si>
  <si>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</si>
  <si>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</si>
  <si>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</si>
  <si>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</si>
  <si>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</si>
  <si>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</si>
  <si>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</si>
  <si>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</si>
  <si>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</si>
  <si>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</si>
  <si>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</si>
  <si>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</si>
  <si>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</si>
  <si>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</si>
  <si>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</si>
  <si>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</si>
  <si>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</si>
  <si>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</si>
  <si>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</si>
  <si>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</si>
  <si>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</si>
  <si>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</si>
  <si>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</si>
  <si>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</si>
  <si>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</si>
  <si>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</si>
  <si>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</si>
  <si>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</si>
  <si>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</si>
  <si>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</si>
  <si>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</si>
  <si>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</si>
  <si>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</si>
  <si>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</si>
  <si>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</si>
  <si>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</si>
  <si>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</si>
  <si>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</si>
  <si>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</si>
  <si>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</si>
  <si>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</si>
  <si>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</si>
  <si>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</si>
  <si>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</si>
  <si>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</si>
  <si>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</si>
  <si>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</si>
  <si>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</si>
  <si>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</si>
  <si>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</si>
  <si>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</si>
  <si>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</si>
  <si>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</si>
  <si>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</si>
  <si>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</si>
  <si>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</si>
  <si>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</si>
  <si>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</si>
  <si>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</si>
  <si>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</si>
  <si>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</si>
  <si>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</si>
  <si>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State/UT </t>
  </si>
  <si>
    <t xml:space="preserve">Andhra Pradesh </t>
  </si>
  <si>
    <t xml:space="preserve">Arunachal Pradesh </t>
  </si>
  <si>
    <t xml:space="preserve">Assam  </t>
  </si>
  <si>
    <t xml:space="preserve">Bihar </t>
  </si>
  <si>
    <t xml:space="preserve">Chhattisgarh </t>
  </si>
  <si>
    <t xml:space="preserve">Gujarat </t>
  </si>
  <si>
    <t xml:space="preserve">Haryana </t>
  </si>
  <si>
    <t xml:space="preserve">Himachal Pradesh </t>
  </si>
  <si>
    <t xml:space="preserve">Jharkhand  </t>
  </si>
  <si>
    <t xml:space="preserve">Karnataka </t>
  </si>
  <si>
    <t xml:space="preserve">Kerala </t>
  </si>
  <si>
    <t xml:space="preserve">Madhya Pradesh </t>
  </si>
  <si>
    <t xml:space="preserve">Maharashtra </t>
  </si>
  <si>
    <t xml:space="preserve">Manipur </t>
  </si>
  <si>
    <t xml:space="preserve">Meghalaya </t>
  </si>
  <si>
    <t xml:space="preserve">Mizoram </t>
  </si>
  <si>
    <t xml:space="preserve">Nagaland </t>
  </si>
  <si>
    <t xml:space="preserve">Odisha </t>
  </si>
  <si>
    <t xml:space="preserve">Punjab </t>
  </si>
  <si>
    <t xml:space="preserve">Rajasthan </t>
  </si>
  <si>
    <t xml:space="preserve">Sikkim  </t>
  </si>
  <si>
    <t xml:space="preserve">Tamil Nadu </t>
  </si>
  <si>
    <t xml:space="preserve">Telangana </t>
  </si>
  <si>
    <t xml:space="preserve">Tripura </t>
  </si>
  <si>
    <t xml:space="preserve">Uttar Pradesh </t>
  </si>
  <si>
    <t xml:space="preserve">Uttarakhand </t>
  </si>
  <si>
    <t xml:space="preserve">West Bengal  </t>
  </si>
  <si>
    <t xml:space="preserve">TOTAL STATE(S) </t>
  </si>
  <si>
    <t xml:space="preserve">UNION TERRITORIES: </t>
  </si>
  <si>
    <t xml:space="preserve">A &amp; N Islands </t>
  </si>
  <si>
    <t xml:space="preserve">Chandigarh </t>
  </si>
  <si>
    <t xml:space="preserve">Delhi UT </t>
  </si>
  <si>
    <t xml:space="preserve">Lakshadweep </t>
  </si>
  <si>
    <t xml:space="preserve">Puducherry </t>
  </si>
  <si>
    <t xml:space="preserve">TOTAL UT(S) </t>
  </si>
  <si>
    <t xml:space="preserve">TOTAL (ALL INDIA) </t>
  </si>
  <si>
    <t>Persons Acquitted/                     discharged by the Court</t>
  </si>
  <si>
    <t>Persons         Convicted</t>
  </si>
  <si>
    <t>Persons    Chargesheeted</t>
  </si>
  <si>
    <t>Persons     Arrested</t>
  </si>
  <si>
    <t xml:space="preserve">Note: </t>
  </si>
  <si>
    <t>Note:</t>
  </si>
  <si>
    <t xml:space="preserve">Note:   </t>
  </si>
  <si>
    <t>TABLE 14.7</t>
  </si>
  <si>
    <t>Human Trafficking data published is based on annual data as provided by States/UTs from their Anti Human Trafficking Units</t>
  </si>
  <si>
    <t>STATES:</t>
  </si>
  <si>
    <t>TABLE 14.7 - Page 1 of 1</t>
  </si>
  <si>
    <t xml:space="preserve">S. 
No. 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</si>
  <si>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</si>
  <si>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</si>
  <si>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</si>
  <si>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</si>
  <si>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</si>
  <si>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</si>
  <si>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</si>
  <si>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</si>
  <si>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Disposal of Persons Arrested under Human Trafficking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</si>
</sst>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76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0" fillId="0" borderId="0" xfId="0" applyAlignment="1">
      <alignment vertical="center"/>
    </xf>
    <xf numFmtId="0" fontId="1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3" fillId="8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6" borderId="3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13" fillId="8" borderId="3" xfId="0" applyFont="1" applyFill="1" applyBorder="1" applyAlignment="1">
      <alignment horizontal="center" vertical="center" wrapText="1"/>
    </xf>
    <xf numFmtId="0" fontId="13" fillId="8" borderId="4" xfId="0" applyFont="1" applyFill="1" applyBorder="1" applyAlignment="1">
      <alignment horizontal="right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13" fillId="8" borderId="6" xfId="0" applyFont="1" applyFill="1" applyBorder="1" applyAlignment="1">
      <alignment horizontal="right" vertical="center" wrapText="1"/>
    </xf>
    <xf numFmtId="0" fontId="13" fillId="8" borderId="2" xfId="0" quotePrefix="1" applyFont="1" applyFill="1" applyBorder="1" applyAlignment="1">
      <alignment horizontal="center" vertical="center" wrapText="1"/>
    </xf>
    <xf numFmtId="0" fontId="9" fillId="0" borderId="0" xfId="0" applyFont="1"/>
    <xf numFmtId="0" fontId="16" fillId="0" borderId="0" xfId="0" applyFont="1" applyAlignment="1">
      <alignment horizontal="center" vertical="center"/>
    </xf>
    <xf numFmtId="0" fontId="13" fillId="8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EBFCEB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topLeftCell="A8" workbookViewId="0">
      <selection activeCell="B8" sqref="B8"/>
    </sheetView>
  </sheetViews>
  <sheetFormatPr defaultRowHeight="15" x14ac:dyDescent="0.25"/>
  <cols>
    <col min="1" max="1" width="5.5703125" style="41" customWidth="1"/>
    <col min="2" max="2" width="29.140625" style="41" customWidth="1"/>
    <col min="3" max="3" width="12.140625" style="41" customWidth="1"/>
    <col min="4" max="4" width="14.85546875" style="41" customWidth="1"/>
    <col min="5" max="5" width="13" style="41" customWidth="1"/>
    <col min="6" max="6" width="16.5703125" style="41" customWidth="1"/>
    <col min="7" max="16384" width="9.140625" style="41"/>
  </cols>
  <sheetData>
    <row r="1" spans="1:6" ht="18" customHeight="1" x14ac:dyDescent="0.25">
      <c r="A1" s="70" t="s">
        <v>123</v>
      </c>
      <c r="B1" s="70"/>
      <c r="C1" s="70"/>
      <c r="D1" s="70"/>
      <c r="E1" s="70"/>
      <c r="F1" s="70"/>
    </row>
    <row r="2" spans="1:6" ht="18" customHeight="1" x14ac:dyDescent="0.25">
      <c r="A2" s="71" t="s">
        <v>136</v>
      </c>
      <c r="B2" s="71"/>
      <c r="C2" s="71"/>
      <c r="D2" s="71"/>
      <c r="E2" s="71"/>
      <c r="F2" s="71"/>
    </row>
    <row r="3" spans="1:6" ht="15" customHeight="1" x14ac:dyDescent="0.25">
      <c r="A3" s="65" t="s">
        <v>127</v>
      </c>
      <c r="B3" s="65" t="s">
        <v>79</v>
      </c>
      <c r="C3" s="65" t="s">
        <v>119</v>
      </c>
      <c r="D3" s="65" t="s">
        <v>118</v>
      </c>
      <c r="E3" s="65" t="s">
        <v>117</v>
      </c>
      <c r="F3" s="65" t="s">
        <v>116</v>
      </c>
    </row>
    <row r="4" spans="1:6" ht="41.25" customHeight="1" x14ac:dyDescent="0.25">
      <c r="A4" s="65">
        <v>1</v>
      </c>
      <c r="B4" s="65">
        <v>2</v>
      </c>
      <c r="C4" s="65">
        <v>3</v>
      </c>
      <c r="D4" s="65">
        <v>4</v>
      </c>
      <c r="E4" s="65">
        <v>5</v>
      </c>
      <c r="F4" s="65">
        <v>6</v>
      </c>
    </row>
    <row r="5" spans="1:6" x14ac:dyDescent="0.25">
      <c r="A5" s="62" t="s">
        <v>130</v>
      </c>
      <c r="B5" s="62" t="s">
        <v>131</v>
      </c>
      <c r="C5" s="62" t="s">
        <v>132</v>
      </c>
      <c r="D5" s="62" t="s">
        <v>133</v>
      </c>
      <c r="E5" s="62" t="s">
        <v>134</v>
      </c>
      <c r="F5" s="62" t="s">
        <v>135</v>
      </c>
    </row>
    <row r="6" spans="1:6" x14ac:dyDescent="0.25">
      <c r="A6" s="50" t="s">
        <v>125</v>
      </c>
      <c r="B6" s="45"/>
      <c r="C6" s="46"/>
      <c r="D6" s="46"/>
      <c r="E6" s="46"/>
      <c r="F6" s="51"/>
    </row>
    <row r="7" spans="1:6" ht="15" customHeight="1" x14ac:dyDescent="0.25">
      <c r="A7" s="52">
        <v>1</v>
      </c>
      <c r="B7" s="47" t="s">
        <v>80</v>
      </c>
      <c r="C7" s="47">
        <v>775</v>
      </c>
      <c r="D7" s="47">
        <v>529</v>
      </c>
      <c r="E7" s="47">
        <v>12</v>
      </c>
      <c r="F7" s="53">
        <v>423</v>
      </c>
    </row>
    <row r="8" spans="1:6" ht="15" customHeight="1" x14ac:dyDescent="0.25">
      <c r="A8" s="54">
        <v>2</v>
      </c>
      <c r="B8" s="43" t="s">
        <v>81</v>
      </c>
      <c r="C8" s="43">
        <v>4</v>
      </c>
      <c r="D8" s="43">
        <v>1</v>
      </c>
      <c r="E8" s="43">
        <v>0</v>
      </c>
      <c r="F8" s="55">
        <v>0</v>
      </c>
    </row>
    <row r="9" spans="1:6" ht="15" customHeight="1" x14ac:dyDescent="0.25">
      <c r="A9" s="52">
        <v>3</v>
      </c>
      <c r="B9" s="47" t="s">
        <v>82</v>
      </c>
      <c r="C9" s="47">
        <v>218</v>
      </c>
      <c r="D9" s="47">
        <v>165</v>
      </c>
      <c r="E9" s="47">
        <v>0</v>
      </c>
      <c r="F9" s="53">
        <v>27</v>
      </c>
    </row>
    <row r="10" spans="1:6" ht="15" customHeight="1" x14ac:dyDescent="0.25">
      <c r="A10" s="54">
        <v>4</v>
      </c>
      <c r="B10" s="43" t="s">
        <v>83</v>
      </c>
      <c r="C10" s="43">
        <v>560</v>
      </c>
      <c r="D10" s="43">
        <v>558</v>
      </c>
      <c r="E10" s="43">
        <v>8</v>
      </c>
      <c r="F10" s="55">
        <v>1</v>
      </c>
    </row>
    <row r="11" spans="1:6" ht="15" customHeight="1" x14ac:dyDescent="0.25">
      <c r="A11" s="52">
        <v>5</v>
      </c>
      <c r="B11" s="47" t="s">
        <v>84</v>
      </c>
      <c r="C11" s="47">
        <v>69</v>
      </c>
      <c r="D11" s="47">
        <v>67</v>
      </c>
      <c r="E11" s="47">
        <v>12</v>
      </c>
      <c r="F11" s="53">
        <v>0</v>
      </c>
    </row>
    <row r="12" spans="1:6" ht="15" customHeight="1" x14ac:dyDescent="0.25">
      <c r="A12" s="54">
        <v>6</v>
      </c>
      <c r="B12" s="43" t="s">
        <v>4</v>
      </c>
      <c r="C12" s="43">
        <v>1</v>
      </c>
      <c r="D12" s="43">
        <v>1</v>
      </c>
      <c r="E12" s="43">
        <v>2</v>
      </c>
      <c r="F12" s="55">
        <v>21</v>
      </c>
    </row>
    <row r="13" spans="1:6" ht="15" customHeight="1" x14ac:dyDescent="0.25">
      <c r="A13" s="52">
        <v>7</v>
      </c>
      <c r="B13" s="47" t="s">
        <v>85</v>
      </c>
      <c r="C13" s="47">
        <v>54</v>
      </c>
      <c r="D13" s="47">
        <v>54</v>
      </c>
      <c r="E13" s="47">
        <v>0</v>
      </c>
      <c r="F13" s="53">
        <v>0</v>
      </c>
    </row>
    <row r="14" spans="1:6" ht="15" customHeight="1" x14ac:dyDescent="0.25">
      <c r="A14" s="54">
        <v>8</v>
      </c>
      <c r="B14" s="43" t="s">
        <v>86</v>
      </c>
      <c r="C14" s="43">
        <v>66</v>
      </c>
      <c r="D14" s="43">
        <v>63</v>
      </c>
      <c r="E14" s="43">
        <v>8</v>
      </c>
      <c r="F14" s="55">
        <v>15</v>
      </c>
    </row>
    <row r="15" spans="1:6" ht="15" customHeight="1" x14ac:dyDescent="0.25">
      <c r="A15" s="52">
        <v>9</v>
      </c>
      <c r="B15" s="47" t="s">
        <v>87</v>
      </c>
      <c r="C15" s="47">
        <v>34</v>
      </c>
      <c r="D15" s="47">
        <v>19</v>
      </c>
      <c r="E15" s="47">
        <v>0</v>
      </c>
      <c r="F15" s="53">
        <v>2</v>
      </c>
    </row>
    <row r="16" spans="1:6" ht="15" customHeight="1" x14ac:dyDescent="0.25">
      <c r="A16" s="54">
        <v>10</v>
      </c>
      <c r="B16" s="43" t="s">
        <v>88</v>
      </c>
      <c r="C16" s="43">
        <v>131</v>
      </c>
      <c r="D16" s="43">
        <v>87</v>
      </c>
      <c r="E16" s="43">
        <v>19</v>
      </c>
      <c r="F16" s="55">
        <v>22</v>
      </c>
    </row>
    <row r="17" spans="1:6" ht="15" customHeight="1" x14ac:dyDescent="0.25">
      <c r="A17" s="52">
        <v>11</v>
      </c>
      <c r="B17" s="47" t="s">
        <v>89</v>
      </c>
      <c r="C17" s="47">
        <v>72</v>
      </c>
      <c r="D17" s="47">
        <v>71</v>
      </c>
      <c r="E17" s="47">
        <v>0</v>
      </c>
      <c r="F17" s="53">
        <v>13</v>
      </c>
    </row>
    <row r="18" spans="1:6" ht="15" customHeight="1" x14ac:dyDescent="0.25">
      <c r="A18" s="54">
        <v>12</v>
      </c>
      <c r="B18" s="43" t="s">
        <v>90</v>
      </c>
      <c r="C18" s="43">
        <v>319</v>
      </c>
      <c r="D18" s="43">
        <v>226</v>
      </c>
      <c r="E18" s="43">
        <v>0</v>
      </c>
      <c r="F18" s="55">
        <v>184</v>
      </c>
    </row>
    <row r="19" spans="1:6" ht="15" customHeight="1" x14ac:dyDescent="0.25">
      <c r="A19" s="52">
        <v>13</v>
      </c>
      <c r="B19" s="47" t="s">
        <v>91</v>
      </c>
      <c r="C19" s="47">
        <v>394</v>
      </c>
      <c r="D19" s="47">
        <v>358</v>
      </c>
      <c r="E19" s="47">
        <v>40</v>
      </c>
      <c r="F19" s="53">
        <v>128</v>
      </c>
    </row>
    <row r="20" spans="1:6" ht="15" customHeight="1" x14ac:dyDescent="0.25">
      <c r="A20" s="54">
        <v>14</v>
      </c>
      <c r="B20" s="43" t="s">
        <v>92</v>
      </c>
      <c r="C20" s="43">
        <v>787</v>
      </c>
      <c r="D20" s="43">
        <v>561</v>
      </c>
      <c r="E20" s="43">
        <v>8</v>
      </c>
      <c r="F20" s="55">
        <v>41</v>
      </c>
    </row>
    <row r="21" spans="1:6" ht="15" customHeight="1" x14ac:dyDescent="0.25">
      <c r="A21" s="52">
        <v>15</v>
      </c>
      <c r="B21" s="47" t="s">
        <v>93</v>
      </c>
      <c r="C21" s="47">
        <v>0</v>
      </c>
      <c r="D21" s="47">
        <v>0</v>
      </c>
      <c r="E21" s="47">
        <v>0</v>
      </c>
      <c r="F21" s="53">
        <v>0</v>
      </c>
    </row>
    <row r="22" spans="1:6" ht="15" customHeight="1" x14ac:dyDescent="0.25">
      <c r="A22" s="54">
        <v>16</v>
      </c>
      <c r="B22" s="43" t="s">
        <v>94</v>
      </c>
      <c r="C22" s="43">
        <v>5</v>
      </c>
      <c r="D22" s="43">
        <v>3</v>
      </c>
      <c r="E22" s="43">
        <v>0</v>
      </c>
      <c r="F22" s="55">
        <v>1</v>
      </c>
    </row>
    <row r="23" spans="1:6" ht="15" customHeight="1" x14ac:dyDescent="0.25">
      <c r="A23" s="52">
        <v>17</v>
      </c>
      <c r="B23" s="47" t="s">
        <v>95</v>
      </c>
      <c r="C23" s="47">
        <v>0</v>
      </c>
      <c r="D23" s="47">
        <v>0</v>
      </c>
      <c r="E23" s="47">
        <v>0</v>
      </c>
      <c r="F23" s="53">
        <v>0</v>
      </c>
    </row>
    <row r="24" spans="1:6" ht="15" customHeight="1" x14ac:dyDescent="0.25">
      <c r="A24" s="54">
        <v>18</v>
      </c>
      <c r="B24" s="43" t="s">
        <v>96</v>
      </c>
      <c r="C24" s="43">
        <v>0</v>
      </c>
      <c r="D24" s="43">
        <v>0</v>
      </c>
      <c r="E24" s="43">
        <v>0</v>
      </c>
      <c r="F24" s="55">
        <v>0</v>
      </c>
    </row>
    <row r="25" spans="1:6" ht="15" customHeight="1" x14ac:dyDescent="0.25">
      <c r="A25" s="52">
        <v>19</v>
      </c>
      <c r="B25" s="47" t="s">
        <v>97</v>
      </c>
      <c r="C25" s="47">
        <v>433</v>
      </c>
      <c r="D25" s="47">
        <v>138</v>
      </c>
      <c r="E25" s="47">
        <v>0</v>
      </c>
      <c r="F25" s="53">
        <v>5</v>
      </c>
    </row>
    <row r="26" spans="1:6" ht="15" customHeight="1" x14ac:dyDescent="0.25">
      <c r="A26" s="54">
        <v>20</v>
      </c>
      <c r="B26" s="43" t="s">
        <v>98</v>
      </c>
      <c r="C26" s="43">
        <v>51</v>
      </c>
      <c r="D26" s="43">
        <v>19</v>
      </c>
      <c r="E26" s="43">
        <v>1</v>
      </c>
      <c r="F26" s="55">
        <v>22</v>
      </c>
    </row>
    <row r="27" spans="1:6" ht="15" customHeight="1" x14ac:dyDescent="0.25">
      <c r="A27" s="52">
        <v>21</v>
      </c>
      <c r="B27" s="47" t="s">
        <v>99</v>
      </c>
      <c r="C27" s="47">
        <v>201</v>
      </c>
      <c r="D27" s="47">
        <v>200</v>
      </c>
      <c r="E27" s="47">
        <v>0</v>
      </c>
      <c r="F27" s="53">
        <v>0</v>
      </c>
    </row>
    <row r="28" spans="1:6" ht="15" customHeight="1" x14ac:dyDescent="0.25">
      <c r="A28" s="54">
        <v>22</v>
      </c>
      <c r="B28" s="43" t="s">
        <v>100</v>
      </c>
      <c r="C28" s="43">
        <v>0</v>
      </c>
      <c r="D28" s="43">
        <v>0</v>
      </c>
      <c r="E28" s="43">
        <v>0</v>
      </c>
      <c r="F28" s="55">
        <v>0</v>
      </c>
    </row>
    <row r="29" spans="1:6" ht="15" customHeight="1" x14ac:dyDescent="0.25">
      <c r="A29" s="52">
        <v>23</v>
      </c>
      <c r="B29" s="47" t="s">
        <v>101</v>
      </c>
      <c r="C29" s="47">
        <v>1</v>
      </c>
      <c r="D29" s="47">
        <v>1</v>
      </c>
      <c r="E29" s="47">
        <v>0</v>
      </c>
      <c r="F29" s="53">
        <v>2</v>
      </c>
    </row>
    <row r="30" spans="1:6" ht="15" customHeight="1" x14ac:dyDescent="0.25">
      <c r="A30" s="54">
        <v>24</v>
      </c>
      <c r="B30" s="43" t="s">
        <v>102</v>
      </c>
      <c r="C30" s="43">
        <v>1019</v>
      </c>
      <c r="D30" s="43">
        <v>1125</v>
      </c>
      <c r="E30" s="43">
        <v>2</v>
      </c>
      <c r="F30" s="55">
        <v>63</v>
      </c>
    </row>
    <row r="31" spans="1:6" ht="15" customHeight="1" x14ac:dyDescent="0.25">
      <c r="A31" s="52">
        <v>25</v>
      </c>
      <c r="B31" s="47" t="s">
        <v>103</v>
      </c>
      <c r="C31" s="47">
        <v>0</v>
      </c>
      <c r="D31" s="47">
        <v>0</v>
      </c>
      <c r="E31" s="47">
        <v>0</v>
      </c>
      <c r="F31" s="53">
        <v>0</v>
      </c>
    </row>
    <row r="32" spans="1:6" ht="15" customHeight="1" x14ac:dyDescent="0.25">
      <c r="A32" s="54">
        <v>26</v>
      </c>
      <c r="B32" s="43" t="s">
        <v>104</v>
      </c>
      <c r="C32" s="43">
        <v>201</v>
      </c>
      <c r="D32" s="43">
        <v>13</v>
      </c>
      <c r="E32" s="43">
        <v>0</v>
      </c>
      <c r="F32" s="55">
        <v>0</v>
      </c>
    </row>
    <row r="33" spans="1:6" ht="15" customHeight="1" x14ac:dyDescent="0.25">
      <c r="A33" s="52">
        <v>27</v>
      </c>
      <c r="B33" s="47" t="s">
        <v>105</v>
      </c>
      <c r="C33" s="47">
        <v>65</v>
      </c>
      <c r="D33" s="47">
        <v>71</v>
      </c>
      <c r="E33" s="47">
        <v>0</v>
      </c>
      <c r="F33" s="53">
        <v>10</v>
      </c>
    </row>
    <row r="34" spans="1:6" ht="15" customHeight="1" x14ac:dyDescent="0.25">
      <c r="A34" s="54">
        <v>28</v>
      </c>
      <c r="B34" s="43" t="s">
        <v>106</v>
      </c>
      <c r="C34" s="43">
        <v>139</v>
      </c>
      <c r="D34" s="43">
        <v>140</v>
      </c>
      <c r="E34" s="43">
        <v>81</v>
      </c>
      <c r="F34" s="55">
        <v>141</v>
      </c>
    </row>
    <row r="35" spans="1:6" ht="15" customHeight="1" x14ac:dyDescent="0.25">
      <c r="A35" s="56"/>
      <c r="B35" s="48" t="s">
        <v>107</v>
      </c>
      <c r="C35" s="49">
        <f>SUM(C7:C34)</f>
        <v>5599</v>
      </c>
      <c r="D35" s="49">
        <f t="shared" ref="D35:F35" si="0">SUM(D7:D34)</f>
        <v>4470</v>
      </c>
      <c r="E35" s="49">
        <f t="shared" si="0"/>
        <v>193</v>
      </c>
      <c r="F35" s="57">
        <f t="shared" si="0"/>
        <v>1121</v>
      </c>
    </row>
    <row r="36" spans="1:6" ht="15" customHeight="1" x14ac:dyDescent="0.25">
      <c r="A36" s="67" t="s">
        <v>108</v>
      </c>
      <c r="B36" s="68"/>
      <c r="C36" s="68"/>
      <c r="D36" s="68"/>
      <c r="E36" s="68"/>
      <c r="F36" s="69"/>
    </row>
    <row r="37" spans="1:6" ht="15" customHeight="1" x14ac:dyDescent="0.25">
      <c r="A37" s="52">
        <v>29</v>
      </c>
      <c r="B37" s="47" t="s">
        <v>109</v>
      </c>
      <c r="C37" s="47">
        <v>0</v>
      </c>
      <c r="D37" s="47">
        <v>0</v>
      </c>
      <c r="E37" s="47">
        <v>0</v>
      </c>
      <c r="F37" s="53">
        <v>0</v>
      </c>
    </row>
    <row r="38" spans="1:6" ht="15" customHeight="1" x14ac:dyDescent="0.25">
      <c r="A38" s="54">
        <v>30</v>
      </c>
      <c r="B38" s="43" t="s">
        <v>110</v>
      </c>
      <c r="C38" s="43">
        <v>3</v>
      </c>
      <c r="D38" s="43">
        <v>5</v>
      </c>
      <c r="E38" s="43">
        <v>5</v>
      </c>
      <c r="F38" s="55">
        <v>3</v>
      </c>
    </row>
    <row r="39" spans="1:6" ht="15" customHeight="1" x14ac:dyDescent="0.25">
      <c r="A39" s="52">
        <v>31</v>
      </c>
      <c r="B39" s="47" t="s">
        <v>128</v>
      </c>
      <c r="C39" s="47">
        <v>0</v>
      </c>
      <c r="D39" s="47">
        <v>0</v>
      </c>
      <c r="E39" s="47">
        <v>0</v>
      </c>
      <c r="F39" s="53">
        <v>0</v>
      </c>
    </row>
    <row r="40" spans="1:6" ht="15" customHeight="1" x14ac:dyDescent="0.25">
      <c r="A40" s="54">
        <v>32</v>
      </c>
      <c r="B40" s="43" t="s">
        <v>111</v>
      </c>
      <c r="C40" s="43">
        <v>217</v>
      </c>
      <c r="D40" s="43">
        <v>147</v>
      </c>
      <c r="E40" s="43">
        <v>4</v>
      </c>
      <c r="F40" s="55">
        <v>10</v>
      </c>
    </row>
    <row r="41" spans="1:6" ht="15" customHeight="1" x14ac:dyDescent="0.25">
      <c r="A41" s="52">
        <v>33</v>
      </c>
      <c r="B41" s="47" t="s">
        <v>8</v>
      </c>
      <c r="C41" s="47">
        <v>17</v>
      </c>
      <c r="D41" s="47">
        <v>8</v>
      </c>
      <c r="E41" s="47">
        <v>0</v>
      </c>
      <c r="F41" s="53">
        <v>0</v>
      </c>
    </row>
    <row r="42" spans="1:6" ht="15" customHeight="1" x14ac:dyDescent="0.25">
      <c r="A42" s="54">
        <v>34</v>
      </c>
      <c r="B42" s="43" t="s">
        <v>129</v>
      </c>
      <c r="C42" s="43">
        <v>0</v>
      </c>
      <c r="D42" s="43">
        <v>0</v>
      </c>
      <c r="E42" s="43">
        <v>0</v>
      </c>
      <c r="F42" s="55">
        <v>0</v>
      </c>
    </row>
    <row r="43" spans="1:6" ht="15" customHeight="1" x14ac:dyDescent="0.25">
      <c r="A43" s="52">
        <v>35</v>
      </c>
      <c r="B43" s="47" t="s">
        <v>112</v>
      </c>
      <c r="C43" s="47">
        <v>0</v>
      </c>
      <c r="D43" s="47">
        <v>0</v>
      </c>
      <c r="E43" s="47">
        <v>0</v>
      </c>
      <c r="F43" s="53">
        <v>0</v>
      </c>
    </row>
    <row r="44" spans="1:6" ht="15" customHeight="1" x14ac:dyDescent="0.25">
      <c r="A44" s="54">
        <v>36</v>
      </c>
      <c r="B44" s="43" t="s">
        <v>113</v>
      </c>
      <c r="C44" s="43">
        <v>28</v>
      </c>
      <c r="D44" s="43">
        <v>9</v>
      </c>
      <c r="E44" s="43">
        <v>2</v>
      </c>
      <c r="F44" s="55">
        <v>0</v>
      </c>
    </row>
    <row r="45" spans="1:6" ht="15" customHeight="1" x14ac:dyDescent="0.25">
      <c r="A45" s="56"/>
      <c r="B45" s="48" t="s">
        <v>114</v>
      </c>
      <c r="C45" s="49">
        <f>SUM(C37:C44)</f>
        <v>265</v>
      </c>
      <c r="D45" s="49">
        <f t="shared" ref="D45:F45" si="1">SUM(D37:D44)</f>
        <v>169</v>
      </c>
      <c r="E45" s="49">
        <f t="shared" si="1"/>
        <v>11</v>
      </c>
      <c r="F45" s="57">
        <f t="shared" si="1"/>
        <v>13</v>
      </c>
    </row>
    <row r="46" spans="1:6" ht="15" customHeight="1" x14ac:dyDescent="0.25">
      <c r="A46" s="58"/>
      <c r="B46" s="59" t="s">
        <v>115</v>
      </c>
      <c r="C46" s="60">
        <f>SUM(C35,C45)</f>
        <v>5864</v>
      </c>
      <c r="D46" s="60">
        <f t="shared" ref="D46:F46" si="2">SUM(D35,D45)</f>
        <v>4639</v>
      </c>
      <c r="E46" s="60">
        <f t="shared" si="2"/>
        <v>204</v>
      </c>
      <c r="F46" s="61">
        <f t="shared" si="2"/>
        <v>1134</v>
      </c>
    </row>
    <row r="47" spans="1:6" ht="15" customHeight="1" x14ac:dyDescent="0.25">
      <c r="A47" s="66" t="s">
        <v>126</v>
      </c>
      <c r="B47" s="66"/>
      <c r="C47" s="66"/>
      <c r="D47" s="66"/>
      <c r="E47" s="66"/>
      <c r="F47" s="66"/>
    </row>
    <row r="48" spans="1:6" x14ac:dyDescent="0.25">
      <c r="A48" s="42" t="s">
        <v>122</v>
      </c>
      <c r="B48" s="44" t="s">
        <v>124</v>
      </c>
      <c r="C48" s="43"/>
      <c r="D48" s="43"/>
      <c r="E48" s="43"/>
    </row>
    <row r="49" spans="2:5" x14ac:dyDescent="0.2">
      <c r="B49" s="63"/>
      <c r="C49" s="43"/>
      <c r="D49" s="43"/>
      <c r="E49" s="43"/>
    </row>
    <row r="50" spans="2:5" ht="15.75" x14ac:dyDescent="0.25">
      <c r="C50" s="64"/>
      <c r="D50" s="64"/>
    </row>
  </sheetData>
  <mergeCells count="11">
    <mergeCell ref="C50:D50"/>
    <mergeCell ref="F3:F4"/>
    <mergeCell ref="A47:F47"/>
    <mergeCell ref="A36:F36"/>
    <mergeCell ref="A1:F1"/>
    <mergeCell ref="A2:F2"/>
    <mergeCell ref="A3:A4"/>
    <mergeCell ref="B3:B4"/>
    <mergeCell ref="C3:C4"/>
    <mergeCell ref="D3:D4"/>
    <mergeCell ref="E3:E4"/>
  </mergeCell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72" t="s">
        <v>67</v>
      </c>
      <c r="B1" s="72"/>
      <c r="C1" s="72"/>
      <c r="D1" s="72"/>
      <c r="E1" s="72"/>
      <c r="F1" s="72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68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60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61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62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63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64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65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66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73</v>
      </c>
      <c r="B44" s="1"/>
      <c r="C44" s="1"/>
      <c r="D44" s="1"/>
      <c r="E44" s="1"/>
      <c r="F44" s="33"/>
    </row>
    <row r="45" spans="1:10" x14ac:dyDescent="0.25">
      <c r="A45" s="32" t="s">
        <v>74</v>
      </c>
      <c r="B45" s="1"/>
      <c r="C45" s="1"/>
      <c r="D45" s="1"/>
      <c r="E45" s="1"/>
    </row>
    <row r="46" spans="1:10" x14ac:dyDescent="0.25">
      <c r="A46" s="32" t="s">
        <v>75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73" t="s">
        <v>78</v>
      </c>
      <c r="B1" s="73"/>
      <c r="C1" s="73"/>
      <c r="D1" s="73"/>
      <c r="E1" s="73"/>
      <c r="F1" s="73"/>
      <c r="G1" s="73"/>
      <c r="H1" s="73"/>
      <c r="I1" s="73"/>
      <c r="J1" s="73"/>
      <c r="K1" s="73"/>
    </row>
    <row r="2" spans="1:22" x14ac:dyDescent="0.25">
      <c r="A2" s="74" t="s">
        <v>42</v>
      </c>
      <c r="B2" s="74" t="s">
        <v>43</v>
      </c>
      <c r="C2" s="75" t="s">
        <v>44</v>
      </c>
      <c r="D2" s="75"/>
      <c r="E2" s="75"/>
      <c r="F2" s="75" t="s">
        <v>45</v>
      </c>
      <c r="G2" s="75"/>
      <c r="H2" s="75"/>
      <c r="I2" s="75" t="s">
        <v>37</v>
      </c>
      <c r="J2" s="75"/>
      <c r="K2" s="75"/>
    </row>
    <row r="3" spans="1:22" x14ac:dyDescent="0.25">
      <c r="A3" s="74"/>
      <c r="B3" s="74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76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71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72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120</v>
      </c>
      <c r="B45" s="1"/>
      <c r="C45" s="1"/>
      <c r="D45" s="1"/>
      <c r="E45" s="1"/>
      <c r="F45" s="33"/>
    </row>
    <row r="46" spans="1:22" x14ac:dyDescent="0.25">
      <c r="A46" s="32" t="s">
        <v>75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73" t="s">
        <v>69</v>
      </c>
      <c r="B1" s="73"/>
      <c r="C1" s="73"/>
      <c r="D1" s="73"/>
      <c r="E1" s="73"/>
      <c r="F1" s="73"/>
      <c r="G1" s="73"/>
      <c r="H1" s="73"/>
      <c r="I1" s="73"/>
      <c r="J1" s="73"/>
    </row>
    <row r="2" spans="1:13" x14ac:dyDescent="0.25">
      <c r="A2" s="74" t="s">
        <v>42</v>
      </c>
      <c r="B2" s="74" t="s">
        <v>43</v>
      </c>
      <c r="C2" s="74" t="s">
        <v>50</v>
      </c>
      <c r="D2" s="75" t="s">
        <v>51</v>
      </c>
      <c r="E2" s="75"/>
      <c r="F2" s="75"/>
      <c r="G2" s="75" t="s">
        <v>52</v>
      </c>
      <c r="H2" s="75"/>
      <c r="I2" s="75"/>
      <c r="J2" s="75"/>
    </row>
    <row r="3" spans="1:13" ht="78.75" customHeight="1" x14ac:dyDescent="0.25">
      <c r="A3" s="74"/>
      <c r="B3" s="74"/>
      <c r="C3" s="74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70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70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70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70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70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70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70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70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70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70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70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70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70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70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70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70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70</v>
      </c>
    </row>
    <row r="36" spans="1:10" x14ac:dyDescent="0.25">
      <c r="A36" s="16">
        <v>32</v>
      </c>
      <c r="B36" s="6" t="s">
        <v>77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71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70</v>
      </c>
    </row>
    <row r="39" spans="1:10" x14ac:dyDescent="0.25">
      <c r="A39" s="16">
        <v>35</v>
      </c>
      <c r="B39" s="6" t="s">
        <v>72</v>
      </c>
      <c r="C39" s="18">
        <v>0</v>
      </c>
      <c r="D39" s="18">
        <v>0</v>
      </c>
      <c r="E39" s="18">
        <v>0</v>
      </c>
      <c r="F39" s="36" t="s">
        <v>70</v>
      </c>
      <c r="G39" s="18">
        <v>0</v>
      </c>
      <c r="H39" s="18">
        <v>0</v>
      </c>
      <c r="I39" s="18"/>
      <c r="J39" s="37" t="s">
        <v>70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70</v>
      </c>
      <c r="G40" s="18">
        <v>0</v>
      </c>
      <c r="H40" s="6">
        <v>0</v>
      </c>
      <c r="I40" s="6">
        <f t="shared" ref="I40:I42" si="4">G40+H40</f>
        <v>0</v>
      </c>
      <c r="J40" s="36" t="s">
        <v>70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70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121</v>
      </c>
      <c r="B45" s="1"/>
      <c r="C45" s="1"/>
      <c r="D45" s="1"/>
      <c r="E45" s="1"/>
      <c r="F45" s="33"/>
      <c r="G45"/>
    </row>
    <row r="46" spans="1:10" x14ac:dyDescent="0.25">
      <c r="A46" s="32" t="s">
        <v>75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14.7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2023-07-17T07:11:01Z</dcterms:modified>
</cp:coreProperties>
</file>