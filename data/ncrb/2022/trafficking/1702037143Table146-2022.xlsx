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6" sheetId="25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14.6'!$A$1:$J$50</definedName>
  </definedNames>
  <calcPr calcId="145621"/>
</workbook>
</file>

<file path=xl/calcChain.xml><?xml version="1.0" encoding="utf-8"?>
<calcChain xmlns="http://schemas.openxmlformats.org/spreadsheetml/2006/main">
  <c r="F46" i="25" l="1"/>
  <c r="F45" i="25"/>
  <c r="F35" i="25"/>
  <c r="F12" i="25"/>
  <c r="J12" i="25" l="1"/>
  <c r="J45" i="25" l="1"/>
  <c r="F26" i="25" l="1"/>
  <c r="F8" i="25" l="1"/>
  <c r="F7" i="25"/>
  <c r="J44" i="25"/>
  <c r="J40" i="25"/>
  <c r="J20" i="25"/>
  <c r="J19" i="25"/>
  <c r="I44" i="25"/>
  <c r="I43" i="25"/>
  <c r="I42" i="25"/>
  <c r="I41" i="25"/>
  <c r="I40" i="25"/>
  <c r="I39" i="25"/>
  <c r="I38" i="25"/>
  <c r="J38" i="25" s="1"/>
  <c r="I37" i="25"/>
  <c r="I34" i="25"/>
  <c r="J34" i="25" s="1"/>
  <c r="I33" i="25"/>
  <c r="J33" i="25" s="1"/>
  <c r="I32" i="25"/>
  <c r="I31" i="25"/>
  <c r="I30" i="25"/>
  <c r="J30" i="25" s="1"/>
  <c r="I29" i="25"/>
  <c r="J29" i="25" s="1"/>
  <c r="I28" i="25"/>
  <c r="I27" i="25"/>
  <c r="I26" i="25"/>
  <c r="J26" i="25" s="1"/>
  <c r="I25" i="25"/>
  <c r="J25" i="25" s="1"/>
  <c r="I24" i="25"/>
  <c r="I23" i="25"/>
  <c r="I22" i="25"/>
  <c r="J22" i="25" s="1"/>
  <c r="I21" i="25"/>
  <c r="I20" i="25"/>
  <c r="I19" i="25"/>
  <c r="I18" i="25"/>
  <c r="J18" i="25" s="1"/>
  <c r="I17" i="25"/>
  <c r="J17" i="25" s="1"/>
  <c r="I16" i="25"/>
  <c r="J16" i="25" s="1"/>
  <c r="I15" i="25"/>
  <c r="J15" i="25" s="1"/>
  <c r="I14" i="25"/>
  <c r="J14" i="25" s="1"/>
  <c r="I13" i="25"/>
  <c r="I12" i="25"/>
  <c r="I11" i="25"/>
  <c r="I10" i="25"/>
  <c r="J10" i="25" s="1"/>
  <c r="I9" i="25"/>
  <c r="J9" i="25" s="1"/>
  <c r="I8" i="25"/>
  <c r="I7" i="25"/>
  <c r="J7" i="25" s="1"/>
  <c r="F38" i="25" l="1"/>
  <c r="F40" i="25"/>
  <c r="F41" i="25"/>
  <c r="F22" i="25"/>
  <c r="F25" i="25"/>
  <c r="F27" i="25"/>
  <c r="F29" i="25"/>
  <c r="F30" i="25"/>
  <c r="F32" i="25"/>
  <c r="F33" i="25"/>
  <c r="F34" i="25"/>
  <c r="F9" i="25"/>
  <c r="F10" i="25"/>
  <c r="F11" i="25"/>
  <c r="F13" i="25"/>
  <c r="F14" i="25"/>
  <c r="F15" i="25"/>
  <c r="F16" i="25"/>
  <c r="F17" i="25"/>
  <c r="F18" i="25"/>
  <c r="F19" i="25"/>
  <c r="F20" i="25"/>
  <c r="D45" i="25" l="1"/>
  <c r="E45" i="25"/>
  <c r="G45" i="25"/>
  <c r="H45" i="25"/>
  <c r="I45" i="25"/>
  <c r="G35" i="25"/>
  <c r="H35" i="25"/>
  <c r="H46" i="25" s="1"/>
  <c r="I35" i="25"/>
  <c r="D35" i="25"/>
  <c r="D46" i="25" s="1"/>
  <c r="E35" i="25"/>
  <c r="I46" i="25" l="1"/>
  <c r="J46" i="25" s="1"/>
  <c r="J35" i="25"/>
  <c r="E46" i="25"/>
  <c r="G46" i="25"/>
  <c r="C45" i="25"/>
  <c r="C35" i="25"/>
  <c r="C46" i="25" l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2" i="6"/>
  <c r="H43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E43" i="3" l="1"/>
  <c r="K43" i="3"/>
  <c r="D42" i="3"/>
  <c r="E42" i="3"/>
  <c r="F42" i="3"/>
  <c r="G42" i="3"/>
  <c r="H42" i="3"/>
  <c r="I42" i="3"/>
  <c r="J42" i="3"/>
  <c r="J43" i="3" s="1"/>
  <c r="K42" i="3"/>
  <c r="C42" i="3"/>
  <c r="D33" i="3"/>
  <c r="D43" i="3" s="1"/>
  <c r="E33" i="3"/>
  <c r="F33" i="3"/>
  <c r="F43" i="3" s="1"/>
  <c r="G33" i="3"/>
  <c r="G43" i="3" s="1"/>
  <c r="H33" i="3"/>
  <c r="H43" i="3" s="1"/>
  <c r="I33" i="3"/>
  <c r="I43" i="3" s="1"/>
  <c r="J33" i="3"/>
  <c r="K33" i="3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33" i="6" l="1"/>
  <c r="F42" i="6"/>
  <c r="E43" i="6"/>
  <c r="D43" i="6"/>
  <c r="F43" i="6" s="1"/>
  <c r="C43" i="6"/>
  <c r="C42" i="1"/>
  <c r="D5" i="1" l="1"/>
  <c r="D13" i="1"/>
  <c r="D21" i="1"/>
  <c r="D29" i="1"/>
  <c r="D37" i="1"/>
  <c r="D6" i="1"/>
  <c r="D14" i="1"/>
  <c r="D22" i="1"/>
  <c r="D30" i="1"/>
  <c r="D38" i="1"/>
  <c r="D7" i="1"/>
  <c r="D15" i="1"/>
  <c r="D23" i="1"/>
  <c r="D31" i="1"/>
  <c r="D39" i="1"/>
  <c r="D8" i="1"/>
  <c r="D16" i="1"/>
  <c r="D24" i="1"/>
  <c r="D40" i="1"/>
  <c r="D9" i="1"/>
  <c r="D17" i="1"/>
  <c r="D33" i="1"/>
  <c r="D10" i="1"/>
  <c r="D18" i="1"/>
  <c r="D26" i="1"/>
  <c r="D34" i="1"/>
  <c r="D42" i="1"/>
  <c r="D25" i="1"/>
  <c r="D11" i="1"/>
  <c r="D19" i="1"/>
  <c r="D27" i="1"/>
  <c r="D35" i="1"/>
  <c r="D12" i="1"/>
  <c r="D20" i="1"/>
  <c r="D28" i="1"/>
  <c r="D36" i="1"/>
  <c r="D32" i="1"/>
  <c r="D41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<sst xmlns="http://schemas.openxmlformats.org/spreadsheetml/2006/main" count="282" uniqueCount="103">
  <si>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</si>
  <si>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</si>
  <si>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</si>
  <si>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</si>
  <si>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</si>
  <si>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</si>
  <si>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</si>
  <si>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</si>
  <si>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</si>
  <si>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</si>
  <si>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</si>
  <si>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</si>
  <si>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</si>
  <si>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</si>
  <si>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</si>
  <si>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</si>
  <si>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</si>
  <si>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</si>
  <si>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</si>
  <si>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</si>
  <si>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</si>
  <si>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</si>
  <si>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</si>
  <si>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</si>
  <si>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</si>
  <si>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</si>
  <si>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</si>
  <si>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</si>
  <si>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</si>
  <si>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</si>
  <si>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</si>
  <si>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</si>
  <si>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</si>
  <si>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</si>
  <si>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</si>
  <si>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</si>
  <si>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</si>
  <si>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</si>
  <si>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</si>
  <si>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</si>
  <si>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</si>
  <si>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</si>
  <si>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</si>
  <si>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</si>
  <si>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</si>
  <si>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</si>
  <si>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</si>
  <si>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</si>
  <si>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</si>
  <si>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</si>
  <si>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</si>
  <si>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</si>
  <si>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</si>
  <si>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</si>
  <si>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</si>
  <si>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</si>
  <si>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</si>
  <si>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</si>
  <si>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</si>
  <si>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</si>
  <si>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</si>
  <si>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</si>
  <si>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</si>
  <si>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</si>
  <si>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</si>
  <si>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</si>
  <si>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</si>
  <si>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</si>
  <si>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</si>
  <si>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</si>
  <si>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</si>
  <si>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</si>
  <si>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</si>
  <si>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</si>
  <si>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</si>
  <si>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</si>
  <si>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</si>
  <si>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</si>
  <si>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</si>
  <si>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</si>
  <si>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</si>
  <si>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</si>
  <si>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TABLE 14.6</t>
  </si>
  <si>
    <t>Human Trafficking data published is based on annual data as provided by States/UTs from their Anti Human Trafficking Units</t>
  </si>
  <si>
    <t>STATES:</t>
  </si>
  <si>
    <t>UNION TERRITORIES:</t>
  </si>
  <si>
    <t>TABLE 14.6 - Page 1 of 1</t>
  </si>
  <si>
    <r>
      <t>S.  
No.</t>
    </r>
    <r>
      <rPr>
        <sz val="9"/>
        <color theme="1"/>
        <rFont val="Calibri"/>
        <family val="2"/>
      </rPr>
      <t xml:space="preserve"> </t>
    </r>
  </si>
  <si>
    <t>DNH  and  Daman &amp; Diu</t>
  </si>
  <si>
    <t xml:space="preserve">Jammu &amp; Kashmir </t>
  </si>
  <si>
    <t>Ladakh</t>
  </si>
  <si>
    <t>Cases Charge-sheeted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</si>
  <si>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</si>
  <si>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</si>
  <si>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</si>
  <si>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</si>
  <si>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</si>
  <si>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</si>
  <si>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</si>
  <si>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</si>
  <si>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</si>
  <si>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</si>
  <si>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Police and Court Disposal of Cases of Human Trafficking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</si>
</sst>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88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5" fillId="0" borderId="0" xfId="0" applyFont="1" applyBorder="1" applyAlignment="1">
      <alignment vertical="center"/>
    </xf>
    <xf numFmtId="0" fontId="9" fillId="0" borderId="0" xfId="0" applyFont="1"/>
    <xf numFmtId="0" fontId="3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0" xfId="0" applyFill="1" applyBorder="1"/>
    <xf numFmtId="0" fontId="12" fillId="6" borderId="0" xfId="0" applyFont="1" applyFill="1" applyBorder="1" applyAlignment="1">
      <alignment horizontal="right" vertical="center" wrapText="1"/>
    </xf>
    <xf numFmtId="164" fontId="0" fillId="6" borderId="0" xfId="0" applyNumberForma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12" fillId="0" borderId="0" xfId="0" applyFont="1" applyFill="1" applyBorder="1" applyAlignment="1">
      <alignment horizontal="right" vertical="center" wrapText="1"/>
    </xf>
    <xf numFmtId="164" fontId="0" fillId="0" borderId="0" xfId="0" applyNumberFormat="1" applyFill="1" applyBorder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0" fontId="10" fillId="6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164" fontId="1" fillId="8" borderId="0" xfId="0" applyNumberFormat="1" applyFont="1" applyFill="1" applyBorder="1" applyAlignment="1">
      <alignment horizontal="right" vertical="center"/>
    </xf>
    <xf numFmtId="164" fontId="13" fillId="8" borderId="0" xfId="0" applyNumberFormat="1" applyFont="1" applyFill="1" applyBorder="1" applyAlignment="1">
      <alignment horizontal="righ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6" borderId="3" xfId="0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right" vertical="center"/>
    </xf>
    <xf numFmtId="0" fontId="0" fillId="0" borderId="3" xfId="0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right" vertical="center"/>
    </xf>
    <xf numFmtId="164" fontId="1" fillId="8" borderId="4" xfId="0" applyNumberFormat="1" applyFont="1" applyFill="1" applyBorder="1" applyAlignment="1">
      <alignment horizontal="right" vertical="center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164" fontId="13" fillId="8" borderId="1" xfId="0" applyNumberFormat="1" applyFont="1" applyFill="1" applyBorder="1" applyAlignment="1">
      <alignment horizontal="right" vertical="center" wrapText="1"/>
    </xf>
    <xf numFmtId="0" fontId="13" fillId="8" borderId="2" xfId="0" quotePrefix="1" applyFont="1" applyFill="1" applyBorder="1" applyAlignment="1">
      <alignment horizontal="center" vertical="center" wrapText="1"/>
    </xf>
    <xf numFmtId="164" fontId="1" fillId="8" borderId="6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FFCC"/>
      <color rgb="FFEBFCEB"/>
      <color rgb="FFF5F1F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tabSelected="1" topLeftCell="A25" workbookViewId="0">
      <selection activeCell="H52" sqref="H52"/>
    </sheetView>
  </sheetViews>
  <sheetFormatPr defaultRowHeight="15" x14ac:dyDescent="0.25"/>
  <cols>
    <col min="1" max="1" width="5.28515625" customWidth="1"/>
    <col min="2" max="2" width="24.28515625" customWidth="1"/>
    <col min="3" max="3" width="9.140625" customWidth="1"/>
    <col min="6" max="6" width="9.5703125" bestFit="1" customWidth="1"/>
  </cols>
  <sheetData>
    <row r="1" spans="1:12" ht="15.75" x14ac:dyDescent="0.25">
      <c r="A1" s="80" t="s">
        <v>82</v>
      </c>
      <c r="B1" s="80"/>
      <c r="C1" s="80"/>
      <c r="D1" s="80"/>
      <c r="E1" s="80"/>
      <c r="F1" s="80"/>
      <c r="G1" s="80"/>
      <c r="H1" s="80"/>
      <c r="I1" s="80"/>
      <c r="J1" s="80"/>
      <c r="K1" s="41"/>
      <c r="L1" s="41"/>
    </row>
    <row r="2" spans="1:12" ht="24.75" customHeight="1" x14ac:dyDescent="0.25">
      <c r="A2" s="81" t="s">
        <v>102</v>
      </c>
      <c r="B2" s="81"/>
      <c r="C2" s="81"/>
      <c r="D2" s="81"/>
      <c r="E2" s="81"/>
      <c r="F2" s="81"/>
      <c r="G2" s="81"/>
      <c r="H2" s="81"/>
      <c r="I2" s="81"/>
      <c r="J2" s="81"/>
    </row>
    <row r="3" spans="1:12" ht="18" customHeight="1" x14ac:dyDescent="0.25">
      <c r="A3" s="82" t="s">
        <v>87</v>
      </c>
      <c r="B3" s="82" t="s">
        <v>43</v>
      </c>
      <c r="C3" s="82" t="s">
        <v>50</v>
      </c>
      <c r="D3" s="83" t="s">
        <v>51</v>
      </c>
      <c r="E3" s="83"/>
      <c r="F3" s="83"/>
      <c r="G3" s="83" t="s">
        <v>52</v>
      </c>
      <c r="H3" s="83"/>
      <c r="I3" s="83"/>
      <c r="J3" s="83"/>
    </row>
    <row r="4" spans="1:12" ht="81.75" customHeight="1" x14ac:dyDescent="0.25">
      <c r="A4" s="82"/>
      <c r="B4" s="82"/>
      <c r="C4" s="82"/>
      <c r="D4" s="43" t="s">
        <v>91</v>
      </c>
      <c r="E4" s="43" t="s">
        <v>54</v>
      </c>
      <c r="F4" s="44" t="s">
        <v>55</v>
      </c>
      <c r="G4" s="43" t="s">
        <v>56</v>
      </c>
      <c r="H4" s="44" t="s">
        <v>57</v>
      </c>
      <c r="I4" s="44" t="s">
        <v>58</v>
      </c>
      <c r="J4" s="44" t="s">
        <v>59</v>
      </c>
    </row>
    <row r="5" spans="1:12" x14ac:dyDescent="0.25">
      <c r="A5" s="73" t="s">
        <v>92</v>
      </c>
      <c r="B5" s="73" t="s">
        <v>93</v>
      </c>
      <c r="C5" s="73" t="s">
        <v>94</v>
      </c>
      <c r="D5" s="73" t="s">
        <v>95</v>
      </c>
      <c r="E5" s="73" t="s">
        <v>96</v>
      </c>
      <c r="F5" s="73" t="s">
        <v>97</v>
      </c>
      <c r="G5" s="73" t="s">
        <v>98</v>
      </c>
      <c r="H5" s="73" t="s">
        <v>99</v>
      </c>
      <c r="I5" s="73" t="s">
        <v>100</v>
      </c>
      <c r="J5" s="73" t="s">
        <v>101</v>
      </c>
    </row>
    <row r="6" spans="1:12" x14ac:dyDescent="0.25">
      <c r="A6" s="62" t="s">
        <v>84</v>
      </c>
      <c r="B6" s="45"/>
      <c r="C6" s="45"/>
      <c r="D6" s="45"/>
      <c r="E6" s="45"/>
      <c r="F6" s="45"/>
      <c r="G6" s="45"/>
      <c r="H6" s="45"/>
      <c r="I6" s="45"/>
      <c r="J6" s="63"/>
    </row>
    <row r="7" spans="1:12" x14ac:dyDescent="0.25">
      <c r="A7" s="64">
        <v>1</v>
      </c>
      <c r="B7" s="46" t="s">
        <v>0</v>
      </c>
      <c r="C7" s="47">
        <v>163</v>
      </c>
      <c r="D7" s="48">
        <v>170</v>
      </c>
      <c r="E7" s="48">
        <v>2</v>
      </c>
      <c r="F7" s="49">
        <f>D7/(D7+E7)*100</f>
        <v>98.837209302325576</v>
      </c>
      <c r="G7" s="48">
        <v>8</v>
      </c>
      <c r="H7" s="48">
        <v>143</v>
      </c>
      <c r="I7" s="46">
        <f t="shared" ref="I7:I34" si="0">+G7+H7</f>
        <v>151</v>
      </c>
      <c r="J7" s="65">
        <f>G7/I7*100</f>
        <v>5.298013245033113</v>
      </c>
    </row>
    <row r="8" spans="1:12" x14ac:dyDescent="0.25">
      <c r="A8" s="66">
        <v>2</v>
      </c>
      <c r="B8" s="50" t="s">
        <v>1</v>
      </c>
      <c r="C8" s="31">
        <v>4</v>
      </c>
      <c r="D8" s="51">
        <v>1</v>
      </c>
      <c r="E8" s="51">
        <v>0</v>
      </c>
      <c r="F8" s="52">
        <f>D8/(D8+E8)*100</f>
        <v>100</v>
      </c>
      <c r="G8" s="51">
        <v>0</v>
      </c>
      <c r="H8" s="53">
        <v>0</v>
      </c>
      <c r="I8" s="50">
        <f t="shared" si="0"/>
        <v>0</v>
      </c>
      <c r="J8" s="67" t="s">
        <v>70</v>
      </c>
    </row>
    <row r="9" spans="1:12" x14ac:dyDescent="0.25">
      <c r="A9" s="64">
        <v>3</v>
      </c>
      <c r="B9" s="54" t="s">
        <v>46</v>
      </c>
      <c r="C9" s="47">
        <v>140</v>
      </c>
      <c r="D9" s="48">
        <v>103</v>
      </c>
      <c r="E9" s="48">
        <v>138</v>
      </c>
      <c r="F9" s="49">
        <f t="shared" ref="F9:F34" si="1">D9/(D9+E9)*100</f>
        <v>42.738589211618255</v>
      </c>
      <c r="G9" s="48">
        <v>0</v>
      </c>
      <c r="H9" s="48">
        <v>26</v>
      </c>
      <c r="I9" s="46">
        <f t="shared" si="0"/>
        <v>26</v>
      </c>
      <c r="J9" s="65">
        <f>G9/I9*100</f>
        <v>0</v>
      </c>
    </row>
    <row r="10" spans="1:12" x14ac:dyDescent="0.25">
      <c r="A10" s="66">
        <v>4</v>
      </c>
      <c r="B10" s="50" t="s">
        <v>2</v>
      </c>
      <c r="C10" s="31">
        <v>260</v>
      </c>
      <c r="D10" s="51">
        <v>189</v>
      </c>
      <c r="E10" s="51">
        <v>34</v>
      </c>
      <c r="F10" s="52">
        <f t="shared" si="1"/>
        <v>84.753363228699556</v>
      </c>
      <c r="G10" s="51">
        <v>1</v>
      </c>
      <c r="H10" s="51">
        <v>0</v>
      </c>
      <c r="I10" s="50">
        <f t="shared" si="0"/>
        <v>1</v>
      </c>
      <c r="J10" s="67">
        <f>G10/I10*100</f>
        <v>100</v>
      </c>
    </row>
    <row r="11" spans="1:12" x14ac:dyDescent="0.25">
      <c r="A11" s="64">
        <v>5</v>
      </c>
      <c r="B11" s="46" t="s">
        <v>3</v>
      </c>
      <c r="C11" s="47">
        <v>26</v>
      </c>
      <c r="D11" s="48">
        <v>20</v>
      </c>
      <c r="E11" s="48">
        <v>3</v>
      </c>
      <c r="F11" s="49">
        <f t="shared" si="1"/>
        <v>86.956521739130437</v>
      </c>
      <c r="G11" s="48">
        <v>0</v>
      </c>
      <c r="H11" s="48">
        <v>0</v>
      </c>
      <c r="I11" s="46">
        <f t="shared" si="0"/>
        <v>0</v>
      </c>
      <c r="J11" s="65" t="s">
        <v>70</v>
      </c>
    </row>
    <row r="12" spans="1:12" x14ac:dyDescent="0.25">
      <c r="A12" s="66">
        <v>6</v>
      </c>
      <c r="B12" s="50" t="s">
        <v>4</v>
      </c>
      <c r="C12" s="31">
        <v>1</v>
      </c>
      <c r="D12" s="51">
        <v>1</v>
      </c>
      <c r="E12" s="51">
        <v>2</v>
      </c>
      <c r="F12" s="49">
        <f>D12/(D12+E12)*100</f>
        <v>33.333333333333329</v>
      </c>
      <c r="G12" s="51">
        <v>1</v>
      </c>
      <c r="H12" s="51">
        <v>14</v>
      </c>
      <c r="I12" s="50">
        <f t="shared" si="0"/>
        <v>15</v>
      </c>
      <c r="J12" s="67">
        <f>G12/I12*100</f>
        <v>6.666666666666667</v>
      </c>
    </row>
    <row r="13" spans="1:12" x14ac:dyDescent="0.25">
      <c r="A13" s="64">
        <v>7</v>
      </c>
      <c r="B13" s="46" t="s">
        <v>5</v>
      </c>
      <c r="C13" s="47">
        <v>9</v>
      </c>
      <c r="D13" s="48">
        <v>9</v>
      </c>
      <c r="E13" s="48">
        <v>0</v>
      </c>
      <c r="F13" s="49">
        <f t="shared" si="1"/>
        <v>100</v>
      </c>
      <c r="G13" s="48">
        <v>0</v>
      </c>
      <c r="H13" s="48">
        <v>0</v>
      </c>
      <c r="I13" s="46">
        <f t="shared" si="0"/>
        <v>0</v>
      </c>
      <c r="J13" s="65" t="s">
        <v>70</v>
      </c>
    </row>
    <row r="14" spans="1:12" x14ac:dyDescent="0.25">
      <c r="A14" s="66">
        <v>8</v>
      </c>
      <c r="B14" s="50" t="s">
        <v>6</v>
      </c>
      <c r="C14" s="31">
        <v>13</v>
      </c>
      <c r="D14" s="51">
        <v>12</v>
      </c>
      <c r="E14" s="51">
        <v>3</v>
      </c>
      <c r="F14" s="52">
        <f t="shared" si="1"/>
        <v>80</v>
      </c>
      <c r="G14" s="51">
        <v>3</v>
      </c>
      <c r="H14" s="51">
        <v>5</v>
      </c>
      <c r="I14" s="50">
        <f t="shared" si="0"/>
        <v>8</v>
      </c>
      <c r="J14" s="67">
        <f t="shared" ref="J14:J20" si="2">G14/I14*100</f>
        <v>37.5</v>
      </c>
    </row>
    <row r="15" spans="1:12" x14ac:dyDescent="0.25">
      <c r="A15" s="64">
        <v>9</v>
      </c>
      <c r="B15" s="46" t="s">
        <v>7</v>
      </c>
      <c r="C15" s="47">
        <v>5</v>
      </c>
      <c r="D15" s="48">
        <v>4</v>
      </c>
      <c r="E15" s="48">
        <v>0</v>
      </c>
      <c r="F15" s="49">
        <f t="shared" si="1"/>
        <v>100</v>
      </c>
      <c r="G15" s="48">
        <v>0</v>
      </c>
      <c r="H15" s="48">
        <v>1</v>
      </c>
      <c r="I15" s="46">
        <f t="shared" si="0"/>
        <v>1</v>
      </c>
      <c r="J15" s="65">
        <f t="shared" si="2"/>
        <v>0</v>
      </c>
    </row>
    <row r="16" spans="1:12" x14ac:dyDescent="0.25">
      <c r="A16" s="66">
        <v>10</v>
      </c>
      <c r="B16" s="55" t="s">
        <v>47</v>
      </c>
      <c r="C16" s="31">
        <v>100</v>
      </c>
      <c r="D16" s="51">
        <v>49</v>
      </c>
      <c r="E16" s="51">
        <v>27</v>
      </c>
      <c r="F16" s="52">
        <f t="shared" si="1"/>
        <v>64.473684210526315</v>
      </c>
      <c r="G16" s="51">
        <v>14</v>
      </c>
      <c r="H16" s="51">
        <v>17</v>
      </c>
      <c r="I16" s="50">
        <f t="shared" si="0"/>
        <v>31</v>
      </c>
      <c r="J16" s="67">
        <f t="shared" si="2"/>
        <v>45.161290322580641</v>
      </c>
    </row>
    <row r="17" spans="1:10" x14ac:dyDescent="0.25">
      <c r="A17" s="64">
        <v>11</v>
      </c>
      <c r="B17" s="46" t="s">
        <v>9</v>
      </c>
      <c r="C17" s="47">
        <v>18</v>
      </c>
      <c r="D17" s="48">
        <v>24</v>
      </c>
      <c r="E17" s="48">
        <v>2</v>
      </c>
      <c r="F17" s="49">
        <f t="shared" si="1"/>
        <v>92.307692307692307</v>
      </c>
      <c r="G17" s="48">
        <v>0</v>
      </c>
      <c r="H17" s="48">
        <v>4</v>
      </c>
      <c r="I17" s="46">
        <f t="shared" si="0"/>
        <v>4</v>
      </c>
      <c r="J17" s="65">
        <f t="shared" si="2"/>
        <v>0</v>
      </c>
    </row>
    <row r="18" spans="1:10" x14ac:dyDescent="0.25">
      <c r="A18" s="66">
        <v>12</v>
      </c>
      <c r="B18" s="50" t="s">
        <v>10</v>
      </c>
      <c r="C18" s="31">
        <v>135</v>
      </c>
      <c r="D18" s="51">
        <v>137</v>
      </c>
      <c r="E18" s="51">
        <v>89</v>
      </c>
      <c r="F18" s="52">
        <f t="shared" si="1"/>
        <v>60.619469026548678</v>
      </c>
      <c r="G18" s="51">
        <v>0</v>
      </c>
      <c r="H18" s="51">
        <v>165</v>
      </c>
      <c r="I18" s="50">
        <f t="shared" si="0"/>
        <v>165</v>
      </c>
      <c r="J18" s="67">
        <f t="shared" si="2"/>
        <v>0</v>
      </c>
    </row>
    <row r="19" spans="1:10" x14ac:dyDescent="0.25">
      <c r="A19" s="64">
        <v>13</v>
      </c>
      <c r="B19" s="46" t="s">
        <v>11</v>
      </c>
      <c r="C19" s="47">
        <v>81</v>
      </c>
      <c r="D19" s="48">
        <v>93</v>
      </c>
      <c r="E19" s="48">
        <v>0</v>
      </c>
      <c r="F19" s="49">
        <f t="shared" si="1"/>
        <v>100</v>
      </c>
      <c r="G19" s="48">
        <v>11</v>
      </c>
      <c r="H19" s="48">
        <v>28</v>
      </c>
      <c r="I19" s="46">
        <f t="shared" si="0"/>
        <v>39</v>
      </c>
      <c r="J19" s="65">
        <f t="shared" si="2"/>
        <v>28.205128205128204</v>
      </c>
    </row>
    <row r="20" spans="1:10" x14ac:dyDescent="0.25">
      <c r="A20" s="66">
        <v>14</v>
      </c>
      <c r="B20" s="50" t="s">
        <v>12</v>
      </c>
      <c r="C20" s="31">
        <v>295</v>
      </c>
      <c r="D20" s="51">
        <v>214</v>
      </c>
      <c r="E20" s="51">
        <v>0</v>
      </c>
      <c r="F20" s="52">
        <f t="shared" si="1"/>
        <v>100</v>
      </c>
      <c r="G20" s="51">
        <v>7</v>
      </c>
      <c r="H20" s="51">
        <v>33</v>
      </c>
      <c r="I20" s="50">
        <f t="shared" si="0"/>
        <v>40</v>
      </c>
      <c r="J20" s="67">
        <f t="shared" si="2"/>
        <v>17.5</v>
      </c>
    </row>
    <row r="21" spans="1:10" x14ac:dyDescent="0.25">
      <c r="A21" s="64">
        <v>15</v>
      </c>
      <c r="B21" s="46" t="s">
        <v>13</v>
      </c>
      <c r="C21" s="47">
        <v>0</v>
      </c>
      <c r="D21" s="48">
        <v>0</v>
      </c>
      <c r="E21" s="48">
        <v>0</v>
      </c>
      <c r="F21" s="49" t="s">
        <v>70</v>
      </c>
      <c r="G21" s="48">
        <v>0</v>
      </c>
      <c r="H21" s="48">
        <v>0</v>
      </c>
      <c r="I21" s="46">
        <f t="shared" si="0"/>
        <v>0</v>
      </c>
      <c r="J21" s="65" t="s">
        <v>70</v>
      </c>
    </row>
    <row r="22" spans="1:10" x14ac:dyDescent="0.25">
      <c r="A22" s="66">
        <v>16</v>
      </c>
      <c r="B22" s="50" t="s">
        <v>14</v>
      </c>
      <c r="C22" s="31">
        <v>2</v>
      </c>
      <c r="D22" s="51">
        <v>2</v>
      </c>
      <c r="E22" s="51">
        <v>4</v>
      </c>
      <c r="F22" s="52">
        <f>D22/(D22+E22)*100</f>
        <v>33.333333333333329</v>
      </c>
      <c r="G22" s="51">
        <v>0</v>
      </c>
      <c r="H22" s="51">
        <v>1</v>
      </c>
      <c r="I22" s="50">
        <f t="shared" si="0"/>
        <v>1</v>
      </c>
      <c r="J22" s="67">
        <f>G22/I22*100</f>
        <v>0</v>
      </c>
    </row>
    <row r="23" spans="1:10" x14ac:dyDescent="0.25">
      <c r="A23" s="64">
        <v>17</v>
      </c>
      <c r="B23" s="46" t="s">
        <v>15</v>
      </c>
      <c r="C23" s="47">
        <v>0</v>
      </c>
      <c r="D23" s="48">
        <v>0</v>
      </c>
      <c r="E23" s="48">
        <v>0</v>
      </c>
      <c r="F23" s="49" t="s">
        <v>70</v>
      </c>
      <c r="G23" s="48">
        <v>0</v>
      </c>
      <c r="H23" s="48">
        <v>0</v>
      </c>
      <c r="I23" s="46">
        <f t="shared" si="0"/>
        <v>0</v>
      </c>
      <c r="J23" s="65" t="s">
        <v>70</v>
      </c>
    </row>
    <row r="24" spans="1:10" x14ac:dyDescent="0.25">
      <c r="A24" s="66">
        <v>18</v>
      </c>
      <c r="B24" s="50" t="s">
        <v>16</v>
      </c>
      <c r="C24" s="31">
        <v>0</v>
      </c>
      <c r="D24" s="51">
        <v>0</v>
      </c>
      <c r="E24" s="51">
        <v>0</v>
      </c>
      <c r="F24" s="52" t="s">
        <v>70</v>
      </c>
      <c r="G24" s="51">
        <v>0</v>
      </c>
      <c r="H24" s="51">
        <v>0</v>
      </c>
      <c r="I24" s="50">
        <f t="shared" si="0"/>
        <v>0</v>
      </c>
      <c r="J24" s="67" t="s">
        <v>70</v>
      </c>
    </row>
    <row r="25" spans="1:10" x14ac:dyDescent="0.25">
      <c r="A25" s="64">
        <v>19</v>
      </c>
      <c r="B25" s="46" t="s">
        <v>17</v>
      </c>
      <c r="C25" s="47">
        <v>121</v>
      </c>
      <c r="D25" s="48">
        <v>77</v>
      </c>
      <c r="E25" s="48">
        <v>6</v>
      </c>
      <c r="F25" s="49">
        <f t="shared" si="1"/>
        <v>92.771084337349393</v>
      </c>
      <c r="G25" s="48">
        <v>0</v>
      </c>
      <c r="H25" s="48">
        <v>1</v>
      </c>
      <c r="I25" s="46">
        <f t="shared" si="0"/>
        <v>1</v>
      </c>
      <c r="J25" s="65">
        <f>G25/I25*100</f>
        <v>0</v>
      </c>
    </row>
    <row r="26" spans="1:10" x14ac:dyDescent="0.25">
      <c r="A26" s="66">
        <v>20</v>
      </c>
      <c r="B26" s="50" t="s">
        <v>18</v>
      </c>
      <c r="C26" s="31">
        <v>21</v>
      </c>
      <c r="D26" s="51">
        <v>6</v>
      </c>
      <c r="E26" s="51">
        <v>1</v>
      </c>
      <c r="F26" s="52">
        <f>D26/(D26+E26)*100</f>
        <v>85.714285714285708</v>
      </c>
      <c r="G26" s="51">
        <v>1</v>
      </c>
      <c r="H26" s="51">
        <v>5</v>
      </c>
      <c r="I26" s="50">
        <f t="shared" si="0"/>
        <v>6</v>
      </c>
      <c r="J26" s="67">
        <f>G26/I26*100</f>
        <v>16.666666666666664</v>
      </c>
    </row>
    <row r="27" spans="1:10" x14ac:dyDescent="0.25">
      <c r="A27" s="64">
        <v>21</v>
      </c>
      <c r="B27" s="46" t="s">
        <v>19</v>
      </c>
      <c r="C27" s="47">
        <v>117</v>
      </c>
      <c r="D27" s="48">
        <v>109</v>
      </c>
      <c r="E27" s="48">
        <v>0</v>
      </c>
      <c r="F27" s="49">
        <f t="shared" si="1"/>
        <v>100</v>
      </c>
      <c r="G27" s="48">
        <v>0</v>
      </c>
      <c r="H27" s="48">
        <v>0</v>
      </c>
      <c r="I27" s="46">
        <f t="shared" si="0"/>
        <v>0</v>
      </c>
      <c r="J27" s="65" t="s">
        <v>70</v>
      </c>
    </row>
    <row r="28" spans="1:10" x14ac:dyDescent="0.25">
      <c r="A28" s="66">
        <v>22</v>
      </c>
      <c r="B28" s="55" t="s">
        <v>48</v>
      </c>
      <c r="C28" s="31">
        <v>0</v>
      </c>
      <c r="D28" s="51">
        <v>0</v>
      </c>
      <c r="E28" s="51">
        <v>0</v>
      </c>
      <c r="F28" s="52" t="s">
        <v>70</v>
      </c>
      <c r="G28" s="51">
        <v>0</v>
      </c>
      <c r="H28" s="51">
        <v>0</v>
      </c>
      <c r="I28" s="50">
        <f t="shared" si="0"/>
        <v>0</v>
      </c>
      <c r="J28" s="67" t="s">
        <v>70</v>
      </c>
    </row>
    <row r="29" spans="1:10" x14ac:dyDescent="0.25">
      <c r="A29" s="64">
        <v>23</v>
      </c>
      <c r="B29" s="46" t="s">
        <v>20</v>
      </c>
      <c r="C29" s="47">
        <v>1</v>
      </c>
      <c r="D29" s="48">
        <v>1</v>
      </c>
      <c r="E29" s="48">
        <v>0</v>
      </c>
      <c r="F29" s="49">
        <f t="shared" si="1"/>
        <v>100</v>
      </c>
      <c r="G29" s="48">
        <v>0</v>
      </c>
      <c r="H29" s="48">
        <v>2</v>
      </c>
      <c r="I29" s="46">
        <f t="shared" si="0"/>
        <v>2</v>
      </c>
      <c r="J29" s="65">
        <f>G29/I29*100</f>
        <v>0</v>
      </c>
    </row>
    <row r="30" spans="1:10" x14ac:dyDescent="0.25">
      <c r="A30" s="66">
        <v>24</v>
      </c>
      <c r="B30" s="50" t="s">
        <v>21</v>
      </c>
      <c r="C30" s="31">
        <v>391</v>
      </c>
      <c r="D30" s="51">
        <v>429</v>
      </c>
      <c r="E30" s="51">
        <v>6</v>
      </c>
      <c r="F30" s="52">
        <f t="shared" si="1"/>
        <v>98.620689655172413</v>
      </c>
      <c r="G30" s="51">
        <v>1</v>
      </c>
      <c r="H30" s="51">
        <v>28</v>
      </c>
      <c r="I30" s="50">
        <f t="shared" si="0"/>
        <v>29</v>
      </c>
      <c r="J30" s="67">
        <f>G30/I30*100</f>
        <v>3.4482758620689653</v>
      </c>
    </row>
    <row r="31" spans="1:10" x14ac:dyDescent="0.25">
      <c r="A31" s="64">
        <v>25</v>
      </c>
      <c r="B31" s="46" t="s">
        <v>22</v>
      </c>
      <c r="C31" s="47">
        <v>0</v>
      </c>
      <c r="D31" s="48">
        <v>0</v>
      </c>
      <c r="E31" s="48">
        <v>0</v>
      </c>
      <c r="F31" s="49" t="s">
        <v>70</v>
      </c>
      <c r="G31" s="48">
        <v>0</v>
      </c>
      <c r="H31" s="48">
        <v>0</v>
      </c>
      <c r="I31" s="46">
        <f t="shared" si="0"/>
        <v>0</v>
      </c>
      <c r="J31" s="65" t="s">
        <v>70</v>
      </c>
    </row>
    <row r="32" spans="1:10" x14ac:dyDescent="0.25">
      <c r="A32" s="66">
        <v>26</v>
      </c>
      <c r="B32" s="50" t="s">
        <v>23</v>
      </c>
      <c r="C32" s="31">
        <v>126</v>
      </c>
      <c r="D32" s="51">
        <v>7</v>
      </c>
      <c r="E32" s="51">
        <v>1</v>
      </c>
      <c r="F32" s="52">
        <f t="shared" si="1"/>
        <v>87.5</v>
      </c>
      <c r="G32" s="51">
        <v>0</v>
      </c>
      <c r="H32" s="51">
        <v>0</v>
      </c>
      <c r="I32" s="50">
        <f t="shared" si="0"/>
        <v>0</v>
      </c>
      <c r="J32" s="67" t="s">
        <v>70</v>
      </c>
    </row>
    <row r="33" spans="1:10" x14ac:dyDescent="0.25">
      <c r="A33" s="64">
        <v>27</v>
      </c>
      <c r="B33" s="46" t="s">
        <v>24</v>
      </c>
      <c r="C33" s="47">
        <v>16</v>
      </c>
      <c r="D33" s="48">
        <v>18</v>
      </c>
      <c r="E33" s="48">
        <v>1</v>
      </c>
      <c r="F33" s="49">
        <f t="shared" si="1"/>
        <v>94.73684210526315</v>
      </c>
      <c r="G33" s="48">
        <v>0</v>
      </c>
      <c r="H33" s="48">
        <v>2</v>
      </c>
      <c r="I33" s="46">
        <f t="shared" si="0"/>
        <v>2</v>
      </c>
      <c r="J33" s="65">
        <f>G33/I33*100</f>
        <v>0</v>
      </c>
    </row>
    <row r="34" spans="1:10" x14ac:dyDescent="0.25">
      <c r="A34" s="66">
        <v>28</v>
      </c>
      <c r="B34" s="55" t="s">
        <v>49</v>
      </c>
      <c r="C34" s="31">
        <v>67</v>
      </c>
      <c r="D34" s="51">
        <v>80</v>
      </c>
      <c r="E34" s="51">
        <v>28</v>
      </c>
      <c r="F34" s="52">
        <f t="shared" si="1"/>
        <v>74.074074074074076</v>
      </c>
      <c r="G34" s="51">
        <v>80</v>
      </c>
      <c r="H34" s="51">
        <v>63</v>
      </c>
      <c r="I34" s="50">
        <f t="shared" si="0"/>
        <v>143</v>
      </c>
      <c r="J34" s="67">
        <f>G34/I34*100</f>
        <v>55.944055944055947</v>
      </c>
    </row>
    <row r="35" spans="1:10" x14ac:dyDescent="0.25">
      <c r="A35" s="61"/>
      <c r="B35" s="57" t="s">
        <v>25</v>
      </c>
      <c r="C35" s="58">
        <f>SUM(C7:C34)</f>
        <v>2112</v>
      </c>
      <c r="D35" s="58">
        <f t="shared" ref="D35:E35" si="3">SUM(D7:D34)</f>
        <v>1755</v>
      </c>
      <c r="E35" s="58">
        <f t="shared" si="3"/>
        <v>347</v>
      </c>
      <c r="F35" s="59">
        <f>D35/(D35+E35)*100</f>
        <v>83.491912464319697</v>
      </c>
      <c r="G35" s="58">
        <f>SUM(G7:G34)</f>
        <v>127</v>
      </c>
      <c r="H35" s="58">
        <f t="shared" ref="H35" si="4">SUM(H7:H34)</f>
        <v>538</v>
      </c>
      <c r="I35" s="58">
        <f t="shared" ref="I35" si="5">SUM(I7:I34)</f>
        <v>665</v>
      </c>
      <c r="J35" s="68">
        <f>G35/I35*100</f>
        <v>19.097744360902254</v>
      </c>
    </row>
    <row r="36" spans="1:10" x14ac:dyDescent="0.25">
      <c r="A36" s="77" t="s">
        <v>85</v>
      </c>
      <c r="B36" s="78"/>
      <c r="C36" s="78"/>
      <c r="D36" s="78"/>
      <c r="E36" s="78"/>
      <c r="F36" s="78"/>
      <c r="G36" s="78"/>
      <c r="H36" s="78"/>
      <c r="I36" s="78"/>
      <c r="J36" s="79"/>
    </row>
    <row r="37" spans="1:10" x14ac:dyDescent="0.25">
      <c r="A37" s="64">
        <v>29</v>
      </c>
      <c r="B37" s="46" t="s">
        <v>26</v>
      </c>
      <c r="C37" s="47">
        <v>0</v>
      </c>
      <c r="D37" s="48">
        <v>0</v>
      </c>
      <c r="E37" s="48">
        <v>0</v>
      </c>
      <c r="F37" s="49" t="s">
        <v>70</v>
      </c>
      <c r="G37" s="48">
        <v>0</v>
      </c>
      <c r="H37" s="48">
        <v>0</v>
      </c>
      <c r="I37" s="46">
        <f t="shared" ref="I37:I44" si="6">+G37+H37</f>
        <v>0</v>
      </c>
      <c r="J37" s="65" t="s">
        <v>70</v>
      </c>
    </row>
    <row r="38" spans="1:10" x14ac:dyDescent="0.25">
      <c r="A38" s="66">
        <v>30</v>
      </c>
      <c r="B38" s="50" t="s">
        <v>27</v>
      </c>
      <c r="C38" s="31">
        <v>1</v>
      </c>
      <c r="D38" s="51">
        <v>2</v>
      </c>
      <c r="E38" s="51">
        <v>0</v>
      </c>
      <c r="F38" s="52">
        <f t="shared" ref="F38:F41" si="7">D38/(D38+E38)*100</f>
        <v>100</v>
      </c>
      <c r="G38" s="51">
        <v>1</v>
      </c>
      <c r="H38" s="51">
        <v>1</v>
      </c>
      <c r="I38" s="50">
        <f t="shared" si="6"/>
        <v>2</v>
      </c>
      <c r="J38" s="67">
        <f>G38/I38*100</f>
        <v>50</v>
      </c>
    </row>
    <row r="39" spans="1:10" x14ac:dyDescent="0.25">
      <c r="A39" s="64">
        <v>31</v>
      </c>
      <c r="B39" s="46" t="s">
        <v>88</v>
      </c>
      <c r="C39" s="47">
        <v>0</v>
      </c>
      <c r="D39" s="48">
        <v>0</v>
      </c>
      <c r="E39" s="48">
        <v>0</v>
      </c>
      <c r="F39" s="49" t="s">
        <v>70</v>
      </c>
      <c r="G39" s="48">
        <v>0</v>
      </c>
      <c r="H39" s="48">
        <v>0</v>
      </c>
      <c r="I39" s="46">
        <f t="shared" si="6"/>
        <v>0</v>
      </c>
      <c r="J39" s="65" t="s">
        <v>70</v>
      </c>
    </row>
    <row r="40" spans="1:10" x14ac:dyDescent="0.25">
      <c r="A40" s="66">
        <v>32</v>
      </c>
      <c r="B40" s="56" t="s">
        <v>28</v>
      </c>
      <c r="C40" s="31">
        <v>106</v>
      </c>
      <c r="D40" s="51">
        <v>60</v>
      </c>
      <c r="E40" s="51">
        <v>3</v>
      </c>
      <c r="F40" s="52">
        <f t="shared" si="7"/>
        <v>95.238095238095227</v>
      </c>
      <c r="G40" s="51">
        <v>2</v>
      </c>
      <c r="H40" s="51">
        <v>6</v>
      </c>
      <c r="I40" s="50">
        <f t="shared" si="6"/>
        <v>8</v>
      </c>
      <c r="J40" s="67">
        <f>G40/I40*100</f>
        <v>25</v>
      </c>
    </row>
    <row r="41" spans="1:10" x14ac:dyDescent="0.25">
      <c r="A41" s="64">
        <v>33</v>
      </c>
      <c r="B41" s="46" t="s">
        <v>89</v>
      </c>
      <c r="C41" s="47">
        <v>8</v>
      </c>
      <c r="D41" s="48">
        <v>4</v>
      </c>
      <c r="E41" s="48">
        <v>1</v>
      </c>
      <c r="F41" s="49">
        <f t="shared" si="7"/>
        <v>80</v>
      </c>
      <c r="G41" s="48">
        <v>0</v>
      </c>
      <c r="H41" s="48">
        <v>0</v>
      </c>
      <c r="I41" s="46">
        <f t="shared" si="6"/>
        <v>0</v>
      </c>
      <c r="J41" s="65" t="s">
        <v>70</v>
      </c>
    </row>
    <row r="42" spans="1:10" x14ac:dyDescent="0.25">
      <c r="A42" s="66">
        <v>34</v>
      </c>
      <c r="B42" s="56" t="s">
        <v>90</v>
      </c>
      <c r="C42" s="31">
        <v>0</v>
      </c>
      <c r="D42" s="51">
        <v>0</v>
      </c>
      <c r="E42" s="51">
        <v>0</v>
      </c>
      <c r="F42" s="52" t="s">
        <v>70</v>
      </c>
      <c r="G42" s="51">
        <v>0</v>
      </c>
      <c r="H42" s="51">
        <v>0</v>
      </c>
      <c r="I42" s="50">
        <f t="shared" si="6"/>
        <v>0</v>
      </c>
      <c r="J42" s="67" t="s">
        <v>70</v>
      </c>
    </row>
    <row r="43" spans="1:10" x14ac:dyDescent="0.25">
      <c r="A43" s="64">
        <v>35</v>
      </c>
      <c r="B43" s="46" t="s">
        <v>29</v>
      </c>
      <c r="C43" s="47">
        <v>0</v>
      </c>
      <c r="D43" s="48">
        <v>0</v>
      </c>
      <c r="E43" s="48">
        <v>0</v>
      </c>
      <c r="F43" s="49" t="s">
        <v>70</v>
      </c>
      <c r="G43" s="48">
        <v>0</v>
      </c>
      <c r="H43" s="48">
        <v>0</v>
      </c>
      <c r="I43" s="46">
        <f t="shared" si="6"/>
        <v>0</v>
      </c>
      <c r="J43" s="65" t="s">
        <v>70</v>
      </c>
    </row>
    <row r="44" spans="1:10" x14ac:dyDescent="0.25">
      <c r="A44" s="66">
        <v>36</v>
      </c>
      <c r="B44" s="50" t="s">
        <v>30</v>
      </c>
      <c r="C44" s="31">
        <v>23</v>
      </c>
      <c r="D44" s="51">
        <v>9</v>
      </c>
      <c r="E44" s="51">
        <v>0</v>
      </c>
      <c r="F44" s="52" t="s">
        <v>70</v>
      </c>
      <c r="G44" s="51">
        <v>1</v>
      </c>
      <c r="H44" s="51">
        <v>0</v>
      </c>
      <c r="I44" s="50">
        <f t="shared" si="6"/>
        <v>1</v>
      </c>
      <c r="J44" s="67">
        <f>G44/I44*100</f>
        <v>100</v>
      </c>
    </row>
    <row r="45" spans="1:10" x14ac:dyDescent="0.25">
      <c r="A45" s="61"/>
      <c r="B45" s="57" t="s">
        <v>31</v>
      </c>
      <c r="C45" s="58">
        <f>SUM(C37:C44)</f>
        <v>138</v>
      </c>
      <c r="D45" s="58">
        <f t="shared" ref="D45:I45" si="8">SUM(D37:D44)</f>
        <v>75</v>
      </c>
      <c r="E45" s="58">
        <f t="shared" si="8"/>
        <v>4</v>
      </c>
      <c r="F45" s="60">
        <f>D45/(D45+E45)*100</f>
        <v>94.936708860759495</v>
      </c>
      <c r="G45" s="58">
        <f t="shared" si="8"/>
        <v>4</v>
      </c>
      <c r="H45" s="58">
        <f t="shared" si="8"/>
        <v>7</v>
      </c>
      <c r="I45" s="58">
        <f t="shared" si="8"/>
        <v>11</v>
      </c>
      <c r="J45" s="68">
        <f>G45/I45*100</f>
        <v>36.363636363636367</v>
      </c>
    </row>
    <row r="46" spans="1:10" x14ac:dyDescent="0.25">
      <c r="A46" s="69"/>
      <c r="B46" s="70" t="s">
        <v>32</v>
      </c>
      <c r="C46" s="71">
        <f>SUM(C35,C45)</f>
        <v>2250</v>
      </c>
      <c r="D46" s="71">
        <f t="shared" ref="D46:I46" si="9">SUM(D35,D45)</f>
        <v>1830</v>
      </c>
      <c r="E46" s="71">
        <f t="shared" si="9"/>
        <v>351</v>
      </c>
      <c r="F46" s="72">
        <f>D46/(D46+E46)*100</f>
        <v>83.906464924346636</v>
      </c>
      <c r="G46" s="71">
        <f t="shared" si="9"/>
        <v>131</v>
      </c>
      <c r="H46" s="71">
        <f t="shared" si="9"/>
        <v>545</v>
      </c>
      <c r="I46" s="71">
        <f t="shared" si="9"/>
        <v>676</v>
      </c>
      <c r="J46" s="74">
        <f>G46/I46*100</f>
        <v>19.378698224852069</v>
      </c>
    </row>
    <row r="47" spans="1:10" ht="15" customHeight="1" x14ac:dyDescent="0.25">
      <c r="A47" s="76" t="s">
        <v>86</v>
      </c>
      <c r="B47" s="76"/>
      <c r="C47" s="76"/>
      <c r="D47" s="76"/>
      <c r="E47" s="76"/>
      <c r="F47" s="76"/>
      <c r="G47" s="76"/>
      <c r="H47" s="76"/>
      <c r="I47" s="76"/>
      <c r="J47" s="76"/>
    </row>
    <row r="48" spans="1:10" x14ac:dyDescent="0.25">
      <c r="A48" s="32" t="s">
        <v>81</v>
      </c>
      <c r="B48" s="42" t="s">
        <v>83</v>
      </c>
      <c r="C48" s="1"/>
      <c r="D48" s="1"/>
      <c r="E48" s="1"/>
      <c r="F48" s="33"/>
    </row>
    <row r="49" spans="2:5" x14ac:dyDescent="0.25">
      <c r="B49" s="42"/>
      <c r="C49" s="1"/>
      <c r="D49" s="1"/>
      <c r="E49" s="1"/>
    </row>
    <row r="50" spans="2:5" ht="15.75" x14ac:dyDescent="0.25">
      <c r="D50" s="75"/>
      <c r="E50" s="75"/>
    </row>
  </sheetData>
  <mergeCells count="10">
    <mergeCell ref="D50:E50"/>
    <mergeCell ref="A47:J47"/>
    <mergeCell ref="A36:J36"/>
    <mergeCell ref="A1:J1"/>
    <mergeCell ref="A2:J2"/>
    <mergeCell ref="B3:B4"/>
    <mergeCell ref="C3:C4"/>
    <mergeCell ref="D3:F3"/>
    <mergeCell ref="G3:J3"/>
    <mergeCell ref="A3:A4"/>
  </mergeCells>
  <printOptions horizontalCentered="1"/>
  <pageMargins left="0.41599999999999998" right="0.41599999999999998" top="0.41599999999999998" bottom="0.41599999999999998" header="0.41599999999999998" footer="0.41599999999999998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84" t="s">
        <v>67</v>
      </c>
      <c r="B1" s="84"/>
      <c r="C1" s="84"/>
      <c r="D1" s="84"/>
      <c r="E1" s="84"/>
      <c r="F1" s="84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85" t="s">
        <v>78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22" x14ac:dyDescent="0.25">
      <c r="A2" s="86" t="s">
        <v>42</v>
      </c>
      <c r="B2" s="86" t="s">
        <v>43</v>
      </c>
      <c r="C2" s="87" t="s">
        <v>44</v>
      </c>
      <c r="D2" s="87"/>
      <c r="E2" s="87"/>
      <c r="F2" s="87" t="s">
        <v>45</v>
      </c>
      <c r="G2" s="87"/>
      <c r="H2" s="87"/>
      <c r="I2" s="87" t="s">
        <v>37</v>
      </c>
      <c r="J2" s="87"/>
      <c r="K2" s="87"/>
    </row>
    <row r="3" spans="1:22" x14ac:dyDescent="0.25">
      <c r="A3" s="86"/>
      <c r="B3" s="86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85" t="s">
        <v>69</v>
      </c>
      <c r="B1" s="85"/>
      <c r="C1" s="85"/>
      <c r="D1" s="85"/>
      <c r="E1" s="85"/>
      <c r="F1" s="85"/>
      <c r="G1" s="85"/>
      <c r="H1" s="85"/>
      <c r="I1" s="85"/>
      <c r="J1" s="85"/>
    </row>
    <row r="2" spans="1:13" x14ac:dyDescent="0.25">
      <c r="A2" s="86" t="s">
        <v>42</v>
      </c>
      <c r="B2" s="86" t="s">
        <v>43</v>
      </c>
      <c r="C2" s="86" t="s">
        <v>50</v>
      </c>
      <c r="D2" s="87" t="s">
        <v>51</v>
      </c>
      <c r="E2" s="87"/>
      <c r="F2" s="87"/>
      <c r="G2" s="87" t="s">
        <v>52</v>
      </c>
      <c r="H2" s="87"/>
      <c r="I2" s="87"/>
      <c r="J2" s="87"/>
    </row>
    <row r="3" spans="1:13" ht="78.75" customHeight="1" x14ac:dyDescent="0.25">
      <c r="A3" s="86"/>
      <c r="B3" s="86"/>
      <c r="C3" s="86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14.6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2023-07-17T07:12:46Z</dcterms:modified>
</cp:coreProperties>
</file>