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2" sheetId="21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</definedNames>
  <calcPr calcId="145621"/>
</workbook>
</file>

<file path=xl/calcChain.xml><?xml version="1.0" encoding="utf-8"?>
<calcChain xmlns="http://schemas.openxmlformats.org/spreadsheetml/2006/main">
  <c r="AP47" i="21" l="1"/>
  <c r="AK47" i="21"/>
  <c r="AL47" i="21"/>
  <c r="AM47" i="21"/>
  <c r="AN47" i="21"/>
  <c r="AO47" i="21"/>
  <c r="AQ47" i="21"/>
  <c r="AR47" i="21"/>
  <c r="AJ47" i="21"/>
  <c r="AK46" i="21"/>
  <c r="AL46" i="21"/>
  <c r="AM46" i="21"/>
  <c r="AN46" i="21"/>
  <c r="AO46" i="21"/>
  <c r="AP46" i="21"/>
  <c r="AQ46" i="21"/>
  <c r="AR46" i="21"/>
  <c r="AJ46" i="21"/>
  <c r="AK36" i="21"/>
  <c r="AL36" i="21"/>
  <c r="AM36" i="21"/>
  <c r="AN36" i="21"/>
  <c r="AO36" i="21"/>
  <c r="AP36" i="21"/>
  <c r="AQ36" i="21"/>
  <c r="AR36" i="21"/>
  <c r="AJ36" i="21"/>
  <c r="Z47" i="21"/>
  <c r="AA47" i="21"/>
  <c r="AB47" i="21"/>
  <c r="AC47" i="21"/>
  <c r="AD47" i="21"/>
  <c r="AE47" i="21"/>
  <c r="AF47" i="21"/>
  <c r="AG47" i="21"/>
  <c r="Y47" i="21"/>
  <c r="AB36" i="21"/>
  <c r="AA36" i="21"/>
  <c r="Z36" i="21"/>
  <c r="Y36" i="21"/>
  <c r="AG46" i="21"/>
  <c r="AF46" i="21"/>
  <c r="AE46" i="21"/>
  <c r="AD46" i="21"/>
  <c r="AC46" i="21"/>
  <c r="AB46" i="21"/>
  <c r="AA46" i="21"/>
  <c r="Z46" i="21"/>
  <c r="Y46" i="21"/>
  <c r="AC36" i="21"/>
  <c r="AD36" i="21"/>
  <c r="AE36" i="21"/>
  <c r="AF36" i="21"/>
  <c r="AG36" i="21"/>
  <c r="AD45" i="21" l="1"/>
  <c r="AD43" i="21"/>
  <c r="AD41" i="21"/>
  <c r="AD39" i="21"/>
  <c r="AD35" i="21"/>
  <c r="AD33" i="21"/>
  <c r="AD31" i="21"/>
  <c r="AD29" i="21"/>
  <c r="AD27" i="21"/>
  <c r="AD25" i="21"/>
  <c r="AD23" i="21"/>
  <c r="AD21" i="21"/>
  <c r="AD19" i="21"/>
  <c r="AD17" i="21"/>
  <c r="AD15" i="21"/>
  <c r="AD13" i="21"/>
  <c r="AD11" i="21"/>
  <c r="AD9" i="21"/>
  <c r="AD44" i="21"/>
  <c r="AD42" i="21"/>
  <c r="AD40" i="21"/>
  <c r="AD38" i="21"/>
  <c r="AD34" i="21"/>
  <c r="AD32" i="21"/>
  <c r="AD30" i="21"/>
  <c r="AD28" i="21"/>
  <c r="AD26" i="21"/>
  <c r="AD24" i="21"/>
  <c r="AD22" i="21"/>
  <c r="AD20" i="21"/>
  <c r="AD18" i="21"/>
  <c r="AD16" i="21"/>
  <c r="AD14" i="21"/>
  <c r="AD12" i="21"/>
  <c r="AD10" i="21"/>
  <c r="AD8" i="21"/>
  <c r="AO39" i="21"/>
  <c r="AO40" i="21"/>
  <c r="AO41" i="21"/>
  <c r="AO42" i="21"/>
  <c r="AO43" i="21"/>
  <c r="AO44" i="21"/>
  <c r="AO45" i="21"/>
  <c r="AL39" i="21"/>
  <c r="AL40" i="21"/>
  <c r="AL41" i="21"/>
  <c r="AL42" i="21"/>
  <c r="AL43" i="21"/>
  <c r="AL44" i="21"/>
  <c r="AL45" i="21"/>
  <c r="AG39" i="21"/>
  <c r="AG40" i="21"/>
  <c r="AG41" i="21"/>
  <c r="AG42" i="21"/>
  <c r="AG43" i="21"/>
  <c r="AG44" i="21"/>
  <c r="AG45" i="21"/>
  <c r="AO38" i="21"/>
  <c r="AL38" i="21"/>
  <c r="AG38" i="21"/>
  <c r="AO9" i="21"/>
  <c r="AO10" i="21"/>
  <c r="AO11" i="21"/>
  <c r="AO12" i="21"/>
  <c r="AO13" i="21"/>
  <c r="AO14" i="21"/>
  <c r="AO15" i="21"/>
  <c r="AO16" i="21"/>
  <c r="AO17" i="21"/>
  <c r="AO18" i="21"/>
  <c r="AO19" i="21"/>
  <c r="AO20" i="21"/>
  <c r="AO21" i="21"/>
  <c r="AO22" i="21"/>
  <c r="AO23" i="21"/>
  <c r="AO24" i="21"/>
  <c r="AO25" i="21"/>
  <c r="AO26" i="21"/>
  <c r="AO27" i="21"/>
  <c r="AO28" i="21"/>
  <c r="AO29" i="21"/>
  <c r="AO30" i="21"/>
  <c r="AO31" i="21"/>
  <c r="AO32" i="21"/>
  <c r="AO33" i="21"/>
  <c r="AO34" i="21"/>
  <c r="AO35" i="21"/>
  <c r="AL9" i="21"/>
  <c r="AL10" i="21"/>
  <c r="AL11" i="21"/>
  <c r="AL12" i="21"/>
  <c r="AL13" i="21"/>
  <c r="AL14" i="21"/>
  <c r="AL15" i="21"/>
  <c r="AL16" i="21"/>
  <c r="AL17" i="21"/>
  <c r="AL18" i="21"/>
  <c r="AL19" i="21"/>
  <c r="AL20" i="21"/>
  <c r="AL21" i="21"/>
  <c r="AL22" i="21"/>
  <c r="AL23" i="21"/>
  <c r="AL24" i="21"/>
  <c r="AL25" i="21"/>
  <c r="AL26" i="21"/>
  <c r="AL27" i="21"/>
  <c r="AL28" i="21"/>
  <c r="AL29" i="21"/>
  <c r="AL30" i="21"/>
  <c r="AL31" i="21"/>
  <c r="AL32" i="21"/>
  <c r="AL33" i="21"/>
  <c r="AL34" i="21"/>
  <c r="AL35" i="21"/>
  <c r="AG9" i="21"/>
  <c r="AG10" i="21"/>
  <c r="AG11" i="21"/>
  <c r="AG12" i="21"/>
  <c r="AG13" i="21"/>
  <c r="AG14" i="21"/>
  <c r="AG15" i="21"/>
  <c r="AG16" i="21"/>
  <c r="AG17" i="21"/>
  <c r="AG18" i="21"/>
  <c r="AG19" i="21"/>
  <c r="AG20" i="21"/>
  <c r="AG21" i="21"/>
  <c r="AG22" i="21"/>
  <c r="AG23" i="21"/>
  <c r="AG24" i="21"/>
  <c r="AG25" i="21"/>
  <c r="AG26" i="21"/>
  <c r="AG27" i="21"/>
  <c r="AG28" i="21"/>
  <c r="AG29" i="21"/>
  <c r="AG30" i="21"/>
  <c r="AG31" i="21"/>
  <c r="AG32" i="21"/>
  <c r="AG33" i="21"/>
  <c r="AG34" i="21"/>
  <c r="AG35" i="21"/>
  <c r="AO8" i="21"/>
  <c r="AL8" i="21"/>
  <c r="AG8" i="21"/>
  <c r="R46" i="21"/>
  <c r="T46" i="21"/>
  <c r="U46" i="21"/>
  <c r="Q46" i="21"/>
  <c r="R36" i="21"/>
  <c r="T36" i="21"/>
  <c r="U36" i="21"/>
  <c r="Q36" i="21"/>
  <c r="AA39" i="21"/>
  <c r="AA40" i="21"/>
  <c r="AA41" i="21"/>
  <c r="AA42" i="21"/>
  <c r="AA43" i="21"/>
  <c r="AA44" i="21"/>
  <c r="AA45" i="21"/>
  <c r="AA3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8" i="21"/>
  <c r="V39" i="21"/>
  <c r="V40" i="21"/>
  <c r="V41" i="21"/>
  <c r="V42" i="21"/>
  <c r="V43" i="21"/>
  <c r="V44" i="21"/>
  <c r="V45" i="21"/>
  <c r="V38" i="21"/>
  <c r="V9" i="21"/>
  <c r="V10" i="21"/>
  <c r="V11" i="21"/>
  <c r="V12" i="21"/>
  <c r="V13" i="21"/>
  <c r="V14" i="21"/>
  <c r="V15" i="21"/>
  <c r="V16" i="21"/>
  <c r="V17" i="21"/>
  <c r="V18" i="21"/>
  <c r="V19" i="21"/>
  <c r="V20" i="21"/>
  <c r="V21" i="21"/>
  <c r="V22" i="21"/>
  <c r="V23" i="21"/>
  <c r="V24" i="21"/>
  <c r="V25" i="21"/>
  <c r="V26" i="21"/>
  <c r="V27" i="21"/>
  <c r="V28" i="21"/>
  <c r="V29" i="21"/>
  <c r="V30" i="21"/>
  <c r="V31" i="21"/>
  <c r="V32" i="21"/>
  <c r="V33" i="21"/>
  <c r="V34" i="21"/>
  <c r="V35" i="21"/>
  <c r="V8" i="21"/>
  <c r="S39" i="21"/>
  <c r="S40" i="21"/>
  <c r="S41" i="21"/>
  <c r="S42" i="21"/>
  <c r="S43" i="21"/>
  <c r="S44" i="21"/>
  <c r="S45" i="21"/>
  <c r="S38" i="21"/>
  <c r="S9" i="21"/>
  <c r="S10" i="21"/>
  <c r="S11" i="21"/>
  <c r="S12" i="21"/>
  <c r="S13" i="21"/>
  <c r="S14" i="21"/>
  <c r="S15" i="21"/>
  <c r="S16" i="21"/>
  <c r="S17" i="21"/>
  <c r="S18" i="21"/>
  <c r="S19" i="21"/>
  <c r="S20" i="21"/>
  <c r="S21" i="21"/>
  <c r="S22" i="21"/>
  <c r="S23" i="21"/>
  <c r="S24" i="21"/>
  <c r="S25" i="21"/>
  <c r="S26" i="21"/>
  <c r="S27" i="21"/>
  <c r="S28" i="21"/>
  <c r="S29" i="21"/>
  <c r="S30" i="21"/>
  <c r="S31" i="21"/>
  <c r="S32" i="21"/>
  <c r="S33" i="21"/>
  <c r="S34" i="21"/>
  <c r="S35" i="21"/>
  <c r="S8" i="21"/>
  <c r="D46" i="21"/>
  <c r="F46" i="21"/>
  <c r="G46" i="21"/>
  <c r="I46" i="21"/>
  <c r="J46" i="21"/>
  <c r="N46" i="21"/>
  <c r="O46" i="21"/>
  <c r="D36" i="21"/>
  <c r="F36" i="21"/>
  <c r="G36" i="21"/>
  <c r="I36" i="21"/>
  <c r="J36" i="21"/>
  <c r="N36" i="21"/>
  <c r="O36" i="21"/>
  <c r="C36" i="21"/>
  <c r="P39" i="21"/>
  <c r="P40" i="21"/>
  <c r="P41" i="21"/>
  <c r="P42" i="21"/>
  <c r="P43" i="21"/>
  <c r="P44" i="21"/>
  <c r="P45" i="21"/>
  <c r="P3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8" i="21"/>
  <c r="K39" i="21"/>
  <c r="K40" i="21"/>
  <c r="K41" i="21"/>
  <c r="K42" i="21"/>
  <c r="K43" i="21"/>
  <c r="K44" i="21"/>
  <c r="K45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26" i="21"/>
  <c r="K27" i="21"/>
  <c r="K28" i="21"/>
  <c r="K29" i="21"/>
  <c r="K30" i="21"/>
  <c r="K31" i="21"/>
  <c r="K32" i="21"/>
  <c r="K33" i="21"/>
  <c r="K34" i="21"/>
  <c r="K35" i="21"/>
  <c r="H39" i="21"/>
  <c r="H40" i="21"/>
  <c r="H41" i="21"/>
  <c r="H42" i="21"/>
  <c r="H43" i="21"/>
  <c r="H44" i="21"/>
  <c r="H45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E39" i="21"/>
  <c r="E40" i="21"/>
  <c r="E41" i="21"/>
  <c r="E42" i="21"/>
  <c r="E43" i="21"/>
  <c r="E44" i="21"/>
  <c r="E45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K38" i="21"/>
  <c r="H38" i="21"/>
  <c r="E38" i="21"/>
  <c r="K8" i="21"/>
  <c r="H8" i="21"/>
  <c r="E8" i="21"/>
  <c r="AQ45" i="21"/>
  <c r="AQ43" i="21"/>
  <c r="AQ41" i="21"/>
  <c r="AQ39" i="21"/>
  <c r="AQ35" i="21"/>
  <c r="AQ33" i="21"/>
  <c r="AQ31" i="21"/>
  <c r="AQ29" i="21"/>
  <c r="AQ27" i="21"/>
  <c r="AQ25" i="21"/>
  <c r="AQ23" i="21"/>
  <c r="AQ21" i="21"/>
  <c r="AQ19" i="21"/>
  <c r="AQ17" i="21"/>
  <c r="AQ15" i="21"/>
  <c r="AQ13" i="21"/>
  <c r="AQ11" i="21"/>
  <c r="AQ9" i="21"/>
  <c r="AQ8" i="21"/>
  <c r="AP45" i="21"/>
  <c r="AP43" i="21"/>
  <c r="AP41" i="21"/>
  <c r="AP39" i="21"/>
  <c r="AP35" i="21"/>
  <c r="AP33" i="21"/>
  <c r="AP31" i="21"/>
  <c r="AP29" i="21"/>
  <c r="AP27" i="21"/>
  <c r="AP25" i="21"/>
  <c r="AP23" i="21"/>
  <c r="AP21" i="21"/>
  <c r="AP19" i="21"/>
  <c r="AP17" i="21"/>
  <c r="AP15" i="21"/>
  <c r="AP13" i="21"/>
  <c r="AP11" i="21"/>
  <c r="AP12" i="21"/>
  <c r="AQ12" i="21"/>
  <c r="AP9" i="21"/>
  <c r="AQ44" i="21"/>
  <c r="AP44" i="21"/>
  <c r="AQ42" i="21"/>
  <c r="AP42" i="21"/>
  <c r="AQ40" i="21"/>
  <c r="AP40" i="21"/>
  <c r="AQ38" i="21"/>
  <c r="AP38" i="21"/>
  <c r="AQ34" i="21"/>
  <c r="AP34" i="21"/>
  <c r="AQ32" i="21"/>
  <c r="AP32" i="21"/>
  <c r="AQ30" i="21"/>
  <c r="AP30" i="21"/>
  <c r="AQ28" i="21"/>
  <c r="AP28" i="21"/>
  <c r="AQ26" i="21"/>
  <c r="AP26" i="21"/>
  <c r="AQ24" i="21"/>
  <c r="AP24" i="21"/>
  <c r="AQ22" i="21"/>
  <c r="AP22" i="21"/>
  <c r="AQ20" i="21"/>
  <c r="AP20" i="21"/>
  <c r="AQ18" i="21"/>
  <c r="AP18" i="21"/>
  <c r="AQ16" i="21"/>
  <c r="AP16" i="21"/>
  <c r="AQ14" i="21"/>
  <c r="AP14" i="21"/>
  <c r="AQ10" i="21"/>
  <c r="AP10" i="21"/>
  <c r="AP8" i="21"/>
  <c r="N47" i="21" l="1"/>
  <c r="E46" i="21"/>
  <c r="AR23" i="21"/>
  <c r="D47" i="21"/>
  <c r="AR8" i="21"/>
  <c r="AR41" i="21"/>
  <c r="G47" i="21"/>
  <c r="S46" i="21"/>
  <c r="V36" i="21"/>
  <c r="AR9" i="21"/>
  <c r="AR25" i="21"/>
  <c r="AR43" i="21"/>
  <c r="H36" i="21"/>
  <c r="AR11" i="21"/>
  <c r="AR27" i="21"/>
  <c r="AR45" i="21"/>
  <c r="U47" i="21"/>
  <c r="K46" i="21"/>
  <c r="E36" i="21"/>
  <c r="H46" i="21"/>
  <c r="S36" i="21"/>
  <c r="V46" i="21"/>
  <c r="T47" i="21"/>
  <c r="Q47" i="21"/>
  <c r="R47" i="21"/>
  <c r="AR20" i="21"/>
  <c r="AR28" i="21"/>
  <c r="AR12" i="21"/>
  <c r="K36" i="21"/>
  <c r="AR42" i="21"/>
  <c r="AR26" i="21"/>
  <c r="AR44" i="21"/>
  <c r="AR29" i="21"/>
  <c r="AR15" i="21"/>
  <c r="AR31" i="21"/>
  <c r="O47" i="21"/>
  <c r="AR17" i="21"/>
  <c r="AR33" i="21"/>
  <c r="AR35" i="21"/>
  <c r="AR16" i="21"/>
  <c r="AR19" i="21"/>
  <c r="AR14" i="21"/>
  <c r="AR22" i="21"/>
  <c r="AR30" i="21"/>
  <c r="AR40" i="21"/>
  <c r="AR21" i="21"/>
  <c r="AR39" i="21"/>
  <c r="P36" i="21"/>
  <c r="J47" i="21"/>
  <c r="AR24" i="21"/>
  <c r="AR32" i="21"/>
  <c r="AR18" i="21"/>
  <c r="AR34" i="21"/>
  <c r="AR13" i="21"/>
  <c r="P46" i="21"/>
  <c r="F47" i="21"/>
  <c r="I47" i="21"/>
  <c r="AR38" i="21"/>
  <c r="AR10" i="21"/>
  <c r="C46" i="21"/>
  <c r="K47" i="21" l="1"/>
  <c r="V47" i="21"/>
  <c r="E47" i="21"/>
  <c r="S47" i="21"/>
  <c r="H47" i="21"/>
  <c r="P47" i="21"/>
  <c r="C47" i="21"/>
  <c r="I33" i="6" l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2" i="6"/>
  <c r="H43" i="6"/>
  <c r="F42" i="1" l="1"/>
  <c r="F41" i="1"/>
  <c r="F32" i="1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41" i="6"/>
  <c r="F42" i="6"/>
  <c r="F43" i="6"/>
  <c r="F5" i="6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3" l="1"/>
  <c r="E43" i="3"/>
  <c r="F43" i="3"/>
  <c r="G43" i="3"/>
  <c r="H43" i="3"/>
  <c r="I43" i="3"/>
  <c r="J43" i="3"/>
  <c r="K43" i="3"/>
  <c r="C43" i="3"/>
  <c r="D42" i="3"/>
  <c r="E42" i="3"/>
  <c r="F42" i="3"/>
  <c r="G42" i="3"/>
  <c r="H42" i="3"/>
  <c r="I42" i="3"/>
  <c r="J42" i="3"/>
  <c r="K42" i="3"/>
  <c r="C42" i="3"/>
  <c r="D33" i="3"/>
  <c r="E33" i="3"/>
  <c r="F33" i="3"/>
  <c r="G33" i="3"/>
  <c r="H33" i="3"/>
  <c r="I33" i="3"/>
  <c r="J33" i="3"/>
  <c r="K33" i="3"/>
  <c r="C33" i="3"/>
  <c r="F4" i="1" l="1"/>
  <c r="E32" i="1"/>
  <c r="J22" i="1"/>
  <c r="F5" i="1" l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G42" i="6" l="1"/>
  <c r="G33" i="6"/>
  <c r="G43" i="6" s="1"/>
  <c r="D42" i="6"/>
  <c r="D33" i="6"/>
  <c r="E42" i="6"/>
  <c r="E33" i="6"/>
  <c r="C42" i="6"/>
  <c r="C41" i="1"/>
  <c r="C32" i="1"/>
  <c r="C33" i="6"/>
  <c r="E43" i="6" l="1"/>
  <c r="D43" i="6"/>
  <c r="C43" i="6"/>
  <c r="C42" i="1"/>
  <c r="D4" i="1" l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s="1"/>
  <c r="I43" i="6" l="1"/>
  <c r="J43" i="6" s="1"/>
  <c r="J33" i="6"/>
</calcChain>
</file>

<file path=xl/sharedStrings.xml><?xml version="1.0" encoding="utf-8"?>
<sst xmlns="http://schemas.openxmlformats.org/spreadsheetml/2006/main" count="449" uniqueCount="123">
  <si>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</si>
  <si>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</si>
  <si>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</si>
  <si>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</si>
  <si>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</si>
  <si>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</si>
  <si>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</si>
  <si>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</si>
  <si>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</si>
  <si>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</si>
  <si>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</si>
  <si>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</si>
  <si>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</si>
  <si>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</si>
  <si>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</si>
  <si>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</si>
  <si>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</si>
  <si>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</si>
  <si>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</si>
  <si>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</si>
  <si>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</si>
  <si>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</si>
  <si>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</si>
  <si>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</si>
  <si>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</si>
  <si>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</si>
  <si>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</si>
  <si>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</si>
  <si>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</si>
  <si>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</si>
  <si>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</si>
  <si>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</si>
  <si>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</si>
  <si>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</si>
  <si>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</si>
  <si>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</si>
  <si>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</si>
  <si>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</si>
  <si>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</si>
  <si>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</si>
  <si>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</si>
  <si>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</si>
  <si>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</si>
  <si>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</si>
  <si>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</si>
  <si>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</si>
  <si>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</si>
  <si>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</si>
  <si>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</si>
  <si>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</si>
  <si>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</si>
  <si>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</si>
  <si>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</si>
  <si>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</si>
  <si>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</si>
  <si>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</si>
  <si>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</si>
  <si>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</si>
  <si>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</si>
  <si>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</si>
  <si>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States/UTs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</si>
  <si>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</si>
  <si>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</si>
  <si>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</si>
  <si>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</si>
  <si>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</si>
  <si>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</si>
  <si>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</si>
  <si>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</si>
  <si>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</si>
  <si>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</si>
  <si>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</si>
  <si>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</si>
  <si>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</si>
  <si>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</si>
  <si>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</si>
  <si>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</si>
  <si>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</si>
  <si>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</si>
  <si>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</si>
  <si>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</si>
  <si>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</si>
  <si>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 xml:space="preserve">Note:   </t>
  </si>
  <si>
    <t>Human Trafficking data published is based on annual data as provided by States/UTs from their Anti Human Trafficking Units</t>
  </si>
  <si>
    <t>STATES:</t>
  </si>
  <si>
    <t>UNION TERRITORIES: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</si>
  <si>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</si>
  <si>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</si>
  <si>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</si>
  <si>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</si>
  <si>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</si>
  <si>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</si>
  <si>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</si>
  <si>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</si>
  <si>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</si>
  <si>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</si>
  <si>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</si>
  <si>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(12)</t>
  </si>
  <si>
    <t>(13)</t>
  </si>
  <si>
    <t>(14)</t>
  </si>
  <si>
    <t>(10)</t>
  </si>
  <si>
    <t>(11)</t>
  </si>
  <si>
    <t>Crime-Head wise Cases Registered under Human Trafficking - 2024</t>
  </si>
  <si>
    <t>TABLE 14.2</t>
  </si>
  <si>
    <t>TABLE 14.2 (Concluded)</t>
  </si>
  <si>
    <t>IPC</t>
  </si>
  <si>
    <t>BNS</t>
  </si>
  <si>
    <t>Any other Acts/Special/Local Acts of the State</t>
  </si>
  <si>
    <t>Total Human Trafficking</t>
  </si>
  <si>
    <t>TABLE 14.2 - Page 1 of 4</t>
  </si>
  <si>
    <t>TABLE 14.2 - Page 2 of 4</t>
  </si>
  <si>
    <t>Human Trafficking (Section 143 BNS/Section 370 IPC or Section 370 r/w other section of IPC/BNS/SLL)</t>
  </si>
  <si>
    <t>Exploitation of Trafficked Person (Section 144 BNS/Section 370A IPC r/w other Section of IPC/BNS/SLL)</t>
  </si>
  <si>
    <t>Importation of Girl or Boy from Foreign Country (Section 141 BNS/ Section 366B IPC or Section 366B r/w Other Section of IPC/BNS/SLL)</t>
  </si>
  <si>
    <t>Selling of Child for Prostitution (Section 98 BNS/ Section 372 IPC) r/w Other Section of IPC/BNS/SLL)</t>
  </si>
  <si>
    <t>Buying of Child for Prostitution (Section 99 BNS/ Section 373 IPC) r/w Other Section of IPC/BNS/SLL</t>
  </si>
  <si>
    <t xml:space="preserve">Bonded Labour Act </t>
  </si>
  <si>
    <t>POCSO Act</t>
  </si>
  <si>
    <t xml:space="preserve">                                                                      TABLE 14.2 - Page 4 of 4</t>
  </si>
  <si>
    <t xml:space="preserve">                                                                             TABLE 14.2 - Page 3 of 4</t>
  </si>
  <si>
    <t>Procuration of Children  (Section 96 BNS/ Section 366A IPC or Section 366A r/w Other Section of IPC/BNS/SLL)</t>
  </si>
  <si>
    <t>Kidnapping for the Purpose of Begging  (Section 139 BNS/ Section 363A or Section 363A r/w IPC/BNS/SLL)</t>
  </si>
  <si>
    <t>Procurring, inducing or taking a person for the sake of prostitution  (Section 5(1)B &amp; 5(1)C ITP Act r/w Other Section of IPC/BNS/SLL)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</si>
</sst>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107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1" fillId="0" borderId="0" xfId="0" applyFont="1" applyBorder="1"/>
    <xf numFmtId="2" fontId="0" fillId="0" borderId="0" xfId="0" applyNumberFormat="1" applyBorder="1"/>
    <xf numFmtId="0" fontId="12" fillId="6" borderId="0" xfId="0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1" fillId="0" borderId="0" xfId="0" applyFont="1" applyBorder="1" applyAlignment="1">
      <alignment horizontal="right"/>
    </xf>
    <xf numFmtId="0" fontId="13" fillId="8" borderId="0" xfId="0" applyFont="1" applyFill="1" applyBorder="1" applyAlignment="1">
      <alignment horizontal="left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3" fillId="8" borderId="4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right"/>
    </xf>
    <xf numFmtId="0" fontId="13" fillId="8" borderId="2" xfId="0" quotePrefix="1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vertical="center"/>
    </xf>
    <xf numFmtId="0" fontId="0" fillId="6" borderId="0" xfId="0" applyFont="1" applyFill="1" applyBorder="1" applyAlignment="1">
      <alignment horizontal="right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righ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3" fillId="8" borderId="1" xfId="0" applyFont="1" applyFill="1" applyBorder="1" applyAlignment="1">
      <alignment horizontal="right" vertical="center" wrapText="1"/>
    </xf>
    <xf numFmtId="0" fontId="0" fillId="6" borderId="13" xfId="0" applyFont="1" applyFill="1" applyBorder="1" applyAlignment="1">
      <alignment horizontal="right"/>
    </xf>
    <xf numFmtId="0" fontId="13" fillId="8" borderId="13" xfId="0" applyFont="1" applyFill="1" applyBorder="1" applyAlignment="1">
      <alignment horizontal="right" vertical="center" wrapText="1"/>
    </xf>
    <xf numFmtId="0" fontId="1" fillId="8" borderId="9" xfId="0" applyFont="1" applyFill="1" applyBorder="1" applyAlignment="1">
      <alignment horizontal="right"/>
    </xf>
    <xf numFmtId="0" fontId="1" fillId="0" borderId="12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right"/>
    </xf>
    <xf numFmtId="0" fontId="0" fillId="0" borderId="13" xfId="0" applyFont="1" applyFill="1" applyBorder="1" applyAlignment="1">
      <alignment horizontal="right"/>
    </xf>
    <xf numFmtId="0" fontId="1" fillId="0" borderId="0" xfId="0" applyFont="1" applyBorder="1" applyAlignment="1">
      <alignment vertical="center"/>
    </xf>
    <xf numFmtId="0" fontId="0" fillId="6" borderId="13" xfId="0" applyFill="1" applyBorder="1" applyAlignment="1">
      <alignment vertical="center"/>
    </xf>
    <xf numFmtId="0" fontId="0" fillId="0" borderId="13" xfId="0" applyFill="1" applyBorder="1" applyAlignment="1">
      <alignment vertical="center"/>
    </xf>
    <xf numFmtId="0" fontId="13" fillId="8" borderId="9" xfId="0" applyFont="1" applyFill="1" applyBorder="1" applyAlignment="1">
      <alignment horizontal="right" vertical="center" wrapText="1"/>
    </xf>
    <xf numFmtId="0" fontId="0" fillId="0" borderId="12" xfId="0" applyBorder="1" applyAlignment="1">
      <alignment vertical="center"/>
    </xf>
    <xf numFmtId="0" fontId="8" fillId="0" borderId="0" xfId="0" applyFont="1" applyAlignment="1">
      <alignment horizontal="left" vertical="center"/>
    </xf>
    <xf numFmtId="0" fontId="13" fillId="8" borderId="7" xfId="0" quotePrefix="1" applyFont="1" applyFill="1" applyBorder="1" applyAlignment="1">
      <alignment horizontal="center" vertical="center" wrapText="1"/>
    </xf>
    <xf numFmtId="0" fontId="13" fillId="8" borderId="14" xfId="0" quotePrefix="1" applyFont="1" applyFill="1" applyBorder="1" applyAlignment="1">
      <alignment horizontal="center" vertical="center" wrapText="1"/>
    </xf>
    <xf numFmtId="0" fontId="13" fillId="8" borderId="8" xfId="0" quotePrefix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right" vertical="center" wrapText="1"/>
    </xf>
    <xf numFmtId="0" fontId="13" fillId="8" borderId="5" xfId="0" quotePrefix="1" applyFont="1" applyFill="1" applyBorder="1" applyAlignment="1">
      <alignment horizontal="center" vertical="top" wrapText="1"/>
    </xf>
    <xf numFmtId="0" fontId="13" fillId="8" borderId="6" xfId="0" quotePrefix="1" applyFont="1" applyFill="1" applyBorder="1" applyAlignment="1">
      <alignment horizontal="center" vertical="top" wrapText="1"/>
    </xf>
    <xf numFmtId="0" fontId="13" fillId="8" borderId="12" xfId="0" quotePrefix="1" applyFont="1" applyFill="1" applyBorder="1" applyAlignment="1">
      <alignment horizontal="center" vertical="top" wrapText="1"/>
    </xf>
    <xf numFmtId="0" fontId="13" fillId="8" borderId="9" xfId="0" quotePrefix="1" applyFont="1" applyFill="1" applyBorder="1" applyAlignment="1">
      <alignment horizontal="center" vertical="top" wrapText="1"/>
    </xf>
    <xf numFmtId="0" fontId="15" fillId="0" borderId="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top" wrapText="1"/>
    </xf>
    <xf numFmtId="0" fontId="13" fillId="8" borderId="6" xfId="0" applyFont="1" applyFill="1" applyBorder="1" applyAlignment="1">
      <alignment horizontal="center" vertical="top" wrapText="1"/>
    </xf>
    <xf numFmtId="0" fontId="2" fillId="8" borderId="10" xfId="0" applyFont="1" applyFill="1" applyBorder="1" applyAlignment="1">
      <alignment horizontal="center" vertical="top" wrapText="1"/>
    </xf>
    <xf numFmtId="0" fontId="2" fillId="8" borderId="11" xfId="0" applyFont="1" applyFill="1" applyBorder="1" applyAlignment="1">
      <alignment horizontal="center" vertical="top" wrapText="1"/>
    </xf>
    <xf numFmtId="0" fontId="2" fillId="8" borderId="12" xfId="0" applyFont="1" applyFill="1" applyBorder="1" applyAlignment="1">
      <alignment horizontal="center" vertical="top" wrapText="1"/>
    </xf>
    <xf numFmtId="0" fontId="2" fillId="8" borderId="4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8" borderId="9" xfId="0" applyFont="1" applyFill="1" applyBorder="1" applyAlignment="1">
      <alignment horizontal="center" vertical="top" wrapText="1"/>
    </xf>
    <xf numFmtId="0" fontId="2" fillId="8" borderId="2" xfId="0" applyFont="1" applyFill="1" applyBorder="1" applyAlignment="1">
      <alignment horizontal="center" vertical="top" wrapText="1"/>
    </xf>
    <xf numFmtId="0" fontId="13" fillId="8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EBFCEB"/>
      <color rgb="FFCCFFC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dakh@" TargetMode="External"/><Relationship Id="rId2" Type="http://schemas.openxmlformats.org/officeDocument/2006/relationships/hyperlink" Target="mailto:Ladakh@" TargetMode="External"/><Relationship Id="rId1" Type="http://schemas.openxmlformats.org/officeDocument/2006/relationships/hyperlink" Target="mailto:Ladakh@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50"/>
  <sheetViews>
    <sheetView tabSelected="1" topLeftCell="A28" zoomScaleNormal="100" workbookViewId="0">
      <selection activeCell="H57" sqref="H57"/>
    </sheetView>
  </sheetViews>
  <sheetFormatPr defaultRowHeight="15" x14ac:dyDescent="0.25"/>
  <cols>
    <col min="1" max="1" width="4.140625" style="47" customWidth="1"/>
    <col min="2" max="2" width="21.28515625" style="41" customWidth="1"/>
    <col min="3" max="5" width="6.7109375" style="41" customWidth="1"/>
    <col min="6" max="8" width="7.140625" style="41" customWidth="1"/>
    <col min="9" max="11" width="7.85546875" style="41" customWidth="1"/>
    <col min="12" max="12" width="4.42578125" style="47" customWidth="1"/>
    <col min="13" max="13" width="23" style="41" customWidth="1"/>
    <col min="14" max="16" width="6.42578125" style="41" customWidth="1"/>
    <col min="17" max="19" width="6.7109375" style="41" customWidth="1"/>
    <col min="20" max="22" width="7.7109375" style="41" customWidth="1"/>
    <col min="23" max="23" width="4.42578125" style="41" customWidth="1"/>
    <col min="24" max="24" width="27" style="41" customWidth="1"/>
    <col min="25" max="33" width="6.5703125" style="41" customWidth="1"/>
    <col min="34" max="34" width="4.42578125" style="41" customWidth="1"/>
    <col min="35" max="35" width="31.28515625" style="41" customWidth="1"/>
    <col min="36" max="39" width="5.7109375" style="41" customWidth="1"/>
    <col min="40" max="43" width="5.7109375" style="45" customWidth="1"/>
    <col min="44" max="44" width="5.7109375" style="41" customWidth="1"/>
    <col min="45" max="16384" width="9.140625" style="41"/>
  </cols>
  <sheetData>
    <row r="1" spans="1:44" ht="21.75" customHeight="1" x14ac:dyDescent="0.25">
      <c r="A1" s="91" t="s">
        <v>103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 t="s">
        <v>104</v>
      </c>
      <c r="M1" s="91"/>
      <c r="N1" s="91"/>
      <c r="O1" s="91"/>
      <c r="P1" s="91"/>
      <c r="Q1" s="91"/>
      <c r="R1" s="91"/>
      <c r="S1" s="91"/>
      <c r="T1" s="91"/>
      <c r="U1" s="91"/>
      <c r="V1" s="91"/>
      <c r="W1" s="91" t="s">
        <v>104</v>
      </c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 t="s">
        <v>104</v>
      </c>
      <c r="AI1" s="91"/>
      <c r="AJ1" s="91"/>
      <c r="AK1" s="91"/>
      <c r="AL1" s="91"/>
      <c r="AM1" s="91"/>
      <c r="AN1" s="91"/>
      <c r="AO1" s="91"/>
      <c r="AP1" s="91"/>
      <c r="AQ1" s="91"/>
      <c r="AR1" s="91"/>
    </row>
    <row r="2" spans="1:44" ht="22.5" customHeight="1" x14ac:dyDescent="0.25">
      <c r="A2" s="91" t="s">
        <v>102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2" t="s">
        <v>102</v>
      </c>
      <c r="M2" s="92"/>
      <c r="N2" s="92"/>
      <c r="O2" s="92"/>
      <c r="P2" s="92"/>
      <c r="Q2" s="92"/>
      <c r="R2" s="92"/>
      <c r="S2" s="92"/>
      <c r="T2" s="92"/>
      <c r="U2" s="92"/>
      <c r="V2" s="92"/>
      <c r="W2" s="92" t="s">
        <v>102</v>
      </c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 t="s">
        <v>102</v>
      </c>
      <c r="AI2" s="92"/>
      <c r="AJ2" s="92"/>
      <c r="AK2" s="92"/>
      <c r="AL2" s="92"/>
      <c r="AM2" s="92"/>
      <c r="AN2" s="92"/>
      <c r="AO2" s="92"/>
      <c r="AP2" s="92"/>
      <c r="AQ2" s="92"/>
      <c r="AR2" s="92"/>
    </row>
    <row r="3" spans="1:44" ht="51" customHeight="1" x14ac:dyDescent="0.25">
      <c r="A3" s="93" t="s">
        <v>38</v>
      </c>
      <c r="B3" s="93" t="s">
        <v>60</v>
      </c>
      <c r="C3" s="95" t="s">
        <v>111</v>
      </c>
      <c r="D3" s="96"/>
      <c r="E3" s="97"/>
      <c r="F3" s="95" t="s">
        <v>112</v>
      </c>
      <c r="G3" s="96"/>
      <c r="H3" s="97"/>
      <c r="I3" s="95" t="s">
        <v>122</v>
      </c>
      <c r="J3" s="96"/>
      <c r="K3" s="97"/>
      <c r="L3" s="93" t="s">
        <v>38</v>
      </c>
      <c r="M3" s="93" t="s">
        <v>60</v>
      </c>
      <c r="N3" s="95" t="s">
        <v>121</v>
      </c>
      <c r="O3" s="96"/>
      <c r="P3" s="97"/>
      <c r="Q3" s="95" t="s">
        <v>120</v>
      </c>
      <c r="R3" s="96"/>
      <c r="S3" s="97"/>
      <c r="T3" s="95" t="s">
        <v>113</v>
      </c>
      <c r="U3" s="96"/>
      <c r="V3" s="97"/>
      <c r="W3" s="93" t="s">
        <v>38</v>
      </c>
      <c r="X3" s="93" t="s">
        <v>60</v>
      </c>
      <c r="Y3" s="95" t="s">
        <v>114</v>
      </c>
      <c r="Z3" s="96"/>
      <c r="AA3" s="97"/>
      <c r="AB3" s="95" t="s">
        <v>115</v>
      </c>
      <c r="AC3" s="96"/>
      <c r="AD3" s="97"/>
      <c r="AE3" s="95" t="s">
        <v>116</v>
      </c>
      <c r="AF3" s="96"/>
      <c r="AG3" s="97"/>
      <c r="AH3" s="93" t="s">
        <v>38</v>
      </c>
      <c r="AI3" s="93" t="s">
        <v>60</v>
      </c>
      <c r="AJ3" s="95" t="s">
        <v>117</v>
      </c>
      <c r="AK3" s="96"/>
      <c r="AL3" s="97"/>
      <c r="AM3" s="95" t="s">
        <v>107</v>
      </c>
      <c r="AN3" s="96"/>
      <c r="AO3" s="97"/>
      <c r="AP3" s="101" t="s">
        <v>108</v>
      </c>
      <c r="AQ3" s="101"/>
      <c r="AR3" s="101"/>
    </row>
    <row r="4" spans="1:44" ht="15" customHeight="1" x14ac:dyDescent="0.25">
      <c r="A4" s="94"/>
      <c r="B4" s="94"/>
      <c r="C4" s="98"/>
      <c r="D4" s="99"/>
      <c r="E4" s="100"/>
      <c r="F4" s="98"/>
      <c r="G4" s="99"/>
      <c r="H4" s="100"/>
      <c r="I4" s="98"/>
      <c r="J4" s="99"/>
      <c r="K4" s="100"/>
      <c r="L4" s="94"/>
      <c r="M4" s="94"/>
      <c r="N4" s="98"/>
      <c r="O4" s="99"/>
      <c r="P4" s="100"/>
      <c r="Q4" s="98"/>
      <c r="R4" s="99"/>
      <c r="S4" s="100"/>
      <c r="T4" s="98"/>
      <c r="U4" s="99"/>
      <c r="V4" s="100"/>
      <c r="W4" s="94"/>
      <c r="X4" s="94"/>
      <c r="Y4" s="98"/>
      <c r="Z4" s="99"/>
      <c r="AA4" s="100"/>
      <c r="AB4" s="98"/>
      <c r="AC4" s="99"/>
      <c r="AD4" s="100"/>
      <c r="AE4" s="98"/>
      <c r="AF4" s="99"/>
      <c r="AG4" s="100"/>
      <c r="AH4" s="94"/>
      <c r="AI4" s="94"/>
      <c r="AJ4" s="98"/>
      <c r="AK4" s="99"/>
      <c r="AL4" s="100"/>
      <c r="AM4" s="98"/>
      <c r="AN4" s="99"/>
      <c r="AO4" s="100"/>
      <c r="AP4" s="101"/>
      <c r="AQ4" s="101"/>
      <c r="AR4" s="101"/>
    </row>
    <row r="5" spans="1:44" ht="15.75" customHeight="1" x14ac:dyDescent="0.25">
      <c r="A5" s="87" t="s">
        <v>88</v>
      </c>
      <c r="B5" s="89" t="s">
        <v>89</v>
      </c>
      <c r="C5" s="83" t="s">
        <v>90</v>
      </c>
      <c r="D5" s="84"/>
      <c r="E5" s="85"/>
      <c r="F5" s="83" t="s">
        <v>91</v>
      </c>
      <c r="G5" s="84"/>
      <c r="H5" s="85"/>
      <c r="I5" s="83" t="s">
        <v>92</v>
      </c>
      <c r="J5" s="84"/>
      <c r="K5" s="85"/>
      <c r="L5" s="87" t="s">
        <v>88</v>
      </c>
      <c r="M5" s="89" t="s">
        <v>89</v>
      </c>
      <c r="N5" s="83" t="s">
        <v>93</v>
      </c>
      <c r="O5" s="84"/>
      <c r="P5" s="85"/>
      <c r="Q5" s="83" t="s">
        <v>94</v>
      </c>
      <c r="R5" s="84"/>
      <c r="S5" s="85"/>
      <c r="T5" s="83" t="s">
        <v>95</v>
      </c>
      <c r="U5" s="84"/>
      <c r="V5" s="85"/>
      <c r="W5" s="87" t="s">
        <v>88</v>
      </c>
      <c r="X5" s="87" t="s">
        <v>89</v>
      </c>
      <c r="Y5" s="83" t="s">
        <v>96</v>
      </c>
      <c r="Z5" s="84"/>
      <c r="AA5" s="85"/>
      <c r="AB5" s="83" t="s">
        <v>100</v>
      </c>
      <c r="AC5" s="84"/>
      <c r="AD5" s="85"/>
      <c r="AE5" s="83" t="s">
        <v>101</v>
      </c>
      <c r="AF5" s="84"/>
      <c r="AG5" s="85"/>
      <c r="AH5" s="87" t="s">
        <v>88</v>
      </c>
      <c r="AI5" s="87" t="s">
        <v>89</v>
      </c>
      <c r="AJ5" s="83" t="s">
        <v>97</v>
      </c>
      <c r="AK5" s="84"/>
      <c r="AL5" s="85"/>
      <c r="AM5" s="83" t="s">
        <v>98</v>
      </c>
      <c r="AN5" s="84"/>
      <c r="AO5" s="85"/>
      <c r="AP5" s="102" t="s">
        <v>99</v>
      </c>
      <c r="AQ5" s="102"/>
      <c r="AR5" s="102"/>
    </row>
    <row r="6" spans="1:44" ht="17.25" customHeight="1" x14ac:dyDescent="0.25">
      <c r="A6" s="88"/>
      <c r="B6" s="90"/>
      <c r="C6" s="57" t="s">
        <v>105</v>
      </c>
      <c r="D6" s="57" t="s">
        <v>106</v>
      </c>
      <c r="E6" s="57" t="s">
        <v>37</v>
      </c>
      <c r="F6" s="57" t="s">
        <v>105</v>
      </c>
      <c r="G6" s="57" t="s">
        <v>106</v>
      </c>
      <c r="H6" s="57" t="s">
        <v>37</v>
      </c>
      <c r="I6" s="57" t="s">
        <v>105</v>
      </c>
      <c r="J6" s="57" t="s">
        <v>106</v>
      </c>
      <c r="K6" s="57" t="s">
        <v>37</v>
      </c>
      <c r="L6" s="88"/>
      <c r="M6" s="90"/>
      <c r="N6" s="57" t="s">
        <v>105</v>
      </c>
      <c r="O6" s="57" t="s">
        <v>106</v>
      </c>
      <c r="P6" s="57" t="s">
        <v>37</v>
      </c>
      <c r="Q6" s="57" t="s">
        <v>105</v>
      </c>
      <c r="R6" s="57" t="s">
        <v>106</v>
      </c>
      <c r="S6" s="57" t="s">
        <v>37</v>
      </c>
      <c r="T6" s="57" t="s">
        <v>105</v>
      </c>
      <c r="U6" s="57" t="s">
        <v>106</v>
      </c>
      <c r="V6" s="57" t="s">
        <v>37</v>
      </c>
      <c r="W6" s="88"/>
      <c r="X6" s="88"/>
      <c r="Y6" s="57" t="s">
        <v>105</v>
      </c>
      <c r="Z6" s="57" t="s">
        <v>106</v>
      </c>
      <c r="AA6" s="57" t="s">
        <v>37</v>
      </c>
      <c r="AB6" s="57" t="s">
        <v>105</v>
      </c>
      <c r="AC6" s="57" t="s">
        <v>106</v>
      </c>
      <c r="AD6" s="57" t="s">
        <v>37</v>
      </c>
      <c r="AE6" s="57" t="s">
        <v>105</v>
      </c>
      <c r="AF6" s="57" t="s">
        <v>106</v>
      </c>
      <c r="AG6" s="57" t="s">
        <v>37</v>
      </c>
      <c r="AH6" s="88"/>
      <c r="AI6" s="88"/>
      <c r="AJ6" s="57" t="s">
        <v>105</v>
      </c>
      <c r="AK6" s="57" t="s">
        <v>106</v>
      </c>
      <c r="AL6" s="57" t="s">
        <v>37</v>
      </c>
      <c r="AM6" s="57" t="s">
        <v>105</v>
      </c>
      <c r="AN6" s="57" t="s">
        <v>106</v>
      </c>
      <c r="AO6" s="57" t="s">
        <v>37</v>
      </c>
      <c r="AP6" s="57" t="s">
        <v>105</v>
      </c>
      <c r="AQ6" s="57" t="s">
        <v>106</v>
      </c>
      <c r="AR6" s="57" t="s">
        <v>37</v>
      </c>
    </row>
    <row r="7" spans="1:44" ht="19.5" customHeight="1" x14ac:dyDescent="0.25">
      <c r="A7" s="66" t="s">
        <v>84</v>
      </c>
      <c r="B7" s="67"/>
      <c r="C7" s="67"/>
      <c r="D7" s="67"/>
      <c r="E7" s="67"/>
      <c r="F7" s="67"/>
      <c r="G7" s="67"/>
      <c r="H7" s="67"/>
      <c r="I7" s="67"/>
      <c r="J7" s="67"/>
      <c r="K7" s="72"/>
      <c r="L7" s="66" t="s">
        <v>84</v>
      </c>
      <c r="M7" s="67"/>
      <c r="N7" s="67"/>
      <c r="O7" s="77"/>
      <c r="P7" s="65"/>
      <c r="Q7" s="67"/>
      <c r="R7" s="67"/>
      <c r="S7" s="67"/>
      <c r="T7" s="67"/>
      <c r="U7" s="67"/>
      <c r="V7" s="72"/>
      <c r="W7" s="66" t="s">
        <v>84</v>
      </c>
      <c r="X7" s="67"/>
      <c r="Y7" s="67"/>
      <c r="Z7" s="67"/>
      <c r="AA7" s="67"/>
      <c r="AB7" s="67"/>
      <c r="AC7" s="67"/>
      <c r="AD7" s="67"/>
      <c r="AE7" s="67"/>
      <c r="AF7" s="67"/>
      <c r="AG7" s="72"/>
      <c r="AH7" s="66" t="s">
        <v>84</v>
      </c>
      <c r="AI7" s="67"/>
      <c r="AJ7" s="67"/>
      <c r="AK7" s="67"/>
      <c r="AL7" s="67"/>
      <c r="AM7" s="67"/>
      <c r="AN7" s="67"/>
      <c r="AO7" s="67"/>
      <c r="AP7" s="67"/>
      <c r="AQ7" s="77"/>
      <c r="AR7" s="81"/>
    </row>
    <row r="8" spans="1:44" ht="13.5" customHeight="1" x14ac:dyDescent="0.25">
      <c r="A8" s="58">
        <v>1</v>
      </c>
      <c r="B8" s="59" t="s">
        <v>0</v>
      </c>
      <c r="C8" s="59">
        <v>24</v>
      </c>
      <c r="D8" s="60">
        <v>17</v>
      </c>
      <c r="E8" s="60">
        <f>+D8+C8</f>
        <v>41</v>
      </c>
      <c r="F8" s="60">
        <v>49</v>
      </c>
      <c r="G8" s="60">
        <v>67</v>
      </c>
      <c r="H8" s="60">
        <f>+G8+F8</f>
        <v>116</v>
      </c>
      <c r="I8" s="60">
        <v>1</v>
      </c>
      <c r="J8" s="60">
        <v>0</v>
      </c>
      <c r="K8" s="69">
        <f>+J8+I8</f>
        <v>1</v>
      </c>
      <c r="L8" s="52">
        <v>1</v>
      </c>
      <c r="M8" s="48" t="s">
        <v>0</v>
      </c>
      <c r="N8" s="60">
        <v>0</v>
      </c>
      <c r="O8" s="60">
        <v>0</v>
      </c>
      <c r="P8" s="60">
        <f>+O8+N8</f>
        <v>0</v>
      </c>
      <c r="Q8" s="48">
        <v>0</v>
      </c>
      <c r="R8" s="48">
        <v>1</v>
      </c>
      <c r="S8" s="48">
        <f>+R8+Q8</f>
        <v>1</v>
      </c>
      <c r="T8" s="48">
        <v>0</v>
      </c>
      <c r="U8" s="48">
        <v>0</v>
      </c>
      <c r="V8" s="78">
        <f>+U8+T8</f>
        <v>0</v>
      </c>
      <c r="W8" s="58">
        <v>1</v>
      </c>
      <c r="X8" s="59" t="s">
        <v>0</v>
      </c>
      <c r="Y8" s="48">
        <v>0</v>
      </c>
      <c r="Z8" s="48">
        <v>0</v>
      </c>
      <c r="AA8" s="48">
        <f t="shared" ref="AA8:AA35" si="0">+Z8+Y8</f>
        <v>0</v>
      </c>
      <c r="AB8" s="48">
        <v>0</v>
      </c>
      <c r="AC8" s="48">
        <v>0</v>
      </c>
      <c r="AD8" s="60">
        <f t="shared" ref="AD8:AD35" si="1">+AC8+AB8</f>
        <v>0</v>
      </c>
      <c r="AE8" s="59">
        <v>0</v>
      </c>
      <c r="AF8" s="60">
        <v>0</v>
      </c>
      <c r="AG8" s="69">
        <f t="shared" ref="AG8:AG35" si="2">+AF8+AE8</f>
        <v>0</v>
      </c>
      <c r="AH8" s="58">
        <v>1</v>
      </c>
      <c r="AI8" s="59" t="s">
        <v>0</v>
      </c>
      <c r="AJ8" s="60">
        <v>0</v>
      </c>
      <c r="AK8" s="60">
        <v>0</v>
      </c>
      <c r="AL8" s="60">
        <f>+AK8+AJ8</f>
        <v>0</v>
      </c>
      <c r="AM8" s="60">
        <v>0</v>
      </c>
      <c r="AN8" s="60">
        <v>0</v>
      </c>
      <c r="AO8" s="60">
        <f>+AN8+AM8</f>
        <v>0</v>
      </c>
      <c r="AP8" s="60">
        <f t="shared" ref="AP8:AP35" si="3">+AM8+AJ8+AE8+AB8+Y8+T8+Q8+N8+I8+F8+C8</f>
        <v>74</v>
      </c>
      <c r="AQ8" s="60">
        <f t="shared" ref="AQ8:AQ35" si="4">+AN8+AK8+AF8+AC8+Z8+U8+R8+O8+J8+G8+D8</f>
        <v>85</v>
      </c>
      <c r="AR8" s="78">
        <f>+AQ8+AP8</f>
        <v>159</v>
      </c>
    </row>
    <row r="9" spans="1:44" ht="13.5" customHeight="1" x14ac:dyDescent="0.25">
      <c r="A9" s="63">
        <v>2</v>
      </c>
      <c r="B9" s="74" t="s">
        <v>1</v>
      </c>
      <c r="C9" s="74">
        <v>1</v>
      </c>
      <c r="D9" s="75">
        <v>3</v>
      </c>
      <c r="E9" s="75">
        <f t="shared" ref="E9:E35" si="5">+D9+C9</f>
        <v>4</v>
      </c>
      <c r="F9" s="75">
        <v>0</v>
      </c>
      <c r="G9" s="75">
        <v>1</v>
      </c>
      <c r="H9" s="75">
        <f t="shared" ref="H9:H35" si="6">+G9+F9</f>
        <v>1</v>
      </c>
      <c r="I9" s="75">
        <v>0</v>
      </c>
      <c r="J9" s="75">
        <v>0</v>
      </c>
      <c r="K9" s="76">
        <f t="shared" ref="K9:K35" si="7">+J9+I9</f>
        <v>0</v>
      </c>
      <c r="L9" s="61">
        <v>2</v>
      </c>
      <c r="M9" s="62" t="s">
        <v>1</v>
      </c>
      <c r="N9" s="75">
        <v>0</v>
      </c>
      <c r="O9" s="75">
        <v>0</v>
      </c>
      <c r="P9" s="75">
        <f t="shared" ref="P9:P35" si="8">+O9+N9</f>
        <v>0</v>
      </c>
      <c r="Q9" s="62">
        <v>0</v>
      </c>
      <c r="R9" s="62">
        <v>0</v>
      </c>
      <c r="S9" s="62">
        <f t="shared" ref="S9:S35" si="9">+R9+Q9</f>
        <v>0</v>
      </c>
      <c r="T9" s="62">
        <v>0</v>
      </c>
      <c r="U9" s="62">
        <v>0</v>
      </c>
      <c r="V9" s="79">
        <f t="shared" ref="V9:V35" si="10">+U9+T9</f>
        <v>0</v>
      </c>
      <c r="W9" s="63">
        <v>2</v>
      </c>
      <c r="X9" s="74" t="s">
        <v>1</v>
      </c>
      <c r="Y9" s="62">
        <v>0</v>
      </c>
      <c r="Z9" s="62">
        <v>1</v>
      </c>
      <c r="AA9" s="62">
        <f t="shared" si="0"/>
        <v>1</v>
      </c>
      <c r="AB9" s="62">
        <v>0</v>
      </c>
      <c r="AC9" s="62">
        <v>0</v>
      </c>
      <c r="AD9" s="75">
        <f t="shared" si="1"/>
        <v>0</v>
      </c>
      <c r="AE9" s="74">
        <v>0</v>
      </c>
      <c r="AF9" s="75">
        <v>0</v>
      </c>
      <c r="AG9" s="76">
        <f t="shared" si="2"/>
        <v>0</v>
      </c>
      <c r="AH9" s="63">
        <v>2</v>
      </c>
      <c r="AI9" s="74" t="s">
        <v>1</v>
      </c>
      <c r="AJ9" s="75">
        <v>2</v>
      </c>
      <c r="AK9" s="75">
        <v>0</v>
      </c>
      <c r="AL9" s="75">
        <f t="shared" ref="AL9:AL35" si="11">+AK9+AJ9</f>
        <v>2</v>
      </c>
      <c r="AM9" s="75">
        <v>0</v>
      </c>
      <c r="AN9" s="75">
        <v>0</v>
      </c>
      <c r="AO9" s="75">
        <f t="shared" ref="AO9:AO35" si="12">+AN9+AM9</f>
        <v>0</v>
      </c>
      <c r="AP9" s="75">
        <f t="shared" si="3"/>
        <v>3</v>
      </c>
      <c r="AQ9" s="75">
        <f t="shared" si="4"/>
        <v>5</v>
      </c>
      <c r="AR9" s="79">
        <f t="shared" ref="AR9:AR35" si="13">+AQ9+AP9</f>
        <v>8</v>
      </c>
    </row>
    <row r="10" spans="1:44" ht="13.5" customHeight="1" x14ac:dyDescent="0.25">
      <c r="A10" s="58">
        <v>3</v>
      </c>
      <c r="B10" s="59" t="s">
        <v>46</v>
      </c>
      <c r="C10" s="59">
        <v>58</v>
      </c>
      <c r="D10" s="60">
        <v>40</v>
      </c>
      <c r="E10" s="60">
        <f t="shared" si="5"/>
        <v>98</v>
      </c>
      <c r="F10" s="60">
        <v>3</v>
      </c>
      <c r="G10" s="60">
        <v>0</v>
      </c>
      <c r="H10" s="60">
        <f t="shared" si="6"/>
        <v>3</v>
      </c>
      <c r="I10" s="60">
        <v>1</v>
      </c>
      <c r="J10" s="60">
        <v>0</v>
      </c>
      <c r="K10" s="69">
        <f t="shared" si="7"/>
        <v>1</v>
      </c>
      <c r="L10" s="52">
        <v>3</v>
      </c>
      <c r="M10" s="48" t="s">
        <v>46</v>
      </c>
      <c r="N10" s="60">
        <v>0</v>
      </c>
      <c r="O10" s="60">
        <v>0</v>
      </c>
      <c r="P10" s="60">
        <f t="shared" si="8"/>
        <v>0</v>
      </c>
      <c r="Q10" s="48">
        <v>0</v>
      </c>
      <c r="R10" s="48">
        <v>0</v>
      </c>
      <c r="S10" s="48">
        <f t="shared" si="9"/>
        <v>0</v>
      </c>
      <c r="T10" s="48">
        <v>0</v>
      </c>
      <c r="U10" s="48">
        <v>0</v>
      </c>
      <c r="V10" s="78">
        <f t="shared" si="10"/>
        <v>0</v>
      </c>
      <c r="W10" s="58">
        <v>3</v>
      </c>
      <c r="X10" s="59" t="s">
        <v>46</v>
      </c>
      <c r="Y10" s="48">
        <v>2</v>
      </c>
      <c r="Z10" s="48">
        <v>1</v>
      </c>
      <c r="AA10" s="48">
        <f t="shared" si="0"/>
        <v>3</v>
      </c>
      <c r="AB10" s="48">
        <v>1</v>
      </c>
      <c r="AC10" s="48">
        <v>0</v>
      </c>
      <c r="AD10" s="60">
        <f t="shared" si="1"/>
        <v>1</v>
      </c>
      <c r="AE10" s="59">
        <v>0</v>
      </c>
      <c r="AF10" s="60">
        <v>0</v>
      </c>
      <c r="AG10" s="69">
        <f t="shared" si="2"/>
        <v>0</v>
      </c>
      <c r="AH10" s="58">
        <v>3</v>
      </c>
      <c r="AI10" s="59" t="s">
        <v>46</v>
      </c>
      <c r="AJ10" s="60">
        <v>2</v>
      </c>
      <c r="AK10" s="60">
        <v>0</v>
      </c>
      <c r="AL10" s="60">
        <f t="shared" si="11"/>
        <v>2</v>
      </c>
      <c r="AM10" s="60">
        <v>0</v>
      </c>
      <c r="AN10" s="60">
        <v>0</v>
      </c>
      <c r="AO10" s="60">
        <f t="shared" si="12"/>
        <v>0</v>
      </c>
      <c r="AP10" s="60">
        <f t="shared" si="3"/>
        <v>67</v>
      </c>
      <c r="AQ10" s="60">
        <f t="shared" si="4"/>
        <v>41</v>
      </c>
      <c r="AR10" s="78">
        <f t="shared" si="13"/>
        <v>108</v>
      </c>
    </row>
    <row r="11" spans="1:44" ht="13.5" customHeight="1" x14ac:dyDescent="0.25">
      <c r="A11" s="63">
        <v>4</v>
      </c>
      <c r="B11" s="74" t="s">
        <v>2</v>
      </c>
      <c r="C11" s="74">
        <v>33</v>
      </c>
      <c r="D11" s="75">
        <v>64</v>
      </c>
      <c r="E11" s="75">
        <f t="shared" si="5"/>
        <v>97</v>
      </c>
      <c r="F11" s="75">
        <v>0</v>
      </c>
      <c r="G11" s="75">
        <v>0</v>
      </c>
      <c r="H11" s="75">
        <f t="shared" si="6"/>
        <v>0</v>
      </c>
      <c r="I11" s="75">
        <v>13</v>
      </c>
      <c r="J11" s="75">
        <v>21</v>
      </c>
      <c r="K11" s="76">
        <f t="shared" si="7"/>
        <v>34</v>
      </c>
      <c r="L11" s="61">
        <v>4</v>
      </c>
      <c r="M11" s="62" t="s">
        <v>2</v>
      </c>
      <c r="N11" s="75">
        <v>1</v>
      </c>
      <c r="O11" s="75">
        <v>0</v>
      </c>
      <c r="P11" s="75">
        <f t="shared" si="8"/>
        <v>1</v>
      </c>
      <c r="Q11" s="62">
        <v>1</v>
      </c>
      <c r="R11" s="62">
        <v>0</v>
      </c>
      <c r="S11" s="62">
        <f t="shared" si="9"/>
        <v>1</v>
      </c>
      <c r="T11" s="62">
        <v>0</v>
      </c>
      <c r="U11" s="62">
        <v>0</v>
      </c>
      <c r="V11" s="79">
        <f t="shared" si="10"/>
        <v>0</v>
      </c>
      <c r="W11" s="63">
        <v>4</v>
      </c>
      <c r="X11" s="74" t="s">
        <v>2</v>
      </c>
      <c r="Y11" s="62">
        <v>0</v>
      </c>
      <c r="Z11" s="62">
        <v>2</v>
      </c>
      <c r="AA11" s="62">
        <f t="shared" si="0"/>
        <v>2</v>
      </c>
      <c r="AB11" s="62">
        <v>1</v>
      </c>
      <c r="AC11" s="62">
        <v>2</v>
      </c>
      <c r="AD11" s="75">
        <f t="shared" si="1"/>
        <v>3</v>
      </c>
      <c r="AE11" s="74">
        <v>0</v>
      </c>
      <c r="AF11" s="75">
        <v>0</v>
      </c>
      <c r="AG11" s="76">
        <f t="shared" si="2"/>
        <v>0</v>
      </c>
      <c r="AH11" s="63">
        <v>4</v>
      </c>
      <c r="AI11" s="74" t="s">
        <v>2</v>
      </c>
      <c r="AJ11" s="75">
        <v>0</v>
      </c>
      <c r="AK11" s="75">
        <v>0</v>
      </c>
      <c r="AL11" s="75">
        <f t="shared" si="11"/>
        <v>0</v>
      </c>
      <c r="AM11" s="75">
        <v>0</v>
      </c>
      <c r="AN11" s="75">
        <v>0</v>
      </c>
      <c r="AO11" s="75">
        <f t="shared" si="12"/>
        <v>0</v>
      </c>
      <c r="AP11" s="75">
        <f t="shared" si="3"/>
        <v>49</v>
      </c>
      <c r="AQ11" s="75">
        <f t="shared" si="4"/>
        <v>89</v>
      </c>
      <c r="AR11" s="79">
        <f t="shared" si="13"/>
        <v>138</v>
      </c>
    </row>
    <row r="12" spans="1:44" ht="13.5" customHeight="1" x14ac:dyDescent="0.25">
      <c r="A12" s="58">
        <v>5</v>
      </c>
      <c r="B12" s="59" t="s">
        <v>3</v>
      </c>
      <c r="C12" s="59">
        <v>11</v>
      </c>
      <c r="D12" s="60">
        <v>4</v>
      </c>
      <c r="E12" s="60">
        <f t="shared" si="5"/>
        <v>15</v>
      </c>
      <c r="F12" s="60">
        <v>0</v>
      </c>
      <c r="G12" s="60">
        <v>1</v>
      </c>
      <c r="H12" s="60">
        <f t="shared" si="6"/>
        <v>1</v>
      </c>
      <c r="I12" s="60">
        <v>0</v>
      </c>
      <c r="J12" s="60">
        <v>0</v>
      </c>
      <c r="K12" s="69">
        <f t="shared" si="7"/>
        <v>0</v>
      </c>
      <c r="L12" s="52">
        <v>5</v>
      </c>
      <c r="M12" s="48" t="s">
        <v>3</v>
      </c>
      <c r="N12" s="60">
        <v>0</v>
      </c>
      <c r="O12" s="60">
        <v>0</v>
      </c>
      <c r="P12" s="60">
        <f t="shared" si="8"/>
        <v>0</v>
      </c>
      <c r="Q12" s="48">
        <v>0</v>
      </c>
      <c r="R12" s="48">
        <v>0</v>
      </c>
      <c r="S12" s="48">
        <f t="shared" si="9"/>
        <v>0</v>
      </c>
      <c r="T12" s="48">
        <v>0</v>
      </c>
      <c r="U12" s="48">
        <v>0</v>
      </c>
      <c r="V12" s="78">
        <f t="shared" si="10"/>
        <v>0</v>
      </c>
      <c r="W12" s="58">
        <v>5</v>
      </c>
      <c r="X12" s="59" t="s">
        <v>3</v>
      </c>
      <c r="Y12" s="48">
        <v>0</v>
      </c>
      <c r="Z12" s="48">
        <v>0</v>
      </c>
      <c r="AA12" s="48">
        <f t="shared" si="0"/>
        <v>0</v>
      </c>
      <c r="AB12" s="48">
        <v>0</v>
      </c>
      <c r="AC12" s="48">
        <v>0</v>
      </c>
      <c r="AD12" s="60">
        <f t="shared" si="1"/>
        <v>0</v>
      </c>
      <c r="AE12" s="59">
        <v>0</v>
      </c>
      <c r="AF12" s="60">
        <v>0</v>
      </c>
      <c r="AG12" s="69">
        <f t="shared" si="2"/>
        <v>0</v>
      </c>
      <c r="AH12" s="58">
        <v>5</v>
      </c>
      <c r="AI12" s="59" t="s">
        <v>3</v>
      </c>
      <c r="AJ12" s="60">
        <v>0</v>
      </c>
      <c r="AK12" s="60">
        <v>0</v>
      </c>
      <c r="AL12" s="60">
        <f t="shared" si="11"/>
        <v>0</v>
      </c>
      <c r="AM12" s="60">
        <v>0</v>
      </c>
      <c r="AN12" s="60">
        <v>0</v>
      </c>
      <c r="AO12" s="60">
        <f t="shared" si="12"/>
        <v>0</v>
      </c>
      <c r="AP12" s="60">
        <f t="shared" si="3"/>
        <v>11</v>
      </c>
      <c r="AQ12" s="60">
        <f t="shared" si="4"/>
        <v>5</v>
      </c>
      <c r="AR12" s="78">
        <f t="shared" si="13"/>
        <v>16</v>
      </c>
    </row>
    <row r="13" spans="1:44" ht="13.5" customHeight="1" x14ac:dyDescent="0.25">
      <c r="A13" s="63">
        <v>6</v>
      </c>
      <c r="B13" s="74" t="s">
        <v>4</v>
      </c>
      <c r="C13" s="74">
        <v>4</v>
      </c>
      <c r="D13" s="75">
        <v>1</v>
      </c>
      <c r="E13" s="75">
        <f t="shared" si="5"/>
        <v>5</v>
      </c>
      <c r="F13" s="75">
        <v>0</v>
      </c>
      <c r="G13" s="75">
        <v>0</v>
      </c>
      <c r="H13" s="75">
        <f t="shared" si="6"/>
        <v>0</v>
      </c>
      <c r="I13" s="75">
        <v>0</v>
      </c>
      <c r="J13" s="75">
        <v>0</v>
      </c>
      <c r="K13" s="76">
        <f t="shared" si="7"/>
        <v>0</v>
      </c>
      <c r="L13" s="61">
        <v>6</v>
      </c>
      <c r="M13" s="62" t="s">
        <v>4</v>
      </c>
      <c r="N13" s="75">
        <v>0</v>
      </c>
      <c r="O13" s="75">
        <v>0</v>
      </c>
      <c r="P13" s="75">
        <f t="shared" si="8"/>
        <v>0</v>
      </c>
      <c r="Q13" s="62">
        <v>0</v>
      </c>
      <c r="R13" s="62">
        <v>0</v>
      </c>
      <c r="S13" s="62">
        <f t="shared" si="9"/>
        <v>0</v>
      </c>
      <c r="T13" s="62">
        <v>0</v>
      </c>
      <c r="U13" s="62">
        <v>0</v>
      </c>
      <c r="V13" s="79">
        <f t="shared" si="10"/>
        <v>0</v>
      </c>
      <c r="W13" s="63">
        <v>6</v>
      </c>
      <c r="X13" s="74" t="s">
        <v>4</v>
      </c>
      <c r="Y13" s="62">
        <v>0</v>
      </c>
      <c r="Z13" s="62">
        <v>0</v>
      </c>
      <c r="AA13" s="62">
        <f t="shared" si="0"/>
        <v>0</v>
      </c>
      <c r="AB13" s="62">
        <v>0</v>
      </c>
      <c r="AC13" s="62">
        <v>0</v>
      </c>
      <c r="AD13" s="75">
        <f t="shared" si="1"/>
        <v>0</v>
      </c>
      <c r="AE13" s="74">
        <v>0</v>
      </c>
      <c r="AF13" s="75">
        <v>0</v>
      </c>
      <c r="AG13" s="76">
        <f t="shared" si="2"/>
        <v>0</v>
      </c>
      <c r="AH13" s="63">
        <v>6</v>
      </c>
      <c r="AI13" s="74" t="s">
        <v>4</v>
      </c>
      <c r="AJ13" s="75">
        <v>0</v>
      </c>
      <c r="AK13" s="75">
        <v>0</v>
      </c>
      <c r="AL13" s="75">
        <f t="shared" si="11"/>
        <v>0</v>
      </c>
      <c r="AM13" s="75">
        <v>0</v>
      </c>
      <c r="AN13" s="75">
        <v>0</v>
      </c>
      <c r="AO13" s="75">
        <f t="shared" si="12"/>
        <v>0</v>
      </c>
      <c r="AP13" s="75">
        <f t="shared" si="3"/>
        <v>4</v>
      </c>
      <c r="AQ13" s="75">
        <f t="shared" si="4"/>
        <v>1</v>
      </c>
      <c r="AR13" s="79">
        <f t="shared" si="13"/>
        <v>5</v>
      </c>
    </row>
    <row r="14" spans="1:44" ht="13.5" customHeight="1" x14ac:dyDescent="0.25">
      <c r="A14" s="58">
        <v>7</v>
      </c>
      <c r="B14" s="59" t="s">
        <v>5</v>
      </c>
      <c r="C14" s="59">
        <v>6</v>
      </c>
      <c r="D14" s="60">
        <v>8</v>
      </c>
      <c r="E14" s="60">
        <f t="shared" si="5"/>
        <v>14</v>
      </c>
      <c r="F14" s="60">
        <v>0</v>
      </c>
      <c r="G14" s="60">
        <v>0</v>
      </c>
      <c r="H14" s="60">
        <f t="shared" si="6"/>
        <v>0</v>
      </c>
      <c r="I14" s="60">
        <v>0</v>
      </c>
      <c r="J14" s="60">
        <v>0</v>
      </c>
      <c r="K14" s="69">
        <f t="shared" si="7"/>
        <v>0</v>
      </c>
      <c r="L14" s="52">
        <v>7</v>
      </c>
      <c r="M14" s="48" t="s">
        <v>5</v>
      </c>
      <c r="N14" s="60">
        <v>0</v>
      </c>
      <c r="O14" s="60">
        <v>0</v>
      </c>
      <c r="P14" s="60">
        <f t="shared" si="8"/>
        <v>0</v>
      </c>
      <c r="Q14" s="48">
        <v>0</v>
      </c>
      <c r="R14" s="48">
        <v>0</v>
      </c>
      <c r="S14" s="48">
        <f t="shared" si="9"/>
        <v>0</v>
      </c>
      <c r="T14" s="48">
        <v>0</v>
      </c>
      <c r="U14" s="48">
        <v>0</v>
      </c>
      <c r="V14" s="78">
        <f t="shared" si="10"/>
        <v>0</v>
      </c>
      <c r="W14" s="58">
        <v>7</v>
      </c>
      <c r="X14" s="59" t="s">
        <v>5</v>
      </c>
      <c r="Y14" s="48">
        <v>0</v>
      </c>
      <c r="Z14" s="48">
        <v>0</v>
      </c>
      <c r="AA14" s="48">
        <f t="shared" si="0"/>
        <v>0</v>
      </c>
      <c r="AB14" s="48">
        <v>0</v>
      </c>
      <c r="AC14" s="48">
        <v>0</v>
      </c>
      <c r="AD14" s="60">
        <f t="shared" si="1"/>
        <v>0</v>
      </c>
      <c r="AE14" s="59">
        <v>0</v>
      </c>
      <c r="AF14" s="60">
        <v>0</v>
      </c>
      <c r="AG14" s="69">
        <f t="shared" si="2"/>
        <v>0</v>
      </c>
      <c r="AH14" s="58">
        <v>7</v>
      </c>
      <c r="AI14" s="59" t="s">
        <v>5</v>
      </c>
      <c r="AJ14" s="60">
        <v>0</v>
      </c>
      <c r="AK14" s="60">
        <v>0</v>
      </c>
      <c r="AL14" s="60">
        <f t="shared" si="11"/>
        <v>0</v>
      </c>
      <c r="AM14" s="60">
        <v>0</v>
      </c>
      <c r="AN14" s="60">
        <v>0</v>
      </c>
      <c r="AO14" s="60">
        <f t="shared" si="12"/>
        <v>0</v>
      </c>
      <c r="AP14" s="60">
        <f t="shared" si="3"/>
        <v>6</v>
      </c>
      <c r="AQ14" s="60">
        <f t="shared" si="4"/>
        <v>8</v>
      </c>
      <c r="AR14" s="78">
        <f t="shared" si="13"/>
        <v>14</v>
      </c>
    </row>
    <row r="15" spans="1:44" ht="13.5" customHeight="1" x14ac:dyDescent="0.25">
      <c r="A15" s="63">
        <v>8</v>
      </c>
      <c r="B15" s="74" t="s">
        <v>6</v>
      </c>
      <c r="C15" s="74">
        <v>29</v>
      </c>
      <c r="D15" s="75">
        <v>4</v>
      </c>
      <c r="E15" s="75">
        <f t="shared" si="5"/>
        <v>33</v>
      </c>
      <c r="F15" s="75">
        <v>2</v>
      </c>
      <c r="G15" s="75">
        <v>1</v>
      </c>
      <c r="H15" s="75">
        <f t="shared" si="6"/>
        <v>3</v>
      </c>
      <c r="I15" s="75">
        <v>0</v>
      </c>
      <c r="J15" s="75">
        <v>1</v>
      </c>
      <c r="K15" s="76">
        <f t="shared" si="7"/>
        <v>1</v>
      </c>
      <c r="L15" s="61">
        <v>8</v>
      </c>
      <c r="M15" s="62" t="s">
        <v>6</v>
      </c>
      <c r="N15" s="75">
        <v>0</v>
      </c>
      <c r="O15" s="75">
        <v>0</v>
      </c>
      <c r="P15" s="75">
        <f t="shared" si="8"/>
        <v>0</v>
      </c>
      <c r="Q15" s="62">
        <v>0</v>
      </c>
      <c r="R15" s="62">
        <v>0</v>
      </c>
      <c r="S15" s="62">
        <f t="shared" si="9"/>
        <v>0</v>
      </c>
      <c r="T15" s="62">
        <v>0</v>
      </c>
      <c r="U15" s="62">
        <v>0</v>
      </c>
      <c r="V15" s="79">
        <f t="shared" si="10"/>
        <v>0</v>
      </c>
      <c r="W15" s="63">
        <v>8</v>
      </c>
      <c r="X15" s="74" t="s">
        <v>6</v>
      </c>
      <c r="Y15" s="62">
        <v>0</v>
      </c>
      <c r="Z15" s="62">
        <v>0</v>
      </c>
      <c r="AA15" s="62">
        <f t="shared" si="0"/>
        <v>0</v>
      </c>
      <c r="AB15" s="62">
        <v>0</v>
      </c>
      <c r="AC15" s="62">
        <v>0</v>
      </c>
      <c r="AD15" s="75">
        <f t="shared" si="1"/>
        <v>0</v>
      </c>
      <c r="AE15" s="74">
        <v>0</v>
      </c>
      <c r="AF15" s="75">
        <v>0</v>
      </c>
      <c r="AG15" s="76">
        <f t="shared" si="2"/>
        <v>0</v>
      </c>
      <c r="AH15" s="63">
        <v>8</v>
      </c>
      <c r="AI15" s="74" t="s">
        <v>6</v>
      </c>
      <c r="AJ15" s="75">
        <v>0</v>
      </c>
      <c r="AK15" s="75">
        <v>0</v>
      </c>
      <c r="AL15" s="75">
        <f t="shared" si="11"/>
        <v>0</v>
      </c>
      <c r="AM15" s="75">
        <v>0</v>
      </c>
      <c r="AN15" s="75">
        <v>0</v>
      </c>
      <c r="AO15" s="75">
        <f t="shared" si="12"/>
        <v>0</v>
      </c>
      <c r="AP15" s="75">
        <f t="shared" si="3"/>
        <v>31</v>
      </c>
      <c r="AQ15" s="75">
        <f t="shared" si="4"/>
        <v>6</v>
      </c>
      <c r="AR15" s="79">
        <f t="shared" si="13"/>
        <v>37</v>
      </c>
    </row>
    <row r="16" spans="1:44" ht="13.5" customHeight="1" x14ac:dyDescent="0.25">
      <c r="A16" s="58">
        <v>9</v>
      </c>
      <c r="B16" s="59" t="s">
        <v>7</v>
      </c>
      <c r="C16" s="59">
        <v>1</v>
      </c>
      <c r="D16" s="60">
        <v>0</v>
      </c>
      <c r="E16" s="60">
        <f t="shared" si="5"/>
        <v>1</v>
      </c>
      <c r="F16" s="60">
        <v>1</v>
      </c>
      <c r="G16" s="60">
        <v>0</v>
      </c>
      <c r="H16" s="60">
        <f t="shared" si="6"/>
        <v>1</v>
      </c>
      <c r="I16" s="60">
        <v>2</v>
      </c>
      <c r="J16" s="60">
        <v>4</v>
      </c>
      <c r="K16" s="69">
        <f t="shared" si="7"/>
        <v>6</v>
      </c>
      <c r="L16" s="52">
        <v>9</v>
      </c>
      <c r="M16" s="48" t="s">
        <v>7</v>
      </c>
      <c r="N16" s="60">
        <v>0</v>
      </c>
      <c r="O16" s="60">
        <v>0</v>
      </c>
      <c r="P16" s="60">
        <f t="shared" si="8"/>
        <v>0</v>
      </c>
      <c r="Q16" s="48">
        <v>0</v>
      </c>
      <c r="R16" s="48">
        <v>0</v>
      </c>
      <c r="S16" s="48">
        <f t="shared" si="9"/>
        <v>0</v>
      </c>
      <c r="T16" s="48">
        <v>0</v>
      </c>
      <c r="U16" s="48">
        <v>0</v>
      </c>
      <c r="V16" s="78">
        <f t="shared" si="10"/>
        <v>0</v>
      </c>
      <c r="W16" s="58">
        <v>9</v>
      </c>
      <c r="X16" s="59" t="s">
        <v>7</v>
      </c>
      <c r="Y16" s="48">
        <v>0</v>
      </c>
      <c r="Z16" s="48">
        <v>0</v>
      </c>
      <c r="AA16" s="48">
        <f t="shared" si="0"/>
        <v>0</v>
      </c>
      <c r="AB16" s="48">
        <v>0</v>
      </c>
      <c r="AC16" s="48">
        <v>0</v>
      </c>
      <c r="AD16" s="60">
        <f t="shared" si="1"/>
        <v>0</v>
      </c>
      <c r="AE16" s="59">
        <v>0</v>
      </c>
      <c r="AF16" s="60">
        <v>0</v>
      </c>
      <c r="AG16" s="69">
        <f t="shared" si="2"/>
        <v>0</v>
      </c>
      <c r="AH16" s="58">
        <v>9</v>
      </c>
      <c r="AI16" s="59" t="s">
        <v>7</v>
      </c>
      <c r="AJ16" s="60">
        <v>0</v>
      </c>
      <c r="AK16" s="60">
        <v>0</v>
      </c>
      <c r="AL16" s="60">
        <f t="shared" si="11"/>
        <v>0</v>
      </c>
      <c r="AM16" s="60">
        <v>1</v>
      </c>
      <c r="AN16" s="60">
        <v>0</v>
      </c>
      <c r="AO16" s="60">
        <f t="shared" si="12"/>
        <v>1</v>
      </c>
      <c r="AP16" s="60">
        <f t="shared" si="3"/>
        <v>5</v>
      </c>
      <c r="AQ16" s="60">
        <f t="shared" si="4"/>
        <v>4</v>
      </c>
      <c r="AR16" s="78">
        <f t="shared" si="13"/>
        <v>9</v>
      </c>
    </row>
    <row r="17" spans="1:44" ht="13.5" customHeight="1" x14ac:dyDescent="0.25">
      <c r="A17" s="63">
        <v>10</v>
      </c>
      <c r="B17" s="74" t="s">
        <v>47</v>
      </c>
      <c r="C17" s="74">
        <v>43</v>
      </c>
      <c r="D17" s="75">
        <v>33</v>
      </c>
      <c r="E17" s="75">
        <f t="shared" si="5"/>
        <v>76</v>
      </c>
      <c r="F17" s="75">
        <v>5</v>
      </c>
      <c r="G17" s="75">
        <v>1</v>
      </c>
      <c r="H17" s="75">
        <f t="shared" si="6"/>
        <v>6</v>
      </c>
      <c r="I17" s="75">
        <v>0</v>
      </c>
      <c r="J17" s="75">
        <v>0</v>
      </c>
      <c r="K17" s="76">
        <f t="shared" si="7"/>
        <v>0</v>
      </c>
      <c r="L17" s="61">
        <v>10</v>
      </c>
      <c r="M17" s="62" t="s">
        <v>47</v>
      </c>
      <c r="N17" s="75">
        <v>0</v>
      </c>
      <c r="O17" s="75">
        <v>0</v>
      </c>
      <c r="P17" s="75">
        <f t="shared" si="8"/>
        <v>0</v>
      </c>
      <c r="Q17" s="62">
        <v>0</v>
      </c>
      <c r="R17" s="62">
        <v>10</v>
      </c>
      <c r="S17" s="62">
        <f t="shared" si="9"/>
        <v>10</v>
      </c>
      <c r="T17" s="62">
        <v>0</v>
      </c>
      <c r="U17" s="62">
        <v>0</v>
      </c>
      <c r="V17" s="79">
        <f t="shared" si="10"/>
        <v>0</v>
      </c>
      <c r="W17" s="63">
        <v>10</v>
      </c>
      <c r="X17" s="74" t="s">
        <v>47</v>
      </c>
      <c r="Y17" s="62">
        <v>0</v>
      </c>
      <c r="Z17" s="62">
        <v>1</v>
      </c>
      <c r="AA17" s="62">
        <f t="shared" si="0"/>
        <v>1</v>
      </c>
      <c r="AB17" s="62">
        <v>0</v>
      </c>
      <c r="AC17" s="62">
        <v>0</v>
      </c>
      <c r="AD17" s="75">
        <f t="shared" si="1"/>
        <v>0</v>
      </c>
      <c r="AE17" s="74">
        <v>4</v>
      </c>
      <c r="AF17" s="75">
        <v>0</v>
      </c>
      <c r="AG17" s="76">
        <f t="shared" si="2"/>
        <v>4</v>
      </c>
      <c r="AH17" s="63">
        <v>10</v>
      </c>
      <c r="AI17" s="74" t="s">
        <v>47</v>
      </c>
      <c r="AJ17" s="75">
        <v>0</v>
      </c>
      <c r="AK17" s="75">
        <v>0</v>
      </c>
      <c r="AL17" s="75">
        <f t="shared" si="11"/>
        <v>0</v>
      </c>
      <c r="AM17" s="75">
        <v>0</v>
      </c>
      <c r="AN17" s="75">
        <v>0</v>
      </c>
      <c r="AO17" s="75">
        <f t="shared" si="12"/>
        <v>0</v>
      </c>
      <c r="AP17" s="75">
        <f t="shared" si="3"/>
        <v>52</v>
      </c>
      <c r="AQ17" s="75">
        <f t="shared" si="4"/>
        <v>45</v>
      </c>
      <c r="AR17" s="79">
        <f t="shared" si="13"/>
        <v>97</v>
      </c>
    </row>
    <row r="18" spans="1:44" ht="13.5" customHeight="1" x14ac:dyDescent="0.25">
      <c r="A18" s="58">
        <v>11</v>
      </c>
      <c r="B18" s="59" t="s">
        <v>9</v>
      </c>
      <c r="C18" s="59">
        <v>12</v>
      </c>
      <c r="D18" s="60">
        <v>2</v>
      </c>
      <c r="E18" s="60">
        <f t="shared" si="5"/>
        <v>14</v>
      </c>
      <c r="F18" s="60">
        <v>0</v>
      </c>
      <c r="G18" s="60">
        <v>1</v>
      </c>
      <c r="H18" s="60">
        <f t="shared" si="6"/>
        <v>1</v>
      </c>
      <c r="I18" s="60">
        <v>0</v>
      </c>
      <c r="J18" s="60">
        <v>0</v>
      </c>
      <c r="K18" s="69">
        <f t="shared" si="7"/>
        <v>0</v>
      </c>
      <c r="L18" s="52">
        <v>11</v>
      </c>
      <c r="M18" s="48" t="s">
        <v>9</v>
      </c>
      <c r="N18" s="60">
        <v>0</v>
      </c>
      <c r="O18" s="60">
        <v>0</v>
      </c>
      <c r="P18" s="60">
        <f t="shared" si="8"/>
        <v>0</v>
      </c>
      <c r="Q18" s="48">
        <v>0</v>
      </c>
      <c r="R18" s="48">
        <v>0</v>
      </c>
      <c r="S18" s="48">
        <f t="shared" si="9"/>
        <v>0</v>
      </c>
      <c r="T18" s="48">
        <v>0</v>
      </c>
      <c r="U18" s="48">
        <v>0</v>
      </c>
      <c r="V18" s="78">
        <f t="shared" si="10"/>
        <v>0</v>
      </c>
      <c r="W18" s="58">
        <v>11</v>
      </c>
      <c r="X18" s="59" t="s">
        <v>9</v>
      </c>
      <c r="Y18" s="48">
        <v>0</v>
      </c>
      <c r="Z18" s="48">
        <v>0</v>
      </c>
      <c r="AA18" s="48">
        <f t="shared" si="0"/>
        <v>0</v>
      </c>
      <c r="AB18" s="48">
        <v>0</v>
      </c>
      <c r="AC18" s="48">
        <v>0</v>
      </c>
      <c r="AD18" s="60">
        <f t="shared" si="1"/>
        <v>0</v>
      </c>
      <c r="AE18" s="59">
        <v>0</v>
      </c>
      <c r="AF18" s="60">
        <v>0</v>
      </c>
      <c r="AG18" s="69">
        <f t="shared" si="2"/>
        <v>0</v>
      </c>
      <c r="AH18" s="58">
        <v>11</v>
      </c>
      <c r="AI18" s="59" t="s">
        <v>9</v>
      </c>
      <c r="AJ18" s="60">
        <v>0</v>
      </c>
      <c r="AK18" s="60">
        <v>0</v>
      </c>
      <c r="AL18" s="60">
        <f t="shared" si="11"/>
        <v>0</v>
      </c>
      <c r="AM18" s="60">
        <v>0</v>
      </c>
      <c r="AN18" s="60">
        <v>0</v>
      </c>
      <c r="AO18" s="60">
        <f t="shared" si="12"/>
        <v>0</v>
      </c>
      <c r="AP18" s="60">
        <f t="shared" si="3"/>
        <v>12</v>
      </c>
      <c r="AQ18" s="60">
        <f t="shared" si="4"/>
        <v>3</v>
      </c>
      <c r="AR18" s="78">
        <f t="shared" si="13"/>
        <v>15</v>
      </c>
    </row>
    <row r="19" spans="1:44" ht="13.5" customHeight="1" x14ac:dyDescent="0.25">
      <c r="A19" s="63">
        <v>12</v>
      </c>
      <c r="B19" s="74" t="s">
        <v>10</v>
      </c>
      <c r="C19" s="74">
        <v>44</v>
      </c>
      <c r="D19" s="75">
        <v>27</v>
      </c>
      <c r="E19" s="75">
        <f t="shared" si="5"/>
        <v>71</v>
      </c>
      <c r="F19" s="75">
        <v>4</v>
      </c>
      <c r="G19" s="75">
        <v>2</v>
      </c>
      <c r="H19" s="75">
        <f t="shared" si="6"/>
        <v>6</v>
      </c>
      <c r="I19" s="75">
        <v>1</v>
      </c>
      <c r="J19" s="75">
        <v>7</v>
      </c>
      <c r="K19" s="76">
        <f t="shared" si="7"/>
        <v>8</v>
      </c>
      <c r="L19" s="61">
        <v>12</v>
      </c>
      <c r="M19" s="62" t="s">
        <v>10</v>
      </c>
      <c r="N19" s="75">
        <v>0</v>
      </c>
      <c r="O19" s="75">
        <v>0</v>
      </c>
      <c r="P19" s="75">
        <f t="shared" si="8"/>
        <v>0</v>
      </c>
      <c r="Q19" s="62">
        <v>0</v>
      </c>
      <c r="R19" s="62">
        <v>0</v>
      </c>
      <c r="S19" s="62">
        <f t="shared" si="9"/>
        <v>0</v>
      </c>
      <c r="T19" s="62">
        <v>0</v>
      </c>
      <c r="U19" s="62">
        <v>0</v>
      </c>
      <c r="V19" s="79">
        <f t="shared" si="10"/>
        <v>0</v>
      </c>
      <c r="W19" s="63">
        <v>12</v>
      </c>
      <c r="X19" s="74" t="s">
        <v>10</v>
      </c>
      <c r="Y19" s="62">
        <v>0</v>
      </c>
      <c r="Z19" s="62">
        <v>0</v>
      </c>
      <c r="AA19" s="62">
        <f t="shared" si="0"/>
        <v>0</v>
      </c>
      <c r="AB19" s="62">
        <v>0</v>
      </c>
      <c r="AC19" s="62">
        <v>0</v>
      </c>
      <c r="AD19" s="75">
        <f t="shared" si="1"/>
        <v>0</v>
      </c>
      <c r="AE19" s="74">
        <v>2</v>
      </c>
      <c r="AF19" s="75">
        <v>1</v>
      </c>
      <c r="AG19" s="76">
        <f t="shared" si="2"/>
        <v>3</v>
      </c>
      <c r="AH19" s="63">
        <v>12</v>
      </c>
      <c r="AI19" s="74" t="s">
        <v>10</v>
      </c>
      <c r="AJ19" s="75">
        <v>8</v>
      </c>
      <c r="AK19" s="75">
        <v>6</v>
      </c>
      <c r="AL19" s="75">
        <f t="shared" si="11"/>
        <v>14</v>
      </c>
      <c r="AM19" s="75">
        <v>0</v>
      </c>
      <c r="AN19" s="75">
        <v>0</v>
      </c>
      <c r="AO19" s="75">
        <f t="shared" si="12"/>
        <v>0</v>
      </c>
      <c r="AP19" s="75">
        <f t="shared" si="3"/>
        <v>59</v>
      </c>
      <c r="AQ19" s="75">
        <f t="shared" si="4"/>
        <v>43</v>
      </c>
      <c r="AR19" s="79">
        <f t="shared" si="13"/>
        <v>102</v>
      </c>
    </row>
    <row r="20" spans="1:44" ht="13.5" customHeight="1" x14ac:dyDescent="0.25">
      <c r="A20" s="58">
        <v>13</v>
      </c>
      <c r="B20" s="59" t="s">
        <v>11</v>
      </c>
      <c r="C20" s="59">
        <v>30</v>
      </c>
      <c r="D20" s="60">
        <v>21</v>
      </c>
      <c r="E20" s="60">
        <f t="shared" si="5"/>
        <v>51</v>
      </c>
      <c r="F20" s="60">
        <v>1</v>
      </c>
      <c r="G20" s="60">
        <v>2</v>
      </c>
      <c r="H20" s="60">
        <f t="shared" si="6"/>
        <v>3</v>
      </c>
      <c r="I20" s="60">
        <v>3</v>
      </c>
      <c r="J20" s="60">
        <v>5</v>
      </c>
      <c r="K20" s="69">
        <f t="shared" si="7"/>
        <v>8</v>
      </c>
      <c r="L20" s="52">
        <v>13</v>
      </c>
      <c r="M20" s="48" t="s">
        <v>11</v>
      </c>
      <c r="N20" s="60">
        <v>0</v>
      </c>
      <c r="O20" s="60">
        <v>0</v>
      </c>
      <c r="P20" s="60">
        <f t="shared" si="8"/>
        <v>0</v>
      </c>
      <c r="Q20" s="48">
        <v>0</v>
      </c>
      <c r="R20" s="48">
        <v>0</v>
      </c>
      <c r="S20" s="48">
        <f t="shared" si="9"/>
        <v>0</v>
      </c>
      <c r="T20" s="48">
        <v>0</v>
      </c>
      <c r="U20" s="48">
        <v>0</v>
      </c>
      <c r="V20" s="78">
        <f t="shared" si="10"/>
        <v>0</v>
      </c>
      <c r="W20" s="58">
        <v>13</v>
      </c>
      <c r="X20" s="59" t="s">
        <v>11</v>
      </c>
      <c r="Y20" s="48">
        <v>2</v>
      </c>
      <c r="Z20" s="48">
        <v>0</v>
      </c>
      <c r="AA20" s="48">
        <f t="shared" si="0"/>
        <v>2</v>
      </c>
      <c r="AB20" s="48">
        <v>0</v>
      </c>
      <c r="AC20" s="48">
        <v>0</v>
      </c>
      <c r="AD20" s="60">
        <f t="shared" si="1"/>
        <v>0</v>
      </c>
      <c r="AE20" s="59">
        <v>1</v>
      </c>
      <c r="AF20" s="60">
        <v>1</v>
      </c>
      <c r="AG20" s="69">
        <f t="shared" si="2"/>
        <v>2</v>
      </c>
      <c r="AH20" s="58">
        <v>13</v>
      </c>
      <c r="AI20" s="59" t="s">
        <v>11</v>
      </c>
      <c r="AJ20" s="60">
        <v>0</v>
      </c>
      <c r="AK20" s="60">
        <v>0</v>
      </c>
      <c r="AL20" s="60">
        <f t="shared" si="11"/>
        <v>0</v>
      </c>
      <c r="AM20" s="60">
        <v>0</v>
      </c>
      <c r="AN20" s="60">
        <v>0</v>
      </c>
      <c r="AO20" s="60">
        <f t="shared" si="12"/>
        <v>0</v>
      </c>
      <c r="AP20" s="60">
        <f t="shared" si="3"/>
        <v>37</v>
      </c>
      <c r="AQ20" s="60">
        <f t="shared" si="4"/>
        <v>29</v>
      </c>
      <c r="AR20" s="78">
        <f t="shared" si="13"/>
        <v>66</v>
      </c>
    </row>
    <row r="21" spans="1:44" ht="13.5" customHeight="1" x14ac:dyDescent="0.25">
      <c r="A21" s="63">
        <v>14</v>
      </c>
      <c r="B21" s="74" t="s">
        <v>12</v>
      </c>
      <c r="C21" s="74">
        <v>149</v>
      </c>
      <c r="D21" s="75">
        <v>173</v>
      </c>
      <c r="E21" s="75">
        <f t="shared" si="5"/>
        <v>322</v>
      </c>
      <c r="F21" s="75">
        <v>7</v>
      </c>
      <c r="G21" s="75">
        <v>0</v>
      </c>
      <c r="H21" s="75">
        <f t="shared" si="6"/>
        <v>7</v>
      </c>
      <c r="I21" s="75">
        <v>0</v>
      </c>
      <c r="J21" s="75">
        <v>0</v>
      </c>
      <c r="K21" s="76">
        <f t="shared" si="7"/>
        <v>0</v>
      </c>
      <c r="L21" s="61">
        <v>14</v>
      </c>
      <c r="M21" s="62" t="s">
        <v>12</v>
      </c>
      <c r="N21" s="75">
        <v>0</v>
      </c>
      <c r="O21" s="75">
        <v>0</v>
      </c>
      <c r="P21" s="75">
        <f t="shared" si="8"/>
        <v>0</v>
      </c>
      <c r="Q21" s="62">
        <v>1</v>
      </c>
      <c r="R21" s="62">
        <v>1</v>
      </c>
      <c r="S21" s="62">
        <f t="shared" si="9"/>
        <v>2</v>
      </c>
      <c r="T21" s="62">
        <v>0</v>
      </c>
      <c r="U21" s="62">
        <v>0</v>
      </c>
      <c r="V21" s="79">
        <f t="shared" si="10"/>
        <v>0</v>
      </c>
      <c r="W21" s="63">
        <v>14</v>
      </c>
      <c r="X21" s="74" t="s">
        <v>12</v>
      </c>
      <c r="Y21" s="62">
        <v>0</v>
      </c>
      <c r="Z21" s="62">
        <v>0</v>
      </c>
      <c r="AA21" s="62">
        <f t="shared" si="0"/>
        <v>0</v>
      </c>
      <c r="AB21" s="62">
        <v>0</v>
      </c>
      <c r="AC21" s="62">
        <v>0</v>
      </c>
      <c r="AD21" s="75">
        <f t="shared" si="1"/>
        <v>0</v>
      </c>
      <c r="AE21" s="74">
        <v>0</v>
      </c>
      <c r="AF21" s="75">
        <v>2</v>
      </c>
      <c r="AG21" s="76">
        <f t="shared" si="2"/>
        <v>2</v>
      </c>
      <c r="AH21" s="63">
        <v>14</v>
      </c>
      <c r="AI21" s="74" t="s">
        <v>12</v>
      </c>
      <c r="AJ21" s="75">
        <v>2</v>
      </c>
      <c r="AK21" s="75">
        <v>2</v>
      </c>
      <c r="AL21" s="75">
        <f t="shared" si="11"/>
        <v>4</v>
      </c>
      <c r="AM21" s="75">
        <v>0</v>
      </c>
      <c r="AN21" s="75">
        <v>0</v>
      </c>
      <c r="AO21" s="75">
        <f t="shared" si="12"/>
        <v>0</v>
      </c>
      <c r="AP21" s="75">
        <f t="shared" si="3"/>
        <v>159</v>
      </c>
      <c r="AQ21" s="75">
        <f t="shared" si="4"/>
        <v>178</v>
      </c>
      <c r="AR21" s="79">
        <f t="shared" si="13"/>
        <v>337</v>
      </c>
    </row>
    <row r="22" spans="1:44" ht="13.5" customHeight="1" x14ac:dyDescent="0.25">
      <c r="A22" s="58">
        <v>15</v>
      </c>
      <c r="B22" s="59" t="s">
        <v>13</v>
      </c>
      <c r="C22" s="59">
        <v>2</v>
      </c>
      <c r="D22" s="60">
        <v>0</v>
      </c>
      <c r="E22" s="60">
        <f t="shared" si="5"/>
        <v>2</v>
      </c>
      <c r="F22" s="60">
        <v>0</v>
      </c>
      <c r="G22" s="60">
        <v>0</v>
      </c>
      <c r="H22" s="60">
        <f t="shared" si="6"/>
        <v>0</v>
      </c>
      <c r="I22" s="60">
        <v>0</v>
      </c>
      <c r="J22" s="60">
        <v>0</v>
      </c>
      <c r="K22" s="69">
        <f t="shared" si="7"/>
        <v>0</v>
      </c>
      <c r="L22" s="52">
        <v>15</v>
      </c>
      <c r="M22" s="48" t="s">
        <v>13</v>
      </c>
      <c r="N22" s="60">
        <v>0</v>
      </c>
      <c r="O22" s="60">
        <v>0</v>
      </c>
      <c r="P22" s="60">
        <f t="shared" si="8"/>
        <v>0</v>
      </c>
      <c r="Q22" s="48">
        <v>0</v>
      </c>
      <c r="R22" s="48">
        <v>0</v>
      </c>
      <c r="S22" s="48">
        <f t="shared" si="9"/>
        <v>0</v>
      </c>
      <c r="T22" s="48">
        <v>0</v>
      </c>
      <c r="U22" s="48">
        <v>0</v>
      </c>
      <c r="V22" s="78">
        <f t="shared" si="10"/>
        <v>0</v>
      </c>
      <c r="W22" s="58">
        <v>15</v>
      </c>
      <c r="X22" s="59" t="s">
        <v>13</v>
      </c>
      <c r="Y22" s="48">
        <v>0</v>
      </c>
      <c r="Z22" s="48">
        <v>0</v>
      </c>
      <c r="AA22" s="48">
        <f t="shared" si="0"/>
        <v>0</v>
      </c>
      <c r="AB22" s="48">
        <v>0</v>
      </c>
      <c r="AC22" s="48">
        <v>0</v>
      </c>
      <c r="AD22" s="60">
        <f t="shared" si="1"/>
        <v>0</v>
      </c>
      <c r="AE22" s="59">
        <v>0</v>
      </c>
      <c r="AF22" s="60">
        <v>0</v>
      </c>
      <c r="AG22" s="69">
        <f t="shared" si="2"/>
        <v>0</v>
      </c>
      <c r="AH22" s="58">
        <v>15</v>
      </c>
      <c r="AI22" s="59" t="s">
        <v>13</v>
      </c>
      <c r="AJ22" s="60">
        <v>0</v>
      </c>
      <c r="AK22" s="60">
        <v>0</v>
      </c>
      <c r="AL22" s="60">
        <f t="shared" si="11"/>
        <v>0</v>
      </c>
      <c r="AM22" s="60">
        <v>0</v>
      </c>
      <c r="AN22" s="60">
        <v>0</v>
      </c>
      <c r="AO22" s="60">
        <f t="shared" si="12"/>
        <v>0</v>
      </c>
      <c r="AP22" s="60">
        <f t="shared" si="3"/>
        <v>2</v>
      </c>
      <c r="AQ22" s="60">
        <f t="shared" si="4"/>
        <v>0</v>
      </c>
      <c r="AR22" s="78">
        <f t="shared" si="13"/>
        <v>2</v>
      </c>
    </row>
    <row r="23" spans="1:44" ht="13.5" customHeight="1" x14ac:dyDescent="0.25">
      <c r="A23" s="63">
        <v>16</v>
      </c>
      <c r="B23" s="74" t="s">
        <v>14</v>
      </c>
      <c r="C23" s="74">
        <v>0</v>
      </c>
      <c r="D23" s="75">
        <v>0</v>
      </c>
      <c r="E23" s="75">
        <f t="shared" si="5"/>
        <v>0</v>
      </c>
      <c r="F23" s="75">
        <v>0</v>
      </c>
      <c r="G23" s="75">
        <v>0</v>
      </c>
      <c r="H23" s="75">
        <f t="shared" si="6"/>
        <v>0</v>
      </c>
      <c r="I23" s="75">
        <v>0</v>
      </c>
      <c r="J23" s="75">
        <v>1</v>
      </c>
      <c r="K23" s="76">
        <f t="shared" si="7"/>
        <v>1</v>
      </c>
      <c r="L23" s="61">
        <v>16</v>
      </c>
      <c r="M23" s="62" t="s">
        <v>14</v>
      </c>
      <c r="N23" s="75">
        <v>0</v>
      </c>
      <c r="O23" s="75">
        <v>0</v>
      </c>
      <c r="P23" s="75">
        <f t="shared" si="8"/>
        <v>0</v>
      </c>
      <c r="Q23" s="62">
        <v>0</v>
      </c>
      <c r="R23" s="62">
        <v>0</v>
      </c>
      <c r="S23" s="62">
        <f t="shared" si="9"/>
        <v>0</v>
      </c>
      <c r="T23" s="62">
        <v>0</v>
      </c>
      <c r="U23" s="62">
        <v>0</v>
      </c>
      <c r="V23" s="79">
        <f t="shared" si="10"/>
        <v>0</v>
      </c>
      <c r="W23" s="63">
        <v>16</v>
      </c>
      <c r="X23" s="74" t="s">
        <v>14</v>
      </c>
      <c r="Y23" s="62">
        <v>0</v>
      </c>
      <c r="Z23" s="62">
        <v>0</v>
      </c>
      <c r="AA23" s="62">
        <f t="shared" si="0"/>
        <v>0</v>
      </c>
      <c r="AB23" s="62">
        <v>0</v>
      </c>
      <c r="AC23" s="62">
        <v>0</v>
      </c>
      <c r="AD23" s="75">
        <f t="shared" si="1"/>
        <v>0</v>
      </c>
      <c r="AE23" s="74">
        <v>0</v>
      </c>
      <c r="AF23" s="75">
        <v>0</v>
      </c>
      <c r="AG23" s="76">
        <f t="shared" si="2"/>
        <v>0</v>
      </c>
      <c r="AH23" s="63">
        <v>16</v>
      </c>
      <c r="AI23" s="74" t="s">
        <v>14</v>
      </c>
      <c r="AJ23" s="75">
        <v>0</v>
      </c>
      <c r="AK23" s="75">
        <v>0</v>
      </c>
      <c r="AL23" s="75">
        <f t="shared" si="11"/>
        <v>0</v>
      </c>
      <c r="AM23" s="75">
        <v>0</v>
      </c>
      <c r="AN23" s="75">
        <v>0</v>
      </c>
      <c r="AO23" s="75">
        <f t="shared" si="12"/>
        <v>0</v>
      </c>
      <c r="AP23" s="75">
        <f t="shared" si="3"/>
        <v>0</v>
      </c>
      <c r="AQ23" s="75">
        <f t="shared" si="4"/>
        <v>1</v>
      </c>
      <c r="AR23" s="79">
        <f t="shared" si="13"/>
        <v>1</v>
      </c>
    </row>
    <row r="24" spans="1:44" ht="13.5" customHeight="1" x14ac:dyDescent="0.25">
      <c r="A24" s="58">
        <v>17</v>
      </c>
      <c r="B24" s="59" t="s">
        <v>15</v>
      </c>
      <c r="C24" s="59">
        <v>0</v>
      </c>
      <c r="D24" s="60">
        <v>0</v>
      </c>
      <c r="E24" s="60">
        <f t="shared" si="5"/>
        <v>0</v>
      </c>
      <c r="F24" s="60">
        <v>0</v>
      </c>
      <c r="G24" s="60">
        <v>0</v>
      </c>
      <c r="H24" s="60">
        <f t="shared" si="6"/>
        <v>0</v>
      </c>
      <c r="I24" s="60">
        <v>0</v>
      </c>
      <c r="J24" s="60">
        <v>0</v>
      </c>
      <c r="K24" s="69">
        <f t="shared" si="7"/>
        <v>0</v>
      </c>
      <c r="L24" s="52">
        <v>17</v>
      </c>
      <c r="M24" s="48" t="s">
        <v>15</v>
      </c>
      <c r="N24" s="60">
        <v>0</v>
      </c>
      <c r="O24" s="60">
        <v>0</v>
      </c>
      <c r="P24" s="60">
        <f t="shared" si="8"/>
        <v>0</v>
      </c>
      <c r="Q24" s="48">
        <v>0</v>
      </c>
      <c r="R24" s="48">
        <v>0</v>
      </c>
      <c r="S24" s="48">
        <f t="shared" si="9"/>
        <v>0</v>
      </c>
      <c r="T24" s="48">
        <v>0</v>
      </c>
      <c r="U24" s="48">
        <v>0</v>
      </c>
      <c r="V24" s="78">
        <f t="shared" si="10"/>
        <v>0</v>
      </c>
      <c r="W24" s="58">
        <v>17</v>
      </c>
      <c r="X24" s="59" t="s">
        <v>15</v>
      </c>
      <c r="Y24" s="48">
        <v>0</v>
      </c>
      <c r="Z24" s="48">
        <v>0</v>
      </c>
      <c r="AA24" s="48">
        <f t="shared" si="0"/>
        <v>0</v>
      </c>
      <c r="AB24" s="48">
        <v>0</v>
      </c>
      <c r="AC24" s="48">
        <v>0</v>
      </c>
      <c r="AD24" s="60">
        <f t="shared" si="1"/>
        <v>0</v>
      </c>
      <c r="AE24" s="59">
        <v>0</v>
      </c>
      <c r="AF24" s="60">
        <v>0</v>
      </c>
      <c r="AG24" s="69">
        <f t="shared" si="2"/>
        <v>0</v>
      </c>
      <c r="AH24" s="58">
        <v>17</v>
      </c>
      <c r="AI24" s="59" t="s">
        <v>15</v>
      </c>
      <c r="AJ24" s="60">
        <v>0</v>
      </c>
      <c r="AK24" s="60">
        <v>0</v>
      </c>
      <c r="AL24" s="60">
        <f t="shared" si="11"/>
        <v>0</v>
      </c>
      <c r="AM24" s="60">
        <v>0</v>
      </c>
      <c r="AN24" s="60">
        <v>0</v>
      </c>
      <c r="AO24" s="60">
        <f t="shared" si="12"/>
        <v>0</v>
      </c>
      <c r="AP24" s="60">
        <f t="shared" si="3"/>
        <v>0</v>
      </c>
      <c r="AQ24" s="60">
        <f t="shared" si="4"/>
        <v>0</v>
      </c>
      <c r="AR24" s="78">
        <f t="shared" si="13"/>
        <v>0</v>
      </c>
    </row>
    <row r="25" spans="1:44" ht="13.5" customHeight="1" x14ac:dyDescent="0.25">
      <c r="A25" s="63">
        <v>18</v>
      </c>
      <c r="B25" s="74" t="s">
        <v>16</v>
      </c>
      <c r="C25" s="74">
        <v>0</v>
      </c>
      <c r="D25" s="75">
        <v>0</v>
      </c>
      <c r="E25" s="75">
        <f t="shared" si="5"/>
        <v>0</v>
      </c>
      <c r="F25" s="75">
        <v>0</v>
      </c>
      <c r="G25" s="75">
        <v>0</v>
      </c>
      <c r="H25" s="75">
        <f t="shared" si="6"/>
        <v>0</v>
      </c>
      <c r="I25" s="75">
        <v>0</v>
      </c>
      <c r="J25" s="75">
        <v>0</v>
      </c>
      <c r="K25" s="76">
        <f t="shared" si="7"/>
        <v>0</v>
      </c>
      <c r="L25" s="61">
        <v>18</v>
      </c>
      <c r="M25" s="62" t="s">
        <v>16</v>
      </c>
      <c r="N25" s="75">
        <v>0</v>
      </c>
      <c r="O25" s="75">
        <v>0</v>
      </c>
      <c r="P25" s="75">
        <f t="shared" si="8"/>
        <v>0</v>
      </c>
      <c r="Q25" s="62">
        <v>0</v>
      </c>
      <c r="R25" s="62">
        <v>0</v>
      </c>
      <c r="S25" s="62">
        <f t="shared" si="9"/>
        <v>0</v>
      </c>
      <c r="T25" s="62">
        <v>0</v>
      </c>
      <c r="U25" s="62">
        <v>0</v>
      </c>
      <c r="V25" s="79">
        <f t="shared" si="10"/>
        <v>0</v>
      </c>
      <c r="W25" s="63">
        <v>18</v>
      </c>
      <c r="X25" s="74" t="s">
        <v>16</v>
      </c>
      <c r="Y25" s="62">
        <v>0</v>
      </c>
      <c r="Z25" s="62">
        <v>0</v>
      </c>
      <c r="AA25" s="62">
        <f t="shared" si="0"/>
        <v>0</v>
      </c>
      <c r="AB25" s="62">
        <v>0</v>
      </c>
      <c r="AC25" s="62">
        <v>0</v>
      </c>
      <c r="AD25" s="75">
        <f t="shared" si="1"/>
        <v>0</v>
      </c>
      <c r="AE25" s="74">
        <v>0</v>
      </c>
      <c r="AF25" s="75">
        <v>0</v>
      </c>
      <c r="AG25" s="76">
        <f t="shared" si="2"/>
        <v>0</v>
      </c>
      <c r="AH25" s="63">
        <v>18</v>
      </c>
      <c r="AI25" s="74" t="s">
        <v>16</v>
      </c>
      <c r="AJ25" s="75">
        <v>0</v>
      </c>
      <c r="AK25" s="75">
        <v>0</v>
      </c>
      <c r="AL25" s="75">
        <f t="shared" si="11"/>
        <v>0</v>
      </c>
      <c r="AM25" s="75">
        <v>0</v>
      </c>
      <c r="AN25" s="75">
        <v>0</v>
      </c>
      <c r="AO25" s="75">
        <f t="shared" si="12"/>
        <v>0</v>
      </c>
      <c r="AP25" s="75">
        <f t="shared" si="3"/>
        <v>0</v>
      </c>
      <c r="AQ25" s="75">
        <f t="shared" si="4"/>
        <v>0</v>
      </c>
      <c r="AR25" s="79">
        <f t="shared" si="13"/>
        <v>0</v>
      </c>
    </row>
    <row r="26" spans="1:44" ht="13.5" customHeight="1" x14ac:dyDescent="0.25">
      <c r="A26" s="58">
        <v>19</v>
      </c>
      <c r="B26" s="59" t="s">
        <v>17</v>
      </c>
      <c r="C26" s="59">
        <v>57</v>
      </c>
      <c r="D26" s="60">
        <v>81</v>
      </c>
      <c r="E26" s="60">
        <f t="shared" si="5"/>
        <v>138</v>
      </c>
      <c r="F26" s="60">
        <v>0</v>
      </c>
      <c r="G26" s="60">
        <v>0</v>
      </c>
      <c r="H26" s="60">
        <f t="shared" si="6"/>
        <v>0</v>
      </c>
      <c r="I26" s="60">
        <v>1</v>
      </c>
      <c r="J26" s="60">
        <v>1</v>
      </c>
      <c r="K26" s="69">
        <f t="shared" si="7"/>
        <v>2</v>
      </c>
      <c r="L26" s="52">
        <v>19</v>
      </c>
      <c r="M26" s="48" t="s">
        <v>17</v>
      </c>
      <c r="N26" s="60">
        <v>0</v>
      </c>
      <c r="O26" s="60">
        <v>0</v>
      </c>
      <c r="P26" s="60">
        <f t="shared" si="8"/>
        <v>0</v>
      </c>
      <c r="Q26" s="48">
        <v>0</v>
      </c>
      <c r="R26" s="48">
        <v>0</v>
      </c>
      <c r="S26" s="48">
        <f t="shared" si="9"/>
        <v>0</v>
      </c>
      <c r="T26" s="48">
        <v>0</v>
      </c>
      <c r="U26" s="48">
        <v>0</v>
      </c>
      <c r="V26" s="78">
        <f t="shared" si="10"/>
        <v>0</v>
      </c>
      <c r="W26" s="58">
        <v>19</v>
      </c>
      <c r="X26" s="59" t="s">
        <v>17</v>
      </c>
      <c r="Y26" s="48">
        <v>0</v>
      </c>
      <c r="Z26" s="48">
        <v>0</v>
      </c>
      <c r="AA26" s="48">
        <f t="shared" si="0"/>
        <v>0</v>
      </c>
      <c r="AB26" s="48">
        <v>0</v>
      </c>
      <c r="AC26" s="48">
        <v>0</v>
      </c>
      <c r="AD26" s="60">
        <f t="shared" si="1"/>
        <v>0</v>
      </c>
      <c r="AE26" s="59">
        <v>0</v>
      </c>
      <c r="AF26" s="60">
        <v>0</v>
      </c>
      <c r="AG26" s="69">
        <f t="shared" si="2"/>
        <v>0</v>
      </c>
      <c r="AH26" s="58">
        <v>19</v>
      </c>
      <c r="AI26" s="59" t="s">
        <v>17</v>
      </c>
      <c r="AJ26" s="60">
        <v>0</v>
      </c>
      <c r="AK26" s="60">
        <v>0</v>
      </c>
      <c r="AL26" s="60">
        <f t="shared" si="11"/>
        <v>0</v>
      </c>
      <c r="AM26" s="60">
        <v>1</v>
      </c>
      <c r="AN26" s="60">
        <v>0</v>
      </c>
      <c r="AO26" s="60">
        <f t="shared" si="12"/>
        <v>1</v>
      </c>
      <c r="AP26" s="60">
        <f t="shared" si="3"/>
        <v>59</v>
      </c>
      <c r="AQ26" s="60">
        <f t="shared" si="4"/>
        <v>82</v>
      </c>
      <c r="AR26" s="78">
        <f t="shared" si="13"/>
        <v>141</v>
      </c>
    </row>
    <row r="27" spans="1:44" ht="13.5" customHeight="1" x14ac:dyDescent="0.25">
      <c r="A27" s="63">
        <v>20</v>
      </c>
      <c r="B27" s="74" t="s">
        <v>18</v>
      </c>
      <c r="C27" s="74">
        <v>9</v>
      </c>
      <c r="D27" s="75">
        <v>5</v>
      </c>
      <c r="E27" s="75">
        <f t="shared" si="5"/>
        <v>14</v>
      </c>
      <c r="F27" s="75">
        <v>2</v>
      </c>
      <c r="G27" s="75">
        <v>2</v>
      </c>
      <c r="H27" s="75">
        <f t="shared" si="6"/>
        <v>4</v>
      </c>
      <c r="I27" s="75">
        <v>0</v>
      </c>
      <c r="J27" s="75">
        <v>0</v>
      </c>
      <c r="K27" s="76">
        <f t="shared" si="7"/>
        <v>0</v>
      </c>
      <c r="L27" s="61">
        <v>20</v>
      </c>
      <c r="M27" s="62" t="s">
        <v>18</v>
      </c>
      <c r="N27" s="75">
        <v>0</v>
      </c>
      <c r="O27" s="75">
        <v>0</v>
      </c>
      <c r="P27" s="75">
        <f t="shared" si="8"/>
        <v>0</v>
      </c>
      <c r="Q27" s="62">
        <v>0</v>
      </c>
      <c r="R27" s="62">
        <v>0</v>
      </c>
      <c r="S27" s="62">
        <f t="shared" si="9"/>
        <v>0</v>
      </c>
      <c r="T27" s="62">
        <v>0</v>
      </c>
      <c r="U27" s="62">
        <v>0</v>
      </c>
      <c r="V27" s="79">
        <f t="shared" si="10"/>
        <v>0</v>
      </c>
      <c r="W27" s="63">
        <v>20</v>
      </c>
      <c r="X27" s="74" t="s">
        <v>18</v>
      </c>
      <c r="Y27" s="62">
        <v>0</v>
      </c>
      <c r="Z27" s="62">
        <v>0</v>
      </c>
      <c r="AA27" s="62">
        <f t="shared" si="0"/>
        <v>0</v>
      </c>
      <c r="AB27" s="62">
        <v>0</v>
      </c>
      <c r="AC27" s="62">
        <v>0</v>
      </c>
      <c r="AD27" s="75">
        <f t="shared" si="1"/>
        <v>0</v>
      </c>
      <c r="AE27" s="74">
        <v>0</v>
      </c>
      <c r="AF27" s="75">
        <v>0</v>
      </c>
      <c r="AG27" s="76">
        <f t="shared" si="2"/>
        <v>0</v>
      </c>
      <c r="AH27" s="63">
        <v>20</v>
      </c>
      <c r="AI27" s="74" t="s">
        <v>18</v>
      </c>
      <c r="AJ27" s="75">
        <v>1</v>
      </c>
      <c r="AK27" s="75">
        <v>0</v>
      </c>
      <c r="AL27" s="75">
        <f t="shared" si="11"/>
        <v>1</v>
      </c>
      <c r="AM27" s="75">
        <v>0</v>
      </c>
      <c r="AN27" s="75">
        <v>0</v>
      </c>
      <c r="AO27" s="75">
        <f t="shared" si="12"/>
        <v>0</v>
      </c>
      <c r="AP27" s="75">
        <f t="shared" si="3"/>
        <v>12</v>
      </c>
      <c r="AQ27" s="75">
        <f t="shared" si="4"/>
        <v>7</v>
      </c>
      <c r="AR27" s="79">
        <f t="shared" si="13"/>
        <v>19</v>
      </c>
    </row>
    <row r="28" spans="1:44" ht="13.5" customHeight="1" x14ac:dyDescent="0.25">
      <c r="A28" s="58">
        <v>21</v>
      </c>
      <c r="B28" s="59" t="s">
        <v>19</v>
      </c>
      <c r="C28" s="59">
        <v>47</v>
      </c>
      <c r="D28" s="60">
        <v>26</v>
      </c>
      <c r="E28" s="60">
        <f t="shared" si="5"/>
        <v>73</v>
      </c>
      <c r="F28" s="60">
        <v>1</v>
      </c>
      <c r="G28" s="60">
        <v>1</v>
      </c>
      <c r="H28" s="60">
        <f t="shared" si="6"/>
        <v>2</v>
      </c>
      <c r="I28" s="60">
        <v>0</v>
      </c>
      <c r="J28" s="60">
        <v>0</v>
      </c>
      <c r="K28" s="69">
        <f t="shared" si="7"/>
        <v>0</v>
      </c>
      <c r="L28" s="52">
        <v>21</v>
      </c>
      <c r="M28" s="48" t="s">
        <v>19</v>
      </c>
      <c r="N28" s="60">
        <v>0</v>
      </c>
      <c r="O28" s="60">
        <v>0</v>
      </c>
      <c r="P28" s="60">
        <f t="shared" si="8"/>
        <v>0</v>
      </c>
      <c r="Q28" s="48">
        <v>0</v>
      </c>
      <c r="R28" s="48">
        <v>0</v>
      </c>
      <c r="S28" s="48">
        <f t="shared" si="9"/>
        <v>0</v>
      </c>
      <c r="T28" s="48">
        <v>0</v>
      </c>
      <c r="U28" s="48">
        <v>0</v>
      </c>
      <c r="V28" s="78">
        <f t="shared" si="10"/>
        <v>0</v>
      </c>
      <c r="W28" s="58">
        <v>21</v>
      </c>
      <c r="X28" s="59" t="s">
        <v>19</v>
      </c>
      <c r="Y28" s="48">
        <v>0</v>
      </c>
      <c r="Z28" s="48">
        <v>0</v>
      </c>
      <c r="AA28" s="48">
        <f t="shared" si="0"/>
        <v>0</v>
      </c>
      <c r="AB28" s="48">
        <v>0</v>
      </c>
      <c r="AC28" s="48">
        <v>0</v>
      </c>
      <c r="AD28" s="60">
        <f t="shared" si="1"/>
        <v>0</v>
      </c>
      <c r="AE28" s="59">
        <v>0</v>
      </c>
      <c r="AF28" s="60">
        <v>0</v>
      </c>
      <c r="AG28" s="69">
        <f t="shared" si="2"/>
        <v>0</v>
      </c>
      <c r="AH28" s="58">
        <v>21</v>
      </c>
      <c r="AI28" s="59" t="s">
        <v>19</v>
      </c>
      <c r="AJ28" s="60">
        <v>0</v>
      </c>
      <c r="AK28" s="60">
        <v>0</v>
      </c>
      <c r="AL28" s="60">
        <f t="shared" si="11"/>
        <v>0</v>
      </c>
      <c r="AM28" s="60">
        <v>0</v>
      </c>
      <c r="AN28" s="60">
        <v>0</v>
      </c>
      <c r="AO28" s="60">
        <f t="shared" si="12"/>
        <v>0</v>
      </c>
      <c r="AP28" s="60">
        <f t="shared" si="3"/>
        <v>48</v>
      </c>
      <c r="AQ28" s="60">
        <f t="shared" si="4"/>
        <v>27</v>
      </c>
      <c r="AR28" s="78">
        <f t="shared" si="13"/>
        <v>75</v>
      </c>
    </row>
    <row r="29" spans="1:44" ht="13.5" customHeight="1" x14ac:dyDescent="0.25">
      <c r="A29" s="63">
        <v>22</v>
      </c>
      <c r="B29" s="74" t="s">
        <v>48</v>
      </c>
      <c r="C29" s="74">
        <v>0</v>
      </c>
      <c r="D29" s="75">
        <v>0</v>
      </c>
      <c r="E29" s="75">
        <f t="shared" si="5"/>
        <v>0</v>
      </c>
      <c r="F29" s="75">
        <v>0</v>
      </c>
      <c r="G29" s="75">
        <v>0</v>
      </c>
      <c r="H29" s="75">
        <f t="shared" si="6"/>
        <v>0</v>
      </c>
      <c r="I29" s="75">
        <v>0</v>
      </c>
      <c r="J29" s="75">
        <v>0</v>
      </c>
      <c r="K29" s="76">
        <f t="shared" si="7"/>
        <v>0</v>
      </c>
      <c r="L29" s="61">
        <v>22</v>
      </c>
      <c r="M29" s="62" t="s">
        <v>48</v>
      </c>
      <c r="N29" s="75">
        <v>0</v>
      </c>
      <c r="O29" s="75">
        <v>0</v>
      </c>
      <c r="P29" s="75">
        <f t="shared" si="8"/>
        <v>0</v>
      </c>
      <c r="Q29" s="62">
        <v>0</v>
      </c>
      <c r="R29" s="62">
        <v>0</v>
      </c>
      <c r="S29" s="62">
        <f t="shared" si="9"/>
        <v>0</v>
      </c>
      <c r="T29" s="62">
        <v>0</v>
      </c>
      <c r="U29" s="62">
        <v>0</v>
      </c>
      <c r="V29" s="79">
        <f t="shared" si="10"/>
        <v>0</v>
      </c>
      <c r="W29" s="63">
        <v>22</v>
      </c>
      <c r="X29" s="74" t="s">
        <v>48</v>
      </c>
      <c r="Y29" s="62">
        <v>0</v>
      </c>
      <c r="Z29" s="62">
        <v>0</v>
      </c>
      <c r="AA29" s="62">
        <f t="shared" si="0"/>
        <v>0</v>
      </c>
      <c r="AB29" s="62">
        <v>0</v>
      </c>
      <c r="AC29" s="62">
        <v>0</v>
      </c>
      <c r="AD29" s="75">
        <f t="shared" si="1"/>
        <v>0</v>
      </c>
      <c r="AE29" s="74">
        <v>0</v>
      </c>
      <c r="AF29" s="75">
        <v>0</v>
      </c>
      <c r="AG29" s="76">
        <f t="shared" si="2"/>
        <v>0</v>
      </c>
      <c r="AH29" s="63">
        <v>22</v>
      </c>
      <c r="AI29" s="74" t="s">
        <v>48</v>
      </c>
      <c r="AJ29" s="75">
        <v>0</v>
      </c>
      <c r="AK29" s="75">
        <v>0</v>
      </c>
      <c r="AL29" s="75">
        <f t="shared" si="11"/>
        <v>0</v>
      </c>
      <c r="AM29" s="75">
        <v>0</v>
      </c>
      <c r="AN29" s="75">
        <v>0</v>
      </c>
      <c r="AO29" s="75">
        <f t="shared" si="12"/>
        <v>0</v>
      </c>
      <c r="AP29" s="75">
        <f t="shared" si="3"/>
        <v>0</v>
      </c>
      <c r="AQ29" s="75">
        <f t="shared" si="4"/>
        <v>0</v>
      </c>
      <c r="AR29" s="79">
        <f t="shared" si="13"/>
        <v>0</v>
      </c>
    </row>
    <row r="30" spans="1:44" ht="13.5" customHeight="1" x14ac:dyDescent="0.25">
      <c r="A30" s="58">
        <v>23</v>
      </c>
      <c r="B30" s="59" t="s">
        <v>20</v>
      </c>
      <c r="C30" s="59">
        <v>3</v>
      </c>
      <c r="D30" s="60">
        <v>1</v>
      </c>
      <c r="E30" s="60">
        <f t="shared" si="5"/>
        <v>4</v>
      </c>
      <c r="F30" s="60">
        <v>0</v>
      </c>
      <c r="G30" s="60">
        <v>0</v>
      </c>
      <c r="H30" s="60">
        <f t="shared" si="6"/>
        <v>0</v>
      </c>
      <c r="I30" s="60">
        <v>0</v>
      </c>
      <c r="J30" s="60">
        <v>0</v>
      </c>
      <c r="K30" s="69">
        <f t="shared" si="7"/>
        <v>0</v>
      </c>
      <c r="L30" s="52">
        <v>23</v>
      </c>
      <c r="M30" s="48" t="s">
        <v>20</v>
      </c>
      <c r="N30" s="60">
        <v>0</v>
      </c>
      <c r="O30" s="60">
        <v>0</v>
      </c>
      <c r="P30" s="60">
        <f t="shared" si="8"/>
        <v>0</v>
      </c>
      <c r="Q30" s="48">
        <v>0</v>
      </c>
      <c r="R30" s="48">
        <v>0</v>
      </c>
      <c r="S30" s="48">
        <f t="shared" si="9"/>
        <v>0</v>
      </c>
      <c r="T30" s="48">
        <v>0</v>
      </c>
      <c r="U30" s="48">
        <v>0</v>
      </c>
      <c r="V30" s="78">
        <f t="shared" si="10"/>
        <v>0</v>
      </c>
      <c r="W30" s="58">
        <v>23</v>
      </c>
      <c r="X30" s="59" t="s">
        <v>20</v>
      </c>
      <c r="Y30" s="48">
        <v>0</v>
      </c>
      <c r="Z30" s="48">
        <v>0</v>
      </c>
      <c r="AA30" s="48">
        <f t="shared" si="0"/>
        <v>0</v>
      </c>
      <c r="AB30" s="48">
        <v>0</v>
      </c>
      <c r="AC30" s="48">
        <v>0</v>
      </c>
      <c r="AD30" s="60">
        <f t="shared" si="1"/>
        <v>0</v>
      </c>
      <c r="AE30" s="59">
        <v>0</v>
      </c>
      <c r="AF30" s="60">
        <v>0</v>
      </c>
      <c r="AG30" s="69">
        <f t="shared" si="2"/>
        <v>0</v>
      </c>
      <c r="AH30" s="58">
        <v>23</v>
      </c>
      <c r="AI30" s="59" t="s">
        <v>20</v>
      </c>
      <c r="AJ30" s="60">
        <v>0</v>
      </c>
      <c r="AK30" s="60">
        <v>1</v>
      </c>
      <c r="AL30" s="60">
        <f t="shared" si="11"/>
        <v>1</v>
      </c>
      <c r="AM30" s="60">
        <v>0</v>
      </c>
      <c r="AN30" s="60">
        <v>0</v>
      </c>
      <c r="AO30" s="60">
        <f t="shared" si="12"/>
        <v>0</v>
      </c>
      <c r="AP30" s="60">
        <f t="shared" si="3"/>
        <v>3</v>
      </c>
      <c r="AQ30" s="60">
        <f t="shared" si="4"/>
        <v>2</v>
      </c>
      <c r="AR30" s="78">
        <f t="shared" si="13"/>
        <v>5</v>
      </c>
    </row>
    <row r="31" spans="1:44" ht="13.5" customHeight="1" x14ac:dyDescent="0.25">
      <c r="A31" s="63">
        <v>24</v>
      </c>
      <c r="B31" s="74" t="s">
        <v>21</v>
      </c>
      <c r="C31" s="74">
        <v>97</v>
      </c>
      <c r="D31" s="75">
        <v>139</v>
      </c>
      <c r="E31" s="75">
        <f t="shared" si="5"/>
        <v>236</v>
      </c>
      <c r="F31" s="75">
        <v>83</v>
      </c>
      <c r="G31" s="75">
        <v>47</v>
      </c>
      <c r="H31" s="75">
        <f t="shared" si="6"/>
        <v>130</v>
      </c>
      <c r="I31" s="75">
        <v>26</v>
      </c>
      <c r="J31" s="75">
        <v>2</v>
      </c>
      <c r="K31" s="76">
        <f t="shared" si="7"/>
        <v>28</v>
      </c>
      <c r="L31" s="61">
        <v>24</v>
      </c>
      <c r="M31" s="62" t="s">
        <v>21</v>
      </c>
      <c r="N31" s="75">
        <v>3</v>
      </c>
      <c r="O31" s="75">
        <v>3</v>
      </c>
      <c r="P31" s="75">
        <f t="shared" si="8"/>
        <v>6</v>
      </c>
      <c r="Q31" s="62">
        <v>0</v>
      </c>
      <c r="R31" s="62">
        <v>0</v>
      </c>
      <c r="S31" s="62">
        <f t="shared" si="9"/>
        <v>0</v>
      </c>
      <c r="T31" s="62">
        <v>0</v>
      </c>
      <c r="U31" s="62">
        <v>0</v>
      </c>
      <c r="V31" s="79">
        <f t="shared" si="10"/>
        <v>0</v>
      </c>
      <c r="W31" s="63">
        <v>24</v>
      </c>
      <c r="X31" s="74" t="s">
        <v>21</v>
      </c>
      <c r="Y31" s="62">
        <v>2</v>
      </c>
      <c r="Z31" s="62">
        <v>0</v>
      </c>
      <c r="AA31" s="62">
        <f t="shared" si="0"/>
        <v>2</v>
      </c>
      <c r="AB31" s="62">
        <v>0</v>
      </c>
      <c r="AC31" s="62">
        <v>0</v>
      </c>
      <c r="AD31" s="75">
        <f t="shared" si="1"/>
        <v>0</v>
      </c>
      <c r="AE31" s="74">
        <v>0</v>
      </c>
      <c r="AF31" s="75">
        <v>4</v>
      </c>
      <c r="AG31" s="76">
        <f t="shared" si="2"/>
        <v>4</v>
      </c>
      <c r="AH31" s="63">
        <v>24</v>
      </c>
      <c r="AI31" s="74" t="s">
        <v>21</v>
      </c>
      <c r="AJ31" s="75">
        <v>4</v>
      </c>
      <c r="AK31" s="75">
        <v>2</v>
      </c>
      <c r="AL31" s="75">
        <f t="shared" si="11"/>
        <v>6</v>
      </c>
      <c r="AM31" s="75">
        <v>11</v>
      </c>
      <c r="AN31" s="75">
        <v>0</v>
      </c>
      <c r="AO31" s="75">
        <f t="shared" si="12"/>
        <v>11</v>
      </c>
      <c r="AP31" s="75">
        <f t="shared" si="3"/>
        <v>226</v>
      </c>
      <c r="AQ31" s="75">
        <f t="shared" si="4"/>
        <v>197</v>
      </c>
      <c r="AR31" s="79">
        <f t="shared" si="13"/>
        <v>423</v>
      </c>
    </row>
    <row r="32" spans="1:44" ht="13.5" customHeight="1" x14ac:dyDescent="0.25">
      <c r="A32" s="58">
        <v>25</v>
      </c>
      <c r="B32" s="59" t="s">
        <v>22</v>
      </c>
      <c r="C32" s="59">
        <v>21</v>
      </c>
      <c r="D32" s="60">
        <v>41</v>
      </c>
      <c r="E32" s="60">
        <f t="shared" si="5"/>
        <v>62</v>
      </c>
      <c r="F32" s="60">
        <v>0</v>
      </c>
      <c r="G32" s="60">
        <v>0</v>
      </c>
      <c r="H32" s="60">
        <f t="shared" si="6"/>
        <v>0</v>
      </c>
      <c r="I32" s="60">
        <v>0</v>
      </c>
      <c r="J32" s="60">
        <v>0</v>
      </c>
      <c r="K32" s="69">
        <f t="shared" si="7"/>
        <v>0</v>
      </c>
      <c r="L32" s="52">
        <v>25</v>
      </c>
      <c r="M32" s="48" t="s">
        <v>22</v>
      </c>
      <c r="N32" s="60">
        <v>0</v>
      </c>
      <c r="O32" s="60">
        <v>0</v>
      </c>
      <c r="P32" s="60">
        <f t="shared" si="8"/>
        <v>0</v>
      </c>
      <c r="Q32" s="48">
        <v>0</v>
      </c>
      <c r="R32" s="48">
        <v>0</v>
      </c>
      <c r="S32" s="48">
        <f t="shared" si="9"/>
        <v>0</v>
      </c>
      <c r="T32" s="48">
        <v>0</v>
      </c>
      <c r="U32" s="48">
        <v>0</v>
      </c>
      <c r="V32" s="78">
        <f t="shared" si="10"/>
        <v>0</v>
      </c>
      <c r="W32" s="58">
        <v>25</v>
      </c>
      <c r="X32" s="59" t="s">
        <v>22</v>
      </c>
      <c r="Y32" s="48">
        <v>0</v>
      </c>
      <c r="Z32" s="48">
        <v>0</v>
      </c>
      <c r="AA32" s="48">
        <f t="shared" si="0"/>
        <v>0</v>
      </c>
      <c r="AB32" s="48">
        <v>0</v>
      </c>
      <c r="AC32" s="48">
        <v>0</v>
      </c>
      <c r="AD32" s="60">
        <f t="shared" si="1"/>
        <v>0</v>
      </c>
      <c r="AE32" s="59">
        <v>0</v>
      </c>
      <c r="AF32" s="60">
        <v>0</v>
      </c>
      <c r="AG32" s="69">
        <f t="shared" si="2"/>
        <v>0</v>
      </c>
      <c r="AH32" s="58">
        <v>25</v>
      </c>
      <c r="AI32" s="59" t="s">
        <v>22</v>
      </c>
      <c r="AJ32" s="60">
        <v>0</v>
      </c>
      <c r="AK32" s="60">
        <v>0</v>
      </c>
      <c r="AL32" s="60">
        <f t="shared" si="11"/>
        <v>0</v>
      </c>
      <c r="AM32" s="60">
        <v>0</v>
      </c>
      <c r="AN32" s="60">
        <v>0</v>
      </c>
      <c r="AO32" s="60">
        <f t="shared" si="12"/>
        <v>0</v>
      </c>
      <c r="AP32" s="60">
        <f t="shared" si="3"/>
        <v>21</v>
      </c>
      <c r="AQ32" s="60">
        <f t="shared" si="4"/>
        <v>41</v>
      </c>
      <c r="AR32" s="78">
        <f t="shared" si="13"/>
        <v>62</v>
      </c>
    </row>
    <row r="33" spans="1:44" ht="13.5" customHeight="1" x14ac:dyDescent="0.25">
      <c r="A33" s="63">
        <v>26</v>
      </c>
      <c r="B33" s="74" t="s">
        <v>23</v>
      </c>
      <c r="C33" s="74">
        <v>35</v>
      </c>
      <c r="D33" s="75">
        <v>29</v>
      </c>
      <c r="E33" s="75">
        <f t="shared" si="5"/>
        <v>64</v>
      </c>
      <c r="F33" s="75">
        <v>1</v>
      </c>
      <c r="G33" s="75">
        <v>2</v>
      </c>
      <c r="H33" s="75">
        <f t="shared" si="6"/>
        <v>3</v>
      </c>
      <c r="I33" s="75">
        <v>41</v>
      </c>
      <c r="J33" s="75">
        <v>24</v>
      </c>
      <c r="K33" s="76">
        <f t="shared" si="7"/>
        <v>65</v>
      </c>
      <c r="L33" s="61">
        <v>26</v>
      </c>
      <c r="M33" s="62" t="s">
        <v>23</v>
      </c>
      <c r="N33" s="75">
        <v>0</v>
      </c>
      <c r="O33" s="75">
        <v>0</v>
      </c>
      <c r="P33" s="75">
        <f t="shared" si="8"/>
        <v>0</v>
      </c>
      <c r="Q33" s="62">
        <v>0</v>
      </c>
      <c r="R33" s="62">
        <v>0</v>
      </c>
      <c r="S33" s="62">
        <f t="shared" si="9"/>
        <v>0</v>
      </c>
      <c r="T33" s="62">
        <v>0</v>
      </c>
      <c r="U33" s="62">
        <v>0</v>
      </c>
      <c r="V33" s="79">
        <f t="shared" si="10"/>
        <v>0</v>
      </c>
      <c r="W33" s="63">
        <v>26</v>
      </c>
      <c r="X33" s="74" t="s">
        <v>23</v>
      </c>
      <c r="Y33" s="62">
        <v>0</v>
      </c>
      <c r="Z33" s="62">
        <v>0</v>
      </c>
      <c r="AA33" s="62">
        <f t="shared" si="0"/>
        <v>0</v>
      </c>
      <c r="AB33" s="62">
        <v>0</v>
      </c>
      <c r="AC33" s="62">
        <v>0</v>
      </c>
      <c r="AD33" s="75">
        <f t="shared" si="1"/>
        <v>0</v>
      </c>
      <c r="AE33" s="74">
        <v>0</v>
      </c>
      <c r="AF33" s="75">
        <v>0</v>
      </c>
      <c r="AG33" s="76">
        <f t="shared" si="2"/>
        <v>0</v>
      </c>
      <c r="AH33" s="63">
        <v>26</v>
      </c>
      <c r="AI33" s="74" t="s">
        <v>23</v>
      </c>
      <c r="AJ33" s="75">
        <v>5</v>
      </c>
      <c r="AK33" s="75">
        <v>0</v>
      </c>
      <c r="AL33" s="75">
        <f t="shared" si="11"/>
        <v>5</v>
      </c>
      <c r="AM33" s="75">
        <v>0</v>
      </c>
      <c r="AN33" s="75">
        <v>1</v>
      </c>
      <c r="AO33" s="75">
        <f t="shared" si="12"/>
        <v>1</v>
      </c>
      <c r="AP33" s="75">
        <f t="shared" si="3"/>
        <v>82</v>
      </c>
      <c r="AQ33" s="75">
        <f t="shared" si="4"/>
        <v>56</v>
      </c>
      <c r="AR33" s="79">
        <f t="shared" si="13"/>
        <v>138</v>
      </c>
    </row>
    <row r="34" spans="1:44" ht="13.5" customHeight="1" x14ac:dyDescent="0.25">
      <c r="A34" s="58">
        <v>27</v>
      </c>
      <c r="B34" s="59" t="s">
        <v>24</v>
      </c>
      <c r="C34" s="59">
        <v>5</v>
      </c>
      <c r="D34" s="60">
        <v>5</v>
      </c>
      <c r="E34" s="60">
        <f t="shared" si="5"/>
        <v>10</v>
      </c>
      <c r="F34" s="60">
        <v>0</v>
      </c>
      <c r="G34" s="60">
        <v>0</v>
      </c>
      <c r="H34" s="60">
        <f t="shared" si="6"/>
        <v>0</v>
      </c>
      <c r="I34" s="60">
        <v>0</v>
      </c>
      <c r="J34" s="60">
        <v>0</v>
      </c>
      <c r="K34" s="69">
        <f t="shared" si="7"/>
        <v>0</v>
      </c>
      <c r="L34" s="52">
        <v>27</v>
      </c>
      <c r="M34" s="48" t="s">
        <v>24</v>
      </c>
      <c r="N34" s="60">
        <v>0</v>
      </c>
      <c r="O34" s="60">
        <v>0</v>
      </c>
      <c r="P34" s="60">
        <f t="shared" si="8"/>
        <v>0</v>
      </c>
      <c r="Q34" s="48">
        <v>0</v>
      </c>
      <c r="R34" s="48">
        <v>0</v>
      </c>
      <c r="S34" s="48">
        <f t="shared" si="9"/>
        <v>0</v>
      </c>
      <c r="T34" s="48">
        <v>0</v>
      </c>
      <c r="U34" s="48">
        <v>0</v>
      </c>
      <c r="V34" s="78">
        <f t="shared" si="10"/>
        <v>0</v>
      </c>
      <c r="W34" s="58">
        <v>27</v>
      </c>
      <c r="X34" s="59" t="s">
        <v>24</v>
      </c>
      <c r="Y34" s="48">
        <v>0</v>
      </c>
      <c r="Z34" s="48">
        <v>0</v>
      </c>
      <c r="AA34" s="48">
        <f t="shared" si="0"/>
        <v>0</v>
      </c>
      <c r="AB34" s="48">
        <v>0</v>
      </c>
      <c r="AC34" s="48">
        <v>0</v>
      </c>
      <c r="AD34" s="60">
        <f t="shared" si="1"/>
        <v>0</v>
      </c>
      <c r="AE34" s="59">
        <v>0</v>
      </c>
      <c r="AF34" s="60">
        <v>0</v>
      </c>
      <c r="AG34" s="69">
        <f t="shared" si="2"/>
        <v>0</v>
      </c>
      <c r="AH34" s="58">
        <v>27</v>
      </c>
      <c r="AI34" s="59" t="s">
        <v>24</v>
      </c>
      <c r="AJ34" s="60">
        <v>0</v>
      </c>
      <c r="AK34" s="60">
        <v>0</v>
      </c>
      <c r="AL34" s="60">
        <f t="shared" si="11"/>
        <v>0</v>
      </c>
      <c r="AM34" s="60">
        <v>0</v>
      </c>
      <c r="AN34" s="60">
        <v>0</v>
      </c>
      <c r="AO34" s="60">
        <f t="shared" si="12"/>
        <v>0</v>
      </c>
      <c r="AP34" s="60">
        <f t="shared" si="3"/>
        <v>5</v>
      </c>
      <c r="AQ34" s="60">
        <f t="shared" si="4"/>
        <v>5</v>
      </c>
      <c r="AR34" s="78">
        <f t="shared" si="13"/>
        <v>10</v>
      </c>
    </row>
    <row r="35" spans="1:44" s="43" customFormat="1" ht="13.5" customHeight="1" x14ac:dyDescent="0.25">
      <c r="A35" s="63">
        <v>28</v>
      </c>
      <c r="B35" s="74" t="s">
        <v>49</v>
      </c>
      <c r="C35" s="74">
        <v>26</v>
      </c>
      <c r="D35" s="75">
        <v>10</v>
      </c>
      <c r="E35" s="75">
        <f t="shared" si="5"/>
        <v>36</v>
      </c>
      <c r="F35" s="75">
        <v>0</v>
      </c>
      <c r="G35" s="75">
        <v>3</v>
      </c>
      <c r="H35" s="75">
        <f t="shared" si="6"/>
        <v>3</v>
      </c>
      <c r="I35" s="75">
        <v>0</v>
      </c>
      <c r="J35" s="75">
        <v>0</v>
      </c>
      <c r="K35" s="76">
        <f t="shared" si="7"/>
        <v>0</v>
      </c>
      <c r="L35" s="61">
        <v>28</v>
      </c>
      <c r="M35" s="62" t="s">
        <v>49</v>
      </c>
      <c r="N35" s="75">
        <v>0</v>
      </c>
      <c r="O35" s="75">
        <v>0</v>
      </c>
      <c r="P35" s="75">
        <f t="shared" si="8"/>
        <v>0</v>
      </c>
      <c r="Q35" s="62">
        <v>13</v>
      </c>
      <c r="R35" s="62">
        <v>3</v>
      </c>
      <c r="S35" s="62">
        <f t="shared" si="9"/>
        <v>16</v>
      </c>
      <c r="T35" s="62">
        <v>1</v>
      </c>
      <c r="U35" s="62">
        <v>0</v>
      </c>
      <c r="V35" s="79">
        <f t="shared" si="10"/>
        <v>1</v>
      </c>
      <c r="W35" s="63">
        <v>28</v>
      </c>
      <c r="X35" s="74" t="s">
        <v>49</v>
      </c>
      <c r="Y35" s="62">
        <v>0</v>
      </c>
      <c r="Z35" s="62">
        <v>0</v>
      </c>
      <c r="AA35" s="62">
        <f t="shared" si="0"/>
        <v>0</v>
      </c>
      <c r="AB35" s="62">
        <v>0</v>
      </c>
      <c r="AC35" s="62">
        <v>0</v>
      </c>
      <c r="AD35" s="75">
        <f t="shared" si="1"/>
        <v>0</v>
      </c>
      <c r="AE35" s="74">
        <v>0</v>
      </c>
      <c r="AF35" s="75">
        <v>0</v>
      </c>
      <c r="AG35" s="76">
        <f t="shared" si="2"/>
        <v>0</v>
      </c>
      <c r="AH35" s="63">
        <v>28</v>
      </c>
      <c r="AI35" s="74" t="s">
        <v>49</v>
      </c>
      <c r="AJ35" s="75">
        <v>0</v>
      </c>
      <c r="AK35" s="75">
        <v>0</v>
      </c>
      <c r="AL35" s="75">
        <f t="shared" si="11"/>
        <v>0</v>
      </c>
      <c r="AM35" s="75">
        <v>0</v>
      </c>
      <c r="AN35" s="75">
        <v>0</v>
      </c>
      <c r="AO35" s="75">
        <f t="shared" si="12"/>
        <v>0</v>
      </c>
      <c r="AP35" s="75">
        <f t="shared" si="3"/>
        <v>40</v>
      </c>
      <c r="AQ35" s="75">
        <f t="shared" si="4"/>
        <v>16</v>
      </c>
      <c r="AR35" s="79">
        <f t="shared" si="13"/>
        <v>56</v>
      </c>
    </row>
    <row r="36" spans="1:44" ht="13.5" customHeight="1" x14ac:dyDescent="0.25">
      <c r="A36" s="51"/>
      <c r="B36" s="50" t="s">
        <v>25</v>
      </c>
      <c r="C36" s="64">
        <f>SUM(C8:C35)</f>
        <v>747</v>
      </c>
      <c r="D36" s="64">
        <f t="shared" ref="D36:K36" si="14">SUM(D8:D35)</f>
        <v>734</v>
      </c>
      <c r="E36" s="64">
        <f t="shared" si="14"/>
        <v>1481</v>
      </c>
      <c r="F36" s="64">
        <f t="shared" si="14"/>
        <v>159</v>
      </c>
      <c r="G36" s="64">
        <f t="shared" si="14"/>
        <v>131</v>
      </c>
      <c r="H36" s="64">
        <f t="shared" si="14"/>
        <v>290</v>
      </c>
      <c r="I36" s="64">
        <f t="shared" si="14"/>
        <v>89</v>
      </c>
      <c r="J36" s="64">
        <f t="shared" si="14"/>
        <v>66</v>
      </c>
      <c r="K36" s="70">
        <f t="shared" si="14"/>
        <v>155</v>
      </c>
      <c r="L36" s="51"/>
      <c r="M36" s="50" t="s">
        <v>25</v>
      </c>
      <c r="N36" s="64">
        <f>SUM(N8:N35)</f>
        <v>4</v>
      </c>
      <c r="O36" s="64">
        <f>SUM(O8:O35)</f>
        <v>3</v>
      </c>
      <c r="P36" s="64">
        <f>SUM(P8:P35)</f>
        <v>7</v>
      </c>
      <c r="Q36" s="64">
        <f>SUM(Q8:Q35)</f>
        <v>15</v>
      </c>
      <c r="R36" s="64">
        <f t="shared" ref="R36:V36" si="15">SUM(R8:R35)</f>
        <v>15</v>
      </c>
      <c r="S36" s="64">
        <f t="shared" si="15"/>
        <v>30</v>
      </c>
      <c r="T36" s="64">
        <f t="shared" si="15"/>
        <v>1</v>
      </c>
      <c r="U36" s="64">
        <f t="shared" si="15"/>
        <v>0</v>
      </c>
      <c r="V36" s="70">
        <f t="shared" si="15"/>
        <v>1</v>
      </c>
      <c r="W36" s="51"/>
      <c r="X36" s="50" t="s">
        <v>25</v>
      </c>
      <c r="Y36" s="64">
        <f>SUM(Y8:Y35)</f>
        <v>6</v>
      </c>
      <c r="Z36" s="64">
        <f>SUM(Z8:Z35)</f>
        <v>5</v>
      </c>
      <c r="AA36" s="64">
        <f>SUM(AA8:AA35)</f>
        <v>11</v>
      </c>
      <c r="AB36" s="64">
        <f>SUM(AB8:AB35)</f>
        <v>2</v>
      </c>
      <c r="AC36" s="64">
        <f t="shared" ref="AC36:AG36" si="16">SUM(AC8:AC35)</f>
        <v>2</v>
      </c>
      <c r="AD36" s="64">
        <f t="shared" si="16"/>
        <v>4</v>
      </c>
      <c r="AE36" s="64">
        <f t="shared" si="16"/>
        <v>7</v>
      </c>
      <c r="AF36" s="64">
        <f t="shared" si="16"/>
        <v>8</v>
      </c>
      <c r="AG36" s="70">
        <f t="shared" si="16"/>
        <v>15</v>
      </c>
      <c r="AH36" s="51"/>
      <c r="AI36" s="50" t="s">
        <v>25</v>
      </c>
      <c r="AJ36" s="64">
        <f>SUM(AJ8:AJ35)</f>
        <v>24</v>
      </c>
      <c r="AK36" s="64">
        <f t="shared" ref="AK36:AR36" si="17">SUM(AK8:AK35)</f>
        <v>11</v>
      </c>
      <c r="AL36" s="64">
        <f t="shared" si="17"/>
        <v>35</v>
      </c>
      <c r="AM36" s="64">
        <f t="shared" si="17"/>
        <v>13</v>
      </c>
      <c r="AN36" s="64">
        <f t="shared" si="17"/>
        <v>1</v>
      </c>
      <c r="AO36" s="64">
        <f t="shared" si="17"/>
        <v>14</v>
      </c>
      <c r="AP36" s="64">
        <f t="shared" si="17"/>
        <v>1067</v>
      </c>
      <c r="AQ36" s="64">
        <f t="shared" si="17"/>
        <v>976</v>
      </c>
      <c r="AR36" s="70">
        <f t="shared" si="17"/>
        <v>2043</v>
      </c>
    </row>
    <row r="37" spans="1:44" ht="15.75" customHeight="1" x14ac:dyDescent="0.25">
      <c r="A37" s="53" t="s">
        <v>85</v>
      </c>
      <c r="B37" s="42"/>
      <c r="C37" s="42"/>
      <c r="D37" s="42"/>
      <c r="E37" s="42"/>
      <c r="F37" s="42"/>
      <c r="G37" s="42"/>
      <c r="H37" s="42"/>
      <c r="I37" s="42"/>
      <c r="J37" s="42"/>
      <c r="K37" s="73"/>
      <c r="L37" s="53" t="s">
        <v>85</v>
      </c>
      <c r="M37" s="42"/>
      <c r="N37" s="42"/>
      <c r="O37" s="49"/>
      <c r="P37" s="49"/>
      <c r="Q37" s="42"/>
      <c r="R37" s="42"/>
      <c r="S37" s="42"/>
      <c r="T37" s="42"/>
      <c r="U37" s="42"/>
      <c r="V37" s="73"/>
      <c r="W37" s="53" t="s">
        <v>85</v>
      </c>
      <c r="X37" s="42"/>
      <c r="Y37" s="42"/>
      <c r="Z37" s="42"/>
      <c r="AA37" s="42"/>
      <c r="AB37" s="42"/>
      <c r="AC37" s="42"/>
      <c r="AD37" s="42"/>
      <c r="AE37" s="42"/>
      <c r="AF37" s="42"/>
      <c r="AG37" s="73"/>
      <c r="AH37" s="53" t="s">
        <v>85</v>
      </c>
      <c r="AI37" s="42"/>
      <c r="AJ37" s="42"/>
      <c r="AK37" s="42"/>
      <c r="AL37" s="42"/>
      <c r="AM37" s="42"/>
      <c r="AN37" s="42"/>
      <c r="AO37" s="42"/>
      <c r="AP37" s="42"/>
      <c r="AQ37" s="49"/>
      <c r="AR37" s="73"/>
    </row>
    <row r="38" spans="1:44" ht="13.5" customHeight="1" x14ac:dyDescent="0.25">
      <c r="A38" s="52">
        <v>29</v>
      </c>
      <c r="B38" s="48" t="s">
        <v>26</v>
      </c>
      <c r="C38" s="48">
        <v>0</v>
      </c>
      <c r="D38" s="60">
        <v>0</v>
      </c>
      <c r="E38" s="60">
        <f>+D38+C38</f>
        <v>0</v>
      </c>
      <c r="F38" s="60">
        <v>0</v>
      </c>
      <c r="G38" s="60">
        <v>0</v>
      </c>
      <c r="H38" s="60">
        <f>+G38+F38</f>
        <v>0</v>
      </c>
      <c r="I38" s="60">
        <v>0</v>
      </c>
      <c r="J38" s="60">
        <v>0</v>
      </c>
      <c r="K38" s="69">
        <f>+J38+I38</f>
        <v>0</v>
      </c>
      <c r="L38" s="52">
        <v>29</v>
      </c>
      <c r="M38" s="48" t="s">
        <v>26</v>
      </c>
      <c r="N38" s="60">
        <v>0</v>
      </c>
      <c r="O38" s="60">
        <v>0</v>
      </c>
      <c r="P38" s="60">
        <f>+O38+N38</f>
        <v>0</v>
      </c>
      <c r="Q38" s="48">
        <v>0</v>
      </c>
      <c r="R38" s="48">
        <v>0</v>
      </c>
      <c r="S38" s="48">
        <f>+R38+Q38</f>
        <v>0</v>
      </c>
      <c r="T38" s="48">
        <v>0</v>
      </c>
      <c r="U38" s="48">
        <v>0</v>
      </c>
      <c r="V38" s="78">
        <f>+U38+T38</f>
        <v>0</v>
      </c>
      <c r="W38" s="52">
        <v>29</v>
      </c>
      <c r="X38" s="48" t="s">
        <v>26</v>
      </c>
      <c r="Y38" s="48">
        <v>0</v>
      </c>
      <c r="Z38" s="48">
        <v>0</v>
      </c>
      <c r="AA38" s="48">
        <f t="shared" ref="AA38:AA45" si="18">+Z38+Y38</f>
        <v>0</v>
      </c>
      <c r="AB38" s="48">
        <v>0</v>
      </c>
      <c r="AC38" s="48">
        <v>0</v>
      </c>
      <c r="AD38" s="60">
        <f t="shared" ref="AD38:AD45" si="19">+AC38+AB38</f>
        <v>0</v>
      </c>
      <c r="AE38" s="48">
        <v>0</v>
      </c>
      <c r="AF38" s="60">
        <v>0</v>
      </c>
      <c r="AG38" s="69">
        <f t="shared" ref="AG38:AG45" si="20">+AF38+AE38</f>
        <v>0</v>
      </c>
      <c r="AH38" s="52">
        <v>29</v>
      </c>
      <c r="AI38" s="48" t="s">
        <v>26</v>
      </c>
      <c r="AJ38" s="60">
        <v>0</v>
      </c>
      <c r="AK38" s="60">
        <v>0</v>
      </c>
      <c r="AL38" s="60">
        <f t="shared" ref="AL38:AL45" si="21">+AK38+AJ38</f>
        <v>0</v>
      </c>
      <c r="AM38" s="60">
        <v>0</v>
      </c>
      <c r="AN38" s="60">
        <v>0</v>
      </c>
      <c r="AO38" s="60">
        <f t="shared" ref="AO38:AO45" si="22">+AN38+AM38</f>
        <v>0</v>
      </c>
      <c r="AP38" s="60">
        <f t="shared" ref="AP38:AQ45" si="23">+AM38+AJ38+AE38+AB38+Y38+T38+Q38+N38+I38+F38+C38</f>
        <v>0</v>
      </c>
      <c r="AQ38" s="60">
        <f t="shared" si="23"/>
        <v>0</v>
      </c>
      <c r="AR38" s="78">
        <f t="shared" ref="AR38:AR45" si="24">+AQ38+AP38</f>
        <v>0</v>
      </c>
    </row>
    <row r="39" spans="1:44" ht="13.5" customHeight="1" x14ac:dyDescent="0.25">
      <c r="A39" s="61">
        <v>30</v>
      </c>
      <c r="B39" s="62" t="s">
        <v>27</v>
      </c>
      <c r="C39" s="62">
        <v>1</v>
      </c>
      <c r="D39" s="75">
        <v>0</v>
      </c>
      <c r="E39" s="75">
        <f t="shared" ref="E39:E45" si="25">+D39+C39</f>
        <v>1</v>
      </c>
      <c r="F39" s="75">
        <v>0</v>
      </c>
      <c r="G39" s="75">
        <v>0</v>
      </c>
      <c r="H39" s="75">
        <f t="shared" ref="H39:H45" si="26">+G39+F39</f>
        <v>0</v>
      </c>
      <c r="I39" s="75">
        <v>2</v>
      </c>
      <c r="J39" s="75">
        <v>0</v>
      </c>
      <c r="K39" s="76">
        <f t="shared" ref="K39:K45" si="27">+J39+I39</f>
        <v>2</v>
      </c>
      <c r="L39" s="61">
        <v>30</v>
      </c>
      <c r="M39" s="62" t="s">
        <v>27</v>
      </c>
      <c r="N39" s="75">
        <v>0</v>
      </c>
      <c r="O39" s="75">
        <v>0</v>
      </c>
      <c r="P39" s="75">
        <f t="shared" ref="P39:P45" si="28">+O39+N39</f>
        <v>0</v>
      </c>
      <c r="Q39" s="62">
        <v>0</v>
      </c>
      <c r="R39" s="62">
        <v>0</v>
      </c>
      <c r="S39" s="62">
        <f t="shared" ref="S39:S45" si="29">+R39+Q39</f>
        <v>0</v>
      </c>
      <c r="T39" s="62">
        <v>0</v>
      </c>
      <c r="U39" s="62">
        <v>0</v>
      </c>
      <c r="V39" s="79">
        <f t="shared" ref="V39:V45" si="30">+U39+T39</f>
        <v>0</v>
      </c>
      <c r="W39" s="61">
        <v>30</v>
      </c>
      <c r="X39" s="62" t="s">
        <v>27</v>
      </c>
      <c r="Y39" s="62">
        <v>0</v>
      </c>
      <c r="Z39" s="62">
        <v>0</v>
      </c>
      <c r="AA39" s="62">
        <f t="shared" si="18"/>
        <v>0</v>
      </c>
      <c r="AB39" s="62">
        <v>0</v>
      </c>
      <c r="AC39" s="62">
        <v>0</v>
      </c>
      <c r="AD39" s="75">
        <f t="shared" si="19"/>
        <v>0</v>
      </c>
      <c r="AE39" s="62">
        <v>0</v>
      </c>
      <c r="AF39" s="75">
        <v>0</v>
      </c>
      <c r="AG39" s="76">
        <f t="shared" si="20"/>
        <v>0</v>
      </c>
      <c r="AH39" s="61">
        <v>30</v>
      </c>
      <c r="AI39" s="62" t="s">
        <v>27</v>
      </c>
      <c r="AJ39" s="75">
        <v>0</v>
      </c>
      <c r="AK39" s="75">
        <v>0</v>
      </c>
      <c r="AL39" s="75">
        <f t="shared" si="21"/>
        <v>0</v>
      </c>
      <c r="AM39" s="75">
        <v>0</v>
      </c>
      <c r="AN39" s="75">
        <v>0</v>
      </c>
      <c r="AO39" s="75">
        <f t="shared" si="22"/>
        <v>0</v>
      </c>
      <c r="AP39" s="75">
        <f t="shared" si="23"/>
        <v>3</v>
      </c>
      <c r="AQ39" s="75">
        <f t="shared" si="23"/>
        <v>0</v>
      </c>
      <c r="AR39" s="79">
        <f t="shared" si="24"/>
        <v>3</v>
      </c>
    </row>
    <row r="40" spans="1:44" ht="13.5" customHeight="1" x14ac:dyDescent="0.25">
      <c r="A40" s="52">
        <v>31</v>
      </c>
      <c r="B40" s="48" t="s">
        <v>86</v>
      </c>
      <c r="C40" s="48">
        <v>0</v>
      </c>
      <c r="D40" s="60">
        <v>0</v>
      </c>
      <c r="E40" s="60">
        <f t="shared" si="25"/>
        <v>0</v>
      </c>
      <c r="F40" s="60">
        <v>0</v>
      </c>
      <c r="G40" s="60">
        <v>0</v>
      </c>
      <c r="H40" s="60">
        <f t="shared" si="26"/>
        <v>0</v>
      </c>
      <c r="I40" s="60">
        <v>0</v>
      </c>
      <c r="J40" s="60">
        <v>0</v>
      </c>
      <c r="K40" s="69">
        <f t="shared" si="27"/>
        <v>0</v>
      </c>
      <c r="L40" s="52">
        <v>31</v>
      </c>
      <c r="M40" s="48" t="s">
        <v>86</v>
      </c>
      <c r="N40" s="60">
        <v>0</v>
      </c>
      <c r="O40" s="60">
        <v>0</v>
      </c>
      <c r="P40" s="60">
        <f t="shared" si="28"/>
        <v>0</v>
      </c>
      <c r="Q40" s="48">
        <v>0</v>
      </c>
      <c r="R40" s="48">
        <v>0</v>
      </c>
      <c r="S40" s="48">
        <f t="shared" si="29"/>
        <v>0</v>
      </c>
      <c r="T40" s="48">
        <v>0</v>
      </c>
      <c r="U40" s="48">
        <v>0</v>
      </c>
      <c r="V40" s="78">
        <f t="shared" si="30"/>
        <v>0</v>
      </c>
      <c r="W40" s="52">
        <v>31</v>
      </c>
      <c r="X40" s="48" t="s">
        <v>86</v>
      </c>
      <c r="Y40" s="48">
        <v>0</v>
      </c>
      <c r="Z40" s="48">
        <v>0</v>
      </c>
      <c r="AA40" s="48">
        <f t="shared" si="18"/>
        <v>0</v>
      </c>
      <c r="AB40" s="48">
        <v>0</v>
      </c>
      <c r="AC40" s="48">
        <v>0</v>
      </c>
      <c r="AD40" s="60">
        <f t="shared" si="19"/>
        <v>0</v>
      </c>
      <c r="AE40" s="48">
        <v>0</v>
      </c>
      <c r="AF40" s="60">
        <v>0</v>
      </c>
      <c r="AG40" s="69">
        <f t="shared" si="20"/>
        <v>0</v>
      </c>
      <c r="AH40" s="52">
        <v>31</v>
      </c>
      <c r="AI40" s="48" t="s">
        <v>86</v>
      </c>
      <c r="AJ40" s="60">
        <v>0</v>
      </c>
      <c r="AK40" s="60">
        <v>0</v>
      </c>
      <c r="AL40" s="60">
        <f t="shared" si="21"/>
        <v>0</v>
      </c>
      <c r="AM40" s="60">
        <v>0</v>
      </c>
      <c r="AN40" s="60">
        <v>0</v>
      </c>
      <c r="AO40" s="60">
        <f t="shared" si="22"/>
        <v>0</v>
      </c>
      <c r="AP40" s="60">
        <f t="shared" si="23"/>
        <v>0</v>
      </c>
      <c r="AQ40" s="60">
        <f t="shared" si="23"/>
        <v>0</v>
      </c>
      <c r="AR40" s="78">
        <f t="shared" si="24"/>
        <v>0</v>
      </c>
    </row>
    <row r="41" spans="1:44" s="43" customFormat="1" ht="13.5" customHeight="1" x14ac:dyDescent="0.25">
      <c r="A41" s="63">
        <v>32</v>
      </c>
      <c r="B41" s="74" t="s">
        <v>28</v>
      </c>
      <c r="C41" s="74">
        <v>26</v>
      </c>
      <c r="D41" s="75">
        <v>21</v>
      </c>
      <c r="E41" s="75">
        <f t="shared" si="25"/>
        <v>47</v>
      </c>
      <c r="F41" s="75">
        <v>0</v>
      </c>
      <c r="G41" s="75">
        <v>0</v>
      </c>
      <c r="H41" s="75">
        <f t="shared" si="26"/>
        <v>0</v>
      </c>
      <c r="I41" s="75">
        <v>3</v>
      </c>
      <c r="J41" s="75">
        <v>1</v>
      </c>
      <c r="K41" s="76">
        <f t="shared" si="27"/>
        <v>4</v>
      </c>
      <c r="L41" s="63">
        <v>32</v>
      </c>
      <c r="M41" s="62" t="s">
        <v>28</v>
      </c>
      <c r="N41" s="75">
        <v>0</v>
      </c>
      <c r="O41" s="75">
        <v>0</v>
      </c>
      <c r="P41" s="75">
        <f t="shared" si="28"/>
        <v>0</v>
      </c>
      <c r="Q41" s="62">
        <v>0</v>
      </c>
      <c r="R41" s="62">
        <v>0</v>
      </c>
      <c r="S41" s="62">
        <f t="shared" si="29"/>
        <v>0</v>
      </c>
      <c r="T41" s="62">
        <v>0</v>
      </c>
      <c r="U41" s="62">
        <v>0</v>
      </c>
      <c r="V41" s="79">
        <f t="shared" si="30"/>
        <v>0</v>
      </c>
      <c r="W41" s="63">
        <v>32</v>
      </c>
      <c r="X41" s="74" t="s">
        <v>28</v>
      </c>
      <c r="Y41" s="62">
        <v>0</v>
      </c>
      <c r="Z41" s="62">
        <v>0</v>
      </c>
      <c r="AA41" s="62">
        <f t="shared" si="18"/>
        <v>0</v>
      </c>
      <c r="AB41" s="62">
        <v>0</v>
      </c>
      <c r="AC41" s="62">
        <v>0</v>
      </c>
      <c r="AD41" s="75">
        <f t="shared" si="19"/>
        <v>0</v>
      </c>
      <c r="AE41" s="74">
        <v>0</v>
      </c>
      <c r="AF41" s="75">
        <v>0</v>
      </c>
      <c r="AG41" s="76">
        <f t="shared" si="20"/>
        <v>0</v>
      </c>
      <c r="AH41" s="63">
        <v>32</v>
      </c>
      <c r="AI41" s="74" t="s">
        <v>28</v>
      </c>
      <c r="AJ41" s="75">
        <v>8</v>
      </c>
      <c r="AK41" s="75">
        <v>6</v>
      </c>
      <c r="AL41" s="75">
        <f t="shared" si="21"/>
        <v>14</v>
      </c>
      <c r="AM41" s="75">
        <v>0</v>
      </c>
      <c r="AN41" s="75">
        <v>0</v>
      </c>
      <c r="AO41" s="75">
        <f t="shared" si="22"/>
        <v>0</v>
      </c>
      <c r="AP41" s="75">
        <f t="shared" si="23"/>
        <v>37</v>
      </c>
      <c r="AQ41" s="75">
        <f t="shared" si="23"/>
        <v>28</v>
      </c>
      <c r="AR41" s="79">
        <f t="shared" si="24"/>
        <v>65</v>
      </c>
    </row>
    <row r="42" spans="1:44" s="43" customFormat="1" ht="13.5" customHeight="1" x14ac:dyDescent="0.25">
      <c r="A42" s="52">
        <v>33</v>
      </c>
      <c r="B42" s="48" t="s">
        <v>8</v>
      </c>
      <c r="C42" s="48">
        <v>13</v>
      </c>
      <c r="D42" s="60">
        <v>4</v>
      </c>
      <c r="E42" s="60">
        <f t="shared" si="25"/>
        <v>17</v>
      </c>
      <c r="F42" s="60">
        <v>0</v>
      </c>
      <c r="G42" s="60">
        <v>0</v>
      </c>
      <c r="H42" s="60">
        <f t="shared" si="26"/>
        <v>0</v>
      </c>
      <c r="I42" s="60">
        <v>0</v>
      </c>
      <c r="J42" s="60">
        <v>0</v>
      </c>
      <c r="K42" s="69">
        <f t="shared" si="27"/>
        <v>0</v>
      </c>
      <c r="L42" s="52">
        <v>33</v>
      </c>
      <c r="M42" s="48" t="s">
        <v>8</v>
      </c>
      <c r="N42" s="60">
        <v>0</v>
      </c>
      <c r="O42" s="60">
        <v>0</v>
      </c>
      <c r="P42" s="60">
        <f t="shared" si="28"/>
        <v>0</v>
      </c>
      <c r="Q42" s="48">
        <v>0</v>
      </c>
      <c r="R42" s="48">
        <v>0</v>
      </c>
      <c r="S42" s="48">
        <f t="shared" si="29"/>
        <v>0</v>
      </c>
      <c r="T42" s="48">
        <v>0</v>
      </c>
      <c r="U42" s="48">
        <v>0</v>
      </c>
      <c r="V42" s="78">
        <f t="shared" si="30"/>
        <v>0</v>
      </c>
      <c r="W42" s="52">
        <v>33</v>
      </c>
      <c r="X42" s="48" t="s">
        <v>8</v>
      </c>
      <c r="Y42" s="48">
        <v>0</v>
      </c>
      <c r="Z42" s="48">
        <v>0</v>
      </c>
      <c r="AA42" s="48">
        <f t="shared" si="18"/>
        <v>0</v>
      </c>
      <c r="AB42" s="48">
        <v>0</v>
      </c>
      <c r="AC42" s="48">
        <v>0</v>
      </c>
      <c r="AD42" s="60">
        <f t="shared" si="19"/>
        <v>0</v>
      </c>
      <c r="AE42" s="48">
        <v>0</v>
      </c>
      <c r="AF42" s="60">
        <v>0</v>
      </c>
      <c r="AG42" s="69">
        <f t="shared" si="20"/>
        <v>0</v>
      </c>
      <c r="AH42" s="52">
        <v>33</v>
      </c>
      <c r="AI42" s="48" t="s">
        <v>8</v>
      </c>
      <c r="AJ42" s="60">
        <v>0</v>
      </c>
      <c r="AK42" s="60">
        <v>0</v>
      </c>
      <c r="AL42" s="60">
        <f t="shared" si="21"/>
        <v>0</v>
      </c>
      <c r="AM42" s="60">
        <v>0</v>
      </c>
      <c r="AN42" s="60">
        <v>0</v>
      </c>
      <c r="AO42" s="60">
        <f t="shared" si="22"/>
        <v>0</v>
      </c>
      <c r="AP42" s="60">
        <f t="shared" si="23"/>
        <v>13</v>
      </c>
      <c r="AQ42" s="60">
        <f t="shared" si="23"/>
        <v>4</v>
      </c>
      <c r="AR42" s="78">
        <f t="shared" si="24"/>
        <v>17</v>
      </c>
    </row>
    <row r="43" spans="1:44" s="43" customFormat="1" ht="13.5" customHeight="1" x14ac:dyDescent="0.25">
      <c r="A43" s="61">
        <v>34</v>
      </c>
      <c r="B43" s="62" t="s">
        <v>87</v>
      </c>
      <c r="C43" s="62">
        <v>0</v>
      </c>
      <c r="D43" s="75">
        <v>0</v>
      </c>
      <c r="E43" s="75">
        <f t="shared" si="25"/>
        <v>0</v>
      </c>
      <c r="F43" s="75">
        <v>0</v>
      </c>
      <c r="G43" s="75">
        <v>0</v>
      </c>
      <c r="H43" s="75">
        <f t="shared" si="26"/>
        <v>0</v>
      </c>
      <c r="I43" s="75">
        <v>0</v>
      </c>
      <c r="J43" s="75">
        <v>0</v>
      </c>
      <c r="K43" s="76">
        <f t="shared" si="27"/>
        <v>0</v>
      </c>
      <c r="L43" s="61">
        <v>34</v>
      </c>
      <c r="M43" s="62" t="s">
        <v>87</v>
      </c>
      <c r="N43" s="75">
        <v>0</v>
      </c>
      <c r="O43" s="75">
        <v>0</v>
      </c>
      <c r="P43" s="75">
        <f t="shared" si="28"/>
        <v>0</v>
      </c>
      <c r="Q43" s="62">
        <v>0</v>
      </c>
      <c r="R43" s="62">
        <v>0</v>
      </c>
      <c r="S43" s="62">
        <f t="shared" si="29"/>
        <v>0</v>
      </c>
      <c r="T43" s="62">
        <v>0</v>
      </c>
      <c r="U43" s="62">
        <v>0</v>
      </c>
      <c r="V43" s="79">
        <f t="shared" si="30"/>
        <v>0</v>
      </c>
      <c r="W43" s="61">
        <v>34</v>
      </c>
      <c r="X43" s="62" t="s">
        <v>87</v>
      </c>
      <c r="Y43" s="62">
        <v>0</v>
      </c>
      <c r="Z43" s="62">
        <v>0</v>
      </c>
      <c r="AA43" s="62">
        <f t="shared" si="18"/>
        <v>0</v>
      </c>
      <c r="AB43" s="62">
        <v>0</v>
      </c>
      <c r="AC43" s="62">
        <v>0</v>
      </c>
      <c r="AD43" s="75">
        <f t="shared" si="19"/>
        <v>0</v>
      </c>
      <c r="AE43" s="62">
        <v>0</v>
      </c>
      <c r="AF43" s="75">
        <v>0</v>
      </c>
      <c r="AG43" s="76">
        <f t="shared" si="20"/>
        <v>0</v>
      </c>
      <c r="AH43" s="61">
        <v>34</v>
      </c>
      <c r="AI43" s="62" t="s">
        <v>87</v>
      </c>
      <c r="AJ43" s="75">
        <v>0</v>
      </c>
      <c r="AK43" s="75">
        <v>0</v>
      </c>
      <c r="AL43" s="75">
        <f t="shared" si="21"/>
        <v>0</v>
      </c>
      <c r="AM43" s="75">
        <v>0</v>
      </c>
      <c r="AN43" s="75">
        <v>0</v>
      </c>
      <c r="AO43" s="75">
        <f t="shared" si="22"/>
        <v>0</v>
      </c>
      <c r="AP43" s="75">
        <f t="shared" si="23"/>
        <v>0</v>
      </c>
      <c r="AQ43" s="75">
        <f t="shared" si="23"/>
        <v>0</v>
      </c>
      <c r="AR43" s="79">
        <f t="shared" si="24"/>
        <v>0</v>
      </c>
    </row>
    <row r="44" spans="1:44" ht="13.5" customHeight="1" x14ac:dyDescent="0.25">
      <c r="A44" s="52">
        <v>35</v>
      </c>
      <c r="B44" s="48" t="s">
        <v>29</v>
      </c>
      <c r="C44" s="48">
        <v>0</v>
      </c>
      <c r="D44" s="60">
        <v>0</v>
      </c>
      <c r="E44" s="60">
        <f t="shared" si="25"/>
        <v>0</v>
      </c>
      <c r="F44" s="60">
        <v>0</v>
      </c>
      <c r="G44" s="60">
        <v>0</v>
      </c>
      <c r="H44" s="60">
        <f t="shared" si="26"/>
        <v>0</v>
      </c>
      <c r="I44" s="60">
        <v>0</v>
      </c>
      <c r="J44" s="60">
        <v>0</v>
      </c>
      <c r="K44" s="69">
        <f t="shared" si="27"/>
        <v>0</v>
      </c>
      <c r="L44" s="52">
        <v>35</v>
      </c>
      <c r="M44" s="48" t="s">
        <v>29</v>
      </c>
      <c r="N44" s="60">
        <v>0</v>
      </c>
      <c r="O44" s="60">
        <v>0</v>
      </c>
      <c r="P44" s="60">
        <f t="shared" si="28"/>
        <v>0</v>
      </c>
      <c r="Q44" s="48">
        <v>0</v>
      </c>
      <c r="R44" s="48">
        <v>0</v>
      </c>
      <c r="S44" s="48">
        <f t="shared" si="29"/>
        <v>0</v>
      </c>
      <c r="T44" s="48">
        <v>0</v>
      </c>
      <c r="U44" s="48">
        <v>0</v>
      </c>
      <c r="V44" s="78">
        <f t="shared" si="30"/>
        <v>0</v>
      </c>
      <c r="W44" s="52">
        <v>35</v>
      </c>
      <c r="X44" s="48" t="s">
        <v>29</v>
      </c>
      <c r="Y44" s="48">
        <v>0</v>
      </c>
      <c r="Z44" s="48">
        <v>0</v>
      </c>
      <c r="AA44" s="48">
        <f t="shared" si="18"/>
        <v>0</v>
      </c>
      <c r="AB44" s="48">
        <v>0</v>
      </c>
      <c r="AC44" s="48">
        <v>0</v>
      </c>
      <c r="AD44" s="60">
        <f t="shared" si="19"/>
        <v>0</v>
      </c>
      <c r="AE44" s="48">
        <v>0</v>
      </c>
      <c r="AF44" s="60">
        <v>0</v>
      </c>
      <c r="AG44" s="69">
        <f t="shared" si="20"/>
        <v>0</v>
      </c>
      <c r="AH44" s="52">
        <v>35</v>
      </c>
      <c r="AI44" s="48" t="s">
        <v>29</v>
      </c>
      <c r="AJ44" s="60">
        <v>0</v>
      </c>
      <c r="AK44" s="60">
        <v>0</v>
      </c>
      <c r="AL44" s="60">
        <f t="shared" si="21"/>
        <v>0</v>
      </c>
      <c r="AM44" s="60">
        <v>0</v>
      </c>
      <c r="AN44" s="60">
        <v>0</v>
      </c>
      <c r="AO44" s="60">
        <f t="shared" si="22"/>
        <v>0</v>
      </c>
      <c r="AP44" s="60">
        <f t="shared" si="23"/>
        <v>0</v>
      </c>
      <c r="AQ44" s="60">
        <f t="shared" si="23"/>
        <v>0</v>
      </c>
      <c r="AR44" s="78">
        <f t="shared" si="24"/>
        <v>0</v>
      </c>
    </row>
    <row r="45" spans="1:44" ht="13.5" customHeight="1" x14ac:dyDescent="0.25">
      <c r="A45" s="61">
        <v>36</v>
      </c>
      <c r="B45" s="62" t="s">
        <v>30</v>
      </c>
      <c r="C45" s="62">
        <v>3</v>
      </c>
      <c r="D45" s="75">
        <v>0</v>
      </c>
      <c r="E45" s="75">
        <f t="shared" si="25"/>
        <v>3</v>
      </c>
      <c r="F45" s="75">
        <v>0</v>
      </c>
      <c r="G45" s="75">
        <v>0</v>
      </c>
      <c r="H45" s="75">
        <f t="shared" si="26"/>
        <v>0</v>
      </c>
      <c r="I45" s="75">
        <v>0</v>
      </c>
      <c r="J45" s="75">
        <v>0</v>
      </c>
      <c r="K45" s="76">
        <f t="shared" si="27"/>
        <v>0</v>
      </c>
      <c r="L45" s="61">
        <v>36</v>
      </c>
      <c r="M45" s="62" t="s">
        <v>30</v>
      </c>
      <c r="N45" s="75">
        <v>0</v>
      </c>
      <c r="O45" s="75">
        <v>0</v>
      </c>
      <c r="P45" s="75">
        <f t="shared" si="28"/>
        <v>0</v>
      </c>
      <c r="Q45" s="62">
        <v>0</v>
      </c>
      <c r="R45" s="62">
        <v>0</v>
      </c>
      <c r="S45" s="62">
        <f t="shared" si="29"/>
        <v>0</v>
      </c>
      <c r="T45" s="62">
        <v>0</v>
      </c>
      <c r="U45" s="62">
        <v>0</v>
      </c>
      <c r="V45" s="79">
        <f t="shared" si="30"/>
        <v>0</v>
      </c>
      <c r="W45" s="61">
        <v>36</v>
      </c>
      <c r="X45" s="62" t="s">
        <v>30</v>
      </c>
      <c r="Y45" s="62">
        <v>0</v>
      </c>
      <c r="Z45" s="62">
        <v>0</v>
      </c>
      <c r="AA45" s="62">
        <f t="shared" si="18"/>
        <v>0</v>
      </c>
      <c r="AB45" s="62">
        <v>0</v>
      </c>
      <c r="AC45" s="62">
        <v>0</v>
      </c>
      <c r="AD45" s="75">
        <f t="shared" si="19"/>
        <v>0</v>
      </c>
      <c r="AE45" s="62">
        <v>0</v>
      </c>
      <c r="AF45" s="75">
        <v>0</v>
      </c>
      <c r="AG45" s="76">
        <f t="shared" si="20"/>
        <v>0</v>
      </c>
      <c r="AH45" s="61">
        <v>36</v>
      </c>
      <c r="AI45" s="62" t="s">
        <v>30</v>
      </c>
      <c r="AJ45" s="75">
        <v>2</v>
      </c>
      <c r="AK45" s="75">
        <v>2</v>
      </c>
      <c r="AL45" s="75">
        <f t="shared" si="21"/>
        <v>4</v>
      </c>
      <c r="AM45" s="75">
        <v>0</v>
      </c>
      <c r="AN45" s="75">
        <v>0</v>
      </c>
      <c r="AO45" s="75">
        <f t="shared" si="22"/>
        <v>0</v>
      </c>
      <c r="AP45" s="75">
        <f t="shared" si="23"/>
        <v>5</v>
      </c>
      <c r="AQ45" s="75">
        <f t="shared" si="23"/>
        <v>2</v>
      </c>
      <c r="AR45" s="79">
        <f t="shared" si="24"/>
        <v>7</v>
      </c>
    </row>
    <row r="46" spans="1:44" ht="13.5" customHeight="1" x14ac:dyDescent="0.25">
      <c r="A46" s="51"/>
      <c r="B46" s="50" t="s">
        <v>31</v>
      </c>
      <c r="C46" s="64">
        <f>SUM(C38:C45)</f>
        <v>43</v>
      </c>
      <c r="D46" s="64">
        <f t="shared" ref="D46:K46" si="31">SUM(D38:D45)</f>
        <v>25</v>
      </c>
      <c r="E46" s="64">
        <f t="shared" si="31"/>
        <v>68</v>
      </c>
      <c r="F46" s="64">
        <f t="shared" si="31"/>
        <v>0</v>
      </c>
      <c r="G46" s="64">
        <f t="shared" si="31"/>
        <v>0</v>
      </c>
      <c r="H46" s="64">
        <f t="shared" si="31"/>
        <v>0</v>
      </c>
      <c r="I46" s="64">
        <f t="shared" si="31"/>
        <v>5</v>
      </c>
      <c r="J46" s="64">
        <f t="shared" si="31"/>
        <v>1</v>
      </c>
      <c r="K46" s="70">
        <f t="shared" si="31"/>
        <v>6</v>
      </c>
      <c r="L46" s="51"/>
      <c r="M46" s="50" t="s">
        <v>31</v>
      </c>
      <c r="N46" s="64">
        <f>SUM(N38:N45)</f>
        <v>0</v>
      </c>
      <c r="O46" s="64">
        <f>SUM(O38:O45)</f>
        <v>0</v>
      </c>
      <c r="P46" s="64">
        <f>SUM(P38:P45)</f>
        <v>0</v>
      </c>
      <c r="Q46" s="64">
        <f>SUM(Q38:Q45)</f>
        <v>0</v>
      </c>
      <c r="R46" s="64">
        <f t="shared" ref="R46:V46" si="32">SUM(R38:R45)</f>
        <v>0</v>
      </c>
      <c r="S46" s="64">
        <f t="shared" si="32"/>
        <v>0</v>
      </c>
      <c r="T46" s="64">
        <f t="shared" si="32"/>
        <v>0</v>
      </c>
      <c r="U46" s="64">
        <f t="shared" si="32"/>
        <v>0</v>
      </c>
      <c r="V46" s="70">
        <f t="shared" si="32"/>
        <v>0</v>
      </c>
      <c r="W46" s="51"/>
      <c r="X46" s="50" t="s">
        <v>31</v>
      </c>
      <c r="Y46" s="64">
        <f t="shared" ref="Y46:AG46" si="33">SUM(Y38:Y45)</f>
        <v>0</v>
      </c>
      <c r="Z46" s="64">
        <f t="shared" si="33"/>
        <v>0</v>
      </c>
      <c r="AA46" s="64">
        <f t="shared" si="33"/>
        <v>0</v>
      </c>
      <c r="AB46" s="64">
        <f t="shared" si="33"/>
        <v>0</v>
      </c>
      <c r="AC46" s="64">
        <f t="shared" si="33"/>
        <v>0</v>
      </c>
      <c r="AD46" s="64">
        <f t="shared" si="33"/>
        <v>0</v>
      </c>
      <c r="AE46" s="64">
        <f t="shared" si="33"/>
        <v>0</v>
      </c>
      <c r="AF46" s="64">
        <f t="shared" si="33"/>
        <v>0</v>
      </c>
      <c r="AG46" s="70">
        <f t="shared" si="33"/>
        <v>0</v>
      </c>
      <c r="AH46" s="51"/>
      <c r="AI46" s="50" t="s">
        <v>31</v>
      </c>
      <c r="AJ46" s="64">
        <f>SUM(AJ38:AJ45)</f>
        <v>10</v>
      </c>
      <c r="AK46" s="64">
        <f t="shared" ref="AK46:AR46" si="34">SUM(AK38:AK45)</f>
        <v>8</v>
      </c>
      <c r="AL46" s="64">
        <f t="shared" si="34"/>
        <v>18</v>
      </c>
      <c r="AM46" s="64">
        <f t="shared" si="34"/>
        <v>0</v>
      </c>
      <c r="AN46" s="64">
        <f t="shared" si="34"/>
        <v>0</v>
      </c>
      <c r="AO46" s="64">
        <f t="shared" si="34"/>
        <v>0</v>
      </c>
      <c r="AP46" s="64">
        <f t="shared" si="34"/>
        <v>58</v>
      </c>
      <c r="AQ46" s="64">
        <f t="shared" si="34"/>
        <v>34</v>
      </c>
      <c r="AR46" s="70">
        <f t="shared" si="34"/>
        <v>92</v>
      </c>
    </row>
    <row r="47" spans="1:44" ht="13.5" customHeight="1" x14ac:dyDescent="0.25">
      <c r="A47" s="54"/>
      <c r="B47" s="55" t="s">
        <v>32</v>
      </c>
      <c r="C47" s="56">
        <f>SUM(C36,C46)</f>
        <v>790</v>
      </c>
      <c r="D47" s="56">
        <f t="shared" ref="D47:K47" si="35">SUM(D36,D46)</f>
        <v>759</v>
      </c>
      <c r="E47" s="56">
        <f t="shared" si="35"/>
        <v>1549</v>
      </c>
      <c r="F47" s="56">
        <f t="shared" si="35"/>
        <v>159</v>
      </c>
      <c r="G47" s="56">
        <f t="shared" si="35"/>
        <v>131</v>
      </c>
      <c r="H47" s="56">
        <f t="shared" si="35"/>
        <v>290</v>
      </c>
      <c r="I47" s="56">
        <f t="shared" si="35"/>
        <v>94</v>
      </c>
      <c r="J47" s="56">
        <f t="shared" si="35"/>
        <v>67</v>
      </c>
      <c r="K47" s="71">
        <f t="shared" si="35"/>
        <v>161</v>
      </c>
      <c r="L47" s="54"/>
      <c r="M47" s="55" t="s">
        <v>32</v>
      </c>
      <c r="N47" s="56">
        <f>SUM(N36,N46)</f>
        <v>4</v>
      </c>
      <c r="O47" s="56">
        <f>SUM(O36,O46)</f>
        <v>3</v>
      </c>
      <c r="P47" s="56">
        <f>SUM(P36,P46)</f>
        <v>7</v>
      </c>
      <c r="Q47" s="68">
        <f>+Q46+Q36</f>
        <v>15</v>
      </c>
      <c r="R47" s="68">
        <f t="shared" ref="R47:V47" si="36">+R46+R36</f>
        <v>15</v>
      </c>
      <c r="S47" s="68">
        <f t="shared" si="36"/>
        <v>30</v>
      </c>
      <c r="T47" s="68">
        <f t="shared" si="36"/>
        <v>1</v>
      </c>
      <c r="U47" s="68">
        <f t="shared" si="36"/>
        <v>0</v>
      </c>
      <c r="V47" s="80">
        <f t="shared" si="36"/>
        <v>1</v>
      </c>
      <c r="W47" s="54"/>
      <c r="X47" s="55" t="s">
        <v>32</v>
      </c>
      <c r="Y47" s="56">
        <f>SUM(Y36,Y46)</f>
        <v>6</v>
      </c>
      <c r="Z47" s="56">
        <f t="shared" ref="Z47:AG47" si="37">SUM(Z36,Z46)</f>
        <v>5</v>
      </c>
      <c r="AA47" s="56">
        <f t="shared" si="37"/>
        <v>11</v>
      </c>
      <c r="AB47" s="56">
        <f t="shared" si="37"/>
        <v>2</v>
      </c>
      <c r="AC47" s="56">
        <f t="shared" si="37"/>
        <v>2</v>
      </c>
      <c r="AD47" s="56">
        <f t="shared" si="37"/>
        <v>4</v>
      </c>
      <c r="AE47" s="56">
        <f t="shared" si="37"/>
        <v>7</v>
      </c>
      <c r="AF47" s="56">
        <f t="shared" si="37"/>
        <v>8</v>
      </c>
      <c r="AG47" s="71">
        <f t="shared" si="37"/>
        <v>15</v>
      </c>
      <c r="AH47" s="54"/>
      <c r="AI47" s="55" t="s">
        <v>32</v>
      </c>
      <c r="AJ47" s="56">
        <f>SUM(AJ36,AJ46)</f>
        <v>34</v>
      </c>
      <c r="AK47" s="56">
        <f t="shared" ref="AK47:AR47" si="38">SUM(AK36,AK46)</f>
        <v>19</v>
      </c>
      <c r="AL47" s="56">
        <f t="shared" si="38"/>
        <v>53</v>
      </c>
      <c r="AM47" s="56">
        <f t="shared" si="38"/>
        <v>13</v>
      </c>
      <c r="AN47" s="56">
        <f t="shared" si="38"/>
        <v>1</v>
      </c>
      <c r="AO47" s="56">
        <f t="shared" si="38"/>
        <v>14</v>
      </c>
      <c r="AP47" s="56">
        <f>SUM(AP36,AP46)</f>
        <v>1125</v>
      </c>
      <c r="AQ47" s="56">
        <f t="shared" si="38"/>
        <v>1010</v>
      </c>
      <c r="AR47" s="71">
        <f t="shared" si="38"/>
        <v>2135</v>
      </c>
    </row>
    <row r="48" spans="1:44" ht="13.5" customHeight="1" x14ac:dyDescent="0.25">
      <c r="A48" s="86" t="s">
        <v>109</v>
      </c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 t="s">
        <v>110</v>
      </c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 t="s">
        <v>119</v>
      </c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 t="s">
        <v>118</v>
      </c>
      <c r="AI48" s="86"/>
      <c r="AJ48" s="86"/>
      <c r="AK48" s="86"/>
      <c r="AL48" s="86"/>
      <c r="AM48" s="86"/>
      <c r="AN48" s="86"/>
      <c r="AO48" s="86"/>
      <c r="AP48" s="86"/>
      <c r="AQ48" s="86"/>
      <c r="AR48" s="86"/>
    </row>
    <row r="49" spans="1:44" ht="13.5" customHeight="1" x14ac:dyDescent="0.25">
      <c r="A49" s="44" t="s">
        <v>82</v>
      </c>
      <c r="B49" s="46" t="s">
        <v>83</v>
      </c>
      <c r="C49" s="46"/>
      <c r="D49" s="46"/>
      <c r="E49" s="46"/>
      <c r="F49" s="46"/>
      <c r="G49" s="46"/>
      <c r="H49" s="46"/>
      <c r="I49" s="46"/>
      <c r="J49" s="46"/>
      <c r="K49" s="46"/>
      <c r="L49" s="44" t="s">
        <v>82</v>
      </c>
      <c r="M49" s="46" t="s">
        <v>83</v>
      </c>
      <c r="N49" s="46"/>
      <c r="O49" s="46"/>
      <c r="P49" s="46"/>
      <c r="Q49" s="46"/>
      <c r="R49" s="46"/>
      <c r="S49" s="46"/>
      <c r="T49" s="46"/>
      <c r="U49" s="46"/>
      <c r="V49" s="46"/>
      <c r="W49" s="44" t="s">
        <v>82</v>
      </c>
      <c r="X49" s="46" t="s">
        <v>83</v>
      </c>
      <c r="Y49" s="46"/>
      <c r="Z49" s="46"/>
      <c r="AA49" s="46"/>
      <c r="AB49" s="46"/>
      <c r="AC49" s="46"/>
      <c r="AD49" s="46"/>
      <c r="AE49" s="46"/>
      <c r="AF49" s="46"/>
      <c r="AG49" s="46"/>
      <c r="AH49" s="44" t="s">
        <v>82</v>
      </c>
      <c r="AI49" s="46" t="s">
        <v>83</v>
      </c>
      <c r="AJ49" s="46"/>
      <c r="AK49" s="46"/>
      <c r="AL49" s="46"/>
      <c r="AM49" s="46"/>
      <c r="AN49" s="46"/>
      <c r="AO49" s="46"/>
      <c r="AP49" s="46"/>
      <c r="AQ49" s="46"/>
      <c r="AR49" s="46"/>
    </row>
    <row r="50" spans="1:44" x14ac:dyDescent="0.25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</row>
  </sheetData>
  <mergeCells count="54">
    <mergeCell ref="L2:V2"/>
    <mergeCell ref="L1:V1"/>
    <mergeCell ref="L48:V48"/>
    <mergeCell ref="W1:AG1"/>
    <mergeCell ref="W2:AG2"/>
    <mergeCell ref="W48:AG48"/>
    <mergeCell ref="AE5:AG5"/>
    <mergeCell ref="Q3:S4"/>
    <mergeCell ref="AB3:AD4"/>
    <mergeCell ref="AE3:AG4"/>
    <mergeCell ref="AP3:AR4"/>
    <mergeCell ref="AP5:AR5"/>
    <mergeCell ref="A48:K48"/>
    <mergeCell ref="AH3:AH4"/>
    <mergeCell ref="AI3:AI4"/>
    <mergeCell ref="AJ3:AL4"/>
    <mergeCell ref="AJ5:AL5"/>
    <mergeCell ref="AM5:AO5"/>
    <mergeCell ref="AM3:AO4"/>
    <mergeCell ref="F5:H5"/>
    <mergeCell ref="C5:E5"/>
    <mergeCell ref="I5:K5"/>
    <mergeCell ref="AH1:AR1"/>
    <mergeCell ref="AH2:AR2"/>
    <mergeCell ref="A1:K1"/>
    <mergeCell ref="A2:K2"/>
    <mergeCell ref="A3:A4"/>
    <mergeCell ref="B3:B4"/>
    <mergeCell ref="C3:E4"/>
    <mergeCell ref="F3:H4"/>
    <mergeCell ref="I3:K4"/>
    <mergeCell ref="N3:P4"/>
    <mergeCell ref="M3:M4"/>
    <mergeCell ref="L3:L4"/>
    <mergeCell ref="W3:W4"/>
    <mergeCell ref="X3:X4"/>
    <mergeCell ref="T3:V4"/>
    <mergeCell ref="Y3:AA4"/>
    <mergeCell ref="A50:K50"/>
    <mergeCell ref="L50:AQ50"/>
    <mergeCell ref="Q5:S5"/>
    <mergeCell ref="T5:V5"/>
    <mergeCell ref="Y5:AA5"/>
    <mergeCell ref="AB5:AD5"/>
    <mergeCell ref="AH48:AR48"/>
    <mergeCell ref="A5:A6"/>
    <mergeCell ref="B5:B6"/>
    <mergeCell ref="L5:L6"/>
    <mergeCell ref="M5:M6"/>
    <mergeCell ref="W5:W6"/>
    <mergeCell ref="AH5:AH6"/>
    <mergeCell ref="AI5:AI6"/>
    <mergeCell ref="X5:X6"/>
    <mergeCell ref="N5:P5"/>
  </mergeCells>
  <hyperlinks>
    <hyperlink ref="B43" r:id="rId1" display="Ladakh@"/>
    <hyperlink ref="M43" r:id="rId2" display="Ladakh@"/>
    <hyperlink ref="X43" r:id="rId3" display="Ladakh@"/>
    <hyperlink ref="AI43" r:id="rId4" display="Ladakh@"/>
  </hyperlinks>
  <printOptions horizontalCentered="1"/>
  <pageMargins left="0.66600000000000004" right="0.41599999999999998" top="0.41599999999999998" bottom="0.41599999999999998" header="0.41599999999999998" footer="0.41599999999999998"/>
  <pageSetup paperSize="9" orientation="portrait" r:id="rId5"/>
  <colBreaks count="1" manualBreakCount="1">
    <brk id="11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103" t="s">
        <v>68</v>
      </c>
      <c r="B1" s="103"/>
      <c r="C1" s="103"/>
      <c r="D1" s="103"/>
      <c r="E1" s="103"/>
      <c r="F1" s="103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69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61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62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63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64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65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66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67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74</v>
      </c>
      <c r="B44" s="1"/>
      <c r="C44" s="1"/>
      <c r="D44" s="1"/>
      <c r="E44" s="1"/>
      <c r="F44" s="33"/>
    </row>
    <row r="45" spans="1:10" x14ac:dyDescent="0.25">
      <c r="A45" s="32" t="s">
        <v>75</v>
      </c>
      <c r="B45" s="1"/>
      <c r="C45" s="1"/>
      <c r="D45" s="1"/>
      <c r="E45" s="1"/>
    </row>
    <row r="46" spans="1:10" x14ac:dyDescent="0.25">
      <c r="A46" s="32" t="s">
        <v>76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104" t="s">
        <v>79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</row>
    <row r="2" spans="1:22" x14ac:dyDescent="0.25">
      <c r="A2" s="105" t="s">
        <v>42</v>
      </c>
      <c r="B2" s="105" t="s">
        <v>43</v>
      </c>
      <c r="C2" s="106" t="s">
        <v>44</v>
      </c>
      <c r="D2" s="106"/>
      <c r="E2" s="106"/>
      <c r="F2" s="106" t="s">
        <v>45</v>
      </c>
      <c r="G2" s="106"/>
      <c r="H2" s="106"/>
      <c r="I2" s="106" t="s">
        <v>37</v>
      </c>
      <c r="J2" s="106"/>
      <c r="K2" s="106"/>
    </row>
    <row r="3" spans="1:22" x14ac:dyDescent="0.25">
      <c r="A3" s="105"/>
      <c r="B3" s="105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77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72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73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80</v>
      </c>
      <c r="B45" s="1"/>
      <c r="C45" s="1"/>
      <c r="D45" s="1"/>
      <c r="E45" s="1"/>
      <c r="F45" s="33"/>
    </row>
    <row r="46" spans="1:22" x14ac:dyDescent="0.25">
      <c r="A46" s="32" t="s">
        <v>76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104" t="s">
        <v>70</v>
      </c>
      <c r="B1" s="104"/>
      <c r="C1" s="104"/>
      <c r="D1" s="104"/>
      <c r="E1" s="104"/>
      <c r="F1" s="104"/>
      <c r="G1" s="104"/>
      <c r="H1" s="104"/>
      <c r="I1" s="104"/>
      <c r="J1" s="104"/>
    </row>
    <row r="2" spans="1:13" x14ac:dyDescent="0.25">
      <c r="A2" s="105" t="s">
        <v>42</v>
      </c>
      <c r="B2" s="105" t="s">
        <v>43</v>
      </c>
      <c r="C2" s="105" t="s">
        <v>50</v>
      </c>
      <c r="D2" s="106" t="s">
        <v>51</v>
      </c>
      <c r="E2" s="106"/>
      <c r="F2" s="106"/>
      <c r="G2" s="106" t="s">
        <v>52</v>
      </c>
      <c r="H2" s="106"/>
      <c r="I2" s="106"/>
      <c r="J2" s="106"/>
    </row>
    <row r="3" spans="1:13" ht="78.75" customHeight="1" x14ac:dyDescent="0.25">
      <c r="A3" s="105"/>
      <c r="B3" s="105"/>
      <c r="C3" s="105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71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71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71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71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71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71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71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71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71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71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71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71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71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71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71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71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71</v>
      </c>
    </row>
    <row r="36" spans="1:10" x14ac:dyDescent="0.25">
      <c r="A36" s="16">
        <v>32</v>
      </c>
      <c r="B36" s="6" t="s">
        <v>78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72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71</v>
      </c>
    </row>
    <row r="39" spans="1:10" x14ac:dyDescent="0.25">
      <c r="A39" s="16">
        <v>35</v>
      </c>
      <c r="B39" s="6" t="s">
        <v>73</v>
      </c>
      <c r="C39" s="18">
        <v>0</v>
      </c>
      <c r="D39" s="18">
        <v>0</v>
      </c>
      <c r="E39" s="18">
        <v>0</v>
      </c>
      <c r="F39" s="36" t="s">
        <v>71</v>
      </c>
      <c r="G39" s="18">
        <v>0</v>
      </c>
      <c r="H39" s="18">
        <v>0</v>
      </c>
      <c r="I39" s="18"/>
      <c r="J39" s="37" t="s">
        <v>71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71</v>
      </c>
      <c r="G40" s="18">
        <v>0</v>
      </c>
      <c r="H40" s="6">
        <v>0</v>
      </c>
      <c r="I40" s="6">
        <f t="shared" ref="I40:I42" si="4">G40+H40</f>
        <v>0</v>
      </c>
      <c r="J40" s="36" t="s">
        <v>71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71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81</v>
      </c>
      <c r="B45" s="1"/>
      <c r="C45" s="1"/>
      <c r="D45" s="1"/>
      <c r="E45" s="1"/>
      <c r="F45" s="33"/>
      <c r="G45"/>
    </row>
    <row r="46" spans="1:10" x14ac:dyDescent="0.25">
      <c r="A46" s="32" t="s">
        <v>76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Table 14.2</vt:lpstr>
      <vt:lpstr>Calculation Table 14.1</vt:lpstr>
      <vt:lpstr>P-3</vt:lpstr>
      <vt:lpstr>P-6</vt:lpstr>
      <vt:lpstr>'Calculation Table 14.1'!Print_Area</vt:lpstr>
      <vt:lpstr>'P-3'!Print_Area</vt:lpstr>
      <vt:lpstr>'P-6'!Print_Area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2026-04-06T11:06:39Z</dcterms:modified>
</cp:coreProperties>
</file>