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1" sheetId="22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14.1'!$A$1:$J$54</definedName>
  </definedNames>
  <calcPr calcId="145621"/>
</workbook>
</file>

<file path=xl/calcChain.xml><?xml version="1.0" encoding="utf-8"?>
<calcChain xmlns="http://schemas.openxmlformats.org/spreadsheetml/2006/main">
  <c r="I8" i="22" l="1"/>
  <c r="I47" i="22" l="1"/>
  <c r="I46" i="22"/>
  <c r="I36" i="22"/>
  <c r="I45" i="22"/>
  <c r="I43" i="22"/>
  <c r="I41" i="22"/>
  <c r="I39" i="22"/>
  <c r="I35" i="22"/>
  <c r="I33" i="22"/>
  <c r="I31" i="22"/>
  <c r="I29" i="22"/>
  <c r="I27" i="22"/>
  <c r="I25" i="22"/>
  <c r="I23" i="22"/>
  <c r="I21" i="22"/>
  <c r="I19" i="22"/>
  <c r="I17" i="22"/>
  <c r="I15" i="22"/>
  <c r="I13" i="22"/>
  <c r="I11" i="22"/>
  <c r="I9" i="22"/>
  <c r="I44" i="22"/>
  <c r="I42" i="22"/>
  <c r="I40" i="22"/>
  <c r="I38" i="22"/>
  <c r="I34" i="22"/>
  <c r="I32" i="22"/>
  <c r="I30" i="22"/>
  <c r="I28" i="22"/>
  <c r="I26" i="22"/>
  <c r="I24" i="22"/>
  <c r="I22" i="22"/>
  <c r="I20" i="22"/>
  <c r="I18" i="22"/>
  <c r="I16" i="22"/>
  <c r="I14" i="22"/>
  <c r="I12" i="22"/>
  <c r="I10" i="22"/>
  <c r="G45" i="22" l="1"/>
  <c r="G43" i="22"/>
  <c r="G41" i="22"/>
  <c r="G39" i="22"/>
  <c r="G35" i="22"/>
  <c r="G33" i="22"/>
  <c r="G31" i="22"/>
  <c r="G29" i="22"/>
  <c r="G27" i="22"/>
  <c r="G25" i="22"/>
  <c r="G23" i="22"/>
  <c r="G21" i="22"/>
  <c r="G19" i="22"/>
  <c r="G17" i="22"/>
  <c r="G15" i="22"/>
  <c r="G13" i="22"/>
  <c r="G11" i="22"/>
  <c r="G9" i="22"/>
  <c r="G44" i="22"/>
  <c r="G42" i="22"/>
  <c r="G40" i="22"/>
  <c r="G38" i="22"/>
  <c r="G34" i="22"/>
  <c r="G32" i="22"/>
  <c r="G30" i="22"/>
  <c r="G28" i="22"/>
  <c r="G26" i="22"/>
  <c r="G24" i="22"/>
  <c r="G22" i="22"/>
  <c r="G20" i="22"/>
  <c r="G18" i="22"/>
  <c r="G16" i="22"/>
  <c r="G14" i="22"/>
  <c r="G12" i="22"/>
  <c r="G10" i="22"/>
  <c r="G8" i="22"/>
  <c r="D47" i="22"/>
  <c r="E47" i="22"/>
  <c r="F47" i="22"/>
  <c r="D46" i="22"/>
  <c r="E46" i="22"/>
  <c r="F46" i="22"/>
  <c r="D36" i="22"/>
  <c r="E36" i="22"/>
  <c r="F36" i="22"/>
  <c r="G46" i="22" l="1"/>
  <c r="G36" i="22"/>
  <c r="G47" i="22" s="1"/>
  <c r="C46" i="22" l="1"/>
  <c r="H46" i="22"/>
  <c r="C36" i="22"/>
  <c r="C47" i="22" l="1"/>
  <c r="H36" i="22"/>
  <c r="H47" i="22" l="1"/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K43" i="3" l="1"/>
  <c r="D42" i="3"/>
  <c r="E42" i="3"/>
  <c r="F42" i="3"/>
  <c r="G42" i="3"/>
  <c r="H42" i="3"/>
  <c r="I42" i="3"/>
  <c r="J42" i="3"/>
  <c r="K42" i="3"/>
  <c r="C42" i="3"/>
  <c r="D33" i="3"/>
  <c r="D43" i="3" s="1"/>
  <c r="E33" i="3"/>
  <c r="E43" i="3" s="1"/>
  <c r="F33" i="3"/>
  <c r="F43" i="3" s="1"/>
  <c r="G33" i="3"/>
  <c r="G43" i="3" s="1"/>
  <c r="H33" i="3"/>
  <c r="H43" i="3" s="1"/>
  <c r="I33" i="3"/>
  <c r="I43" i="3" s="1"/>
  <c r="J33" i="3"/>
  <c r="J43" i="3" s="1"/>
  <c r="K33" i="3"/>
  <c r="C33" i="3"/>
  <c r="C43" i="3" s="1"/>
  <c r="F4" i="1" l="1"/>
  <c r="E32" i="1"/>
  <c r="J22" i="1"/>
  <c r="F5" i="1" l="1"/>
  <c r="F6" i="1"/>
  <c r="F7" i="1"/>
  <c r="F8" i="1"/>
  <c r="F9" i="1"/>
  <c r="F10" i="1"/>
  <c r="F11" i="1"/>
  <c r="F12" i="1"/>
  <c r="F32" i="1" s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F42" i="6" l="1"/>
  <c r="F33" i="6"/>
  <c r="E43" i="6"/>
  <c r="D43" i="6"/>
  <c r="F43" i="6" s="1"/>
  <c r="C43" i="6"/>
  <c r="C42" i="1"/>
  <c r="D5" i="1" l="1"/>
  <c r="D13" i="1"/>
  <c r="D21" i="1"/>
  <c r="D29" i="1"/>
  <c r="D37" i="1"/>
  <c r="D6" i="1"/>
  <c r="D14" i="1"/>
  <c r="D22" i="1"/>
  <c r="D30" i="1"/>
  <c r="D38" i="1"/>
  <c r="D10" i="1"/>
  <c r="D34" i="1"/>
  <c r="D19" i="1"/>
  <c r="D27" i="1"/>
  <c r="D28" i="1"/>
  <c r="D7" i="1"/>
  <c r="D15" i="1"/>
  <c r="D23" i="1"/>
  <c r="D31" i="1"/>
  <c r="D39" i="1"/>
  <c r="D8" i="1"/>
  <c r="D16" i="1"/>
  <c r="D24" i="1"/>
  <c r="D40" i="1"/>
  <c r="D9" i="1"/>
  <c r="D25" i="1"/>
  <c r="D26" i="1"/>
  <c r="D42" i="1"/>
  <c r="D12" i="1"/>
  <c r="D17" i="1"/>
  <c r="D33" i="1"/>
  <c r="D18" i="1"/>
  <c r="D11" i="1"/>
  <c r="D35" i="1"/>
  <c r="D20" i="1"/>
  <c r="D36" i="1"/>
  <c r="D41" i="1"/>
  <c r="D32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 s="1"/>
  <c r="J43" i="6" s="1"/>
  <c r="J33" i="6" l="1"/>
</calcChain>
</file>

<file path=xl/sharedStrings.xml><?xml version="1.0" encoding="utf-8"?>
<sst xmlns="http://schemas.openxmlformats.org/spreadsheetml/2006/main" count="262" uniqueCount="107">
  <si>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</si>
  <si>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</si>
  <si>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</si>
  <si>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</si>
  <si>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</si>
  <si>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</si>
  <si>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</si>
  <si>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</si>
  <si>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</si>
  <si>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</si>
  <si>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</si>
  <si>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</si>
  <si>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</si>
  <si>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</si>
  <si>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</si>
  <si>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</si>
  <si>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</si>
  <si>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</si>
  <si>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</si>
  <si>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</si>
  <si>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</si>
  <si>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</si>
  <si>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</si>
  <si>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</si>
  <si>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</si>
  <si>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</si>
  <si>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</si>
  <si>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</si>
  <si>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</si>
  <si>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</si>
  <si>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</si>
  <si>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</si>
  <si>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</si>
  <si>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</si>
  <si>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</si>
  <si>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</si>
  <si>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</si>
  <si>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</si>
  <si>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</si>
  <si>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</si>
  <si>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</si>
  <si>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</si>
  <si>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</si>
  <si>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</si>
  <si>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</si>
  <si>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</si>
  <si>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</si>
  <si>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</si>
  <si>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</si>
  <si>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</si>
  <si>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</si>
  <si>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</si>
  <si>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</si>
  <si>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</si>
  <si>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</si>
  <si>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</si>
  <si>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</si>
  <si>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</si>
  <si>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</si>
  <si>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</si>
  <si>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</si>
  <si>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</si>
  <si>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</si>
  <si>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</si>
  <si>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</si>
  <si>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</si>
  <si>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</si>
  <si>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</si>
  <si>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</si>
  <si>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</si>
  <si>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</si>
  <si>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</si>
  <si>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</si>
  <si>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</si>
  <si>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</si>
  <si>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</si>
  <si>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</si>
  <si>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</si>
  <si>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</si>
  <si>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</si>
  <si>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</si>
  <si>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>TABLE 14.1</t>
  </si>
  <si>
    <t>UNION TERRITORIES</t>
  </si>
  <si>
    <t>STATES:</t>
  </si>
  <si>
    <t xml:space="preserve">Chargesheeting Rate </t>
  </si>
  <si>
    <t>TABLE 14.1 - Page 1 of 1</t>
  </si>
  <si>
    <t>Mid-Year Projected Population (In Lakhs)</t>
  </si>
  <si>
    <t>• Population Source : Report of Technical group on Population Projections (July, 2020) National Commission on Population, MoHFW</t>
  </si>
  <si>
    <t>(1)</t>
  </si>
  <si>
    <t>(2)</t>
  </si>
  <si>
    <t>(4)</t>
  </si>
  <si>
    <t>(5)</t>
  </si>
  <si>
    <t>(6)</t>
  </si>
  <si>
    <t>(7)</t>
  </si>
  <si>
    <t>(8)</t>
  </si>
  <si>
    <t>DNH  and  Daman &amp; Diu</t>
  </si>
  <si>
    <t>Ladakh</t>
  </si>
  <si>
    <t>''++" Rate refers to Cases Reported per 1 lakh population</t>
  </si>
  <si>
    <t>Note:  Human Trafficking data published is based on annual data as provided by States/UTs from their Anti Human Trafficking Units</t>
  </si>
  <si>
    <t>Cases Registered</t>
  </si>
  <si>
    <t>IPC</t>
  </si>
  <si>
    <t>BNS</t>
  </si>
  <si>
    <t>(9)</t>
  </si>
  <si>
    <t>(10)</t>
  </si>
  <si>
    <t>Rate of Cognizable Crimes ++</t>
  </si>
  <si>
    <t>(3)</t>
  </si>
  <si>
    <t>Human Trafficking Cases 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</si>
</sst>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90">
    <xf numFmtId="0" fontId="0" fillId="0" borderId="0" xfId="0"/>
    <xf numFmtId="0" fontId="0" fillId="0" borderId="0" xfId="0" applyBorder="1"/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4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/>
    <xf numFmtId="0" fontId="1" fillId="3" borderId="3" xfId="0" applyFont="1" applyFill="1" applyBorder="1"/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3" xfId="0" applyFont="1" applyBorder="1" applyAlignment="1">
      <alignment vertical="center" wrapText="1"/>
    </xf>
    <xf numFmtId="0" fontId="0" fillId="0" borderId="3" xfId="0" applyFont="1" applyBorder="1"/>
    <xf numFmtId="0" fontId="0" fillId="0" borderId="0" xfId="0" applyFont="1"/>
    <xf numFmtId="164" fontId="0" fillId="0" borderId="3" xfId="0" applyNumberFormat="1" applyBorder="1"/>
    <xf numFmtId="164" fontId="1" fillId="2" borderId="3" xfId="0" applyNumberFormat="1" applyFont="1" applyFill="1" applyBorder="1"/>
    <xf numFmtId="164" fontId="1" fillId="3" borderId="3" xfId="0" applyNumberFormat="1" applyFont="1" applyFill="1" applyBorder="1"/>
    <xf numFmtId="0" fontId="3" fillId="4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0" fillId="0" borderId="0" xfId="0" applyFont="1" applyBorder="1"/>
    <xf numFmtId="2" fontId="0" fillId="0" borderId="0" xfId="0" applyNumberFormat="1" applyBorder="1"/>
    <xf numFmtId="164" fontId="0" fillId="0" borderId="0" xfId="0" applyNumberFormat="1" applyBorder="1"/>
    <xf numFmtId="0" fontId="11" fillId="6" borderId="0" xfId="0" applyFont="1" applyFill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164" fontId="0" fillId="0" borderId="3" xfId="0" applyNumberFormat="1" applyBorder="1" applyAlignment="1">
      <alignment horizontal="right"/>
    </xf>
    <xf numFmtId="164" fontId="0" fillId="0" borderId="3" xfId="0" applyNumberFormat="1" applyFont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0" fontId="4" fillId="4" borderId="3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8" fillId="0" borderId="0" xfId="0" applyFont="1"/>
    <xf numFmtId="0" fontId="0" fillId="6" borderId="9" xfId="0" applyFill="1" applyBorder="1" applyAlignment="1">
      <alignment horizontal="center"/>
    </xf>
    <xf numFmtId="0" fontId="0" fillId="6" borderId="0" xfId="0" applyFont="1" applyFill="1" applyBorder="1"/>
    <xf numFmtId="0" fontId="0" fillId="6" borderId="0" xfId="0" applyFill="1" applyBorder="1"/>
    <xf numFmtId="164" fontId="0" fillId="6" borderId="0" xfId="0" applyNumberFormat="1" applyFill="1" applyBorder="1"/>
    <xf numFmtId="164" fontId="0" fillId="6" borderId="10" xfId="0" applyNumberFormat="1" applyFill="1" applyBorder="1" applyAlignment="1">
      <alignment horizontal="right"/>
    </xf>
    <xf numFmtId="0" fontId="0" fillId="0" borderId="9" xfId="0" applyFill="1" applyBorder="1" applyAlignment="1">
      <alignment horizontal="center"/>
    </xf>
    <xf numFmtId="0" fontId="0" fillId="0" borderId="0" xfId="0" applyFont="1" applyFill="1" applyBorder="1"/>
    <xf numFmtId="164" fontId="0" fillId="0" borderId="0" xfId="0" applyNumberFormat="1" applyFill="1" applyBorder="1"/>
    <xf numFmtId="164" fontId="0" fillId="0" borderId="10" xfId="0" applyNumberFormat="1" applyFill="1" applyBorder="1" applyAlignment="1">
      <alignment horizontal="right"/>
    </xf>
    <xf numFmtId="0" fontId="9" fillId="6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12" fillId="8" borderId="0" xfId="0" applyFont="1" applyFill="1" applyBorder="1" applyAlignment="1">
      <alignment horizontal="left" vertical="center" wrapText="1"/>
    </xf>
    <xf numFmtId="0" fontId="12" fillId="8" borderId="0" xfId="0" applyFont="1" applyFill="1" applyBorder="1" applyAlignment="1">
      <alignment horizontal="right" vertical="center" wrapText="1"/>
    </xf>
    <xf numFmtId="164" fontId="12" fillId="8" borderId="0" xfId="0" applyNumberFormat="1" applyFont="1" applyFill="1" applyBorder="1" applyAlignment="1">
      <alignment horizontal="right" vertical="center" wrapText="1"/>
    </xf>
    <xf numFmtId="164" fontId="12" fillId="8" borderId="10" xfId="0" applyNumberFormat="1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right" vertical="center" wrapText="1"/>
    </xf>
    <xf numFmtId="164" fontId="12" fillId="8" borderId="2" xfId="0" applyNumberFormat="1" applyFont="1" applyFill="1" applyBorder="1" applyAlignment="1">
      <alignment horizontal="right" vertical="center" wrapText="1"/>
    </xf>
    <xf numFmtId="164" fontId="12" fillId="8" borderId="5" xfId="0" applyNumberFormat="1" applyFont="1" applyFill="1" applyBorder="1" applyAlignment="1">
      <alignment horizontal="right" vertical="center" wrapText="1"/>
    </xf>
    <xf numFmtId="0" fontId="12" fillId="0" borderId="7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8" xfId="0" applyFont="1" applyFill="1" applyBorder="1" applyAlignment="1">
      <alignment vertical="center" wrapText="1"/>
    </xf>
    <xf numFmtId="0" fontId="12" fillId="8" borderId="3" xfId="0" quotePrefix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4" fillId="8" borderId="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12" fillId="0" borderId="9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0000"/>
      <color rgb="FFEBFCEB"/>
      <color rgb="FFF4F4F4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110" zoomScaleNormal="110" workbookViewId="0">
      <selection activeCell="N15" sqref="N15"/>
    </sheetView>
  </sheetViews>
  <sheetFormatPr defaultRowHeight="15" x14ac:dyDescent="0.25"/>
  <cols>
    <col min="1" max="1" width="8" customWidth="1"/>
    <col min="2" max="2" width="22.140625" customWidth="1"/>
    <col min="3" max="7" width="6.42578125" customWidth="1"/>
    <col min="8" max="8" width="9.42578125" customWidth="1"/>
    <col min="9" max="9" width="8.85546875" customWidth="1"/>
    <col min="10" max="10" width="11.85546875" customWidth="1"/>
    <col min="11" max="11" width="9.140625" customWidth="1"/>
  </cols>
  <sheetData>
    <row r="1" spans="1:10" ht="15.75" x14ac:dyDescent="0.25">
      <c r="A1" s="75" t="s">
        <v>81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9.5" customHeight="1" x14ac:dyDescent="0.25">
      <c r="A2" s="74" t="s">
        <v>106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16.5" customHeight="1" x14ac:dyDescent="0.25">
      <c r="A3" s="80" t="s">
        <v>38</v>
      </c>
      <c r="B3" s="80" t="s">
        <v>34</v>
      </c>
      <c r="C3" s="76" t="s">
        <v>99</v>
      </c>
      <c r="D3" s="76"/>
      <c r="E3" s="76"/>
      <c r="F3" s="76"/>
      <c r="G3" s="76"/>
      <c r="H3" s="82" t="s">
        <v>86</v>
      </c>
      <c r="I3" s="82" t="s">
        <v>104</v>
      </c>
      <c r="J3" s="80" t="s">
        <v>84</v>
      </c>
    </row>
    <row r="4" spans="1:10" ht="11.25" customHeight="1" x14ac:dyDescent="0.25">
      <c r="A4" s="84"/>
      <c r="B4" s="84"/>
      <c r="C4" s="80">
        <v>2022</v>
      </c>
      <c r="D4" s="82">
        <v>2023</v>
      </c>
      <c r="E4" s="77">
        <v>2024</v>
      </c>
      <c r="F4" s="78"/>
      <c r="G4" s="79"/>
      <c r="H4" s="85"/>
      <c r="I4" s="85"/>
      <c r="J4" s="84"/>
    </row>
    <row r="5" spans="1:10" ht="18.75" customHeight="1" x14ac:dyDescent="0.25">
      <c r="A5" s="81"/>
      <c r="B5" s="81"/>
      <c r="C5" s="81"/>
      <c r="D5" s="83"/>
      <c r="E5" s="69" t="s">
        <v>100</v>
      </c>
      <c r="F5" s="69" t="s">
        <v>101</v>
      </c>
      <c r="G5" s="69" t="s">
        <v>37</v>
      </c>
      <c r="H5" s="83"/>
      <c r="I5" s="83"/>
      <c r="J5" s="81"/>
    </row>
    <row r="6" spans="1:10" x14ac:dyDescent="0.25">
      <c r="A6" s="67" t="s">
        <v>88</v>
      </c>
      <c r="B6" s="67" t="s">
        <v>89</v>
      </c>
      <c r="C6" s="67" t="s">
        <v>105</v>
      </c>
      <c r="D6" s="67" t="s">
        <v>90</v>
      </c>
      <c r="E6" s="67" t="s">
        <v>91</v>
      </c>
      <c r="F6" s="67" t="s">
        <v>92</v>
      </c>
      <c r="G6" s="67" t="s">
        <v>93</v>
      </c>
      <c r="H6" s="67" t="s">
        <v>94</v>
      </c>
      <c r="I6" s="67" t="s">
        <v>102</v>
      </c>
      <c r="J6" s="67" t="s">
        <v>103</v>
      </c>
    </row>
    <row r="7" spans="1:10" ht="13.5" customHeight="1" x14ac:dyDescent="0.25">
      <c r="A7" s="64" t="s">
        <v>83</v>
      </c>
      <c r="B7" s="65"/>
      <c r="C7" s="65"/>
      <c r="D7" s="65"/>
      <c r="E7" s="65"/>
      <c r="F7" s="65"/>
      <c r="G7" s="65"/>
      <c r="H7" s="65"/>
      <c r="I7" s="65"/>
      <c r="J7" s="66"/>
    </row>
    <row r="8" spans="1:10" x14ac:dyDescent="0.25">
      <c r="A8" s="43">
        <v>1</v>
      </c>
      <c r="B8" s="44" t="s">
        <v>0</v>
      </c>
      <c r="C8" s="45">
        <v>163</v>
      </c>
      <c r="D8" s="45">
        <v>120</v>
      </c>
      <c r="E8" s="45">
        <v>74</v>
      </c>
      <c r="F8" s="45">
        <v>85</v>
      </c>
      <c r="G8" s="45">
        <f t="shared" ref="G8:G35" si="0">+F8+E8</f>
        <v>159</v>
      </c>
      <c r="H8" s="46">
        <v>534.02</v>
      </c>
      <c r="I8" s="46">
        <f>G8/H8</f>
        <v>0.29774165761581967</v>
      </c>
      <c r="J8" s="47">
        <v>100</v>
      </c>
    </row>
    <row r="9" spans="1:10" x14ac:dyDescent="0.25">
      <c r="A9" s="48">
        <v>2</v>
      </c>
      <c r="B9" s="49" t="s">
        <v>1</v>
      </c>
      <c r="C9" s="31">
        <v>4</v>
      </c>
      <c r="D9" s="31">
        <v>6</v>
      </c>
      <c r="E9" s="31">
        <v>3</v>
      </c>
      <c r="F9" s="31">
        <v>5</v>
      </c>
      <c r="G9" s="31">
        <f t="shared" si="0"/>
        <v>8</v>
      </c>
      <c r="H9" s="50">
        <v>15.8</v>
      </c>
      <c r="I9" s="50">
        <f t="shared" ref="I9:I36" si="1">G9/H9</f>
        <v>0.50632911392405056</v>
      </c>
      <c r="J9" s="51">
        <v>77.777777777777786</v>
      </c>
    </row>
    <row r="10" spans="1:10" x14ac:dyDescent="0.25">
      <c r="A10" s="43">
        <v>3</v>
      </c>
      <c r="B10" s="52" t="s">
        <v>46</v>
      </c>
      <c r="C10" s="45">
        <v>140</v>
      </c>
      <c r="D10" s="45">
        <v>118</v>
      </c>
      <c r="E10" s="45">
        <v>67</v>
      </c>
      <c r="F10" s="45">
        <v>41</v>
      </c>
      <c r="G10" s="45">
        <f t="shared" si="0"/>
        <v>108</v>
      </c>
      <c r="H10" s="46">
        <v>361.59</v>
      </c>
      <c r="I10" s="46">
        <f t="shared" si="1"/>
        <v>0.29868082635028625</v>
      </c>
      <c r="J10" s="47">
        <v>54.716981132075468</v>
      </c>
    </row>
    <row r="11" spans="1:10" x14ac:dyDescent="0.25">
      <c r="A11" s="48">
        <v>4</v>
      </c>
      <c r="B11" s="49" t="s">
        <v>2</v>
      </c>
      <c r="C11" s="31">
        <v>260</v>
      </c>
      <c r="D11" s="31">
        <v>132</v>
      </c>
      <c r="E11" s="31">
        <v>49</v>
      </c>
      <c r="F11" s="31">
        <v>89</v>
      </c>
      <c r="G11" s="31">
        <f t="shared" si="0"/>
        <v>138</v>
      </c>
      <c r="H11" s="50">
        <v>1292.05</v>
      </c>
      <c r="I11" s="50">
        <f t="shared" si="1"/>
        <v>0.10680701211253435</v>
      </c>
      <c r="J11" s="51">
        <v>95.967741935483872</v>
      </c>
    </row>
    <row r="12" spans="1:10" x14ac:dyDescent="0.25">
      <c r="A12" s="43">
        <v>5</v>
      </c>
      <c r="B12" s="44" t="s">
        <v>3</v>
      </c>
      <c r="C12" s="45">
        <v>26</v>
      </c>
      <c r="D12" s="45">
        <v>22</v>
      </c>
      <c r="E12" s="45">
        <v>11</v>
      </c>
      <c r="F12" s="45">
        <v>5</v>
      </c>
      <c r="G12" s="45">
        <f t="shared" si="0"/>
        <v>16</v>
      </c>
      <c r="H12" s="46">
        <v>306.38</v>
      </c>
      <c r="I12" s="46">
        <f t="shared" si="1"/>
        <v>5.2222729943207785E-2</v>
      </c>
      <c r="J12" s="47">
        <v>82.051282051282044</v>
      </c>
    </row>
    <row r="13" spans="1:10" x14ac:dyDescent="0.25">
      <c r="A13" s="48">
        <v>6</v>
      </c>
      <c r="B13" s="49" t="s">
        <v>4</v>
      </c>
      <c r="C13" s="31">
        <v>1</v>
      </c>
      <c r="D13" s="31">
        <v>8</v>
      </c>
      <c r="E13" s="31">
        <v>4</v>
      </c>
      <c r="F13" s="31">
        <v>1</v>
      </c>
      <c r="G13" s="31">
        <f t="shared" si="0"/>
        <v>5</v>
      </c>
      <c r="H13" s="50">
        <v>15.85</v>
      </c>
      <c r="I13" s="50">
        <f t="shared" si="1"/>
        <v>0.31545741324921134</v>
      </c>
      <c r="J13" s="51">
        <v>100</v>
      </c>
    </row>
    <row r="14" spans="1:10" x14ac:dyDescent="0.25">
      <c r="A14" s="43">
        <v>7</v>
      </c>
      <c r="B14" s="44" t="s">
        <v>5</v>
      </c>
      <c r="C14" s="45">
        <v>9</v>
      </c>
      <c r="D14" s="45">
        <v>13</v>
      </c>
      <c r="E14" s="45">
        <v>6</v>
      </c>
      <c r="F14" s="45">
        <v>8</v>
      </c>
      <c r="G14" s="45">
        <f t="shared" si="0"/>
        <v>14</v>
      </c>
      <c r="H14" s="46">
        <v>726.53</v>
      </c>
      <c r="I14" s="46">
        <f t="shared" si="1"/>
        <v>1.9269679159841988E-2</v>
      </c>
      <c r="J14" s="47">
        <v>92.857142857142861</v>
      </c>
    </row>
    <row r="15" spans="1:10" x14ac:dyDescent="0.25">
      <c r="A15" s="48">
        <v>8</v>
      </c>
      <c r="B15" s="49" t="s">
        <v>6</v>
      </c>
      <c r="C15" s="31">
        <v>13</v>
      </c>
      <c r="D15" s="31">
        <v>80</v>
      </c>
      <c r="E15" s="31">
        <v>31</v>
      </c>
      <c r="F15" s="31">
        <v>6</v>
      </c>
      <c r="G15" s="31">
        <f t="shared" si="0"/>
        <v>37</v>
      </c>
      <c r="H15" s="50">
        <v>306.94</v>
      </c>
      <c r="I15" s="50">
        <f t="shared" si="1"/>
        <v>0.12054473186942073</v>
      </c>
      <c r="J15" s="51">
        <v>79.069767441860463</v>
      </c>
    </row>
    <row r="16" spans="1:10" x14ac:dyDescent="0.25">
      <c r="A16" s="43">
        <v>9</v>
      </c>
      <c r="B16" s="44" t="s">
        <v>7</v>
      </c>
      <c r="C16" s="45">
        <v>5</v>
      </c>
      <c r="D16" s="45">
        <v>15</v>
      </c>
      <c r="E16" s="45">
        <v>5</v>
      </c>
      <c r="F16" s="45">
        <v>4</v>
      </c>
      <c r="G16" s="45">
        <f t="shared" si="0"/>
        <v>9</v>
      </c>
      <c r="H16" s="46">
        <v>75.180000000000007</v>
      </c>
      <c r="I16" s="46">
        <f t="shared" si="1"/>
        <v>0.11971268954509177</v>
      </c>
      <c r="J16" s="47">
        <v>91.666666666666657</v>
      </c>
    </row>
    <row r="17" spans="1:10" x14ac:dyDescent="0.25">
      <c r="A17" s="48">
        <v>10</v>
      </c>
      <c r="B17" s="53" t="s">
        <v>47</v>
      </c>
      <c r="C17" s="31">
        <v>100</v>
      </c>
      <c r="D17" s="31">
        <v>78</v>
      </c>
      <c r="E17" s="31">
        <v>52</v>
      </c>
      <c r="F17" s="31">
        <v>45</v>
      </c>
      <c r="G17" s="31">
        <f t="shared" si="0"/>
        <v>97</v>
      </c>
      <c r="H17" s="50">
        <v>401.29</v>
      </c>
      <c r="I17" s="50">
        <f t="shared" si="1"/>
        <v>0.24172045154377134</v>
      </c>
      <c r="J17" s="51">
        <v>83.636363636363626</v>
      </c>
    </row>
    <row r="18" spans="1:10" x14ac:dyDescent="0.25">
      <c r="A18" s="43">
        <v>11</v>
      </c>
      <c r="B18" s="44" t="s">
        <v>9</v>
      </c>
      <c r="C18" s="45">
        <v>18</v>
      </c>
      <c r="D18" s="45">
        <v>14</v>
      </c>
      <c r="E18" s="45">
        <v>12</v>
      </c>
      <c r="F18" s="45">
        <v>3</v>
      </c>
      <c r="G18" s="45">
        <f t="shared" si="0"/>
        <v>15</v>
      </c>
      <c r="H18" s="46">
        <v>682.56</v>
      </c>
      <c r="I18" s="46">
        <f t="shared" si="1"/>
        <v>2.1976090014064701E-2</v>
      </c>
      <c r="J18" s="47">
        <v>92.307692307692307</v>
      </c>
    </row>
    <row r="19" spans="1:10" x14ac:dyDescent="0.25">
      <c r="A19" s="48">
        <v>12</v>
      </c>
      <c r="B19" s="49" t="s">
        <v>10</v>
      </c>
      <c r="C19" s="31">
        <v>135</v>
      </c>
      <c r="D19" s="31">
        <v>105</v>
      </c>
      <c r="E19" s="31">
        <v>59</v>
      </c>
      <c r="F19" s="31">
        <v>43</v>
      </c>
      <c r="G19" s="31">
        <f t="shared" si="0"/>
        <v>102</v>
      </c>
      <c r="H19" s="50">
        <v>359.67</v>
      </c>
      <c r="I19" s="50">
        <f t="shared" si="1"/>
        <v>0.28359329385269827</v>
      </c>
      <c r="J19" s="51">
        <v>90</v>
      </c>
    </row>
    <row r="20" spans="1:10" x14ac:dyDescent="0.25">
      <c r="A20" s="43">
        <v>13</v>
      </c>
      <c r="B20" s="44" t="s">
        <v>11</v>
      </c>
      <c r="C20" s="45">
        <v>81</v>
      </c>
      <c r="D20" s="45">
        <v>59</v>
      </c>
      <c r="E20" s="45">
        <v>37</v>
      </c>
      <c r="F20" s="45">
        <v>29</v>
      </c>
      <c r="G20" s="45">
        <f t="shared" si="0"/>
        <v>66</v>
      </c>
      <c r="H20" s="46">
        <v>879.54</v>
      </c>
      <c r="I20" s="46">
        <f t="shared" si="1"/>
        <v>7.5039225049457675E-2</v>
      </c>
      <c r="J20" s="47">
        <v>98.305084745762713</v>
      </c>
    </row>
    <row r="21" spans="1:10" x14ac:dyDescent="0.25">
      <c r="A21" s="48">
        <v>14</v>
      </c>
      <c r="B21" s="31" t="s">
        <v>12</v>
      </c>
      <c r="C21" s="31">
        <v>295</v>
      </c>
      <c r="D21" s="31">
        <v>388</v>
      </c>
      <c r="E21" s="31">
        <v>159</v>
      </c>
      <c r="F21" s="31">
        <v>178</v>
      </c>
      <c r="G21" s="31">
        <f t="shared" si="0"/>
        <v>337</v>
      </c>
      <c r="H21" s="50">
        <v>1276.8399999999999</v>
      </c>
      <c r="I21" s="50">
        <f t="shared" si="1"/>
        <v>0.26393283418439273</v>
      </c>
      <c r="J21" s="51">
        <v>98.82352941176471</v>
      </c>
    </row>
    <row r="22" spans="1:10" x14ac:dyDescent="0.25">
      <c r="A22" s="43">
        <v>15</v>
      </c>
      <c r="B22" s="45" t="s">
        <v>13</v>
      </c>
      <c r="C22" s="45">
        <v>0</v>
      </c>
      <c r="D22" s="45">
        <v>2</v>
      </c>
      <c r="E22" s="45">
        <v>2</v>
      </c>
      <c r="F22" s="45">
        <v>0</v>
      </c>
      <c r="G22" s="45">
        <f t="shared" si="0"/>
        <v>2</v>
      </c>
      <c r="H22" s="46">
        <v>32.6</v>
      </c>
      <c r="I22" s="46">
        <f t="shared" si="1"/>
        <v>6.1349693251533742E-2</v>
      </c>
      <c r="J22" s="47">
        <v>0</v>
      </c>
    </row>
    <row r="23" spans="1:10" x14ac:dyDescent="0.25">
      <c r="A23" s="48">
        <v>16</v>
      </c>
      <c r="B23" s="31" t="s">
        <v>14</v>
      </c>
      <c r="C23" s="31">
        <v>2</v>
      </c>
      <c r="D23" s="31">
        <v>0</v>
      </c>
      <c r="E23" s="31">
        <v>0</v>
      </c>
      <c r="F23" s="31">
        <v>1</v>
      </c>
      <c r="G23" s="31">
        <f t="shared" si="0"/>
        <v>1</v>
      </c>
      <c r="H23" s="50">
        <v>33.869999999999997</v>
      </c>
      <c r="I23" s="50">
        <f t="shared" si="1"/>
        <v>2.9524653085326251E-2</v>
      </c>
      <c r="J23" s="51">
        <v>100</v>
      </c>
    </row>
    <row r="24" spans="1:10" x14ac:dyDescent="0.25">
      <c r="A24" s="43">
        <v>17</v>
      </c>
      <c r="B24" s="45" t="s">
        <v>15</v>
      </c>
      <c r="C24" s="45">
        <v>0</v>
      </c>
      <c r="D24" s="45">
        <v>0</v>
      </c>
      <c r="E24" s="45">
        <v>0</v>
      </c>
      <c r="F24" s="45">
        <v>0</v>
      </c>
      <c r="G24" s="45">
        <f t="shared" si="0"/>
        <v>0</v>
      </c>
      <c r="H24" s="46">
        <v>12.52</v>
      </c>
      <c r="I24" s="46">
        <f t="shared" si="1"/>
        <v>0</v>
      </c>
      <c r="J24" s="47" t="s">
        <v>70</v>
      </c>
    </row>
    <row r="25" spans="1:10" x14ac:dyDescent="0.25">
      <c r="A25" s="48">
        <v>18</v>
      </c>
      <c r="B25" s="31" t="s">
        <v>16</v>
      </c>
      <c r="C25" s="31">
        <v>0</v>
      </c>
      <c r="D25" s="31">
        <v>0</v>
      </c>
      <c r="E25" s="31">
        <v>0</v>
      </c>
      <c r="F25" s="31">
        <v>0</v>
      </c>
      <c r="G25" s="31">
        <f t="shared" si="0"/>
        <v>0</v>
      </c>
      <c r="H25" s="50">
        <v>22.58</v>
      </c>
      <c r="I25" s="50">
        <f t="shared" si="1"/>
        <v>0</v>
      </c>
      <c r="J25" s="51" t="s">
        <v>70</v>
      </c>
    </row>
    <row r="26" spans="1:10" x14ac:dyDescent="0.25">
      <c r="A26" s="43">
        <v>19</v>
      </c>
      <c r="B26" s="45" t="s">
        <v>17</v>
      </c>
      <c r="C26" s="45">
        <v>121</v>
      </c>
      <c r="D26" s="45">
        <v>162</v>
      </c>
      <c r="E26" s="45">
        <v>59</v>
      </c>
      <c r="F26" s="45">
        <v>82</v>
      </c>
      <c r="G26" s="45">
        <f t="shared" si="0"/>
        <v>141</v>
      </c>
      <c r="H26" s="46">
        <v>466.63</v>
      </c>
      <c r="I26" s="46">
        <f t="shared" si="1"/>
        <v>0.30216659880419178</v>
      </c>
      <c r="J26" s="47">
        <v>87.837837837837839</v>
      </c>
    </row>
    <row r="27" spans="1:10" x14ac:dyDescent="0.25">
      <c r="A27" s="48">
        <v>20</v>
      </c>
      <c r="B27" s="31" t="s">
        <v>18</v>
      </c>
      <c r="C27" s="31">
        <v>21</v>
      </c>
      <c r="D27" s="31">
        <v>48</v>
      </c>
      <c r="E27" s="31">
        <v>12</v>
      </c>
      <c r="F27" s="31">
        <v>7</v>
      </c>
      <c r="G27" s="31">
        <f t="shared" si="0"/>
        <v>19</v>
      </c>
      <c r="H27" s="50">
        <v>309.92</v>
      </c>
      <c r="I27" s="50">
        <f t="shared" si="1"/>
        <v>6.1306143520908615E-2</v>
      </c>
      <c r="J27" s="51">
        <v>95.238095238095227</v>
      </c>
    </row>
    <row r="28" spans="1:10" x14ac:dyDescent="0.25">
      <c r="A28" s="43">
        <v>21</v>
      </c>
      <c r="B28" s="45" t="s">
        <v>19</v>
      </c>
      <c r="C28" s="45">
        <v>117</v>
      </c>
      <c r="D28" s="45">
        <v>81</v>
      </c>
      <c r="E28" s="45">
        <v>48</v>
      </c>
      <c r="F28" s="45">
        <v>27</v>
      </c>
      <c r="G28" s="45">
        <f t="shared" si="0"/>
        <v>75</v>
      </c>
      <c r="H28" s="46">
        <v>821.88</v>
      </c>
      <c r="I28" s="46">
        <f t="shared" si="1"/>
        <v>9.1254197693093883E-2</v>
      </c>
      <c r="J28" s="47">
        <v>100</v>
      </c>
    </row>
    <row r="29" spans="1:10" x14ac:dyDescent="0.25">
      <c r="A29" s="48">
        <v>22</v>
      </c>
      <c r="B29" s="53" t="s">
        <v>48</v>
      </c>
      <c r="C29" s="31">
        <v>0</v>
      </c>
      <c r="D29" s="31">
        <v>0</v>
      </c>
      <c r="E29" s="31">
        <v>0</v>
      </c>
      <c r="F29" s="31">
        <v>0</v>
      </c>
      <c r="G29" s="31">
        <f t="shared" si="0"/>
        <v>0</v>
      </c>
      <c r="H29" s="50">
        <v>6.97</v>
      </c>
      <c r="I29" s="50">
        <f t="shared" si="1"/>
        <v>0</v>
      </c>
      <c r="J29" s="51" t="s">
        <v>70</v>
      </c>
    </row>
    <row r="30" spans="1:10" x14ac:dyDescent="0.25">
      <c r="A30" s="43">
        <v>23</v>
      </c>
      <c r="B30" s="45" t="s">
        <v>20</v>
      </c>
      <c r="C30" s="45">
        <v>1</v>
      </c>
      <c r="D30" s="45">
        <v>0</v>
      </c>
      <c r="E30" s="45">
        <v>3</v>
      </c>
      <c r="F30" s="45">
        <v>2</v>
      </c>
      <c r="G30" s="45">
        <f t="shared" si="0"/>
        <v>5</v>
      </c>
      <c r="H30" s="46">
        <v>771.65</v>
      </c>
      <c r="I30" s="46">
        <f t="shared" si="1"/>
        <v>6.4796215900991385E-3</v>
      </c>
      <c r="J30" s="47">
        <v>100</v>
      </c>
    </row>
    <row r="31" spans="1:10" x14ac:dyDescent="0.25">
      <c r="A31" s="48">
        <v>24</v>
      </c>
      <c r="B31" s="31" t="s">
        <v>21</v>
      </c>
      <c r="C31" s="31">
        <v>391</v>
      </c>
      <c r="D31" s="31">
        <v>336</v>
      </c>
      <c r="E31" s="31">
        <v>226</v>
      </c>
      <c r="F31" s="31">
        <v>197</v>
      </c>
      <c r="G31" s="31">
        <f t="shared" si="0"/>
        <v>423</v>
      </c>
      <c r="H31" s="50">
        <v>383.17</v>
      </c>
      <c r="I31" s="50">
        <f t="shared" si="1"/>
        <v>1.1039486389853068</v>
      </c>
      <c r="J31" s="51">
        <v>99.006622516556291</v>
      </c>
    </row>
    <row r="32" spans="1:10" x14ac:dyDescent="0.25">
      <c r="A32" s="43">
        <v>25</v>
      </c>
      <c r="B32" s="45" t="s">
        <v>22</v>
      </c>
      <c r="C32" s="45">
        <v>0</v>
      </c>
      <c r="D32" s="45">
        <v>18</v>
      </c>
      <c r="E32" s="45">
        <v>21</v>
      </c>
      <c r="F32" s="45">
        <v>41</v>
      </c>
      <c r="G32" s="45">
        <f t="shared" si="0"/>
        <v>62</v>
      </c>
      <c r="H32" s="46">
        <v>41.94</v>
      </c>
      <c r="I32" s="46">
        <f t="shared" si="1"/>
        <v>1.4783023366714354</v>
      </c>
      <c r="J32" s="47">
        <v>100</v>
      </c>
    </row>
    <row r="33" spans="1:10" x14ac:dyDescent="0.25">
      <c r="A33" s="48">
        <v>26</v>
      </c>
      <c r="B33" s="31" t="s">
        <v>23</v>
      </c>
      <c r="C33" s="31">
        <v>126</v>
      </c>
      <c r="D33" s="31">
        <v>155</v>
      </c>
      <c r="E33" s="31">
        <v>82</v>
      </c>
      <c r="F33" s="31">
        <v>56</v>
      </c>
      <c r="G33" s="31">
        <f t="shared" si="0"/>
        <v>138</v>
      </c>
      <c r="H33" s="50">
        <v>2388.75</v>
      </c>
      <c r="I33" s="50">
        <f t="shared" si="1"/>
        <v>5.7770800627943486E-2</v>
      </c>
      <c r="J33" s="51">
        <v>86.04651162790698</v>
      </c>
    </row>
    <row r="34" spans="1:10" x14ac:dyDescent="0.25">
      <c r="A34" s="43">
        <v>27</v>
      </c>
      <c r="B34" s="45" t="s">
        <v>24</v>
      </c>
      <c r="C34" s="45">
        <v>16</v>
      </c>
      <c r="D34" s="45">
        <v>21</v>
      </c>
      <c r="E34" s="45">
        <v>5</v>
      </c>
      <c r="F34" s="45">
        <v>5</v>
      </c>
      <c r="G34" s="45">
        <f t="shared" si="0"/>
        <v>10</v>
      </c>
      <c r="H34" s="46">
        <v>117.95</v>
      </c>
      <c r="I34" s="46">
        <f t="shared" si="1"/>
        <v>8.4781687155574395E-2</v>
      </c>
      <c r="J34" s="47">
        <v>92.307692307692307</v>
      </c>
    </row>
    <row r="35" spans="1:10" x14ac:dyDescent="0.25">
      <c r="A35" s="48">
        <v>28</v>
      </c>
      <c r="B35" s="53" t="s">
        <v>49</v>
      </c>
      <c r="C35" s="31">
        <v>67</v>
      </c>
      <c r="D35" s="31">
        <v>56</v>
      </c>
      <c r="E35" s="31">
        <v>40</v>
      </c>
      <c r="F35" s="31">
        <v>16</v>
      </c>
      <c r="G35" s="31">
        <f t="shared" si="0"/>
        <v>56</v>
      </c>
      <c r="H35" s="50">
        <v>997.23</v>
      </c>
      <c r="I35" s="50">
        <f t="shared" si="1"/>
        <v>5.6155550875926316E-2</v>
      </c>
      <c r="J35" s="51">
        <v>80.555555555555557</v>
      </c>
    </row>
    <row r="36" spans="1:10" x14ac:dyDescent="0.25">
      <c r="A36" s="54"/>
      <c r="B36" s="55" t="s">
        <v>25</v>
      </c>
      <c r="C36" s="56">
        <f t="shared" ref="C36:G36" si="2">SUM(C8:C35)</f>
        <v>2112</v>
      </c>
      <c r="D36" s="56">
        <f t="shared" si="2"/>
        <v>2037</v>
      </c>
      <c r="E36" s="56">
        <f t="shared" si="2"/>
        <v>1067</v>
      </c>
      <c r="F36" s="56">
        <f t="shared" si="2"/>
        <v>976</v>
      </c>
      <c r="G36" s="56">
        <f t="shared" si="2"/>
        <v>2043</v>
      </c>
      <c r="H36" s="57">
        <f>SUM(H8:H35)</f>
        <v>13641.900000000001</v>
      </c>
      <c r="I36" s="57">
        <f t="shared" si="1"/>
        <v>0.14975919776570712</v>
      </c>
      <c r="J36" s="58">
        <v>90.588853838065191</v>
      </c>
    </row>
    <row r="37" spans="1:10" ht="17.25" customHeight="1" x14ac:dyDescent="0.25">
      <c r="A37" s="71" t="s">
        <v>82</v>
      </c>
      <c r="B37" s="72"/>
      <c r="C37" s="72"/>
      <c r="D37" s="72"/>
      <c r="E37" s="72"/>
      <c r="F37" s="72"/>
      <c r="G37" s="72"/>
      <c r="H37" s="72"/>
      <c r="I37" s="72"/>
      <c r="J37" s="73"/>
    </row>
    <row r="38" spans="1:10" x14ac:dyDescent="0.25">
      <c r="A38" s="43">
        <v>29</v>
      </c>
      <c r="B38" s="45" t="s">
        <v>26</v>
      </c>
      <c r="C38" s="45">
        <v>0</v>
      </c>
      <c r="D38" s="45">
        <v>0</v>
      </c>
      <c r="E38" s="45">
        <v>0</v>
      </c>
      <c r="F38" s="45">
        <v>0</v>
      </c>
      <c r="G38" s="45">
        <f t="shared" ref="G38:G45" si="3">+F38+E38</f>
        <v>0</v>
      </c>
      <c r="H38" s="46">
        <v>4.04</v>
      </c>
      <c r="I38" s="46">
        <f t="shared" ref="I38:I47" si="4">G38/H38</f>
        <v>0</v>
      </c>
      <c r="J38" s="47" t="s">
        <v>70</v>
      </c>
    </row>
    <row r="39" spans="1:10" x14ac:dyDescent="0.25">
      <c r="A39" s="48">
        <v>30</v>
      </c>
      <c r="B39" s="31" t="s">
        <v>27</v>
      </c>
      <c r="C39" s="31">
        <v>1</v>
      </c>
      <c r="D39" s="31">
        <v>4</v>
      </c>
      <c r="E39" s="31">
        <v>3</v>
      </c>
      <c r="F39" s="31">
        <v>0</v>
      </c>
      <c r="G39" s="31">
        <f t="shared" si="3"/>
        <v>3</v>
      </c>
      <c r="H39" s="50">
        <v>12.47</v>
      </c>
      <c r="I39" s="50">
        <f t="shared" si="4"/>
        <v>0.24057738572574178</v>
      </c>
      <c r="J39" s="51">
        <v>100</v>
      </c>
    </row>
    <row r="40" spans="1:10" ht="16.5" customHeight="1" x14ac:dyDescent="0.25">
      <c r="A40" s="43">
        <v>31</v>
      </c>
      <c r="B40" s="45" t="s">
        <v>95</v>
      </c>
      <c r="C40" s="45">
        <v>0</v>
      </c>
      <c r="D40" s="45">
        <v>0</v>
      </c>
      <c r="E40" s="45">
        <v>0</v>
      </c>
      <c r="F40" s="45">
        <v>0</v>
      </c>
      <c r="G40" s="45">
        <f t="shared" si="3"/>
        <v>0</v>
      </c>
      <c r="H40" s="46">
        <v>13.87</v>
      </c>
      <c r="I40" s="46">
        <f t="shared" si="4"/>
        <v>0</v>
      </c>
      <c r="J40" s="47" t="s">
        <v>70</v>
      </c>
    </row>
    <row r="41" spans="1:10" x14ac:dyDescent="0.25">
      <c r="A41" s="48">
        <v>32</v>
      </c>
      <c r="B41" s="49" t="s">
        <v>28</v>
      </c>
      <c r="C41" s="31">
        <v>106</v>
      </c>
      <c r="D41" s="31">
        <v>117</v>
      </c>
      <c r="E41" s="31">
        <v>37</v>
      </c>
      <c r="F41" s="31">
        <v>28</v>
      </c>
      <c r="G41" s="31">
        <f t="shared" si="3"/>
        <v>65</v>
      </c>
      <c r="H41" s="50">
        <v>218.84</v>
      </c>
      <c r="I41" s="50">
        <f t="shared" si="4"/>
        <v>0.29702065435934927</v>
      </c>
      <c r="J41" s="51">
        <v>96.341463414634148</v>
      </c>
    </row>
    <row r="42" spans="1:10" x14ac:dyDescent="0.25">
      <c r="A42" s="43">
        <v>33</v>
      </c>
      <c r="B42" s="44" t="s">
        <v>8</v>
      </c>
      <c r="C42" s="45">
        <v>8</v>
      </c>
      <c r="D42" s="45">
        <v>10</v>
      </c>
      <c r="E42" s="45">
        <v>13</v>
      </c>
      <c r="F42" s="45">
        <v>4</v>
      </c>
      <c r="G42" s="45">
        <f t="shared" si="3"/>
        <v>17</v>
      </c>
      <c r="H42" s="46">
        <v>137.33000000000001</v>
      </c>
      <c r="I42" s="46">
        <f t="shared" si="4"/>
        <v>0.12378941236437777</v>
      </c>
      <c r="J42" s="47">
        <v>81.25</v>
      </c>
    </row>
    <row r="43" spans="1:10" x14ac:dyDescent="0.25">
      <c r="A43" s="48">
        <v>34</v>
      </c>
      <c r="B43" s="49" t="s">
        <v>96</v>
      </c>
      <c r="C43" s="31">
        <v>0</v>
      </c>
      <c r="D43" s="31">
        <v>0</v>
      </c>
      <c r="E43" s="31">
        <v>0</v>
      </c>
      <c r="F43" s="31">
        <v>0</v>
      </c>
      <c r="G43" s="31">
        <f t="shared" si="3"/>
        <v>0</v>
      </c>
      <c r="H43" s="50">
        <v>3.02</v>
      </c>
      <c r="I43" s="50">
        <f t="shared" si="4"/>
        <v>0</v>
      </c>
      <c r="J43" s="51" t="s">
        <v>70</v>
      </c>
    </row>
    <row r="44" spans="1:10" x14ac:dyDescent="0.25">
      <c r="A44" s="43">
        <v>35</v>
      </c>
      <c r="B44" s="45" t="s">
        <v>29</v>
      </c>
      <c r="C44" s="45">
        <v>0</v>
      </c>
      <c r="D44" s="45">
        <v>0</v>
      </c>
      <c r="E44" s="45">
        <v>0</v>
      </c>
      <c r="F44" s="45">
        <v>0</v>
      </c>
      <c r="G44" s="45">
        <f t="shared" si="3"/>
        <v>0</v>
      </c>
      <c r="H44" s="46">
        <v>0.69</v>
      </c>
      <c r="I44" s="46">
        <f t="shared" si="4"/>
        <v>0</v>
      </c>
      <c r="J44" s="47" t="s">
        <v>70</v>
      </c>
    </row>
    <row r="45" spans="1:10" x14ac:dyDescent="0.25">
      <c r="A45" s="48">
        <v>36</v>
      </c>
      <c r="B45" s="31" t="s">
        <v>30</v>
      </c>
      <c r="C45" s="31">
        <v>23</v>
      </c>
      <c r="D45" s="31">
        <v>15</v>
      </c>
      <c r="E45" s="31">
        <v>5</v>
      </c>
      <c r="F45" s="31">
        <v>2</v>
      </c>
      <c r="G45" s="31">
        <f t="shared" si="3"/>
        <v>7</v>
      </c>
      <c r="H45" s="50">
        <v>16.95</v>
      </c>
      <c r="I45" s="50">
        <f t="shared" si="4"/>
        <v>0.41297935103244837</v>
      </c>
      <c r="J45" s="51">
        <v>100</v>
      </c>
    </row>
    <row r="46" spans="1:10" x14ac:dyDescent="0.25">
      <c r="A46" s="54"/>
      <c r="B46" s="55" t="s">
        <v>31</v>
      </c>
      <c r="C46" s="56">
        <f t="shared" ref="C46:H46" si="5">SUM(C38:C45)</f>
        <v>138</v>
      </c>
      <c r="D46" s="56">
        <f t="shared" si="5"/>
        <v>146</v>
      </c>
      <c r="E46" s="56">
        <f t="shared" si="5"/>
        <v>58</v>
      </c>
      <c r="F46" s="56">
        <f t="shared" si="5"/>
        <v>34</v>
      </c>
      <c r="G46" s="56">
        <f t="shared" si="5"/>
        <v>92</v>
      </c>
      <c r="H46" s="57">
        <f t="shared" si="5"/>
        <v>407.21</v>
      </c>
      <c r="I46" s="57">
        <f t="shared" si="4"/>
        <v>0.2259276540360011</v>
      </c>
      <c r="J46" s="58">
        <v>94.339622641509436</v>
      </c>
    </row>
    <row r="47" spans="1:10" x14ac:dyDescent="0.25">
      <c r="A47" s="59"/>
      <c r="B47" s="60" t="s">
        <v>32</v>
      </c>
      <c r="C47" s="61">
        <f t="shared" ref="C47:H47" si="6">SUM(C36,C46)</f>
        <v>2250</v>
      </c>
      <c r="D47" s="61">
        <f t="shared" si="6"/>
        <v>2183</v>
      </c>
      <c r="E47" s="61">
        <f t="shared" si="6"/>
        <v>1125</v>
      </c>
      <c r="F47" s="61">
        <f t="shared" si="6"/>
        <v>1010</v>
      </c>
      <c r="G47" s="61">
        <f t="shared" si="6"/>
        <v>2135</v>
      </c>
      <c r="H47" s="61">
        <f t="shared" si="6"/>
        <v>14049.11</v>
      </c>
      <c r="I47" s="62">
        <f t="shared" si="4"/>
        <v>0.15196692174806803</v>
      </c>
      <c r="J47" s="63">
        <v>90.786852589641427</v>
      </c>
    </row>
    <row r="48" spans="1:10" ht="16.5" customHeight="1" x14ac:dyDescent="0.25">
      <c r="A48" s="70" t="s">
        <v>85</v>
      </c>
      <c r="B48" s="70"/>
      <c r="C48" s="70"/>
      <c r="D48" s="70"/>
      <c r="E48" s="70"/>
      <c r="F48" s="70"/>
      <c r="G48" s="70"/>
      <c r="H48" s="70"/>
      <c r="I48" s="70"/>
      <c r="J48" s="70"/>
    </row>
    <row r="49" spans="1:10" x14ac:dyDescent="0.25">
      <c r="A49" s="32" t="s">
        <v>98</v>
      </c>
      <c r="B49" s="1"/>
      <c r="C49" s="1"/>
      <c r="D49" s="1"/>
      <c r="E49" s="1"/>
      <c r="F49" s="1"/>
      <c r="G49" s="1"/>
      <c r="H49" s="1"/>
      <c r="I49" s="34"/>
      <c r="J49" s="1"/>
    </row>
    <row r="50" spans="1:10" x14ac:dyDescent="0.25">
      <c r="A50" s="32" t="s">
        <v>97</v>
      </c>
      <c r="B50" s="1"/>
      <c r="C50" s="1"/>
      <c r="D50" s="1"/>
      <c r="E50" s="1"/>
      <c r="F50" s="1"/>
      <c r="G50" s="1"/>
      <c r="H50" s="1"/>
      <c r="I50" s="34"/>
      <c r="J50" s="1"/>
    </row>
    <row r="51" spans="1:10" x14ac:dyDescent="0.25">
      <c r="A51" s="32" t="s">
        <v>87</v>
      </c>
      <c r="B51" s="1"/>
      <c r="C51" s="1"/>
      <c r="D51" s="1"/>
      <c r="E51" s="1"/>
      <c r="F51" s="1"/>
      <c r="G51" s="1"/>
    </row>
    <row r="52" spans="1:10" x14ac:dyDescent="0.25">
      <c r="A52" s="42"/>
    </row>
    <row r="54" spans="1:10" ht="15.75" x14ac:dyDescent="0.25">
      <c r="C54" s="68"/>
    </row>
  </sheetData>
  <mergeCells count="13">
    <mergeCell ref="A48:J48"/>
    <mergeCell ref="A37:J37"/>
    <mergeCell ref="A2:J2"/>
    <mergeCell ref="A1:J1"/>
    <mergeCell ref="C3:G3"/>
    <mergeCell ref="E4:G4"/>
    <mergeCell ref="C4:C5"/>
    <mergeCell ref="D4:D5"/>
    <mergeCell ref="A3:A5"/>
    <mergeCell ref="B3:B5"/>
    <mergeCell ref="H3:H5"/>
    <mergeCell ref="I3:I5"/>
    <mergeCell ref="J3:J5"/>
  </mergeCells>
  <printOptions horizontalCentered="1"/>
  <pageMargins left="0.41599999999999998" right="0.41599999999999998" top="0.41599999999999998" bottom="0.41599999999999998" header="0.41599999999999998" footer="0.41599999999999998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86" t="s">
        <v>67</v>
      </c>
      <c r="B1" s="86"/>
      <c r="C1" s="86"/>
      <c r="D1" s="86"/>
      <c r="E1" s="86"/>
      <c r="F1" s="86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5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6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5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6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5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6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5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6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5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5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6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5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6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5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6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5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6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5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6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5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6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5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6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5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6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5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6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5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5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6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5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5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5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5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6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5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87" t="s">
        <v>78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22" x14ac:dyDescent="0.25">
      <c r="A2" s="88" t="s">
        <v>42</v>
      </c>
      <c r="B2" s="88" t="s">
        <v>43</v>
      </c>
      <c r="C2" s="89" t="s">
        <v>44</v>
      </c>
      <c r="D2" s="89"/>
      <c r="E2" s="89"/>
      <c r="F2" s="89" t="s">
        <v>45</v>
      </c>
      <c r="G2" s="89"/>
      <c r="H2" s="89"/>
      <c r="I2" s="89" t="s">
        <v>37</v>
      </c>
      <c r="J2" s="89"/>
      <c r="K2" s="89"/>
    </row>
    <row r="3" spans="1:22" x14ac:dyDescent="0.25">
      <c r="A3" s="88"/>
      <c r="B3" s="88"/>
      <c r="C3" s="40" t="s">
        <v>35</v>
      </c>
      <c r="D3" s="40" t="s">
        <v>36</v>
      </c>
      <c r="E3" s="40" t="s">
        <v>37</v>
      </c>
      <c r="F3" s="40" t="s">
        <v>35</v>
      </c>
      <c r="G3" s="40" t="s">
        <v>36</v>
      </c>
      <c r="H3" s="40" t="s">
        <v>37</v>
      </c>
      <c r="I3" s="40" t="s">
        <v>35</v>
      </c>
      <c r="J3" s="40" t="s">
        <v>36</v>
      </c>
      <c r="K3" s="40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79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87" t="s">
        <v>69</v>
      </c>
      <c r="B1" s="87"/>
      <c r="C1" s="87"/>
      <c r="D1" s="87"/>
      <c r="E1" s="87"/>
      <c r="F1" s="87"/>
      <c r="G1" s="87"/>
      <c r="H1" s="87"/>
      <c r="I1" s="87"/>
      <c r="J1" s="87"/>
    </row>
    <row r="2" spans="1:13" x14ac:dyDescent="0.25">
      <c r="A2" s="88" t="s">
        <v>42</v>
      </c>
      <c r="B2" s="88" t="s">
        <v>43</v>
      </c>
      <c r="C2" s="88" t="s">
        <v>50</v>
      </c>
      <c r="D2" s="89" t="s">
        <v>51</v>
      </c>
      <c r="E2" s="89"/>
      <c r="F2" s="89"/>
      <c r="G2" s="89" t="s">
        <v>52</v>
      </c>
      <c r="H2" s="89"/>
      <c r="I2" s="89"/>
      <c r="J2" s="89"/>
    </row>
    <row r="3" spans="1:13" ht="78.75" customHeight="1" x14ac:dyDescent="0.25">
      <c r="A3" s="88"/>
      <c r="B3" s="88"/>
      <c r="C3" s="88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7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7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7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7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7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7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7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7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7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7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7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7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7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7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7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7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7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7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7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7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7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7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7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7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7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7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7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8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9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7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7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7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8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7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7" t="s">
        <v>70</v>
      </c>
      <c r="G39" s="18">
        <v>0</v>
      </c>
      <c r="H39" s="18">
        <v>0</v>
      </c>
      <c r="I39" s="18"/>
      <c r="J39" s="38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7" t="s">
        <v>70</v>
      </c>
      <c r="G40" s="18">
        <v>0</v>
      </c>
      <c r="H40" s="6">
        <v>0</v>
      </c>
      <c r="I40" s="6">
        <f t="shared" ref="I40:I42" si="4">G40+H40</f>
        <v>0</v>
      </c>
      <c r="J40" s="37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7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9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9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80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14.1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2026-04-06T12:03:34Z</dcterms:modified>
</cp:coreProperties>
</file>