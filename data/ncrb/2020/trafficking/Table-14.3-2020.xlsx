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3" sheetId="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14.3'!$A$1:$K$48</definedName>
  </definedNames>
  <calcPr calcId="145621"/>
</workbook>
</file>

<file path=xl/calcChain.xml><?xml version="1.0" encoding="utf-8"?>
<calcChain xmlns="http://schemas.openxmlformats.org/spreadsheetml/2006/main">
  <c r="D44" i="2" l="1"/>
  <c r="E44" i="2"/>
  <c r="F44" i="2"/>
  <c r="G44" i="2"/>
  <c r="H44" i="2"/>
  <c r="I44" i="2"/>
  <c r="J44" i="2"/>
  <c r="K44" i="2"/>
  <c r="D35" i="2"/>
  <c r="D45" i="2" s="1"/>
  <c r="E35" i="2"/>
  <c r="E45" i="2" s="1"/>
  <c r="F35" i="2"/>
  <c r="F45" i="2" s="1"/>
  <c r="G35" i="2"/>
  <c r="G45" i="2" s="1"/>
  <c r="H35" i="2"/>
  <c r="H45" i="2" s="1"/>
  <c r="I35" i="2"/>
  <c r="I45" i="2" s="1"/>
  <c r="J35" i="2"/>
  <c r="J45" i="2" s="1"/>
  <c r="K35" i="2"/>
  <c r="K45" i="2" s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D42" i="3"/>
  <c r="E42" i="3"/>
  <c r="E43" i="3" s="1"/>
  <c r="F42" i="3"/>
  <c r="G42" i="3"/>
  <c r="H42" i="3"/>
  <c r="I42" i="3"/>
  <c r="I43" i="3" s="1"/>
  <c r="J42" i="3"/>
  <c r="K42" i="3"/>
  <c r="C42" i="3"/>
  <c r="D33" i="3"/>
  <c r="D43" i="3" s="1"/>
  <c r="E33" i="3"/>
  <c r="F33" i="3"/>
  <c r="G33" i="3"/>
  <c r="G43" i="3" s="1"/>
  <c r="H33" i="3"/>
  <c r="H43" i="3" s="1"/>
  <c r="I33" i="3"/>
  <c r="J33" i="3"/>
  <c r="J43" i="3" s="1"/>
  <c r="K33" i="3"/>
  <c r="K43" i="3" s="1"/>
  <c r="C33" i="3"/>
  <c r="C43" i="3" s="1"/>
  <c r="C44" i="2" l="1"/>
  <c r="C35" i="2"/>
  <c r="C45" i="2" l="1"/>
  <c r="F4" i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32" i="1" s="1"/>
  <c r="D8" i="1" l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13" i="1"/>
  <c r="D29" i="1"/>
  <c r="D6" i="1"/>
  <c r="D22" i="1"/>
  <c r="D38" i="1"/>
  <c r="D15" i="1"/>
  <c r="D31" i="1"/>
  <c r="D39" i="1"/>
  <c r="D12" i="1"/>
  <c r="D20" i="1"/>
  <c r="D28" i="1"/>
  <c r="D36" i="1"/>
  <c r="D5" i="1"/>
  <c r="D21" i="1"/>
  <c r="D37" i="1"/>
  <c r="D14" i="1"/>
  <c r="D30" i="1"/>
  <c r="D7" i="1"/>
  <c r="D23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<sst xmlns="http://schemas.openxmlformats.org/spreadsheetml/2006/main" count="248" uniqueCount="88">
  <si>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</si>
  <si>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</si>
  <si>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</si>
  <si>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</si>
  <si>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</si>
  <si>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</si>
  <si>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</si>
  <si>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</si>
  <si>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</si>
  <si>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</si>
  <si>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</si>
  <si>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</si>
  <si>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</si>
  <si>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</si>
  <si>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</si>
  <si>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</si>
  <si>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</si>
  <si>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</si>
  <si>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</si>
  <si>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</si>
  <si>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</si>
  <si>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</si>
  <si>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</si>
  <si>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</si>
  <si>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</si>
  <si>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</si>
  <si>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</si>
  <si>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</si>
  <si>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</si>
  <si>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</si>
  <si>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</si>
  <si>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</si>
  <si>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</si>
  <si>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</si>
  <si>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</si>
  <si>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</si>
  <si>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</si>
  <si>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</si>
  <si>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</si>
  <si>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</si>
  <si>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</si>
  <si>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</si>
  <si>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</si>
  <si>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</si>
  <si>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</si>
  <si>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</si>
  <si>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</si>
  <si>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</si>
  <si>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</si>
  <si>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</si>
  <si>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</si>
  <si>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</si>
  <si>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</si>
  <si>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</si>
  <si>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</si>
  <si>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</si>
  <si>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</si>
  <si>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</si>
  <si>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</si>
  <si>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</si>
  <si>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</si>
  <si>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</si>
  <si>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</si>
  <si>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</si>
  <si>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</si>
  <si>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</si>
  <si>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</si>
  <si>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</si>
  <si>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</si>
  <si>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</si>
  <si>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</si>
  <si>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</si>
  <si>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</si>
  <si>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</si>
  <si>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</si>
  <si>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</si>
  <si>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</si>
  <si>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</si>
  <si>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</si>
  <si>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</si>
  <si>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</si>
  <si>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14.3</t>
  </si>
  <si>
    <t xml:space="preserve">Note:   </t>
  </si>
  <si>
    <t>Human Trafficking data published is based on annual data as provided by States/UTs from their Anti Human Trafficking Units</t>
  </si>
  <si>
    <t>STATES:</t>
  </si>
  <si>
    <t>TABLE 14.3 - Page 1 of 1</t>
  </si>
  <si>
    <t>DNH  and 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</si>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</sst>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6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12" fillId="8" borderId="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0" fontId="0" fillId="6" borderId="12" xfId="0" applyFill="1" applyBorder="1"/>
    <xf numFmtId="0" fontId="0" fillId="0" borderId="11" xfId="0" applyBorder="1" applyAlignment="1">
      <alignment horizontal="center"/>
    </xf>
    <xf numFmtId="0" fontId="0" fillId="0" borderId="0" xfId="0" applyFont="1" applyBorder="1"/>
    <xf numFmtId="0" fontId="0" fillId="0" borderId="12" xfId="0" applyBorder="1"/>
    <xf numFmtId="0" fontId="9" fillId="6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0" fillId="0" borderId="12" xfId="0" applyFont="1" applyBorder="1"/>
    <xf numFmtId="0" fontId="12" fillId="8" borderId="11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right" vertical="center" wrapText="1"/>
    </xf>
    <xf numFmtId="0" fontId="12" fillId="8" borderId="12" xfId="0" applyFont="1" applyFill="1" applyBorder="1" applyAlignment="1">
      <alignment horizontal="right" vertical="center" wrapText="1"/>
    </xf>
    <xf numFmtId="0" fontId="12" fillId="8" borderId="14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top" wrapText="1"/>
    </xf>
    <xf numFmtId="0" fontId="12" fillId="8" borderId="7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topLeftCell="A37" workbookViewId="0">
      <selection activeCell="E54" sqref="E54"/>
    </sheetView>
  </sheetViews>
  <sheetFormatPr defaultRowHeight="15" x14ac:dyDescent="0.25"/>
  <cols>
    <col min="1" max="1" width="4.7109375" customWidth="1"/>
    <col min="2" max="2" width="28.42578125" customWidth="1"/>
    <col min="3" max="3" width="6.42578125" customWidth="1"/>
    <col min="4" max="4" width="7.28515625" customWidth="1"/>
    <col min="5" max="6" width="6.42578125" customWidth="1"/>
    <col min="7" max="7" width="7.5703125" customWidth="1"/>
    <col min="8" max="9" width="6.42578125" customWidth="1"/>
    <col min="10" max="10" width="7.42578125" customWidth="1"/>
    <col min="11" max="11" width="6.42578125" customWidth="1"/>
  </cols>
  <sheetData>
    <row r="1" spans="1:11" ht="18.75" customHeight="1" x14ac:dyDescent="0.25">
      <c r="A1" s="63" t="s">
        <v>81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1" customHeight="1" x14ac:dyDescent="0.25">
      <c r="A2" s="62" t="s">
        <v>78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22.5" customHeight="1" x14ac:dyDescent="0.25">
      <c r="A3" s="64" t="s">
        <v>42</v>
      </c>
      <c r="B3" s="64" t="s">
        <v>43</v>
      </c>
      <c r="C3" s="69" t="s">
        <v>44</v>
      </c>
      <c r="D3" s="70"/>
      <c r="E3" s="71"/>
      <c r="F3" s="69" t="s">
        <v>45</v>
      </c>
      <c r="G3" s="70"/>
      <c r="H3" s="71"/>
      <c r="I3" s="69" t="s">
        <v>37</v>
      </c>
      <c r="J3" s="70"/>
      <c r="K3" s="71"/>
    </row>
    <row r="4" spans="1:11" ht="20.25" customHeight="1" x14ac:dyDescent="0.25">
      <c r="A4" s="65"/>
      <c r="B4" s="65"/>
      <c r="C4" s="42" t="s">
        <v>35</v>
      </c>
      <c r="D4" s="42" t="s">
        <v>36</v>
      </c>
      <c r="E4" s="42" t="s">
        <v>37</v>
      </c>
      <c r="F4" s="42" t="s">
        <v>35</v>
      </c>
      <c r="G4" s="42" t="s">
        <v>36</v>
      </c>
      <c r="H4" s="42" t="s">
        <v>37</v>
      </c>
      <c r="I4" s="42" t="s">
        <v>35</v>
      </c>
      <c r="J4" s="42" t="s">
        <v>36</v>
      </c>
      <c r="K4" s="42" t="s">
        <v>37</v>
      </c>
    </row>
    <row r="5" spans="1:11" x14ac:dyDescent="0.25">
      <c r="A5" s="42">
        <v>1</v>
      </c>
      <c r="B5" s="42">
        <v>2</v>
      </c>
      <c r="C5" s="42">
        <v>3</v>
      </c>
      <c r="D5" s="42">
        <v>4</v>
      </c>
      <c r="E5" s="42">
        <v>5</v>
      </c>
      <c r="F5" s="42">
        <v>6</v>
      </c>
      <c r="G5" s="42">
        <v>7</v>
      </c>
      <c r="H5" s="42">
        <v>8</v>
      </c>
      <c r="I5" s="42">
        <v>9</v>
      </c>
      <c r="J5" s="42">
        <v>10</v>
      </c>
      <c r="K5" s="42">
        <v>11</v>
      </c>
    </row>
    <row r="6" spans="1:11" x14ac:dyDescent="0.25">
      <c r="A6" s="66" t="s">
        <v>84</v>
      </c>
      <c r="B6" s="67"/>
      <c r="C6" s="67"/>
      <c r="D6" s="67"/>
      <c r="E6" s="67"/>
      <c r="F6" s="67"/>
      <c r="G6" s="67"/>
      <c r="H6" s="67"/>
      <c r="I6" s="67"/>
      <c r="J6" s="67"/>
      <c r="K6" s="68"/>
    </row>
    <row r="7" spans="1:11" x14ac:dyDescent="0.25">
      <c r="A7" s="43">
        <v>1</v>
      </c>
      <c r="B7" s="44" t="s">
        <v>0</v>
      </c>
      <c r="C7" s="45">
        <v>1</v>
      </c>
      <c r="D7" s="45">
        <v>7</v>
      </c>
      <c r="E7" s="45">
        <v>8</v>
      </c>
      <c r="F7" s="45">
        <v>7</v>
      </c>
      <c r="G7" s="45">
        <v>242</v>
      </c>
      <c r="H7" s="45">
        <v>249</v>
      </c>
      <c r="I7" s="45">
        <v>8</v>
      </c>
      <c r="J7" s="45">
        <v>249</v>
      </c>
      <c r="K7" s="46">
        <v>257</v>
      </c>
    </row>
    <row r="8" spans="1:11" x14ac:dyDescent="0.25">
      <c r="A8" s="47">
        <v>2</v>
      </c>
      <c r="B8" s="48" t="s">
        <v>1</v>
      </c>
      <c r="C8" s="1">
        <v>3</v>
      </c>
      <c r="D8" s="1">
        <v>10</v>
      </c>
      <c r="E8" s="1">
        <v>13</v>
      </c>
      <c r="F8" s="1">
        <v>0</v>
      </c>
      <c r="G8" s="1">
        <v>0</v>
      </c>
      <c r="H8" s="1">
        <v>0</v>
      </c>
      <c r="I8" s="1">
        <v>3</v>
      </c>
      <c r="J8" s="1">
        <v>10</v>
      </c>
      <c r="K8" s="49">
        <v>13</v>
      </c>
    </row>
    <row r="9" spans="1:11" x14ac:dyDescent="0.25">
      <c r="A9" s="43">
        <v>3</v>
      </c>
      <c r="B9" s="50" t="s">
        <v>46</v>
      </c>
      <c r="C9" s="45">
        <v>6</v>
      </c>
      <c r="D9" s="45">
        <v>61</v>
      </c>
      <c r="E9" s="45">
        <v>67</v>
      </c>
      <c r="F9" s="45">
        <v>2</v>
      </c>
      <c r="G9" s="45">
        <v>88</v>
      </c>
      <c r="H9" s="45">
        <v>90</v>
      </c>
      <c r="I9" s="45">
        <v>8</v>
      </c>
      <c r="J9" s="45">
        <v>149</v>
      </c>
      <c r="K9" s="46">
        <v>157</v>
      </c>
    </row>
    <row r="10" spans="1:11" x14ac:dyDescent="0.25">
      <c r="A10" s="47">
        <v>4</v>
      </c>
      <c r="B10" s="48" t="s">
        <v>2</v>
      </c>
      <c r="C10" s="1">
        <v>75</v>
      </c>
      <c r="D10" s="1">
        <v>48</v>
      </c>
      <c r="E10" s="1">
        <v>123</v>
      </c>
      <c r="F10" s="1">
        <v>2</v>
      </c>
      <c r="G10" s="1">
        <v>54</v>
      </c>
      <c r="H10" s="1">
        <v>56</v>
      </c>
      <c r="I10" s="1">
        <v>77</v>
      </c>
      <c r="J10" s="1">
        <v>102</v>
      </c>
      <c r="K10" s="49">
        <v>179</v>
      </c>
    </row>
    <row r="11" spans="1:11" x14ac:dyDescent="0.25">
      <c r="A11" s="43">
        <v>5</v>
      </c>
      <c r="B11" s="44" t="s">
        <v>3</v>
      </c>
      <c r="C11" s="45">
        <v>18</v>
      </c>
      <c r="D11" s="45">
        <v>21</v>
      </c>
      <c r="E11" s="45">
        <v>39</v>
      </c>
      <c r="F11" s="45">
        <v>39</v>
      </c>
      <c r="G11" s="45">
        <v>18</v>
      </c>
      <c r="H11" s="45">
        <v>57</v>
      </c>
      <c r="I11" s="45">
        <v>57</v>
      </c>
      <c r="J11" s="45">
        <v>39</v>
      </c>
      <c r="K11" s="46">
        <v>96</v>
      </c>
    </row>
    <row r="12" spans="1:11" x14ac:dyDescent="0.25">
      <c r="A12" s="47">
        <v>6</v>
      </c>
      <c r="B12" s="48" t="s">
        <v>4</v>
      </c>
      <c r="C12" s="1">
        <v>0</v>
      </c>
      <c r="D12" s="1">
        <v>1</v>
      </c>
      <c r="E12" s="1">
        <v>1</v>
      </c>
      <c r="F12" s="1">
        <v>0</v>
      </c>
      <c r="G12" s="1">
        <v>29</v>
      </c>
      <c r="H12" s="1">
        <v>29</v>
      </c>
      <c r="I12" s="1">
        <v>0</v>
      </c>
      <c r="J12" s="1">
        <v>30</v>
      </c>
      <c r="K12" s="49">
        <v>30</v>
      </c>
    </row>
    <row r="13" spans="1:11" x14ac:dyDescent="0.25">
      <c r="A13" s="43">
        <v>7</v>
      </c>
      <c r="B13" s="44" t="s">
        <v>5</v>
      </c>
      <c r="C13" s="45">
        <v>61</v>
      </c>
      <c r="D13" s="45">
        <v>4</v>
      </c>
      <c r="E13" s="45">
        <v>65</v>
      </c>
      <c r="F13" s="45">
        <v>14</v>
      </c>
      <c r="G13" s="45">
        <v>8</v>
      </c>
      <c r="H13" s="45">
        <v>22</v>
      </c>
      <c r="I13" s="45">
        <v>75</v>
      </c>
      <c r="J13" s="45">
        <v>12</v>
      </c>
      <c r="K13" s="46">
        <v>87</v>
      </c>
    </row>
    <row r="14" spans="1:11" x14ac:dyDescent="0.25">
      <c r="A14" s="47">
        <v>8</v>
      </c>
      <c r="B14" s="48" t="s">
        <v>6</v>
      </c>
      <c r="C14" s="1">
        <v>1</v>
      </c>
      <c r="D14" s="1">
        <v>6</v>
      </c>
      <c r="E14" s="1">
        <v>7</v>
      </c>
      <c r="F14" s="1">
        <v>1</v>
      </c>
      <c r="G14" s="1">
        <v>10</v>
      </c>
      <c r="H14" s="1">
        <v>11</v>
      </c>
      <c r="I14" s="1">
        <v>2</v>
      </c>
      <c r="J14" s="1">
        <v>16</v>
      </c>
      <c r="K14" s="49">
        <v>18</v>
      </c>
    </row>
    <row r="15" spans="1:11" x14ac:dyDescent="0.25">
      <c r="A15" s="43">
        <v>9</v>
      </c>
      <c r="B15" s="44" t="s">
        <v>7</v>
      </c>
      <c r="C15" s="45">
        <v>2</v>
      </c>
      <c r="D15" s="45">
        <v>0</v>
      </c>
      <c r="E15" s="45">
        <v>2</v>
      </c>
      <c r="F15" s="45">
        <v>0</v>
      </c>
      <c r="G15" s="45">
        <v>11</v>
      </c>
      <c r="H15" s="45">
        <v>11</v>
      </c>
      <c r="I15" s="45">
        <v>2</v>
      </c>
      <c r="J15" s="45">
        <v>11</v>
      </c>
      <c r="K15" s="46">
        <v>13</v>
      </c>
    </row>
    <row r="16" spans="1:11" x14ac:dyDescent="0.25">
      <c r="A16" s="47">
        <v>10</v>
      </c>
      <c r="B16" s="51" t="s">
        <v>47</v>
      </c>
      <c r="C16" s="1">
        <v>13</v>
      </c>
      <c r="D16" s="1">
        <v>64</v>
      </c>
      <c r="E16" s="1">
        <v>77</v>
      </c>
      <c r="F16" s="1">
        <v>35</v>
      </c>
      <c r="G16" s="1">
        <v>166</v>
      </c>
      <c r="H16" s="1">
        <v>201</v>
      </c>
      <c r="I16" s="1">
        <v>48</v>
      </c>
      <c r="J16" s="1">
        <v>230</v>
      </c>
      <c r="K16" s="49">
        <v>278</v>
      </c>
    </row>
    <row r="17" spans="1:11" x14ac:dyDescent="0.25">
      <c r="A17" s="43">
        <v>11</v>
      </c>
      <c r="B17" s="44" t="s">
        <v>9</v>
      </c>
      <c r="C17" s="45">
        <v>1</v>
      </c>
      <c r="D17" s="45">
        <v>0</v>
      </c>
      <c r="E17" s="45">
        <v>1</v>
      </c>
      <c r="F17" s="45">
        <v>7</v>
      </c>
      <c r="G17" s="45">
        <v>31</v>
      </c>
      <c r="H17" s="45">
        <v>38</v>
      </c>
      <c r="I17" s="45">
        <v>8</v>
      </c>
      <c r="J17" s="45">
        <v>31</v>
      </c>
      <c r="K17" s="46">
        <v>39</v>
      </c>
    </row>
    <row r="18" spans="1:11" x14ac:dyDescent="0.25">
      <c r="A18" s="47">
        <v>12</v>
      </c>
      <c r="B18" s="48" t="s">
        <v>10</v>
      </c>
      <c r="C18" s="1">
        <v>30</v>
      </c>
      <c r="D18" s="1">
        <v>149</v>
      </c>
      <c r="E18" s="1">
        <v>179</v>
      </c>
      <c r="F18" s="1">
        <v>1</v>
      </c>
      <c r="G18" s="1">
        <v>16</v>
      </c>
      <c r="H18" s="1">
        <v>17</v>
      </c>
      <c r="I18" s="1">
        <v>31</v>
      </c>
      <c r="J18" s="1">
        <v>165</v>
      </c>
      <c r="K18" s="49">
        <v>196</v>
      </c>
    </row>
    <row r="19" spans="1:11" x14ac:dyDescent="0.25">
      <c r="A19" s="43">
        <v>13</v>
      </c>
      <c r="B19" s="44" t="s">
        <v>11</v>
      </c>
      <c r="C19" s="45">
        <v>13</v>
      </c>
      <c r="D19" s="45">
        <v>62</v>
      </c>
      <c r="E19" s="45">
        <v>75</v>
      </c>
      <c r="F19" s="45">
        <v>0</v>
      </c>
      <c r="G19" s="45">
        <v>38</v>
      </c>
      <c r="H19" s="45">
        <v>38</v>
      </c>
      <c r="I19" s="45">
        <v>13</v>
      </c>
      <c r="J19" s="45">
        <v>100</v>
      </c>
      <c r="K19" s="46">
        <v>113</v>
      </c>
    </row>
    <row r="20" spans="1:11" x14ac:dyDescent="0.25">
      <c r="A20" s="47">
        <v>14</v>
      </c>
      <c r="B20" s="48" t="s">
        <v>12</v>
      </c>
      <c r="C20" s="1">
        <v>5</v>
      </c>
      <c r="D20" s="1">
        <v>60</v>
      </c>
      <c r="E20" s="1">
        <v>65</v>
      </c>
      <c r="F20" s="1">
        <v>1</v>
      </c>
      <c r="G20" s="1">
        <v>491</v>
      </c>
      <c r="H20" s="1">
        <v>492</v>
      </c>
      <c r="I20" s="1">
        <v>6</v>
      </c>
      <c r="J20" s="1">
        <v>551</v>
      </c>
      <c r="K20" s="49">
        <v>557</v>
      </c>
    </row>
    <row r="21" spans="1:11" x14ac:dyDescent="0.25">
      <c r="A21" s="43">
        <v>15</v>
      </c>
      <c r="B21" s="44" t="s">
        <v>13</v>
      </c>
      <c r="C21" s="45">
        <v>2</v>
      </c>
      <c r="D21" s="45">
        <v>2</v>
      </c>
      <c r="E21" s="45">
        <v>4</v>
      </c>
      <c r="F21" s="45">
        <v>0</v>
      </c>
      <c r="G21" s="45">
        <v>5</v>
      </c>
      <c r="H21" s="45">
        <v>5</v>
      </c>
      <c r="I21" s="45">
        <v>2</v>
      </c>
      <c r="J21" s="45">
        <v>7</v>
      </c>
      <c r="K21" s="46">
        <v>9</v>
      </c>
    </row>
    <row r="22" spans="1:11" x14ac:dyDescent="0.25">
      <c r="A22" s="47">
        <v>16</v>
      </c>
      <c r="B22" s="48" t="s">
        <v>14</v>
      </c>
      <c r="C22" s="1">
        <v>0</v>
      </c>
      <c r="D22" s="1">
        <v>1</v>
      </c>
      <c r="E22" s="1">
        <v>1</v>
      </c>
      <c r="F22" s="1">
        <v>0</v>
      </c>
      <c r="G22" s="1">
        <v>1</v>
      </c>
      <c r="H22" s="1">
        <v>1</v>
      </c>
      <c r="I22" s="1">
        <v>0</v>
      </c>
      <c r="J22" s="1">
        <v>2</v>
      </c>
      <c r="K22" s="49">
        <v>2</v>
      </c>
    </row>
    <row r="23" spans="1:11" x14ac:dyDescent="0.25">
      <c r="A23" s="43">
        <v>17</v>
      </c>
      <c r="B23" s="44" t="s">
        <v>15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6">
        <v>0</v>
      </c>
    </row>
    <row r="24" spans="1:11" x14ac:dyDescent="0.25">
      <c r="A24" s="47">
        <v>18</v>
      </c>
      <c r="B24" s="48" t="s">
        <v>16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49">
        <v>0</v>
      </c>
    </row>
    <row r="25" spans="1:11" x14ac:dyDescent="0.25">
      <c r="A25" s="43">
        <v>19</v>
      </c>
      <c r="B25" s="44" t="s">
        <v>17</v>
      </c>
      <c r="C25" s="45">
        <v>81</v>
      </c>
      <c r="D25" s="45">
        <v>78</v>
      </c>
      <c r="E25" s="45">
        <v>159</v>
      </c>
      <c r="F25" s="45">
        <v>403</v>
      </c>
      <c r="G25" s="45">
        <v>202</v>
      </c>
      <c r="H25" s="45">
        <v>605</v>
      </c>
      <c r="I25" s="45">
        <v>484</v>
      </c>
      <c r="J25" s="45">
        <v>280</v>
      </c>
      <c r="K25" s="46">
        <v>764</v>
      </c>
    </row>
    <row r="26" spans="1:11" x14ac:dyDescent="0.25">
      <c r="A26" s="47">
        <v>20</v>
      </c>
      <c r="B26" s="48" t="s">
        <v>18</v>
      </c>
      <c r="C26" s="1">
        <v>59</v>
      </c>
      <c r="D26" s="1">
        <v>2</v>
      </c>
      <c r="E26" s="1">
        <v>61</v>
      </c>
      <c r="F26" s="1">
        <v>2</v>
      </c>
      <c r="G26" s="1">
        <v>18</v>
      </c>
      <c r="H26" s="1">
        <v>20</v>
      </c>
      <c r="I26" s="1">
        <v>61</v>
      </c>
      <c r="J26" s="1">
        <v>20</v>
      </c>
      <c r="K26" s="49">
        <v>81</v>
      </c>
    </row>
    <row r="27" spans="1:11" x14ac:dyDescent="0.25">
      <c r="A27" s="43">
        <v>21</v>
      </c>
      <c r="B27" s="44" t="s">
        <v>19</v>
      </c>
      <c r="C27" s="45">
        <v>762</v>
      </c>
      <c r="D27" s="45">
        <v>53</v>
      </c>
      <c r="E27" s="45">
        <v>815</v>
      </c>
      <c r="F27" s="45">
        <v>0</v>
      </c>
      <c r="G27" s="45">
        <v>3</v>
      </c>
      <c r="H27" s="45">
        <v>3</v>
      </c>
      <c r="I27" s="45">
        <v>762</v>
      </c>
      <c r="J27" s="45">
        <v>56</v>
      </c>
      <c r="K27" s="46">
        <v>818</v>
      </c>
    </row>
    <row r="28" spans="1:11" x14ac:dyDescent="0.25">
      <c r="A28" s="47">
        <v>22</v>
      </c>
      <c r="B28" s="51" t="s">
        <v>48</v>
      </c>
      <c r="C28" s="1">
        <v>0</v>
      </c>
      <c r="D28" s="1">
        <v>2</v>
      </c>
      <c r="E28" s="1">
        <v>2</v>
      </c>
      <c r="F28" s="1">
        <v>0</v>
      </c>
      <c r="G28" s="1">
        <v>2</v>
      </c>
      <c r="H28" s="1">
        <v>2</v>
      </c>
      <c r="I28" s="1">
        <v>0</v>
      </c>
      <c r="J28" s="1">
        <v>4</v>
      </c>
      <c r="K28" s="49">
        <v>4</v>
      </c>
    </row>
    <row r="29" spans="1:11" x14ac:dyDescent="0.25">
      <c r="A29" s="43">
        <v>23</v>
      </c>
      <c r="B29" s="44" t="s">
        <v>20</v>
      </c>
      <c r="C29" s="45">
        <v>8</v>
      </c>
      <c r="D29" s="45">
        <v>15</v>
      </c>
      <c r="E29" s="45">
        <v>23</v>
      </c>
      <c r="F29" s="45">
        <v>7</v>
      </c>
      <c r="G29" s="45">
        <v>6</v>
      </c>
      <c r="H29" s="45">
        <v>13</v>
      </c>
      <c r="I29" s="45">
        <v>15</v>
      </c>
      <c r="J29" s="45">
        <v>21</v>
      </c>
      <c r="K29" s="46">
        <v>36</v>
      </c>
    </row>
    <row r="30" spans="1:11" x14ac:dyDescent="0.25">
      <c r="A30" s="47">
        <v>24</v>
      </c>
      <c r="B30" s="48" t="s">
        <v>21</v>
      </c>
      <c r="C30" s="1">
        <v>23</v>
      </c>
      <c r="D30" s="1">
        <v>8</v>
      </c>
      <c r="E30" s="1">
        <v>31</v>
      </c>
      <c r="F30" s="1">
        <v>14</v>
      </c>
      <c r="G30" s="1">
        <v>393</v>
      </c>
      <c r="H30" s="1">
        <v>407</v>
      </c>
      <c r="I30" s="1">
        <v>37</v>
      </c>
      <c r="J30" s="1">
        <v>401</v>
      </c>
      <c r="K30" s="49">
        <v>438</v>
      </c>
    </row>
    <row r="31" spans="1:11" x14ac:dyDescent="0.25">
      <c r="A31" s="43">
        <v>25</v>
      </c>
      <c r="B31" s="44" t="s">
        <v>22</v>
      </c>
      <c r="C31" s="45">
        <v>1</v>
      </c>
      <c r="D31" s="45">
        <v>1</v>
      </c>
      <c r="E31" s="45">
        <v>2</v>
      </c>
      <c r="F31" s="45">
        <v>0</v>
      </c>
      <c r="G31" s="45">
        <v>0</v>
      </c>
      <c r="H31" s="45">
        <v>0</v>
      </c>
      <c r="I31" s="45">
        <v>1</v>
      </c>
      <c r="J31" s="45">
        <v>1</v>
      </c>
      <c r="K31" s="46">
        <v>2</v>
      </c>
    </row>
    <row r="32" spans="1:11" x14ac:dyDescent="0.25">
      <c r="A32" s="47">
        <v>26</v>
      </c>
      <c r="B32" s="48" t="s">
        <v>23</v>
      </c>
      <c r="C32" s="1">
        <v>0</v>
      </c>
      <c r="D32" s="1">
        <v>58</v>
      </c>
      <c r="E32" s="1">
        <v>58</v>
      </c>
      <c r="F32" s="1">
        <v>0</v>
      </c>
      <c r="G32" s="1">
        <v>116</v>
      </c>
      <c r="H32" s="1">
        <v>116</v>
      </c>
      <c r="I32" s="1">
        <v>0</v>
      </c>
      <c r="J32" s="1">
        <v>174</v>
      </c>
      <c r="K32" s="49">
        <v>174</v>
      </c>
    </row>
    <row r="33" spans="1:11" x14ac:dyDescent="0.25">
      <c r="A33" s="43">
        <v>27</v>
      </c>
      <c r="B33" s="44" t="s">
        <v>24</v>
      </c>
      <c r="C33" s="45">
        <v>0</v>
      </c>
      <c r="D33" s="45">
        <v>8</v>
      </c>
      <c r="E33" s="45">
        <v>8</v>
      </c>
      <c r="F33" s="45">
        <v>0</v>
      </c>
      <c r="G33" s="45">
        <v>5</v>
      </c>
      <c r="H33" s="45">
        <v>5</v>
      </c>
      <c r="I33" s="45">
        <v>0</v>
      </c>
      <c r="J33" s="45">
        <v>13</v>
      </c>
      <c r="K33" s="46">
        <v>13</v>
      </c>
    </row>
    <row r="34" spans="1:11" x14ac:dyDescent="0.25">
      <c r="A34" s="47">
        <v>28</v>
      </c>
      <c r="B34" s="51" t="s">
        <v>64</v>
      </c>
      <c r="C34" s="48">
        <v>5</v>
      </c>
      <c r="D34" s="48">
        <v>51</v>
      </c>
      <c r="E34" s="48">
        <v>56</v>
      </c>
      <c r="F34" s="48">
        <v>3</v>
      </c>
      <c r="G34" s="48">
        <v>16</v>
      </c>
      <c r="H34" s="48">
        <v>19</v>
      </c>
      <c r="I34" s="1">
        <v>8</v>
      </c>
      <c r="J34" s="48">
        <v>67</v>
      </c>
      <c r="K34" s="52">
        <v>75</v>
      </c>
    </row>
    <row r="35" spans="1:11" x14ac:dyDescent="0.25">
      <c r="A35" s="53"/>
      <c r="B35" s="54" t="s">
        <v>25</v>
      </c>
      <c r="C35" s="55">
        <f>SUM(C7:C34)</f>
        <v>1170</v>
      </c>
      <c r="D35" s="55">
        <f t="shared" ref="D35:K35" si="0">SUM(D7:D34)</f>
        <v>772</v>
      </c>
      <c r="E35" s="55">
        <f t="shared" si="0"/>
        <v>1942</v>
      </c>
      <c r="F35" s="55">
        <f t="shared" si="0"/>
        <v>538</v>
      </c>
      <c r="G35" s="55">
        <f t="shared" si="0"/>
        <v>1969</v>
      </c>
      <c r="H35" s="55">
        <f t="shared" si="0"/>
        <v>2507</v>
      </c>
      <c r="I35" s="55">
        <f t="shared" si="0"/>
        <v>1708</v>
      </c>
      <c r="J35" s="55">
        <f t="shared" si="0"/>
        <v>2741</v>
      </c>
      <c r="K35" s="59">
        <f t="shared" si="0"/>
        <v>4449</v>
      </c>
    </row>
    <row r="36" spans="1:11" x14ac:dyDescent="0.25">
      <c r="A36" s="43">
        <v>29</v>
      </c>
      <c r="B36" s="45" t="s">
        <v>26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4">
        <v>0</v>
      </c>
      <c r="K36" s="46">
        <v>0</v>
      </c>
    </row>
    <row r="37" spans="1:11" x14ac:dyDescent="0.25">
      <c r="A37" s="47">
        <v>30</v>
      </c>
      <c r="B37" s="1" t="s">
        <v>27</v>
      </c>
      <c r="C37" s="1">
        <v>1</v>
      </c>
      <c r="D37" s="1">
        <v>2</v>
      </c>
      <c r="E37" s="1">
        <v>3</v>
      </c>
      <c r="F37" s="1">
        <v>0</v>
      </c>
      <c r="G37" s="1">
        <v>0</v>
      </c>
      <c r="H37" s="1">
        <v>0</v>
      </c>
      <c r="I37" s="1">
        <v>1</v>
      </c>
      <c r="J37" s="48">
        <v>2</v>
      </c>
      <c r="K37" s="49">
        <v>3</v>
      </c>
    </row>
    <row r="38" spans="1:11" x14ac:dyDescent="0.25">
      <c r="A38" s="43">
        <v>31</v>
      </c>
      <c r="B38" s="45" t="s">
        <v>86</v>
      </c>
      <c r="C38" s="45">
        <v>0</v>
      </c>
      <c r="D38" s="45">
        <v>2</v>
      </c>
      <c r="E38" s="45">
        <v>2</v>
      </c>
      <c r="F38" s="45">
        <v>0</v>
      </c>
      <c r="G38" s="45">
        <v>0</v>
      </c>
      <c r="H38" s="45">
        <v>0</v>
      </c>
      <c r="I38" s="45">
        <v>0</v>
      </c>
      <c r="J38" s="44">
        <v>2</v>
      </c>
      <c r="K38" s="46">
        <v>2</v>
      </c>
    </row>
    <row r="39" spans="1:11" x14ac:dyDescent="0.25">
      <c r="A39" s="47">
        <v>33</v>
      </c>
      <c r="B39" s="48" t="s">
        <v>28</v>
      </c>
      <c r="C39" s="48">
        <v>178</v>
      </c>
      <c r="D39" s="48">
        <v>24</v>
      </c>
      <c r="E39" s="48">
        <v>202</v>
      </c>
      <c r="F39" s="48">
        <v>15</v>
      </c>
      <c r="G39" s="48">
        <v>7</v>
      </c>
      <c r="H39" s="1">
        <v>22</v>
      </c>
      <c r="I39" s="1">
        <v>193</v>
      </c>
      <c r="J39" s="48">
        <v>31</v>
      </c>
      <c r="K39" s="52">
        <v>224</v>
      </c>
    </row>
    <row r="40" spans="1:11" x14ac:dyDescent="0.25">
      <c r="A40" s="43">
        <v>34</v>
      </c>
      <c r="B40" s="44" t="s">
        <v>8</v>
      </c>
      <c r="C40" s="45">
        <v>1</v>
      </c>
      <c r="D40" s="45">
        <v>1</v>
      </c>
      <c r="E40" s="45">
        <v>2</v>
      </c>
      <c r="F40" s="45">
        <v>0</v>
      </c>
      <c r="G40" s="45">
        <v>0</v>
      </c>
      <c r="H40" s="45">
        <v>0</v>
      </c>
      <c r="I40" s="45">
        <v>1</v>
      </c>
      <c r="J40" s="45">
        <v>1</v>
      </c>
      <c r="K40" s="46">
        <v>2</v>
      </c>
    </row>
    <row r="41" spans="1:11" x14ac:dyDescent="0.25">
      <c r="A41" s="47">
        <v>35</v>
      </c>
      <c r="B41" s="48" t="s">
        <v>87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49">
        <v>0</v>
      </c>
    </row>
    <row r="42" spans="1:11" x14ac:dyDescent="0.25">
      <c r="A42" s="43">
        <v>36</v>
      </c>
      <c r="B42" s="45" t="s">
        <v>29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4">
        <v>0</v>
      </c>
      <c r="K42" s="46">
        <v>0</v>
      </c>
    </row>
    <row r="43" spans="1:11" x14ac:dyDescent="0.25">
      <c r="A43" s="47">
        <v>37</v>
      </c>
      <c r="B43" s="1" t="s">
        <v>30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48">
        <v>0</v>
      </c>
      <c r="K43" s="49">
        <v>0</v>
      </c>
    </row>
    <row r="44" spans="1:11" x14ac:dyDescent="0.25">
      <c r="A44" s="53"/>
      <c r="B44" s="54" t="s">
        <v>31</v>
      </c>
      <c r="C44" s="55">
        <f>SUM(C36:C43)</f>
        <v>180</v>
      </c>
      <c r="D44" s="55">
        <f t="shared" ref="D44:K44" si="1">SUM(D36:D43)</f>
        <v>29</v>
      </c>
      <c r="E44" s="55">
        <f t="shared" si="1"/>
        <v>209</v>
      </c>
      <c r="F44" s="55">
        <f t="shared" si="1"/>
        <v>15</v>
      </c>
      <c r="G44" s="55">
        <f t="shared" si="1"/>
        <v>7</v>
      </c>
      <c r="H44" s="55">
        <f t="shared" si="1"/>
        <v>22</v>
      </c>
      <c r="I44" s="55">
        <f t="shared" si="1"/>
        <v>195</v>
      </c>
      <c r="J44" s="55">
        <f t="shared" si="1"/>
        <v>36</v>
      </c>
      <c r="K44" s="59">
        <f t="shared" si="1"/>
        <v>231</v>
      </c>
    </row>
    <row r="45" spans="1:11" x14ac:dyDescent="0.25">
      <c r="A45" s="56"/>
      <c r="B45" s="57" t="s">
        <v>32</v>
      </c>
      <c r="C45" s="58">
        <f>SUM(C35,C44)</f>
        <v>1350</v>
      </c>
      <c r="D45" s="58">
        <f t="shared" ref="D45:K45" si="2">SUM(D35,D44)</f>
        <v>801</v>
      </c>
      <c r="E45" s="58">
        <f t="shared" si="2"/>
        <v>2151</v>
      </c>
      <c r="F45" s="58">
        <f t="shared" si="2"/>
        <v>553</v>
      </c>
      <c r="G45" s="58">
        <f t="shared" si="2"/>
        <v>1976</v>
      </c>
      <c r="H45" s="58">
        <f t="shared" si="2"/>
        <v>2529</v>
      </c>
      <c r="I45" s="58">
        <f t="shared" si="2"/>
        <v>1903</v>
      </c>
      <c r="J45" s="58">
        <f t="shared" si="2"/>
        <v>2777</v>
      </c>
      <c r="K45" s="60">
        <f t="shared" si="2"/>
        <v>4680</v>
      </c>
    </row>
    <row r="46" spans="1:11" x14ac:dyDescent="0.25">
      <c r="A46" s="61" t="s">
        <v>85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</row>
    <row r="47" spans="1:11" x14ac:dyDescent="0.25">
      <c r="A47" s="32" t="s">
        <v>82</v>
      </c>
      <c r="B47" s="41" t="s">
        <v>83</v>
      </c>
      <c r="C47" s="1"/>
      <c r="D47" s="1"/>
      <c r="E47" s="1"/>
      <c r="F47" s="33"/>
    </row>
    <row r="48" spans="1:11" x14ac:dyDescent="0.25">
      <c r="C48" s="1"/>
      <c r="D48" s="1"/>
      <c r="E48" s="1"/>
    </row>
  </sheetData>
  <mergeCells count="9">
    <mergeCell ref="A46:K46"/>
    <mergeCell ref="A2:K2"/>
    <mergeCell ref="A1:K1"/>
    <mergeCell ref="A3:A4"/>
    <mergeCell ref="B3:B4"/>
    <mergeCell ref="A6:K6"/>
    <mergeCell ref="C3:E3"/>
    <mergeCell ref="F3:H3"/>
    <mergeCell ref="I3:K3"/>
  </mergeCells>
  <hyperlinks>
    <hyperlink ref="B41" r:id="rId1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2" t="s">
        <v>67</v>
      </c>
      <c r="B1" s="72"/>
      <c r="C1" s="72"/>
      <c r="D1" s="72"/>
      <c r="E1" s="72"/>
      <c r="F1" s="72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3" t="s">
        <v>78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22" x14ac:dyDescent="0.25">
      <c r="A2" s="74" t="s">
        <v>42</v>
      </c>
      <c r="B2" s="74" t="s">
        <v>43</v>
      </c>
      <c r="C2" s="75" t="s">
        <v>44</v>
      </c>
      <c r="D2" s="75"/>
      <c r="E2" s="75"/>
      <c r="F2" s="75" t="s">
        <v>45</v>
      </c>
      <c r="G2" s="75"/>
      <c r="H2" s="75"/>
      <c r="I2" s="75" t="s">
        <v>37</v>
      </c>
      <c r="J2" s="75"/>
      <c r="K2" s="75"/>
    </row>
    <row r="3" spans="1:22" x14ac:dyDescent="0.25">
      <c r="A3" s="74"/>
      <c r="B3" s="74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3" t="s">
        <v>69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x14ac:dyDescent="0.25">
      <c r="A2" s="74" t="s">
        <v>42</v>
      </c>
      <c r="B2" s="74" t="s">
        <v>43</v>
      </c>
      <c r="C2" s="74" t="s">
        <v>50</v>
      </c>
      <c r="D2" s="75" t="s">
        <v>51</v>
      </c>
      <c r="E2" s="75"/>
      <c r="F2" s="75"/>
      <c r="G2" s="75" t="s">
        <v>52</v>
      </c>
      <c r="H2" s="75"/>
      <c r="I2" s="75"/>
      <c r="J2" s="75"/>
    </row>
    <row r="3" spans="1:13" ht="78.75" customHeight="1" x14ac:dyDescent="0.25">
      <c r="A3" s="74"/>
      <c r="B3" s="74"/>
      <c r="C3" s="74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14.3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2021-08-02T06:35:09Z</dcterms:modified>
</cp:coreProperties>
</file>