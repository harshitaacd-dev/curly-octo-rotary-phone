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35" windowWidth="18195" windowHeight="6915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I7" i="1" l="1"/>
  <c r="I8" i="1"/>
  <c r="I9" i="1"/>
  <c r="I11" i="1"/>
  <c r="I12" i="1"/>
  <c r="I13" i="1"/>
  <c r="I15" i="1"/>
  <c r="I16" i="1"/>
  <c r="I17" i="1"/>
  <c r="I18" i="1"/>
  <c r="I19" i="1"/>
  <c r="I21" i="1"/>
  <c r="I22" i="1"/>
  <c r="I23" i="1"/>
  <c r="I25" i="1"/>
  <c r="I26" i="1"/>
  <c r="I27" i="1"/>
  <c r="I28" i="1"/>
  <c r="I29" i="1"/>
  <c r="I31" i="1"/>
  <c r="I32" i="1"/>
  <c r="I33" i="1"/>
  <c r="I35" i="1"/>
  <c r="I36" i="1"/>
  <c r="I37" i="1"/>
  <c r="I38" i="1"/>
  <c r="I39" i="1"/>
  <c r="I41" i="1"/>
  <c r="I42" i="1"/>
  <c r="I43" i="1"/>
  <c r="I45" i="1"/>
  <c r="I6" i="1"/>
  <c r="L44" i="1"/>
  <c r="K44" i="1"/>
  <c r="J44" i="1"/>
  <c r="H44" i="1"/>
  <c r="G44" i="1"/>
  <c r="F44" i="1"/>
  <c r="E44" i="1"/>
  <c r="I44" i="1" s="1"/>
  <c r="D44" i="1"/>
  <c r="C44" i="1"/>
  <c r="L40" i="1"/>
  <c r="K40" i="1"/>
  <c r="J40" i="1"/>
  <c r="H40" i="1"/>
  <c r="I40" i="1" s="1"/>
  <c r="G40" i="1"/>
  <c r="F40" i="1"/>
  <c r="E40" i="1"/>
  <c r="D40" i="1"/>
  <c r="C40" i="1"/>
  <c r="L34" i="1"/>
  <c r="K34" i="1"/>
  <c r="J34" i="1"/>
  <c r="H34" i="1"/>
  <c r="I34" i="1" s="1"/>
  <c r="G34" i="1"/>
  <c r="F34" i="1"/>
  <c r="E34" i="1"/>
  <c r="D34" i="1"/>
  <c r="C34" i="1"/>
  <c r="L30" i="1"/>
  <c r="K30" i="1"/>
  <c r="J30" i="1"/>
  <c r="H30" i="1"/>
  <c r="G30" i="1"/>
  <c r="F30" i="1"/>
  <c r="E30" i="1"/>
  <c r="D30" i="1"/>
  <c r="C30" i="1"/>
  <c r="L24" i="1"/>
  <c r="K24" i="1"/>
  <c r="J24" i="1"/>
  <c r="H24" i="1"/>
  <c r="G24" i="1"/>
  <c r="F24" i="1"/>
  <c r="E24" i="1"/>
  <c r="D24" i="1"/>
  <c r="C24" i="1"/>
  <c r="L20" i="1"/>
  <c r="K20" i="1"/>
  <c r="J20" i="1"/>
  <c r="H20" i="1"/>
  <c r="I20" i="1" s="1"/>
  <c r="G20" i="1"/>
  <c r="F20" i="1"/>
  <c r="E20" i="1"/>
  <c r="D20" i="1"/>
  <c r="C20" i="1"/>
  <c r="L14" i="1"/>
  <c r="K14" i="1"/>
  <c r="J14" i="1"/>
  <c r="H14" i="1"/>
  <c r="I14" i="1" s="1"/>
  <c r="G14" i="1"/>
  <c r="F14" i="1"/>
  <c r="E14" i="1"/>
  <c r="D14" i="1"/>
  <c r="C14" i="1"/>
  <c r="L10" i="1"/>
  <c r="K10" i="1"/>
  <c r="J10" i="1"/>
  <c r="H10" i="1"/>
  <c r="G10" i="1"/>
  <c r="F10" i="1"/>
  <c r="E10" i="1"/>
  <c r="D10" i="1"/>
  <c r="C10" i="1"/>
  <c r="I10" i="1" l="1"/>
  <c r="I24" i="1"/>
  <c r="I30" i="1"/>
</calcChain>
</file>

<file path=xl/sharedStrings.xml><?xml version="1.0" encoding="utf-8"?>
<sst xmlns="http://schemas.openxmlformats.org/spreadsheetml/2006/main" count="84" uniqueCount="63">
  <si>
    <t>S. No</t>
  </si>
  <si>
    <t>Total Missing (3+4)</t>
  </si>
  <si>
    <t>Age Group &amp; Gender</t>
  </si>
  <si>
    <t>Below  5 years</t>
  </si>
  <si>
    <t>Transgender</t>
  </si>
  <si>
    <t>Total Male</t>
  </si>
  <si>
    <t>1</t>
  </si>
  <si>
    <t>1.1.1</t>
  </si>
  <si>
    <t>1.1.2</t>
  </si>
  <si>
    <t>1.1.3</t>
  </si>
  <si>
    <t>1.2.1</t>
  </si>
  <si>
    <t>1.2.2</t>
  </si>
  <si>
    <t>1.2.3</t>
  </si>
  <si>
    <t>6 Yrs - 14 Yrs</t>
  </si>
  <si>
    <t>15 Yrs - 18 Yrs</t>
  </si>
  <si>
    <t>19 Yrs - 30 Yrs</t>
  </si>
  <si>
    <t>31 Yrs  –  45 Yrs</t>
  </si>
  <si>
    <t>60 Yrs &amp; Above 
(Male Sr. Citizen)</t>
  </si>
  <si>
    <t>Boys/Male Children</t>
  </si>
  <si>
    <t>2.1.1</t>
  </si>
  <si>
    <t>2.1.2</t>
  </si>
  <si>
    <t>2.1.3</t>
  </si>
  <si>
    <t>2.2.1</t>
  </si>
  <si>
    <t>2.2.2</t>
  </si>
  <si>
    <t>2.2.3</t>
  </si>
  <si>
    <t>Girls/Female Children</t>
  </si>
  <si>
    <t>Adult Male</t>
  </si>
  <si>
    <t>Adult Female</t>
  </si>
  <si>
    <t>60 Yrs &amp; Above 
(Female Sr. Citizen)</t>
  </si>
  <si>
    <t>Total Female</t>
  </si>
  <si>
    <t>Transgender Children</t>
  </si>
  <si>
    <t>Adult Transgender</t>
  </si>
  <si>
    <t>3.1.1</t>
  </si>
  <si>
    <t>3.1.2</t>
  </si>
  <si>
    <t>3.1.3</t>
  </si>
  <si>
    <t>3.2.1</t>
  </si>
  <si>
    <t>3.2.2</t>
  </si>
  <si>
    <t>3.2.3</t>
  </si>
  <si>
    <t xml:space="preserve">Total Persons </t>
  </si>
  <si>
    <t>4.1.1</t>
  </si>
  <si>
    <t>4.1.2</t>
  </si>
  <si>
    <t>4.1.3</t>
  </si>
  <si>
    <t>4.2.1</t>
  </si>
  <si>
    <t>4.2.2</t>
  </si>
  <si>
    <t>4.2.3</t>
  </si>
  <si>
    <t>Children</t>
  </si>
  <si>
    <t>Adults</t>
  </si>
  <si>
    <t>Senior Citizen</t>
  </si>
  <si>
    <t>Unrecovered Persons of Previous years</t>
  </si>
  <si>
    <t>Persons Traced</t>
  </si>
  <si>
    <t>Person Untraced</t>
  </si>
  <si>
    <t>from Previous years Missing</t>
  </si>
  <si>
    <t xml:space="preserve">Total Traced </t>
  </si>
  <si>
    <t>% of Persons Traced (Col.8/Col.5 * 100)</t>
  </si>
  <si>
    <t>TABLE 15.3 Page 1 of 1</t>
  </si>
  <si>
    <t>TABLE 15.3</t>
  </si>
  <si>
    <t>46 Yrs - 60 Yrs</t>
  </si>
  <si>
    <t>● As per data provided by States/UTs</t>
  </si>
  <si>
    <t>60 Yrs &amp; Above 
(Transgender Sr. Citizen)</t>
  </si>
  <si>
    <t>Missing and Traced Persons (Gender &amp; Age-wise) - 2019</t>
  </si>
  <si>
    <t>Persons Missing during 2019</t>
  </si>
  <si>
    <t>from Missing Persons - 2019</t>
  </si>
  <si>
    <t>● Due to non-receipt of data from West Bengal in time for 2019, Data furnished for 2018 has been used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</si>
</sst>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2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6" fillId="0" borderId="0" xfId="0" applyFont="1" applyAlignment="1">
      <alignment vertical="center"/>
    </xf>
    <xf numFmtId="0" fontId="2" fillId="0" borderId="0" xfId="0" applyFont="1"/>
    <xf numFmtId="0" fontId="5" fillId="0" borderId="0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2" fillId="0" borderId="0" xfId="0" applyFont="1" applyAlignment="1">
      <alignment horizontal="right"/>
    </xf>
    <xf numFmtId="164" fontId="7" fillId="3" borderId="0" xfId="0" applyNumberFormat="1" applyFont="1" applyFill="1" applyBorder="1" applyAlignment="1">
      <alignment horizontal="right"/>
    </xf>
    <xf numFmtId="0" fontId="5" fillId="2" borderId="7" xfId="0" applyFont="1" applyFill="1" applyBorder="1" applyAlignment="1">
      <alignment horizontal="right" vertical="center" wrapText="1"/>
    </xf>
    <xf numFmtId="164" fontId="5" fillId="2" borderId="7" xfId="0" applyNumberFormat="1" applyFont="1" applyFill="1" applyBorder="1" applyAlignment="1">
      <alignment horizontal="right" vertical="center" wrapText="1"/>
    </xf>
    <xf numFmtId="0" fontId="5" fillId="2" borderId="9" xfId="0" applyFont="1" applyFill="1" applyBorder="1" applyAlignment="1">
      <alignment horizontal="right" vertical="center" wrapText="1"/>
    </xf>
    <xf numFmtId="0" fontId="7" fillId="0" borderId="0" xfId="0" applyFont="1" applyFill="1" applyBorder="1" applyAlignment="1">
      <alignment horizontal="right" vertical="center" wrapText="1"/>
    </xf>
    <xf numFmtId="164" fontId="7" fillId="0" borderId="0" xfId="0" applyNumberFormat="1" applyFont="1" applyFill="1" applyBorder="1" applyAlignment="1">
      <alignment horizontal="right" vertical="center" wrapText="1"/>
    </xf>
    <xf numFmtId="0" fontId="7" fillId="0" borderId="3" xfId="0" applyFont="1" applyFill="1" applyBorder="1" applyAlignment="1">
      <alignment horizontal="right" vertical="center" wrapText="1"/>
    </xf>
    <xf numFmtId="0" fontId="7" fillId="3" borderId="0" xfId="0" applyFont="1" applyFill="1" applyBorder="1" applyAlignment="1">
      <alignment horizontal="right"/>
    </xf>
    <xf numFmtId="0" fontId="7" fillId="3" borderId="3" xfId="0" applyFont="1" applyFill="1" applyBorder="1" applyAlignment="1">
      <alignment horizontal="right"/>
    </xf>
    <xf numFmtId="0" fontId="5" fillId="2" borderId="0" xfId="0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0" fontId="5" fillId="2" borderId="3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right" vertical="center" wrapText="1"/>
    </xf>
    <xf numFmtId="164" fontId="5" fillId="0" borderId="0" xfId="0" applyNumberFormat="1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right" vertical="center" wrapText="1"/>
    </xf>
    <xf numFmtId="0" fontId="5" fillId="2" borderId="5" xfId="0" applyFont="1" applyFill="1" applyBorder="1" applyAlignment="1">
      <alignment horizontal="right" vertical="center" wrapText="1"/>
    </xf>
    <xf numFmtId="164" fontId="5" fillId="2" borderId="5" xfId="0" applyNumberFormat="1" applyFont="1" applyFill="1" applyBorder="1" applyAlignment="1">
      <alignment horizontal="right" vertical="center" wrapText="1"/>
    </xf>
    <xf numFmtId="0" fontId="5" fillId="2" borderId="6" xfId="0" applyFont="1" applyFill="1" applyBorder="1" applyAlignment="1">
      <alignment horizontal="right" vertical="center" wrapText="1"/>
    </xf>
    <xf numFmtId="0" fontId="1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8E1BE"/>
      <color rgb="FFE6F0E6"/>
      <color rgb="FFE6E6FA"/>
      <color rgb="FFA2D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"/>
  <sheetViews>
    <sheetView tabSelected="1" zoomScaleNormal="100" workbookViewId="0">
      <selection activeCell="E9" sqref="E9"/>
    </sheetView>
  </sheetViews>
  <sheetFormatPr defaultRowHeight="15" x14ac:dyDescent="0.25"/>
  <cols>
    <col min="1" max="1" width="5.42578125" customWidth="1"/>
    <col min="2" max="2" width="19.140625" customWidth="1"/>
    <col min="3" max="3" width="6.85546875" customWidth="1"/>
    <col min="4" max="4" width="6.42578125" customWidth="1"/>
    <col min="5" max="5" width="6.28515625" customWidth="1"/>
    <col min="6" max="6" width="7.140625" customWidth="1"/>
    <col min="7" max="7" width="7.42578125" customWidth="1"/>
    <col min="8" max="8" width="6.7109375" customWidth="1"/>
    <col min="9" max="9" width="6" customWidth="1"/>
    <col min="10" max="10" width="7" bestFit="1" customWidth="1"/>
    <col min="11" max="11" width="6.85546875" customWidth="1"/>
    <col min="12" max="12" width="7.140625" customWidth="1"/>
    <col min="13" max="13" width="5.28515625" bestFit="1" customWidth="1"/>
  </cols>
  <sheetData>
    <row r="1" spans="1:12" ht="15.75" x14ac:dyDescent="0.25">
      <c r="A1" s="39" t="s">
        <v>55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5.75" x14ac:dyDescent="0.25">
      <c r="A2" s="39" t="s">
        <v>59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ht="14.25" customHeight="1" x14ac:dyDescent="0.25">
      <c r="A3" s="41" t="s">
        <v>0</v>
      </c>
      <c r="B3" s="41" t="s">
        <v>2</v>
      </c>
      <c r="C3" s="40" t="s">
        <v>48</v>
      </c>
      <c r="D3" s="40" t="s">
        <v>60</v>
      </c>
      <c r="E3" s="40" t="s">
        <v>1</v>
      </c>
      <c r="F3" s="40" t="s">
        <v>49</v>
      </c>
      <c r="G3" s="40"/>
      <c r="H3" s="40"/>
      <c r="I3" s="40" t="s">
        <v>53</v>
      </c>
      <c r="J3" s="40" t="s">
        <v>50</v>
      </c>
      <c r="K3" s="40"/>
      <c r="L3" s="40"/>
    </row>
    <row r="4" spans="1:12" s="2" customFormat="1" ht="69.75" customHeight="1" x14ac:dyDescent="0.2">
      <c r="A4" s="41"/>
      <c r="B4" s="41"/>
      <c r="C4" s="40"/>
      <c r="D4" s="40"/>
      <c r="E4" s="40"/>
      <c r="F4" s="10" t="s">
        <v>51</v>
      </c>
      <c r="G4" s="10" t="s">
        <v>61</v>
      </c>
      <c r="H4" s="10" t="s">
        <v>52</v>
      </c>
      <c r="I4" s="40"/>
      <c r="J4" s="10" t="s">
        <v>51</v>
      </c>
      <c r="K4" s="10" t="s">
        <v>61</v>
      </c>
      <c r="L4" s="10" t="s">
        <v>52</v>
      </c>
    </row>
    <row r="5" spans="1:12" s="3" customFormat="1" ht="17.25" customHeight="1" x14ac:dyDescent="0.25">
      <c r="A5" s="11">
        <v>1</v>
      </c>
      <c r="B5" s="11">
        <v>2</v>
      </c>
      <c r="C5" s="11">
        <v>3</v>
      </c>
      <c r="D5" s="11">
        <v>4</v>
      </c>
      <c r="E5" s="11">
        <v>5</v>
      </c>
      <c r="F5" s="11">
        <v>6</v>
      </c>
      <c r="G5" s="11">
        <v>7</v>
      </c>
      <c r="H5" s="11">
        <v>8</v>
      </c>
      <c r="I5" s="11">
        <v>9</v>
      </c>
      <c r="J5" s="11">
        <v>10</v>
      </c>
      <c r="K5" s="11">
        <v>11</v>
      </c>
      <c r="L5" s="11">
        <v>12</v>
      </c>
    </row>
    <row r="6" spans="1:12" ht="15" customHeight="1" x14ac:dyDescent="0.25">
      <c r="A6" s="12" t="s">
        <v>6</v>
      </c>
      <c r="B6" s="13" t="s">
        <v>5</v>
      </c>
      <c r="C6" s="22">
        <v>138354</v>
      </c>
      <c r="D6" s="22">
        <v>132089</v>
      </c>
      <c r="E6" s="22">
        <v>270443</v>
      </c>
      <c r="F6" s="22">
        <v>41181</v>
      </c>
      <c r="G6" s="22">
        <v>84377</v>
      </c>
      <c r="H6" s="22">
        <v>125558</v>
      </c>
      <c r="I6" s="23">
        <f>H6/E6*100</f>
        <v>46.426788639380575</v>
      </c>
      <c r="J6" s="22">
        <v>97173</v>
      </c>
      <c r="K6" s="22">
        <v>47712</v>
      </c>
      <c r="L6" s="24">
        <v>144885</v>
      </c>
    </row>
    <row r="7" spans="1:12" ht="15" customHeight="1" x14ac:dyDescent="0.25">
      <c r="A7" s="6" t="s">
        <v>7</v>
      </c>
      <c r="B7" s="5" t="s">
        <v>3</v>
      </c>
      <c r="C7" s="25">
        <v>1496</v>
      </c>
      <c r="D7" s="25">
        <v>2323</v>
      </c>
      <c r="E7" s="25">
        <v>3819</v>
      </c>
      <c r="F7" s="25">
        <v>568</v>
      </c>
      <c r="G7" s="25">
        <v>1763</v>
      </c>
      <c r="H7" s="25">
        <v>2331</v>
      </c>
      <c r="I7" s="26">
        <f t="shared" ref="I7:I45" si="0">H7/E7*100</f>
        <v>61.036920659858609</v>
      </c>
      <c r="J7" s="25">
        <v>928</v>
      </c>
      <c r="K7" s="25">
        <v>560</v>
      </c>
      <c r="L7" s="27">
        <v>1488</v>
      </c>
    </row>
    <row r="8" spans="1:12" ht="15" customHeight="1" x14ac:dyDescent="0.25">
      <c r="A8" s="18" t="s">
        <v>8</v>
      </c>
      <c r="B8" s="19" t="s">
        <v>13</v>
      </c>
      <c r="C8" s="28">
        <v>6335</v>
      </c>
      <c r="D8" s="28">
        <v>7757</v>
      </c>
      <c r="E8" s="28">
        <v>14092</v>
      </c>
      <c r="F8" s="28">
        <v>2275</v>
      </c>
      <c r="G8" s="28">
        <v>5779</v>
      </c>
      <c r="H8" s="28">
        <v>8054</v>
      </c>
      <c r="I8" s="21">
        <f t="shared" si="0"/>
        <v>57.152994606869143</v>
      </c>
      <c r="J8" s="28">
        <v>4060</v>
      </c>
      <c r="K8" s="28">
        <v>1978</v>
      </c>
      <c r="L8" s="29">
        <v>6038</v>
      </c>
    </row>
    <row r="9" spans="1:12" ht="15" customHeight="1" x14ac:dyDescent="0.25">
      <c r="A9" s="6" t="s">
        <v>9</v>
      </c>
      <c r="B9" s="5" t="s">
        <v>14</v>
      </c>
      <c r="C9" s="25">
        <v>8067</v>
      </c>
      <c r="D9" s="25">
        <v>10994</v>
      </c>
      <c r="E9" s="25">
        <v>19061</v>
      </c>
      <c r="F9" s="25">
        <v>3180</v>
      </c>
      <c r="G9" s="25">
        <v>8232</v>
      </c>
      <c r="H9" s="25">
        <v>11412</v>
      </c>
      <c r="I9" s="26">
        <f t="shared" si="0"/>
        <v>59.870940664183415</v>
      </c>
      <c r="J9" s="25">
        <v>4887</v>
      </c>
      <c r="K9" s="25">
        <v>2762</v>
      </c>
      <c r="L9" s="27">
        <v>7649</v>
      </c>
    </row>
    <row r="10" spans="1:12" ht="15" customHeight="1" x14ac:dyDescent="0.25">
      <c r="A10" s="14">
        <v>1.1000000000000001</v>
      </c>
      <c r="B10" s="15" t="s">
        <v>18</v>
      </c>
      <c r="C10" s="30">
        <f t="shared" ref="C10:H10" si="1">SUM(C7:C9)</f>
        <v>15898</v>
      </c>
      <c r="D10" s="30">
        <f t="shared" si="1"/>
        <v>21074</v>
      </c>
      <c r="E10" s="30">
        <f t="shared" si="1"/>
        <v>36972</v>
      </c>
      <c r="F10" s="30">
        <f t="shared" si="1"/>
        <v>6023</v>
      </c>
      <c r="G10" s="30">
        <f t="shared" si="1"/>
        <v>15774</v>
      </c>
      <c r="H10" s="30">
        <f t="shared" si="1"/>
        <v>21797</v>
      </c>
      <c r="I10" s="31">
        <f t="shared" si="0"/>
        <v>58.955425727577627</v>
      </c>
      <c r="J10" s="30">
        <f>SUM(J7:J9)</f>
        <v>9875</v>
      </c>
      <c r="K10" s="30">
        <f>SUM(K7:K9)</f>
        <v>5300</v>
      </c>
      <c r="L10" s="32">
        <f>SUM(L7:L9)</f>
        <v>15175</v>
      </c>
    </row>
    <row r="11" spans="1:12" ht="15" customHeight="1" x14ac:dyDescent="0.25">
      <c r="A11" s="6" t="s">
        <v>10</v>
      </c>
      <c r="B11" s="5" t="s">
        <v>15</v>
      </c>
      <c r="C11" s="25">
        <v>44814</v>
      </c>
      <c r="D11" s="25">
        <v>44343</v>
      </c>
      <c r="E11" s="25">
        <v>89157</v>
      </c>
      <c r="F11" s="25">
        <v>13003</v>
      </c>
      <c r="G11" s="25">
        <v>28365</v>
      </c>
      <c r="H11" s="25">
        <v>41368</v>
      </c>
      <c r="I11" s="26">
        <f t="shared" si="0"/>
        <v>46.399048868849334</v>
      </c>
      <c r="J11" s="25">
        <v>31811</v>
      </c>
      <c r="K11" s="25">
        <v>15978</v>
      </c>
      <c r="L11" s="27">
        <v>47789</v>
      </c>
    </row>
    <row r="12" spans="1:12" ht="15" customHeight="1" x14ac:dyDescent="0.25">
      <c r="A12" s="18" t="s">
        <v>11</v>
      </c>
      <c r="B12" s="19" t="s">
        <v>16</v>
      </c>
      <c r="C12" s="28">
        <v>40691</v>
      </c>
      <c r="D12" s="28">
        <v>37549</v>
      </c>
      <c r="E12" s="28">
        <v>78240</v>
      </c>
      <c r="F12" s="28">
        <v>12299</v>
      </c>
      <c r="G12" s="28">
        <v>23037</v>
      </c>
      <c r="H12" s="28">
        <v>35336</v>
      </c>
      <c r="I12" s="21">
        <f t="shared" si="0"/>
        <v>45.163599182004091</v>
      </c>
      <c r="J12" s="28">
        <v>28392</v>
      </c>
      <c r="K12" s="28">
        <v>14512</v>
      </c>
      <c r="L12" s="29">
        <v>42904</v>
      </c>
    </row>
    <row r="13" spans="1:12" ht="15" customHeight="1" x14ac:dyDescent="0.25">
      <c r="A13" s="6" t="s">
        <v>12</v>
      </c>
      <c r="B13" s="5" t="s">
        <v>56</v>
      </c>
      <c r="C13" s="25">
        <v>23154</v>
      </c>
      <c r="D13" s="25">
        <v>19818</v>
      </c>
      <c r="E13" s="25">
        <v>42972</v>
      </c>
      <c r="F13" s="25">
        <v>6495</v>
      </c>
      <c r="G13" s="25">
        <v>11566</v>
      </c>
      <c r="H13" s="25">
        <v>18061</v>
      </c>
      <c r="I13" s="26">
        <f t="shared" si="0"/>
        <v>42.029693754072419</v>
      </c>
      <c r="J13" s="25">
        <v>16659</v>
      </c>
      <c r="K13" s="25">
        <v>8252</v>
      </c>
      <c r="L13" s="27">
        <v>24911</v>
      </c>
    </row>
    <row r="14" spans="1:12" ht="15" customHeight="1" x14ac:dyDescent="0.25">
      <c r="A14" s="14">
        <v>1.2</v>
      </c>
      <c r="B14" s="15" t="s">
        <v>26</v>
      </c>
      <c r="C14" s="30">
        <f t="shared" ref="C14:H14" si="2">SUM(C11:C13)</f>
        <v>108659</v>
      </c>
      <c r="D14" s="30">
        <f t="shared" si="2"/>
        <v>101710</v>
      </c>
      <c r="E14" s="30">
        <f t="shared" si="2"/>
        <v>210369</v>
      </c>
      <c r="F14" s="30">
        <f t="shared" si="2"/>
        <v>31797</v>
      </c>
      <c r="G14" s="30">
        <f t="shared" si="2"/>
        <v>62968</v>
      </c>
      <c r="H14" s="30">
        <f t="shared" si="2"/>
        <v>94765</v>
      </c>
      <c r="I14" s="31">
        <f t="shared" si="0"/>
        <v>45.047036397948368</v>
      </c>
      <c r="J14" s="30">
        <f>SUM(J11:J13)</f>
        <v>76862</v>
      </c>
      <c r="K14" s="30">
        <f>SUM(K11:K13)</f>
        <v>38742</v>
      </c>
      <c r="L14" s="32">
        <f>SUM(L11:L13)</f>
        <v>115604</v>
      </c>
    </row>
    <row r="15" spans="1:12" ht="27" customHeight="1" x14ac:dyDescent="0.25">
      <c r="A15" s="1">
        <v>1.3</v>
      </c>
      <c r="B15" s="4" t="s">
        <v>17</v>
      </c>
      <c r="C15" s="33">
        <v>13797</v>
      </c>
      <c r="D15" s="33">
        <v>9305</v>
      </c>
      <c r="E15" s="33">
        <v>23102</v>
      </c>
      <c r="F15" s="33">
        <v>3361</v>
      </c>
      <c r="G15" s="33">
        <v>5635</v>
      </c>
      <c r="H15" s="33">
        <v>8996</v>
      </c>
      <c r="I15" s="34">
        <f t="shared" si="0"/>
        <v>38.94035148471994</v>
      </c>
      <c r="J15" s="33">
        <v>10436</v>
      </c>
      <c r="K15" s="33">
        <v>3670</v>
      </c>
      <c r="L15" s="35">
        <v>14106</v>
      </c>
    </row>
    <row r="16" spans="1:12" ht="15" customHeight="1" x14ac:dyDescent="0.25">
      <c r="A16" s="14">
        <v>2</v>
      </c>
      <c r="B16" s="15" t="s">
        <v>29</v>
      </c>
      <c r="C16" s="30">
        <v>174042</v>
      </c>
      <c r="D16" s="30">
        <v>248397</v>
      </c>
      <c r="E16" s="30">
        <v>422439</v>
      </c>
      <c r="F16" s="30">
        <v>60010</v>
      </c>
      <c r="G16" s="30">
        <v>162939</v>
      </c>
      <c r="H16" s="30">
        <v>222949</v>
      </c>
      <c r="I16" s="31">
        <f t="shared" si="0"/>
        <v>52.77661390165207</v>
      </c>
      <c r="J16" s="30">
        <v>114032</v>
      </c>
      <c r="K16" s="30">
        <v>85458</v>
      </c>
      <c r="L16" s="32">
        <v>199490</v>
      </c>
    </row>
    <row r="17" spans="1:12" ht="15" customHeight="1" x14ac:dyDescent="0.25">
      <c r="A17" s="6" t="s">
        <v>19</v>
      </c>
      <c r="B17" s="5" t="s">
        <v>3</v>
      </c>
      <c r="C17" s="25">
        <v>1333</v>
      </c>
      <c r="D17" s="25">
        <v>2434</v>
      </c>
      <c r="E17" s="25">
        <v>3767</v>
      </c>
      <c r="F17" s="25">
        <v>493</v>
      </c>
      <c r="G17" s="25">
        <v>1906</v>
      </c>
      <c r="H17" s="25">
        <v>2399</v>
      </c>
      <c r="I17" s="26">
        <f t="shared" si="0"/>
        <v>63.684629678789484</v>
      </c>
      <c r="J17" s="25">
        <v>840</v>
      </c>
      <c r="K17" s="25">
        <v>528</v>
      </c>
      <c r="L17" s="27">
        <v>1368</v>
      </c>
    </row>
    <row r="18" spans="1:12" ht="15" customHeight="1" x14ac:dyDescent="0.25">
      <c r="A18" s="18" t="s">
        <v>20</v>
      </c>
      <c r="B18" s="19" t="s">
        <v>13</v>
      </c>
      <c r="C18" s="28">
        <v>5707</v>
      </c>
      <c r="D18" s="28">
        <v>9008</v>
      </c>
      <c r="E18" s="28">
        <v>14715</v>
      </c>
      <c r="F18" s="28">
        <v>2389</v>
      </c>
      <c r="G18" s="28">
        <v>6159</v>
      </c>
      <c r="H18" s="28">
        <v>8548</v>
      </c>
      <c r="I18" s="21">
        <f t="shared" si="0"/>
        <v>58.090383961943594</v>
      </c>
      <c r="J18" s="28">
        <v>3318</v>
      </c>
      <c r="K18" s="28">
        <v>2849</v>
      </c>
      <c r="L18" s="29">
        <v>6167</v>
      </c>
    </row>
    <row r="19" spans="1:12" ht="15" customHeight="1" x14ac:dyDescent="0.25">
      <c r="A19" s="6" t="s">
        <v>21</v>
      </c>
      <c r="B19" s="5" t="s">
        <v>14</v>
      </c>
      <c r="C19" s="25">
        <v>23530</v>
      </c>
      <c r="D19" s="25">
        <v>40607</v>
      </c>
      <c r="E19" s="25">
        <v>64137</v>
      </c>
      <c r="F19" s="25">
        <v>10629</v>
      </c>
      <c r="G19" s="25">
        <v>27860</v>
      </c>
      <c r="H19" s="25">
        <v>38489</v>
      </c>
      <c r="I19" s="26">
        <f t="shared" si="0"/>
        <v>60.010602304442052</v>
      </c>
      <c r="J19" s="25">
        <v>12901</v>
      </c>
      <c r="K19" s="25">
        <v>12747</v>
      </c>
      <c r="L19" s="27">
        <v>25648</v>
      </c>
    </row>
    <row r="20" spans="1:12" ht="15" customHeight="1" x14ac:dyDescent="0.25">
      <c r="A20" s="14">
        <v>2.1</v>
      </c>
      <c r="B20" s="15" t="s">
        <v>25</v>
      </c>
      <c r="C20" s="30">
        <f t="shared" ref="C20:H20" si="3">SUM(C17:C19)</f>
        <v>30570</v>
      </c>
      <c r="D20" s="30">
        <f t="shared" si="3"/>
        <v>52049</v>
      </c>
      <c r="E20" s="30">
        <f t="shared" si="3"/>
        <v>82619</v>
      </c>
      <c r="F20" s="30">
        <f t="shared" si="3"/>
        <v>13511</v>
      </c>
      <c r="G20" s="30">
        <f t="shared" si="3"/>
        <v>35925</v>
      </c>
      <c r="H20" s="30">
        <f t="shared" si="3"/>
        <v>49436</v>
      </c>
      <c r="I20" s="31">
        <f t="shared" si="0"/>
        <v>59.836115179317105</v>
      </c>
      <c r="J20" s="30">
        <f>SUM(J17:J19)</f>
        <v>17059</v>
      </c>
      <c r="K20" s="30">
        <f>SUM(K17:K19)</f>
        <v>16124</v>
      </c>
      <c r="L20" s="32">
        <f>SUM(L17:L19)</f>
        <v>33183</v>
      </c>
    </row>
    <row r="21" spans="1:12" ht="15" customHeight="1" x14ac:dyDescent="0.25">
      <c r="A21" s="6" t="s">
        <v>22</v>
      </c>
      <c r="B21" s="5" t="s">
        <v>15</v>
      </c>
      <c r="C21" s="25">
        <v>85757</v>
      </c>
      <c r="D21" s="25">
        <v>133832</v>
      </c>
      <c r="E21" s="25">
        <v>219589</v>
      </c>
      <c r="F21" s="25">
        <v>27217</v>
      </c>
      <c r="G21" s="25">
        <v>88909</v>
      </c>
      <c r="H21" s="25">
        <v>116126</v>
      </c>
      <c r="I21" s="26">
        <f t="shared" si="0"/>
        <v>52.883341150968398</v>
      </c>
      <c r="J21" s="25">
        <v>58540</v>
      </c>
      <c r="K21" s="25">
        <v>44923</v>
      </c>
      <c r="L21" s="27">
        <v>103463</v>
      </c>
    </row>
    <row r="22" spans="1:12" ht="15" customHeight="1" x14ac:dyDescent="0.25">
      <c r="A22" s="18" t="s">
        <v>23</v>
      </c>
      <c r="B22" s="19" t="s">
        <v>16</v>
      </c>
      <c r="C22" s="28">
        <v>40086</v>
      </c>
      <c r="D22" s="28">
        <v>46557</v>
      </c>
      <c r="E22" s="28">
        <v>86643</v>
      </c>
      <c r="F22" s="28">
        <v>14089</v>
      </c>
      <c r="G22" s="28">
        <v>28354</v>
      </c>
      <c r="H22" s="28">
        <v>42443</v>
      </c>
      <c r="I22" s="21">
        <f t="shared" si="0"/>
        <v>48.986069272762947</v>
      </c>
      <c r="J22" s="28">
        <v>25997</v>
      </c>
      <c r="K22" s="28">
        <v>18203</v>
      </c>
      <c r="L22" s="29">
        <v>44200</v>
      </c>
    </row>
    <row r="23" spans="1:12" ht="15" customHeight="1" x14ac:dyDescent="0.25">
      <c r="A23" s="6" t="s">
        <v>24</v>
      </c>
      <c r="B23" s="5" t="s">
        <v>56</v>
      </c>
      <c r="C23" s="25">
        <v>12000</v>
      </c>
      <c r="D23" s="25">
        <v>11272</v>
      </c>
      <c r="E23" s="25">
        <v>23272</v>
      </c>
      <c r="F23" s="25">
        <v>3512</v>
      </c>
      <c r="G23" s="25">
        <v>6712</v>
      </c>
      <c r="H23" s="25">
        <v>10224</v>
      </c>
      <c r="I23" s="26">
        <f t="shared" si="0"/>
        <v>43.932622894465453</v>
      </c>
      <c r="J23" s="25">
        <v>8488</v>
      </c>
      <c r="K23" s="25">
        <v>4560</v>
      </c>
      <c r="L23" s="27">
        <v>13048</v>
      </c>
    </row>
    <row r="24" spans="1:12" ht="15" customHeight="1" x14ac:dyDescent="0.25">
      <c r="A24" s="14">
        <v>2.2000000000000002</v>
      </c>
      <c r="B24" s="15" t="s">
        <v>27</v>
      </c>
      <c r="C24" s="30">
        <f t="shared" ref="C24:H24" si="4">SUM(C21:C23)</f>
        <v>137843</v>
      </c>
      <c r="D24" s="30">
        <f t="shared" si="4"/>
        <v>191661</v>
      </c>
      <c r="E24" s="30">
        <f t="shared" si="4"/>
        <v>329504</v>
      </c>
      <c r="F24" s="30">
        <f t="shared" si="4"/>
        <v>44818</v>
      </c>
      <c r="G24" s="30">
        <f t="shared" si="4"/>
        <v>123975</v>
      </c>
      <c r="H24" s="30">
        <f t="shared" si="4"/>
        <v>168793</v>
      </c>
      <c r="I24" s="31">
        <f t="shared" si="0"/>
        <v>51.226388754006024</v>
      </c>
      <c r="J24" s="30">
        <f>SUM(J21:J23)</f>
        <v>93025</v>
      </c>
      <c r="K24" s="30">
        <f>SUM(K21:K23)</f>
        <v>67686</v>
      </c>
      <c r="L24" s="32">
        <f>SUM(L21:L23)</f>
        <v>160711</v>
      </c>
    </row>
    <row r="25" spans="1:12" ht="28.5" customHeight="1" x14ac:dyDescent="0.25">
      <c r="A25" s="1">
        <v>2.2999999999999998</v>
      </c>
      <c r="B25" s="4" t="s">
        <v>28</v>
      </c>
      <c r="C25" s="33">
        <v>5629</v>
      </c>
      <c r="D25" s="33">
        <v>4687</v>
      </c>
      <c r="E25" s="33">
        <v>10316</v>
      </c>
      <c r="F25" s="33">
        <v>1681</v>
      </c>
      <c r="G25" s="33">
        <v>3039</v>
      </c>
      <c r="H25" s="33">
        <v>4720</v>
      </c>
      <c r="I25" s="34">
        <f t="shared" si="0"/>
        <v>45.754168282279956</v>
      </c>
      <c r="J25" s="33">
        <v>3948</v>
      </c>
      <c r="K25" s="33">
        <v>1648</v>
      </c>
      <c r="L25" s="35">
        <v>5596</v>
      </c>
    </row>
    <row r="26" spans="1:12" ht="15" customHeight="1" x14ac:dyDescent="0.25">
      <c r="A26" s="14">
        <v>3</v>
      </c>
      <c r="B26" s="15" t="s">
        <v>4</v>
      </c>
      <c r="C26" s="30">
        <v>81</v>
      </c>
      <c r="D26" s="30">
        <v>40</v>
      </c>
      <c r="E26" s="30">
        <v>121</v>
      </c>
      <c r="F26" s="30">
        <v>68</v>
      </c>
      <c r="G26" s="30">
        <v>33</v>
      </c>
      <c r="H26" s="30">
        <v>101</v>
      </c>
      <c r="I26" s="31">
        <f t="shared" si="0"/>
        <v>83.471074380165291</v>
      </c>
      <c r="J26" s="30">
        <v>13</v>
      </c>
      <c r="K26" s="30">
        <v>7</v>
      </c>
      <c r="L26" s="32">
        <v>20</v>
      </c>
    </row>
    <row r="27" spans="1:12" ht="15" customHeight="1" x14ac:dyDescent="0.25">
      <c r="A27" s="6" t="s">
        <v>32</v>
      </c>
      <c r="B27" s="5" t="s">
        <v>3</v>
      </c>
      <c r="C27" s="25">
        <v>1</v>
      </c>
      <c r="D27" s="25">
        <v>2</v>
      </c>
      <c r="E27" s="25">
        <v>3</v>
      </c>
      <c r="F27" s="25">
        <v>1</v>
      </c>
      <c r="G27" s="25">
        <v>1</v>
      </c>
      <c r="H27" s="25">
        <v>2</v>
      </c>
      <c r="I27" s="26">
        <f t="shared" si="0"/>
        <v>66.666666666666657</v>
      </c>
      <c r="J27" s="25">
        <v>0</v>
      </c>
      <c r="K27" s="25">
        <v>1</v>
      </c>
      <c r="L27" s="27">
        <v>1</v>
      </c>
    </row>
    <row r="28" spans="1:12" ht="15" customHeight="1" x14ac:dyDescent="0.25">
      <c r="A28" s="18" t="s">
        <v>33</v>
      </c>
      <c r="B28" s="19" t="s">
        <v>13</v>
      </c>
      <c r="C28" s="28">
        <v>3</v>
      </c>
      <c r="D28" s="28">
        <v>5</v>
      </c>
      <c r="E28" s="28">
        <v>8</v>
      </c>
      <c r="F28" s="28">
        <v>3</v>
      </c>
      <c r="G28" s="28">
        <v>5</v>
      </c>
      <c r="H28" s="28">
        <v>8</v>
      </c>
      <c r="I28" s="21">
        <f t="shared" si="0"/>
        <v>100</v>
      </c>
      <c r="J28" s="28">
        <v>0</v>
      </c>
      <c r="K28" s="28">
        <v>0</v>
      </c>
      <c r="L28" s="29">
        <v>0</v>
      </c>
    </row>
    <row r="29" spans="1:12" ht="15" customHeight="1" x14ac:dyDescent="0.25">
      <c r="A29" s="6" t="s">
        <v>34</v>
      </c>
      <c r="B29" s="5" t="s">
        <v>14</v>
      </c>
      <c r="C29" s="25">
        <v>7</v>
      </c>
      <c r="D29" s="25">
        <v>8</v>
      </c>
      <c r="E29" s="25">
        <v>15</v>
      </c>
      <c r="F29" s="25">
        <v>6</v>
      </c>
      <c r="G29" s="25">
        <v>4</v>
      </c>
      <c r="H29" s="25">
        <v>10</v>
      </c>
      <c r="I29" s="26">
        <f t="shared" si="0"/>
        <v>66.666666666666657</v>
      </c>
      <c r="J29" s="25">
        <v>1</v>
      </c>
      <c r="K29" s="25">
        <v>4</v>
      </c>
      <c r="L29" s="27">
        <v>5</v>
      </c>
    </row>
    <row r="30" spans="1:12" ht="15" customHeight="1" x14ac:dyDescent="0.25">
      <c r="A30" s="14">
        <v>3.1</v>
      </c>
      <c r="B30" s="15" t="s">
        <v>30</v>
      </c>
      <c r="C30" s="30">
        <f t="shared" ref="C30:H30" si="5">SUM(C27:C29)</f>
        <v>11</v>
      </c>
      <c r="D30" s="30">
        <f t="shared" si="5"/>
        <v>15</v>
      </c>
      <c r="E30" s="30">
        <f t="shared" si="5"/>
        <v>26</v>
      </c>
      <c r="F30" s="30">
        <f t="shared" si="5"/>
        <v>10</v>
      </c>
      <c r="G30" s="30">
        <f t="shared" si="5"/>
        <v>10</v>
      </c>
      <c r="H30" s="30">
        <f t="shared" si="5"/>
        <v>20</v>
      </c>
      <c r="I30" s="31">
        <f t="shared" si="0"/>
        <v>76.923076923076934</v>
      </c>
      <c r="J30" s="30">
        <f>SUM(J27:J29)</f>
        <v>1</v>
      </c>
      <c r="K30" s="30">
        <f>SUM(K27:K29)</f>
        <v>5</v>
      </c>
      <c r="L30" s="32">
        <f>SUM(L27:L29)</f>
        <v>6</v>
      </c>
    </row>
    <row r="31" spans="1:12" ht="15" customHeight="1" x14ac:dyDescent="0.25">
      <c r="A31" s="6" t="s">
        <v>35</v>
      </c>
      <c r="B31" s="5" t="s">
        <v>15</v>
      </c>
      <c r="C31" s="25">
        <v>33</v>
      </c>
      <c r="D31" s="25">
        <v>18</v>
      </c>
      <c r="E31" s="25">
        <v>51</v>
      </c>
      <c r="F31" s="25">
        <v>26</v>
      </c>
      <c r="G31" s="25">
        <v>17</v>
      </c>
      <c r="H31" s="25">
        <v>43</v>
      </c>
      <c r="I31" s="26">
        <f t="shared" si="0"/>
        <v>84.313725490196077</v>
      </c>
      <c r="J31" s="25">
        <v>7</v>
      </c>
      <c r="K31" s="25">
        <v>1</v>
      </c>
      <c r="L31" s="27">
        <v>8</v>
      </c>
    </row>
    <row r="32" spans="1:12" ht="15" customHeight="1" x14ac:dyDescent="0.25">
      <c r="A32" s="18" t="s">
        <v>36</v>
      </c>
      <c r="B32" s="19" t="s">
        <v>16</v>
      </c>
      <c r="C32" s="28">
        <v>19</v>
      </c>
      <c r="D32" s="28">
        <v>7</v>
      </c>
      <c r="E32" s="28">
        <v>26</v>
      </c>
      <c r="F32" s="28">
        <v>17</v>
      </c>
      <c r="G32" s="28">
        <v>6</v>
      </c>
      <c r="H32" s="28">
        <v>23</v>
      </c>
      <c r="I32" s="21">
        <f t="shared" si="0"/>
        <v>88.461538461538453</v>
      </c>
      <c r="J32" s="28">
        <v>2</v>
      </c>
      <c r="K32" s="28">
        <v>1</v>
      </c>
      <c r="L32" s="29">
        <v>3</v>
      </c>
    </row>
    <row r="33" spans="1:12" ht="15" customHeight="1" x14ac:dyDescent="0.25">
      <c r="A33" s="6" t="s">
        <v>37</v>
      </c>
      <c r="B33" s="5" t="s">
        <v>56</v>
      </c>
      <c r="C33" s="25">
        <v>12</v>
      </c>
      <c r="D33" s="25">
        <v>0</v>
      </c>
      <c r="E33" s="25">
        <v>12</v>
      </c>
      <c r="F33" s="25">
        <v>10</v>
      </c>
      <c r="G33" s="25">
        <v>0</v>
      </c>
      <c r="H33" s="25">
        <v>10</v>
      </c>
      <c r="I33" s="26">
        <f t="shared" si="0"/>
        <v>83.333333333333343</v>
      </c>
      <c r="J33" s="25">
        <v>2</v>
      </c>
      <c r="K33" s="25">
        <v>0</v>
      </c>
      <c r="L33" s="27">
        <v>2</v>
      </c>
    </row>
    <row r="34" spans="1:12" ht="15" customHeight="1" x14ac:dyDescent="0.25">
      <c r="A34" s="14">
        <v>3.2</v>
      </c>
      <c r="B34" s="15" t="s">
        <v>31</v>
      </c>
      <c r="C34" s="30">
        <f t="shared" ref="C34:H34" si="6">SUM(C31:C33)</f>
        <v>64</v>
      </c>
      <c r="D34" s="30">
        <f t="shared" si="6"/>
        <v>25</v>
      </c>
      <c r="E34" s="30">
        <f t="shared" si="6"/>
        <v>89</v>
      </c>
      <c r="F34" s="30">
        <f t="shared" si="6"/>
        <v>53</v>
      </c>
      <c r="G34" s="30">
        <f t="shared" si="6"/>
        <v>23</v>
      </c>
      <c r="H34" s="30">
        <f t="shared" si="6"/>
        <v>76</v>
      </c>
      <c r="I34" s="31">
        <f t="shared" si="0"/>
        <v>85.393258426966284</v>
      </c>
      <c r="J34" s="30">
        <f>SUM(J31:J33)</f>
        <v>11</v>
      </c>
      <c r="K34" s="30">
        <f>SUM(K31:K33)</f>
        <v>2</v>
      </c>
      <c r="L34" s="32">
        <f>SUM(L31:L33)</f>
        <v>13</v>
      </c>
    </row>
    <row r="35" spans="1:12" ht="28.5" customHeight="1" x14ac:dyDescent="0.25">
      <c r="A35" s="1">
        <v>3.3</v>
      </c>
      <c r="B35" s="9" t="s">
        <v>58</v>
      </c>
      <c r="C35" s="33">
        <v>6</v>
      </c>
      <c r="D35" s="33">
        <v>0</v>
      </c>
      <c r="E35" s="33">
        <v>6</v>
      </c>
      <c r="F35" s="33">
        <v>5</v>
      </c>
      <c r="G35" s="33">
        <v>0</v>
      </c>
      <c r="H35" s="33">
        <v>5</v>
      </c>
      <c r="I35" s="34">
        <f t="shared" si="0"/>
        <v>83.333333333333343</v>
      </c>
      <c r="J35" s="33">
        <v>1</v>
      </c>
      <c r="K35" s="33">
        <v>0</v>
      </c>
      <c r="L35" s="35">
        <v>1</v>
      </c>
    </row>
    <row r="36" spans="1:12" ht="15" customHeight="1" x14ac:dyDescent="0.25">
      <c r="A36" s="14">
        <v>4</v>
      </c>
      <c r="B36" s="15" t="s">
        <v>38</v>
      </c>
      <c r="C36" s="30">
        <v>312477</v>
      </c>
      <c r="D36" s="30">
        <v>380526</v>
      </c>
      <c r="E36" s="30">
        <v>693003</v>
      </c>
      <c r="F36" s="30">
        <v>101259</v>
      </c>
      <c r="G36" s="30">
        <v>247349</v>
      </c>
      <c r="H36" s="30">
        <v>348608</v>
      </c>
      <c r="I36" s="31">
        <f t="shared" si="0"/>
        <v>50.303966938094057</v>
      </c>
      <c r="J36" s="30">
        <v>211218</v>
      </c>
      <c r="K36" s="30">
        <v>133177</v>
      </c>
      <c r="L36" s="32">
        <v>344395</v>
      </c>
    </row>
    <row r="37" spans="1:12" ht="15" customHeight="1" x14ac:dyDescent="0.25">
      <c r="A37" s="6" t="s">
        <v>39</v>
      </c>
      <c r="B37" s="5" t="s">
        <v>3</v>
      </c>
      <c r="C37" s="25">
        <v>2830</v>
      </c>
      <c r="D37" s="25">
        <v>4759</v>
      </c>
      <c r="E37" s="25">
        <v>7589</v>
      </c>
      <c r="F37" s="25">
        <v>1062</v>
      </c>
      <c r="G37" s="25">
        <v>3670</v>
      </c>
      <c r="H37" s="25">
        <v>4732</v>
      </c>
      <c r="I37" s="26">
        <f t="shared" si="0"/>
        <v>62.353406245882191</v>
      </c>
      <c r="J37" s="25">
        <v>1768</v>
      </c>
      <c r="K37" s="25">
        <v>1089</v>
      </c>
      <c r="L37" s="27">
        <v>2857</v>
      </c>
    </row>
    <row r="38" spans="1:12" ht="15" customHeight="1" x14ac:dyDescent="0.25">
      <c r="A38" s="18" t="s">
        <v>40</v>
      </c>
      <c r="B38" s="19" t="s">
        <v>13</v>
      </c>
      <c r="C38" s="28">
        <v>12045</v>
      </c>
      <c r="D38" s="28">
        <v>16770</v>
      </c>
      <c r="E38" s="28">
        <v>28815</v>
      </c>
      <c r="F38" s="28">
        <v>4667</v>
      </c>
      <c r="G38" s="28">
        <v>11943</v>
      </c>
      <c r="H38" s="28">
        <v>16610</v>
      </c>
      <c r="I38" s="21">
        <f t="shared" si="0"/>
        <v>57.64358840881485</v>
      </c>
      <c r="J38" s="28">
        <v>7378</v>
      </c>
      <c r="K38" s="28">
        <v>4827</v>
      </c>
      <c r="L38" s="29">
        <v>12205</v>
      </c>
    </row>
    <row r="39" spans="1:12" ht="15" customHeight="1" x14ac:dyDescent="0.25">
      <c r="A39" s="6" t="s">
        <v>41</v>
      </c>
      <c r="B39" s="5" t="s">
        <v>14</v>
      </c>
      <c r="C39" s="25">
        <v>31604</v>
      </c>
      <c r="D39" s="25">
        <v>51609</v>
      </c>
      <c r="E39" s="25">
        <v>83213</v>
      </c>
      <c r="F39" s="25">
        <v>13815</v>
      </c>
      <c r="G39" s="25">
        <v>36096</v>
      </c>
      <c r="H39" s="25">
        <v>49911</v>
      </c>
      <c r="I39" s="26">
        <f t="shared" si="0"/>
        <v>59.979810846862868</v>
      </c>
      <c r="J39" s="25">
        <v>17789</v>
      </c>
      <c r="K39" s="25">
        <v>15513</v>
      </c>
      <c r="L39" s="27">
        <v>33302</v>
      </c>
    </row>
    <row r="40" spans="1:12" ht="15" customHeight="1" x14ac:dyDescent="0.25">
      <c r="A40" s="14">
        <v>4.0999999999999996</v>
      </c>
      <c r="B40" s="15" t="s">
        <v>45</v>
      </c>
      <c r="C40" s="30">
        <f t="shared" ref="C40:H40" si="7">SUM(C37:C39)</f>
        <v>46479</v>
      </c>
      <c r="D40" s="30">
        <f t="shared" si="7"/>
        <v>73138</v>
      </c>
      <c r="E40" s="30">
        <f t="shared" si="7"/>
        <v>119617</v>
      </c>
      <c r="F40" s="30">
        <f t="shared" si="7"/>
        <v>19544</v>
      </c>
      <c r="G40" s="30">
        <f t="shared" si="7"/>
        <v>51709</v>
      </c>
      <c r="H40" s="30">
        <f t="shared" si="7"/>
        <v>71253</v>
      </c>
      <c r="I40" s="31">
        <f t="shared" si="0"/>
        <v>59.567619987125575</v>
      </c>
      <c r="J40" s="30">
        <f>SUM(J37:J39)</f>
        <v>26935</v>
      </c>
      <c r="K40" s="30">
        <f>SUM(K37:K39)</f>
        <v>21429</v>
      </c>
      <c r="L40" s="32">
        <f>SUM(L37:L39)</f>
        <v>48364</v>
      </c>
    </row>
    <row r="41" spans="1:12" ht="15" customHeight="1" x14ac:dyDescent="0.25">
      <c r="A41" s="6" t="s">
        <v>42</v>
      </c>
      <c r="B41" s="5" t="s">
        <v>15</v>
      </c>
      <c r="C41" s="25">
        <v>130604</v>
      </c>
      <c r="D41" s="25">
        <v>178193</v>
      </c>
      <c r="E41" s="25">
        <v>308797</v>
      </c>
      <c r="F41" s="25">
        <v>40246</v>
      </c>
      <c r="G41" s="25">
        <v>117291</v>
      </c>
      <c r="H41" s="25">
        <v>157537</v>
      </c>
      <c r="I41" s="26">
        <f t="shared" si="0"/>
        <v>51.016363500940741</v>
      </c>
      <c r="J41" s="25">
        <v>90358</v>
      </c>
      <c r="K41" s="25">
        <v>60902</v>
      </c>
      <c r="L41" s="27">
        <v>151260</v>
      </c>
    </row>
    <row r="42" spans="1:12" ht="15" customHeight="1" x14ac:dyDescent="0.25">
      <c r="A42" s="18" t="s">
        <v>43</v>
      </c>
      <c r="B42" s="19" t="s">
        <v>16</v>
      </c>
      <c r="C42" s="28">
        <v>80796</v>
      </c>
      <c r="D42" s="28">
        <v>84113</v>
      </c>
      <c r="E42" s="28">
        <v>164909</v>
      </c>
      <c r="F42" s="28">
        <v>26405</v>
      </c>
      <c r="G42" s="28">
        <v>51397</v>
      </c>
      <c r="H42" s="28">
        <v>77802</v>
      </c>
      <c r="I42" s="21">
        <f t="shared" si="0"/>
        <v>47.178747066563986</v>
      </c>
      <c r="J42" s="28">
        <v>54391</v>
      </c>
      <c r="K42" s="28">
        <v>32716</v>
      </c>
      <c r="L42" s="29">
        <v>87107</v>
      </c>
    </row>
    <row r="43" spans="1:12" ht="15" customHeight="1" x14ac:dyDescent="0.25">
      <c r="A43" s="6" t="s">
        <v>44</v>
      </c>
      <c r="B43" s="5" t="s">
        <v>56</v>
      </c>
      <c r="C43" s="25">
        <v>35166</v>
      </c>
      <c r="D43" s="25">
        <v>31090</v>
      </c>
      <c r="E43" s="25">
        <v>66256</v>
      </c>
      <c r="F43" s="25">
        <v>10017</v>
      </c>
      <c r="G43" s="25">
        <v>18278</v>
      </c>
      <c r="H43" s="25">
        <v>28295</v>
      </c>
      <c r="I43" s="26">
        <f t="shared" si="0"/>
        <v>42.705566288336151</v>
      </c>
      <c r="J43" s="25">
        <v>25149</v>
      </c>
      <c r="K43" s="25">
        <v>12812</v>
      </c>
      <c r="L43" s="27">
        <v>37961</v>
      </c>
    </row>
    <row r="44" spans="1:12" ht="15" customHeight="1" x14ac:dyDescent="0.25">
      <c r="A44" s="14">
        <v>4.2</v>
      </c>
      <c r="B44" s="15" t="s">
        <v>46</v>
      </c>
      <c r="C44" s="30">
        <f t="shared" ref="C44:H44" si="8">SUM(C41:C43)</f>
        <v>246566</v>
      </c>
      <c r="D44" s="30">
        <f t="shared" si="8"/>
        <v>293396</v>
      </c>
      <c r="E44" s="30">
        <f t="shared" si="8"/>
        <v>539962</v>
      </c>
      <c r="F44" s="30">
        <f t="shared" si="8"/>
        <v>76668</v>
      </c>
      <c r="G44" s="30">
        <f t="shared" si="8"/>
        <v>186966</v>
      </c>
      <c r="H44" s="30">
        <f t="shared" si="8"/>
        <v>263634</v>
      </c>
      <c r="I44" s="31">
        <f t="shared" si="0"/>
        <v>48.824546912560514</v>
      </c>
      <c r="J44" s="30">
        <f>SUM(J41:J43)</f>
        <v>169898</v>
      </c>
      <c r="K44" s="30">
        <f>SUM(K41:K43)</f>
        <v>106430</v>
      </c>
      <c r="L44" s="32">
        <f>SUM(L41:L43)</f>
        <v>276328</v>
      </c>
    </row>
    <row r="45" spans="1:12" ht="15" customHeight="1" x14ac:dyDescent="0.25">
      <c r="A45" s="16">
        <v>4.3</v>
      </c>
      <c r="B45" s="17" t="s">
        <v>47</v>
      </c>
      <c r="C45" s="36">
        <v>19432</v>
      </c>
      <c r="D45" s="36">
        <v>13992</v>
      </c>
      <c r="E45" s="36">
        <v>33424</v>
      </c>
      <c r="F45" s="36">
        <v>5047</v>
      </c>
      <c r="G45" s="36">
        <v>8674</v>
      </c>
      <c r="H45" s="36">
        <v>13721</v>
      </c>
      <c r="I45" s="37">
        <f t="shared" si="0"/>
        <v>41.051340354236473</v>
      </c>
      <c r="J45" s="36">
        <v>14385</v>
      </c>
      <c r="K45" s="36">
        <v>5318</v>
      </c>
      <c r="L45" s="38">
        <v>19703</v>
      </c>
    </row>
    <row r="46" spans="1:12" s="8" customFormat="1" ht="12.75" x14ac:dyDescent="0.2">
      <c r="A46" s="7" t="s">
        <v>57</v>
      </c>
      <c r="L46" s="20" t="s">
        <v>54</v>
      </c>
    </row>
    <row r="47" spans="1:12" s="8" customFormat="1" ht="12.75" x14ac:dyDescent="0.2">
      <c r="A47" s="8" t="s">
        <v>62</v>
      </c>
    </row>
  </sheetData>
  <mergeCells count="10">
    <mergeCell ref="A1:L1"/>
    <mergeCell ref="A2:L2"/>
    <mergeCell ref="F3:H3"/>
    <mergeCell ref="J3:L3"/>
    <mergeCell ref="I3:I4"/>
    <mergeCell ref="E3:E4"/>
    <mergeCell ref="D3:D4"/>
    <mergeCell ref="C3:C4"/>
    <mergeCell ref="B3:B4"/>
    <mergeCell ref="A3:A4"/>
  </mergeCells>
  <printOptions horizontalCentered="1"/>
  <pageMargins left="0.5" right="0.5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BOHRA</dc:creator>
  <cp:lastModifiedBy>Administrator</cp:lastModifiedBy>
  <cp:lastPrinted>2020-07-25T08:43:15Z</cp:lastPrinted>
  <dcterms:created xsi:type="dcterms:W3CDTF">2017-09-20T11:08:22Z</dcterms:created>
  <dcterms:modified xsi:type="dcterms:W3CDTF">2020-09-11T09:05:22Z</dcterms:modified>
</cp:coreProperties>
</file>