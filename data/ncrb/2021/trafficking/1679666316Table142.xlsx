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2" sheetId="27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14.2'!$A$1:$K$50</definedName>
  </definedNames>
  <calcPr calcId="145621"/>
</workbook>
</file>

<file path=xl/calcChain.xml><?xml version="1.0" encoding="utf-8"?>
<calcChain xmlns="http://schemas.openxmlformats.org/spreadsheetml/2006/main">
  <c r="D46" i="27" l="1"/>
  <c r="F46" i="27"/>
  <c r="G46" i="27"/>
  <c r="H46" i="27"/>
  <c r="I46" i="27"/>
  <c r="C46" i="27"/>
  <c r="D45" i="27"/>
  <c r="E45" i="27"/>
  <c r="F45" i="27"/>
  <c r="G45" i="27"/>
  <c r="H45" i="27"/>
  <c r="I45" i="27"/>
  <c r="J45" i="27"/>
  <c r="K45" i="27"/>
  <c r="C45" i="27"/>
  <c r="D35" i="27"/>
  <c r="E35" i="27"/>
  <c r="E46" i="27" s="1"/>
  <c r="F35" i="27"/>
  <c r="G35" i="27"/>
  <c r="H35" i="27"/>
  <c r="I35" i="27"/>
  <c r="J35" i="27"/>
  <c r="J46" i="27" s="1"/>
  <c r="K35" i="27"/>
  <c r="K46" i="27" s="1"/>
  <c r="C35" i="27"/>
  <c r="K38" i="27"/>
  <c r="K39" i="27"/>
  <c r="K40" i="27"/>
  <c r="K41" i="27"/>
  <c r="K42" i="27"/>
  <c r="K43" i="27"/>
  <c r="K44" i="27"/>
  <c r="K37" i="27"/>
  <c r="H38" i="27"/>
  <c r="H39" i="27"/>
  <c r="H40" i="27"/>
  <c r="H41" i="27"/>
  <c r="H42" i="27"/>
  <c r="H43" i="27"/>
  <c r="H44" i="27"/>
  <c r="H37" i="27"/>
  <c r="E38" i="27"/>
  <c r="E39" i="27"/>
  <c r="E40" i="27"/>
  <c r="E41" i="27"/>
  <c r="E42" i="27"/>
  <c r="E43" i="27"/>
  <c r="E44" i="27"/>
  <c r="E37" i="27"/>
  <c r="K8" i="27"/>
  <c r="K9" i="27"/>
  <c r="K10" i="27"/>
  <c r="K11" i="27"/>
  <c r="K12" i="27"/>
  <c r="K13" i="27"/>
  <c r="K14" i="27"/>
  <c r="K15" i="27"/>
  <c r="K16" i="27"/>
  <c r="K17" i="27"/>
  <c r="K18" i="27"/>
  <c r="K19" i="27"/>
  <c r="K20" i="27"/>
  <c r="K21" i="27"/>
  <c r="K22" i="27"/>
  <c r="K23" i="27"/>
  <c r="K24" i="27"/>
  <c r="K25" i="27"/>
  <c r="K26" i="27"/>
  <c r="K27" i="27"/>
  <c r="K28" i="27"/>
  <c r="K29" i="27"/>
  <c r="K30" i="27"/>
  <c r="K31" i="27"/>
  <c r="K32" i="27"/>
  <c r="K33" i="27"/>
  <c r="K34" i="27"/>
  <c r="K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7" i="27"/>
  <c r="I6" i="6" l="1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F43" i="3" l="1"/>
  <c r="K43" i="3"/>
  <c r="D42" i="3"/>
  <c r="E42" i="3"/>
  <c r="F42" i="3"/>
  <c r="G42" i="3"/>
  <c r="H42" i="3"/>
  <c r="I42" i="3"/>
  <c r="J42" i="3"/>
  <c r="J43" i="3" s="1"/>
  <c r="K42" i="3"/>
  <c r="C42" i="3"/>
  <c r="D33" i="3"/>
  <c r="D43" i="3" s="1"/>
  <c r="E33" i="3"/>
  <c r="E43" i="3" s="1"/>
  <c r="F33" i="3"/>
  <c r="G33" i="3"/>
  <c r="G43" i="3" s="1"/>
  <c r="H33" i="3"/>
  <c r="H43" i="3" s="1"/>
  <c r="I33" i="3"/>
  <c r="I43" i="3" s="1"/>
  <c r="J33" i="3"/>
  <c r="K33" i="3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E42" i="6"/>
  <c r="E33" i="6"/>
  <c r="C42" i="6"/>
  <c r="C41" i="1"/>
  <c r="C32" i="1"/>
  <c r="C33" i="6"/>
  <c r="F42" i="6" l="1"/>
  <c r="F33" i="6"/>
  <c r="E43" i="6"/>
  <c r="D43" i="6"/>
  <c r="F43" i="6" s="1"/>
  <c r="C43" i="6"/>
  <c r="C42" i="1"/>
  <c r="D13" i="1" l="1"/>
  <c r="D8" i="1"/>
  <c r="D16" i="1"/>
  <c r="D24" i="1"/>
  <c r="D40" i="1"/>
  <c r="D9" i="1"/>
  <c r="D17" i="1"/>
  <c r="D25" i="1"/>
  <c r="D33" i="1"/>
  <c r="D10" i="1"/>
  <c r="D18" i="1"/>
  <c r="D26" i="1"/>
  <c r="D34" i="1"/>
  <c r="D42" i="1"/>
  <c r="D11" i="1"/>
  <c r="D19" i="1"/>
  <c r="D27" i="1"/>
  <c r="D35" i="1"/>
  <c r="D37" i="1"/>
  <c r="D22" i="1"/>
  <c r="D38" i="1"/>
  <c r="D15" i="1"/>
  <c r="D31" i="1"/>
  <c r="D6" i="1"/>
  <c r="D12" i="1"/>
  <c r="D20" i="1"/>
  <c r="D28" i="1"/>
  <c r="D36" i="1"/>
  <c r="D5" i="1"/>
  <c r="D21" i="1"/>
  <c r="D29" i="1"/>
  <c r="D14" i="1"/>
  <c r="D30" i="1"/>
  <c r="D7" i="1"/>
  <c r="D23" i="1"/>
  <c r="D39" i="1"/>
  <c r="D41" i="1"/>
  <c r="D32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J33" i="6" s="1"/>
  <c r="I43" i="6" l="1"/>
  <c r="J43" i="6" s="1"/>
</calcChain>
</file>

<file path=xl/sharedStrings.xml><?xml version="1.0" encoding="utf-8"?>
<sst xmlns="http://schemas.openxmlformats.org/spreadsheetml/2006/main" count="261" uniqueCount="139">
  <si>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</si>
  <si>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</si>
  <si>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</si>
  <si>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</si>
  <si>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</si>
  <si>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</si>
  <si>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</si>
  <si>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</si>
  <si>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</si>
  <si>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</si>
  <si>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</si>
  <si>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</si>
  <si>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</si>
  <si>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</si>
  <si>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</si>
  <si>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</si>
  <si>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</si>
  <si>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</si>
  <si>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</si>
  <si>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</si>
  <si>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</si>
  <si>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</si>
  <si>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</si>
  <si>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</si>
  <si>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</si>
  <si>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</si>
  <si>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</si>
  <si>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</si>
  <si>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</si>
  <si>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</si>
  <si>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</si>
  <si>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</si>
  <si>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</si>
  <si>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</si>
  <si>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</si>
  <si>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</si>
  <si>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</si>
  <si>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</si>
  <si>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</si>
  <si>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</si>
  <si>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</si>
  <si>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</si>
  <si>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</si>
  <si>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</si>
  <si>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</si>
  <si>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</si>
  <si>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</si>
  <si>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</si>
  <si>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</si>
  <si>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</si>
  <si>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</si>
  <si>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</si>
  <si>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</si>
  <si>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</si>
  <si>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</si>
  <si>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</si>
  <si>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</si>
  <si>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</si>
  <si>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</si>
  <si>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</si>
  <si>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</si>
  <si>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</si>
  <si>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</si>
  <si>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</si>
  <si>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</si>
  <si>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</si>
  <si>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</si>
  <si>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</si>
  <si>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</si>
  <si>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</si>
  <si>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</si>
  <si>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</si>
  <si>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</si>
  <si>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</si>
  <si>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</si>
  <si>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</si>
  <si>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</si>
  <si>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</si>
  <si>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</si>
  <si>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Andhra Pradesh </t>
  </si>
  <si>
    <t xml:space="preserve">Arunachal Pradesh </t>
  </si>
  <si>
    <t xml:space="preserve">Bihar </t>
  </si>
  <si>
    <t xml:space="preserve">Chhattisgarh </t>
  </si>
  <si>
    <t xml:space="preserve">Goa </t>
  </si>
  <si>
    <t xml:space="preserve">Gujarat </t>
  </si>
  <si>
    <t xml:space="preserve">Haryana </t>
  </si>
  <si>
    <t xml:space="preserve">Himachal Pradesh </t>
  </si>
  <si>
    <t xml:space="preserve">Jharkhand  </t>
  </si>
  <si>
    <t xml:space="preserve">Karnataka </t>
  </si>
  <si>
    <t xml:space="preserve">Kerala </t>
  </si>
  <si>
    <t xml:space="preserve">Madhya Pradesh </t>
  </si>
  <si>
    <t xml:space="preserve">Maharashtra </t>
  </si>
  <si>
    <t xml:space="preserve">Manipur </t>
  </si>
  <si>
    <t xml:space="preserve">Meghalaya </t>
  </si>
  <si>
    <t xml:space="preserve">Mizoram </t>
  </si>
  <si>
    <t xml:space="preserve">Nagaland </t>
  </si>
  <si>
    <t xml:space="preserve">Odisha </t>
  </si>
  <si>
    <t xml:space="preserve">Punjab </t>
  </si>
  <si>
    <t xml:space="preserve">Rajasthan </t>
  </si>
  <si>
    <t xml:space="preserve">Tamil Nadu </t>
  </si>
  <si>
    <t xml:space="preserve">Telangana </t>
  </si>
  <si>
    <t xml:space="preserve">Tripura </t>
  </si>
  <si>
    <t xml:space="preserve">Uttar Pradesh </t>
  </si>
  <si>
    <t xml:space="preserve">Uttarakhand </t>
  </si>
  <si>
    <t xml:space="preserve">TOTAL STATE(S) </t>
  </si>
  <si>
    <t xml:space="preserve">UNION TERRITORIES: </t>
  </si>
  <si>
    <t xml:space="preserve">A &amp; N Islands </t>
  </si>
  <si>
    <t xml:space="preserve">Chandigarh </t>
  </si>
  <si>
    <t xml:space="preserve">Delhi UT </t>
  </si>
  <si>
    <t xml:space="preserve">Lakshadweep </t>
  </si>
  <si>
    <t xml:space="preserve">Puducherry </t>
  </si>
  <si>
    <t xml:space="preserve">TOTAL UT(S) </t>
  </si>
  <si>
    <t xml:space="preserve">TOTAL (ALL INDIA) </t>
  </si>
  <si>
    <t xml:space="preserve">Note: </t>
  </si>
  <si>
    <t>Note:</t>
  </si>
  <si>
    <r>
      <t>S. No.</t>
    </r>
    <r>
      <rPr>
        <sz val="11"/>
        <color theme="1"/>
        <rFont val="Calibri"/>
        <family val="2"/>
      </rPr>
      <t xml:space="preserve"> </t>
    </r>
  </si>
  <si>
    <r>
      <t>State/UT</t>
    </r>
    <r>
      <rPr>
        <sz val="11"/>
        <color theme="1"/>
        <rFont val="Calibri"/>
        <family val="2"/>
      </rPr>
      <t xml:space="preserve"> </t>
    </r>
  </si>
  <si>
    <t xml:space="preserve">Assam </t>
  </si>
  <si>
    <t xml:space="preserve">Sikkim </t>
  </si>
  <si>
    <t>TABLE 14.2</t>
  </si>
  <si>
    <t xml:space="preserve">Note:   </t>
  </si>
  <si>
    <t>Human Trafficking data published is based on annual data as provided by States/UTs from their Anti Human Trafficking Units</t>
  </si>
  <si>
    <t>STATES :</t>
  </si>
  <si>
    <t>TABLE 14.2 - Page 1 of 1</t>
  </si>
  <si>
    <t>DNH  and  Daman &amp; Diu</t>
  </si>
  <si>
    <t>Ladakh</t>
  </si>
  <si>
    <t>Victims Trafficked - 2021</t>
  </si>
  <si>
    <t xml:space="preserve"> 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</si>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</sst>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72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0" fillId="0" borderId="0" xfId="0" applyFont="1" applyBorder="1"/>
    <xf numFmtId="2" fontId="0" fillId="0" borderId="0" xfId="0" applyNumberFormat="1" applyBorder="1"/>
    <xf numFmtId="0" fontId="11" fillId="6" borderId="0" xfId="0" applyFont="1" applyFill="1" applyAlignment="1">
      <alignment horizontal="right" vertical="center" wrapText="1"/>
    </xf>
    <xf numFmtId="0" fontId="11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16" fillId="0" borderId="0" xfId="0" applyFont="1" applyBorder="1"/>
    <xf numFmtId="0" fontId="8" fillId="0" borderId="0" xfId="0" applyFont="1"/>
    <xf numFmtId="0" fontId="12" fillId="8" borderId="2" xfId="0" applyFont="1" applyFill="1" applyBorder="1" applyAlignment="1">
      <alignment horizontal="center" vertical="center" wrapText="1"/>
    </xf>
    <xf numFmtId="0" fontId="0" fillId="6" borderId="0" xfId="0" applyFill="1" applyBorder="1"/>
    <xf numFmtId="0" fontId="0" fillId="6" borderId="0" xfId="0" applyFont="1" applyFill="1" applyBorder="1"/>
    <xf numFmtId="0" fontId="0" fillId="0" borderId="0" xfId="0" applyFont="1" applyFill="1" applyBorder="1"/>
    <xf numFmtId="0" fontId="13" fillId="8" borderId="0" xfId="0" applyFont="1" applyFill="1" applyBorder="1" applyAlignment="1">
      <alignment horizontal="left" vertical="center" wrapText="1"/>
    </xf>
    <xf numFmtId="0" fontId="13" fillId="8" borderId="0" xfId="0" applyFont="1" applyFill="1" applyBorder="1" applyAlignment="1">
      <alignment horizontal="right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0" fillId="6" borderId="3" xfId="0" applyFill="1" applyBorder="1"/>
    <xf numFmtId="0" fontId="0" fillId="6" borderId="4" xfId="0" applyFill="1" applyBorder="1"/>
    <xf numFmtId="0" fontId="0" fillId="0" borderId="3" xfId="0" applyFill="1" applyBorder="1"/>
    <xf numFmtId="0" fontId="0" fillId="0" borderId="4" xfId="0" applyFill="1" applyBorder="1"/>
    <xf numFmtId="0" fontId="13" fillId="8" borderId="4" xfId="0" applyFont="1" applyFill="1" applyBorder="1" applyAlignment="1">
      <alignment horizontal="right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right" vertical="center" wrapText="1"/>
    </xf>
    <xf numFmtId="0" fontId="13" fillId="8" borderId="6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5" fillId="0" borderId="0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5" fillId="0" borderId="0" xfId="0" applyFont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3" fillId="8" borderId="2" xfId="0" quotePrefix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000000"/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abSelected="1" workbookViewId="0">
      <selection activeCell="A6" sqref="A6:K6"/>
    </sheetView>
  </sheetViews>
  <sheetFormatPr defaultRowHeight="15" x14ac:dyDescent="0.25"/>
  <cols>
    <col min="1" max="1" width="4.42578125" customWidth="1"/>
    <col min="2" max="2" width="23.42578125" customWidth="1"/>
    <col min="3" max="3" width="6.7109375" customWidth="1"/>
    <col min="4" max="4" width="7.5703125" customWidth="1"/>
    <col min="5" max="6" width="6.7109375" customWidth="1"/>
    <col min="7" max="7" width="7.28515625" customWidth="1"/>
    <col min="8" max="9" width="6.7109375" customWidth="1"/>
    <col min="10" max="10" width="7.42578125" customWidth="1"/>
    <col min="11" max="11" width="6.7109375" customWidth="1"/>
  </cols>
  <sheetData>
    <row r="1" spans="1:15" ht="18.75" customHeight="1" x14ac:dyDescent="0.25">
      <c r="A1" s="64" t="s">
        <v>119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5" ht="23.25" customHeight="1" x14ac:dyDescent="0.25">
      <c r="A2" s="64" t="s">
        <v>126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5" x14ac:dyDescent="0.25">
      <c r="A3" s="66" t="s">
        <v>115</v>
      </c>
      <c r="B3" s="66" t="s">
        <v>116</v>
      </c>
      <c r="C3" s="65" t="s">
        <v>44</v>
      </c>
      <c r="D3" s="65"/>
      <c r="E3" s="65"/>
      <c r="F3" s="65" t="s">
        <v>45</v>
      </c>
      <c r="G3" s="65"/>
      <c r="H3" s="65"/>
      <c r="I3" s="65" t="s">
        <v>37</v>
      </c>
      <c r="J3" s="65"/>
      <c r="K3" s="65"/>
    </row>
    <row r="4" spans="1:15" ht="22.5" customHeight="1" x14ac:dyDescent="0.25">
      <c r="A4" s="66"/>
      <c r="B4" s="66"/>
      <c r="C4" s="43" t="s">
        <v>35</v>
      </c>
      <c r="D4" s="43" t="s">
        <v>36</v>
      </c>
      <c r="E4" s="43" t="s">
        <v>37</v>
      </c>
      <c r="F4" s="43" t="s">
        <v>35</v>
      </c>
      <c r="G4" s="43" t="s">
        <v>36</v>
      </c>
      <c r="H4" s="43" t="s">
        <v>37</v>
      </c>
      <c r="I4" s="43" t="s">
        <v>35</v>
      </c>
      <c r="J4" s="43" t="s">
        <v>36</v>
      </c>
      <c r="K4" s="43" t="s">
        <v>37</v>
      </c>
    </row>
    <row r="5" spans="1:15" x14ac:dyDescent="0.25">
      <c r="A5" s="71" t="s">
        <v>128</v>
      </c>
      <c r="B5" s="71" t="s">
        <v>129</v>
      </c>
      <c r="C5" s="71" t="s">
        <v>130</v>
      </c>
      <c r="D5" s="71" t="s">
        <v>131</v>
      </c>
      <c r="E5" s="71" t="s">
        <v>132</v>
      </c>
      <c r="F5" s="71" t="s">
        <v>133</v>
      </c>
      <c r="G5" s="71" t="s">
        <v>134</v>
      </c>
      <c r="H5" s="71" t="s">
        <v>135</v>
      </c>
      <c r="I5" s="71" t="s">
        <v>136</v>
      </c>
      <c r="J5" s="71" t="s">
        <v>137</v>
      </c>
      <c r="K5" s="71" t="s">
        <v>138</v>
      </c>
    </row>
    <row r="6" spans="1:15" x14ac:dyDescent="0.25">
      <c r="A6" s="61" t="s">
        <v>122</v>
      </c>
      <c r="B6" s="62"/>
      <c r="C6" s="62"/>
      <c r="D6" s="62"/>
      <c r="E6" s="62"/>
      <c r="F6" s="62"/>
      <c r="G6" s="62"/>
      <c r="H6" s="62"/>
      <c r="I6" s="62"/>
      <c r="J6" s="62"/>
      <c r="K6" s="63"/>
    </row>
    <row r="7" spans="1:15" x14ac:dyDescent="0.25">
      <c r="A7" s="50">
        <v>1</v>
      </c>
      <c r="B7" s="45" t="s">
        <v>79</v>
      </c>
      <c r="C7" s="44">
        <v>29</v>
      </c>
      <c r="D7" s="44">
        <v>29</v>
      </c>
      <c r="E7" s="44">
        <f>C7+D7</f>
        <v>58</v>
      </c>
      <c r="F7" s="44">
        <v>1</v>
      </c>
      <c r="G7" s="44">
        <v>279</v>
      </c>
      <c r="H7" s="44">
        <f>F7+G7</f>
        <v>280</v>
      </c>
      <c r="I7" s="44">
        <v>30</v>
      </c>
      <c r="J7" s="44">
        <v>308</v>
      </c>
      <c r="K7" s="51">
        <f>I7+J7</f>
        <v>338</v>
      </c>
    </row>
    <row r="8" spans="1:15" x14ac:dyDescent="0.25">
      <c r="A8" s="52">
        <v>2</v>
      </c>
      <c r="B8" s="31" t="s">
        <v>80</v>
      </c>
      <c r="C8" s="31">
        <v>2</v>
      </c>
      <c r="D8" s="31">
        <v>1</v>
      </c>
      <c r="E8" s="31">
        <f t="shared" ref="E8:E34" si="0">C8+D8</f>
        <v>3</v>
      </c>
      <c r="F8" s="31">
        <v>0</v>
      </c>
      <c r="G8" s="31">
        <v>0</v>
      </c>
      <c r="H8" s="31">
        <f t="shared" ref="H8:H34" si="1">F8+G8</f>
        <v>0</v>
      </c>
      <c r="I8" s="31">
        <v>2</v>
      </c>
      <c r="J8" s="31">
        <v>1</v>
      </c>
      <c r="K8" s="53">
        <f t="shared" ref="K8:K34" si="2">I8+J8</f>
        <v>3</v>
      </c>
    </row>
    <row r="9" spans="1:15" x14ac:dyDescent="0.25">
      <c r="A9" s="50">
        <v>3</v>
      </c>
      <c r="B9" s="44" t="s">
        <v>117</v>
      </c>
      <c r="C9" s="44">
        <v>64</v>
      </c>
      <c r="D9" s="44">
        <v>151</v>
      </c>
      <c r="E9" s="44">
        <f t="shared" si="0"/>
        <v>215</v>
      </c>
      <c r="F9" s="44">
        <v>98</v>
      </c>
      <c r="G9" s="44">
        <v>147</v>
      </c>
      <c r="H9" s="44">
        <f t="shared" si="1"/>
        <v>245</v>
      </c>
      <c r="I9" s="44">
        <v>162</v>
      </c>
      <c r="J9" s="44">
        <v>298</v>
      </c>
      <c r="K9" s="51">
        <f t="shared" si="2"/>
        <v>460</v>
      </c>
    </row>
    <row r="10" spans="1:15" x14ac:dyDescent="0.25">
      <c r="A10" s="52">
        <v>4</v>
      </c>
      <c r="B10" s="46" t="s">
        <v>81</v>
      </c>
      <c r="C10" s="31">
        <v>233</v>
      </c>
      <c r="D10" s="31">
        <v>78</v>
      </c>
      <c r="E10" s="31">
        <f t="shared" si="0"/>
        <v>311</v>
      </c>
      <c r="F10" s="31">
        <v>2</v>
      </c>
      <c r="G10" s="31">
        <v>71</v>
      </c>
      <c r="H10" s="31">
        <f t="shared" si="1"/>
        <v>73</v>
      </c>
      <c r="I10" s="31">
        <v>235</v>
      </c>
      <c r="J10" s="31">
        <v>149</v>
      </c>
      <c r="K10" s="53">
        <f t="shared" si="2"/>
        <v>384</v>
      </c>
    </row>
    <row r="11" spans="1:15" x14ac:dyDescent="0.25">
      <c r="A11" s="50">
        <v>5</v>
      </c>
      <c r="B11" s="45" t="s">
        <v>82</v>
      </c>
      <c r="C11" s="44">
        <v>18</v>
      </c>
      <c r="D11" s="44">
        <v>25</v>
      </c>
      <c r="E11" s="44">
        <f t="shared" si="0"/>
        <v>43</v>
      </c>
      <c r="F11" s="44">
        <v>37</v>
      </c>
      <c r="G11" s="44">
        <v>16</v>
      </c>
      <c r="H11" s="44">
        <f t="shared" si="1"/>
        <v>53</v>
      </c>
      <c r="I11" s="44">
        <v>55</v>
      </c>
      <c r="J11" s="44">
        <v>41</v>
      </c>
      <c r="K11" s="51">
        <f t="shared" si="2"/>
        <v>96</v>
      </c>
    </row>
    <row r="12" spans="1:15" x14ac:dyDescent="0.25">
      <c r="A12" s="52">
        <v>6</v>
      </c>
      <c r="B12" s="31" t="s">
        <v>83</v>
      </c>
      <c r="C12" s="31">
        <v>0</v>
      </c>
      <c r="D12" s="31">
        <v>0</v>
      </c>
      <c r="E12" s="31">
        <f t="shared" si="0"/>
        <v>0</v>
      </c>
      <c r="F12" s="31">
        <v>0</v>
      </c>
      <c r="G12" s="31">
        <v>38</v>
      </c>
      <c r="H12" s="31">
        <f t="shared" si="1"/>
        <v>38</v>
      </c>
      <c r="I12" s="31">
        <v>0</v>
      </c>
      <c r="J12" s="31">
        <v>38</v>
      </c>
      <c r="K12" s="53">
        <f t="shared" si="2"/>
        <v>38</v>
      </c>
    </row>
    <row r="13" spans="1:15" x14ac:dyDescent="0.25">
      <c r="A13" s="50">
        <v>7</v>
      </c>
      <c r="B13" s="44" t="s">
        <v>84</v>
      </c>
      <c r="C13" s="44">
        <v>1</v>
      </c>
      <c r="D13" s="44">
        <v>4</v>
      </c>
      <c r="E13" s="44">
        <f t="shared" si="0"/>
        <v>5</v>
      </c>
      <c r="F13" s="44">
        <v>0</v>
      </c>
      <c r="G13" s="44">
        <v>11</v>
      </c>
      <c r="H13" s="44">
        <f t="shared" si="1"/>
        <v>11</v>
      </c>
      <c r="I13" s="44">
        <v>1</v>
      </c>
      <c r="J13" s="44">
        <v>15</v>
      </c>
      <c r="K13" s="51">
        <f t="shared" si="2"/>
        <v>16</v>
      </c>
      <c r="O13" t="s">
        <v>127</v>
      </c>
    </row>
    <row r="14" spans="1:15" x14ac:dyDescent="0.25">
      <c r="A14" s="52">
        <v>8</v>
      </c>
      <c r="B14" s="31" t="s">
        <v>85</v>
      </c>
      <c r="C14" s="31">
        <v>1</v>
      </c>
      <c r="D14" s="31">
        <v>20</v>
      </c>
      <c r="E14" s="31">
        <f t="shared" si="0"/>
        <v>21</v>
      </c>
      <c r="F14" s="31">
        <v>4</v>
      </c>
      <c r="G14" s="31">
        <v>20</v>
      </c>
      <c r="H14" s="31">
        <f t="shared" si="1"/>
        <v>24</v>
      </c>
      <c r="I14" s="31">
        <v>5</v>
      </c>
      <c r="J14" s="31">
        <v>40</v>
      </c>
      <c r="K14" s="53">
        <f t="shared" si="2"/>
        <v>45</v>
      </c>
    </row>
    <row r="15" spans="1:15" x14ac:dyDescent="0.25">
      <c r="A15" s="50">
        <v>9</v>
      </c>
      <c r="B15" s="44" t="s">
        <v>86</v>
      </c>
      <c r="C15" s="44">
        <v>0</v>
      </c>
      <c r="D15" s="44">
        <v>4</v>
      </c>
      <c r="E15" s="44">
        <f t="shared" si="0"/>
        <v>4</v>
      </c>
      <c r="F15" s="44">
        <v>0</v>
      </c>
      <c r="G15" s="44">
        <v>3</v>
      </c>
      <c r="H15" s="44">
        <f t="shared" si="1"/>
        <v>3</v>
      </c>
      <c r="I15" s="44">
        <v>0</v>
      </c>
      <c r="J15" s="44">
        <v>7</v>
      </c>
      <c r="K15" s="51">
        <f t="shared" si="2"/>
        <v>7</v>
      </c>
    </row>
    <row r="16" spans="1:15" x14ac:dyDescent="0.25">
      <c r="A16" s="52">
        <v>10</v>
      </c>
      <c r="B16" s="31" t="s">
        <v>87</v>
      </c>
      <c r="C16" s="31">
        <v>58</v>
      </c>
      <c r="D16" s="31">
        <v>88</v>
      </c>
      <c r="E16" s="31">
        <f t="shared" si="0"/>
        <v>146</v>
      </c>
      <c r="F16" s="31">
        <v>56</v>
      </c>
      <c r="G16" s="31">
        <v>48</v>
      </c>
      <c r="H16" s="31">
        <f t="shared" si="1"/>
        <v>104</v>
      </c>
      <c r="I16" s="31">
        <v>114</v>
      </c>
      <c r="J16" s="31">
        <v>136</v>
      </c>
      <c r="K16" s="53">
        <f t="shared" si="2"/>
        <v>250</v>
      </c>
    </row>
    <row r="17" spans="1:11" x14ac:dyDescent="0.25">
      <c r="A17" s="50">
        <v>11</v>
      </c>
      <c r="B17" s="44" t="s">
        <v>88</v>
      </c>
      <c r="C17" s="44">
        <v>1</v>
      </c>
      <c r="D17" s="44">
        <v>4</v>
      </c>
      <c r="E17" s="44">
        <f t="shared" si="0"/>
        <v>5</v>
      </c>
      <c r="F17" s="44">
        <v>38</v>
      </c>
      <c r="G17" s="44">
        <v>10</v>
      </c>
      <c r="H17" s="44">
        <f t="shared" si="1"/>
        <v>48</v>
      </c>
      <c r="I17" s="44">
        <v>39</v>
      </c>
      <c r="J17" s="44">
        <v>14</v>
      </c>
      <c r="K17" s="51">
        <f t="shared" si="2"/>
        <v>53</v>
      </c>
    </row>
    <row r="18" spans="1:11" x14ac:dyDescent="0.25">
      <c r="A18" s="52">
        <v>12</v>
      </c>
      <c r="B18" s="31" t="s">
        <v>89</v>
      </c>
      <c r="C18" s="31">
        <v>17</v>
      </c>
      <c r="D18" s="31">
        <v>202</v>
      </c>
      <c r="E18" s="31">
        <f t="shared" si="0"/>
        <v>219</v>
      </c>
      <c r="F18" s="31">
        <v>6</v>
      </c>
      <c r="G18" s="31">
        <v>37</v>
      </c>
      <c r="H18" s="31">
        <f t="shared" si="1"/>
        <v>43</v>
      </c>
      <c r="I18" s="31">
        <v>23</v>
      </c>
      <c r="J18" s="31">
        <v>239</v>
      </c>
      <c r="K18" s="53">
        <f t="shared" si="2"/>
        <v>262</v>
      </c>
    </row>
    <row r="19" spans="1:11" x14ac:dyDescent="0.25">
      <c r="A19" s="50">
        <v>13</v>
      </c>
      <c r="B19" s="44" t="s">
        <v>90</v>
      </c>
      <c r="C19" s="44">
        <v>31</v>
      </c>
      <c r="D19" s="44">
        <v>56</v>
      </c>
      <c r="E19" s="44">
        <f t="shared" si="0"/>
        <v>87</v>
      </c>
      <c r="F19" s="44">
        <v>22</v>
      </c>
      <c r="G19" s="44">
        <v>48</v>
      </c>
      <c r="H19" s="44">
        <f t="shared" si="1"/>
        <v>70</v>
      </c>
      <c r="I19" s="44">
        <v>53</v>
      </c>
      <c r="J19" s="44">
        <v>104</v>
      </c>
      <c r="K19" s="51">
        <f t="shared" si="2"/>
        <v>157</v>
      </c>
    </row>
    <row r="20" spans="1:11" x14ac:dyDescent="0.25">
      <c r="A20" s="52">
        <v>14</v>
      </c>
      <c r="B20" s="31" t="s">
        <v>91</v>
      </c>
      <c r="C20" s="31">
        <v>13</v>
      </c>
      <c r="D20" s="31">
        <v>39</v>
      </c>
      <c r="E20" s="31">
        <f t="shared" si="0"/>
        <v>52</v>
      </c>
      <c r="F20" s="31">
        <v>47</v>
      </c>
      <c r="G20" s="31">
        <v>819</v>
      </c>
      <c r="H20" s="31">
        <f t="shared" si="1"/>
        <v>866</v>
      </c>
      <c r="I20" s="31">
        <v>60</v>
      </c>
      <c r="J20" s="31">
        <v>858</v>
      </c>
      <c r="K20" s="53">
        <f t="shared" si="2"/>
        <v>918</v>
      </c>
    </row>
    <row r="21" spans="1:11" x14ac:dyDescent="0.25">
      <c r="A21" s="50">
        <v>15</v>
      </c>
      <c r="B21" s="44" t="s">
        <v>92</v>
      </c>
      <c r="C21" s="44">
        <v>1</v>
      </c>
      <c r="D21" s="44">
        <v>3</v>
      </c>
      <c r="E21" s="44">
        <f t="shared" si="0"/>
        <v>4</v>
      </c>
      <c r="F21" s="44">
        <v>0</v>
      </c>
      <c r="G21" s="44">
        <v>0</v>
      </c>
      <c r="H21" s="44">
        <f t="shared" si="1"/>
        <v>0</v>
      </c>
      <c r="I21" s="44">
        <v>1</v>
      </c>
      <c r="J21" s="44">
        <v>3</v>
      </c>
      <c r="K21" s="51">
        <f t="shared" si="2"/>
        <v>4</v>
      </c>
    </row>
    <row r="22" spans="1:11" x14ac:dyDescent="0.25">
      <c r="A22" s="52">
        <v>16</v>
      </c>
      <c r="B22" s="31" t="s">
        <v>93</v>
      </c>
      <c r="C22" s="31">
        <v>0</v>
      </c>
      <c r="D22" s="31">
        <v>1</v>
      </c>
      <c r="E22" s="31">
        <f t="shared" si="0"/>
        <v>1</v>
      </c>
      <c r="F22" s="31">
        <v>0</v>
      </c>
      <c r="G22" s="31">
        <v>1</v>
      </c>
      <c r="H22" s="31">
        <f t="shared" si="1"/>
        <v>1</v>
      </c>
      <c r="I22" s="31">
        <v>0</v>
      </c>
      <c r="J22" s="31">
        <v>2</v>
      </c>
      <c r="K22" s="53">
        <f t="shared" si="2"/>
        <v>2</v>
      </c>
    </row>
    <row r="23" spans="1:11" x14ac:dyDescent="0.25">
      <c r="A23" s="50">
        <v>17</v>
      </c>
      <c r="B23" s="44" t="s">
        <v>94</v>
      </c>
      <c r="C23" s="44">
        <v>0</v>
      </c>
      <c r="D23" s="44">
        <v>0</v>
      </c>
      <c r="E23" s="44">
        <f t="shared" si="0"/>
        <v>0</v>
      </c>
      <c r="F23" s="44">
        <v>0</v>
      </c>
      <c r="G23" s="44">
        <v>0</v>
      </c>
      <c r="H23" s="44">
        <f t="shared" si="1"/>
        <v>0</v>
      </c>
      <c r="I23" s="44">
        <v>0</v>
      </c>
      <c r="J23" s="44">
        <v>0</v>
      </c>
      <c r="K23" s="51">
        <f t="shared" si="2"/>
        <v>0</v>
      </c>
    </row>
    <row r="24" spans="1:11" x14ac:dyDescent="0.25">
      <c r="A24" s="52">
        <v>18</v>
      </c>
      <c r="B24" s="31" t="s">
        <v>95</v>
      </c>
      <c r="C24" s="31">
        <v>0</v>
      </c>
      <c r="D24" s="31">
        <v>0</v>
      </c>
      <c r="E24" s="31">
        <f t="shared" si="0"/>
        <v>0</v>
      </c>
      <c r="F24" s="31">
        <v>0</v>
      </c>
      <c r="G24" s="31">
        <v>0</v>
      </c>
      <c r="H24" s="31">
        <f t="shared" si="1"/>
        <v>0</v>
      </c>
      <c r="I24" s="31">
        <v>0</v>
      </c>
      <c r="J24" s="31">
        <v>0</v>
      </c>
      <c r="K24" s="53">
        <f t="shared" si="2"/>
        <v>0</v>
      </c>
    </row>
    <row r="25" spans="1:11" x14ac:dyDescent="0.25">
      <c r="A25" s="50">
        <v>19</v>
      </c>
      <c r="B25" s="45" t="s">
        <v>96</v>
      </c>
      <c r="C25" s="44">
        <v>206</v>
      </c>
      <c r="D25" s="44">
        <v>291</v>
      </c>
      <c r="E25" s="44">
        <f t="shared" si="0"/>
        <v>497</v>
      </c>
      <c r="F25" s="44">
        <v>534</v>
      </c>
      <c r="G25" s="44">
        <v>444</v>
      </c>
      <c r="H25" s="44">
        <f t="shared" si="1"/>
        <v>978</v>
      </c>
      <c r="I25" s="44">
        <v>740</v>
      </c>
      <c r="J25" s="44">
        <v>735</v>
      </c>
      <c r="K25" s="51">
        <f t="shared" si="2"/>
        <v>1475</v>
      </c>
    </row>
    <row r="26" spans="1:11" x14ac:dyDescent="0.25">
      <c r="A26" s="52">
        <v>20</v>
      </c>
      <c r="B26" s="31" t="s">
        <v>97</v>
      </c>
      <c r="C26" s="31">
        <v>3</v>
      </c>
      <c r="D26" s="31">
        <v>8</v>
      </c>
      <c r="E26" s="31">
        <f t="shared" si="0"/>
        <v>11</v>
      </c>
      <c r="F26" s="31">
        <v>1</v>
      </c>
      <c r="G26" s="31">
        <v>13</v>
      </c>
      <c r="H26" s="31">
        <f t="shared" si="1"/>
        <v>14</v>
      </c>
      <c r="I26" s="31">
        <v>4</v>
      </c>
      <c r="J26" s="31">
        <v>21</v>
      </c>
      <c r="K26" s="53">
        <f t="shared" si="2"/>
        <v>25</v>
      </c>
    </row>
    <row r="27" spans="1:11" x14ac:dyDescent="0.25">
      <c r="A27" s="50">
        <v>21</v>
      </c>
      <c r="B27" s="44" t="s">
        <v>98</v>
      </c>
      <c r="C27" s="44">
        <v>395</v>
      </c>
      <c r="D27" s="44">
        <v>22</v>
      </c>
      <c r="E27" s="44">
        <f t="shared" si="0"/>
        <v>417</v>
      </c>
      <c r="F27" s="44">
        <v>0</v>
      </c>
      <c r="G27" s="44">
        <v>3</v>
      </c>
      <c r="H27" s="44">
        <f t="shared" si="1"/>
        <v>3</v>
      </c>
      <c r="I27" s="44">
        <v>395</v>
      </c>
      <c r="J27" s="44">
        <v>25</v>
      </c>
      <c r="K27" s="51">
        <f t="shared" si="2"/>
        <v>420</v>
      </c>
    </row>
    <row r="28" spans="1:11" x14ac:dyDescent="0.25">
      <c r="A28" s="52">
        <v>22</v>
      </c>
      <c r="B28" s="31" t="s">
        <v>118</v>
      </c>
      <c r="C28" s="31">
        <v>0</v>
      </c>
      <c r="D28" s="31">
        <v>0</v>
      </c>
      <c r="E28" s="31">
        <f t="shared" si="0"/>
        <v>0</v>
      </c>
      <c r="F28" s="31">
        <v>0</v>
      </c>
      <c r="G28" s="31">
        <v>0</v>
      </c>
      <c r="H28" s="31">
        <f t="shared" si="1"/>
        <v>0</v>
      </c>
      <c r="I28" s="31">
        <v>0</v>
      </c>
      <c r="J28" s="31">
        <v>0</v>
      </c>
      <c r="K28" s="53">
        <f t="shared" si="2"/>
        <v>0</v>
      </c>
    </row>
    <row r="29" spans="1:11" x14ac:dyDescent="0.25">
      <c r="A29" s="50">
        <v>23</v>
      </c>
      <c r="B29" s="44" t="s">
        <v>99</v>
      </c>
      <c r="C29" s="44">
        <v>14</v>
      </c>
      <c r="D29" s="44">
        <v>2</v>
      </c>
      <c r="E29" s="44">
        <f t="shared" si="0"/>
        <v>16</v>
      </c>
      <c r="F29" s="44">
        <v>0</v>
      </c>
      <c r="G29" s="44">
        <v>0</v>
      </c>
      <c r="H29" s="44">
        <f t="shared" si="1"/>
        <v>0</v>
      </c>
      <c r="I29" s="44">
        <v>14</v>
      </c>
      <c r="J29" s="44">
        <v>2</v>
      </c>
      <c r="K29" s="51">
        <f t="shared" si="2"/>
        <v>16</v>
      </c>
    </row>
    <row r="30" spans="1:11" x14ac:dyDescent="0.25">
      <c r="A30" s="52">
        <v>24</v>
      </c>
      <c r="B30" s="31" t="s">
        <v>100</v>
      </c>
      <c r="C30" s="31">
        <v>137</v>
      </c>
      <c r="D30" s="31">
        <v>85</v>
      </c>
      <c r="E30" s="31">
        <f t="shared" si="0"/>
        <v>222</v>
      </c>
      <c r="F30" s="31">
        <v>0</v>
      </c>
      <c r="G30" s="31">
        <v>574</v>
      </c>
      <c r="H30" s="31">
        <f t="shared" si="1"/>
        <v>574</v>
      </c>
      <c r="I30" s="31">
        <v>137</v>
      </c>
      <c r="J30" s="31">
        <v>659</v>
      </c>
      <c r="K30" s="53">
        <f t="shared" si="2"/>
        <v>796</v>
      </c>
    </row>
    <row r="31" spans="1:11" x14ac:dyDescent="0.25">
      <c r="A31" s="50">
        <v>25</v>
      </c>
      <c r="B31" s="44" t="s">
        <v>101</v>
      </c>
      <c r="C31" s="44">
        <v>0</v>
      </c>
      <c r="D31" s="44">
        <v>0</v>
      </c>
      <c r="E31" s="44">
        <f t="shared" si="0"/>
        <v>0</v>
      </c>
      <c r="F31" s="44">
        <v>0</v>
      </c>
      <c r="G31" s="44">
        <v>1</v>
      </c>
      <c r="H31" s="44">
        <f t="shared" si="1"/>
        <v>1</v>
      </c>
      <c r="I31" s="44">
        <v>0</v>
      </c>
      <c r="J31" s="44">
        <v>1</v>
      </c>
      <c r="K31" s="51">
        <f t="shared" si="2"/>
        <v>1</v>
      </c>
    </row>
    <row r="32" spans="1:11" x14ac:dyDescent="0.25">
      <c r="A32" s="52">
        <v>26</v>
      </c>
      <c r="B32" s="31" t="s">
        <v>102</v>
      </c>
      <c r="C32" s="31">
        <v>1</v>
      </c>
      <c r="D32" s="31">
        <v>39</v>
      </c>
      <c r="E32" s="31">
        <f t="shared" si="0"/>
        <v>40</v>
      </c>
      <c r="F32" s="31">
        <v>2</v>
      </c>
      <c r="G32" s="31">
        <v>79</v>
      </c>
      <c r="H32" s="31">
        <f t="shared" si="1"/>
        <v>81</v>
      </c>
      <c r="I32" s="31">
        <v>3</v>
      </c>
      <c r="J32" s="31">
        <v>118</v>
      </c>
      <c r="K32" s="53">
        <f t="shared" si="2"/>
        <v>121</v>
      </c>
    </row>
    <row r="33" spans="1:11" x14ac:dyDescent="0.25">
      <c r="A33" s="50">
        <v>27</v>
      </c>
      <c r="B33" s="44" t="s">
        <v>103</v>
      </c>
      <c r="C33" s="44">
        <v>0</v>
      </c>
      <c r="D33" s="44">
        <v>9</v>
      </c>
      <c r="E33" s="44">
        <f t="shared" si="0"/>
        <v>9</v>
      </c>
      <c r="F33" s="44">
        <v>0</v>
      </c>
      <c r="G33" s="44">
        <v>13</v>
      </c>
      <c r="H33" s="44">
        <f t="shared" si="1"/>
        <v>13</v>
      </c>
      <c r="I33" s="44">
        <v>0</v>
      </c>
      <c r="J33" s="44">
        <v>22</v>
      </c>
      <c r="K33" s="51">
        <f t="shared" si="2"/>
        <v>22</v>
      </c>
    </row>
    <row r="34" spans="1:11" x14ac:dyDescent="0.25">
      <c r="A34" s="52">
        <v>28</v>
      </c>
      <c r="B34" s="31" t="s">
        <v>64</v>
      </c>
      <c r="C34" s="31">
        <v>6</v>
      </c>
      <c r="D34" s="31">
        <v>44</v>
      </c>
      <c r="E34" s="31">
        <f t="shared" si="0"/>
        <v>50</v>
      </c>
      <c r="F34" s="31">
        <v>0</v>
      </c>
      <c r="G34" s="31">
        <v>34</v>
      </c>
      <c r="H34" s="31">
        <f t="shared" si="1"/>
        <v>34</v>
      </c>
      <c r="I34" s="31">
        <v>6</v>
      </c>
      <c r="J34" s="31">
        <v>78</v>
      </c>
      <c r="K34" s="53">
        <f t="shared" si="2"/>
        <v>84</v>
      </c>
    </row>
    <row r="35" spans="1:11" x14ac:dyDescent="0.25">
      <c r="A35" s="49"/>
      <c r="B35" s="47" t="s">
        <v>104</v>
      </c>
      <c r="C35" s="48">
        <f>SUM(C7:C34)</f>
        <v>1231</v>
      </c>
      <c r="D35" s="48">
        <f t="shared" ref="D35:K35" si="3">SUM(D7:D34)</f>
        <v>1205</v>
      </c>
      <c r="E35" s="48">
        <f t="shared" si="3"/>
        <v>2436</v>
      </c>
      <c r="F35" s="48">
        <f t="shared" si="3"/>
        <v>848</v>
      </c>
      <c r="G35" s="48">
        <f t="shared" si="3"/>
        <v>2709</v>
      </c>
      <c r="H35" s="48">
        <f t="shared" si="3"/>
        <v>3557</v>
      </c>
      <c r="I35" s="48">
        <f t="shared" si="3"/>
        <v>2079</v>
      </c>
      <c r="J35" s="48">
        <f t="shared" si="3"/>
        <v>3914</v>
      </c>
      <c r="K35" s="54">
        <f t="shared" si="3"/>
        <v>5993</v>
      </c>
    </row>
    <row r="36" spans="1:11" ht="15" customHeight="1" x14ac:dyDescent="0.25">
      <c r="A36" s="61" t="s">
        <v>105</v>
      </c>
      <c r="B36" s="62"/>
      <c r="C36" s="62"/>
      <c r="D36" s="62"/>
      <c r="E36" s="62"/>
      <c r="F36" s="62"/>
      <c r="G36" s="62"/>
      <c r="H36" s="62"/>
      <c r="I36" s="62"/>
      <c r="J36" s="62"/>
      <c r="K36" s="63"/>
    </row>
    <row r="37" spans="1:11" x14ac:dyDescent="0.25">
      <c r="A37" s="50">
        <v>29</v>
      </c>
      <c r="B37" s="44" t="s">
        <v>106</v>
      </c>
      <c r="C37" s="44">
        <v>0</v>
      </c>
      <c r="D37" s="44">
        <v>0</v>
      </c>
      <c r="E37" s="44">
        <f>C37+D37</f>
        <v>0</v>
      </c>
      <c r="F37" s="44">
        <v>0</v>
      </c>
      <c r="G37" s="44">
        <v>0</v>
      </c>
      <c r="H37" s="44">
        <f>F37+G37</f>
        <v>0</v>
      </c>
      <c r="I37" s="44">
        <v>0</v>
      </c>
      <c r="J37" s="44">
        <v>0</v>
      </c>
      <c r="K37" s="51">
        <f>I37+J37</f>
        <v>0</v>
      </c>
    </row>
    <row r="38" spans="1:11" x14ac:dyDescent="0.25">
      <c r="A38" s="52">
        <v>30</v>
      </c>
      <c r="B38" s="31" t="s">
        <v>107</v>
      </c>
      <c r="C38" s="31">
        <v>1</v>
      </c>
      <c r="D38" s="31">
        <v>1</v>
      </c>
      <c r="E38" s="31">
        <f t="shared" ref="E38:E44" si="4">C38+D38</f>
        <v>2</v>
      </c>
      <c r="F38" s="31">
        <v>0</v>
      </c>
      <c r="G38" s="31">
        <v>0</v>
      </c>
      <c r="H38" s="31">
        <f t="shared" ref="H38:H44" si="5">F38+G38</f>
        <v>0</v>
      </c>
      <c r="I38" s="31">
        <v>1</v>
      </c>
      <c r="J38" s="31">
        <v>1</v>
      </c>
      <c r="K38" s="53">
        <f t="shared" ref="K38:K44" si="6">I38+J38</f>
        <v>2</v>
      </c>
    </row>
    <row r="39" spans="1:11" x14ac:dyDescent="0.25">
      <c r="A39" s="50">
        <v>31</v>
      </c>
      <c r="B39" s="44" t="s">
        <v>124</v>
      </c>
      <c r="C39" s="44">
        <v>0</v>
      </c>
      <c r="D39" s="44">
        <v>0</v>
      </c>
      <c r="E39" s="44">
        <f t="shared" si="4"/>
        <v>0</v>
      </c>
      <c r="F39" s="44">
        <v>0</v>
      </c>
      <c r="G39" s="44">
        <v>0</v>
      </c>
      <c r="H39" s="44">
        <f t="shared" si="5"/>
        <v>0</v>
      </c>
      <c r="I39" s="44">
        <v>0</v>
      </c>
      <c r="J39" s="44">
        <v>0</v>
      </c>
      <c r="K39" s="51">
        <f t="shared" si="6"/>
        <v>0</v>
      </c>
    </row>
    <row r="40" spans="1:11" x14ac:dyDescent="0.25">
      <c r="A40" s="52">
        <v>32</v>
      </c>
      <c r="B40" s="31" t="s">
        <v>108</v>
      </c>
      <c r="C40" s="31">
        <v>337</v>
      </c>
      <c r="D40" s="31">
        <v>100</v>
      </c>
      <c r="E40" s="31">
        <f t="shared" si="4"/>
        <v>437</v>
      </c>
      <c r="F40" s="31">
        <v>29</v>
      </c>
      <c r="G40" s="31">
        <v>43</v>
      </c>
      <c r="H40" s="31">
        <f t="shared" si="5"/>
        <v>72</v>
      </c>
      <c r="I40" s="31">
        <v>366</v>
      </c>
      <c r="J40" s="31">
        <v>143</v>
      </c>
      <c r="K40" s="53">
        <f t="shared" si="6"/>
        <v>509</v>
      </c>
    </row>
    <row r="41" spans="1:11" x14ac:dyDescent="0.25">
      <c r="A41" s="50">
        <v>33</v>
      </c>
      <c r="B41" s="44" t="s">
        <v>8</v>
      </c>
      <c r="C41" s="44">
        <v>1</v>
      </c>
      <c r="D41" s="44">
        <v>1</v>
      </c>
      <c r="E41" s="44">
        <f t="shared" si="4"/>
        <v>2</v>
      </c>
      <c r="F41" s="44">
        <v>16</v>
      </c>
      <c r="G41" s="44">
        <v>3</v>
      </c>
      <c r="H41" s="44">
        <f t="shared" si="5"/>
        <v>19</v>
      </c>
      <c r="I41" s="44">
        <v>17</v>
      </c>
      <c r="J41" s="44">
        <v>4</v>
      </c>
      <c r="K41" s="51">
        <f t="shared" si="6"/>
        <v>21</v>
      </c>
    </row>
    <row r="42" spans="1:11" x14ac:dyDescent="0.25">
      <c r="A42" s="52">
        <v>34</v>
      </c>
      <c r="B42" s="31" t="s">
        <v>125</v>
      </c>
      <c r="C42" s="31">
        <v>0</v>
      </c>
      <c r="D42" s="31">
        <v>0</v>
      </c>
      <c r="E42" s="31">
        <f t="shared" si="4"/>
        <v>0</v>
      </c>
      <c r="F42" s="31">
        <v>0</v>
      </c>
      <c r="G42" s="31">
        <v>0</v>
      </c>
      <c r="H42" s="31">
        <f t="shared" si="5"/>
        <v>0</v>
      </c>
      <c r="I42" s="31">
        <v>0</v>
      </c>
      <c r="J42" s="31">
        <v>0</v>
      </c>
      <c r="K42" s="53">
        <f t="shared" si="6"/>
        <v>0</v>
      </c>
    </row>
    <row r="43" spans="1:11" x14ac:dyDescent="0.25">
      <c r="A43" s="50">
        <v>35</v>
      </c>
      <c r="B43" s="44" t="s">
        <v>109</v>
      </c>
      <c r="C43" s="44">
        <v>0</v>
      </c>
      <c r="D43" s="44">
        <v>0</v>
      </c>
      <c r="E43" s="44">
        <f t="shared" si="4"/>
        <v>0</v>
      </c>
      <c r="F43" s="44">
        <v>0</v>
      </c>
      <c r="G43" s="44">
        <v>0</v>
      </c>
      <c r="H43" s="44">
        <f t="shared" si="5"/>
        <v>0</v>
      </c>
      <c r="I43" s="44">
        <v>0</v>
      </c>
      <c r="J43" s="44">
        <v>0</v>
      </c>
      <c r="K43" s="51">
        <f t="shared" si="6"/>
        <v>0</v>
      </c>
    </row>
    <row r="44" spans="1:11" x14ac:dyDescent="0.25">
      <c r="A44" s="52">
        <v>36</v>
      </c>
      <c r="B44" s="31" t="s">
        <v>110</v>
      </c>
      <c r="C44" s="31">
        <v>0</v>
      </c>
      <c r="D44" s="31">
        <v>0</v>
      </c>
      <c r="E44" s="31">
        <f t="shared" si="4"/>
        <v>0</v>
      </c>
      <c r="F44" s="31">
        <v>8</v>
      </c>
      <c r="G44" s="31">
        <v>0</v>
      </c>
      <c r="H44" s="31">
        <f t="shared" si="5"/>
        <v>8</v>
      </c>
      <c r="I44" s="31">
        <v>8</v>
      </c>
      <c r="J44" s="31">
        <v>0</v>
      </c>
      <c r="K44" s="53">
        <f t="shared" si="6"/>
        <v>8</v>
      </c>
    </row>
    <row r="45" spans="1:11" x14ac:dyDescent="0.25">
      <c r="A45" s="49"/>
      <c r="B45" s="47" t="s">
        <v>111</v>
      </c>
      <c r="C45" s="48">
        <f>SUM(C37:C44)</f>
        <v>339</v>
      </c>
      <c r="D45" s="48">
        <f t="shared" ref="D45:K45" si="7">SUM(D37:D44)</f>
        <v>102</v>
      </c>
      <c r="E45" s="48">
        <f t="shared" si="7"/>
        <v>441</v>
      </c>
      <c r="F45" s="48">
        <f t="shared" si="7"/>
        <v>53</v>
      </c>
      <c r="G45" s="48">
        <f t="shared" si="7"/>
        <v>46</v>
      </c>
      <c r="H45" s="48">
        <f t="shared" si="7"/>
        <v>99</v>
      </c>
      <c r="I45" s="48">
        <f t="shared" si="7"/>
        <v>392</v>
      </c>
      <c r="J45" s="48">
        <f t="shared" si="7"/>
        <v>148</v>
      </c>
      <c r="K45" s="54">
        <f t="shared" si="7"/>
        <v>540</v>
      </c>
    </row>
    <row r="46" spans="1:11" x14ac:dyDescent="0.25">
      <c r="A46" s="55"/>
      <c r="B46" s="56" t="s">
        <v>112</v>
      </c>
      <c r="C46" s="57">
        <f>SUM(C35,C45)</f>
        <v>1570</v>
      </c>
      <c r="D46" s="57">
        <f t="shared" ref="D46:K46" si="8">SUM(D35,D45)</f>
        <v>1307</v>
      </c>
      <c r="E46" s="57">
        <f t="shared" si="8"/>
        <v>2877</v>
      </c>
      <c r="F46" s="57">
        <f t="shared" si="8"/>
        <v>901</v>
      </c>
      <c r="G46" s="57">
        <f t="shared" si="8"/>
        <v>2755</v>
      </c>
      <c r="H46" s="57">
        <f t="shared" si="8"/>
        <v>3656</v>
      </c>
      <c r="I46" s="57">
        <f t="shared" si="8"/>
        <v>2471</v>
      </c>
      <c r="J46" s="57">
        <f t="shared" si="8"/>
        <v>4062</v>
      </c>
      <c r="K46" s="58">
        <f t="shared" si="8"/>
        <v>6533</v>
      </c>
    </row>
    <row r="47" spans="1:11" ht="15" customHeight="1" x14ac:dyDescent="0.25">
      <c r="A47" s="60" t="s">
        <v>123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</row>
    <row r="48" spans="1:11" x14ac:dyDescent="0.25">
      <c r="A48" s="32" t="s">
        <v>120</v>
      </c>
      <c r="B48" s="42" t="s">
        <v>121</v>
      </c>
      <c r="C48" s="41"/>
      <c r="D48" s="1"/>
      <c r="E48" s="1"/>
    </row>
    <row r="50" spans="4:5" x14ac:dyDescent="0.25">
      <c r="D50" s="59"/>
      <c r="E50" s="59"/>
    </row>
  </sheetData>
  <mergeCells count="11">
    <mergeCell ref="D50:E50"/>
    <mergeCell ref="A47:K47"/>
    <mergeCell ref="A36:K36"/>
    <mergeCell ref="A6:K6"/>
    <mergeCell ref="A1:K1"/>
    <mergeCell ref="A2:K2"/>
    <mergeCell ref="I3:K3"/>
    <mergeCell ref="A3:A4"/>
    <mergeCell ref="B3:B4"/>
    <mergeCell ref="C3:E3"/>
    <mergeCell ref="F3:H3"/>
  </mergeCells>
  <printOptions horizontalCentered="1"/>
  <pageMargins left="0.41599999999999998" right="0.41599999999999998" top="0.41599999999999998" bottom="0.41599999999999998" header="0.41599999999999998" footer="0.41599999999999998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67" t="s">
        <v>67</v>
      </c>
      <c r="B1" s="67"/>
      <c r="C1" s="67"/>
      <c r="D1" s="67"/>
      <c r="E1" s="67"/>
      <c r="F1" s="67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68" t="s">
        <v>78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22" x14ac:dyDescent="0.25">
      <c r="A2" s="69" t="s">
        <v>42</v>
      </c>
      <c r="B2" s="69" t="s">
        <v>43</v>
      </c>
      <c r="C2" s="70" t="s">
        <v>44</v>
      </c>
      <c r="D2" s="70"/>
      <c r="E2" s="70"/>
      <c r="F2" s="70" t="s">
        <v>45</v>
      </c>
      <c r="G2" s="70"/>
      <c r="H2" s="70"/>
      <c r="I2" s="70" t="s">
        <v>37</v>
      </c>
      <c r="J2" s="70"/>
      <c r="K2" s="70"/>
    </row>
    <row r="3" spans="1:22" x14ac:dyDescent="0.25">
      <c r="A3" s="69"/>
      <c r="B3" s="69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113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68" t="s">
        <v>69</v>
      </c>
      <c r="B1" s="68"/>
      <c r="C1" s="68"/>
      <c r="D1" s="68"/>
      <c r="E1" s="68"/>
      <c r="F1" s="68"/>
      <c r="G1" s="68"/>
      <c r="H1" s="68"/>
      <c r="I1" s="68"/>
      <c r="J1" s="68"/>
    </row>
    <row r="2" spans="1:13" x14ac:dyDescent="0.25">
      <c r="A2" s="69" t="s">
        <v>42</v>
      </c>
      <c r="B2" s="69" t="s">
        <v>43</v>
      </c>
      <c r="C2" s="69" t="s">
        <v>50</v>
      </c>
      <c r="D2" s="70" t="s">
        <v>51</v>
      </c>
      <c r="E2" s="70"/>
      <c r="F2" s="70"/>
      <c r="G2" s="70" t="s">
        <v>52</v>
      </c>
      <c r="H2" s="70"/>
      <c r="I2" s="70"/>
      <c r="J2" s="70"/>
    </row>
    <row r="3" spans="1:13" ht="78.75" customHeight="1" x14ac:dyDescent="0.25">
      <c r="A3" s="69"/>
      <c r="B3" s="69"/>
      <c r="C3" s="69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70</v>
      </c>
    </row>
    <row r="36" spans="1:10" x14ac:dyDescent="0.25">
      <c r="A36" s="16">
        <v>32</v>
      </c>
      <c r="B36" s="6" t="s">
        <v>77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6" t="s">
        <v>70</v>
      </c>
      <c r="G39" s="18">
        <v>0</v>
      </c>
      <c r="H39" s="18">
        <v>0</v>
      </c>
      <c r="I39" s="18"/>
      <c r="J39" s="37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70</v>
      </c>
      <c r="G40" s="18">
        <v>0</v>
      </c>
      <c r="H40" s="6">
        <v>0</v>
      </c>
      <c r="I40" s="6">
        <f t="shared" ref="I40:I42" si="4">G40+H40</f>
        <v>0</v>
      </c>
      <c r="J40" s="36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114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14.2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2022-06-28T07:17:24Z</dcterms:modified>
</cp:coreProperties>
</file>