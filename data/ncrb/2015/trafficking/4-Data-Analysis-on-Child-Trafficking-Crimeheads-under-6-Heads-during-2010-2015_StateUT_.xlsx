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9440" windowHeight="10035"/>
  </bookViews>
  <sheets>
    <sheet name="ChildTrafficking" sheetId="4" r:id="rId1"/>
    <sheet name="Sheet1" sheetId="1" r:id="rId2"/>
    <sheet name="Sheet2" sheetId="2" r:id="rId3"/>
    <sheet name="Sheet3" sheetId="3" r:id="rId4"/>
  </sheets>
  <definedNames>
    <definedName name="_xlnm.Print_Area" localSheetId="0">ChildTrafficking!$A$1:$CJ$43</definedName>
  </definedNames>
  <calcPr calcId="145621"/>
</workbook>
</file>

<file path=xl/calcChain.xml><?xml version="1.0" encoding="utf-8"?>
<calcChain xmlns="http://schemas.openxmlformats.org/spreadsheetml/2006/main">
  <c r="CE5" i="4" l="1"/>
  <c r="CF5" i="4"/>
  <c r="CG5" i="4"/>
  <c r="CH5" i="4"/>
  <c r="CI5" i="4"/>
  <c r="CJ5" i="4"/>
  <c r="CE6" i="4"/>
  <c r="CF6" i="4"/>
  <c r="CG6" i="4"/>
  <c r="CH6" i="4"/>
  <c r="CI6" i="4"/>
  <c r="CJ6" i="4"/>
  <c r="CE7" i="4"/>
  <c r="CF7" i="4"/>
  <c r="CG7" i="4"/>
  <c r="CH7" i="4"/>
  <c r="CI7" i="4"/>
  <c r="CJ7" i="4"/>
  <c r="CE8" i="4"/>
  <c r="CF8" i="4"/>
  <c r="CG8" i="4"/>
  <c r="CH8" i="4"/>
  <c r="CI8" i="4"/>
  <c r="CJ8" i="4"/>
  <c r="CE9" i="4"/>
  <c r="CF9" i="4"/>
  <c r="CG9" i="4"/>
  <c r="CH9" i="4"/>
  <c r="CI9" i="4"/>
  <c r="CJ9" i="4"/>
  <c r="CE10" i="4"/>
  <c r="CF10" i="4"/>
  <c r="CG10" i="4"/>
  <c r="CH10" i="4"/>
  <c r="CI10" i="4"/>
  <c r="CJ10" i="4"/>
  <c r="CE11" i="4"/>
  <c r="CF11" i="4"/>
  <c r="CG11" i="4"/>
  <c r="CH11" i="4"/>
  <c r="CI11" i="4"/>
  <c r="CJ11" i="4"/>
  <c r="CE12" i="4"/>
  <c r="CF12" i="4"/>
  <c r="CG12" i="4"/>
  <c r="CH12" i="4"/>
  <c r="CI12" i="4"/>
  <c r="CJ12" i="4"/>
  <c r="CE13" i="4"/>
  <c r="CF13" i="4"/>
  <c r="CG13" i="4"/>
  <c r="CH13" i="4"/>
  <c r="CI13" i="4"/>
  <c r="CJ13" i="4"/>
  <c r="CE14" i="4"/>
  <c r="CF14" i="4"/>
  <c r="CG14" i="4"/>
  <c r="CH14" i="4"/>
  <c r="CI14" i="4"/>
  <c r="CJ14" i="4"/>
  <c r="CE15" i="4"/>
  <c r="CF15" i="4"/>
  <c r="CG15" i="4"/>
  <c r="CH15" i="4"/>
  <c r="CI15" i="4"/>
  <c r="CJ15" i="4"/>
  <c r="CE16" i="4"/>
  <c r="CF16" i="4"/>
  <c r="CG16" i="4"/>
  <c r="CH16" i="4"/>
  <c r="CI16" i="4"/>
  <c r="CJ16" i="4"/>
  <c r="CE17" i="4"/>
  <c r="CF17" i="4"/>
  <c r="CG17" i="4"/>
  <c r="CH17" i="4"/>
  <c r="CI17" i="4"/>
  <c r="CJ17" i="4"/>
  <c r="CE18" i="4"/>
  <c r="CF18" i="4"/>
  <c r="CG18" i="4"/>
  <c r="CH18" i="4"/>
  <c r="CI18" i="4"/>
  <c r="CJ18" i="4"/>
  <c r="CE19" i="4"/>
  <c r="CF19" i="4"/>
  <c r="CG19" i="4"/>
  <c r="CH19" i="4"/>
  <c r="CI19" i="4"/>
  <c r="CJ19" i="4"/>
  <c r="CE20" i="4"/>
  <c r="CF20" i="4"/>
  <c r="CG20" i="4"/>
  <c r="CH20" i="4"/>
  <c r="CI20" i="4"/>
  <c r="CJ20" i="4"/>
  <c r="CE21" i="4"/>
  <c r="CF21" i="4"/>
  <c r="CG21" i="4"/>
  <c r="CH21" i="4"/>
  <c r="CI21" i="4"/>
  <c r="CJ21" i="4"/>
  <c r="CE22" i="4"/>
  <c r="CF22" i="4"/>
  <c r="CG22" i="4"/>
  <c r="CH22" i="4"/>
  <c r="CI22" i="4"/>
  <c r="CJ22" i="4"/>
  <c r="CE23" i="4"/>
  <c r="CF23" i="4"/>
  <c r="CG23" i="4"/>
  <c r="CH23" i="4"/>
  <c r="CI23" i="4"/>
  <c r="CJ23" i="4"/>
  <c r="CE24" i="4"/>
  <c r="CF24" i="4"/>
  <c r="CG24" i="4"/>
  <c r="CH24" i="4"/>
  <c r="CI24" i="4"/>
  <c r="CJ24" i="4"/>
  <c r="CE25" i="4"/>
  <c r="CF25" i="4"/>
  <c r="CG25" i="4"/>
  <c r="CH25" i="4"/>
  <c r="CI25" i="4"/>
  <c r="CJ25" i="4"/>
  <c r="CE26" i="4"/>
  <c r="CF26" i="4"/>
  <c r="CG26" i="4"/>
  <c r="CH26" i="4"/>
  <c r="CI26" i="4"/>
  <c r="CJ26" i="4"/>
  <c r="CE27" i="4"/>
  <c r="CF27" i="4"/>
  <c r="CG27" i="4"/>
  <c r="CH27" i="4"/>
  <c r="CI27" i="4"/>
  <c r="CJ27" i="4"/>
  <c r="CE28" i="4"/>
  <c r="CF28" i="4"/>
  <c r="CG28" i="4"/>
  <c r="CH28" i="4"/>
  <c r="CI28" i="4"/>
  <c r="CJ28" i="4"/>
  <c r="CE29" i="4"/>
  <c r="CF29" i="4"/>
  <c r="CG29" i="4"/>
  <c r="CH29" i="4"/>
  <c r="CI29" i="4"/>
  <c r="CJ29" i="4"/>
  <c r="CE30" i="4"/>
  <c r="CF30" i="4"/>
  <c r="CG30" i="4"/>
  <c r="CH30" i="4"/>
  <c r="CI30" i="4"/>
  <c r="CJ30" i="4"/>
  <c r="CE31" i="4"/>
  <c r="CF31" i="4"/>
  <c r="CG31" i="4"/>
  <c r="CH31" i="4"/>
  <c r="CI31" i="4"/>
  <c r="CJ31" i="4"/>
  <c r="CE32" i="4"/>
  <c r="CF32" i="4"/>
  <c r="CG32" i="4"/>
  <c r="CH32" i="4"/>
  <c r="CI32" i="4"/>
  <c r="CJ32" i="4"/>
  <c r="CE33" i="4"/>
  <c r="CF33" i="4"/>
  <c r="CG33" i="4"/>
  <c r="CH33" i="4"/>
  <c r="CI33" i="4"/>
  <c r="CJ33" i="4"/>
  <c r="CE34" i="4"/>
  <c r="CF34" i="4"/>
  <c r="CG34" i="4"/>
  <c r="CH34" i="4"/>
  <c r="CI34" i="4"/>
  <c r="CJ34" i="4"/>
  <c r="CE35" i="4"/>
  <c r="CF35" i="4"/>
  <c r="CG35" i="4"/>
  <c r="CH35" i="4"/>
  <c r="CI35" i="4"/>
  <c r="CJ35" i="4"/>
  <c r="CE36" i="4"/>
  <c r="CF36" i="4"/>
  <c r="CG36" i="4"/>
  <c r="CH36" i="4"/>
  <c r="CI36" i="4"/>
  <c r="CJ36" i="4"/>
  <c r="CE37" i="4"/>
  <c r="CF37" i="4"/>
  <c r="CG37" i="4"/>
  <c r="CH37" i="4"/>
  <c r="CI37" i="4"/>
  <c r="CJ37" i="4"/>
  <c r="CE38" i="4"/>
  <c r="CF38" i="4"/>
  <c r="CG38" i="4"/>
  <c r="CH38" i="4"/>
  <c r="CI38" i="4"/>
  <c r="CJ38" i="4"/>
  <c r="CE39" i="4"/>
  <c r="CF39" i="4"/>
  <c r="CG39" i="4"/>
  <c r="CH39" i="4"/>
  <c r="CI39" i="4"/>
  <c r="CJ39" i="4"/>
  <c r="CE40" i="4"/>
  <c r="CF40" i="4"/>
  <c r="CG40" i="4"/>
  <c r="CH40" i="4"/>
  <c r="CI40" i="4"/>
  <c r="CJ40" i="4"/>
  <c r="CE41" i="4"/>
  <c r="CF41" i="4"/>
  <c r="CG41" i="4"/>
  <c r="CH41" i="4"/>
  <c r="CI41" i="4"/>
  <c r="CJ41" i="4"/>
  <c r="CE42" i="4"/>
  <c r="CF42" i="4"/>
  <c r="CG42" i="4"/>
  <c r="CH42" i="4"/>
  <c r="CI42" i="4"/>
  <c r="CJ42" i="4"/>
  <c r="CF4" i="4"/>
  <c r="CG4" i="4"/>
  <c r="CH4" i="4"/>
  <c r="CI4" i="4"/>
  <c r="CJ4" i="4"/>
  <c r="CE4" i="4"/>
  <c r="AI5" i="4"/>
  <c r="AJ5" i="4"/>
  <c r="AK5" i="4"/>
  <c r="AL5" i="4"/>
  <c r="AM5" i="4"/>
  <c r="AN5" i="4"/>
  <c r="AI6" i="4"/>
  <c r="AJ6" i="4"/>
  <c r="AK6" i="4"/>
  <c r="AL6" i="4"/>
  <c r="AM6" i="4"/>
  <c r="AN6" i="4"/>
  <c r="AI7" i="4"/>
  <c r="AJ7" i="4"/>
  <c r="AK7" i="4"/>
  <c r="AL7" i="4"/>
  <c r="AM7" i="4"/>
  <c r="AN7" i="4"/>
  <c r="AI8" i="4"/>
  <c r="AJ8" i="4"/>
  <c r="AK8" i="4"/>
  <c r="AL8" i="4"/>
  <c r="AM8" i="4"/>
  <c r="AN8" i="4"/>
  <c r="AI9" i="4"/>
  <c r="AJ9" i="4"/>
  <c r="AK9" i="4"/>
  <c r="AL9" i="4"/>
  <c r="AM9" i="4"/>
  <c r="AN9" i="4"/>
  <c r="AI10" i="4"/>
  <c r="AJ10" i="4"/>
  <c r="AK10" i="4"/>
  <c r="AL10" i="4"/>
  <c r="AM10" i="4"/>
  <c r="AN10" i="4"/>
  <c r="AI11" i="4"/>
  <c r="AJ11" i="4"/>
  <c r="AK11" i="4"/>
  <c r="AL11" i="4"/>
  <c r="AM11" i="4"/>
  <c r="AN11" i="4"/>
  <c r="AI12" i="4"/>
  <c r="AJ12" i="4"/>
  <c r="AK12" i="4"/>
  <c r="AL12" i="4"/>
  <c r="AM12" i="4"/>
  <c r="AN12" i="4"/>
  <c r="AI13" i="4"/>
  <c r="AJ13" i="4"/>
  <c r="AK13" i="4"/>
  <c r="AL13" i="4"/>
  <c r="AM13" i="4"/>
  <c r="AN13" i="4"/>
  <c r="AI14" i="4"/>
  <c r="AJ14" i="4"/>
  <c r="AK14" i="4"/>
  <c r="AL14" i="4"/>
  <c r="AM14" i="4"/>
  <c r="AN14" i="4"/>
  <c r="AI15" i="4"/>
  <c r="AJ15" i="4"/>
  <c r="AK15" i="4"/>
  <c r="AL15" i="4"/>
  <c r="AM15" i="4"/>
  <c r="AN15" i="4"/>
  <c r="AI16" i="4"/>
  <c r="AJ16" i="4"/>
  <c r="AK16" i="4"/>
  <c r="AL16" i="4"/>
  <c r="AM16" i="4"/>
  <c r="AN16" i="4"/>
  <c r="AI17" i="4"/>
  <c r="AJ17" i="4"/>
  <c r="AK17" i="4"/>
  <c r="AL17" i="4"/>
  <c r="AM17" i="4"/>
  <c r="AN17" i="4"/>
  <c r="AI18" i="4"/>
  <c r="AJ18" i="4"/>
  <c r="AK18" i="4"/>
  <c r="AL18" i="4"/>
  <c r="AM18" i="4"/>
  <c r="AN18" i="4"/>
  <c r="AI19" i="4"/>
  <c r="AJ19" i="4"/>
  <c r="AK19" i="4"/>
  <c r="AL19" i="4"/>
  <c r="AM19" i="4"/>
  <c r="AN19" i="4"/>
  <c r="AI20" i="4"/>
  <c r="AJ20" i="4"/>
  <c r="AK20" i="4"/>
  <c r="AL20" i="4"/>
  <c r="AM20" i="4"/>
  <c r="AN20" i="4"/>
  <c r="AI21" i="4"/>
  <c r="AJ21" i="4"/>
  <c r="AK21" i="4"/>
  <c r="AL21" i="4"/>
  <c r="AM21" i="4"/>
  <c r="AN21" i="4"/>
  <c r="AI22" i="4"/>
  <c r="AJ22" i="4"/>
  <c r="AK22" i="4"/>
  <c r="AL22" i="4"/>
  <c r="AM22" i="4"/>
  <c r="AN22" i="4"/>
  <c r="AI23" i="4"/>
  <c r="AJ23" i="4"/>
  <c r="AK23" i="4"/>
  <c r="AL23" i="4"/>
  <c r="AM23" i="4"/>
  <c r="AN23" i="4"/>
  <c r="AI24" i="4"/>
  <c r="AJ24" i="4"/>
  <c r="AK24" i="4"/>
  <c r="AL24" i="4"/>
  <c r="AM24" i="4"/>
  <c r="AN24" i="4"/>
  <c r="AI25" i="4"/>
  <c r="AJ25" i="4"/>
  <c r="AK25" i="4"/>
  <c r="AL25" i="4"/>
  <c r="AM25" i="4"/>
  <c r="AN25" i="4"/>
  <c r="AI26" i="4"/>
  <c r="AJ26" i="4"/>
  <c r="AK26" i="4"/>
  <c r="AL26" i="4"/>
  <c r="AM26" i="4"/>
  <c r="AN26" i="4"/>
  <c r="AI27" i="4"/>
  <c r="AJ27" i="4"/>
  <c r="AK27" i="4"/>
  <c r="AL27" i="4"/>
  <c r="AM27" i="4"/>
  <c r="AN27" i="4"/>
  <c r="AI28" i="4"/>
  <c r="AJ28" i="4"/>
  <c r="AK28" i="4"/>
  <c r="AL28" i="4"/>
  <c r="AM28" i="4"/>
  <c r="AN28" i="4"/>
  <c r="AI29" i="4"/>
  <c r="AJ29" i="4"/>
  <c r="AK29" i="4"/>
  <c r="AL29" i="4"/>
  <c r="AM29" i="4"/>
  <c r="AN29" i="4"/>
  <c r="AI30" i="4"/>
  <c r="AJ30" i="4"/>
  <c r="AK30" i="4"/>
  <c r="AL30" i="4"/>
  <c r="AM30" i="4"/>
  <c r="AN30" i="4"/>
  <c r="AI31" i="4"/>
  <c r="AJ31" i="4"/>
  <c r="AK31" i="4"/>
  <c r="AL31" i="4"/>
  <c r="AM31" i="4"/>
  <c r="AN31" i="4"/>
  <c r="AI32" i="4"/>
  <c r="AJ32" i="4"/>
  <c r="AK32" i="4"/>
  <c r="AL32" i="4"/>
  <c r="AM32" i="4"/>
  <c r="AN32" i="4"/>
  <c r="AI33" i="4"/>
  <c r="AJ33" i="4"/>
  <c r="AK33" i="4"/>
  <c r="AL33" i="4"/>
  <c r="AM33" i="4"/>
  <c r="AN33" i="4"/>
  <c r="AI34" i="4"/>
  <c r="AJ34" i="4"/>
  <c r="AK34" i="4"/>
  <c r="AL34" i="4"/>
  <c r="AM34" i="4"/>
  <c r="AN34" i="4"/>
  <c r="AI35" i="4"/>
  <c r="AJ35" i="4"/>
  <c r="AK35" i="4"/>
  <c r="AL35" i="4"/>
  <c r="AM35" i="4"/>
  <c r="AN35" i="4"/>
  <c r="AI36" i="4"/>
  <c r="AJ36" i="4"/>
  <c r="AK36" i="4"/>
  <c r="AL36" i="4"/>
  <c r="AM36" i="4"/>
  <c r="AN36" i="4"/>
  <c r="AI37" i="4"/>
  <c r="AJ37" i="4"/>
  <c r="AK37" i="4"/>
  <c r="AL37" i="4"/>
  <c r="AM37" i="4"/>
  <c r="AN37" i="4"/>
  <c r="AI38" i="4"/>
  <c r="AJ38" i="4"/>
  <c r="AK38" i="4"/>
  <c r="AL38" i="4"/>
  <c r="AM38" i="4"/>
  <c r="AN38" i="4"/>
  <c r="AI39" i="4"/>
  <c r="AJ39" i="4"/>
  <c r="AK39" i="4"/>
  <c r="AL39" i="4"/>
  <c r="AM39" i="4"/>
  <c r="AN39" i="4"/>
  <c r="AI40" i="4"/>
  <c r="AJ40" i="4"/>
  <c r="AK40" i="4"/>
  <c r="AL40" i="4"/>
  <c r="AM40" i="4"/>
  <c r="AN40" i="4"/>
  <c r="AI41" i="4"/>
  <c r="AJ41" i="4"/>
  <c r="AK41" i="4"/>
  <c r="AL41" i="4"/>
  <c r="AM41" i="4"/>
  <c r="AN41" i="4"/>
  <c r="AI42" i="4"/>
  <c r="AJ42" i="4"/>
  <c r="AK42" i="4"/>
  <c r="AL42" i="4"/>
  <c r="AM42" i="4"/>
  <c r="AN42" i="4"/>
  <c r="AJ4" i="4"/>
  <c r="AK4" i="4"/>
  <c r="AL4" i="4"/>
  <c r="AM4" i="4"/>
  <c r="AN4" i="4"/>
  <c r="AI4" i="4"/>
</calcChain>
</file>

<file path=xl/sharedStrings.xml><?xml version="1.0" encoding="utf-8"?>
<sst xmlns="http://schemas.openxmlformats.org/spreadsheetml/2006/main" count="310" uniqueCount="60">
  <si>
    <t>State/UT</t>
  </si>
  <si>
    <t>SL</t>
  </si>
  <si>
    <t>Procuration of Minor Girls</t>
  </si>
  <si>
    <t>Importation of Girls from Foreign Country</t>
  </si>
  <si>
    <t>Buying of Minors for Prostitution</t>
  </si>
  <si>
    <t>Selling of Minors for Prostitution</t>
  </si>
  <si>
    <t>Immoral Traffic (Prevention) Act, 1956</t>
  </si>
  <si>
    <t>CR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</si>
  <si>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</si>
  <si>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</si>
  <si>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</si>
  <si>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</si>
  <si>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</si>
  <si>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</si>
  <si>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</si>
  <si>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</si>
  <si>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</si>
  <si>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</si>
  <si>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</si>
  <si>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</si>
  <si>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</si>
  <si>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</si>
  <si>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</si>
  <si>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</si>
  <si>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</si>
  <si>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</si>
  <si>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</si>
  <si>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</si>
  <si>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</si>
  <si>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</si>
  <si>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</si>
  <si>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</si>
  <si>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</si>
  <si>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</si>
  <si>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</si>
  <si>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</si>
  <si>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</si>
  <si>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</si>
  <si>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Y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</si>
  <si>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</si>
  <si>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</si>
  <si>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</si>
  <si>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</si>
  <si>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</si>
  <si>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</si>
  <si>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</si>
  <si>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</si>
  <si>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</si>
  <si>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Source: Crime in India</t>
  </si>
  <si>
    <t>Total Child Trafficking</t>
  </si>
  <si>
    <t>Cases reported (CR),Cases ChargeSheeted (CCS),Cases Convicted (CON),Persons arrested (PART),Persons Charge Sheeted (PCST),Persons Convicted (PCVT) Under Child Trafficking During 2014</t>
  </si>
  <si>
    <t>Cases reported (CR),Cases ChargeSheeted (CCS),Cases Convicted (CON),Persons arrested (PART),Persons Charge Sheeted (PCST),Persons Convicted (PCVT) Under Child Trafficking During 2015</t>
  </si>
  <si>
    <t>Cases reported (CR), Cases ChargeSheeted (CS), Cases Convicted (CV), Persons arrested (PAR), Persons Chargesheeted (PCS),Persons Convicted (PCVT) Under Child Trafficking During 2014</t>
  </si>
  <si>
    <t>CS</t>
  </si>
  <si>
    <t>CV</t>
  </si>
  <si>
    <t>PAR</t>
  </si>
  <si>
    <t>PCS</t>
  </si>
  <si>
    <t>PCV</t>
  </si>
  <si>
    <t>Human Trafficking (Section 370 &amp; 370A IPC)*</t>
  </si>
  <si>
    <t>* Data Collected from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</si>
</sst>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1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/>
    <xf numFmtId="0" fontId="1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43"/>
  <sheetViews>
    <sheetView tabSelected="1" zoomScaleNormal="100" workbookViewId="0">
      <selection activeCell="BZ46" sqref="BZ46"/>
    </sheetView>
  </sheetViews>
  <sheetFormatPr defaultRowHeight="12" x14ac:dyDescent="0.2"/>
  <cols>
    <col min="1" max="1" width="2.85546875" style="1" customWidth="1"/>
    <col min="2" max="2" width="17" style="1" customWidth="1"/>
    <col min="3" max="20" width="6.42578125" style="1" customWidth="1"/>
    <col min="21" max="21" width="2.85546875" style="1" customWidth="1"/>
    <col min="22" max="22" width="17" style="1" customWidth="1"/>
    <col min="23" max="40" width="6" style="1" customWidth="1"/>
    <col min="41" max="41" width="3.5703125" style="1" customWidth="1"/>
    <col min="42" max="42" width="15.7109375" style="1" bestFit="1" customWidth="1"/>
    <col min="43" max="60" width="6.42578125" style="1" customWidth="1"/>
    <col min="61" max="61" width="3.5703125" style="1" customWidth="1"/>
    <col min="62" max="62" width="14.5703125" style="1" customWidth="1"/>
    <col min="63" max="74" width="9" style="1" customWidth="1"/>
    <col min="75" max="75" width="3.5703125" style="1" customWidth="1"/>
    <col min="76" max="76" width="14.5703125" style="1" customWidth="1"/>
    <col min="77" max="88" width="9" style="1" customWidth="1"/>
    <col min="89" max="16384" width="9.140625" style="1"/>
  </cols>
  <sheetData>
    <row r="1" spans="1:248" ht="27" customHeight="1" x14ac:dyDescent="0.2">
      <c r="A1" s="8" t="s">
        <v>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 t="s">
        <v>50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 t="s">
        <v>51</v>
      </c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 t="s">
        <v>51</v>
      </c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 t="s">
        <v>51</v>
      </c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</row>
    <row r="2" spans="1:248" x14ac:dyDescent="0.2">
      <c r="A2" s="10" t="s">
        <v>1</v>
      </c>
      <c r="B2" s="10" t="s">
        <v>0</v>
      </c>
      <c r="C2" s="7" t="s">
        <v>2</v>
      </c>
      <c r="D2" s="7"/>
      <c r="E2" s="7"/>
      <c r="F2" s="7"/>
      <c r="G2" s="7"/>
      <c r="H2" s="7"/>
      <c r="I2" s="7" t="s">
        <v>3</v>
      </c>
      <c r="J2" s="7"/>
      <c r="K2" s="7"/>
      <c r="L2" s="7"/>
      <c r="M2" s="7"/>
      <c r="N2" s="7"/>
      <c r="O2" s="7" t="s">
        <v>4</v>
      </c>
      <c r="P2" s="7"/>
      <c r="Q2" s="7"/>
      <c r="R2" s="7"/>
      <c r="S2" s="7"/>
      <c r="T2" s="7"/>
      <c r="U2" s="10" t="s">
        <v>1</v>
      </c>
      <c r="V2" s="10" t="s">
        <v>0</v>
      </c>
      <c r="W2" s="7" t="s">
        <v>5</v>
      </c>
      <c r="X2" s="7"/>
      <c r="Y2" s="7"/>
      <c r="Z2" s="7"/>
      <c r="AA2" s="7"/>
      <c r="AB2" s="7"/>
      <c r="AC2" s="7" t="s">
        <v>6</v>
      </c>
      <c r="AD2" s="7"/>
      <c r="AE2" s="7"/>
      <c r="AF2" s="7"/>
      <c r="AG2" s="7"/>
      <c r="AH2" s="7"/>
      <c r="AI2" s="7" t="s">
        <v>49</v>
      </c>
      <c r="AJ2" s="7"/>
      <c r="AK2" s="7"/>
      <c r="AL2" s="7"/>
      <c r="AM2" s="7"/>
      <c r="AN2" s="7"/>
      <c r="AO2" s="12" t="s">
        <v>1</v>
      </c>
      <c r="AP2" s="10" t="s">
        <v>0</v>
      </c>
      <c r="AQ2" s="7" t="s">
        <v>2</v>
      </c>
      <c r="AR2" s="7"/>
      <c r="AS2" s="7"/>
      <c r="AT2" s="7"/>
      <c r="AU2" s="7"/>
      <c r="AV2" s="7"/>
      <c r="AW2" s="7" t="s">
        <v>3</v>
      </c>
      <c r="AX2" s="7"/>
      <c r="AY2" s="7"/>
      <c r="AZ2" s="7"/>
      <c r="BA2" s="7"/>
      <c r="BB2" s="7"/>
      <c r="BC2" s="7" t="s">
        <v>4</v>
      </c>
      <c r="BD2" s="7"/>
      <c r="BE2" s="7"/>
      <c r="BF2" s="7"/>
      <c r="BG2" s="7"/>
      <c r="BH2" s="7"/>
      <c r="BI2" s="9" t="s">
        <v>1</v>
      </c>
      <c r="BJ2" s="9" t="s">
        <v>0</v>
      </c>
      <c r="BK2" s="11" t="s">
        <v>5</v>
      </c>
      <c r="BL2" s="11"/>
      <c r="BM2" s="11"/>
      <c r="BN2" s="11"/>
      <c r="BO2" s="11"/>
      <c r="BP2" s="11"/>
      <c r="BQ2" s="11" t="s">
        <v>6</v>
      </c>
      <c r="BR2" s="11"/>
      <c r="BS2" s="11"/>
      <c r="BT2" s="11"/>
      <c r="BU2" s="11"/>
      <c r="BV2" s="11"/>
      <c r="BW2" s="9" t="s">
        <v>1</v>
      </c>
      <c r="BX2" s="9" t="s">
        <v>0</v>
      </c>
      <c r="BY2" s="11" t="s">
        <v>58</v>
      </c>
      <c r="BZ2" s="11"/>
      <c r="CA2" s="11"/>
      <c r="CB2" s="11"/>
      <c r="CC2" s="11"/>
      <c r="CD2" s="11"/>
      <c r="CE2" s="11" t="s">
        <v>49</v>
      </c>
      <c r="CF2" s="11"/>
      <c r="CG2" s="11"/>
      <c r="CH2" s="11"/>
      <c r="CI2" s="11"/>
      <c r="CJ2" s="11"/>
    </row>
    <row r="3" spans="1:248" x14ac:dyDescent="0.2">
      <c r="A3" s="10"/>
      <c r="B3" s="10"/>
      <c r="C3" s="2" t="s">
        <v>7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7</v>
      </c>
      <c r="J3" s="2" t="s">
        <v>53</v>
      </c>
      <c r="K3" s="2" t="s">
        <v>54</v>
      </c>
      <c r="L3" s="2" t="s">
        <v>55</v>
      </c>
      <c r="M3" s="2" t="s">
        <v>56</v>
      </c>
      <c r="N3" s="2" t="s">
        <v>57</v>
      </c>
      <c r="O3" s="2" t="s">
        <v>7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10"/>
      <c r="V3" s="10"/>
      <c r="W3" s="2" t="s">
        <v>7</v>
      </c>
      <c r="X3" s="2" t="s">
        <v>53</v>
      </c>
      <c r="Y3" s="2" t="s">
        <v>54</v>
      </c>
      <c r="Z3" s="2" t="s">
        <v>55</v>
      </c>
      <c r="AA3" s="2" t="s">
        <v>56</v>
      </c>
      <c r="AB3" s="2" t="s">
        <v>57</v>
      </c>
      <c r="AC3" s="2" t="s">
        <v>7</v>
      </c>
      <c r="AD3" s="2" t="s">
        <v>53</v>
      </c>
      <c r="AE3" s="2" t="s">
        <v>54</v>
      </c>
      <c r="AF3" s="2" t="s">
        <v>55</v>
      </c>
      <c r="AG3" s="2" t="s">
        <v>56</v>
      </c>
      <c r="AH3" s="2" t="s">
        <v>57</v>
      </c>
      <c r="AI3" s="2" t="s">
        <v>7</v>
      </c>
      <c r="AJ3" s="2" t="s">
        <v>53</v>
      </c>
      <c r="AK3" s="2" t="s">
        <v>54</v>
      </c>
      <c r="AL3" s="2" t="s">
        <v>55</v>
      </c>
      <c r="AM3" s="2" t="s">
        <v>56</v>
      </c>
      <c r="AN3" s="2" t="s">
        <v>57</v>
      </c>
      <c r="AO3" s="12"/>
      <c r="AP3" s="10"/>
      <c r="AQ3" s="2" t="s">
        <v>7</v>
      </c>
      <c r="AR3" s="2" t="s">
        <v>53</v>
      </c>
      <c r="AS3" s="2" t="s">
        <v>54</v>
      </c>
      <c r="AT3" s="2" t="s">
        <v>55</v>
      </c>
      <c r="AU3" s="2" t="s">
        <v>56</v>
      </c>
      <c r="AV3" s="2" t="s">
        <v>57</v>
      </c>
      <c r="AW3" s="2" t="s">
        <v>7</v>
      </c>
      <c r="AX3" s="2" t="s">
        <v>53</v>
      </c>
      <c r="AY3" s="2" t="s">
        <v>54</v>
      </c>
      <c r="AZ3" s="2" t="s">
        <v>55</v>
      </c>
      <c r="BA3" s="2" t="s">
        <v>56</v>
      </c>
      <c r="BB3" s="2" t="s">
        <v>57</v>
      </c>
      <c r="BC3" s="2" t="s">
        <v>7</v>
      </c>
      <c r="BD3" s="2" t="s">
        <v>53</v>
      </c>
      <c r="BE3" s="2" t="s">
        <v>54</v>
      </c>
      <c r="BF3" s="2" t="s">
        <v>55</v>
      </c>
      <c r="BG3" s="2" t="s">
        <v>56</v>
      </c>
      <c r="BH3" s="2" t="s">
        <v>57</v>
      </c>
      <c r="BI3" s="9"/>
      <c r="BJ3" s="9"/>
      <c r="BK3" s="2" t="s">
        <v>7</v>
      </c>
      <c r="BL3" s="2" t="s">
        <v>53</v>
      </c>
      <c r="BM3" s="2" t="s">
        <v>54</v>
      </c>
      <c r="BN3" s="2" t="s">
        <v>55</v>
      </c>
      <c r="BO3" s="2" t="s">
        <v>56</v>
      </c>
      <c r="BP3" s="2" t="s">
        <v>57</v>
      </c>
      <c r="BQ3" s="2" t="s">
        <v>7</v>
      </c>
      <c r="BR3" s="2" t="s">
        <v>53</v>
      </c>
      <c r="BS3" s="2" t="s">
        <v>54</v>
      </c>
      <c r="BT3" s="2" t="s">
        <v>55</v>
      </c>
      <c r="BU3" s="2" t="s">
        <v>56</v>
      </c>
      <c r="BV3" s="2" t="s">
        <v>57</v>
      </c>
      <c r="BW3" s="9"/>
      <c r="BX3" s="9"/>
      <c r="BY3" s="2" t="s">
        <v>7</v>
      </c>
      <c r="BZ3" s="2" t="s">
        <v>53</v>
      </c>
      <c r="CA3" s="2" t="s">
        <v>54</v>
      </c>
      <c r="CB3" s="2" t="s">
        <v>55</v>
      </c>
      <c r="CC3" s="2" t="s">
        <v>56</v>
      </c>
      <c r="CD3" s="2" t="s">
        <v>57</v>
      </c>
      <c r="CE3" s="2" t="s">
        <v>7</v>
      </c>
      <c r="CF3" s="2" t="s">
        <v>53</v>
      </c>
      <c r="CG3" s="2" t="s">
        <v>54</v>
      </c>
      <c r="CH3" s="2" t="s">
        <v>55</v>
      </c>
      <c r="CI3" s="2" t="s">
        <v>56</v>
      </c>
      <c r="CJ3" s="2" t="s">
        <v>57</v>
      </c>
    </row>
    <row r="4" spans="1:248" x14ac:dyDescent="0.2">
      <c r="A4" s="3">
        <v>1</v>
      </c>
      <c r="B4" s="3" t="s">
        <v>8</v>
      </c>
      <c r="C4" s="3">
        <v>37</v>
      </c>
      <c r="D4" s="3">
        <v>18</v>
      </c>
      <c r="E4" s="3">
        <v>0</v>
      </c>
      <c r="F4" s="3">
        <v>34</v>
      </c>
      <c r="G4" s="3">
        <v>12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</v>
      </c>
      <c r="V4" s="3" t="s">
        <v>8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9</v>
      </c>
      <c r="AD4" s="3">
        <v>7</v>
      </c>
      <c r="AE4" s="3">
        <v>0</v>
      </c>
      <c r="AF4" s="3">
        <v>23</v>
      </c>
      <c r="AG4" s="3">
        <v>17</v>
      </c>
      <c r="AH4" s="3">
        <v>0</v>
      </c>
      <c r="AI4" s="3">
        <f t="shared" ref="AI4:AN4" si="0">C4+I4+O4+W4+AC4</f>
        <v>46</v>
      </c>
      <c r="AJ4" s="3">
        <f t="shared" si="0"/>
        <v>25</v>
      </c>
      <c r="AK4" s="3">
        <f t="shared" si="0"/>
        <v>0</v>
      </c>
      <c r="AL4" s="3">
        <f t="shared" si="0"/>
        <v>57</v>
      </c>
      <c r="AM4" s="3">
        <f t="shared" si="0"/>
        <v>29</v>
      </c>
      <c r="AN4" s="3">
        <f t="shared" si="0"/>
        <v>0</v>
      </c>
      <c r="AO4" s="3">
        <v>1</v>
      </c>
      <c r="AP4" s="3" t="s">
        <v>8</v>
      </c>
      <c r="AQ4" s="3">
        <v>33</v>
      </c>
      <c r="AR4" s="3">
        <v>11</v>
      </c>
      <c r="AS4" s="3">
        <v>1</v>
      </c>
      <c r="AT4" s="3">
        <v>18</v>
      </c>
      <c r="AU4" s="3">
        <v>15</v>
      </c>
      <c r="AV4" s="3">
        <v>6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4">
        <v>1</v>
      </c>
      <c r="BJ4" s="4" t="s">
        <v>8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4</v>
      </c>
      <c r="BR4" s="4">
        <v>5</v>
      </c>
      <c r="BS4" s="4">
        <v>2</v>
      </c>
      <c r="BT4" s="4">
        <v>4</v>
      </c>
      <c r="BU4" s="4">
        <v>8</v>
      </c>
      <c r="BV4" s="4">
        <v>2</v>
      </c>
      <c r="BW4" s="4">
        <v>1</v>
      </c>
      <c r="BX4" s="4" t="s">
        <v>8</v>
      </c>
      <c r="BY4" s="4">
        <v>1</v>
      </c>
      <c r="BZ4" s="4">
        <v>0</v>
      </c>
      <c r="CA4" s="4">
        <v>0</v>
      </c>
      <c r="CB4" s="4">
        <v>1</v>
      </c>
      <c r="CC4" s="4">
        <v>0</v>
      </c>
      <c r="CD4" s="4">
        <v>0</v>
      </c>
      <c r="CE4" s="4">
        <f t="shared" ref="CE4:CJ4" si="1">AQ4+AW4+BC4+BK4+BQ4+BY4</f>
        <v>38</v>
      </c>
      <c r="CF4" s="4">
        <f t="shared" si="1"/>
        <v>16</v>
      </c>
      <c r="CG4" s="4">
        <f t="shared" si="1"/>
        <v>3</v>
      </c>
      <c r="CH4" s="4">
        <f t="shared" si="1"/>
        <v>23</v>
      </c>
      <c r="CI4" s="4">
        <f t="shared" si="1"/>
        <v>23</v>
      </c>
      <c r="CJ4" s="4">
        <f t="shared" si="1"/>
        <v>8</v>
      </c>
      <c r="IN4" s="1">
        <v>1</v>
      </c>
    </row>
    <row r="5" spans="1:248" x14ac:dyDescent="0.2">
      <c r="A5" s="3">
        <v>2</v>
      </c>
      <c r="B5" s="3" t="s">
        <v>9</v>
      </c>
      <c r="C5" s="3">
        <v>1</v>
      </c>
      <c r="D5" s="3">
        <v>1</v>
      </c>
      <c r="E5" s="3">
        <v>0</v>
      </c>
      <c r="F5" s="3">
        <v>2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2</v>
      </c>
      <c r="V5" s="3" t="s">
        <v>9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f t="shared" ref="AI5:AI42" si="2">C5+I5+O5+W5+AC5</f>
        <v>1</v>
      </c>
      <c r="AJ5" s="3">
        <f t="shared" ref="AJ5:AJ42" si="3">D5+J5+P5+X5+AD5</f>
        <v>1</v>
      </c>
      <c r="AK5" s="3">
        <f t="shared" ref="AK5:AK42" si="4">E5+K5+Q5+Y5+AE5</f>
        <v>0</v>
      </c>
      <c r="AL5" s="3">
        <f t="shared" ref="AL5:AL42" si="5">F5+L5+R5+Z5+AF5</f>
        <v>2</v>
      </c>
      <c r="AM5" s="3">
        <f t="shared" ref="AM5:AM42" si="6">G5+M5+S5+AA5+AG5</f>
        <v>1</v>
      </c>
      <c r="AN5" s="3">
        <f t="shared" ref="AN5:AN42" si="7">H5+N5+T5+AB5+AH5</f>
        <v>0</v>
      </c>
      <c r="AO5" s="3">
        <v>2</v>
      </c>
      <c r="AP5" s="3" t="s">
        <v>9</v>
      </c>
      <c r="AQ5" s="3">
        <v>0</v>
      </c>
      <c r="AR5" s="3">
        <v>0</v>
      </c>
      <c r="AS5" s="3">
        <v>0</v>
      </c>
      <c r="AT5" s="3">
        <v>0</v>
      </c>
      <c r="AU5" s="3">
        <v>2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4">
        <v>2</v>
      </c>
      <c r="BJ5" s="4" t="s">
        <v>9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2</v>
      </c>
      <c r="BX5" s="4" t="s">
        <v>9</v>
      </c>
      <c r="BY5" s="4">
        <v>1</v>
      </c>
      <c r="BZ5" s="4">
        <v>1</v>
      </c>
      <c r="CA5" s="4">
        <v>0</v>
      </c>
      <c r="CB5" s="4">
        <v>1</v>
      </c>
      <c r="CC5" s="4">
        <v>1</v>
      </c>
      <c r="CD5" s="4">
        <v>0</v>
      </c>
      <c r="CE5" s="4">
        <f t="shared" ref="CE5:CE42" si="8">AQ5+AW5+BC5+BK5+BQ5+BY5</f>
        <v>1</v>
      </c>
      <c r="CF5" s="4">
        <f t="shared" ref="CF5:CF42" si="9">AR5+AX5+BD5+BL5+BR5+BZ5</f>
        <v>1</v>
      </c>
      <c r="CG5" s="4">
        <f t="shared" ref="CG5:CG42" si="10">AS5+AY5+BE5+BM5+BS5+CA5</f>
        <v>0</v>
      </c>
      <c r="CH5" s="4">
        <f t="shared" ref="CH5:CH42" si="11">AT5+AZ5+BF5+BN5+BT5+CB5</f>
        <v>1</v>
      </c>
      <c r="CI5" s="4">
        <f t="shared" ref="CI5:CI42" si="12">AU5+BA5+BG5+BO5+BU5+CC5</f>
        <v>3</v>
      </c>
      <c r="CJ5" s="4">
        <f t="shared" ref="CJ5:CJ42" si="13">AV5+BB5+BH5+BP5+BV5+CD5</f>
        <v>0</v>
      </c>
      <c r="IN5" s="1">
        <v>1</v>
      </c>
    </row>
    <row r="6" spans="1:248" x14ac:dyDescent="0.2">
      <c r="A6" s="3">
        <v>3</v>
      </c>
      <c r="B6" s="3" t="s">
        <v>10</v>
      </c>
      <c r="C6" s="3">
        <v>303</v>
      </c>
      <c r="D6" s="3">
        <v>75</v>
      </c>
      <c r="E6" s="3">
        <v>5</v>
      </c>
      <c r="F6" s="3">
        <v>303</v>
      </c>
      <c r="G6" s="3">
        <v>75</v>
      </c>
      <c r="H6" s="3">
        <v>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3</v>
      </c>
      <c r="V6" s="3" t="s">
        <v>10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1</v>
      </c>
      <c r="AG6" s="3">
        <v>0</v>
      </c>
      <c r="AH6" s="3">
        <v>0</v>
      </c>
      <c r="AI6" s="3">
        <f t="shared" si="2"/>
        <v>304</v>
      </c>
      <c r="AJ6" s="3">
        <f t="shared" si="3"/>
        <v>75</v>
      </c>
      <c r="AK6" s="3">
        <f t="shared" si="4"/>
        <v>5</v>
      </c>
      <c r="AL6" s="3">
        <f t="shared" si="5"/>
        <v>304</v>
      </c>
      <c r="AM6" s="3">
        <f t="shared" si="6"/>
        <v>75</v>
      </c>
      <c r="AN6" s="3">
        <f t="shared" si="7"/>
        <v>5</v>
      </c>
      <c r="AO6" s="3">
        <v>3</v>
      </c>
      <c r="AP6" s="3" t="s">
        <v>10</v>
      </c>
      <c r="AQ6" s="3">
        <v>1303</v>
      </c>
      <c r="AR6" s="3">
        <v>302</v>
      </c>
      <c r="AS6" s="3">
        <v>4</v>
      </c>
      <c r="AT6" s="3">
        <v>1248</v>
      </c>
      <c r="AU6" s="3">
        <v>329</v>
      </c>
      <c r="AV6" s="3">
        <v>4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4">
        <v>3</v>
      </c>
      <c r="BJ6" s="4" t="s">
        <v>10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5</v>
      </c>
      <c r="BR6" s="4">
        <v>1</v>
      </c>
      <c r="BS6" s="4">
        <v>0</v>
      </c>
      <c r="BT6" s="4">
        <v>5</v>
      </c>
      <c r="BU6" s="4">
        <v>1</v>
      </c>
      <c r="BV6" s="4">
        <v>0</v>
      </c>
      <c r="BW6" s="4">
        <v>3</v>
      </c>
      <c r="BX6" s="4" t="s">
        <v>10</v>
      </c>
      <c r="BY6" s="4">
        <v>9</v>
      </c>
      <c r="BZ6" s="4">
        <v>1</v>
      </c>
      <c r="CA6" s="4">
        <v>0</v>
      </c>
      <c r="CB6" s="4">
        <v>8</v>
      </c>
      <c r="CC6" s="4">
        <v>2</v>
      </c>
      <c r="CD6" s="4">
        <v>0</v>
      </c>
      <c r="CE6" s="4">
        <f t="shared" si="8"/>
        <v>1317</v>
      </c>
      <c r="CF6" s="4">
        <f t="shared" si="9"/>
        <v>304</v>
      </c>
      <c r="CG6" s="4">
        <f t="shared" si="10"/>
        <v>4</v>
      </c>
      <c r="CH6" s="4">
        <f t="shared" si="11"/>
        <v>1261</v>
      </c>
      <c r="CI6" s="4">
        <f t="shared" si="12"/>
        <v>332</v>
      </c>
      <c r="CJ6" s="4">
        <f t="shared" si="13"/>
        <v>4</v>
      </c>
      <c r="IN6" s="1">
        <v>1</v>
      </c>
    </row>
    <row r="7" spans="1:248" x14ac:dyDescent="0.2">
      <c r="A7" s="3">
        <v>4</v>
      </c>
      <c r="B7" s="3" t="s">
        <v>11</v>
      </c>
      <c r="C7" s="3">
        <v>280</v>
      </c>
      <c r="D7" s="3">
        <v>153</v>
      </c>
      <c r="E7" s="3">
        <v>7</v>
      </c>
      <c r="F7" s="3">
        <v>238</v>
      </c>
      <c r="G7" s="3">
        <v>179</v>
      </c>
      <c r="H7" s="3">
        <v>8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4</v>
      </c>
      <c r="V7" s="3" t="s">
        <v>11</v>
      </c>
      <c r="W7" s="3">
        <v>2</v>
      </c>
      <c r="X7" s="3">
        <v>1</v>
      </c>
      <c r="Y7" s="3">
        <v>0</v>
      </c>
      <c r="Z7" s="3">
        <v>0</v>
      </c>
      <c r="AA7" s="3">
        <v>2</v>
      </c>
      <c r="AB7" s="3">
        <v>0</v>
      </c>
      <c r="AC7" s="3">
        <v>3</v>
      </c>
      <c r="AD7" s="3">
        <v>3</v>
      </c>
      <c r="AE7" s="3">
        <v>0</v>
      </c>
      <c r="AF7" s="3">
        <v>3</v>
      </c>
      <c r="AG7" s="3">
        <v>3</v>
      </c>
      <c r="AH7" s="3">
        <v>0</v>
      </c>
      <c r="AI7" s="3">
        <f t="shared" si="2"/>
        <v>285</v>
      </c>
      <c r="AJ7" s="3">
        <f t="shared" si="3"/>
        <v>157</v>
      </c>
      <c r="AK7" s="3">
        <f t="shared" si="4"/>
        <v>7</v>
      </c>
      <c r="AL7" s="3">
        <f t="shared" si="5"/>
        <v>241</v>
      </c>
      <c r="AM7" s="3">
        <f t="shared" si="6"/>
        <v>184</v>
      </c>
      <c r="AN7" s="3">
        <f t="shared" si="7"/>
        <v>8</v>
      </c>
      <c r="AO7" s="3">
        <v>4</v>
      </c>
      <c r="AP7" s="3" t="s">
        <v>11</v>
      </c>
      <c r="AQ7" s="3">
        <v>305</v>
      </c>
      <c r="AR7" s="3">
        <v>118</v>
      </c>
      <c r="AS7" s="3">
        <v>3</v>
      </c>
      <c r="AT7" s="3">
        <v>278</v>
      </c>
      <c r="AU7" s="3">
        <v>146</v>
      </c>
      <c r="AV7" s="3">
        <v>4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4">
        <v>4</v>
      </c>
      <c r="BJ7" s="4" t="s">
        <v>11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4</v>
      </c>
      <c r="BX7" s="4" t="s">
        <v>11</v>
      </c>
      <c r="BY7" s="4">
        <v>27</v>
      </c>
      <c r="BZ7" s="4">
        <v>15</v>
      </c>
      <c r="CA7" s="4">
        <v>0</v>
      </c>
      <c r="CB7" s="4">
        <v>33</v>
      </c>
      <c r="CC7" s="4">
        <v>15</v>
      </c>
      <c r="CD7" s="4">
        <v>0</v>
      </c>
      <c r="CE7" s="4">
        <f t="shared" si="8"/>
        <v>332</v>
      </c>
      <c r="CF7" s="4">
        <f t="shared" si="9"/>
        <v>133</v>
      </c>
      <c r="CG7" s="4">
        <f t="shared" si="10"/>
        <v>3</v>
      </c>
      <c r="CH7" s="4">
        <f t="shared" si="11"/>
        <v>311</v>
      </c>
      <c r="CI7" s="4">
        <f t="shared" si="12"/>
        <v>161</v>
      </c>
      <c r="CJ7" s="4">
        <f t="shared" si="13"/>
        <v>4</v>
      </c>
      <c r="IN7" s="1">
        <v>1</v>
      </c>
    </row>
    <row r="8" spans="1:248" x14ac:dyDescent="0.2">
      <c r="A8" s="3">
        <v>5</v>
      </c>
      <c r="B8" s="3" t="s">
        <v>12</v>
      </c>
      <c r="C8" s="3">
        <v>1</v>
      </c>
      <c r="D8" s="3">
        <v>1</v>
      </c>
      <c r="E8" s="3">
        <v>0</v>
      </c>
      <c r="F8" s="3">
        <v>3</v>
      </c>
      <c r="G8" s="3">
        <v>3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5</v>
      </c>
      <c r="V8" s="3" t="s">
        <v>12</v>
      </c>
      <c r="W8" s="3">
        <v>2</v>
      </c>
      <c r="X8" s="3">
        <v>1</v>
      </c>
      <c r="Y8" s="3">
        <v>0</v>
      </c>
      <c r="Z8" s="3">
        <v>5</v>
      </c>
      <c r="AA8" s="3">
        <v>5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f t="shared" si="2"/>
        <v>3</v>
      </c>
      <c r="AJ8" s="3">
        <f t="shared" si="3"/>
        <v>2</v>
      </c>
      <c r="AK8" s="3">
        <f t="shared" si="4"/>
        <v>0</v>
      </c>
      <c r="AL8" s="3">
        <f t="shared" si="5"/>
        <v>8</v>
      </c>
      <c r="AM8" s="3">
        <f t="shared" si="6"/>
        <v>8</v>
      </c>
      <c r="AN8" s="3">
        <f t="shared" si="7"/>
        <v>0</v>
      </c>
      <c r="AO8" s="3">
        <v>5</v>
      </c>
      <c r="AP8" s="3" t="s">
        <v>12</v>
      </c>
      <c r="AQ8" s="3">
        <v>2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4">
        <v>5</v>
      </c>
      <c r="BJ8" s="4" t="s">
        <v>12</v>
      </c>
      <c r="BK8" s="4">
        <v>2</v>
      </c>
      <c r="BL8" s="4">
        <v>3</v>
      </c>
      <c r="BM8" s="4">
        <v>0</v>
      </c>
      <c r="BN8" s="4">
        <v>9</v>
      </c>
      <c r="BO8" s="4">
        <v>9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5</v>
      </c>
      <c r="BX8" s="4" t="s">
        <v>12</v>
      </c>
      <c r="BY8" s="4">
        <v>12</v>
      </c>
      <c r="BZ8" s="4">
        <v>10</v>
      </c>
      <c r="CA8" s="4">
        <v>0</v>
      </c>
      <c r="CB8" s="4">
        <v>24</v>
      </c>
      <c r="CC8" s="4">
        <v>24</v>
      </c>
      <c r="CD8" s="4">
        <v>0</v>
      </c>
      <c r="CE8" s="4">
        <f t="shared" si="8"/>
        <v>16</v>
      </c>
      <c r="CF8" s="4">
        <f t="shared" si="9"/>
        <v>13</v>
      </c>
      <c r="CG8" s="4">
        <f t="shared" si="10"/>
        <v>0</v>
      </c>
      <c r="CH8" s="4">
        <f t="shared" si="11"/>
        <v>33</v>
      </c>
      <c r="CI8" s="4">
        <f t="shared" si="12"/>
        <v>33</v>
      </c>
      <c r="CJ8" s="4">
        <f t="shared" si="13"/>
        <v>0</v>
      </c>
      <c r="IN8" s="1">
        <v>1</v>
      </c>
    </row>
    <row r="9" spans="1:248" x14ac:dyDescent="0.2">
      <c r="A9" s="3">
        <v>6</v>
      </c>
      <c r="B9" s="3" t="s">
        <v>13</v>
      </c>
      <c r="C9" s="3">
        <v>0</v>
      </c>
      <c r="D9" s="3">
        <v>1</v>
      </c>
      <c r="E9" s="3">
        <v>0</v>
      </c>
      <c r="F9" s="3">
        <v>0</v>
      </c>
      <c r="G9" s="3">
        <v>7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6</v>
      </c>
      <c r="V9" s="3" t="s">
        <v>13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1</v>
      </c>
      <c r="AE9" s="3">
        <v>0</v>
      </c>
      <c r="AF9" s="3">
        <v>0</v>
      </c>
      <c r="AG9" s="3">
        <v>2</v>
      </c>
      <c r="AH9" s="3">
        <v>0</v>
      </c>
      <c r="AI9" s="3">
        <f t="shared" si="2"/>
        <v>0</v>
      </c>
      <c r="AJ9" s="3">
        <f t="shared" si="3"/>
        <v>2</v>
      </c>
      <c r="AK9" s="3">
        <f t="shared" si="4"/>
        <v>0</v>
      </c>
      <c r="AL9" s="3">
        <f t="shared" si="5"/>
        <v>0</v>
      </c>
      <c r="AM9" s="3">
        <f t="shared" si="6"/>
        <v>9</v>
      </c>
      <c r="AN9" s="3">
        <f t="shared" si="7"/>
        <v>0</v>
      </c>
      <c r="AO9" s="3">
        <v>6</v>
      </c>
      <c r="AP9" s="3" t="s">
        <v>13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4">
        <v>6</v>
      </c>
      <c r="BJ9" s="4" t="s">
        <v>13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6</v>
      </c>
      <c r="BX9" s="4" t="s">
        <v>13</v>
      </c>
      <c r="BY9" s="4">
        <v>1</v>
      </c>
      <c r="BZ9" s="4">
        <v>0</v>
      </c>
      <c r="CA9" s="4">
        <v>0</v>
      </c>
      <c r="CB9" s="4">
        <v>2</v>
      </c>
      <c r="CC9" s="4">
        <v>0</v>
      </c>
      <c r="CD9" s="4">
        <v>0</v>
      </c>
      <c r="CE9" s="4">
        <f t="shared" si="8"/>
        <v>1</v>
      </c>
      <c r="CF9" s="4">
        <f t="shared" si="9"/>
        <v>0</v>
      </c>
      <c r="CG9" s="4">
        <f t="shared" si="10"/>
        <v>0</v>
      </c>
      <c r="CH9" s="4">
        <f t="shared" si="11"/>
        <v>2</v>
      </c>
      <c r="CI9" s="4">
        <f t="shared" si="12"/>
        <v>0</v>
      </c>
      <c r="CJ9" s="4">
        <f t="shared" si="13"/>
        <v>0</v>
      </c>
      <c r="IN9" s="1">
        <v>1</v>
      </c>
    </row>
    <row r="10" spans="1:248" x14ac:dyDescent="0.2">
      <c r="A10" s="3">
        <v>7</v>
      </c>
      <c r="B10" s="3" t="s">
        <v>14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7</v>
      </c>
      <c r="V10" s="3" t="s">
        <v>14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</v>
      </c>
      <c r="AD10" s="3">
        <v>1</v>
      </c>
      <c r="AE10" s="3">
        <v>0</v>
      </c>
      <c r="AF10" s="3">
        <v>3</v>
      </c>
      <c r="AG10" s="3">
        <v>3</v>
      </c>
      <c r="AH10" s="3">
        <v>0</v>
      </c>
      <c r="AI10" s="3">
        <f t="shared" si="2"/>
        <v>1</v>
      </c>
      <c r="AJ10" s="3">
        <f t="shared" si="3"/>
        <v>1</v>
      </c>
      <c r="AK10" s="3">
        <f t="shared" si="4"/>
        <v>0</v>
      </c>
      <c r="AL10" s="3">
        <f t="shared" si="5"/>
        <v>3</v>
      </c>
      <c r="AM10" s="3">
        <f t="shared" si="6"/>
        <v>3</v>
      </c>
      <c r="AN10" s="3">
        <f t="shared" si="7"/>
        <v>0</v>
      </c>
      <c r="AO10" s="3">
        <v>7</v>
      </c>
      <c r="AP10" s="3" t="s">
        <v>14</v>
      </c>
      <c r="AQ10" s="3">
        <v>1</v>
      </c>
      <c r="AR10" s="3">
        <v>1</v>
      </c>
      <c r="AS10" s="3">
        <v>0</v>
      </c>
      <c r="AT10" s="3">
        <v>5</v>
      </c>
      <c r="AU10" s="3">
        <v>5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4">
        <v>7</v>
      </c>
      <c r="BJ10" s="4" t="s">
        <v>14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3</v>
      </c>
      <c r="BR10" s="4">
        <v>3</v>
      </c>
      <c r="BS10" s="4">
        <v>0</v>
      </c>
      <c r="BT10" s="4">
        <v>14</v>
      </c>
      <c r="BU10" s="4">
        <v>14</v>
      </c>
      <c r="BV10" s="4">
        <v>0</v>
      </c>
      <c r="BW10" s="4">
        <v>7</v>
      </c>
      <c r="BX10" s="4" t="s">
        <v>14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f t="shared" si="8"/>
        <v>4</v>
      </c>
      <c r="CF10" s="4">
        <f t="shared" si="9"/>
        <v>4</v>
      </c>
      <c r="CG10" s="4">
        <f t="shared" si="10"/>
        <v>0</v>
      </c>
      <c r="CH10" s="4">
        <f t="shared" si="11"/>
        <v>19</v>
      </c>
      <c r="CI10" s="4">
        <f t="shared" si="12"/>
        <v>19</v>
      </c>
      <c r="CJ10" s="4">
        <f t="shared" si="13"/>
        <v>0</v>
      </c>
      <c r="IN10" s="1">
        <v>1</v>
      </c>
    </row>
    <row r="11" spans="1:248" x14ac:dyDescent="0.2">
      <c r="A11" s="3">
        <v>8</v>
      </c>
      <c r="B11" s="3" t="s">
        <v>15</v>
      </c>
      <c r="C11" s="3">
        <v>277</v>
      </c>
      <c r="D11" s="3">
        <v>205</v>
      </c>
      <c r="E11" s="3">
        <v>5</v>
      </c>
      <c r="F11" s="3">
        <v>272</v>
      </c>
      <c r="G11" s="3">
        <v>255</v>
      </c>
      <c r="H11" s="3">
        <v>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</v>
      </c>
      <c r="P11" s="3">
        <v>1</v>
      </c>
      <c r="Q11" s="3">
        <v>0</v>
      </c>
      <c r="R11" s="3">
        <v>2</v>
      </c>
      <c r="S11" s="3">
        <v>2</v>
      </c>
      <c r="T11" s="3">
        <v>0</v>
      </c>
      <c r="U11" s="3">
        <v>8</v>
      </c>
      <c r="V11" s="3" t="s">
        <v>15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2</v>
      </c>
      <c r="AD11" s="3">
        <v>2</v>
      </c>
      <c r="AE11" s="3">
        <v>0</v>
      </c>
      <c r="AF11" s="3">
        <v>6</v>
      </c>
      <c r="AG11" s="3">
        <v>6</v>
      </c>
      <c r="AH11" s="3">
        <v>0</v>
      </c>
      <c r="AI11" s="3">
        <f t="shared" si="2"/>
        <v>280</v>
      </c>
      <c r="AJ11" s="3">
        <f t="shared" si="3"/>
        <v>208</v>
      </c>
      <c r="AK11" s="3">
        <f t="shared" si="4"/>
        <v>5</v>
      </c>
      <c r="AL11" s="3">
        <f t="shared" si="5"/>
        <v>280</v>
      </c>
      <c r="AM11" s="3">
        <f t="shared" si="6"/>
        <v>263</v>
      </c>
      <c r="AN11" s="3">
        <f t="shared" si="7"/>
        <v>5</v>
      </c>
      <c r="AO11" s="3">
        <v>8</v>
      </c>
      <c r="AP11" s="3" t="s">
        <v>15</v>
      </c>
      <c r="AQ11" s="3">
        <v>190</v>
      </c>
      <c r="AR11" s="3">
        <v>81</v>
      </c>
      <c r="AS11" s="3">
        <v>1</v>
      </c>
      <c r="AT11" s="3">
        <v>176</v>
      </c>
      <c r="AU11" s="3">
        <v>153</v>
      </c>
      <c r="AV11" s="3">
        <v>11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1</v>
      </c>
      <c r="BD11" s="3">
        <v>1</v>
      </c>
      <c r="BE11" s="3">
        <v>1</v>
      </c>
      <c r="BF11" s="3">
        <v>3</v>
      </c>
      <c r="BG11" s="3">
        <v>3</v>
      </c>
      <c r="BH11" s="3">
        <v>2</v>
      </c>
      <c r="BI11" s="4">
        <v>8</v>
      </c>
      <c r="BJ11" s="4" t="s">
        <v>15</v>
      </c>
      <c r="BK11" s="4">
        <v>2</v>
      </c>
      <c r="BL11" s="4">
        <v>2</v>
      </c>
      <c r="BM11" s="4">
        <v>0</v>
      </c>
      <c r="BN11" s="4">
        <v>4</v>
      </c>
      <c r="BO11" s="4">
        <v>4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8</v>
      </c>
      <c r="BX11" s="4" t="s">
        <v>15</v>
      </c>
      <c r="BY11" s="4">
        <v>7</v>
      </c>
      <c r="BZ11" s="4">
        <v>6</v>
      </c>
      <c r="CA11" s="4">
        <v>1</v>
      </c>
      <c r="CB11" s="4">
        <v>9</v>
      </c>
      <c r="CC11" s="4">
        <v>9</v>
      </c>
      <c r="CD11" s="4">
        <v>1</v>
      </c>
      <c r="CE11" s="4">
        <f t="shared" si="8"/>
        <v>200</v>
      </c>
      <c r="CF11" s="4">
        <f t="shared" si="9"/>
        <v>90</v>
      </c>
      <c r="CG11" s="4">
        <f t="shared" si="10"/>
        <v>3</v>
      </c>
      <c r="CH11" s="4">
        <f t="shared" si="11"/>
        <v>192</v>
      </c>
      <c r="CI11" s="4">
        <f t="shared" si="12"/>
        <v>169</v>
      </c>
      <c r="CJ11" s="4">
        <f t="shared" si="13"/>
        <v>14</v>
      </c>
      <c r="IN11" s="1">
        <v>1</v>
      </c>
    </row>
    <row r="12" spans="1:248" x14ac:dyDescent="0.2">
      <c r="A12" s="3">
        <v>9</v>
      </c>
      <c r="B12" s="3" t="s">
        <v>16</v>
      </c>
      <c r="C12" s="3">
        <v>3</v>
      </c>
      <c r="D12" s="3">
        <v>3</v>
      </c>
      <c r="E12" s="3">
        <v>0</v>
      </c>
      <c r="F12" s="3">
        <v>2</v>
      </c>
      <c r="G12" s="3">
        <v>4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9</v>
      </c>
      <c r="V12" s="3" t="s">
        <v>16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f t="shared" si="2"/>
        <v>4</v>
      </c>
      <c r="AJ12" s="3">
        <f t="shared" si="3"/>
        <v>3</v>
      </c>
      <c r="AK12" s="3">
        <f t="shared" si="4"/>
        <v>0</v>
      </c>
      <c r="AL12" s="3">
        <f t="shared" si="5"/>
        <v>2</v>
      </c>
      <c r="AM12" s="3">
        <f t="shared" si="6"/>
        <v>4</v>
      </c>
      <c r="AN12" s="3">
        <f t="shared" si="7"/>
        <v>0</v>
      </c>
      <c r="AO12" s="3">
        <v>9</v>
      </c>
      <c r="AP12" s="3" t="s">
        <v>16</v>
      </c>
      <c r="AQ12" s="3">
        <v>0</v>
      </c>
      <c r="AR12" s="3">
        <v>0</v>
      </c>
      <c r="AS12" s="3">
        <v>1</v>
      </c>
      <c r="AT12" s="3">
        <v>0</v>
      </c>
      <c r="AU12" s="3">
        <v>0</v>
      </c>
      <c r="AV12" s="3">
        <v>1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4">
        <v>9</v>
      </c>
      <c r="BJ12" s="4" t="s">
        <v>16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9</v>
      </c>
      <c r="BX12" s="4" t="s">
        <v>16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f t="shared" si="8"/>
        <v>0</v>
      </c>
      <c r="CF12" s="4">
        <f t="shared" si="9"/>
        <v>0</v>
      </c>
      <c r="CG12" s="4">
        <f t="shared" si="10"/>
        <v>1</v>
      </c>
      <c r="CH12" s="4">
        <f t="shared" si="11"/>
        <v>0</v>
      </c>
      <c r="CI12" s="4">
        <f t="shared" si="12"/>
        <v>0</v>
      </c>
      <c r="CJ12" s="4">
        <f t="shared" si="13"/>
        <v>1</v>
      </c>
      <c r="IN12" s="1">
        <v>1</v>
      </c>
    </row>
    <row r="13" spans="1:248" x14ac:dyDescent="0.2">
      <c r="A13" s="3">
        <v>10</v>
      </c>
      <c r="B13" s="3" t="s">
        <v>17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10</v>
      </c>
      <c r="V13" s="3" t="s">
        <v>17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f t="shared" si="2"/>
        <v>0</v>
      </c>
      <c r="AJ13" s="3">
        <f t="shared" si="3"/>
        <v>0</v>
      </c>
      <c r="AK13" s="3">
        <f t="shared" si="4"/>
        <v>0</v>
      </c>
      <c r="AL13" s="3">
        <f t="shared" si="5"/>
        <v>0</v>
      </c>
      <c r="AM13" s="3">
        <f t="shared" si="6"/>
        <v>0</v>
      </c>
      <c r="AN13" s="3">
        <f t="shared" si="7"/>
        <v>0</v>
      </c>
      <c r="AO13" s="3">
        <v>10</v>
      </c>
      <c r="AP13" s="3" t="s">
        <v>17</v>
      </c>
      <c r="AQ13" s="3">
        <v>1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4">
        <v>10</v>
      </c>
      <c r="BJ13" s="4" t="s">
        <v>17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10</v>
      </c>
      <c r="BX13" s="4" t="s">
        <v>17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f t="shared" si="8"/>
        <v>1</v>
      </c>
      <c r="CF13" s="4">
        <f t="shared" si="9"/>
        <v>0</v>
      </c>
      <c r="CG13" s="4">
        <f t="shared" si="10"/>
        <v>0</v>
      </c>
      <c r="CH13" s="4">
        <f t="shared" si="11"/>
        <v>0</v>
      </c>
      <c r="CI13" s="4">
        <f t="shared" si="12"/>
        <v>0</v>
      </c>
      <c r="CJ13" s="4">
        <f t="shared" si="13"/>
        <v>0</v>
      </c>
      <c r="IN13" s="1">
        <v>1</v>
      </c>
    </row>
    <row r="14" spans="1:248" x14ac:dyDescent="0.2">
      <c r="A14" s="3">
        <v>11</v>
      </c>
      <c r="B14" s="3" t="s">
        <v>18</v>
      </c>
      <c r="C14" s="3">
        <v>12</v>
      </c>
      <c r="D14" s="3">
        <v>15</v>
      </c>
      <c r="E14" s="3">
        <v>2</v>
      </c>
      <c r="F14" s="3">
        <v>17</v>
      </c>
      <c r="G14" s="3">
        <v>15</v>
      </c>
      <c r="H14" s="3">
        <v>2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4</v>
      </c>
      <c r="P14" s="3">
        <v>0</v>
      </c>
      <c r="Q14" s="3">
        <v>0</v>
      </c>
      <c r="R14" s="3">
        <v>4</v>
      </c>
      <c r="S14" s="3">
        <v>0</v>
      </c>
      <c r="T14" s="3">
        <v>0</v>
      </c>
      <c r="U14" s="3">
        <v>11</v>
      </c>
      <c r="V14" s="3" t="s">
        <v>18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8</v>
      </c>
      <c r="AD14" s="3">
        <v>1</v>
      </c>
      <c r="AE14" s="3">
        <v>0</v>
      </c>
      <c r="AF14" s="3">
        <v>1</v>
      </c>
      <c r="AG14" s="3">
        <v>1</v>
      </c>
      <c r="AH14" s="3">
        <v>0</v>
      </c>
      <c r="AI14" s="3">
        <f t="shared" si="2"/>
        <v>24</v>
      </c>
      <c r="AJ14" s="3">
        <f t="shared" si="3"/>
        <v>16</v>
      </c>
      <c r="AK14" s="3">
        <f t="shared" si="4"/>
        <v>2</v>
      </c>
      <c r="AL14" s="3">
        <f t="shared" si="5"/>
        <v>22</v>
      </c>
      <c r="AM14" s="3">
        <f t="shared" si="6"/>
        <v>16</v>
      </c>
      <c r="AN14" s="3">
        <f t="shared" si="7"/>
        <v>2</v>
      </c>
      <c r="AO14" s="3">
        <v>11</v>
      </c>
      <c r="AP14" s="3" t="s">
        <v>18</v>
      </c>
      <c r="AQ14" s="3">
        <v>27</v>
      </c>
      <c r="AR14" s="3">
        <v>8</v>
      </c>
      <c r="AS14" s="3">
        <v>1</v>
      </c>
      <c r="AT14" s="3">
        <v>16</v>
      </c>
      <c r="AU14" s="3">
        <v>8</v>
      </c>
      <c r="AV14" s="3">
        <v>1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4">
        <v>11</v>
      </c>
      <c r="BJ14" s="4" t="s">
        <v>18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2</v>
      </c>
      <c r="BR14" s="4">
        <v>0</v>
      </c>
      <c r="BS14" s="4">
        <v>0</v>
      </c>
      <c r="BT14" s="4">
        <v>2</v>
      </c>
      <c r="BU14" s="4">
        <v>0</v>
      </c>
      <c r="BV14" s="4">
        <v>0</v>
      </c>
      <c r="BW14" s="4">
        <v>11</v>
      </c>
      <c r="BX14" s="4" t="s">
        <v>18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f t="shared" si="8"/>
        <v>29</v>
      </c>
      <c r="CF14" s="4">
        <f t="shared" si="9"/>
        <v>8</v>
      </c>
      <c r="CG14" s="4">
        <f t="shared" si="10"/>
        <v>1</v>
      </c>
      <c r="CH14" s="4">
        <f t="shared" si="11"/>
        <v>18</v>
      </c>
      <c r="CI14" s="4">
        <f t="shared" si="12"/>
        <v>8</v>
      </c>
      <c r="CJ14" s="4">
        <f t="shared" si="13"/>
        <v>1</v>
      </c>
      <c r="IN14" s="1">
        <v>1</v>
      </c>
    </row>
    <row r="15" spans="1:248" x14ac:dyDescent="0.2">
      <c r="A15" s="3">
        <v>12</v>
      </c>
      <c r="B15" s="3" t="s">
        <v>19</v>
      </c>
      <c r="C15" s="3">
        <v>61</v>
      </c>
      <c r="D15" s="3">
        <v>38</v>
      </c>
      <c r="E15" s="3">
        <v>1</v>
      </c>
      <c r="F15" s="3">
        <v>56</v>
      </c>
      <c r="G15" s="3">
        <v>50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12</v>
      </c>
      <c r="V15" s="3" t="s">
        <v>19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9</v>
      </c>
      <c r="AD15" s="3">
        <v>9</v>
      </c>
      <c r="AE15" s="3">
        <v>0</v>
      </c>
      <c r="AF15" s="3">
        <v>13</v>
      </c>
      <c r="AG15" s="3">
        <v>13</v>
      </c>
      <c r="AH15" s="3">
        <v>0</v>
      </c>
      <c r="AI15" s="3">
        <f t="shared" si="2"/>
        <v>71</v>
      </c>
      <c r="AJ15" s="3">
        <f t="shared" si="3"/>
        <v>47</v>
      </c>
      <c r="AK15" s="3">
        <f t="shared" si="4"/>
        <v>1</v>
      </c>
      <c r="AL15" s="3">
        <f t="shared" si="5"/>
        <v>69</v>
      </c>
      <c r="AM15" s="3">
        <f t="shared" si="6"/>
        <v>63</v>
      </c>
      <c r="AN15" s="3">
        <f t="shared" si="7"/>
        <v>1</v>
      </c>
      <c r="AO15" s="3">
        <v>12</v>
      </c>
      <c r="AP15" s="3" t="s">
        <v>19</v>
      </c>
      <c r="AQ15" s="3">
        <v>65</v>
      </c>
      <c r="AR15" s="3">
        <v>23</v>
      </c>
      <c r="AS15" s="3">
        <v>0</v>
      </c>
      <c r="AT15" s="3">
        <v>28</v>
      </c>
      <c r="AU15" s="3">
        <v>27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4">
        <v>12</v>
      </c>
      <c r="BJ15" s="4" t="s">
        <v>19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10</v>
      </c>
      <c r="BR15" s="4">
        <v>6</v>
      </c>
      <c r="BS15" s="4">
        <v>0</v>
      </c>
      <c r="BT15" s="4">
        <v>14</v>
      </c>
      <c r="BU15" s="4">
        <v>10</v>
      </c>
      <c r="BV15" s="4">
        <v>0</v>
      </c>
      <c r="BW15" s="4">
        <v>12</v>
      </c>
      <c r="BX15" s="4" t="s">
        <v>19</v>
      </c>
      <c r="BY15" s="4">
        <v>7</v>
      </c>
      <c r="BZ15" s="4">
        <v>1</v>
      </c>
      <c r="CA15" s="4">
        <v>0</v>
      </c>
      <c r="CB15" s="4">
        <v>3</v>
      </c>
      <c r="CC15" s="4">
        <v>3</v>
      </c>
      <c r="CD15" s="4">
        <v>0</v>
      </c>
      <c r="CE15" s="4">
        <f t="shared" si="8"/>
        <v>82</v>
      </c>
      <c r="CF15" s="4">
        <f t="shared" si="9"/>
        <v>30</v>
      </c>
      <c r="CG15" s="4">
        <f t="shared" si="10"/>
        <v>0</v>
      </c>
      <c r="CH15" s="4">
        <f t="shared" si="11"/>
        <v>45</v>
      </c>
      <c r="CI15" s="4">
        <f t="shared" si="12"/>
        <v>40</v>
      </c>
      <c r="CJ15" s="4">
        <f t="shared" si="13"/>
        <v>0</v>
      </c>
      <c r="IN15" s="1">
        <v>1</v>
      </c>
    </row>
    <row r="16" spans="1:248" x14ac:dyDescent="0.2">
      <c r="A16" s="3">
        <v>13</v>
      </c>
      <c r="B16" s="3" t="s">
        <v>20</v>
      </c>
      <c r="C16" s="3">
        <v>4</v>
      </c>
      <c r="D16" s="3">
        <v>7</v>
      </c>
      <c r="E16" s="3">
        <v>0</v>
      </c>
      <c r="F16" s="3">
        <v>4</v>
      </c>
      <c r="G16" s="3">
        <v>12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13</v>
      </c>
      <c r="V16" s="3" t="s">
        <v>20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f t="shared" si="2"/>
        <v>4</v>
      </c>
      <c r="AJ16" s="3">
        <f t="shared" si="3"/>
        <v>7</v>
      </c>
      <c r="AK16" s="3">
        <f t="shared" si="4"/>
        <v>0</v>
      </c>
      <c r="AL16" s="3">
        <f t="shared" si="5"/>
        <v>4</v>
      </c>
      <c r="AM16" s="3">
        <f t="shared" si="6"/>
        <v>12</v>
      </c>
      <c r="AN16" s="3">
        <f t="shared" si="7"/>
        <v>0</v>
      </c>
      <c r="AO16" s="3">
        <v>13</v>
      </c>
      <c r="AP16" s="3" t="s">
        <v>20</v>
      </c>
      <c r="AQ16" s="3">
        <v>3</v>
      </c>
      <c r="AR16" s="3">
        <v>4</v>
      </c>
      <c r="AS16" s="3">
        <v>1</v>
      </c>
      <c r="AT16" s="3">
        <v>8</v>
      </c>
      <c r="AU16" s="3">
        <v>4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4">
        <v>13</v>
      </c>
      <c r="BJ16" s="4" t="s">
        <v>20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13</v>
      </c>
      <c r="BX16" s="4" t="s">
        <v>20</v>
      </c>
      <c r="BY16" s="4">
        <v>6</v>
      </c>
      <c r="BZ16" s="4">
        <v>0</v>
      </c>
      <c r="CA16" s="4">
        <v>0</v>
      </c>
      <c r="CB16" s="4">
        <v>5</v>
      </c>
      <c r="CC16" s="4">
        <v>0</v>
      </c>
      <c r="CD16" s="4">
        <v>0</v>
      </c>
      <c r="CE16" s="4">
        <f t="shared" si="8"/>
        <v>9</v>
      </c>
      <c r="CF16" s="4">
        <f t="shared" si="9"/>
        <v>4</v>
      </c>
      <c r="CG16" s="4">
        <f t="shared" si="10"/>
        <v>1</v>
      </c>
      <c r="CH16" s="4">
        <f t="shared" si="11"/>
        <v>13</v>
      </c>
      <c r="CI16" s="4">
        <f t="shared" si="12"/>
        <v>4</v>
      </c>
      <c r="CJ16" s="4">
        <f t="shared" si="13"/>
        <v>0</v>
      </c>
      <c r="IN16" s="1">
        <v>1</v>
      </c>
    </row>
    <row r="17" spans="1:248" x14ac:dyDescent="0.2">
      <c r="A17" s="3">
        <v>14</v>
      </c>
      <c r="B17" s="3" t="s">
        <v>21</v>
      </c>
      <c r="C17" s="3">
        <v>5</v>
      </c>
      <c r="D17" s="3">
        <v>13</v>
      </c>
      <c r="E17" s="3">
        <v>2</v>
      </c>
      <c r="F17" s="3">
        <v>13</v>
      </c>
      <c r="G17" s="3">
        <v>15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3">
        <v>1</v>
      </c>
      <c r="Q17" s="3">
        <v>0</v>
      </c>
      <c r="R17" s="3">
        <v>1</v>
      </c>
      <c r="S17" s="3">
        <v>1</v>
      </c>
      <c r="T17" s="3">
        <v>0</v>
      </c>
      <c r="U17" s="3">
        <v>14</v>
      </c>
      <c r="V17" s="3" t="s">
        <v>21</v>
      </c>
      <c r="W17" s="3">
        <v>1</v>
      </c>
      <c r="X17" s="3">
        <v>1</v>
      </c>
      <c r="Y17" s="3">
        <v>0</v>
      </c>
      <c r="Z17" s="3">
        <v>4</v>
      </c>
      <c r="AA17" s="3">
        <v>4</v>
      </c>
      <c r="AB17" s="3">
        <v>0</v>
      </c>
      <c r="AC17" s="3">
        <v>1</v>
      </c>
      <c r="AD17" s="3">
        <v>1</v>
      </c>
      <c r="AE17" s="3">
        <v>0</v>
      </c>
      <c r="AF17" s="3">
        <v>4</v>
      </c>
      <c r="AG17" s="3">
        <v>4</v>
      </c>
      <c r="AH17" s="3">
        <v>0</v>
      </c>
      <c r="AI17" s="3">
        <f t="shared" si="2"/>
        <v>8</v>
      </c>
      <c r="AJ17" s="3">
        <f t="shared" si="3"/>
        <v>16</v>
      </c>
      <c r="AK17" s="3">
        <f t="shared" si="4"/>
        <v>2</v>
      </c>
      <c r="AL17" s="3">
        <f t="shared" si="5"/>
        <v>22</v>
      </c>
      <c r="AM17" s="3">
        <f t="shared" si="6"/>
        <v>24</v>
      </c>
      <c r="AN17" s="3">
        <f t="shared" si="7"/>
        <v>2</v>
      </c>
      <c r="AO17" s="3">
        <v>14</v>
      </c>
      <c r="AP17" s="3" t="s">
        <v>21</v>
      </c>
      <c r="AQ17" s="3">
        <v>5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4">
        <v>14</v>
      </c>
      <c r="BJ17" s="4" t="s">
        <v>21</v>
      </c>
      <c r="BK17" s="4">
        <v>5</v>
      </c>
      <c r="BL17" s="4">
        <v>5</v>
      </c>
      <c r="BM17" s="4">
        <v>1</v>
      </c>
      <c r="BN17" s="4">
        <v>26</v>
      </c>
      <c r="BO17" s="4">
        <v>26</v>
      </c>
      <c r="BP17" s="4">
        <v>4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14</v>
      </c>
      <c r="BX17" s="4" t="s">
        <v>21</v>
      </c>
      <c r="BY17" s="4">
        <v>22</v>
      </c>
      <c r="BZ17" s="4">
        <v>19</v>
      </c>
      <c r="CA17" s="4">
        <v>0</v>
      </c>
      <c r="CB17" s="4">
        <v>37</v>
      </c>
      <c r="CC17" s="4">
        <v>36</v>
      </c>
      <c r="CD17" s="4">
        <v>0</v>
      </c>
      <c r="CE17" s="4">
        <f t="shared" si="8"/>
        <v>32</v>
      </c>
      <c r="CF17" s="4">
        <f t="shared" si="9"/>
        <v>24</v>
      </c>
      <c r="CG17" s="4">
        <f t="shared" si="10"/>
        <v>1</v>
      </c>
      <c r="CH17" s="4">
        <f t="shared" si="11"/>
        <v>63</v>
      </c>
      <c r="CI17" s="4">
        <f t="shared" si="12"/>
        <v>62</v>
      </c>
      <c r="CJ17" s="4">
        <f t="shared" si="13"/>
        <v>4</v>
      </c>
      <c r="IN17" s="1">
        <v>1</v>
      </c>
    </row>
    <row r="18" spans="1:248" x14ac:dyDescent="0.2">
      <c r="A18" s="3">
        <v>15</v>
      </c>
      <c r="B18" s="3" t="s">
        <v>22</v>
      </c>
      <c r="C18" s="3">
        <v>7</v>
      </c>
      <c r="D18" s="3">
        <v>34</v>
      </c>
      <c r="E18" s="3">
        <v>0</v>
      </c>
      <c r="F18" s="3">
        <v>7</v>
      </c>
      <c r="G18" s="3">
        <v>50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7</v>
      </c>
      <c r="P18" s="3">
        <v>2</v>
      </c>
      <c r="Q18" s="3">
        <v>0</v>
      </c>
      <c r="R18" s="3">
        <v>9</v>
      </c>
      <c r="S18" s="3">
        <v>2</v>
      </c>
      <c r="T18" s="3">
        <v>0</v>
      </c>
      <c r="U18" s="3">
        <v>15</v>
      </c>
      <c r="V18" s="3" t="s">
        <v>22</v>
      </c>
      <c r="W18" s="3">
        <v>4</v>
      </c>
      <c r="X18" s="3">
        <v>3</v>
      </c>
      <c r="Y18" s="3">
        <v>0</v>
      </c>
      <c r="Z18" s="3">
        <v>4</v>
      </c>
      <c r="AA18" s="3">
        <v>8</v>
      </c>
      <c r="AB18" s="3">
        <v>0</v>
      </c>
      <c r="AC18" s="3">
        <v>13</v>
      </c>
      <c r="AD18" s="3">
        <v>14</v>
      </c>
      <c r="AE18" s="3">
        <v>0</v>
      </c>
      <c r="AF18" s="3">
        <v>27</v>
      </c>
      <c r="AG18" s="3">
        <v>26</v>
      </c>
      <c r="AH18" s="3">
        <v>0</v>
      </c>
      <c r="AI18" s="3">
        <f t="shared" si="2"/>
        <v>31</v>
      </c>
      <c r="AJ18" s="3">
        <f t="shared" si="3"/>
        <v>53</v>
      </c>
      <c r="AK18" s="3">
        <f t="shared" si="4"/>
        <v>0</v>
      </c>
      <c r="AL18" s="3">
        <f t="shared" si="5"/>
        <v>47</v>
      </c>
      <c r="AM18" s="3">
        <f t="shared" si="6"/>
        <v>86</v>
      </c>
      <c r="AN18" s="3">
        <f t="shared" si="7"/>
        <v>0</v>
      </c>
      <c r="AO18" s="3">
        <v>15</v>
      </c>
      <c r="AP18" s="3" t="s">
        <v>22</v>
      </c>
      <c r="AQ18" s="3">
        <v>6</v>
      </c>
      <c r="AR18" s="3">
        <v>6</v>
      </c>
      <c r="AS18" s="3">
        <v>0</v>
      </c>
      <c r="AT18" s="3">
        <v>9</v>
      </c>
      <c r="AU18" s="3">
        <v>7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7</v>
      </c>
      <c r="BD18" s="3">
        <v>6</v>
      </c>
      <c r="BE18" s="3">
        <v>0</v>
      </c>
      <c r="BF18" s="3">
        <v>9</v>
      </c>
      <c r="BG18" s="3">
        <v>9</v>
      </c>
      <c r="BH18" s="3">
        <v>0</v>
      </c>
      <c r="BI18" s="4">
        <v>15</v>
      </c>
      <c r="BJ18" s="4" t="s">
        <v>22</v>
      </c>
      <c r="BK18" s="4">
        <v>1</v>
      </c>
      <c r="BL18" s="4">
        <v>1</v>
      </c>
      <c r="BM18" s="4">
        <v>0</v>
      </c>
      <c r="BN18" s="4">
        <v>1</v>
      </c>
      <c r="BO18" s="4">
        <v>1</v>
      </c>
      <c r="BP18" s="4">
        <v>0</v>
      </c>
      <c r="BQ18" s="4">
        <v>18</v>
      </c>
      <c r="BR18" s="4">
        <v>12</v>
      </c>
      <c r="BS18" s="4">
        <v>2</v>
      </c>
      <c r="BT18" s="4">
        <v>20</v>
      </c>
      <c r="BU18" s="4">
        <v>19</v>
      </c>
      <c r="BV18" s="4">
        <v>2</v>
      </c>
      <c r="BW18" s="4">
        <v>15</v>
      </c>
      <c r="BX18" s="4" t="s">
        <v>22</v>
      </c>
      <c r="BY18" s="4">
        <v>5</v>
      </c>
      <c r="BZ18" s="4">
        <v>3</v>
      </c>
      <c r="CA18" s="4">
        <v>0</v>
      </c>
      <c r="CB18" s="4">
        <v>15</v>
      </c>
      <c r="CC18" s="4">
        <v>35</v>
      </c>
      <c r="CD18" s="4">
        <v>0</v>
      </c>
      <c r="CE18" s="4">
        <f t="shared" si="8"/>
        <v>37</v>
      </c>
      <c r="CF18" s="4">
        <f t="shared" si="9"/>
        <v>28</v>
      </c>
      <c r="CG18" s="4">
        <f t="shared" si="10"/>
        <v>2</v>
      </c>
      <c r="CH18" s="4">
        <f t="shared" si="11"/>
        <v>54</v>
      </c>
      <c r="CI18" s="4">
        <f t="shared" si="12"/>
        <v>71</v>
      </c>
      <c r="CJ18" s="4">
        <f t="shared" si="13"/>
        <v>2</v>
      </c>
      <c r="IN18" s="1">
        <v>1</v>
      </c>
    </row>
    <row r="19" spans="1:248" x14ac:dyDescent="0.2">
      <c r="A19" s="3">
        <v>16</v>
      </c>
      <c r="B19" s="3" t="s">
        <v>23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16</v>
      </c>
      <c r="V19" s="3" t="s">
        <v>23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f t="shared" si="2"/>
        <v>0</v>
      </c>
      <c r="AJ19" s="3">
        <f t="shared" si="3"/>
        <v>0</v>
      </c>
      <c r="AK19" s="3">
        <f t="shared" si="4"/>
        <v>0</v>
      </c>
      <c r="AL19" s="3">
        <f t="shared" si="5"/>
        <v>0</v>
      </c>
      <c r="AM19" s="3">
        <f t="shared" si="6"/>
        <v>0</v>
      </c>
      <c r="AN19" s="3">
        <f t="shared" si="7"/>
        <v>0</v>
      </c>
      <c r="AO19" s="3">
        <v>16</v>
      </c>
      <c r="AP19" s="3" t="s">
        <v>23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4">
        <v>16</v>
      </c>
      <c r="BJ19" s="4" t="s">
        <v>23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16</v>
      </c>
      <c r="BX19" s="4" t="s">
        <v>23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f t="shared" si="8"/>
        <v>0</v>
      </c>
      <c r="CF19" s="4">
        <f t="shared" si="9"/>
        <v>0</v>
      </c>
      <c r="CG19" s="4">
        <f t="shared" si="10"/>
        <v>0</v>
      </c>
      <c r="CH19" s="4">
        <f t="shared" si="11"/>
        <v>0</v>
      </c>
      <c r="CI19" s="4">
        <f t="shared" si="12"/>
        <v>0</v>
      </c>
      <c r="CJ19" s="4">
        <f t="shared" si="13"/>
        <v>0</v>
      </c>
      <c r="IN19" s="1">
        <v>1</v>
      </c>
    </row>
    <row r="20" spans="1:248" x14ac:dyDescent="0.2">
      <c r="A20" s="3">
        <v>17</v>
      </c>
      <c r="B20" s="3" t="s">
        <v>24</v>
      </c>
      <c r="C20" s="3">
        <v>11</v>
      </c>
      <c r="D20" s="3">
        <v>6</v>
      </c>
      <c r="E20" s="3">
        <v>0</v>
      </c>
      <c r="F20" s="3">
        <v>12</v>
      </c>
      <c r="G20" s="3">
        <v>6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17</v>
      </c>
      <c r="V20" s="3" t="s">
        <v>24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f t="shared" si="2"/>
        <v>12</v>
      </c>
      <c r="AJ20" s="3">
        <f t="shared" si="3"/>
        <v>6</v>
      </c>
      <c r="AK20" s="3">
        <f t="shared" si="4"/>
        <v>0</v>
      </c>
      <c r="AL20" s="3">
        <f t="shared" si="5"/>
        <v>12</v>
      </c>
      <c r="AM20" s="3">
        <f t="shared" si="6"/>
        <v>6</v>
      </c>
      <c r="AN20" s="3">
        <f t="shared" si="7"/>
        <v>0</v>
      </c>
      <c r="AO20" s="3">
        <v>17</v>
      </c>
      <c r="AP20" s="3" t="s">
        <v>24</v>
      </c>
      <c r="AQ20" s="3">
        <v>18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4">
        <v>17</v>
      </c>
      <c r="BJ20" s="4" t="s">
        <v>24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17</v>
      </c>
      <c r="BX20" s="4" t="s">
        <v>24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f t="shared" si="8"/>
        <v>18</v>
      </c>
      <c r="CF20" s="4">
        <f t="shared" si="9"/>
        <v>0</v>
      </c>
      <c r="CG20" s="4">
        <f t="shared" si="10"/>
        <v>0</v>
      </c>
      <c r="CH20" s="4">
        <f t="shared" si="11"/>
        <v>0</v>
      </c>
      <c r="CI20" s="4">
        <f t="shared" si="12"/>
        <v>0</v>
      </c>
      <c r="CJ20" s="4">
        <f t="shared" si="13"/>
        <v>0</v>
      </c>
      <c r="IN20" s="1">
        <v>1</v>
      </c>
    </row>
    <row r="21" spans="1:248" x14ac:dyDescent="0.2">
      <c r="A21" s="3">
        <v>18</v>
      </c>
      <c r="B21" s="3" t="s">
        <v>25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18</v>
      </c>
      <c r="V21" s="3" t="s">
        <v>25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f t="shared" si="2"/>
        <v>0</v>
      </c>
      <c r="AJ21" s="3">
        <f t="shared" si="3"/>
        <v>0</v>
      </c>
      <c r="AK21" s="3">
        <f t="shared" si="4"/>
        <v>0</v>
      </c>
      <c r="AL21" s="3">
        <f t="shared" si="5"/>
        <v>0</v>
      </c>
      <c r="AM21" s="3">
        <f t="shared" si="6"/>
        <v>0</v>
      </c>
      <c r="AN21" s="3">
        <f t="shared" si="7"/>
        <v>0</v>
      </c>
      <c r="AO21" s="3">
        <v>18</v>
      </c>
      <c r="AP21" s="3" t="s">
        <v>25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4">
        <v>18</v>
      </c>
      <c r="BJ21" s="4" t="s">
        <v>25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18</v>
      </c>
      <c r="BX21" s="4" t="s">
        <v>25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f t="shared" si="8"/>
        <v>0</v>
      </c>
      <c r="CF21" s="4">
        <f t="shared" si="9"/>
        <v>0</v>
      </c>
      <c r="CG21" s="4">
        <f t="shared" si="10"/>
        <v>0</v>
      </c>
      <c r="CH21" s="4">
        <f t="shared" si="11"/>
        <v>0</v>
      </c>
      <c r="CI21" s="4">
        <f t="shared" si="12"/>
        <v>0</v>
      </c>
      <c r="CJ21" s="4">
        <f t="shared" si="13"/>
        <v>0</v>
      </c>
      <c r="IN21" s="1">
        <v>1</v>
      </c>
    </row>
    <row r="22" spans="1:248" x14ac:dyDescent="0.2">
      <c r="A22" s="3">
        <v>19</v>
      </c>
      <c r="B22" s="3" t="s">
        <v>26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19</v>
      </c>
      <c r="V22" s="3" t="s">
        <v>26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f t="shared" si="2"/>
        <v>0</v>
      </c>
      <c r="AJ22" s="3">
        <f t="shared" si="3"/>
        <v>0</v>
      </c>
      <c r="AK22" s="3">
        <f t="shared" si="4"/>
        <v>0</v>
      </c>
      <c r="AL22" s="3">
        <f t="shared" si="5"/>
        <v>0</v>
      </c>
      <c r="AM22" s="3">
        <f t="shared" si="6"/>
        <v>0</v>
      </c>
      <c r="AN22" s="3">
        <f t="shared" si="7"/>
        <v>0</v>
      </c>
      <c r="AO22" s="3">
        <v>19</v>
      </c>
      <c r="AP22" s="3" t="s">
        <v>26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4">
        <v>19</v>
      </c>
      <c r="BJ22" s="4" t="s">
        <v>26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19</v>
      </c>
      <c r="BX22" s="4" t="s">
        <v>26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f t="shared" si="8"/>
        <v>0</v>
      </c>
      <c r="CF22" s="4">
        <f t="shared" si="9"/>
        <v>0</v>
      </c>
      <c r="CG22" s="4">
        <f t="shared" si="10"/>
        <v>0</v>
      </c>
      <c r="CH22" s="4">
        <f t="shared" si="11"/>
        <v>0</v>
      </c>
      <c r="CI22" s="4">
        <f t="shared" si="12"/>
        <v>0</v>
      </c>
      <c r="CJ22" s="4">
        <f t="shared" si="13"/>
        <v>0</v>
      </c>
      <c r="IN22" s="1">
        <v>1</v>
      </c>
    </row>
    <row r="23" spans="1:248" x14ac:dyDescent="0.2">
      <c r="A23" s="3">
        <v>20</v>
      </c>
      <c r="B23" s="3" t="s">
        <v>27</v>
      </c>
      <c r="C23" s="3">
        <v>74</v>
      </c>
      <c r="D23" s="3">
        <v>20</v>
      </c>
      <c r="E23" s="3">
        <v>0</v>
      </c>
      <c r="F23" s="3">
        <v>32</v>
      </c>
      <c r="G23" s="3">
        <v>32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20</v>
      </c>
      <c r="V23" s="3" t="s">
        <v>27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1</v>
      </c>
      <c r="AD23" s="3">
        <v>1</v>
      </c>
      <c r="AE23" s="3">
        <v>0</v>
      </c>
      <c r="AF23" s="3">
        <v>1</v>
      </c>
      <c r="AG23" s="3">
        <v>1</v>
      </c>
      <c r="AH23" s="3">
        <v>0</v>
      </c>
      <c r="AI23" s="3">
        <f t="shared" si="2"/>
        <v>75</v>
      </c>
      <c r="AJ23" s="3">
        <f t="shared" si="3"/>
        <v>21</v>
      </c>
      <c r="AK23" s="3">
        <f t="shared" si="4"/>
        <v>0</v>
      </c>
      <c r="AL23" s="3">
        <f t="shared" si="5"/>
        <v>33</v>
      </c>
      <c r="AM23" s="3">
        <f t="shared" si="6"/>
        <v>33</v>
      </c>
      <c r="AN23" s="3">
        <f t="shared" si="7"/>
        <v>0</v>
      </c>
      <c r="AO23" s="3">
        <v>20</v>
      </c>
      <c r="AP23" s="3" t="s">
        <v>27</v>
      </c>
      <c r="AQ23" s="3">
        <v>7</v>
      </c>
      <c r="AR23" s="3">
        <v>65</v>
      </c>
      <c r="AS23" s="3">
        <v>0</v>
      </c>
      <c r="AT23" s="3">
        <v>67</v>
      </c>
      <c r="AU23" s="3">
        <v>67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4">
        <v>20</v>
      </c>
      <c r="BJ23" s="4" t="s">
        <v>27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20</v>
      </c>
      <c r="BX23" s="4" t="s">
        <v>27</v>
      </c>
      <c r="BY23" s="4">
        <v>20</v>
      </c>
      <c r="BZ23" s="4">
        <v>7</v>
      </c>
      <c r="CA23" s="4">
        <v>0</v>
      </c>
      <c r="CB23" s="4">
        <v>12</v>
      </c>
      <c r="CC23" s="4">
        <v>12</v>
      </c>
      <c r="CD23" s="4">
        <v>0</v>
      </c>
      <c r="CE23" s="4">
        <f t="shared" si="8"/>
        <v>27</v>
      </c>
      <c r="CF23" s="4">
        <f t="shared" si="9"/>
        <v>72</v>
      </c>
      <c r="CG23" s="4">
        <f t="shared" si="10"/>
        <v>0</v>
      </c>
      <c r="CH23" s="4">
        <f t="shared" si="11"/>
        <v>79</v>
      </c>
      <c r="CI23" s="4">
        <f t="shared" si="12"/>
        <v>79</v>
      </c>
      <c r="CJ23" s="4">
        <f t="shared" si="13"/>
        <v>0</v>
      </c>
      <c r="IN23" s="1">
        <v>1</v>
      </c>
    </row>
    <row r="24" spans="1:248" x14ac:dyDescent="0.2">
      <c r="A24" s="3">
        <v>21</v>
      </c>
      <c r="B24" s="3" t="s">
        <v>28</v>
      </c>
      <c r="C24" s="3">
        <v>5</v>
      </c>
      <c r="D24" s="3">
        <v>4</v>
      </c>
      <c r="E24" s="3">
        <v>1</v>
      </c>
      <c r="F24" s="3">
        <v>4</v>
      </c>
      <c r="G24" s="3">
        <v>4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21</v>
      </c>
      <c r="V24" s="3" t="s">
        <v>28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f t="shared" si="2"/>
        <v>5</v>
      </c>
      <c r="AJ24" s="3">
        <f t="shared" si="3"/>
        <v>4</v>
      </c>
      <c r="AK24" s="3">
        <f t="shared" si="4"/>
        <v>1</v>
      </c>
      <c r="AL24" s="3">
        <f t="shared" si="5"/>
        <v>4</v>
      </c>
      <c r="AM24" s="3">
        <f t="shared" si="6"/>
        <v>4</v>
      </c>
      <c r="AN24" s="3">
        <f t="shared" si="7"/>
        <v>1</v>
      </c>
      <c r="AO24" s="3">
        <v>21</v>
      </c>
      <c r="AP24" s="3" t="s">
        <v>28</v>
      </c>
      <c r="AQ24" s="3">
        <v>6</v>
      </c>
      <c r="AR24" s="3">
        <v>3</v>
      </c>
      <c r="AS24" s="3">
        <v>0</v>
      </c>
      <c r="AT24" s="3">
        <v>7</v>
      </c>
      <c r="AU24" s="3">
        <v>3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4">
        <v>21</v>
      </c>
      <c r="BJ24" s="4" t="s">
        <v>28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1</v>
      </c>
      <c r="BR24" s="4">
        <v>1</v>
      </c>
      <c r="BS24" s="4">
        <v>1</v>
      </c>
      <c r="BT24" s="4">
        <v>11</v>
      </c>
      <c r="BU24" s="4">
        <v>11</v>
      </c>
      <c r="BV24" s="4">
        <v>11</v>
      </c>
      <c r="BW24" s="4">
        <v>21</v>
      </c>
      <c r="BX24" s="4" t="s">
        <v>28</v>
      </c>
      <c r="BY24" s="4">
        <v>2</v>
      </c>
      <c r="BZ24" s="4">
        <v>0</v>
      </c>
      <c r="CA24" s="4">
        <v>0</v>
      </c>
      <c r="CB24" s="4">
        <v>7</v>
      </c>
      <c r="CC24" s="4">
        <v>0</v>
      </c>
      <c r="CD24" s="4">
        <v>0</v>
      </c>
      <c r="CE24" s="4">
        <f t="shared" si="8"/>
        <v>9</v>
      </c>
      <c r="CF24" s="4">
        <f t="shared" si="9"/>
        <v>4</v>
      </c>
      <c r="CG24" s="4">
        <f t="shared" si="10"/>
        <v>1</v>
      </c>
      <c r="CH24" s="4">
        <f t="shared" si="11"/>
        <v>25</v>
      </c>
      <c r="CI24" s="4">
        <f t="shared" si="12"/>
        <v>14</v>
      </c>
      <c r="CJ24" s="4">
        <f t="shared" si="13"/>
        <v>11</v>
      </c>
      <c r="IN24" s="1">
        <v>1</v>
      </c>
    </row>
    <row r="25" spans="1:248" x14ac:dyDescent="0.2">
      <c r="A25" s="3">
        <v>22</v>
      </c>
      <c r="B25" s="3" t="s">
        <v>29</v>
      </c>
      <c r="C25" s="3">
        <v>61</v>
      </c>
      <c r="D25" s="3">
        <v>33</v>
      </c>
      <c r="E25" s="3">
        <v>4</v>
      </c>
      <c r="F25" s="3">
        <v>36</v>
      </c>
      <c r="G25" s="3">
        <v>36</v>
      </c>
      <c r="H25" s="3">
        <v>4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22</v>
      </c>
      <c r="V25" s="3" t="s">
        <v>29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f t="shared" si="2"/>
        <v>61</v>
      </c>
      <c r="AJ25" s="3">
        <f t="shared" si="3"/>
        <v>33</v>
      </c>
      <c r="AK25" s="3">
        <f t="shared" si="4"/>
        <v>4</v>
      </c>
      <c r="AL25" s="3">
        <f t="shared" si="5"/>
        <v>36</v>
      </c>
      <c r="AM25" s="3">
        <f t="shared" si="6"/>
        <v>36</v>
      </c>
      <c r="AN25" s="3">
        <f t="shared" si="7"/>
        <v>4</v>
      </c>
      <c r="AO25" s="3">
        <v>22</v>
      </c>
      <c r="AP25" s="3" t="s">
        <v>29</v>
      </c>
      <c r="AQ25" s="3">
        <v>38</v>
      </c>
      <c r="AR25" s="3">
        <v>15</v>
      </c>
      <c r="AS25" s="3">
        <v>8</v>
      </c>
      <c r="AT25" s="3">
        <v>15</v>
      </c>
      <c r="AU25" s="3">
        <v>15</v>
      </c>
      <c r="AV25" s="3">
        <v>8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4">
        <v>22</v>
      </c>
      <c r="BJ25" s="4" t="s">
        <v>29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22</v>
      </c>
      <c r="BX25" s="4" t="s">
        <v>29</v>
      </c>
      <c r="BY25" s="4">
        <v>6</v>
      </c>
      <c r="BZ25" s="4">
        <v>5</v>
      </c>
      <c r="CA25" s="4">
        <v>0</v>
      </c>
      <c r="CB25" s="4">
        <v>8</v>
      </c>
      <c r="CC25" s="4">
        <v>8</v>
      </c>
      <c r="CD25" s="4">
        <v>0</v>
      </c>
      <c r="CE25" s="4">
        <f t="shared" si="8"/>
        <v>44</v>
      </c>
      <c r="CF25" s="4">
        <f t="shared" si="9"/>
        <v>20</v>
      </c>
      <c r="CG25" s="4">
        <f t="shared" si="10"/>
        <v>8</v>
      </c>
      <c r="CH25" s="4">
        <f t="shared" si="11"/>
        <v>23</v>
      </c>
      <c r="CI25" s="4">
        <f t="shared" si="12"/>
        <v>23</v>
      </c>
      <c r="CJ25" s="4">
        <f t="shared" si="13"/>
        <v>8</v>
      </c>
      <c r="IN25" s="1">
        <v>1</v>
      </c>
    </row>
    <row r="26" spans="1:248" x14ac:dyDescent="0.2">
      <c r="A26" s="3">
        <v>23</v>
      </c>
      <c r="B26" s="3" t="s">
        <v>30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23</v>
      </c>
      <c r="V26" s="3" t="s">
        <v>30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f t="shared" si="2"/>
        <v>0</v>
      </c>
      <c r="AJ26" s="3">
        <f t="shared" si="3"/>
        <v>0</v>
      </c>
      <c r="AK26" s="3">
        <f t="shared" si="4"/>
        <v>0</v>
      </c>
      <c r="AL26" s="3">
        <f t="shared" si="5"/>
        <v>0</v>
      </c>
      <c r="AM26" s="3">
        <f t="shared" si="6"/>
        <v>0</v>
      </c>
      <c r="AN26" s="3">
        <f t="shared" si="7"/>
        <v>0</v>
      </c>
      <c r="AO26" s="3">
        <v>23</v>
      </c>
      <c r="AP26" s="3" t="s">
        <v>30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4">
        <v>23</v>
      </c>
      <c r="BJ26" s="4" t="s">
        <v>30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23</v>
      </c>
      <c r="BX26" s="4" t="s">
        <v>30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f t="shared" si="8"/>
        <v>0</v>
      </c>
      <c r="CF26" s="4">
        <f t="shared" si="9"/>
        <v>0</v>
      </c>
      <c r="CG26" s="4">
        <f t="shared" si="10"/>
        <v>0</v>
      </c>
      <c r="CH26" s="4">
        <f t="shared" si="11"/>
        <v>0</v>
      </c>
      <c r="CI26" s="4">
        <f t="shared" si="12"/>
        <v>0</v>
      </c>
      <c r="CJ26" s="4">
        <f t="shared" si="13"/>
        <v>0</v>
      </c>
      <c r="IN26" s="1">
        <v>1</v>
      </c>
    </row>
    <row r="27" spans="1:248" x14ac:dyDescent="0.2">
      <c r="A27" s="3">
        <v>24</v>
      </c>
      <c r="B27" s="3" t="s">
        <v>31</v>
      </c>
      <c r="C27" s="3">
        <v>0</v>
      </c>
      <c r="D27" s="3">
        <v>2</v>
      </c>
      <c r="E27" s="3">
        <v>0</v>
      </c>
      <c r="F27" s="3">
        <v>0</v>
      </c>
      <c r="G27" s="3">
        <v>10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24</v>
      </c>
      <c r="V27" s="3" t="s">
        <v>31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1</v>
      </c>
      <c r="AD27" s="3">
        <v>0</v>
      </c>
      <c r="AE27" s="3">
        <v>0</v>
      </c>
      <c r="AF27" s="3">
        <v>3</v>
      </c>
      <c r="AG27" s="3">
        <v>0</v>
      </c>
      <c r="AH27" s="3">
        <v>0</v>
      </c>
      <c r="AI27" s="3">
        <f t="shared" si="2"/>
        <v>1</v>
      </c>
      <c r="AJ27" s="3">
        <f t="shared" si="3"/>
        <v>2</v>
      </c>
      <c r="AK27" s="3">
        <f t="shared" si="4"/>
        <v>0</v>
      </c>
      <c r="AL27" s="3">
        <f t="shared" si="5"/>
        <v>3</v>
      </c>
      <c r="AM27" s="3">
        <f t="shared" si="6"/>
        <v>10</v>
      </c>
      <c r="AN27" s="3">
        <f t="shared" si="7"/>
        <v>0</v>
      </c>
      <c r="AO27" s="3">
        <v>24</v>
      </c>
      <c r="AP27" s="3" t="s">
        <v>31</v>
      </c>
      <c r="AQ27" s="3">
        <v>9</v>
      </c>
      <c r="AR27" s="3">
        <v>1</v>
      </c>
      <c r="AS27" s="3">
        <v>0</v>
      </c>
      <c r="AT27" s="3">
        <v>7</v>
      </c>
      <c r="AU27" s="3">
        <v>1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4">
        <v>24</v>
      </c>
      <c r="BJ27" s="4" t="s">
        <v>31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1</v>
      </c>
      <c r="BR27" s="4">
        <v>0</v>
      </c>
      <c r="BS27" s="4">
        <v>0</v>
      </c>
      <c r="BT27" s="4">
        <v>1</v>
      </c>
      <c r="BU27" s="4">
        <v>0</v>
      </c>
      <c r="BV27" s="4">
        <v>0</v>
      </c>
      <c r="BW27" s="4">
        <v>24</v>
      </c>
      <c r="BX27" s="4" t="s">
        <v>31</v>
      </c>
      <c r="BY27" s="4">
        <v>3</v>
      </c>
      <c r="BZ27" s="4">
        <v>3</v>
      </c>
      <c r="CA27" s="4">
        <v>0</v>
      </c>
      <c r="CB27" s="4">
        <v>7</v>
      </c>
      <c r="CC27" s="4">
        <v>7</v>
      </c>
      <c r="CD27" s="4">
        <v>0</v>
      </c>
      <c r="CE27" s="4">
        <f t="shared" si="8"/>
        <v>13</v>
      </c>
      <c r="CF27" s="4">
        <f t="shared" si="9"/>
        <v>4</v>
      </c>
      <c r="CG27" s="4">
        <f t="shared" si="10"/>
        <v>0</v>
      </c>
      <c r="CH27" s="4">
        <f t="shared" si="11"/>
        <v>15</v>
      </c>
      <c r="CI27" s="4">
        <f t="shared" si="12"/>
        <v>8</v>
      </c>
      <c r="CJ27" s="4">
        <f t="shared" si="13"/>
        <v>0</v>
      </c>
      <c r="IN27" s="1">
        <v>1</v>
      </c>
    </row>
    <row r="28" spans="1:248" x14ac:dyDescent="0.2">
      <c r="A28" s="3">
        <v>25</v>
      </c>
      <c r="B28" s="3" t="s">
        <v>32</v>
      </c>
      <c r="C28" s="3">
        <v>26</v>
      </c>
      <c r="D28" s="3">
        <v>27</v>
      </c>
      <c r="E28" s="3">
        <v>0</v>
      </c>
      <c r="F28" s="3">
        <v>33</v>
      </c>
      <c r="G28" s="3">
        <v>33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25</v>
      </c>
      <c r="V28" s="3" t="s">
        <v>32</v>
      </c>
      <c r="W28" s="3">
        <v>1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3</v>
      </c>
      <c r="AD28" s="3">
        <v>3</v>
      </c>
      <c r="AE28" s="3">
        <v>0</v>
      </c>
      <c r="AF28" s="3">
        <v>17</v>
      </c>
      <c r="AG28" s="3">
        <v>17</v>
      </c>
      <c r="AH28" s="3">
        <v>0</v>
      </c>
      <c r="AI28" s="3">
        <f t="shared" si="2"/>
        <v>30</v>
      </c>
      <c r="AJ28" s="3">
        <f t="shared" si="3"/>
        <v>30</v>
      </c>
      <c r="AK28" s="3">
        <f t="shared" si="4"/>
        <v>0</v>
      </c>
      <c r="AL28" s="3">
        <f t="shared" si="5"/>
        <v>50</v>
      </c>
      <c r="AM28" s="3">
        <f t="shared" si="6"/>
        <v>50</v>
      </c>
      <c r="AN28" s="3">
        <f t="shared" si="7"/>
        <v>0</v>
      </c>
      <c r="AO28" s="3">
        <v>25</v>
      </c>
      <c r="AP28" s="3" t="s">
        <v>32</v>
      </c>
      <c r="AQ28" s="3">
        <v>42</v>
      </c>
      <c r="AR28" s="3">
        <v>36</v>
      </c>
      <c r="AS28" s="3">
        <v>4</v>
      </c>
      <c r="AT28" s="3">
        <v>42</v>
      </c>
      <c r="AU28" s="3">
        <v>51</v>
      </c>
      <c r="AV28" s="3">
        <v>4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1</v>
      </c>
      <c r="BD28" s="3">
        <v>1</v>
      </c>
      <c r="BE28" s="3">
        <v>0</v>
      </c>
      <c r="BF28" s="3">
        <v>1</v>
      </c>
      <c r="BG28" s="3">
        <v>1</v>
      </c>
      <c r="BH28" s="3">
        <v>0</v>
      </c>
      <c r="BI28" s="4">
        <v>25</v>
      </c>
      <c r="BJ28" s="4" t="s">
        <v>32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1</v>
      </c>
      <c r="BR28" s="4">
        <v>1</v>
      </c>
      <c r="BS28" s="4">
        <v>0</v>
      </c>
      <c r="BT28" s="4">
        <v>2</v>
      </c>
      <c r="BU28" s="4">
        <v>2</v>
      </c>
      <c r="BV28" s="4">
        <v>0</v>
      </c>
      <c r="BW28" s="4">
        <v>25</v>
      </c>
      <c r="BX28" s="4" t="s">
        <v>32</v>
      </c>
      <c r="BY28" s="4">
        <v>11</v>
      </c>
      <c r="BZ28" s="4">
        <v>7</v>
      </c>
      <c r="CA28" s="4">
        <v>0</v>
      </c>
      <c r="CB28" s="4">
        <v>13</v>
      </c>
      <c r="CC28" s="4">
        <v>8</v>
      </c>
      <c r="CD28" s="4">
        <v>0</v>
      </c>
      <c r="CE28" s="4">
        <f t="shared" si="8"/>
        <v>55</v>
      </c>
      <c r="CF28" s="4">
        <f t="shared" si="9"/>
        <v>45</v>
      </c>
      <c r="CG28" s="4">
        <f t="shared" si="10"/>
        <v>4</v>
      </c>
      <c r="CH28" s="4">
        <f t="shared" si="11"/>
        <v>58</v>
      </c>
      <c r="CI28" s="4">
        <f t="shared" si="12"/>
        <v>62</v>
      </c>
      <c r="CJ28" s="4">
        <f t="shared" si="13"/>
        <v>4</v>
      </c>
      <c r="IN28" s="1">
        <v>1</v>
      </c>
    </row>
    <row r="29" spans="1:248" x14ac:dyDescent="0.2">
      <c r="A29" s="3">
        <v>26</v>
      </c>
      <c r="B29" s="3" t="s">
        <v>33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26</v>
      </c>
      <c r="V29" s="3" t="s">
        <v>33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f t="shared" si="2"/>
        <v>0</v>
      </c>
      <c r="AJ29" s="3">
        <f t="shared" si="3"/>
        <v>0</v>
      </c>
      <c r="AK29" s="3">
        <f t="shared" si="4"/>
        <v>0</v>
      </c>
      <c r="AL29" s="3">
        <f t="shared" si="5"/>
        <v>0</v>
      </c>
      <c r="AM29" s="3">
        <f t="shared" si="6"/>
        <v>0</v>
      </c>
      <c r="AN29" s="3">
        <f t="shared" si="7"/>
        <v>0</v>
      </c>
      <c r="AO29" s="3">
        <v>26</v>
      </c>
      <c r="AP29" s="3" t="s">
        <v>33</v>
      </c>
      <c r="AQ29" s="3">
        <v>14</v>
      </c>
      <c r="AR29" s="3">
        <v>3</v>
      </c>
      <c r="AS29" s="3">
        <v>0</v>
      </c>
      <c r="AT29" s="3">
        <v>2</v>
      </c>
      <c r="AU29" s="3">
        <v>3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4">
        <v>26</v>
      </c>
      <c r="BJ29" s="4" t="s">
        <v>33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26</v>
      </c>
      <c r="BX29" s="4" t="s">
        <v>33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f t="shared" si="8"/>
        <v>14</v>
      </c>
      <c r="CF29" s="4">
        <f t="shared" si="9"/>
        <v>3</v>
      </c>
      <c r="CG29" s="4">
        <f t="shared" si="10"/>
        <v>0</v>
      </c>
      <c r="CH29" s="4">
        <f t="shared" si="11"/>
        <v>2</v>
      </c>
      <c r="CI29" s="4">
        <f t="shared" si="12"/>
        <v>3</v>
      </c>
      <c r="CJ29" s="4">
        <f t="shared" si="13"/>
        <v>0</v>
      </c>
      <c r="IN29" s="1">
        <v>1</v>
      </c>
    </row>
    <row r="30" spans="1:248" x14ac:dyDescent="0.2">
      <c r="A30" s="3">
        <v>27</v>
      </c>
      <c r="B30" s="3" t="s">
        <v>34</v>
      </c>
      <c r="C30" s="3">
        <v>0</v>
      </c>
      <c r="D30" s="3">
        <v>0</v>
      </c>
      <c r="E30" s="3">
        <v>1</v>
      </c>
      <c r="F30" s="3">
        <v>0</v>
      </c>
      <c r="G30" s="3">
        <v>0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27</v>
      </c>
      <c r="V30" s="3" t="s">
        <v>34</v>
      </c>
      <c r="W30" s="3">
        <v>0</v>
      </c>
      <c r="X30" s="3">
        <v>0</v>
      </c>
      <c r="Y30" s="3">
        <v>1</v>
      </c>
      <c r="Z30" s="3">
        <v>0</v>
      </c>
      <c r="AA30" s="3">
        <v>0</v>
      </c>
      <c r="AB30" s="3">
        <v>1</v>
      </c>
      <c r="AC30" s="3">
        <v>2</v>
      </c>
      <c r="AD30" s="3">
        <v>2</v>
      </c>
      <c r="AE30" s="3">
        <v>0</v>
      </c>
      <c r="AF30" s="3">
        <v>6</v>
      </c>
      <c r="AG30" s="3">
        <v>4</v>
      </c>
      <c r="AH30" s="3">
        <v>0</v>
      </c>
      <c r="AI30" s="3">
        <f t="shared" si="2"/>
        <v>2</v>
      </c>
      <c r="AJ30" s="3">
        <f t="shared" si="3"/>
        <v>2</v>
      </c>
      <c r="AK30" s="3">
        <f t="shared" si="4"/>
        <v>2</v>
      </c>
      <c r="AL30" s="3">
        <f t="shared" si="5"/>
        <v>6</v>
      </c>
      <c r="AM30" s="3">
        <f t="shared" si="6"/>
        <v>4</v>
      </c>
      <c r="AN30" s="3">
        <f t="shared" si="7"/>
        <v>3</v>
      </c>
      <c r="AO30" s="3">
        <v>27</v>
      </c>
      <c r="AP30" s="3" t="s">
        <v>34</v>
      </c>
      <c r="AQ30" s="3">
        <v>1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2</v>
      </c>
      <c r="BD30" s="3">
        <v>2</v>
      </c>
      <c r="BE30" s="3">
        <v>0</v>
      </c>
      <c r="BF30" s="3">
        <v>2</v>
      </c>
      <c r="BG30" s="3">
        <v>2</v>
      </c>
      <c r="BH30" s="3">
        <v>0</v>
      </c>
      <c r="BI30" s="4">
        <v>27</v>
      </c>
      <c r="BJ30" s="4" t="s">
        <v>34</v>
      </c>
      <c r="BK30" s="4">
        <v>4</v>
      </c>
      <c r="BL30" s="4">
        <v>2</v>
      </c>
      <c r="BM30" s="4">
        <v>0</v>
      </c>
      <c r="BN30" s="4">
        <v>10</v>
      </c>
      <c r="BO30" s="4">
        <v>5</v>
      </c>
      <c r="BP30" s="4">
        <v>0</v>
      </c>
      <c r="BQ30" s="4">
        <v>3</v>
      </c>
      <c r="BR30" s="4">
        <v>3</v>
      </c>
      <c r="BS30" s="4">
        <v>0</v>
      </c>
      <c r="BT30" s="4">
        <v>21</v>
      </c>
      <c r="BU30" s="4">
        <v>21</v>
      </c>
      <c r="BV30" s="4">
        <v>0</v>
      </c>
      <c r="BW30" s="4">
        <v>27</v>
      </c>
      <c r="BX30" s="4" t="s">
        <v>34</v>
      </c>
      <c r="BY30" s="4">
        <v>3</v>
      </c>
      <c r="BZ30" s="4">
        <v>0</v>
      </c>
      <c r="CA30" s="4">
        <v>0</v>
      </c>
      <c r="CB30" s="4">
        <v>6</v>
      </c>
      <c r="CC30" s="4">
        <v>0</v>
      </c>
      <c r="CD30" s="4">
        <v>0</v>
      </c>
      <c r="CE30" s="4">
        <f t="shared" si="8"/>
        <v>13</v>
      </c>
      <c r="CF30" s="4">
        <f t="shared" si="9"/>
        <v>7</v>
      </c>
      <c r="CG30" s="4">
        <f t="shared" si="10"/>
        <v>0</v>
      </c>
      <c r="CH30" s="4">
        <f t="shared" si="11"/>
        <v>39</v>
      </c>
      <c r="CI30" s="4">
        <f t="shared" si="12"/>
        <v>28</v>
      </c>
      <c r="CJ30" s="4">
        <f t="shared" si="13"/>
        <v>0</v>
      </c>
      <c r="IN30" s="1">
        <v>1</v>
      </c>
    </row>
    <row r="31" spans="1:248" x14ac:dyDescent="0.2">
      <c r="A31" s="3">
        <v>28</v>
      </c>
      <c r="B31" s="3" t="s">
        <v>35</v>
      </c>
      <c r="C31" s="3">
        <v>0</v>
      </c>
      <c r="D31" s="3">
        <v>0</v>
      </c>
      <c r="E31" s="3">
        <v>1</v>
      </c>
      <c r="F31" s="3">
        <v>0</v>
      </c>
      <c r="G31" s="3">
        <v>0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28</v>
      </c>
      <c r="V31" s="3" t="s">
        <v>35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3</v>
      </c>
      <c r="AD31" s="3">
        <v>3</v>
      </c>
      <c r="AE31" s="3">
        <v>0</v>
      </c>
      <c r="AF31" s="3">
        <v>3</v>
      </c>
      <c r="AG31" s="3">
        <v>3</v>
      </c>
      <c r="AH31" s="3">
        <v>0</v>
      </c>
      <c r="AI31" s="3">
        <f t="shared" si="2"/>
        <v>3</v>
      </c>
      <c r="AJ31" s="3">
        <f t="shared" si="3"/>
        <v>3</v>
      </c>
      <c r="AK31" s="3">
        <f t="shared" si="4"/>
        <v>1</v>
      </c>
      <c r="AL31" s="3">
        <f t="shared" si="5"/>
        <v>3</v>
      </c>
      <c r="AM31" s="3">
        <f t="shared" si="6"/>
        <v>3</v>
      </c>
      <c r="AN31" s="3">
        <f t="shared" si="7"/>
        <v>1</v>
      </c>
      <c r="AO31" s="3">
        <v>28</v>
      </c>
      <c r="AP31" s="3" t="s">
        <v>35</v>
      </c>
      <c r="AQ31" s="3">
        <v>1</v>
      </c>
      <c r="AR31" s="3">
        <v>0</v>
      </c>
      <c r="AS31" s="3">
        <v>2</v>
      </c>
      <c r="AT31" s="3">
        <v>0</v>
      </c>
      <c r="AU31" s="3">
        <v>0</v>
      </c>
      <c r="AV31" s="3">
        <v>2</v>
      </c>
      <c r="AW31" s="3">
        <v>1</v>
      </c>
      <c r="AX31" s="3">
        <v>1</v>
      </c>
      <c r="AY31" s="3">
        <v>0</v>
      </c>
      <c r="AZ31" s="3">
        <v>1</v>
      </c>
      <c r="BA31" s="3">
        <v>1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4">
        <v>28</v>
      </c>
      <c r="BJ31" s="4" t="s">
        <v>35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1</v>
      </c>
      <c r="BR31" s="4">
        <v>1</v>
      </c>
      <c r="BS31" s="4">
        <v>0</v>
      </c>
      <c r="BT31" s="4">
        <v>1</v>
      </c>
      <c r="BU31" s="4">
        <v>1</v>
      </c>
      <c r="BV31" s="4">
        <v>0</v>
      </c>
      <c r="BW31" s="4">
        <v>28</v>
      </c>
      <c r="BX31" s="4" t="s">
        <v>35</v>
      </c>
      <c r="BY31" s="4">
        <v>4</v>
      </c>
      <c r="BZ31" s="4">
        <v>3</v>
      </c>
      <c r="CA31" s="4">
        <v>0</v>
      </c>
      <c r="CB31" s="4">
        <v>3</v>
      </c>
      <c r="CC31" s="4">
        <v>3</v>
      </c>
      <c r="CD31" s="4">
        <v>0</v>
      </c>
      <c r="CE31" s="4">
        <f t="shared" si="8"/>
        <v>7</v>
      </c>
      <c r="CF31" s="4">
        <f t="shared" si="9"/>
        <v>5</v>
      </c>
      <c r="CG31" s="4">
        <f t="shared" si="10"/>
        <v>2</v>
      </c>
      <c r="CH31" s="4">
        <f t="shared" si="11"/>
        <v>5</v>
      </c>
      <c r="CI31" s="4">
        <f t="shared" si="12"/>
        <v>5</v>
      </c>
      <c r="CJ31" s="4">
        <f t="shared" si="13"/>
        <v>2</v>
      </c>
      <c r="IN31" s="1">
        <v>1</v>
      </c>
    </row>
    <row r="32" spans="1:248" x14ac:dyDescent="0.2">
      <c r="A32" s="3">
        <v>29</v>
      </c>
      <c r="B32" s="3" t="s">
        <v>36</v>
      </c>
      <c r="C32" s="3">
        <v>852</v>
      </c>
      <c r="D32" s="3">
        <v>659</v>
      </c>
      <c r="E32" s="3">
        <v>2</v>
      </c>
      <c r="F32" s="3">
        <v>899</v>
      </c>
      <c r="G32" s="3">
        <v>677</v>
      </c>
      <c r="H32" s="3">
        <v>2</v>
      </c>
      <c r="I32" s="3">
        <v>2</v>
      </c>
      <c r="J32" s="3">
        <v>1</v>
      </c>
      <c r="K32" s="3">
        <v>0</v>
      </c>
      <c r="L32" s="3">
        <v>6</v>
      </c>
      <c r="M32" s="3">
        <v>4</v>
      </c>
      <c r="N32" s="3">
        <v>0</v>
      </c>
      <c r="O32" s="3">
        <v>1</v>
      </c>
      <c r="P32" s="3">
        <v>7</v>
      </c>
      <c r="Q32" s="3">
        <v>0</v>
      </c>
      <c r="R32" s="3">
        <v>15</v>
      </c>
      <c r="S32" s="3">
        <v>10</v>
      </c>
      <c r="T32" s="3">
        <v>0</v>
      </c>
      <c r="U32" s="3">
        <v>29</v>
      </c>
      <c r="V32" s="3" t="s">
        <v>36</v>
      </c>
      <c r="W32" s="3">
        <v>67</v>
      </c>
      <c r="X32" s="3">
        <v>67</v>
      </c>
      <c r="Y32" s="3">
        <v>1</v>
      </c>
      <c r="Z32" s="3">
        <v>89</v>
      </c>
      <c r="AA32" s="3">
        <v>89</v>
      </c>
      <c r="AB32" s="3">
        <v>1</v>
      </c>
      <c r="AC32" s="3">
        <v>25</v>
      </c>
      <c r="AD32" s="3">
        <v>22</v>
      </c>
      <c r="AE32" s="3">
        <v>0</v>
      </c>
      <c r="AF32" s="3">
        <v>94</v>
      </c>
      <c r="AG32" s="3">
        <v>50</v>
      </c>
      <c r="AH32" s="3">
        <v>0</v>
      </c>
      <c r="AI32" s="3">
        <f t="shared" si="2"/>
        <v>947</v>
      </c>
      <c r="AJ32" s="3">
        <f t="shared" si="3"/>
        <v>756</v>
      </c>
      <c r="AK32" s="3">
        <f t="shared" si="4"/>
        <v>3</v>
      </c>
      <c r="AL32" s="3">
        <f t="shared" si="5"/>
        <v>1103</v>
      </c>
      <c r="AM32" s="3">
        <f t="shared" si="6"/>
        <v>830</v>
      </c>
      <c r="AN32" s="3">
        <f t="shared" si="7"/>
        <v>3</v>
      </c>
      <c r="AO32" s="3">
        <v>29</v>
      </c>
      <c r="AP32" s="3" t="s">
        <v>36</v>
      </c>
      <c r="AQ32" s="3">
        <v>1003</v>
      </c>
      <c r="AR32" s="3">
        <v>670</v>
      </c>
      <c r="AS32" s="3">
        <v>11</v>
      </c>
      <c r="AT32" s="3">
        <v>553</v>
      </c>
      <c r="AU32" s="3">
        <v>683</v>
      </c>
      <c r="AV32" s="3">
        <v>15</v>
      </c>
      <c r="AW32" s="3">
        <v>1</v>
      </c>
      <c r="AX32" s="3">
        <v>0</v>
      </c>
      <c r="AY32" s="3">
        <v>0</v>
      </c>
      <c r="AZ32" s="3">
        <v>2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4">
        <v>29</v>
      </c>
      <c r="BJ32" s="4" t="s">
        <v>36</v>
      </c>
      <c r="BK32" s="4">
        <v>91</v>
      </c>
      <c r="BL32" s="4">
        <v>100</v>
      </c>
      <c r="BM32" s="4">
        <v>5</v>
      </c>
      <c r="BN32" s="4">
        <v>79</v>
      </c>
      <c r="BO32" s="4">
        <v>105</v>
      </c>
      <c r="BP32" s="4">
        <v>10</v>
      </c>
      <c r="BQ32" s="4">
        <v>9</v>
      </c>
      <c r="BR32" s="4">
        <v>13</v>
      </c>
      <c r="BS32" s="4">
        <v>0</v>
      </c>
      <c r="BT32" s="4">
        <v>48</v>
      </c>
      <c r="BU32" s="4">
        <v>67</v>
      </c>
      <c r="BV32" s="4">
        <v>0</v>
      </c>
      <c r="BW32" s="4">
        <v>29</v>
      </c>
      <c r="BX32" s="4" t="s">
        <v>36</v>
      </c>
      <c r="BY32" s="4">
        <v>15</v>
      </c>
      <c r="BZ32" s="4">
        <v>13</v>
      </c>
      <c r="CA32" s="4">
        <v>0</v>
      </c>
      <c r="CB32" s="4">
        <v>39</v>
      </c>
      <c r="CC32" s="4">
        <v>34</v>
      </c>
      <c r="CD32" s="4">
        <v>0</v>
      </c>
      <c r="CE32" s="4">
        <f t="shared" si="8"/>
        <v>1119</v>
      </c>
      <c r="CF32" s="4">
        <f t="shared" si="9"/>
        <v>796</v>
      </c>
      <c r="CG32" s="4">
        <f t="shared" si="10"/>
        <v>16</v>
      </c>
      <c r="CH32" s="4">
        <f t="shared" si="11"/>
        <v>721</v>
      </c>
      <c r="CI32" s="4">
        <f t="shared" si="12"/>
        <v>889</v>
      </c>
      <c r="CJ32" s="4">
        <f t="shared" si="13"/>
        <v>25</v>
      </c>
      <c r="IN32" s="1">
        <v>1</v>
      </c>
    </row>
    <row r="33" spans="1:253" x14ac:dyDescent="0.2">
      <c r="A33" s="5"/>
      <c r="B33" s="5" t="s">
        <v>37</v>
      </c>
      <c r="C33" s="5">
        <v>2020</v>
      </c>
      <c r="D33" s="5">
        <v>1315</v>
      </c>
      <c r="E33" s="5">
        <v>31</v>
      </c>
      <c r="F33" s="5">
        <v>1967</v>
      </c>
      <c r="G33" s="5">
        <v>1476</v>
      </c>
      <c r="H33" s="5">
        <v>33</v>
      </c>
      <c r="I33" s="5">
        <v>2</v>
      </c>
      <c r="J33" s="5">
        <v>1</v>
      </c>
      <c r="K33" s="5">
        <v>0</v>
      </c>
      <c r="L33" s="5">
        <v>6</v>
      </c>
      <c r="M33" s="5">
        <v>4</v>
      </c>
      <c r="N33" s="5">
        <v>0</v>
      </c>
      <c r="O33" s="5">
        <v>14</v>
      </c>
      <c r="P33" s="5">
        <v>11</v>
      </c>
      <c r="Q33" s="5">
        <v>0</v>
      </c>
      <c r="R33" s="5">
        <v>31</v>
      </c>
      <c r="S33" s="5">
        <v>15</v>
      </c>
      <c r="T33" s="5">
        <v>0</v>
      </c>
      <c r="U33" s="5"/>
      <c r="V33" s="5" t="s">
        <v>37</v>
      </c>
      <c r="W33" s="5">
        <v>78</v>
      </c>
      <c r="X33" s="5">
        <v>73</v>
      </c>
      <c r="Y33" s="5">
        <v>2</v>
      </c>
      <c r="Z33" s="5">
        <v>102</v>
      </c>
      <c r="AA33" s="5">
        <v>108</v>
      </c>
      <c r="AB33" s="5">
        <v>2</v>
      </c>
      <c r="AC33" s="5">
        <v>84</v>
      </c>
      <c r="AD33" s="5">
        <v>70</v>
      </c>
      <c r="AE33" s="5">
        <v>0</v>
      </c>
      <c r="AF33" s="5">
        <v>205</v>
      </c>
      <c r="AG33" s="5">
        <v>150</v>
      </c>
      <c r="AH33" s="5">
        <v>0</v>
      </c>
      <c r="AI33" s="5">
        <f t="shared" si="2"/>
        <v>2198</v>
      </c>
      <c r="AJ33" s="5">
        <f t="shared" si="3"/>
        <v>1470</v>
      </c>
      <c r="AK33" s="5">
        <f t="shared" si="4"/>
        <v>33</v>
      </c>
      <c r="AL33" s="5">
        <f t="shared" si="5"/>
        <v>2311</v>
      </c>
      <c r="AM33" s="5">
        <f t="shared" si="6"/>
        <v>1753</v>
      </c>
      <c r="AN33" s="5">
        <f t="shared" si="7"/>
        <v>35</v>
      </c>
      <c r="AO33" s="5"/>
      <c r="AP33" s="5" t="s">
        <v>37</v>
      </c>
      <c r="AQ33" s="5">
        <v>3080</v>
      </c>
      <c r="AR33" s="5">
        <v>1347</v>
      </c>
      <c r="AS33" s="5">
        <v>37</v>
      </c>
      <c r="AT33" s="5">
        <v>2479</v>
      </c>
      <c r="AU33" s="5">
        <v>1519</v>
      </c>
      <c r="AV33" s="5">
        <v>56</v>
      </c>
      <c r="AW33" s="5">
        <v>2</v>
      </c>
      <c r="AX33" s="5">
        <v>1</v>
      </c>
      <c r="AY33" s="5">
        <v>0</v>
      </c>
      <c r="AZ33" s="5">
        <v>3</v>
      </c>
      <c r="BA33" s="5">
        <v>1</v>
      </c>
      <c r="BB33" s="5">
        <v>0</v>
      </c>
      <c r="BC33" s="5">
        <v>11</v>
      </c>
      <c r="BD33" s="5">
        <v>10</v>
      </c>
      <c r="BE33" s="5">
        <v>1</v>
      </c>
      <c r="BF33" s="5">
        <v>15</v>
      </c>
      <c r="BG33" s="5">
        <v>15</v>
      </c>
      <c r="BH33" s="5">
        <v>2</v>
      </c>
      <c r="BI33" s="6"/>
      <c r="BJ33" s="6" t="s">
        <v>37</v>
      </c>
      <c r="BK33" s="6">
        <v>105</v>
      </c>
      <c r="BL33" s="6">
        <v>113</v>
      </c>
      <c r="BM33" s="6">
        <v>6</v>
      </c>
      <c r="BN33" s="6">
        <v>129</v>
      </c>
      <c r="BO33" s="6">
        <v>150</v>
      </c>
      <c r="BP33" s="6">
        <v>14</v>
      </c>
      <c r="BQ33" s="6">
        <v>58</v>
      </c>
      <c r="BR33" s="6">
        <v>46</v>
      </c>
      <c r="BS33" s="6">
        <v>5</v>
      </c>
      <c r="BT33" s="6">
        <v>143</v>
      </c>
      <c r="BU33" s="6">
        <v>154</v>
      </c>
      <c r="BV33" s="6">
        <v>15</v>
      </c>
      <c r="BW33" s="6"/>
      <c r="BX33" s="6" t="s">
        <v>37</v>
      </c>
      <c r="BY33" s="6">
        <v>162</v>
      </c>
      <c r="BZ33" s="6">
        <v>94</v>
      </c>
      <c r="CA33" s="6">
        <v>1</v>
      </c>
      <c r="CB33" s="6">
        <v>233</v>
      </c>
      <c r="CC33" s="6">
        <v>197</v>
      </c>
      <c r="CD33" s="6">
        <v>1</v>
      </c>
      <c r="CE33" s="6">
        <f t="shared" si="8"/>
        <v>3418</v>
      </c>
      <c r="CF33" s="6">
        <f t="shared" si="9"/>
        <v>1611</v>
      </c>
      <c r="CG33" s="6">
        <f t="shared" si="10"/>
        <v>50</v>
      </c>
      <c r="CH33" s="6">
        <f t="shared" si="11"/>
        <v>3002</v>
      </c>
      <c r="CI33" s="6">
        <f t="shared" si="12"/>
        <v>2036</v>
      </c>
      <c r="CJ33" s="6">
        <f t="shared" si="13"/>
        <v>88</v>
      </c>
      <c r="IS33" s="1" t="s">
        <v>38</v>
      </c>
    </row>
    <row r="34" spans="1:253" x14ac:dyDescent="0.2">
      <c r="A34" s="3">
        <v>30</v>
      </c>
      <c r="B34" s="3" t="s">
        <v>39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30</v>
      </c>
      <c r="V34" s="3" t="s">
        <v>39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1</v>
      </c>
      <c r="AD34" s="3">
        <v>0</v>
      </c>
      <c r="AE34" s="3">
        <v>0</v>
      </c>
      <c r="AF34" s="3">
        <v>3</v>
      </c>
      <c r="AG34" s="3">
        <v>0</v>
      </c>
      <c r="AH34" s="3">
        <v>0</v>
      </c>
      <c r="AI34" s="3">
        <f t="shared" si="2"/>
        <v>1</v>
      </c>
      <c r="AJ34" s="3">
        <f t="shared" si="3"/>
        <v>0</v>
      </c>
      <c r="AK34" s="3">
        <f t="shared" si="4"/>
        <v>0</v>
      </c>
      <c r="AL34" s="3">
        <f t="shared" si="5"/>
        <v>3</v>
      </c>
      <c r="AM34" s="3">
        <f t="shared" si="6"/>
        <v>0</v>
      </c>
      <c r="AN34" s="3">
        <f t="shared" si="7"/>
        <v>0</v>
      </c>
      <c r="AO34" s="3">
        <v>30</v>
      </c>
      <c r="AP34" s="3" t="s">
        <v>39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4">
        <v>30</v>
      </c>
      <c r="BJ34" s="4" t="s">
        <v>39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1</v>
      </c>
      <c r="BS34" s="4">
        <v>0</v>
      </c>
      <c r="BT34" s="4">
        <v>0</v>
      </c>
      <c r="BU34" s="4">
        <v>3</v>
      </c>
      <c r="BV34" s="4">
        <v>0</v>
      </c>
      <c r="BW34" s="4">
        <v>30</v>
      </c>
      <c r="BX34" s="4" t="s">
        <v>39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f t="shared" si="8"/>
        <v>0</v>
      </c>
      <c r="CF34" s="4">
        <f t="shared" si="9"/>
        <v>1</v>
      </c>
      <c r="CG34" s="4">
        <f t="shared" si="10"/>
        <v>0</v>
      </c>
      <c r="CH34" s="4">
        <f t="shared" si="11"/>
        <v>0</v>
      </c>
      <c r="CI34" s="4">
        <f t="shared" si="12"/>
        <v>3</v>
      </c>
      <c r="CJ34" s="4">
        <f t="shared" si="13"/>
        <v>0</v>
      </c>
      <c r="IN34" s="1">
        <v>2</v>
      </c>
    </row>
    <row r="35" spans="1:253" x14ac:dyDescent="0.2">
      <c r="A35" s="3">
        <v>31</v>
      </c>
      <c r="B35" s="3" t="s">
        <v>40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31</v>
      </c>
      <c r="V35" s="3" t="s">
        <v>40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f t="shared" si="2"/>
        <v>0</v>
      </c>
      <c r="AJ35" s="3">
        <f t="shared" si="3"/>
        <v>0</v>
      </c>
      <c r="AK35" s="3">
        <f t="shared" si="4"/>
        <v>0</v>
      </c>
      <c r="AL35" s="3">
        <f t="shared" si="5"/>
        <v>0</v>
      </c>
      <c r="AM35" s="3">
        <f t="shared" si="6"/>
        <v>0</v>
      </c>
      <c r="AN35" s="3">
        <f t="shared" si="7"/>
        <v>0</v>
      </c>
      <c r="AO35" s="3">
        <v>31</v>
      </c>
      <c r="AP35" s="3" t="s">
        <v>40</v>
      </c>
      <c r="AQ35" s="3">
        <v>7</v>
      </c>
      <c r="AR35" s="3">
        <v>1</v>
      </c>
      <c r="AS35" s="3">
        <v>0</v>
      </c>
      <c r="AT35" s="3">
        <v>2</v>
      </c>
      <c r="AU35" s="3">
        <v>1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4">
        <v>31</v>
      </c>
      <c r="BJ35" s="4" t="s">
        <v>40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31</v>
      </c>
      <c r="BX35" s="4" t="s">
        <v>40</v>
      </c>
      <c r="BY35" s="4">
        <v>2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f t="shared" si="8"/>
        <v>9</v>
      </c>
      <c r="CF35" s="4">
        <f t="shared" si="9"/>
        <v>1</v>
      </c>
      <c r="CG35" s="4">
        <f t="shared" si="10"/>
        <v>0</v>
      </c>
      <c r="CH35" s="4">
        <f t="shared" si="11"/>
        <v>2</v>
      </c>
      <c r="CI35" s="4">
        <f t="shared" si="12"/>
        <v>1</v>
      </c>
      <c r="CJ35" s="4">
        <f t="shared" si="13"/>
        <v>0</v>
      </c>
      <c r="IN35" s="1">
        <v>2</v>
      </c>
    </row>
    <row r="36" spans="1:253" x14ac:dyDescent="0.2">
      <c r="A36" s="3">
        <v>32</v>
      </c>
      <c r="B36" s="3" t="s">
        <v>41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32</v>
      </c>
      <c r="V36" s="3" t="s">
        <v>41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f t="shared" si="2"/>
        <v>0</v>
      </c>
      <c r="AJ36" s="3">
        <f t="shared" si="3"/>
        <v>0</v>
      </c>
      <c r="AK36" s="3">
        <f t="shared" si="4"/>
        <v>0</v>
      </c>
      <c r="AL36" s="3">
        <f t="shared" si="5"/>
        <v>0</v>
      </c>
      <c r="AM36" s="3">
        <f t="shared" si="6"/>
        <v>0</v>
      </c>
      <c r="AN36" s="3">
        <f t="shared" si="7"/>
        <v>0</v>
      </c>
      <c r="AO36" s="3">
        <v>32</v>
      </c>
      <c r="AP36" s="3" t="s">
        <v>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4">
        <v>32</v>
      </c>
      <c r="BJ36" s="4" t="s">
        <v>41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32</v>
      </c>
      <c r="BX36" s="4" t="s">
        <v>41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f t="shared" si="8"/>
        <v>0</v>
      </c>
      <c r="CF36" s="4">
        <f t="shared" si="9"/>
        <v>0</v>
      </c>
      <c r="CG36" s="4">
        <f t="shared" si="10"/>
        <v>0</v>
      </c>
      <c r="CH36" s="4">
        <f t="shared" si="11"/>
        <v>0</v>
      </c>
      <c r="CI36" s="4">
        <f t="shared" si="12"/>
        <v>0</v>
      </c>
      <c r="CJ36" s="4">
        <f t="shared" si="13"/>
        <v>0</v>
      </c>
      <c r="IN36" s="1">
        <v>2</v>
      </c>
    </row>
    <row r="37" spans="1:253" x14ac:dyDescent="0.2">
      <c r="A37" s="3">
        <v>33</v>
      </c>
      <c r="B37" s="3" t="s">
        <v>42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33</v>
      </c>
      <c r="V37" s="3" t="s">
        <v>42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f t="shared" si="2"/>
        <v>0</v>
      </c>
      <c r="AJ37" s="3">
        <f t="shared" si="3"/>
        <v>0</v>
      </c>
      <c r="AK37" s="3">
        <f t="shared" si="4"/>
        <v>0</v>
      </c>
      <c r="AL37" s="3">
        <f t="shared" si="5"/>
        <v>0</v>
      </c>
      <c r="AM37" s="3">
        <f t="shared" si="6"/>
        <v>0</v>
      </c>
      <c r="AN37" s="3">
        <f t="shared" si="7"/>
        <v>0</v>
      </c>
      <c r="AO37" s="3">
        <v>33</v>
      </c>
      <c r="AP37" s="3" t="s">
        <v>42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4">
        <v>33</v>
      </c>
      <c r="BJ37" s="4" t="s">
        <v>42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33</v>
      </c>
      <c r="BX37" s="4" t="s">
        <v>42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f t="shared" si="8"/>
        <v>0</v>
      </c>
      <c r="CF37" s="4">
        <f t="shared" si="9"/>
        <v>0</v>
      </c>
      <c r="CG37" s="4">
        <f t="shared" si="10"/>
        <v>0</v>
      </c>
      <c r="CH37" s="4">
        <f t="shared" si="11"/>
        <v>0</v>
      </c>
      <c r="CI37" s="4">
        <f t="shared" si="12"/>
        <v>0</v>
      </c>
      <c r="CJ37" s="4">
        <f t="shared" si="13"/>
        <v>0</v>
      </c>
      <c r="IN37" s="1">
        <v>2</v>
      </c>
    </row>
    <row r="38" spans="1:253" x14ac:dyDescent="0.2">
      <c r="A38" s="3">
        <v>34</v>
      </c>
      <c r="B38" s="3" t="s">
        <v>43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34</v>
      </c>
      <c r="V38" s="3" t="s">
        <v>43</v>
      </c>
      <c r="W38" s="3">
        <v>4</v>
      </c>
      <c r="X38" s="3">
        <v>4</v>
      </c>
      <c r="Y38" s="3">
        <v>1</v>
      </c>
      <c r="Z38" s="3">
        <v>7</v>
      </c>
      <c r="AA38" s="3">
        <v>7</v>
      </c>
      <c r="AB38" s="3">
        <v>3</v>
      </c>
      <c r="AC38" s="3">
        <v>1</v>
      </c>
      <c r="AD38" s="3">
        <v>6</v>
      </c>
      <c r="AE38" s="3">
        <v>0</v>
      </c>
      <c r="AF38" s="3">
        <v>1</v>
      </c>
      <c r="AG38" s="3">
        <v>14</v>
      </c>
      <c r="AH38" s="3">
        <v>0</v>
      </c>
      <c r="AI38" s="3">
        <f t="shared" si="2"/>
        <v>5</v>
      </c>
      <c r="AJ38" s="3">
        <f t="shared" si="3"/>
        <v>10</v>
      </c>
      <c r="AK38" s="3">
        <f t="shared" si="4"/>
        <v>1</v>
      </c>
      <c r="AL38" s="3">
        <f t="shared" si="5"/>
        <v>8</v>
      </c>
      <c r="AM38" s="3">
        <f t="shared" si="6"/>
        <v>21</v>
      </c>
      <c r="AN38" s="3">
        <f t="shared" si="7"/>
        <v>3</v>
      </c>
      <c r="AO38" s="3">
        <v>34</v>
      </c>
      <c r="AP38" s="3" t="s">
        <v>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4">
        <v>34</v>
      </c>
      <c r="BJ38" s="4" t="s">
        <v>43</v>
      </c>
      <c r="BK38" s="4">
        <v>6</v>
      </c>
      <c r="BL38" s="4">
        <v>6</v>
      </c>
      <c r="BM38" s="4">
        <v>3</v>
      </c>
      <c r="BN38" s="4">
        <v>7</v>
      </c>
      <c r="BO38" s="4">
        <v>7</v>
      </c>
      <c r="BP38" s="4">
        <v>4</v>
      </c>
      <c r="BQ38" s="4">
        <v>0</v>
      </c>
      <c r="BR38" s="4">
        <v>1</v>
      </c>
      <c r="BS38" s="4">
        <v>1</v>
      </c>
      <c r="BT38" s="4">
        <v>0</v>
      </c>
      <c r="BU38" s="4">
        <v>3</v>
      </c>
      <c r="BV38" s="4">
        <v>2</v>
      </c>
      <c r="BW38" s="4">
        <v>34</v>
      </c>
      <c r="BX38" s="4" t="s">
        <v>43</v>
      </c>
      <c r="BY38" s="4">
        <v>57</v>
      </c>
      <c r="BZ38" s="4">
        <v>38</v>
      </c>
      <c r="CA38" s="4">
        <v>1</v>
      </c>
      <c r="CB38" s="4">
        <v>67</v>
      </c>
      <c r="CC38" s="4">
        <v>67</v>
      </c>
      <c r="CD38" s="4">
        <v>1</v>
      </c>
      <c r="CE38" s="4">
        <f t="shared" si="8"/>
        <v>63</v>
      </c>
      <c r="CF38" s="4">
        <f t="shared" si="9"/>
        <v>45</v>
      </c>
      <c r="CG38" s="4">
        <f t="shared" si="10"/>
        <v>5</v>
      </c>
      <c r="CH38" s="4">
        <f t="shared" si="11"/>
        <v>74</v>
      </c>
      <c r="CI38" s="4">
        <f t="shared" si="12"/>
        <v>77</v>
      </c>
      <c r="CJ38" s="4">
        <f t="shared" si="13"/>
        <v>7</v>
      </c>
      <c r="IN38" s="1">
        <v>2</v>
      </c>
    </row>
    <row r="39" spans="1:253" x14ac:dyDescent="0.2">
      <c r="A39" s="3">
        <v>35</v>
      </c>
      <c r="B39" s="3" t="s">
        <v>44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35</v>
      </c>
      <c r="V39" s="3" t="s">
        <v>44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f t="shared" si="2"/>
        <v>0</v>
      </c>
      <c r="AJ39" s="3">
        <f t="shared" si="3"/>
        <v>0</v>
      </c>
      <c r="AK39" s="3">
        <f t="shared" si="4"/>
        <v>0</v>
      </c>
      <c r="AL39" s="3">
        <f t="shared" si="5"/>
        <v>0</v>
      </c>
      <c r="AM39" s="3">
        <f t="shared" si="6"/>
        <v>0</v>
      </c>
      <c r="AN39" s="3">
        <f t="shared" si="7"/>
        <v>0</v>
      </c>
      <c r="AO39" s="3">
        <v>35</v>
      </c>
      <c r="AP39" s="3" t="s">
        <v>44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4">
        <v>35</v>
      </c>
      <c r="BJ39" s="4" t="s">
        <v>44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35</v>
      </c>
      <c r="BX39" s="4" t="s">
        <v>44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f t="shared" si="8"/>
        <v>0</v>
      </c>
      <c r="CF39" s="4">
        <f t="shared" si="9"/>
        <v>0</v>
      </c>
      <c r="CG39" s="4">
        <f t="shared" si="10"/>
        <v>0</v>
      </c>
      <c r="CH39" s="4">
        <f t="shared" si="11"/>
        <v>0</v>
      </c>
      <c r="CI39" s="4">
        <f t="shared" si="12"/>
        <v>0</v>
      </c>
      <c r="CJ39" s="4">
        <f t="shared" si="13"/>
        <v>0</v>
      </c>
      <c r="IN39" s="1">
        <v>2</v>
      </c>
    </row>
    <row r="40" spans="1:253" x14ac:dyDescent="0.2">
      <c r="A40" s="3">
        <v>36</v>
      </c>
      <c r="B40" s="3" t="s">
        <v>45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36</v>
      </c>
      <c r="V40" s="3" t="s">
        <v>45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f t="shared" si="2"/>
        <v>0</v>
      </c>
      <c r="AJ40" s="3">
        <f t="shared" si="3"/>
        <v>0</v>
      </c>
      <c r="AK40" s="3">
        <f t="shared" si="4"/>
        <v>0</v>
      </c>
      <c r="AL40" s="3">
        <f t="shared" si="5"/>
        <v>0</v>
      </c>
      <c r="AM40" s="3">
        <f t="shared" si="6"/>
        <v>0</v>
      </c>
      <c r="AN40" s="3">
        <f t="shared" si="7"/>
        <v>0</v>
      </c>
      <c r="AO40" s="3">
        <v>36</v>
      </c>
      <c r="AP40" s="3" t="s">
        <v>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4">
        <v>36</v>
      </c>
      <c r="BJ40" s="4" t="s">
        <v>45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36</v>
      </c>
      <c r="BX40" s="4" t="s">
        <v>45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f t="shared" si="8"/>
        <v>0</v>
      </c>
      <c r="CF40" s="4">
        <f t="shared" si="9"/>
        <v>0</v>
      </c>
      <c r="CG40" s="4">
        <f t="shared" si="10"/>
        <v>0</v>
      </c>
      <c r="CH40" s="4">
        <f t="shared" si="11"/>
        <v>0</v>
      </c>
      <c r="CI40" s="4">
        <f t="shared" si="12"/>
        <v>0</v>
      </c>
      <c r="CJ40" s="4">
        <f t="shared" si="13"/>
        <v>0</v>
      </c>
      <c r="IN40" s="1">
        <v>2</v>
      </c>
    </row>
    <row r="41" spans="1:253" x14ac:dyDescent="0.2">
      <c r="A41" s="5"/>
      <c r="B41" s="5" t="s">
        <v>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/>
      <c r="V41" s="5" t="s">
        <v>46</v>
      </c>
      <c r="W41" s="5">
        <v>4</v>
      </c>
      <c r="X41" s="5">
        <v>4</v>
      </c>
      <c r="Y41" s="5">
        <v>1</v>
      </c>
      <c r="Z41" s="5">
        <v>7</v>
      </c>
      <c r="AA41" s="5">
        <v>7</v>
      </c>
      <c r="AB41" s="5">
        <v>3</v>
      </c>
      <c r="AC41" s="5">
        <v>2</v>
      </c>
      <c r="AD41" s="5">
        <v>6</v>
      </c>
      <c r="AE41" s="5">
        <v>0</v>
      </c>
      <c r="AF41" s="5">
        <v>4</v>
      </c>
      <c r="AG41" s="5">
        <v>14</v>
      </c>
      <c r="AH41" s="5">
        <v>0</v>
      </c>
      <c r="AI41" s="5">
        <f t="shared" si="2"/>
        <v>6</v>
      </c>
      <c r="AJ41" s="5">
        <f t="shared" si="3"/>
        <v>10</v>
      </c>
      <c r="AK41" s="5">
        <f t="shared" si="4"/>
        <v>1</v>
      </c>
      <c r="AL41" s="5">
        <f t="shared" si="5"/>
        <v>11</v>
      </c>
      <c r="AM41" s="5">
        <f t="shared" si="6"/>
        <v>21</v>
      </c>
      <c r="AN41" s="5">
        <f t="shared" si="7"/>
        <v>3</v>
      </c>
      <c r="AO41" s="5"/>
      <c r="AP41" s="5" t="s">
        <v>46</v>
      </c>
      <c r="AQ41" s="5">
        <v>7</v>
      </c>
      <c r="AR41" s="5">
        <v>1</v>
      </c>
      <c r="AS41" s="5">
        <v>0</v>
      </c>
      <c r="AT41" s="5">
        <v>2</v>
      </c>
      <c r="AU41" s="5">
        <v>1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6"/>
      <c r="BJ41" s="6" t="s">
        <v>46</v>
      </c>
      <c r="BK41" s="6">
        <v>6</v>
      </c>
      <c r="BL41" s="6">
        <v>6</v>
      </c>
      <c r="BM41" s="6">
        <v>3</v>
      </c>
      <c r="BN41" s="6">
        <v>7</v>
      </c>
      <c r="BO41" s="6">
        <v>7</v>
      </c>
      <c r="BP41" s="6">
        <v>4</v>
      </c>
      <c r="BQ41" s="6">
        <v>0</v>
      </c>
      <c r="BR41" s="6">
        <v>2</v>
      </c>
      <c r="BS41" s="6">
        <v>1</v>
      </c>
      <c r="BT41" s="6">
        <v>0</v>
      </c>
      <c r="BU41" s="6">
        <v>6</v>
      </c>
      <c r="BV41" s="6">
        <v>2</v>
      </c>
      <c r="BW41" s="6"/>
      <c r="BX41" s="6" t="s">
        <v>46</v>
      </c>
      <c r="BY41" s="6">
        <v>59</v>
      </c>
      <c r="BZ41" s="6">
        <v>38</v>
      </c>
      <c r="CA41" s="6">
        <v>1</v>
      </c>
      <c r="CB41" s="6">
        <v>67</v>
      </c>
      <c r="CC41" s="6">
        <v>67</v>
      </c>
      <c r="CD41" s="6">
        <v>1</v>
      </c>
      <c r="CE41" s="6">
        <f t="shared" si="8"/>
        <v>72</v>
      </c>
      <c r="CF41" s="6">
        <f t="shared" si="9"/>
        <v>47</v>
      </c>
      <c r="CG41" s="6">
        <f t="shared" si="10"/>
        <v>5</v>
      </c>
      <c r="CH41" s="6">
        <f t="shared" si="11"/>
        <v>76</v>
      </c>
      <c r="CI41" s="6">
        <f t="shared" si="12"/>
        <v>81</v>
      </c>
      <c r="CJ41" s="6">
        <f t="shared" si="13"/>
        <v>7</v>
      </c>
      <c r="IS41" s="1" t="s">
        <v>38</v>
      </c>
    </row>
    <row r="42" spans="1:253" x14ac:dyDescent="0.2">
      <c r="A42" s="5"/>
      <c r="B42" s="5" t="s">
        <v>47</v>
      </c>
      <c r="C42" s="5">
        <v>2020</v>
      </c>
      <c r="D42" s="5">
        <v>1315</v>
      </c>
      <c r="E42" s="5">
        <v>31</v>
      </c>
      <c r="F42" s="5">
        <v>1967</v>
      </c>
      <c r="G42" s="5">
        <v>1476</v>
      </c>
      <c r="H42" s="5">
        <v>33</v>
      </c>
      <c r="I42" s="5">
        <v>2</v>
      </c>
      <c r="J42" s="5">
        <v>1</v>
      </c>
      <c r="K42" s="5">
        <v>0</v>
      </c>
      <c r="L42" s="5">
        <v>6</v>
      </c>
      <c r="M42" s="5">
        <v>4</v>
      </c>
      <c r="N42" s="5">
        <v>0</v>
      </c>
      <c r="O42" s="5">
        <v>14</v>
      </c>
      <c r="P42" s="5">
        <v>11</v>
      </c>
      <c r="Q42" s="5">
        <v>0</v>
      </c>
      <c r="R42" s="5">
        <v>31</v>
      </c>
      <c r="S42" s="5">
        <v>15</v>
      </c>
      <c r="T42" s="5">
        <v>0</v>
      </c>
      <c r="U42" s="5"/>
      <c r="V42" s="5" t="s">
        <v>47</v>
      </c>
      <c r="W42" s="5">
        <v>82</v>
      </c>
      <c r="X42" s="5">
        <v>77</v>
      </c>
      <c r="Y42" s="5">
        <v>3</v>
      </c>
      <c r="Z42" s="5">
        <v>109</v>
      </c>
      <c r="AA42" s="5">
        <v>115</v>
      </c>
      <c r="AB42" s="5">
        <v>5</v>
      </c>
      <c r="AC42" s="5">
        <v>86</v>
      </c>
      <c r="AD42" s="5">
        <v>76</v>
      </c>
      <c r="AE42" s="5">
        <v>0</v>
      </c>
      <c r="AF42" s="5">
        <v>209</v>
      </c>
      <c r="AG42" s="5">
        <v>164</v>
      </c>
      <c r="AH42" s="5">
        <v>0</v>
      </c>
      <c r="AI42" s="5">
        <f t="shared" si="2"/>
        <v>2204</v>
      </c>
      <c r="AJ42" s="5">
        <f t="shared" si="3"/>
        <v>1480</v>
      </c>
      <c r="AK42" s="5">
        <f t="shared" si="4"/>
        <v>34</v>
      </c>
      <c r="AL42" s="5">
        <f t="shared" si="5"/>
        <v>2322</v>
      </c>
      <c r="AM42" s="5">
        <f t="shared" si="6"/>
        <v>1774</v>
      </c>
      <c r="AN42" s="5">
        <f t="shared" si="7"/>
        <v>38</v>
      </c>
      <c r="AO42" s="5"/>
      <c r="AP42" s="5" t="s">
        <v>47</v>
      </c>
      <c r="AQ42" s="5">
        <v>3087</v>
      </c>
      <c r="AR42" s="5">
        <v>1348</v>
      </c>
      <c r="AS42" s="5">
        <v>37</v>
      </c>
      <c r="AT42" s="5">
        <v>2481</v>
      </c>
      <c r="AU42" s="5">
        <v>1520</v>
      </c>
      <c r="AV42" s="5">
        <v>56</v>
      </c>
      <c r="AW42" s="5">
        <v>2</v>
      </c>
      <c r="AX42" s="5">
        <v>1</v>
      </c>
      <c r="AY42" s="5">
        <v>0</v>
      </c>
      <c r="AZ42" s="5">
        <v>3</v>
      </c>
      <c r="BA42" s="5">
        <v>1</v>
      </c>
      <c r="BB42" s="5">
        <v>0</v>
      </c>
      <c r="BC42" s="5">
        <v>11</v>
      </c>
      <c r="BD42" s="5">
        <v>10</v>
      </c>
      <c r="BE42" s="5">
        <v>1</v>
      </c>
      <c r="BF42" s="5">
        <v>15</v>
      </c>
      <c r="BG42" s="5">
        <v>15</v>
      </c>
      <c r="BH42" s="5">
        <v>2</v>
      </c>
      <c r="BI42" s="6"/>
      <c r="BJ42" s="6" t="s">
        <v>47</v>
      </c>
      <c r="BK42" s="6">
        <v>111</v>
      </c>
      <c r="BL42" s="6">
        <v>119</v>
      </c>
      <c r="BM42" s="6">
        <v>9</v>
      </c>
      <c r="BN42" s="6">
        <v>136</v>
      </c>
      <c r="BO42" s="6">
        <v>157</v>
      </c>
      <c r="BP42" s="6">
        <v>18</v>
      </c>
      <c r="BQ42" s="6">
        <v>58</v>
      </c>
      <c r="BR42" s="6">
        <v>48</v>
      </c>
      <c r="BS42" s="6">
        <v>6</v>
      </c>
      <c r="BT42" s="6">
        <v>143</v>
      </c>
      <c r="BU42" s="6">
        <v>160</v>
      </c>
      <c r="BV42" s="6">
        <v>17</v>
      </c>
      <c r="BW42" s="6"/>
      <c r="BX42" s="6" t="s">
        <v>47</v>
      </c>
      <c r="BY42" s="6">
        <v>221</v>
      </c>
      <c r="BZ42" s="6">
        <v>132</v>
      </c>
      <c r="CA42" s="6">
        <v>2</v>
      </c>
      <c r="CB42" s="6">
        <v>300</v>
      </c>
      <c r="CC42" s="6">
        <v>264</v>
      </c>
      <c r="CD42" s="6">
        <v>2</v>
      </c>
      <c r="CE42" s="6">
        <f t="shared" si="8"/>
        <v>3490</v>
      </c>
      <c r="CF42" s="6">
        <f t="shared" si="9"/>
        <v>1658</v>
      </c>
      <c r="CG42" s="6">
        <f t="shared" si="10"/>
        <v>55</v>
      </c>
      <c r="CH42" s="6">
        <f t="shared" si="11"/>
        <v>3078</v>
      </c>
      <c r="CI42" s="6">
        <f t="shared" si="12"/>
        <v>2117</v>
      </c>
      <c r="CJ42" s="6">
        <f t="shared" si="13"/>
        <v>95</v>
      </c>
      <c r="IS42" s="1" t="s">
        <v>38</v>
      </c>
    </row>
    <row r="43" spans="1:253" x14ac:dyDescent="0.2">
      <c r="A43" s="1" t="s">
        <v>48</v>
      </c>
      <c r="U43" s="1" t="s">
        <v>48</v>
      </c>
      <c r="AO43" s="1" t="s">
        <v>48</v>
      </c>
      <c r="BI43" s="1" t="s">
        <v>48</v>
      </c>
      <c r="BW43" s="1" t="s">
        <v>48</v>
      </c>
      <c r="BZ43" s="1" t="s">
        <v>59</v>
      </c>
    </row>
  </sheetData>
  <mergeCells count="28">
    <mergeCell ref="BJ2:BJ3"/>
    <mergeCell ref="CE2:CJ2"/>
    <mergeCell ref="BW2:BW3"/>
    <mergeCell ref="BX2:BX3"/>
    <mergeCell ref="AO1:BH1"/>
    <mergeCell ref="BI1:BV1"/>
    <mergeCell ref="BW1:CJ1"/>
    <mergeCell ref="AQ2:AV2"/>
    <mergeCell ref="AW2:BB2"/>
    <mergeCell ref="BC2:BH2"/>
    <mergeCell ref="BK2:BP2"/>
    <mergeCell ref="BQ2:BV2"/>
    <mergeCell ref="AO2:AO3"/>
    <mergeCell ref="AP2:AP3"/>
    <mergeCell ref="BY2:CD2"/>
    <mergeCell ref="AI2:AN2"/>
    <mergeCell ref="U1:AN1"/>
    <mergeCell ref="BI2:BI3"/>
    <mergeCell ref="AC2:AH2"/>
    <mergeCell ref="A2:A3"/>
    <mergeCell ref="B2:B3"/>
    <mergeCell ref="C2:H2"/>
    <mergeCell ref="I2:N2"/>
    <mergeCell ref="O2:T2"/>
    <mergeCell ref="W2:AB2"/>
    <mergeCell ref="U2:U3"/>
    <mergeCell ref="V2:V3"/>
    <mergeCell ref="A1:T1"/>
  </mergeCells>
  <pageMargins left="0" right="0" top="0" bottom="0" header="0.31496062992125984" footer="0.31496062992125984"/>
  <pageSetup orientation="landscape" verticalDpi="0" r:id="rId1"/>
  <colBreaks count="3" manualBreakCount="3">
    <brk id="20" max="1048575" man="1"/>
    <brk id="40" max="42" man="1"/>
    <brk id="74" max="4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ChildTrafficking</vt:lpstr>
      <vt:lpstr>Sheet1</vt:lpstr>
      <vt:lpstr>Sheet2</vt:lpstr>
      <vt:lpstr>Sheet3</vt:lpstr>
      <vt:lpstr>ChildTrafficking!Print_Area</vt:lpstr>
    </vt:vector>
  </TitlesOfParts>
  <Company>ncrb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BOHRA</cp:lastModifiedBy>
  <cp:lastPrinted>2017-02-10T09:49:54Z</cp:lastPrinted>
  <dcterms:created xsi:type="dcterms:W3CDTF">2016-11-18T08:31:35Z</dcterms:created>
  <dcterms:modified xsi:type="dcterms:W3CDTF">2017-04-27T05:18:08Z</dcterms:modified>
</cp:coreProperties>
</file>