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9440" windowHeight="10035"/>
  </bookViews>
  <sheets>
    <sheet name="Report" sheetId="4" r:id="rId1"/>
    <sheet name="Sheet1" sheetId="1" r:id="rId2"/>
    <sheet name="Sheet2" sheetId="2" r:id="rId3"/>
    <sheet name="Sheet3" sheetId="3" r:id="rId4"/>
  </sheets>
  <definedNames>
    <definedName name="_xlnm.Print_Area" localSheetId="0">Report!$A$1:$AN$11</definedName>
  </definedNames>
  <calcPr calcId="145621"/>
</workbook>
</file>

<file path=xl/calcChain.xml><?xml version="1.0" encoding="utf-8"?>
<calcChain xmlns="http://schemas.openxmlformats.org/spreadsheetml/2006/main">
  <c r="AN10" i="4" l="1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T10" i="4"/>
  <c r="S10" i="4"/>
  <c r="R10" i="4"/>
  <c r="Q10" i="4"/>
  <c r="P10" i="4"/>
  <c r="O10" i="4"/>
  <c r="N10" i="4"/>
  <c r="M10" i="4"/>
  <c r="L10" i="4"/>
  <c r="K10" i="4"/>
  <c r="J10" i="4"/>
  <c r="I10" i="4"/>
  <c r="D10" i="4"/>
  <c r="E10" i="4"/>
  <c r="F10" i="4"/>
  <c r="G10" i="4"/>
  <c r="H10" i="4"/>
  <c r="C10" i="4"/>
</calcChain>
</file>

<file path=xl/sharedStrings.xml><?xml version="1.0" encoding="utf-8"?>
<sst xmlns="http://schemas.openxmlformats.org/spreadsheetml/2006/main" count="86" uniqueCount="25">
  <si>
    <t>SL</t>
  </si>
  <si>
    <t>CrimeHead</t>
  </si>
  <si>
    <t>CR</t>
  </si>
  <si>
    <t>Importation of Girls from Foreign Country</t>
  </si>
  <si>
    <t>Human Trafficking (Section 370 &amp; 370A IPC)</t>
  </si>
  <si>
    <t>Immoral Traffic (Prevention) Act, 1956</t>
  </si>
  <si>
    <t>Selling of Minors for Prostitution</t>
  </si>
  <si>
    <t>Buying of Minors for Prostitution</t>
  </si>
  <si>
    <t>Procuration of Minor Girls</t>
  </si>
  <si>
    <t xml:space="preserve">Total </t>
  </si>
  <si>
    <t>Source : Crime in India</t>
  </si>
  <si>
    <t>Year 2010</t>
  </si>
  <si>
    <t>Year 2011</t>
  </si>
  <si>
    <t>Year 2012</t>
  </si>
  <si>
    <t>Year 2013</t>
  </si>
  <si>
    <t>-</t>
  </si>
  <si>
    <t>Cases reported (CR), Cases Chargesheeted (CS), Cases convicted (CV), Persons arrested (PAR), Persons Chargesheeted (PCS), Persons convicted (PCV) Under Human Trafficking During 2010-2015</t>
  </si>
  <si>
    <t>CS</t>
  </si>
  <si>
    <t>CV</t>
  </si>
  <si>
    <t>PAR</t>
  </si>
  <si>
    <t>PCS</t>
  </si>
  <si>
    <t>PCV</t>
  </si>
  <si>
    <t>Year 2014*</t>
  </si>
  <si>
    <t>Year 2015*</t>
  </si>
  <si>
    <t>* Immoral Trafficking (P) Act (Section 5 &amp; 6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</si>
</sst>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K11"/>
  <sheetViews>
    <sheetView tabSelected="1" topLeftCell="S4" zoomScaleNormal="100" workbookViewId="0">
      <selection activeCell="AJ4" sqref="AJ4"/>
    </sheetView>
  </sheetViews>
  <sheetFormatPr defaultRowHeight="15" x14ac:dyDescent="0.25"/>
  <cols>
    <col min="1" max="1" width="2.85546875" customWidth="1"/>
    <col min="2" max="2" width="36.140625" bestFit="1" customWidth="1"/>
    <col min="3" max="20" width="5.7109375" customWidth="1"/>
    <col min="21" max="21" width="2.85546875" customWidth="1"/>
    <col min="22" max="22" width="36.140625" bestFit="1" customWidth="1"/>
    <col min="23" max="40" width="5.7109375" customWidth="1"/>
  </cols>
  <sheetData>
    <row r="1" spans="1:245" ht="36.75" customHeight="1" x14ac:dyDescent="0.25">
      <c r="A1" s="8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 t="s">
        <v>16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245" x14ac:dyDescent="0.25">
      <c r="A2" s="12" t="s">
        <v>0</v>
      </c>
      <c r="B2" s="13" t="s">
        <v>1</v>
      </c>
      <c r="C2" s="3" t="s">
        <v>2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12" t="s">
        <v>0</v>
      </c>
      <c r="V2" s="12" t="s">
        <v>1</v>
      </c>
      <c r="W2" s="3" t="s">
        <v>2</v>
      </c>
      <c r="X2" s="3" t="s">
        <v>17</v>
      </c>
      <c r="Y2" s="3" t="s">
        <v>18</v>
      </c>
      <c r="Z2" s="3" t="s">
        <v>19</v>
      </c>
      <c r="AA2" s="3" t="s">
        <v>20</v>
      </c>
      <c r="AB2" s="3" t="s">
        <v>21</v>
      </c>
      <c r="AC2" s="3" t="s">
        <v>2</v>
      </c>
      <c r="AD2" s="3" t="s">
        <v>17</v>
      </c>
      <c r="AE2" s="3" t="s">
        <v>18</v>
      </c>
      <c r="AF2" s="3" t="s">
        <v>19</v>
      </c>
      <c r="AG2" s="3" t="s">
        <v>20</v>
      </c>
      <c r="AH2" s="3" t="s">
        <v>21</v>
      </c>
      <c r="AI2" s="3" t="s">
        <v>2</v>
      </c>
      <c r="AJ2" s="3" t="s">
        <v>17</v>
      </c>
      <c r="AK2" s="3" t="s">
        <v>18</v>
      </c>
      <c r="AL2" s="3" t="s">
        <v>19</v>
      </c>
      <c r="AM2" s="3" t="s">
        <v>20</v>
      </c>
      <c r="AN2" s="3" t="s">
        <v>21</v>
      </c>
    </row>
    <row r="3" spans="1:245" x14ac:dyDescent="0.25">
      <c r="A3" s="12"/>
      <c r="B3" s="14"/>
      <c r="C3" s="9" t="s">
        <v>11</v>
      </c>
      <c r="D3" s="10"/>
      <c r="E3" s="10"/>
      <c r="F3" s="10"/>
      <c r="G3" s="10"/>
      <c r="H3" s="11"/>
      <c r="I3" s="9" t="s">
        <v>12</v>
      </c>
      <c r="J3" s="10"/>
      <c r="K3" s="10"/>
      <c r="L3" s="10"/>
      <c r="M3" s="10"/>
      <c r="N3" s="11"/>
      <c r="O3" s="9" t="s">
        <v>13</v>
      </c>
      <c r="P3" s="10"/>
      <c r="Q3" s="10"/>
      <c r="R3" s="10"/>
      <c r="S3" s="10"/>
      <c r="T3" s="11"/>
      <c r="U3" s="12"/>
      <c r="V3" s="12"/>
      <c r="W3" s="9" t="s">
        <v>14</v>
      </c>
      <c r="X3" s="10"/>
      <c r="Y3" s="10"/>
      <c r="Z3" s="10"/>
      <c r="AA3" s="10"/>
      <c r="AB3" s="11"/>
      <c r="AC3" s="9" t="s">
        <v>22</v>
      </c>
      <c r="AD3" s="10"/>
      <c r="AE3" s="10"/>
      <c r="AF3" s="10"/>
      <c r="AG3" s="10"/>
      <c r="AH3" s="11"/>
      <c r="AI3" s="9" t="s">
        <v>23</v>
      </c>
      <c r="AJ3" s="10"/>
      <c r="AK3" s="10"/>
      <c r="AL3" s="10"/>
      <c r="AM3" s="10"/>
      <c r="AN3" s="11"/>
    </row>
    <row r="4" spans="1:245" s="2" customFormat="1" ht="37.5" customHeight="1" x14ac:dyDescent="0.25">
      <c r="A4" s="4">
        <v>1</v>
      </c>
      <c r="B4" s="4" t="s">
        <v>3</v>
      </c>
      <c r="C4" s="4">
        <v>36</v>
      </c>
      <c r="D4" s="4">
        <v>29</v>
      </c>
      <c r="E4" s="4">
        <v>4</v>
      </c>
      <c r="F4" s="4">
        <v>81</v>
      </c>
      <c r="G4" s="4">
        <v>75</v>
      </c>
      <c r="H4" s="4">
        <v>6</v>
      </c>
      <c r="I4" s="4">
        <v>80</v>
      </c>
      <c r="J4" s="4">
        <v>75</v>
      </c>
      <c r="K4" s="4">
        <v>5</v>
      </c>
      <c r="L4" s="4">
        <v>221</v>
      </c>
      <c r="M4" s="4">
        <v>240</v>
      </c>
      <c r="N4" s="4">
        <v>4</v>
      </c>
      <c r="O4" s="4">
        <v>59</v>
      </c>
      <c r="P4" s="4">
        <v>27</v>
      </c>
      <c r="Q4" s="4">
        <v>10</v>
      </c>
      <c r="R4" s="4">
        <v>46</v>
      </c>
      <c r="S4" s="4">
        <v>45</v>
      </c>
      <c r="T4" s="4">
        <v>14</v>
      </c>
      <c r="U4" s="4">
        <v>1</v>
      </c>
      <c r="V4" s="4" t="s">
        <v>3</v>
      </c>
      <c r="W4" s="4">
        <v>31</v>
      </c>
      <c r="X4" s="4">
        <v>26</v>
      </c>
      <c r="Y4" s="4">
        <v>5</v>
      </c>
      <c r="Z4" s="4">
        <v>58</v>
      </c>
      <c r="AA4" s="4">
        <v>60</v>
      </c>
      <c r="AB4" s="4">
        <v>10</v>
      </c>
      <c r="AC4" s="4">
        <v>13</v>
      </c>
      <c r="AD4" s="4">
        <v>20</v>
      </c>
      <c r="AE4" s="4">
        <v>6</v>
      </c>
      <c r="AF4" s="4">
        <v>42</v>
      </c>
      <c r="AG4" s="4">
        <v>31</v>
      </c>
      <c r="AH4" s="4">
        <v>12</v>
      </c>
      <c r="AI4" s="4">
        <v>6</v>
      </c>
      <c r="AJ4" s="4">
        <v>9</v>
      </c>
      <c r="AK4" s="4">
        <v>4</v>
      </c>
      <c r="AL4" s="4">
        <v>10</v>
      </c>
      <c r="AM4" s="4">
        <v>11</v>
      </c>
      <c r="AN4" s="4">
        <v>4</v>
      </c>
      <c r="IK4" s="2">
        <v>3</v>
      </c>
    </row>
    <row r="5" spans="1:245" s="2" customFormat="1" ht="37.5" customHeight="1" x14ac:dyDescent="0.25">
      <c r="A5" s="4">
        <v>2</v>
      </c>
      <c r="B5" s="4" t="s">
        <v>4</v>
      </c>
      <c r="C5" s="5" t="s">
        <v>15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15</v>
      </c>
      <c r="I5" s="5" t="s">
        <v>15</v>
      </c>
      <c r="J5" s="5" t="s">
        <v>15</v>
      </c>
      <c r="K5" s="5" t="s">
        <v>15</v>
      </c>
      <c r="L5" s="5" t="s">
        <v>15</v>
      </c>
      <c r="M5" s="5" t="s">
        <v>15</v>
      </c>
      <c r="N5" s="5" t="s">
        <v>15</v>
      </c>
      <c r="O5" s="5" t="s">
        <v>15</v>
      </c>
      <c r="P5" s="5" t="s">
        <v>15</v>
      </c>
      <c r="Q5" s="5" t="s">
        <v>15</v>
      </c>
      <c r="R5" s="5" t="s">
        <v>15</v>
      </c>
      <c r="S5" s="5" t="s">
        <v>15</v>
      </c>
      <c r="T5" s="5" t="s">
        <v>15</v>
      </c>
      <c r="U5" s="4">
        <v>2</v>
      </c>
      <c r="V5" s="4" t="s">
        <v>4</v>
      </c>
      <c r="W5" s="5" t="s">
        <v>15</v>
      </c>
      <c r="X5" s="5" t="s">
        <v>15</v>
      </c>
      <c r="Y5" s="5" t="s">
        <v>15</v>
      </c>
      <c r="Z5" s="5">
        <v>0</v>
      </c>
      <c r="AA5" s="5">
        <v>0</v>
      </c>
      <c r="AB5" s="5">
        <v>0</v>
      </c>
      <c r="AC5" s="5">
        <v>720</v>
      </c>
      <c r="AD5" s="5">
        <v>360</v>
      </c>
      <c r="AE5" s="5">
        <v>10</v>
      </c>
      <c r="AF5" s="5">
        <v>1335</v>
      </c>
      <c r="AG5" s="5">
        <v>770</v>
      </c>
      <c r="AH5" s="5">
        <v>17</v>
      </c>
      <c r="AI5" s="5">
        <v>1021</v>
      </c>
      <c r="AJ5" s="5">
        <v>631</v>
      </c>
      <c r="AK5" s="5">
        <v>43</v>
      </c>
      <c r="AL5" s="5">
        <v>1746</v>
      </c>
      <c r="AM5" s="5">
        <v>1497</v>
      </c>
      <c r="AN5" s="5">
        <v>69</v>
      </c>
      <c r="IK5" s="2">
        <v>3</v>
      </c>
    </row>
    <row r="6" spans="1:245" s="2" customFormat="1" ht="37.5" customHeight="1" x14ac:dyDescent="0.25">
      <c r="A6" s="4">
        <v>3</v>
      </c>
      <c r="B6" s="4" t="s">
        <v>5</v>
      </c>
      <c r="C6" s="4">
        <v>2499</v>
      </c>
      <c r="D6" s="4">
        <v>2431</v>
      </c>
      <c r="E6" s="4">
        <v>1125</v>
      </c>
      <c r="F6" s="4">
        <v>6775</v>
      </c>
      <c r="G6" s="4">
        <v>6818</v>
      </c>
      <c r="H6" s="4">
        <v>2234</v>
      </c>
      <c r="I6" s="4">
        <v>2436</v>
      </c>
      <c r="J6" s="4">
        <v>2280</v>
      </c>
      <c r="K6" s="4">
        <v>918</v>
      </c>
      <c r="L6" s="4">
        <v>7581</v>
      </c>
      <c r="M6" s="4">
        <v>7319</v>
      </c>
      <c r="N6" s="4">
        <v>2133</v>
      </c>
      <c r="O6" s="4">
        <v>2563</v>
      </c>
      <c r="P6" s="4">
        <v>2210</v>
      </c>
      <c r="Q6" s="4">
        <v>746</v>
      </c>
      <c r="R6" s="4">
        <v>8052</v>
      </c>
      <c r="S6" s="4">
        <v>7056</v>
      </c>
      <c r="T6" s="4">
        <v>1556</v>
      </c>
      <c r="U6" s="4">
        <v>3</v>
      </c>
      <c r="V6" s="4" t="s">
        <v>5</v>
      </c>
      <c r="W6" s="4">
        <v>2579</v>
      </c>
      <c r="X6" s="4">
        <v>2446</v>
      </c>
      <c r="Y6" s="4">
        <v>673</v>
      </c>
      <c r="Z6" s="4">
        <v>7602</v>
      </c>
      <c r="AA6" s="4">
        <v>7096</v>
      </c>
      <c r="AB6" s="4">
        <v>1636</v>
      </c>
      <c r="AC6" s="4">
        <v>856</v>
      </c>
      <c r="AD6" s="4">
        <v>803</v>
      </c>
      <c r="AE6" s="4">
        <v>127</v>
      </c>
      <c r="AF6" s="4">
        <v>2996</v>
      </c>
      <c r="AG6" s="4">
        <v>2880</v>
      </c>
      <c r="AH6" s="4">
        <v>504</v>
      </c>
      <c r="AI6" s="4">
        <v>1372</v>
      </c>
      <c r="AJ6" s="4">
        <v>1166</v>
      </c>
      <c r="AK6" s="4">
        <v>255</v>
      </c>
      <c r="AL6" s="4">
        <v>3587</v>
      </c>
      <c r="AM6" s="4">
        <v>3241</v>
      </c>
      <c r="AN6" s="4">
        <v>662</v>
      </c>
      <c r="IK6" s="2">
        <v>3</v>
      </c>
    </row>
    <row r="7" spans="1:245" s="2" customFormat="1" ht="37.5" customHeight="1" x14ac:dyDescent="0.25">
      <c r="A7" s="4">
        <v>4</v>
      </c>
      <c r="B7" s="4" t="s">
        <v>8</v>
      </c>
      <c r="C7" s="4">
        <v>679</v>
      </c>
      <c r="D7" s="4">
        <v>338</v>
      </c>
      <c r="E7" s="4">
        <v>24</v>
      </c>
      <c r="F7" s="4">
        <v>684</v>
      </c>
      <c r="G7" s="4">
        <v>452</v>
      </c>
      <c r="H7" s="4">
        <v>35</v>
      </c>
      <c r="I7" s="4">
        <v>862</v>
      </c>
      <c r="J7" s="4">
        <v>652</v>
      </c>
      <c r="K7" s="4">
        <v>54</v>
      </c>
      <c r="L7" s="4">
        <v>982</v>
      </c>
      <c r="M7" s="4">
        <v>950</v>
      </c>
      <c r="N7" s="4">
        <v>67</v>
      </c>
      <c r="O7" s="4">
        <v>809</v>
      </c>
      <c r="P7" s="4">
        <v>535</v>
      </c>
      <c r="Q7" s="4">
        <v>25</v>
      </c>
      <c r="R7" s="4">
        <v>676</v>
      </c>
      <c r="S7" s="4">
        <v>631</v>
      </c>
      <c r="T7" s="4">
        <v>34</v>
      </c>
      <c r="U7" s="4">
        <v>4</v>
      </c>
      <c r="V7" s="4" t="s">
        <v>8</v>
      </c>
      <c r="W7" s="4">
        <v>1224</v>
      </c>
      <c r="X7" s="4">
        <v>702</v>
      </c>
      <c r="Y7" s="4">
        <v>18</v>
      </c>
      <c r="Z7" s="4">
        <v>1066</v>
      </c>
      <c r="AA7" s="4">
        <v>878</v>
      </c>
      <c r="AB7" s="4">
        <v>30</v>
      </c>
      <c r="AC7" s="4">
        <v>2020</v>
      </c>
      <c r="AD7" s="4">
        <v>1315</v>
      </c>
      <c r="AE7" s="4">
        <v>31</v>
      </c>
      <c r="AF7" s="4">
        <v>1967</v>
      </c>
      <c r="AG7" s="4">
        <v>1476</v>
      </c>
      <c r="AH7" s="4">
        <v>33</v>
      </c>
      <c r="AI7" s="4">
        <v>3087</v>
      </c>
      <c r="AJ7" s="4">
        <v>1348</v>
      </c>
      <c r="AK7" s="4">
        <v>37</v>
      </c>
      <c r="AL7" s="4">
        <v>2481</v>
      </c>
      <c r="AM7" s="4">
        <v>1520</v>
      </c>
      <c r="AN7" s="4">
        <v>56</v>
      </c>
    </row>
    <row r="8" spans="1:245" s="2" customFormat="1" ht="37.5" customHeight="1" x14ac:dyDescent="0.25">
      <c r="A8" s="4">
        <v>5</v>
      </c>
      <c r="B8" s="4" t="s">
        <v>7</v>
      </c>
      <c r="C8" s="4">
        <v>78</v>
      </c>
      <c r="D8" s="4">
        <v>47</v>
      </c>
      <c r="E8" s="4">
        <v>4</v>
      </c>
      <c r="F8" s="4">
        <v>97</v>
      </c>
      <c r="G8" s="4">
        <v>64</v>
      </c>
      <c r="H8" s="4">
        <v>7</v>
      </c>
      <c r="I8" s="4">
        <v>27</v>
      </c>
      <c r="J8" s="4">
        <v>26</v>
      </c>
      <c r="K8" s="4">
        <v>2</v>
      </c>
      <c r="L8" s="4">
        <v>60</v>
      </c>
      <c r="M8" s="4">
        <v>57</v>
      </c>
      <c r="N8" s="4">
        <v>2</v>
      </c>
      <c r="O8" s="4">
        <v>15</v>
      </c>
      <c r="P8" s="4">
        <v>12</v>
      </c>
      <c r="Q8" s="4">
        <v>1</v>
      </c>
      <c r="R8" s="4">
        <v>25</v>
      </c>
      <c r="S8" s="4">
        <v>18</v>
      </c>
      <c r="T8" s="4">
        <v>1</v>
      </c>
      <c r="U8" s="4">
        <v>5</v>
      </c>
      <c r="V8" s="4" t="s">
        <v>7</v>
      </c>
      <c r="W8" s="4">
        <v>6</v>
      </c>
      <c r="X8" s="4">
        <v>12</v>
      </c>
      <c r="Y8" s="4">
        <v>0</v>
      </c>
      <c r="Z8" s="4">
        <v>9</v>
      </c>
      <c r="AA8" s="4">
        <v>28</v>
      </c>
      <c r="AB8" s="4">
        <v>0</v>
      </c>
      <c r="AC8" s="4">
        <v>14</v>
      </c>
      <c r="AD8" s="4">
        <v>11</v>
      </c>
      <c r="AE8" s="4">
        <v>0</v>
      </c>
      <c r="AF8" s="4">
        <v>31</v>
      </c>
      <c r="AG8" s="4">
        <v>15</v>
      </c>
      <c r="AH8" s="4">
        <v>0</v>
      </c>
      <c r="AI8" s="4">
        <v>11</v>
      </c>
      <c r="AJ8" s="4">
        <v>10</v>
      </c>
      <c r="AK8" s="4">
        <v>1</v>
      </c>
      <c r="AL8" s="4">
        <v>15</v>
      </c>
      <c r="AM8" s="4">
        <v>15</v>
      </c>
      <c r="AN8" s="4">
        <v>2</v>
      </c>
    </row>
    <row r="9" spans="1:245" s="2" customFormat="1" ht="37.5" customHeight="1" x14ac:dyDescent="0.25">
      <c r="A9" s="4">
        <v>6</v>
      </c>
      <c r="B9" s="4" t="s">
        <v>6</v>
      </c>
      <c r="C9" s="4">
        <v>130</v>
      </c>
      <c r="D9" s="4">
        <v>64</v>
      </c>
      <c r="E9" s="4">
        <v>2</v>
      </c>
      <c r="F9" s="4">
        <v>166</v>
      </c>
      <c r="G9" s="4">
        <v>90</v>
      </c>
      <c r="H9" s="4">
        <v>2</v>
      </c>
      <c r="I9" s="4">
        <v>113</v>
      </c>
      <c r="J9" s="4">
        <v>58</v>
      </c>
      <c r="K9" s="4">
        <v>3</v>
      </c>
      <c r="L9" s="4">
        <v>156</v>
      </c>
      <c r="M9" s="4">
        <v>117</v>
      </c>
      <c r="N9" s="4">
        <v>14</v>
      </c>
      <c r="O9" s="4">
        <v>108</v>
      </c>
      <c r="P9" s="4">
        <v>76</v>
      </c>
      <c r="Q9" s="4">
        <v>4</v>
      </c>
      <c r="R9" s="4">
        <v>128</v>
      </c>
      <c r="S9" s="4">
        <v>101</v>
      </c>
      <c r="T9" s="4">
        <v>6</v>
      </c>
      <c r="U9" s="4">
        <v>6</v>
      </c>
      <c r="V9" s="4" t="s">
        <v>6</v>
      </c>
      <c r="W9" s="4">
        <v>100</v>
      </c>
      <c r="X9" s="4">
        <v>91</v>
      </c>
      <c r="Y9" s="4">
        <v>6</v>
      </c>
      <c r="Z9" s="4">
        <v>134</v>
      </c>
      <c r="AA9" s="4">
        <v>149</v>
      </c>
      <c r="AB9" s="4">
        <v>12</v>
      </c>
      <c r="AC9" s="4">
        <v>82</v>
      </c>
      <c r="AD9" s="4">
        <v>77</v>
      </c>
      <c r="AE9" s="4">
        <v>3</v>
      </c>
      <c r="AF9" s="4">
        <v>109</v>
      </c>
      <c r="AG9" s="4">
        <v>115</v>
      </c>
      <c r="AH9" s="4">
        <v>5</v>
      </c>
      <c r="AI9" s="4">
        <v>111</v>
      </c>
      <c r="AJ9" s="4">
        <v>119</v>
      </c>
      <c r="AK9" s="4">
        <v>9</v>
      </c>
      <c r="AL9" s="4">
        <v>136</v>
      </c>
      <c r="AM9" s="4">
        <v>157</v>
      </c>
      <c r="AN9" s="4">
        <v>18</v>
      </c>
    </row>
    <row r="10" spans="1:245" s="2" customFormat="1" ht="37.5" customHeight="1" x14ac:dyDescent="0.25">
      <c r="A10" s="6"/>
      <c r="B10" s="7" t="s">
        <v>9</v>
      </c>
      <c r="C10" s="7">
        <f>SUM(C4:C9)</f>
        <v>3422</v>
      </c>
      <c r="D10" s="7">
        <f t="shared" ref="D10:H10" si="0">SUM(D4:D9)</f>
        <v>2909</v>
      </c>
      <c r="E10" s="7">
        <f t="shared" si="0"/>
        <v>1159</v>
      </c>
      <c r="F10" s="7">
        <f t="shared" si="0"/>
        <v>7803</v>
      </c>
      <c r="G10" s="7">
        <f t="shared" si="0"/>
        <v>7499</v>
      </c>
      <c r="H10" s="7">
        <f t="shared" si="0"/>
        <v>2284</v>
      </c>
      <c r="I10" s="7">
        <f>SUM(I4:I9)</f>
        <v>3518</v>
      </c>
      <c r="J10" s="7">
        <f t="shared" ref="J10" si="1">SUM(J4:J9)</f>
        <v>3091</v>
      </c>
      <c r="K10" s="7">
        <f t="shared" ref="K10" si="2">SUM(K4:K9)</f>
        <v>982</v>
      </c>
      <c r="L10" s="7">
        <f t="shared" ref="L10" si="3">SUM(L4:L9)</f>
        <v>9000</v>
      </c>
      <c r="M10" s="7">
        <f t="shared" ref="M10" si="4">SUM(M4:M9)</f>
        <v>8683</v>
      </c>
      <c r="N10" s="7">
        <f t="shared" ref="N10" si="5">SUM(N4:N9)</f>
        <v>2220</v>
      </c>
      <c r="O10" s="7">
        <f>SUM(O4:O9)</f>
        <v>3554</v>
      </c>
      <c r="P10" s="7">
        <f t="shared" ref="P10" si="6">SUM(P4:P9)</f>
        <v>2860</v>
      </c>
      <c r="Q10" s="7">
        <f t="shared" ref="Q10" si="7">SUM(Q4:Q9)</f>
        <v>786</v>
      </c>
      <c r="R10" s="7">
        <f t="shared" ref="R10" si="8">SUM(R4:R9)</f>
        <v>8927</v>
      </c>
      <c r="S10" s="7">
        <f t="shared" ref="S10" si="9">SUM(S4:S9)</f>
        <v>7851</v>
      </c>
      <c r="T10" s="7">
        <f t="shared" ref="T10" si="10">SUM(T4:T9)</f>
        <v>1611</v>
      </c>
      <c r="U10" s="6"/>
      <c r="V10" s="7" t="s">
        <v>9</v>
      </c>
      <c r="W10" s="7">
        <f>SUM(W4:W9)</f>
        <v>3940</v>
      </c>
      <c r="X10" s="7">
        <f t="shared" ref="X10" si="11">SUM(X4:X9)</f>
        <v>3277</v>
      </c>
      <c r="Y10" s="7">
        <f t="shared" ref="Y10" si="12">SUM(Y4:Y9)</f>
        <v>702</v>
      </c>
      <c r="Z10" s="7">
        <f t="shared" ref="Z10" si="13">SUM(Z4:Z9)</f>
        <v>8869</v>
      </c>
      <c r="AA10" s="7">
        <f t="shared" ref="AA10" si="14">SUM(AA4:AA9)</f>
        <v>8211</v>
      </c>
      <c r="AB10" s="7">
        <f t="shared" ref="AB10" si="15">SUM(AB4:AB9)</f>
        <v>1688</v>
      </c>
      <c r="AC10" s="7">
        <f>SUM(AC4:AC9)</f>
        <v>3705</v>
      </c>
      <c r="AD10" s="7">
        <f t="shared" ref="AD10" si="16">SUM(AD4:AD9)</f>
        <v>2586</v>
      </c>
      <c r="AE10" s="7">
        <f t="shared" ref="AE10" si="17">SUM(AE4:AE9)</f>
        <v>177</v>
      </c>
      <c r="AF10" s="7">
        <f t="shared" ref="AF10" si="18">SUM(AF4:AF9)</f>
        <v>6480</v>
      </c>
      <c r="AG10" s="7">
        <f t="shared" ref="AG10" si="19">SUM(AG4:AG9)</f>
        <v>5287</v>
      </c>
      <c r="AH10" s="7">
        <f t="shared" ref="AH10" si="20">SUM(AH4:AH9)</f>
        <v>571</v>
      </c>
      <c r="AI10" s="7">
        <f>SUM(AI4:AI9)</f>
        <v>5608</v>
      </c>
      <c r="AJ10" s="7">
        <f t="shared" ref="AJ10" si="21">SUM(AJ4:AJ9)</f>
        <v>3283</v>
      </c>
      <c r="AK10" s="7">
        <f t="shared" ref="AK10" si="22">SUM(AK4:AK9)</f>
        <v>349</v>
      </c>
      <c r="AL10" s="7">
        <f t="shared" ref="AL10" si="23">SUM(AL4:AL9)</f>
        <v>7975</v>
      </c>
      <c r="AM10" s="7">
        <f t="shared" ref="AM10" si="24">SUM(AM4:AM9)</f>
        <v>6441</v>
      </c>
      <c r="AN10" s="7">
        <f t="shared" ref="AN10" si="25">SUM(AN4:AN9)</f>
        <v>811</v>
      </c>
    </row>
    <row r="11" spans="1:245" x14ac:dyDescent="0.25">
      <c r="A11" s="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 t="s">
        <v>10</v>
      </c>
      <c r="V11" s="1"/>
      <c r="W11" s="1" t="s">
        <v>24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</sheetData>
  <mergeCells count="12">
    <mergeCell ref="U1:AN1"/>
    <mergeCell ref="O3:T3"/>
    <mergeCell ref="W3:AB3"/>
    <mergeCell ref="AC3:AH3"/>
    <mergeCell ref="AI3:AN3"/>
    <mergeCell ref="A1:T1"/>
    <mergeCell ref="A2:A3"/>
    <mergeCell ref="B2:B3"/>
    <mergeCell ref="U2:U3"/>
    <mergeCell ref="V2:V3"/>
    <mergeCell ref="I3:N3"/>
    <mergeCell ref="C3:H3"/>
  </mergeCells>
  <pageMargins left="0" right="0" top="0" bottom="0" header="0.31496062992125984" footer="0.31496062992125984"/>
  <pageSetup paperSize="9" orientation="landscape" verticalDpi="0" r:id="rId1"/>
  <colBreaks count="1" manualBreakCount="1">
    <brk id="20" max="1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Report</vt:lpstr>
      <vt:lpstr>Sheet1</vt:lpstr>
      <vt:lpstr>Sheet2</vt:lpstr>
      <vt:lpstr>Sheet3</vt:lpstr>
      <vt:lpstr>Report!Print_Area</vt:lpstr>
    </vt:vector>
  </TitlesOfParts>
  <Company>ncrb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BOHRA</cp:lastModifiedBy>
  <cp:lastPrinted>2016-09-22T11:58:21Z</cp:lastPrinted>
  <dcterms:created xsi:type="dcterms:W3CDTF">2016-09-22T10:40:26Z</dcterms:created>
  <dcterms:modified xsi:type="dcterms:W3CDTF">2017-04-27T05:32:01Z</dcterms:modified>
</cp:coreProperties>
</file>