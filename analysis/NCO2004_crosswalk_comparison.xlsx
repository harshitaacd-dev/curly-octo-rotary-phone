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mparison" sheetId="2" state="visible" r:id="rId4"/>
    <sheet name="NCO-2015 scores" sheetId="3" state="visible" r:id="rId5"/>
    <sheet name="DGE links" sheetId="4" state="visible" r:id="rId6"/>
    <sheet name="ILO links" sheetId="5" state="visible" r:id="rId7"/>
  </sheets>
  <definedNames>
    <definedName function="false" hidden="true" localSheetId="1" name="_xlnm._FilterDatabase" vbProcedure="false">Comparison!$A$1:$P$120</definedName>
    <definedName function="false" hidden="true" localSheetId="3" name="_xlnm._FilterDatabase" vbProcedure="false">'DGE links'!$A$1:$J$3451</definedName>
    <definedName function="false" hidden="true" localSheetId="4" name="_xlnm._FilterDatabase" vbProcedure="false">'ILO links'!$A$1:$J$674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<sst xmlns="http://schemas.openxmlformats.org/spreadsheetml/2006/main" count="14494" uniqueCount="11555">
  <si>
    <t xml:space="preserve">NCO-2004 to exposure: DGE concordance vs ILO correspondence table</t>
  </si>
  <si>
    <t xml:space="preserve">Setting</t>
  </si>
  <si>
    <t xml:space="preserve">Agreement threshold (absolute difference in exposure score)</t>
  </si>
  <si>
    <t xml:space="preserve">Edit this cell. Groups whose two scores differ by more than this are marked "Check".</t>
  </si>
  <si>
    <t xml:space="preserve">Coverage</t>
  </si>
  <si>
    <t xml:space="preserve">NCO-2004 groups in either source</t>
  </si>
  <si>
    <t xml:space="preserve">Groups scored via DGE concordance</t>
  </si>
  <si>
    <t xml:space="preserve">Groups scored via ILO table</t>
  </si>
  <si>
    <t xml:space="preserve">Groups scored by both</t>
  </si>
  <si>
    <t xml:space="preserve">Groups only in DGE</t>
  </si>
  <si>
    <t xml:space="preserve">Groups only in ILO table</t>
  </si>
  <si>
    <t xml:space="preserve">Agreement (groups scored by both)</t>
  </si>
  <si>
    <t xml:space="preserve">Correlation of the two scores</t>
  </si>
  <si>
    <t xml:space="preserve">Mean absolute difference</t>
  </si>
  <si>
    <t xml:space="preserve">Largest absolute difference</t>
  </si>
  <si>
    <t xml:space="preserve">Groups that agree (within threshold)</t>
  </si>
  <si>
    <t xml:space="preserve">Groups to check (beyond threshold)</t>
  </si>
  <si>
    <t xml:space="preserve">Share that agree</t>
  </si>
  <si>
    <t xml:space="preserve">Code numbering</t>
  </si>
  <si>
    <t xml:space="preserve">DGE occupations with an NCO-2004 code</t>
  </si>
  <si>
    <t xml:space="preserve">...of which keep the same 3-digit number in NCO-2015</t>
  </si>
  <si>
    <t xml:space="preserve">Share keeping the same 3-digit number</t>
  </si>
  <si>
    <t xml:space="preserve">How to read this workbook</t>
  </si>
  <si>
    <t xml:space="preserve">Comparison: one row per NCO-2004 group. "Exposure: DGE route" averages the NCO-2015 group scores of the occupations DGE lists under that old group (each old occupation counts once). "Exposure: ILO route" averages the ILO scores of the ISCO-08 jobs the ILO table links to that ISCO-88 group.</t>
  </si>
  <si>
    <t xml:space="preserve">DGE links: India's own concordance, one row per occupation and NCO-2004 code. ILO links: the ILO ISCO-08 to ISCO-88 table, one row per link.</t>
  </si>
  <si>
    <t xml:space="preserve">Why both: NCO-2004 is based on ISCO-88 but departs from it in places (e.g. farm labourers are 920 in NCO-2004 and 921 in ISCO-88; general managers are 130). "DGE only" and "ILO only" rows are often these renumbered groups.</t>
  </si>
  <si>
    <t xml:space="preserve">Colour key: blue = input values from the sources; green = formulas pulling from another sheet; yellow = setting you can change.</t>
  </si>
  <si>
    <t xml:space="preserve">NCO-2004 group</t>
  </si>
  <si>
    <t xml:space="preserve">Main NCO-2015 group (DGE)</t>
  </si>
  <si>
    <t xml:space="preserve">Main NCO-2015 group title</t>
  </si>
  <si>
    <t xml:space="preserve">NCO-2015 groups reached via DGE</t>
  </si>
  <si>
    <t xml:space="preserve">ISCO-08 groups reached via ILO table</t>
  </si>
  <si>
    <t xml:space="preserve">Groups reached by both</t>
  </si>
  <si>
    <t xml:space="preserve">Overlap (shared / all groups reached)</t>
  </si>
  <si>
    <t xml:space="preserve">DGE occupations</t>
  </si>
  <si>
    <t xml:space="preserve">ISCO-08 jobs linked</t>
  </si>
  <si>
    <t xml:space="preserve">Exposure: DGE route</t>
  </si>
  <si>
    <t xml:space="preserve">Exposure: ILO route</t>
  </si>
  <si>
    <t xml:space="preserve">Difference (DGE - ILO)</t>
  </si>
  <si>
    <t xml:space="preserve">Absolute difference</t>
  </si>
  <si>
    <t xml:space="preserve">Agreement</t>
  </si>
  <si>
    <t xml:space="preserve">Score used in dataset</t>
  </si>
  <si>
    <t xml:space="preserve">Source of score used</t>
  </si>
  <si>
    <t xml:space="preserve">011</t>
  </si>
  <si>
    <t xml:space="preserve">011 021 031</t>
  </si>
  <si>
    <t xml:space="preserve">111</t>
  </si>
  <si>
    <t xml:space="preserve">Legislators and senior officials</t>
  </si>
  <si>
    <t xml:space="preserve">112</t>
  </si>
  <si>
    <t xml:space="preserve">113</t>
  </si>
  <si>
    <t xml:space="preserve">114</t>
  </si>
  <si>
    <t xml:space="preserve">121</t>
  </si>
  <si>
    <t xml:space="preserve">Managing directors and chief executives</t>
  </si>
  <si>
    <t xml:space="preserve">122</t>
  </si>
  <si>
    <t xml:space="preserve">132</t>
  </si>
  <si>
    <t xml:space="preserve">Manufacturing, mining, construction, and distribution managers</t>
  </si>
  <si>
    <t xml:space="preserve">121 131 132 133 134 141 142 265</t>
  </si>
  <si>
    <t xml:space="preserve">121 131 132 133 134 141 142 143 265 312</t>
  </si>
  <si>
    <t xml:space="preserve">123</t>
  </si>
  <si>
    <t xml:space="preserve">Business services and administration managers</t>
  </si>
  <si>
    <t xml:space="preserve">121 122 132</t>
  </si>
  <si>
    <t xml:space="preserve">121 122 132 133</t>
  </si>
  <si>
    <t xml:space="preserve">130</t>
  </si>
  <si>
    <t xml:space="preserve">121 131 132 133 141 142 143</t>
  </si>
  <si>
    <t xml:space="preserve">131</t>
  </si>
  <si>
    <t xml:space="preserve">121 122 132 133 134 141 142 143 522 611 612 613</t>
  </si>
  <si>
    <t xml:space="preserve">211</t>
  </si>
  <si>
    <t xml:space="preserve">Physical and earth science professionals</t>
  </si>
  <si>
    <t xml:space="preserve">211 226</t>
  </si>
  <si>
    <t xml:space="preserve">212</t>
  </si>
  <si>
    <t xml:space="preserve">Mathematicians, actuaries and statisticians</t>
  </si>
  <si>
    <t xml:space="preserve">213</t>
  </si>
  <si>
    <t xml:space="preserve">251</t>
  </si>
  <si>
    <t xml:space="preserve">Software and applications developers and analysts</t>
  </si>
  <si>
    <t xml:space="preserve">251 252</t>
  </si>
  <si>
    <t xml:space="preserve">251 252 351</t>
  </si>
  <si>
    <t xml:space="preserve">214</t>
  </si>
  <si>
    <t xml:space="preserve">Engineering professionals (excluding electrotechnology)</t>
  </si>
  <si>
    <t xml:space="preserve">214 215 216</t>
  </si>
  <si>
    <t xml:space="preserve">221</t>
  </si>
  <si>
    <t xml:space="preserve">Life science professionals</t>
  </si>
  <si>
    <t xml:space="preserve">213 221 225</t>
  </si>
  <si>
    <t xml:space="preserve">222</t>
  </si>
  <si>
    <t xml:space="preserve">Medical doctors</t>
  </si>
  <si>
    <t xml:space="preserve">221 223 225 226</t>
  </si>
  <si>
    <t xml:space="preserve">221 225 226</t>
  </si>
  <si>
    <t xml:space="preserve">223</t>
  </si>
  <si>
    <t xml:space="preserve">Nursing and midwifery professionals</t>
  </si>
  <si>
    <t xml:space="preserve">134 222 322</t>
  </si>
  <si>
    <t xml:space="preserve">231</t>
  </si>
  <si>
    <t xml:space="preserve">University and higher education teachers</t>
  </si>
  <si>
    <t xml:space="preserve">231 232</t>
  </si>
  <si>
    <t xml:space="preserve">232</t>
  </si>
  <si>
    <t xml:space="preserve">233</t>
  </si>
  <si>
    <t xml:space="preserve">Secondary education teachers</t>
  </si>
  <si>
    <t xml:space="preserve">232 233</t>
  </si>
  <si>
    <t xml:space="preserve">235</t>
  </si>
  <si>
    <t xml:space="preserve">Other teaching professionals</t>
  </si>
  <si>
    <t xml:space="preserve">234</t>
  </si>
  <si>
    <t xml:space="preserve">241</t>
  </si>
  <si>
    <t xml:space="preserve">Finance professionals</t>
  </si>
  <si>
    <t xml:space="preserve">241 242 243 333</t>
  </si>
  <si>
    <t xml:space="preserve">226 241 242 243 333</t>
  </si>
  <si>
    <t xml:space="preserve">242</t>
  </si>
  <si>
    <t xml:space="preserve">261</t>
  </si>
  <si>
    <t xml:space="preserve">Legal professionals</t>
  </si>
  <si>
    <t xml:space="preserve">243</t>
  </si>
  <si>
    <t xml:space="preserve">262</t>
  </si>
  <si>
    <t xml:space="preserve">Librarians, archivists and curators</t>
  </si>
  <si>
    <t xml:space="preserve">244</t>
  </si>
  <si>
    <t xml:space="preserve">263</t>
  </si>
  <si>
    <t xml:space="preserve">Social and religious professionals</t>
  </si>
  <si>
    <t xml:space="preserve">263 264</t>
  </si>
  <si>
    <t xml:space="preserve">245</t>
  </si>
  <si>
    <t xml:space="preserve">265</t>
  </si>
  <si>
    <t xml:space="preserve">Creative and performing artists</t>
  </si>
  <si>
    <t xml:space="preserve">216 243 264 265</t>
  </si>
  <si>
    <t xml:space="preserve">264 265</t>
  </si>
  <si>
    <t xml:space="preserve">246</t>
  </si>
  <si>
    <t xml:space="preserve">311</t>
  </si>
  <si>
    <t xml:space="preserve">Physical and engineering science technicians</t>
  </si>
  <si>
    <t xml:space="preserve">311 352</t>
  </si>
  <si>
    <t xml:space="preserve">312</t>
  </si>
  <si>
    <t xml:space="preserve">351</t>
  </si>
  <si>
    <t xml:space="preserve">Information and communications technology operations and user support technicians</t>
  </si>
  <si>
    <t xml:space="preserve">313 351</t>
  </si>
  <si>
    <t xml:space="preserve">313</t>
  </si>
  <si>
    <t xml:space="preserve">352</t>
  </si>
  <si>
    <t xml:space="preserve">Telecommunications and broadcasting technicians</t>
  </si>
  <si>
    <t xml:space="preserve">311 321 343 352</t>
  </si>
  <si>
    <t xml:space="preserve">321 343 352</t>
  </si>
  <si>
    <t xml:space="preserve">314</t>
  </si>
  <si>
    <t xml:space="preserve">315</t>
  </si>
  <si>
    <t xml:space="preserve">Ship and aircraft controllers and technicians</t>
  </si>
  <si>
    <t xml:space="preserve">226 311 754</t>
  </si>
  <si>
    <t xml:space="preserve">226 311 325 335 754</t>
  </si>
  <si>
    <t xml:space="preserve">321</t>
  </si>
  <si>
    <t xml:space="preserve">325</t>
  </si>
  <si>
    <t xml:space="preserve">Other health associate professionals</t>
  </si>
  <si>
    <t xml:space="preserve">213 314 321 325</t>
  </si>
  <si>
    <t xml:space="preserve">213 314 321</t>
  </si>
  <si>
    <t xml:space="preserve">322</t>
  </si>
  <si>
    <t xml:space="preserve">226</t>
  </si>
  <si>
    <t xml:space="preserve">Other health professionals</t>
  </si>
  <si>
    <t xml:space="preserve">224 226 321 324 325</t>
  </si>
  <si>
    <t xml:space="preserve">223 224 226 321 324 325</t>
  </si>
  <si>
    <t xml:space="preserve">323</t>
  </si>
  <si>
    <t xml:space="preserve">Nursing and midwifery associate professionals</t>
  </si>
  <si>
    <t xml:space="preserve">324</t>
  </si>
  <si>
    <t xml:space="preserve">Traditional and complementary medicine professionals</t>
  </si>
  <si>
    <t xml:space="preserve">223 323 516</t>
  </si>
  <si>
    <t xml:space="preserve">331</t>
  </si>
  <si>
    <t xml:space="preserve">Primary school and early childhood teachers</t>
  </si>
  <si>
    <t xml:space="preserve">332</t>
  </si>
  <si>
    <t xml:space="preserve">333</t>
  </si>
  <si>
    <t xml:space="preserve">334</t>
  </si>
  <si>
    <t xml:space="preserve">235 315 342 343 516</t>
  </si>
  <si>
    <t xml:space="preserve">341</t>
  </si>
  <si>
    <t xml:space="preserve">Sales and purchasing agents and brokers</t>
  </si>
  <si>
    <t xml:space="preserve">241 243 331 332 333</t>
  </si>
  <si>
    <t xml:space="preserve">241 243 331 332 333 422</t>
  </si>
  <si>
    <t xml:space="preserve">342</t>
  </si>
  <si>
    <t xml:space="preserve">Business services agents</t>
  </si>
  <si>
    <t xml:space="preserve">332 333</t>
  </si>
  <si>
    <t xml:space="preserve">343</t>
  </si>
  <si>
    <t xml:space="preserve">Administrative and specialised secretaries</t>
  </si>
  <si>
    <t xml:space="preserve">331 334 341</t>
  </si>
  <si>
    <t xml:space="preserve">331 333 334 335 341 343</t>
  </si>
  <si>
    <t xml:space="preserve">344</t>
  </si>
  <si>
    <t xml:space="preserve">335</t>
  </si>
  <si>
    <t xml:space="preserve">Regulatory government associate professionals</t>
  </si>
  <si>
    <t xml:space="preserve">345</t>
  </si>
  <si>
    <t xml:space="preserve">335 341</t>
  </si>
  <si>
    <t xml:space="preserve">346</t>
  </si>
  <si>
    <t xml:space="preserve">Legal, social and religious associate professionals</t>
  </si>
  <si>
    <t xml:space="preserve">347</t>
  </si>
  <si>
    <t xml:space="preserve">216 265 342 343</t>
  </si>
  <si>
    <t xml:space="preserve">216 264 265 342 343 731</t>
  </si>
  <si>
    <t xml:space="preserve">348</t>
  </si>
  <si>
    <t xml:space="preserve">411</t>
  </si>
  <si>
    <t xml:space="preserve">413</t>
  </si>
  <si>
    <t xml:space="preserve">Keyboard operators</t>
  </si>
  <si>
    <t xml:space="preserve">412 413</t>
  </si>
  <si>
    <t xml:space="preserve">334 412 413</t>
  </si>
  <si>
    <t xml:space="preserve">412</t>
  </si>
  <si>
    <t xml:space="preserve">431</t>
  </si>
  <si>
    <t xml:space="preserve">Numerical clerks</t>
  </si>
  <si>
    <t xml:space="preserve">334 431</t>
  </si>
  <si>
    <t xml:space="preserve">432</t>
  </si>
  <si>
    <t xml:space="preserve">Material-recording and transport clerks</t>
  </si>
  <si>
    <t xml:space="preserve">334 432</t>
  </si>
  <si>
    <t xml:space="preserve">414</t>
  </si>
  <si>
    <t xml:space="preserve">441</t>
  </si>
  <si>
    <t xml:space="preserve">Other clerical support workers</t>
  </si>
  <si>
    <t xml:space="preserve">334 441</t>
  </si>
  <si>
    <t xml:space="preserve">325 334 441</t>
  </si>
  <si>
    <t xml:space="preserve">419</t>
  </si>
  <si>
    <t xml:space="preserve">General office clerks</t>
  </si>
  <si>
    <t xml:space="preserve">411 441</t>
  </si>
  <si>
    <t xml:space="preserve">334 411 422 441</t>
  </si>
  <si>
    <t xml:space="preserve">421</t>
  </si>
  <si>
    <t xml:space="preserve">Tellers, money collectors and related clerks</t>
  </si>
  <si>
    <t xml:space="preserve">421 422</t>
  </si>
  <si>
    <t xml:space="preserve">421 523</t>
  </si>
  <si>
    <t xml:space="preserve">422</t>
  </si>
  <si>
    <t xml:space="preserve">Client information workers</t>
  </si>
  <si>
    <t xml:space="preserve">334 422</t>
  </si>
  <si>
    <t xml:space="preserve">511</t>
  </si>
  <si>
    <t xml:space="preserve">Travel attendants, conductors and guides</t>
  </si>
  <si>
    <t xml:space="preserve">512</t>
  </si>
  <si>
    <t xml:space="preserve">515</t>
  </si>
  <si>
    <t xml:space="preserve">Building and housekeeping supervisors</t>
  </si>
  <si>
    <t xml:space="preserve">343 512 513 515 531</t>
  </si>
  <si>
    <t xml:space="preserve">343 512 513 515 941</t>
  </si>
  <si>
    <t xml:space="preserve">343 512 513 515</t>
  </si>
  <si>
    <t xml:space="preserve">513</t>
  </si>
  <si>
    <t xml:space="preserve">531</t>
  </si>
  <si>
    <t xml:space="preserve">Child care workers and teachers’ aides</t>
  </si>
  <si>
    <t xml:space="preserve">441 531 532</t>
  </si>
  <si>
    <t xml:space="preserve">325 516 531 532</t>
  </si>
  <si>
    <t xml:space="preserve">531 532</t>
  </si>
  <si>
    <t xml:space="preserve">514</t>
  </si>
  <si>
    <t xml:space="preserve">Hairdressers, beauticians and related workers</t>
  </si>
  <si>
    <t xml:space="preserve">514 516</t>
  </si>
  <si>
    <t xml:space="preserve">516</t>
  </si>
  <si>
    <t xml:space="preserve">Other personal services workers</t>
  </si>
  <si>
    <t xml:space="preserve">541</t>
  </si>
  <si>
    <t xml:space="preserve">Protective services workers</t>
  </si>
  <si>
    <t xml:space="preserve">521</t>
  </si>
  <si>
    <t xml:space="preserve">524</t>
  </si>
  <si>
    <t xml:space="preserve">Other sales workers</t>
  </si>
  <si>
    <t xml:space="preserve">522</t>
  </si>
  <si>
    <t xml:space="preserve">522 524</t>
  </si>
  <si>
    <t xml:space="preserve">523</t>
  </si>
  <si>
    <t xml:space="preserve">Street and market salespersons</t>
  </si>
  <si>
    <t xml:space="preserve">521 524</t>
  </si>
  <si>
    <t xml:space="preserve">611</t>
  </si>
  <si>
    <t xml:space="preserve">Market gardeners and crop growers</t>
  </si>
  <si>
    <t xml:space="preserve">611 613</t>
  </si>
  <si>
    <t xml:space="preserve">611 921</t>
  </si>
  <si>
    <t xml:space="preserve">612</t>
  </si>
  <si>
    <t xml:space="preserve">Animal producers</t>
  </si>
  <si>
    <t xml:space="preserve">516 612</t>
  </si>
  <si>
    <t xml:space="preserve">613</t>
  </si>
  <si>
    <t xml:space="preserve">Mixed crop and animal producers</t>
  </si>
  <si>
    <t xml:space="preserve">614</t>
  </si>
  <si>
    <t xml:space="preserve">621</t>
  </si>
  <si>
    <t xml:space="preserve">Forestry and related workers</t>
  </si>
  <si>
    <t xml:space="preserve">615</t>
  </si>
  <si>
    <t xml:space="preserve">622</t>
  </si>
  <si>
    <t xml:space="preserve">Fishery workers, hunters and trappers</t>
  </si>
  <si>
    <t xml:space="preserve">622 754</t>
  </si>
  <si>
    <t xml:space="preserve">620</t>
  </si>
  <si>
    <t xml:space="preserve">631</t>
  </si>
  <si>
    <t xml:space="preserve">Subsistence crop farmers</t>
  </si>
  <si>
    <t xml:space="preserve">631 632 633 634</t>
  </si>
  <si>
    <t xml:space="preserve">711</t>
  </si>
  <si>
    <t xml:space="preserve">811</t>
  </si>
  <si>
    <t xml:space="preserve">Mining and mineral processing plant operators</t>
  </si>
  <si>
    <t xml:space="preserve">711 754 811</t>
  </si>
  <si>
    <t xml:space="preserve">312 711 754 811</t>
  </si>
  <si>
    <t xml:space="preserve">712</t>
  </si>
  <si>
    <t xml:space="preserve">Building frame and related trades workers</t>
  </si>
  <si>
    <t xml:space="preserve">312 711</t>
  </si>
  <si>
    <t xml:space="preserve">713</t>
  </si>
  <si>
    <t xml:space="preserve">Building finishers and related trades workers</t>
  </si>
  <si>
    <t xml:space="preserve">312 712 741</t>
  </si>
  <si>
    <t xml:space="preserve">712 741</t>
  </si>
  <si>
    <t xml:space="preserve">714</t>
  </si>
  <si>
    <t xml:space="preserve">Painters, building structure cleaners and related trades workers</t>
  </si>
  <si>
    <t xml:space="preserve">312 713</t>
  </si>
  <si>
    <t xml:space="preserve">713 754</t>
  </si>
  <si>
    <t xml:space="preserve">721</t>
  </si>
  <si>
    <t xml:space="preserve">Sheet and structural metal workers, moulders and welders, and related workers</t>
  </si>
  <si>
    <t xml:space="preserve">312 721 754</t>
  </si>
  <si>
    <t xml:space="preserve">721 754</t>
  </si>
  <si>
    <t xml:space="preserve">722</t>
  </si>
  <si>
    <t xml:space="preserve">Blacksmiths, toolmakers and related trades workers</t>
  </si>
  <si>
    <t xml:space="preserve">312 722</t>
  </si>
  <si>
    <t xml:space="preserve">723</t>
  </si>
  <si>
    <t xml:space="preserve">Machinery mechanics and repairers</t>
  </si>
  <si>
    <t xml:space="preserve">312 712 723</t>
  </si>
  <si>
    <t xml:space="preserve">712 723</t>
  </si>
  <si>
    <t xml:space="preserve">724</t>
  </si>
  <si>
    <t xml:space="preserve">742</t>
  </si>
  <si>
    <t xml:space="preserve">Electronics and telecommunications installers and repairers</t>
  </si>
  <si>
    <t xml:space="preserve">312 741 742</t>
  </si>
  <si>
    <t xml:space="preserve">741 742</t>
  </si>
  <si>
    <t xml:space="preserve">731</t>
  </si>
  <si>
    <t xml:space="preserve">Handicraft workers</t>
  </si>
  <si>
    <t xml:space="preserve">312 321 731 818</t>
  </si>
  <si>
    <t xml:space="preserve">321 731</t>
  </si>
  <si>
    <t xml:space="preserve">732</t>
  </si>
  <si>
    <t xml:space="preserve">731 754</t>
  </si>
  <si>
    <t xml:space="preserve">733</t>
  </si>
  <si>
    <t xml:space="preserve">734</t>
  </si>
  <si>
    <t xml:space="preserve">Printing trades workers</t>
  </si>
  <si>
    <t xml:space="preserve">312 732 813</t>
  </si>
  <si>
    <t xml:space="preserve">732 813</t>
  </si>
  <si>
    <t xml:space="preserve">741</t>
  </si>
  <si>
    <t xml:space="preserve">751</t>
  </si>
  <si>
    <t xml:space="preserve">Food processing and related trades workers</t>
  </si>
  <si>
    <t xml:space="preserve">312 751</t>
  </si>
  <si>
    <t xml:space="preserve">752</t>
  </si>
  <si>
    <t xml:space="preserve">Wood treaters, cabinet-makers and related trades workers</t>
  </si>
  <si>
    <t xml:space="preserve">312 731 752</t>
  </si>
  <si>
    <t xml:space="preserve">731 752</t>
  </si>
  <si>
    <t xml:space="preserve">743</t>
  </si>
  <si>
    <t xml:space="preserve">312 731 753 815</t>
  </si>
  <si>
    <t xml:space="preserve">731 753 815</t>
  </si>
  <si>
    <t xml:space="preserve">744</t>
  </si>
  <si>
    <t xml:space="preserve">753</t>
  </si>
  <si>
    <t xml:space="preserve">Garment and related trades workers</t>
  </si>
  <si>
    <t xml:space="preserve">312 811</t>
  </si>
  <si>
    <t xml:space="preserve">812</t>
  </si>
  <si>
    <t xml:space="preserve">Metal processing and finishing plant operators</t>
  </si>
  <si>
    <t xml:space="preserve">312 313 812</t>
  </si>
  <si>
    <t xml:space="preserve">313 812</t>
  </si>
  <si>
    <t xml:space="preserve">813</t>
  </si>
  <si>
    <t xml:space="preserve">818</t>
  </si>
  <si>
    <t xml:space="preserve">Other stationary plant and machine operators</t>
  </si>
  <si>
    <t xml:space="preserve">312 818</t>
  </si>
  <si>
    <t xml:space="preserve">814</t>
  </si>
  <si>
    <t xml:space="preserve">817</t>
  </si>
  <si>
    <t xml:space="preserve">Wood processing and papermaking plant operators</t>
  </si>
  <si>
    <t xml:space="preserve">312 313 817</t>
  </si>
  <si>
    <t xml:space="preserve">313 817</t>
  </si>
  <si>
    <t xml:space="preserve">815</t>
  </si>
  <si>
    <t xml:space="preserve">Chemical and photographic products plant and machine operators</t>
  </si>
  <si>
    <t xml:space="preserve">312 313 813</t>
  </si>
  <si>
    <t xml:space="preserve">313 813</t>
  </si>
  <si>
    <t xml:space="preserve">816</t>
  </si>
  <si>
    <t xml:space="preserve">Process control technicians</t>
  </si>
  <si>
    <t xml:space="preserve">312 313 818</t>
  </si>
  <si>
    <t xml:space="preserve">313 818</t>
  </si>
  <si>
    <t xml:space="preserve">312 313</t>
  </si>
  <si>
    <t xml:space="preserve">821</t>
  </si>
  <si>
    <t xml:space="preserve">312 722 811</t>
  </si>
  <si>
    <t xml:space="preserve">822</t>
  </si>
  <si>
    <t xml:space="preserve">812 813</t>
  </si>
  <si>
    <t xml:space="preserve">312 812 813</t>
  </si>
  <si>
    <t xml:space="preserve">823</t>
  </si>
  <si>
    <t xml:space="preserve">Rubber, plastic and paper products machine operators</t>
  </si>
  <si>
    <t xml:space="preserve">312 814</t>
  </si>
  <si>
    <t xml:space="preserve">824</t>
  </si>
  <si>
    <t xml:space="preserve">312 752</t>
  </si>
  <si>
    <t xml:space="preserve">825</t>
  </si>
  <si>
    <t xml:space="preserve">312 732 814</t>
  </si>
  <si>
    <t xml:space="preserve">826</t>
  </si>
  <si>
    <t xml:space="preserve">Textile, fur and leather products machine operators</t>
  </si>
  <si>
    <t xml:space="preserve">312 815</t>
  </si>
  <si>
    <t xml:space="preserve">827</t>
  </si>
  <si>
    <t xml:space="preserve">Food and related products machine operators</t>
  </si>
  <si>
    <t xml:space="preserve">312 816</t>
  </si>
  <si>
    <t xml:space="preserve">828</t>
  </si>
  <si>
    <t xml:space="preserve">Assemblers</t>
  </si>
  <si>
    <t xml:space="preserve">312 821</t>
  </si>
  <si>
    <t xml:space="preserve">829</t>
  </si>
  <si>
    <t xml:space="preserve">312 818 819</t>
  </si>
  <si>
    <t xml:space="preserve">312 818 821</t>
  </si>
  <si>
    <t xml:space="preserve">831</t>
  </si>
  <si>
    <t xml:space="preserve">Locomotive engine drivers and related workers</t>
  </si>
  <si>
    <t xml:space="preserve">832</t>
  </si>
  <si>
    <t xml:space="preserve">833</t>
  </si>
  <si>
    <t xml:space="preserve">Heavy truck and bus drivers</t>
  </si>
  <si>
    <t xml:space="preserve">832 833</t>
  </si>
  <si>
    <t xml:space="preserve">834</t>
  </si>
  <si>
    <t xml:space="preserve">Mobile plant operators</t>
  </si>
  <si>
    <t xml:space="preserve">835</t>
  </si>
  <si>
    <t xml:space="preserve">Ships’ deck crews and related workers</t>
  </si>
  <si>
    <t xml:space="preserve">911</t>
  </si>
  <si>
    <t xml:space="preserve">521 524 952</t>
  </si>
  <si>
    <t xml:space="preserve">912</t>
  </si>
  <si>
    <t xml:space="preserve">951</t>
  </si>
  <si>
    <t xml:space="preserve">Street and related service workers</t>
  </si>
  <si>
    <t xml:space="preserve">913</t>
  </si>
  <si>
    <t xml:space="preserve">Vehicle, window, laundry and other hand cleaning workers</t>
  </si>
  <si>
    <t xml:space="preserve">911 912 941</t>
  </si>
  <si>
    <t xml:space="preserve">914</t>
  </si>
  <si>
    <t xml:space="preserve">515 912</t>
  </si>
  <si>
    <t xml:space="preserve">915</t>
  </si>
  <si>
    <t xml:space="preserve">962</t>
  </si>
  <si>
    <t xml:space="preserve">Other elementary workers</t>
  </si>
  <si>
    <t xml:space="preserve">541 962</t>
  </si>
  <si>
    <t xml:space="preserve">916</t>
  </si>
  <si>
    <t xml:space="preserve">961</t>
  </si>
  <si>
    <t xml:space="preserve">Refuse workers</t>
  </si>
  <si>
    <t xml:space="preserve">961 962</t>
  </si>
  <si>
    <t xml:space="preserve">920</t>
  </si>
  <si>
    <t xml:space="preserve">921</t>
  </si>
  <si>
    <t xml:space="preserve">Agricultural, forestry and fishery labourers</t>
  </si>
  <si>
    <t xml:space="preserve">931</t>
  </si>
  <si>
    <t xml:space="preserve">Mining and construction labourers</t>
  </si>
  <si>
    <t xml:space="preserve">932</t>
  </si>
  <si>
    <t xml:space="preserve">Manufacturing labourers</t>
  </si>
  <si>
    <t xml:space="preserve">932 961</t>
  </si>
  <si>
    <t xml:space="preserve">933</t>
  </si>
  <si>
    <t xml:space="preserve">Transport and storage labourers</t>
  </si>
  <si>
    <t xml:space="preserve">Each row is one NCO-2004 3-digit group (the codes PLFS used from 2017-18 to 2020-21). Columns J-P are formulas over the DGE links, ILO links and NCO-2015 scores sheets; columns B-G are text summaries computed when the workbook was built.</t>
  </si>
  <si>
    <t xml:space="preserve">NCO-2015 group</t>
  </si>
  <si>
    <t xml:space="preserve">Group title (ISCO-08)</t>
  </si>
  <si>
    <t xml:space="preserve">ILO exposure score (0-1)</t>
  </si>
  <si>
    <t xml:space="preserve">Share of jobs in ILO gradients 3-4</t>
  </si>
  <si>
    <t xml:space="preserve">Commissioned armed forces officers</t>
  </si>
  <si>
    <t xml:space="preserve">021</t>
  </si>
  <si>
    <t xml:space="preserve">Non-commissioned armed forces officers</t>
  </si>
  <si>
    <t xml:space="preserve">031</t>
  </si>
  <si>
    <t xml:space="preserve">Armed forces occupations, other ranks</t>
  </si>
  <si>
    <t xml:space="preserve">Sales, marketing and development managers</t>
  </si>
  <si>
    <t xml:space="preserve">Production managers in agriculture, forestry and fisheries</t>
  </si>
  <si>
    <t xml:space="preserve">133</t>
  </si>
  <si>
    <t xml:space="preserve">Information and communications technology service managers</t>
  </si>
  <si>
    <t xml:space="preserve">134</t>
  </si>
  <si>
    <t xml:space="preserve">Professional services managers</t>
  </si>
  <si>
    <t xml:space="preserve">141</t>
  </si>
  <si>
    <t xml:space="preserve">Hotel and restaurant managers</t>
  </si>
  <si>
    <t xml:space="preserve">142</t>
  </si>
  <si>
    <t xml:space="preserve">Retail and wholesale trade managers</t>
  </si>
  <si>
    <t xml:space="preserve">143</t>
  </si>
  <si>
    <t xml:space="preserve">Other services managers</t>
  </si>
  <si>
    <t xml:space="preserve">215</t>
  </si>
  <si>
    <t xml:space="preserve">Electrotechnology engineers</t>
  </si>
  <si>
    <t xml:space="preserve">216</t>
  </si>
  <si>
    <t xml:space="preserve">Architects, planners, surveyors and designers</t>
  </si>
  <si>
    <t xml:space="preserve">224</t>
  </si>
  <si>
    <t xml:space="preserve">Paramedical practitioners</t>
  </si>
  <si>
    <t xml:space="preserve">225</t>
  </si>
  <si>
    <t xml:space="preserve">Veterinarians</t>
  </si>
  <si>
    <t xml:space="preserve">Vocational education teachers</t>
  </si>
  <si>
    <t xml:space="preserve">Administration professionals</t>
  </si>
  <si>
    <t xml:space="preserve">Sales, marketing and public relations professionals</t>
  </si>
  <si>
    <t xml:space="preserve">252</t>
  </si>
  <si>
    <t xml:space="preserve">Database and network professionals</t>
  </si>
  <si>
    <t xml:space="preserve">264</t>
  </si>
  <si>
    <t xml:space="preserve">Authors, journalists and linguists</t>
  </si>
  <si>
    <t xml:space="preserve">Mining, manufacturing and construction supervisors</t>
  </si>
  <si>
    <t xml:space="preserve">Life science technicians and related associate professionals</t>
  </si>
  <si>
    <t xml:space="preserve">Medical and pharmaceutical technicians</t>
  </si>
  <si>
    <t xml:space="preserve">Traditional and complementary medicine associate professionals</t>
  </si>
  <si>
    <t xml:space="preserve">Veterinary technicians and assistants</t>
  </si>
  <si>
    <t xml:space="preserve">Financial and mathematical associate professionals</t>
  </si>
  <si>
    <t xml:space="preserve">Sports and fitness workers</t>
  </si>
  <si>
    <t xml:space="preserve">Artistic, cultural and culinary associate professionals</t>
  </si>
  <si>
    <t xml:space="preserve">Secretaries (general)</t>
  </si>
  <si>
    <t xml:space="preserve">Cooks</t>
  </si>
  <si>
    <t xml:space="preserve">Waiters and bartenders</t>
  </si>
  <si>
    <t xml:space="preserve">Shop salespersons</t>
  </si>
  <si>
    <t xml:space="preserve">Cashiers and ticket clerks</t>
  </si>
  <si>
    <t xml:space="preserve">532</t>
  </si>
  <si>
    <t xml:space="preserve">Personal care workers in health services</t>
  </si>
  <si>
    <t xml:space="preserve">632</t>
  </si>
  <si>
    <t xml:space="preserve">Subsistence livestock farmers</t>
  </si>
  <si>
    <t xml:space="preserve">633</t>
  </si>
  <si>
    <t xml:space="preserve">Subsistence mixed crop and livestock farmers</t>
  </si>
  <si>
    <t xml:space="preserve">634</t>
  </si>
  <si>
    <t xml:space="preserve">Subsistence fishers, hunters, trappers and gatherers</t>
  </si>
  <si>
    <t xml:space="preserve">Electrical equipment installers and repairers</t>
  </si>
  <si>
    <t xml:space="preserve">754</t>
  </si>
  <si>
    <t xml:space="preserve">Other craft and related workers</t>
  </si>
  <si>
    <t xml:space="preserve">Car, van and motorcycle drivers</t>
  </si>
  <si>
    <t xml:space="preserve">Domestic, hotel and office cleaners and helpers</t>
  </si>
  <si>
    <t xml:space="preserve">941</t>
  </si>
  <si>
    <t xml:space="preserve">Food preparation assistants</t>
  </si>
  <si>
    <t xml:space="preserve">952</t>
  </si>
  <si>
    <t xml:space="preserve">Street vendors (excluding food)</t>
  </si>
  <si>
    <t xml:space="preserve">Source: Mishra, nco2015-ai-exposure (github.com/Kpmishra1998/nco2015-ai-exposure), built from ILO WP140 (Gmyrek et al. 2025) Table A1. Blue = input values.</t>
  </si>
  <si>
    <t xml:space="preserve">S.No.</t>
  </si>
  <si>
    <t xml:space="preserve">Occupational title</t>
  </si>
  <si>
    <t xml:space="preserve">NCO-2015 code</t>
  </si>
  <si>
    <t xml:space="preserve">NCO-2004 code</t>
  </si>
  <si>
    <t xml:space="preserve">Same 3-digit number?</t>
  </si>
  <si>
    <t xml:space="preserve">Weight (1 / links of this 2004 code)</t>
  </si>
  <si>
    <t xml:space="preserve">Exposure of NCO-2015 group</t>
  </si>
  <si>
    <t xml:space="preserve">Has score (1/0)</t>
  </si>
  <si>
    <t xml:space="preserve">Accountant</t>
  </si>
  <si>
    <t xml:space="preserve">2411.0100</t>
  </si>
  <si>
    <t xml:space="preserve">2411.10</t>
  </si>
  <si>
    <t xml:space="preserve">Auditor</t>
  </si>
  <si>
    <t xml:space="preserve">2411.0200</t>
  </si>
  <si>
    <t xml:space="preserve">2411.20</t>
  </si>
  <si>
    <t xml:space="preserve">Cost Accountant</t>
  </si>
  <si>
    <t xml:space="preserve">2411.0300</t>
  </si>
  <si>
    <t xml:space="preserve">2411.30</t>
  </si>
  <si>
    <t xml:space="preserve">Associate – Transactional Finance &amp; Accounting</t>
  </si>
  <si>
    <t xml:space="preserve">2411.0101</t>
  </si>
  <si>
    <t xml:space="preserve">Associate – Finance &amp; Accounting Complex</t>
  </si>
  <si>
    <t xml:space="preserve">2411.0201</t>
  </si>
  <si>
    <t xml:space="preserve">Bookkeeper General/Accounts Executive (Recording and Reporting)</t>
  </si>
  <si>
    <t xml:space="preserve">4311.0101</t>
  </si>
  <si>
    <t xml:space="preserve">4121.10</t>
  </si>
  <si>
    <t xml:space="preserve">Bank Clerk</t>
  </si>
  <si>
    <t xml:space="preserve">4311.0200</t>
  </si>
  <si>
    <t xml:space="preserve">4121.30</t>
  </si>
  <si>
    <t xml:space="preserve">Ledger Clerk</t>
  </si>
  <si>
    <t xml:space="preserve">4311.0300</t>
  </si>
  <si>
    <t xml:space="preserve">4121.40</t>
  </si>
  <si>
    <t xml:space="preserve">Accounts Executive (Accounts Payable &amp; Receivable)</t>
  </si>
  <si>
    <t xml:space="preserve">4311.0401</t>
  </si>
  <si>
    <t xml:space="preserve">Audit, Clerk</t>
  </si>
  <si>
    <t xml:space="preserve">4311.0500</t>
  </si>
  <si>
    <t xml:space="preserve">4121.50</t>
  </si>
  <si>
    <t xml:space="preserve">Clerk, Cost Accounting</t>
  </si>
  <si>
    <t xml:space="preserve">4311.0600</t>
  </si>
  <si>
    <t xml:space="preserve">4121.60</t>
  </si>
  <si>
    <t xml:space="preserve">Bill and Accounts Collector</t>
  </si>
  <si>
    <t xml:space="preserve">4311.0700</t>
  </si>
  <si>
    <t xml:space="preserve">4121.70</t>
  </si>
  <si>
    <t xml:space="preserve">Rubber Nursery Office Assistant</t>
  </si>
  <si>
    <t xml:space="preserve">4311.0801</t>
  </si>
  <si>
    <t xml:space="preserve">Accounting and Bookkeeping Clerks, Others</t>
  </si>
  <si>
    <t xml:space="preserve">4311.9900</t>
  </si>
  <si>
    <t xml:space="preserve">4121.90</t>
  </si>
  <si>
    <t xml:space="preserve">Actor and Actress</t>
  </si>
  <si>
    <t xml:space="preserve">2655.0100</t>
  </si>
  <si>
    <t xml:space="preserve">2455.50</t>
  </si>
  <si>
    <t xml:space="preserve">Extra</t>
  </si>
  <si>
    <t xml:space="preserve">2655.0200</t>
  </si>
  <si>
    <t xml:space="preserve">2455.60</t>
  </si>
  <si>
    <t xml:space="preserve">Voice Over Artist</t>
  </si>
  <si>
    <t xml:space="preserve">2655.0301</t>
  </si>
  <si>
    <t xml:space="preserve">Caption Writer</t>
  </si>
  <si>
    <t xml:space="preserve">2431.0300</t>
  </si>
  <si>
    <t xml:space="preserve">2451.47</t>
  </si>
  <si>
    <t xml:space="preserve">Advertisement Writer</t>
  </si>
  <si>
    <t xml:space="preserve">2431.0400</t>
  </si>
  <si>
    <t xml:space="preserve">2451.50</t>
  </si>
  <si>
    <t xml:space="preserve">Market Research Analyst</t>
  </si>
  <si>
    <t xml:space="preserve">2431.0100</t>
  </si>
  <si>
    <t xml:space="preserve">2419.40</t>
  </si>
  <si>
    <t xml:space="preserve">Regional Service Marketing Manager</t>
  </si>
  <si>
    <t xml:space="preserve">2431.0101</t>
  </si>
  <si>
    <t xml:space="preserve">Product Brand Manager (Automotive)</t>
  </si>
  <si>
    <t xml:space="preserve">2431.0201</t>
  </si>
  <si>
    <t xml:space="preserve">Account Executive (Advertising Agency)</t>
  </si>
  <si>
    <t xml:space="preserve">2431.0202</t>
  </si>
  <si>
    <t xml:space="preserve">Product Executive</t>
  </si>
  <si>
    <t xml:space="preserve">2431.0601</t>
  </si>
  <si>
    <t xml:space="preserve">Sales Executive (Media Org)</t>
  </si>
  <si>
    <t xml:space="preserve">2431.0651</t>
  </si>
  <si>
    <t xml:space="preserve">Traffic Co-Ordinator</t>
  </si>
  <si>
    <t xml:space="preserve">2431.0671</t>
  </si>
  <si>
    <t xml:space="preserve">Creative Writer</t>
  </si>
  <si>
    <t xml:space="preserve">2431.0700</t>
  </si>
  <si>
    <t xml:space="preserve">2451.52</t>
  </si>
  <si>
    <t xml:space="preserve">Propagandist</t>
  </si>
  <si>
    <t xml:space="preserve">2431.0800</t>
  </si>
  <si>
    <t xml:space="preserve">3411.30</t>
  </si>
  <si>
    <t xml:space="preserve">Advertising and Marketing Professionals, Other</t>
  </si>
  <si>
    <t xml:space="preserve">2431.9900</t>
  </si>
  <si>
    <t xml:space="preserve">Regional Service Process Manager</t>
  </si>
  <si>
    <t xml:space="preserve">2431.0102</t>
  </si>
  <si>
    <t xml:space="preserve">Market Research Associate – Sales &amp; Marketing/Business Development</t>
  </si>
  <si>
    <t xml:space="preserve">2431.0501</t>
  </si>
  <si>
    <t xml:space="preserve">Management Trainee – Sales &amp; Marketing/Business Development</t>
  </si>
  <si>
    <t xml:space="preserve">2431.0502</t>
  </si>
  <si>
    <t xml:space="preserve">Market Research Associate – Product Marketing</t>
  </si>
  <si>
    <t xml:space="preserve">2431.0503</t>
  </si>
  <si>
    <t xml:space="preserve">Management Trainee – Product Marketing</t>
  </si>
  <si>
    <t xml:space="preserve">2431.0504</t>
  </si>
  <si>
    <t xml:space="preserve">Manager, Advertising and Promotion</t>
  </si>
  <si>
    <t xml:space="preserve">1222.0100</t>
  </si>
  <si>
    <t xml:space="preserve">1234.10</t>
  </si>
  <si>
    <t xml:space="preserve">Advertising Operations Co-Ordinator (Digital)</t>
  </si>
  <si>
    <t xml:space="preserve">1222.0102</t>
  </si>
  <si>
    <t xml:space="preserve">Manager, Fashion/Fashion Manager</t>
  </si>
  <si>
    <t xml:space="preserve">1222.0200</t>
  </si>
  <si>
    <t xml:space="preserve">1234.20</t>
  </si>
  <si>
    <t xml:space="preserve">Advertising and Public Relations Department Managers, Others</t>
  </si>
  <si>
    <t xml:space="preserve">1222.9900</t>
  </si>
  <si>
    <t xml:space="preserve">1234.90</t>
  </si>
  <si>
    <t xml:space="preserve">General Manager, Plantation</t>
  </si>
  <si>
    <t xml:space="preserve">1311.0100</t>
  </si>
  <si>
    <t xml:space="preserve">1301.20</t>
  </si>
  <si>
    <t xml:space="preserve">General Manager, Horticulture</t>
  </si>
  <si>
    <t xml:space="preserve">1311.0200</t>
  </si>
  <si>
    <t xml:space="preserve">1301.30</t>
  </si>
  <si>
    <t xml:space="preserve">General Manager, Agricultural Farm</t>
  </si>
  <si>
    <t xml:space="preserve">1311.0300</t>
  </si>
  <si>
    <t xml:space="preserve">1301.10</t>
  </si>
  <si>
    <t xml:space="preserve">General Manager, Livestock Farm</t>
  </si>
  <si>
    <t xml:space="preserve">1311.0400</t>
  </si>
  <si>
    <t xml:space="preserve">1301.40</t>
  </si>
  <si>
    <t xml:space="preserve">General Manager, Dairy Farm</t>
  </si>
  <si>
    <t xml:space="preserve">1311.0500</t>
  </si>
  <si>
    <t xml:space="preserve">1301.50</t>
  </si>
  <si>
    <t xml:space="preserve">General Manager, Poultry</t>
  </si>
  <si>
    <t xml:space="preserve">1311.0600</t>
  </si>
  <si>
    <t xml:space="preserve">1301.60</t>
  </si>
  <si>
    <t xml:space="preserve">Rubber Nursery Manager</t>
  </si>
  <si>
    <t xml:space="preserve">1311.0901</t>
  </si>
  <si>
    <t xml:space="preserve">Manager, Aerial Planting and Cultivation</t>
  </si>
  <si>
    <t xml:space="preserve">1311.1000</t>
  </si>
  <si>
    <t xml:space="preserve">1221.24</t>
  </si>
  <si>
    <t xml:space="preserve">Manager, Orchard</t>
  </si>
  <si>
    <t xml:space="preserve">1311.1100</t>
  </si>
  <si>
    <t xml:space="preserve">1221.26</t>
  </si>
  <si>
    <t xml:space="preserve">Manager, Horticulture Farm</t>
  </si>
  <si>
    <t xml:space="preserve">1311.1200</t>
  </si>
  <si>
    <t xml:space="preserve">1221.30</t>
  </si>
  <si>
    <t xml:space="preserve">Manager, Livestock Farm</t>
  </si>
  <si>
    <t xml:space="preserve">1311.1300</t>
  </si>
  <si>
    <t xml:space="preserve">1221.40</t>
  </si>
  <si>
    <t xml:space="preserve">Manager, Dairy Farm</t>
  </si>
  <si>
    <t xml:space="preserve">1311.1400</t>
  </si>
  <si>
    <t xml:space="preserve">1221.50</t>
  </si>
  <si>
    <t xml:space="preserve">Manager, Poultry Farm</t>
  </si>
  <si>
    <t xml:space="preserve">1311.1500</t>
  </si>
  <si>
    <t xml:space="preserve">1221.60</t>
  </si>
  <si>
    <t xml:space="preserve">Agricultural and Forestry Production Managers, Others</t>
  </si>
  <si>
    <t xml:space="preserve">1311.9900</t>
  </si>
  <si>
    <t xml:space="preserve">1221.90</t>
  </si>
  <si>
    <t xml:space="preserve">Manager, Agricultural Farm</t>
  </si>
  <si>
    <t xml:space="preserve">1311.0700</t>
  </si>
  <si>
    <t xml:space="preserve">1221.10</t>
  </si>
  <si>
    <t xml:space="preserve">Manager, Plantation</t>
  </si>
  <si>
    <t xml:space="preserve">1311.0800</t>
  </si>
  <si>
    <t xml:space="preserve">1221.20</t>
  </si>
  <si>
    <t xml:space="preserve">Manager, Nursery</t>
  </si>
  <si>
    <t xml:space="preserve">1311.0900</t>
  </si>
  <si>
    <t xml:space="preserve">1221.22</t>
  </si>
  <si>
    <t xml:space="preserve">Fitter, General</t>
  </si>
  <si>
    <t xml:space="preserve">7233.0100</t>
  </si>
  <si>
    <t xml:space="preserve">7233.10</t>
  </si>
  <si>
    <t xml:space="preserve">Machinist</t>
  </si>
  <si>
    <t xml:space="preserve">7233.0102</t>
  </si>
  <si>
    <t xml:space="preserve">Fitter Levelling, Alignment &amp; Balancing</t>
  </si>
  <si>
    <t xml:space="preserve">7233.0121</t>
  </si>
  <si>
    <t xml:space="preserve">Fitter, Bench</t>
  </si>
  <si>
    <t xml:space="preserve">7233.0200</t>
  </si>
  <si>
    <t xml:space="preserve">7233.20</t>
  </si>
  <si>
    <t xml:space="preserve">Mechanic, Petrol Engine</t>
  </si>
  <si>
    <t xml:space="preserve">7233.0300</t>
  </si>
  <si>
    <t xml:space="preserve">7233.22</t>
  </si>
  <si>
    <t xml:space="preserve">Millwright</t>
  </si>
  <si>
    <t xml:space="preserve">7233.1200</t>
  </si>
  <si>
    <t xml:space="preserve">7233.38</t>
  </si>
  <si>
    <t xml:space="preserve">Mechanic, Diesel Engine</t>
  </si>
  <si>
    <t xml:space="preserve">7233.0400</t>
  </si>
  <si>
    <t xml:space="preserve">7233.24</t>
  </si>
  <si>
    <t xml:space="preserve">Mechanic, Pump</t>
  </si>
  <si>
    <t xml:space="preserve">7233.1300</t>
  </si>
  <si>
    <t xml:space="preserve">7233.40</t>
  </si>
  <si>
    <t xml:space="preserve">Belt Conveyor Maintenance</t>
  </si>
  <si>
    <t xml:space="preserve">7233.0401</t>
  </si>
  <si>
    <t xml:space="preserve">Plumber (Pumps &amp; E/M Mechanic)</t>
  </si>
  <si>
    <t xml:space="preserve">7233.1301</t>
  </si>
  <si>
    <t xml:space="preserve">Conveyor Operation and Maintenance</t>
  </si>
  <si>
    <t xml:space="preserve">7233.0402</t>
  </si>
  <si>
    <t xml:space="preserve">Mechanic, Dairy Maintenance</t>
  </si>
  <si>
    <t xml:space="preserve">7233.1400</t>
  </si>
  <si>
    <t xml:space="preserve">7233.42</t>
  </si>
  <si>
    <t xml:space="preserve">Mechanic, Gas/Diesel Engine</t>
  </si>
  <si>
    <t xml:space="preserve">7233.0600</t>
  </si>
  <si>
    <t xml:space="preserve">7233.26</t>
  </si>
  <si>
    <t xml:space="preserve">Mechanic, Earth Moving Machinery</t>
  </si>
  <si>
    <t xml:space="preserve">7233.0700</t>
  </si>
  <si>
    <t xml:space="preserve">7233.28</t>
  </si>
  <si>
    <t xml:space="preserve">Mobile Equipment Maintenance</t>
  </si>
  <si>
    <t xml:space="preserve">7233.0701</t>
  </si>
  <si>
    <t xml:space="preserve">Mechanic, Road Roller</t>
  </si>
  <si>
    <t xml:space="preserve">7233.0800</t>
  </si>
  <si>
    <t xml:space="preserve">7233.30</t>
  </si>
  <si>
    <t xml:space="preserve">Mechanic, Turbine</t>
  </si>
  <si>
    <t xml:space="preserve">7233.0900</t>
  </si>
  <si>
    <t xml:space="preserve">7233.32</t>
  </si>
  <si>
    <t xml:space="preserve">Mechanic, Stationery Steam Engine</t>
  </si>
  <si>
    <t xml:space="preserve">7233.1000</t>
  </si>
  <si>
    <t xml:space="preserve">7233.34</t>
  </si>
  <si>
    <t xml:space="preserve">Mechanic, Maintenance, Chemical Plant/Technician, Maintenance, Chemical Plant</t>
  </si>
  <si>
    <t xml:space="preserve">7233.1100</t>
  </si>
  <si>
    <t xml:space="preserve">7233.36</t>
  </si>
  <si>
    <t xml:space="preserve">Bearing Maintenance</t>
  </si>
  <si>
    <t xml:space="preserve">7233.0301</t>
  </si>
  <si>
    <t xml:space="preserve">Fitter, Marine</t>
  </si>
  <si>
    <t xml:space="preserve">7233.2200</t>
  </si>
  <si>
    <t xml:space="preserve">7233.62</t>
  </si>
  <si>
    <t xml:space="preserve">Fitter, Railway Carriage and Wagon</t>
  </si>
  <si>
    <t xml:space="preserve">7233.2300</t>
  </si>
  <si>
    <t xml:space="preserve">7233.63</t>
  </si>
  <si>
    <t xml:space="preserve">Fitter, Loco</t>
  </si>
  <si>
    <t xml:space="preserve">7233.2400</t>
  </si>
  <si>
    <t xml:space="preserve">7233.64</t>
  </si>
  <si>
    <t xml:space="preserve">Loco Cleaner</t>
  </si>
  <si>
    <t xml:space="preserve">7233.2500</t>
  </si>
  <si>
    <t xml:space="preserve">7233.65</t>
  </si>
  <si>
    <t xml:space="preserve">Mechanic, Mining Machinery</t>
  </si>
  <si>
    <t xml:space="preserve">7233.1500</t>
  </si>
  <si>
    <t xml:space="preserve">7233.44</t>
  </si>
  <si>
    <t xml:space="preserve">Fitter, Bicycle</t>
  </si>
  <si>
    <t xml:space="preserve">7233.2600</t>
  </si>
  <si>
    <t xml:space="preserve">7233.66</t>
  </si>
  <si>
    <t xml:space="preserve">Mechanic, Textile Machinery</t>
  </si>
  <si>
    <t xml:space="preserve">7233.1600</t>
  </si>
  <si>
    <t xml:space="preserve">7233.46</t>
  </si>
  <si>
    <t xml:space="preserve">Fitter, Signal</t>
  </si>
  <si>
    <t xml:space="preserve">7233.2700</t>
  </si>
  <si>
    <t xml:space="preserve">7233.70</t>
  </si>
  <si>
    <t xml:space="preserve">Mechanic, Printing Machinery</t>
  </si>
  <si>
    <t xml:space="preserve">7233.1700</t>
  </si>
  <si>
    <t xml:space="preserve">7233.48</t>
  </si>
  <si>
    <t xml:space="preserve">Mechanic, Sewing Machine</t>
  </si>
  <si>
    <t xml:space="preserve">7233.1800</t>
  </si>
  <si>
    <t xml:space="preserve">7233.52</t>
  </si>
  <si>
    <t xml:space="preserve">Lamp Repairman, Mines</t>
  </si>
  <si>
    <t xml:space="preserve">7233.1900</t>
  </si>
  <si>
    <t xml:space="preserve">7233.55</t>
  </si>
  <si>
    <t xml:space="preserve">Mechanic, Repairman (Domestic Appliances)</t>
  </si>
  <si>
    <t xml:space="preserve">7233.2000</t>
  </si>
  <si>
    <t xml:space="preserve">7233.58</t>
  </si>
  <si>
    <t xml:space="preserve">Fitter, Stationery Steam Engine</t>
  </si>
  <si>
    <t xml:space="preserve">7233.2100</t>
  </si>
  <si>
    <t xml:space="preserve">7233.60</t>
  </si>
  <si>
    <t xml:space="preserve">Agriculture Engineering Technician</t>
  </si>
  <si>
    <t xml:space="preserve">7233.2800</t>
  </si>
  <si>
    <t xml:space="preserve">7233.80</t>
  </si>
  <si>
    <t xml:space="preserve">Fitter: Hydraulic and Pneumatic System</t>
  </si>
  <si>
    <t xml:space="preserve">7233.2901</t>
  </si>
  <si>
    <t xml:space="preserve">Machinery Mechanics and Fitters, Other</t>
  </si>
  <si>
    <t xml:space="preserve">7233.9900</t>
  </si>
  <si>
    <t xml:space="preserve">7233.90</t>
  </si>
  <si>
    <t xml:space="preserve">Micro Irrigation Technician</t>
  </si>
  <si>
    <t xml:space="preserve">3142.0101</t>
  </si>
  <si>
    <t xml:space="preserve">Bare Foot Technician (BFT)</t>
  </si>
  <si>
    <t xml:space="preserve">3142.0201</t>
  </si>
  <si>
    <t xml:space="preserve">Agricultural Technicians, Others</t>
  </si>
  <si>
    <t xml:space="preserve">3142.9900</t>
  </si>
  <si>
    <t xml:space="preserve">Community Service Provider</t>
  </si>
  <si>
    <t xml:space="preserve">6116.0112</t>
  </si>
  <si>
    <t xml:space="preserve">Agriculture Extension Executive</t>
  </si>
  <si>
    <t xml:space="preserve">6116.0101</t>
  </si>
  <si>
    <t xml:space="preserve">Agriculture Extension Service Provider</t>
  </si>
  <si>
    <t xml:space="preserve">6116.0102</t>
  </si>
  <si>
    <t xml:space="preserve">Air Traffic Controller Specialist</t>
  </si>
  <si>
    <t xml:space="preserve">3154.0100</t>
  </si>
  <si>
    <t xml:space="preserve">3144.10</t>
  </si>
  <si>
    <t xml:space="preserve">Traffic Controller, Air Service</t>
  </si>
  <si>
    <t xml:space="preserve">3154.0200</t>
  </si>
  <si>
    <t xml:space="preserve">3144.20</t>
  </si>
  <si>
    <t xml:space="preserve">Air Traffic Controllers, Other</t>
  </si>
  <si>
    <t xml:space="preserve">3154.9900</t>
  </si>
  <si>
    <t xml:space="preserve">3144.90</t>
  </si>
  <si>
    <t xml:space="preserve">Mechanic, Refrigeration and Air-Conditioning</t>
  </si>
  <si>
    <t xml:space="preserve">7127.0100</t>
  </si>
  <si>
    <t xml:space="preserve">7233.50</t>
  </si>
  <si>
    <t xml:space="preserve">Airframe Erector</t>
  </si>
  <si>
    <t xml:space="preserve">7232.0100</t>
  </si>
  <si>
    <t xml:space="preserve">7232.10</t>
  </si>
  <si>
    <t xml:space="preserve">Engine Tester, Aircraft</t>
  </si>
  <si>
    <t xml:space="preserve">7232.0300</t>
  </si>
  <si>
    <t xml:space="preserve">7232.30</t>
  </si>
  <si>
    <t xml:space="preserve">Engine Tester, Helper, Aircraft</t>
  </si>
  <si>
    <t xml:space="preserve">7232.0400</t>
  </si>
  <si>
    <t xml:space="preserve">7232.40</t>
  </si>
  <si>
    <t xml:space="preserve">Mechanic Aircraft Engine, Field Service/Filed Mechanic Aircraft</t>
  </si>
  <si>
    <t xml:space="preserve">7232.0500</t>
  </si>
  <si>
    <t xml:space="preserve">7232.50</t>
  </si>
  <si>
    <t xml:space="preserve">7232.70</t>
  </si>
  <si>
    <t xml:space="preserve">Mechanic Aircraft, Engine Overhauling</t>
  </si>
  <si>
    <t xml:space="preserve">7232.0600</t>
  </si>
  <si>
    <t xml:space="preserve">7232.60</t>
  </si>
  <si>
    <t xml:space="preserve">Aircraft Mechanics, Other</t>
  </si>
  <si>
    <t xml:space="preserve">7232.9900</t>
  </si>
  <si>
    <t xml:space="preserve">7232.90</t>
  </si>
  <si>
    <t xml:space="preserve">Mechanic Aircraft, Propeller</t>
  </si>
  <si>
    <t xml:space="preserve">7232.0200</t>
  </si>
  <si>
    <t xml:space="preserve">7232.20</t>
  </si>
  <si>
    <t xml:space="preserve">Pilot, General</t>
  </si>
  <si>
    <t xml:space="preserve">3153.0300</t>
  </si>
  <si>
    <t xml:space="preserve">3143.30</t>
  </si>
  <si>
    <t xml:space="preserve">Aircraft Pilot, Specialized</t>
  </si>
  <si>
    <t xml:space="preserve">3153.0400</t>
  </si>
  <si>
    <t xml:space="preserve">3143.40</t>
  </si>
  <si>
    <t xml:space="preserve">Pilot, Glider</t>
  </si>
  <si>
    <t xml:space="preserve">3153.0500</t>
  </si>
  <si>
    <t xml:space="preserve">3143.50</t>
  </si>
  <si>
    <t xml:space="preserve">Chief Navigator, Aircraft</t>
  </si>
  <si>
    <t xml:space="preserve">3153.0600</t>
  </si>
  <si>
    <t xml:space="preserve">3143.60</t>
  </si>
  <si>
    <t xml:space="preserve">Check Navigator, Aircraft</t>
  </si>
  <si>
    <t xml:space="preserve">3153.0700</t>
  </si>
  <si>
    <t xml:space="preserve">3143.65</t>
  </si>
  <si>
    <t xml:space="preserve">Navigator, Aircraft</t>
  </si>
  <si>
    <t xml:space="preserve">3153.0800</t>
  </si>
  <si>
    <t xml:space="preserve">3143.70</t>
  </si>
  <si>
    <t xml:space="preserve">Chief Flight Engineer</t>
  </si>
  <si>
    <t xml:space="preserve">3153.0900</t>
  </si>
  <si>
    <t xml:space="preserve">3143.80</t>
  </si>
  <si>
    <t xml:space="preserve">Check Flight Engineer</t>
  </si>
  <si>
    <t xml:space="preserve">3153.1000</t>
  </si>
  <si>
    <t xml:space="preserve">3143.82</t>
  </si>
  <si>
    <t xml:space="preserve">Flight Engineer</t>
  </si>
  <si>
    <t xml:space="preserve">3153.1100</t>
  </si>
  <si>
    <t xml:space="preserve">3143.84</t>
  </si>
  <si>
    <t xml:space="preserve">Chief Pilot, Aircraft</t>
  </si>
  <si>
    <t xml:space="preserve">3153.0100</t>
  </si>
  <si>
    <t xml:space="preserve">3143.10</t>
  </si>
  <si>
    <t xml:space="preserve">Aircraft Pilots and Related Associate Professionals, Other</t>
  </si>
  <si>
    <t xml:space="preserve">3153.9900</t>
  </si>
  <si>
    <t xml:space="preserve">3143.90</t>
  </si>
  <si>
    <t xml:space="preserve">Check Pilot</t>
  </si>
  <si>
    <t xml:space="preserve">3153.0200</t>
  </si>
  <si>
    <t xml:space="preserve">3143.20</t>
  </si>
  <si>
    <t xml:space="preserve">Farmer, Fur-Bearing Animals</t>
  </si>
  <si>
    <t xml:space="preserve">6129.0100</t>
  </si>
  <si>
    <t xml:space="preserve">6129.10</t>
  </si>
  <si>
    <t xml:space="preserve">Mixed Animal Producers</t>
  </si>
  <si>
    <t xml:space="preserve">6129.0200</t>
  </si>
  <si>
    <t xml:space="preserve">6124.00</t>
  </si>
  <si>
    <t xml:space="preserve">Animal Producers and Related Workers, Other</t>
  </si>
  <si>
    <t xml:space="preserve">6129.9900</t>
  </si>
  <si>
    <t xml:space="preserve">6129.90</t>
  </si>
  <si>
    <t xml:space="preserve">Programme Announcer</t>
  </si>
  <si>
    <t xml:space="preserve">2656.0100</t>
  </si>
  <si>
    <t xml:space="preserve">3472.10</t>
  </si>
  <si>
    <t xml:space="preserve">Disc Jockey</t>
  </si>
  <si>
    <t xml:space="preserve">2656.0200</t>
  </si>
  <si>
    <t xml:space="preserve">3472.20</t>
  </si>
  <si>
    <t xml:space="preserve">Radio, Television and Other Announcers, Other</t>
  </si>
  <si>
    <t xml:space="preserve">2656.9900</t>
  </si>
  <si>
    <t xml:space="preserve">3472.90</t>
  </si>
  <si>
    <t xml:space="preserve">Beekeeper</t>
  </si>
  <si>
    <t xml:space="preserve">6123.0101</t>
  </si>
  <si>
    <t xml:space="preserve">6123.10</t>
  </si>
  <si>
    <t xml:space="preserve">Rearer, Silkworm/ Sericulturist</t>
  </si>
  <si>
    <t xml:space="preserve">6123.0201</t>
  </si>
  <si>
    <t xml:space="preserve">6123.20</t>
  </si>
  <si>
    <t xml:space="preserve">Apiarists and Sericulturists, Other</t>
  </si>
  <si>
    <t xml:space="preserve">6123.9900</t>
  </si>
  <si>
    <t xml:space="preserve">6123.90</t>
  </si>
  <si>
    <t xml:space="preserve">Computer Programmers, Other</t>
  </si>
  <si>
    <t xml:space="preserve">2514.9900</t>
  </si>
  <si>
    <t xml:space="preserve">2132.90</t>
  </si>
  <si>
    <t xml:space="preserve">Shrimp Farmer</t>
  </si>
  <si>
    <t xml:space="preserve">6221.0101</t>
  </si>
  <si>
    <t xml:space="preserve">Hatchery Production Worker</t>
  </si>
  <si>
    <t xml:space="preserve">6221.0102</t>
  </si>
  <si>
    <t xml:space="preserve">Archivist</t>
  </si>
  <si>
    <t xml:space="preserve">2621.0100</t>
  </si>
  <si>
    <t xml:space="preserve">2431.10</t>
  </si>
  <si>
    <t xml:space="preserve">Curator (Museum)</t>
  </si>
  <si>
    <t xml:space="preserve">2621.0200</t>
  </si>
  <si>
    <t xml:space="preserve">2431.20</t>
  </si>
  <si>
    <t xml:space="preserve">Restorer, Painting</t>
  </si>
  <si>
    <t xml:space="preserve">2621.0300</t>
  </si>
  <si>
    <t xml:space="preserve">2431.30</t>
  </si>
  <si>
    <t xml:space="preserve">Restorer, Lace and Textile</t>
  </si>
  <si>
    <t xml:space="preserve">2621.0400</t>
  </si>
  <si>
    <t xml:space="preserve">2431.40</t>
  </si>
  <si>
    <t xml:space="preserve">Restorer, Ceramics</t>
  </si>
  <si>
    <t xml:space="preserve">2621.0500</t>
  </si>
  <si>
    <t xml:space="preserve">2431.50</t>
  </si>
  <si>
    <t xml:space="preserve">Restorer, Paper and Prints</t>
  </si>
  <si>
    <t xml:space="preserve">2621.0600</t>
  </si>
  <si>
    <t xml:space="preserve">2431.55</t>
  </si>
  <si>
    <t xml:space="preserve">Restorer, Furniture</t>
  </si>
  <si>
    <t xml:space="preserve">2621.0700</t>
  </si>
  <si>
    <t xml:space="preserve">2431.60</t>
  </si>
  <si>
    <t xml:space="preserve">Archivists and Curators, Other</t>
  </si>
  <si>
    <t xml:space="preserve">2621.9900</t>
  </si>
  <si>
    <t xml:space="preserve">2431.90</t>
  </si>
  <si>
    <t xml:space="preserve">Assembler, Bicycle</t>
  </si>
  <si>
    <t xml:space="preserve">8219.0100</t>
  </si>
  <si>
    <t xml:space="preserve">8284.10</t>
  </si>
  <si>
    <t xml:space="preserve">Assembler, Sewing Machine</t>
  </si>
  <si>
    <t xml:space="preserve">8219.0200</t>
  </si>
  <si>
    <t xml:space="preserve">8284.20</t>
  </si>
  <si>
    <t xml:space="preserve">Assembler (Plastic Product)</t>
  </si>
  <si>
    <t xml:space="preserve">8219.0300</t>
  </si>
  <si>
    <t xml:space="preserve">8284.30</t>
  </si>
  <si>
    <t xml:space="preserve">Assembler, Metal Furniture</t>
  </si>
  <si>
    <t xml:space="preserve">8219.0400</t>
  </si>
  <si>
    <t xml:space="preserve">8284.40</t>
  </si>
  <si>
    <t xml:space="preserve">Paper Board, Textile and Related Products Assemblers, Other</t>
  </si>
  <si>
    <t xml:space="preserve">8219.9900</t>
  </si>
  <si>
    <t xml:space="preserve">8286.90</t>
  </si>
  <si>
    <t xml:space="preserve">Palmist</t>
  </si>
  <si>
    <t xml:space="preserve">5161.0200</t>
  </si>
  <si>
    <t xml:space="preserve">5152.10</t>
  </si>
  <si>
    <t xml:space="preserve">Astrologers, Fortune Tellers and Related Workers, Other</t>
  </si>
  <si>
    <t xml:space="preserve">5161.9900</t>
  </si>
  <si>
    <t xml:space="preserve">5152.90</t>
  </si>
  <si>
    <t xml:space="preserve">Astrologer</t>
  </si>
  <si>
    <t xml:space="preserve">5161.0100</t>
  </si>
  <si>
    <t xml:space="preserve">5151.10</t>
  </si>
  <si>
    <t xml:space="preserve">Professional Sportsman/Professional, Athlete</t>
  </si>
  <si>
    <t xml:space="preserve">3421.0100</t>
  </si>
  <si>
    <t xml:space="preserve">3475.20</t>
  </si>
  <si>
    <t xml:space="preserve">Jockey</t>
  </si>
  <si>
    <t xml:space="preserve">3421.0200</t>
  </si>
  <si>
    <t xml:space="preserve">3475.30</t>
  </si>
  <si>
    <t xml:space="preserve">Speech Therapist and Audiologist</t>
  </si>
  <si>
    <t xml:space="preserve">2266.0100</t>
  </si>
  <si>
    <t xml:space="preserve">3229.10</t>
  </si>
  <si>
    <t xml:space="preserve">Voice Pathologist</t>
  </si>
  <si>
    <t xml:space="preserve">2266.0300</t>
  </si>
  <si>
    <t xml:space="preserve">3229.30</t>
  </si>
  <si>
    <t xml:space="preserve">Speech Language Pathologist and Audiologist</t>
  </si>
  <si>
    <t xml:space="preserve">2266.0401</t>
  </si>
  <si>
    <t xml:space="preserve">Speech Pathologist</t>
  </si>
  <si>
    <t xml:space="preserve">2266.0200</t>
  </si>
  <si>
    <t xml:space="preserve">3229.20</t>
  </si>
  <si>
    <t xml:space="preserve">Sub-Editor</t>
  </si>
  <si>
    <t xml:space="preserve">2641.0400</t>
  </si>
  <si>
    <t xml:space="preserve">2451.25</t>
  </si>
  <si>
    <t xml:space="preserve">Author</t>
  </si>
  <si>
    <t xml:space="preserve">2641.0100</t>
  </si>
  <si>
    <t xml:space="preserve">2451.10</t>
  </si>
  <si>
    <t xml:space="preserve">Critic</t>
  </si>
  <si>
    <t xml:space="preserve">2641.0200</t>
  </si>
  <si>
    <t xml:space="preserve">2451.15</t>
  </si>
  <si>
    <t xml:space="preserve">Editor</t>
  </si>
  <si>
    <t xml:space="preserve">2641.0300</t>
  </si>
  <si>
    <t xml:space="preserve">2451.20</t>
  </si>
  <si>
    <t xml:space="preserve">Script Editor</t>
  </si>
  <si>
    <t xml:space="preserve">2641.0302</t>
  </si>
  <si>
    <t xml:space="preserve">Poet</t>
  </si>
  <si>
    <t xml:space="preserve">2641.0500</t>
  </si>
  <si>
    <t xml:space="preserve">2451.65</t>
  </si>
  <si>
    <t xml:space="preserve">Script Writer</t>
  </si>
  <si>
    <t xml:space="preserve">2641.0601</t>
  </si>
  <si>
    <t xml:space="preserve">2451.70</t>
  </si>
  <si>
    <t xml:space="preserve">Script Researcher</t>
  </si>
  <si>
    <t xml:space="preserve">2641.0602</t>
  </si>
  <si>
    <t xml:space="preserve">Authors, Journalists and Other Writers</t>
  </si>
  <si>
    <t xml:space="preserve">2641.9900</t>
  </si>
  <si>
    <t xml:space="preserve">2451.90</t>
  </si>
  <si>
    <t xml:space="preserve">Associate – Editorial</t>
  </si>
  <si>
    <t xml:space="preserve">2641.0701</t>
  </si>
  <si>
    <t xml:space="preserve">Associate – Learning</t>
  </si>
  <si>
    <t xml:space="preserve">2641.0801</t>
  </si>
  <si>
    <t xml:space="preserve">Technical Writer – Product Documentation</t>
  </si>
  <si>
    <t xml:space="preserve">2641.0901</t>
  </si>
  <si>
    <t xml:space="preserve">Technical Writer – Application Development</t>
  </si>
  <si>
    <t xml:space="preserve">2641.0902</t>
  </si>
  <si>
    <t xml:space="preserve">Technical Writer – Technical Documentation/ Writing</t>
  </si>
  <si>
    <t xml:space="preserve">2641.0903</t>
  </si>
  <si>
    <t xml:space="preserve">Sweet Meat Maker</t>
  </si>
  <si>
    <t xml:space="preserve">7512.0400</t>
  </si>
  <si>
    <t xml:space="preserve">7412.25</t>
  </si>
  <si>
    <t xml:space="preserve">Candy Maker</t>
  </si>
  <si>
    <t xml:space="preserve">7512.0500</t>
  </si>
  <si>
    <t xml:space="preserve">7412.30</t>
  </si>
  <si>
    <t xml:space="preserve">Baker (Baking Products)</t>
  </si>
  <si>
    <t xml:space="preserve">7512.0100</t>
  </si>
  <si>
    <t xml:space="preserve">7412.10</t>
  </si>
  <si>
    <t xml:space="preserve">Mixing Machine Attendant</t>
  </si>
  <si>
    <t xml:space="preserve">7512.0200</t>
  </si>
  <si>
    <t xml:space="preserve">7412.15</t>
  </si>
  <si>
    <t xml:space="preserve">Ovenman (Bakery Products)</t>
  </si>
  <si>
    <t xml:space="preserve">7512.0300</t>
  </si>
  <si>
    <t xml:space="preserve">7412.20</t>
  </si>
  <si>
    <t xml:space="preserve">Panman (Confectionery)</t>
  </si>
  <si>
    <t xml:space="preserve">7512.0600</t>
  </si>
  <si>
    <t xml:space="preserve">7412.35</t>
  </si>
  <si>
    <t xml:space="preserve">Plate Worker, Confectionery</t>
  </si>
  <si>
    <t xml:space="preserve">7512.0700</t>
  </si>
  <si>
    <t xml:space="preserve">7412.40</t>
  </si>
  <si>
    <t xml:space="preserve">Chocolate Maker</t>
  </si>
  <si>
    <t xml:space="preserve">7512.0800</t>
  </si>
  <si>
    <t xml:space="preserve">7412.50</t>
  </si>
  <si>
    <t xml:space="preserve">Conche Operator (Sugar &amp; Confectionery)</t>
  </si>
  <si>
    <t xml:space="preserve">7512.0900</t>
  </si>
  <si>
    <t xml:space="preserve">7412.60</t>
  </si>
  <si>
    <t xml:space="preserve">Yeast Maker (Beverage)</t>
  </si>
  <si>
    <t xml:space="preserve">7512.1000</t>
  </si>
  <si>
    <t xml:space="preserve">7412.70</t>
  </si>
  <si>
    <t xml:space="preserve">Bakers, Pastry Cooks and Confectionery Makers, Other</t>
  </si>
  <si>
    <t xml:space="preserve">7512.9900</t>
  </si>
  <si>
    <t xml:space="preserve">7412.90</t>
  </si>
  <si>
    <t xml:space="preserve">Cashier, General</t>
  </si>
  <si>
    <t xml:space="preserve">4211.0100</t>
  </si>
  <si>
    <t xml:space="preserve">4211.10</t>
  </si>
  <si>
    <t xml:space="preserve">Cashier, Bank</t>
  </si>
  <si>
    <t xml:space="preserve">4211.0200</t>
  </si>
  <si>
    <t xml:space="preserve">4211.20</t>
  </si>
  <si>
    <t xml:space="preserve">Cashier, Cash Counter</t>
  </si>
  <si>
    <t xml:space="preserve">4211.0301</t>
  </si>
  <si>
    <t xml:space="preserve">4211.30</t>
  </si>
  <si>
    <t xml:space="preserve">Cashier, Gem &amp; Jewellery</t>
  </si>
  <si>
    <t xml:space="preserve">4211.0302</t>
  </si>
  <si>
    <t xml:space="preserve">Teller, Bank</t>
  </si>
  <si>
    <t xml:space="preserve">4211.0400</t>
  </si>
  <si>
    <t xml:space="preserve">4212.10</t>
  </si>
  <si>
    <t xml:space="preserve">Bank Tellers and Related Clerks, Other</t>
  </si>
  <si>
    <t xml:space="preserve">4211.9900</t>
  </si>
  <si>
    <t xml:space="preserve">4212.90</t>
  </si>
  <si>
    <t xml:space="preserve">Barman</t>
  </si>
  <si>
    <t xml:space="preserve">5132.0100</t>
  </si>
  <si>
    <t xml:space="preserve">5123.60</t>
  </si>
  <si>
    <t xml:space="preserve">Bartenders, Other</t>
  </si>
  <si>
    <t xml:space="preserve">5132.9900</t>
  </si>
  <si>
    <t xml:space="preserve">Wigman</t>
  </si>
  <si>
    <t xml:space="preserve">5142.0600</t>
  </si>
  <si>
    <t xml:space="preserve">5141.70</t>
  </si>
  <si>
    <t xml:space="preserve">Bath Attendant</t>
  </si>
  <si>
    <t xml:space="preserve">5142.0700</t>
  </si>
  <si>
    <t xml:space="preserve">5141.80</t>
  </si>
  <si>
    <t xml:space="preserve">Beauticians and Related Workers, Others</t>
  </si>
  <si>
    <t xml:space="preserve">5142.9900</t>
  </si>
  <si>
    <t xml:space="preserve">5141.90</t>
  </si>
  <si>
    <t xml:space="preserve">Beautician</t>
  </si>
  <si>
    <t xml:space="preserve">5142.0100</t>
  </si>
  <si>
    <t xml:space="preserve">5141.30</t>
  </si>
  <si>
    <t xml:space="preserve">Assistant Beautician</t>
  </si>
  <si>
    <t xml:space="preserve">5142.0101</t>
  </si>
  <si>
    <t xml:space="preserve">Manicurist</t>
  </si>
  <si>
    <t xml:space="preserve">5142.0200</t>
  </si>
  <si>
    <t xml:space="preserve">5141.40</t>
  </si>
  <si>
    <t xml:space="preserve">Pedicurist and Manicurist</t>
  </si>
  <si>
    <t xml:space="preserve">5142.0201</t>
  </si>
  <si>
    <t xml:space="preserve">Skincare Specialist</t>
  </si>
  <si>
    <t xml:space="preserve">5142.0300</t>
  </si>
  <si>
    <t xml:space="preserve">5141.45</t>
  </si>
  <si>
    <t xml:space="preserve">Make-Up Man</t>
  </si>
  <si>
    <t xml:space="preserve">5142.0400</t>
  </si>
  <si>
    <t xml:space="preserve">5141.50</t>
  </si>
  <si>
    <t xml:space="preserve">Dresser, Stage &amp; Studio</t>
  </si>
  <si>
    <t xml:space="preserve">5142.0500</t>
  </si>
  <si>
    <t xml:space="preserve">5141.60</t>
  </si>
  <si>
    <t xml:space="preserve">Economic Botanist</t>
  </si>
  <si>
    <t xml:space="preserve">2131.0500</t>
  </si>
  <si>
    <t xml:space="preserve">2211.37</t>
  </si>
  <si>
    <t xml:space="preserve">Plant Physiologist</t>
  </si>
  <si>
    <t xml:space="preserve">2131.1800</t>
  </si>
  <si>
    <t xml:space="preserve">2212.80</t>
  </si>
  <si>
    <t xml:space="preserve">Plant Breeder</t>
  </si>
  <si>
    <t xml:space="preserve">2131.0600</t>
  </si>
  <si>
    <t xml:space="preserve">2211.40</t>
  </si>
  <si>
    <t xml:space="preserve">Mycologist</t>
  </si>
  <si>
    <t xml:space="preserve">2131.0700</t>
  </si>
  <si>
    <t xml:space="preserve">2211.50</t>
  </si>
  <si>
    <t xml:space="preserve">Algologist</t>
  </si>
  <si>
    <t xml:space="preserve">2131.0800</t>
  </si>
  <si>
    <t xml:space="preserve">2211.55</t>
  </si>
  <si>
    <t xml:space="preserve">Zoologist, General</t>
  </si>
  <si>
    <t xml:space="preserve">2131.0900</t>
  </si>
  <si>
    <t xml:space="preserve">2211.60</t>
  </si>
  <si>
    <t xml:space="preserve">Entomologist</t>
  </si>
  <si>
    <t xml:space="preserve">2131.1000</t>
  </si>
  <si>
    <t xml:space="preserve">2211.65</t>
  </si>
  <si>
    <t xml:space="preserve">Parasitologist</t>
  </si>
  <si>
    <t xml:space="preserve">2131.1100</t>
  </si>
  <si>
    <t xml:space="preserve">2211.70</t>
  </si>
  <si>
    <t xml:space="preserve">Biologist, General</t>
  </si>
  <si>
    <t xml:space="preserve">2131.0100</t>
  </si>
  <si>
    <t xml:space="preserve">2211.10</t>
  </si>
  <si>
    <t xml:space="preserve">Bacteriologist</t>
  </si>
  <si>
    <t xml:space="preserve">2131.1200</t>
  </si>
  <si>
    <t xml:space="preserve">2211.85</t>
  </si>
  <si>
    <t xml:space="preserve">Marine Biologist</t>
  </si>
  <si>
    <t xml:space="preserve">2131.0200</t>
  </si>
  <si>
    <t xml:space="preserve">2211.15</t>
  </si>
  <si>
    <t xml:space="preserve">Chemist, Biological</t>
  </si>
  <si>
    <t xml:space="preserve">2131.1300</t>
  </si>
  <si>
    <t xml:space="preserve">2212.10</t>
  </si>
  <si>
    <t xml:space="preserve">Cytologist</t>
  </si>
  <si>
    <t xml:space="preserve">2131.0300</t>
  </si>
  <si>
    <t xml:space="preserve">2211.20</t>
  </si>
  <si>
    <t xml:space="preserve">Chemist, Food</t>
  </si>
  <si>
    <t xml:space="preserve">2131.1400</t>
  </si>
  <si>
    <t xml:space="preserve">2212.20</t>
  </si>
  <si>
    <t xml:space="preserve">Botanist, General</t>
  </si>
  <si>
    <t xml:space="preserve">2131.0400</t>
  </si>
  <si>
    <t xml:space="preserve">2211.35</t>
  </si>
  <si>
    <t xml:space="preserve">Plant Pathologist</t>
  </si>
  <si>
    <t xml:space="preserve">2131.1500</t>
  </si>
  <si>
    <t xml:space="preserve">2212.70</t>
  </si>
  <si>
    <t xml:space="preserve">Biologists, Botanists, Zoologists and Related Professionals, Other</t>
  </si>
  <si>
    <t xml:space="preserve">2131.9900</t>
  </si>
  <si>
    <t xml:space="preserve">2211.90</t>
  </si>
  <si>
    <t xml:space="preserve">Power Hammer Operator</t>
  </si>
  <si>
    <t xml:space="preserve">7221.0300</t>
  </si>
  <si>
    <t xml:space="preserve">7221.30</t>
  </si>
  <si>
    <t xml:space="preserve">Forging Operator</t>
  </si>
  <si>
    <t xml:space="preserve">7221.0301</t>
  </si>
  <si>
    <t xml:space="preserve">Hammer Man</t>
  </si>
  <si>
    <t xml:space="preserve">7221.0400</t>
  </si>
  <si>
    <t xml:space="preserve">7221.40</t>
  </si>
  <si>
    <t xml:space="preserve">Stamper/Forging Operator</t>
  </si>
  <si>
    <t xml:space="preserve">7221.0500</t>
  </si>
  <si>
    <t xml:space="preserve">7221.50</t>
  </si>
  <si>
    <t xml:space="preserve">Farrier</t>
  </si>
  <si>
    <t xml:space="preserve">7221.0600</t>
  </si>
  <si>
    <t xml:space="preserve">7221.60</t>
  </si>
  <si>
    <t xml:space="preserve">Wire Drawer/Wire Drawing Machine Operator</t>
  </si>
  <si>
    <t xml:space="preserve">7221.0700</t>
  </si>
  <si>
    <t xml:space="preserve">7221.70</t>
  </si>
  <si>
    <t xml:space="preserve">Blacksmith</t>
  </si>
  <si>
    <t xml:space="preserve">7221.0100</t>
  </si>
  <si>
    <t xml:space="preserve">7221.10</t>
  </si>
  <si>
    <t xml:space="preserve">Village Blacksmith</t>
  </si>
  <si>
    <t xml:space="preserve">7221.0200</t>
  </si>
  <si>
    <t xml:space="preserve">7221.20</t>
  </si>
  <si>
    <t xml:space="preserve">Metal Spinner/Metal spinning Machine Operator</t>
  </si>
  <si>
    <t xml:space="preserve">7221.0800</t>
  </si>
  <si>
    <t xml:space="preserve">7221.80</t>
  </si>
  <si>
    <t xml:space="preserve">Blacksmiths, Hammersmith and Forging Press Workers, Other</t>
  </si>
  <si>
    <t xml:space="preserve">7221.9900</t>
  </si>
  <si>
    <t xml:space="preserve">7221.90</t>
  </si>
  <si>
    <t xml:space="preserve">Tool Makers and Related Workers</t>
  </si>
  <si>
    <t xml:space="preserve">7222.0000</t>
  </si>
  <si>
    <t xml:space="preserve">Carbonizer, Textile</t>
  </si>
  <si>
    <t xml:space="preserve">8154.0700</t>
  </si>
  <si>
    <t xml:space="preserve">8264.64</t>
  </si>
  <si>
    <t xml:space="preserve">Scutcherman, Bleaching</t>
  </si>
  <si>
    <t xml:space="preserve">8154.0800</t>
  </si>
  <si>
    <t xml:space="preserve">8264.66</t>
  </si>
  <si>
    <t xml:space="preserve">Dyed-Yarn Operator (Textile</t>
  </si>
  <si>
    <t xml:space="preserve">8154.0900</t>
  </si>
  <si>
    <t xml:space="preserve">8264.67</t>
  </si>
  <si>
    <t xml:space="preserve">Kierman (Textile)/Package Dyeing Machine Operator</t>
  </si>
  <si>
    <t xml:space="preserve">8154.0200</t>
  </si>
  <si>
    <t xml:space="preserve">8264.50</t>
  </si>
  <si>
    <t xml:space="preserve">Scouringman, Woollen Yarn</t>
  </si>
  <si>
    <t xml:space="preserve">8154.0300</t>
  </si>
  <si>
    <t xml:space="preserve">8264.55</t>
  </si>
  <si>
    <t xml:space="preserve">Washing Machineman</t>
  </si>
  <si>
    <t xml:space="preserve">8154.0500</t>
  </si>
  <si>
    <t xml:space="preserve">8264.60</t>
  </si>
  <si>
    <t xml:space="preserve">De-Gummer, Silk</t>
  </si>
  <si>
    <t xml:space="preserve">8154.0600</t>
  </si>
  <si>
    <t xml:space="preserve">8264.62</t>
  </si>
  <si>
    <t xml:space="preserve">Jiggerman (Cotton Textile)/Jigger Machine Operator</t>
  </si>
  <si>
    <t xml:space="preserve">8154.1000</t>
  </si>
  <si>
    <t xml:space="preserve">8264.68</t>
  </si>
  <si>
    <t xml:space="preserve">Dye Automation Operator (Textile)/ Dyeing Machine Operator</t>
  </si>
  <si>
    <t xml:space="preserve">8154.1100</t>
  </si>
  <si>
    <t xml:space="preserve">8264.69</t>
  </si>
  <si>
    <t xml:space="preserve">Wool Dyer</t>
  </si>
  <si>
    <t xml:space="preserve">8154.1200</t>
  </si>
  <si>
    <t xml:space="preserve">8264.70</t>
  </si>
  <si>
    <t xml:space="preserve">Dyer Garment</t>
  </si>
  <si>
    <t xml:space="preserve">8154.1500</t>
  </si>
  <si>
    <t xml:space="preserve">8264.75</t>
  </si>
  <si>
    <t xml:space="preserve">Damping Machine Attendant</t>
  </si>
  <si>
    <t xml:space="preserve">8154.1700</t>
  </si>
  <si>
    <t xml:space="preserve">8264.77</t>
  </si>
  <si>
    <t xml:space="preserve">Calenderman (Cotton Textile)</t>
  </si>
  <si>
    <t xml:space="preserve">8154.1800</t>
  </si>
  <si>
    <t xml:space="preserve">8264.78</t>
  </si>
  <si>
    <t xml:space="preserve">Stentering Machineman/Stentering Operator</t>
  </si>
  <si>
    <t xml:space="preserve">8154.2100</t>
  </si>
  <si>
    <t xml:space="preserve">8264.81</t>
  </si>
  <si>
    <t xml:space="preserve">Cropper</t>
  </si>
  <si>
    <t xml:space="preserve">8154.2200</t>
  </si>
  <si>
    <t xml:space="preserve">8264.82</t>
  </si>
  <si>
    <t xml:space="preserve">Padding Machineman/Padding Mangle Operator</t>
  </si>
  <si>
    <t xml:space="preserve">8154.2300</t>
  </si>
  <si>
    <t xml:space="preserve">8264.83</t>
  </si>
  <si>
    <t xml:space="preserve">Brushing Machineman (Textile)</t>
  </si>
  <si>
    <t xml:space="preserve">8154.2400</t>
  </si>
  <si>
    <t xml:space="preserve">8264.84</t>
  </si>
  <si>
    <t xml:space="preserve">Crabbing Machineman (Woollen Textile)</t>
  </si>
  <si>
    <t xml:space="preserve">8154.2500</t>
  </si>
  <si>
    <t xml:space="preserve">8264.85</t>
  </si>
  <si>
    <t xml:space="preserve">Sanforizing Machineman</t>
  </si>
  <si>
    <t xml:space="preserve">8154.2600</t>
  </si>
  <si>
    <t xml:space="preserve">8264.86</t>
  </si>
  <si>
    <t xml:space="preserve">Singeing Machineman/Singeing Machine Operator</t>
  </si>
  <si>
    <t xml:space="preserve">8154.2700</t>
  </si>
  <si>
    <t xml:space="preserve">8264.87</t>
  </si>
  <si>
    <t xml:space="preserve">Bleaching, Dyeing and Cleaning Machine Operators, Other</t>
  </si>
  <si>
    <t xml:space="preserve">8154.9900</t>
  </si>
  <si>
    <t xml:space="preserve">8264.90</t>
  </si>
  <si>
    <t xml:space="preserve">Miller</t>
  </si>
  <si>
    <t xml:space="preserve">8154.1900</t>
  </si>
  <si>
    <t xml:space="preserve">8264.79</t>
  </si>
  <si>
    <t xml:space="preserve">Raising Machineman (Textile)</t>
  </si>
  <si>
    <t xml:space="preserve">8154.2000</t>
  </si>
  <si>
    <t xml:space="preserve">8264.80</t>
  </si>
  <si>
    <t xml:space="preserve">Booking Clerk, Recreation</t>
  </si>
  <si>
    <t xml:space="preserve">4212.0100</t>
  </si>
  <si>
    <t xml:space="preserve">4211.60</t>
  </si>
  <si>
    <t xml:space="preserve">Bookmaker</t>
  </si>
  <si>
    <t xml:space="preserve">4212.0200</t>
  </si>
  <si>
    <t xml:space="preserve">4213.10</t>
  </si>
  <si>
    <t xml:space="preserve">Bookmakers, Croupiers and Related Gaming Workers, Other</t>
  </si>
  <si>
    <t xml:space="preserve">4212.9900</t>
  </si>
  <si>
    <t xml:space="preserve">4213.90</t>
  </si>
  <si>
    <t xml:space="preserve">Stone Mason</t>
  </si>
  <si>
    <t xml:space="preserve">7112.0100</t>
  </si>
  <si>
    <t xml:space="preserve">7122.10</t>
  </si>
  <si>
    <t xml:space="preserve">Bricklayerer, Construction</t>
  </si>
  <si>
    <t xml:space="preserve">7112.0200</t>
  </si>
  <si>
    <t xml:space="preserve">7122.20</t>
  </si>
  <si>
    <t xml:space="preserve">Plumbing Mason</t>
  </si>
  <si>
    <t xml:space="preserve">7112.0201</t>
  </si>
  <si>
    <t xml:space="preserve">Bricklayer, Refractory</t>
  </si>
  <si>
    <t xml:space="preserve">7112.0300</t>
  </si>
  <si>
    <t xml:space="preserve">7122.30</t>
  </si>
  <si>
    <t xml:space="preserve">Paviour</t>
  </si>
  <si>
    <t xml:space="preserve">7112.0400</t>
  </si>
  <si>
    <t xml:space="preserve">7122.40</t>
  </si>
  <si>
    <t xml:space="preserve">Tar Supervisor</t>
  </si>
  <si>
    <t xml:space="preserve">7112.0500</t>
  </si>
  <si>
    <t xml:space="preserve">7122.50</t>
  </si>
  <si>
    <t xml:space="preserve">Assistant Mason</t>
  </si>
  <si>
    <t xml:space="preserve">7112.0601</t>
  </si>
  <si>
    <t xml:space="preserve">Bricklayerers, Other</t>
  </si>
  <si>
    <t xml:space="preserve">7112.9900</t>
  </si>
  <si>
    <t xml:space="preserve">7122.90</t>
  </si>
  <si>
    <t xml:space="preserve">Cameraman, Animation</t>
  </si>
  <si>
    <t xml:space="preserve">3521.0300</t>
  </si>
  <si>
    <t xml:space="preserve">3131.20</t>
  </si>
  <si>
    <t xml:space="preserve">Wireless Operator</t>
  </si>
  <si>
    <t xml:space="preserve">3521.1300</t>
  </si>
  <si>
    <t xml:space="preserve">3132.65</t>
  </si>
  <si>
    <t xml:space="preserve">Sound Recording Equipment Operator/Sound Assistant</t>
  </si>
  <si>
    <t xml:space="preserve">3521.0401</t>
  </si>
  <si>
    <t xml:space="preserve">3131.40</t>
  </si>
  <si>
    <t xml:space="preserve">Film Editor/Editor</t>
  </si>
  <si>
    <t xml:space="preserve">3521.0501</t>
  </si>
  <si>
    <t xml:space="preserve">3131.50</t>
  </si>
  <si>
    <t xml:space="preserve">Sound Editor</t>
  </si>
  <si>
    <t xml:space="preserve">3521.0511</t>
  </si>
  <si>
    <t xml:space="preserve">Supervisor, Broadcasting Audiovisual Projection and Sound Equipment Operations</t>
  </si>
  <si>
    <t xml:space="preserve">3521.0600</t>
  </si>
  <si>
    <t xml:space="preserve">3132.10</t>
  </si>
  <si>
    <t xml:space="preserve">Television Broadcasting Station Operator</t>
  </si>
  <si>
    <t xml:space="preserve">3521.0700</t>
  </si>
  <si>
    <t xml:space="preserve">3132.20</t>
  </si>
  <si>
    <t xml:space="preserve">Radio Operator, Broadcasting Station</t>
  </si>
  <si>
    <t xml:space="preserve">3521.0800</t>
  </si>
  <si>
    <t xml:space="preserve">3132.30</t>
  </si>
  <si>
    <t xml:space="preserve">Cinematograph Operator</t>
  </si>
  <si>
    <t xml:space="preserve">3521.0900</t>
  </si>
  <si>
    <t xml:space="preserve">3132.40</t>
  </si>
  <si>
    <t xml:space="preserve">Public Address Equipment Operator</t>
  </si>
  <si>
    <t xml:space="preserve">3521.1000</t>
  </si>
  <si>
    <t xml:space="preserve">3132.50</t>
  </si>
  <si>
    <t xml:space="preserve">Cinematographer</t>
  </si>
  <si>
    <t xml:space="preserve">3521.0100</t>
  </si>
  <si>
    <t xml:space="preserve">3131.10</t>
  </si>
  <si>
    <t xml:space="preserve">Station Officer, Overseas Communication</t>
  </si>
  <si>
    <t xml:space="preserve">3521.1100</t>
  </si>
  <si>
    <t xml:space="preserve">3132.55</t>
  </si>
  <si>
    <t xml:space="preserve">Movie Cameraman</t>
  </si>
  <si>
    <t xml:space="preserve">3521.0200</t>
  </si>
  <si>
    <t xml:space="preserve">3131.15</t>
  </si>
  <si>
    <t xml:space="preserve">Station Technical Assistant, Overseas Communication</t>
  </si>
  <si>
    <t xml:space="preserve">3521.1200</t>
  </si>
  <si>
    <t xml:space="preserve">3132.60</t>
  </si>
  <si>
    <t xml:space="preserve">Radio Operator, Ship</t>
  </si>
  <si>
    <t xml:space="preserve">3521.1400</t>
  </si>
  <si>
    <t xml:space="preserve">3132.70</t>
  </si>
  <si>
    <t xml:space="preserve">Radio Operator, Aircraft</t>
  </si>
  <si>
    <t xml:space="preserve">3521.1500</t>
  </si>
  <si>
    <t xml:space="preserve">3132.75</t>
  </si>
  <si>
    <t xml:space="preserve">Control Tower Operator, Aerodrome</t>
  </si>
  <si>
    <t xml:space="preserve">3521.1600</t>
  </si>
  <si>
    <t xml:space="preserve">3132.76</t>
  </si>
  <si>
    <t xml:space="preserve">Radar Operator</t>
  </si>
  <si>
    <t xml:space="preserve">3521.1700</t>
  </si>
  <si>
    <t xml:space="preserve">3132.80</t>
  </si>
  <si>
    <t xml:space="preserve">Signaller, Ship</t>
  </si>
  <si>
    <t xml:space="preserve">3521.2000</t>
  </si>
  <si>
    <t xml:space="preserve">3132.83</t>
  </si>
  <si>
    <t xml:space="preserve">Light Keeper, Light House</t>
  </si>
  <si>
    <t xml:space="preserve">3521.2100</t>
  </si>
  <si>
    <t xml:space="preserve">3132.84</t>
  </si>
  <si>
    <t xml:space="preserve">Broadcasting and Audiovisual Technicians, Other</t>
  </si>
  <si>
    <t xml:space="preserve">3521.9900</t>
  </si>
  <si>
    <t xml:space="preserve">3132.90</t>
  </si>
  <si>
    <t xml:space="preserve">Electrician, General</t>
  </si>
  <si>
    <t xml:space="preserve">7411.0100</t>
  </si>
  <si>
    <t xml:space="preserve">7137.10</t>
  </si>
  <si>
    <t xml:space="preserve">Access Controls Installation Technician</t>
  </si>
  <si>
    <t xml:space="preserve">7411.0101</t>
  </si>
  <si>
    <t xml:space="preserve">CCTV Installation Technician</t>
  </si>
  <si>
    <t xml:space="preserve">7411.0102</t>
  </si>
  <si>
    <t xml:space="preserve">Electrician (Mines)</t>
  </si>
  <si>
    <t xml:space="preserve">7411.0200</t>
  </si>
  <si>
    <t xml:space="preserve">7137.15</t>
  </si>
  <si>
    <t xml:space="preserve">Wireman, Light and Power</t>
  </si>
  <si>
    <t xml:space="preserve">7411.0301</t>
  </si>
  <si>
    <t xml:space="preserve">7137.20</t>
  </si>
  <si>
    <t xml:space="preserve">Meter Sealer, Electrical</t>
  </si>
  <si>
    <t xml:space="preserve">7411.0500</t>
  </si>
  <si>
    <t xml:space="preserve">7137.35</t>
  </si>
  <si>
    <t xml:space="preserve">Electrician, Stage and Studio</t>
  </si>
  <si>
    <t xml:space="preserve">7411.0600</t>
  </si>
  <si>
    <t xml:space="preserve">7137.40</t>
  </si>
  <si>
    <t xml:space="preserve">Building and Related Electricians, Other</t>
  </si>
  <si>
    <t xml:space="preserve">7411.9900</t>
  </si>
  <si>
    <t xml:space="preserve">7137.90</t>
  </si>
  <si>
    <t xml:space="preserve">Architect</t>
  </si>
  <si>
    <t xml:space="preserve">2161.0100</t>
  </si>
  <si>
    <t xml:space="preserve">2141.10</t>
  </si>
  <si>
    <t xml:space="preserve">Building Architects, Other</t>
  </si>
  <si>
    <t xml:space="preserve">2161.9900</t>
  </si>
  <si>
    <t xml:space="preserve">2141.90</t>
  </si>
  <si>
    <t xml:space="preserve">Caretaker, Building</t>
  </si>
  <si>
    <t xml:space="preserve">5153.0100</t>
  </si>
  <si>
    <t xml:space="preserve">9141.10</t>
  </si>
  <si>
    <t xml:space="preserve">Caretaker, Monument</t>
  </si>
  <si>
    <t xml:space="preserve">5153.0200</t>
  </si>
  <si>
    <t xml:space="preserve">9141.20</t>
  </si>
  <si>
    <t xml:space="preserve">Caretaker, Burial Places and Cremation Grounds</t>
  </si>
  <si>
    <t xml:space="preserve">5153.0300</t>
  </si>
  <si>
    <t xml:space="preserve">9141.30</t>
  </si>
  <si>
    <t xml:space="preserve">Building Caretakers, Other</t>
  </si>
  <si>
    <t xml:space="preserve">5153.9900</t>
  </si>
  <si>
    <t xml:space="preserve">9141.90</t>
  </si>
  <si>
    <t xml:space="preserve">Well Digger Helper</t>
  </si>
  <si>
    <t xml:space="preserve">9313.0100</t>
  </si>
  <si>
    <t xml:space="preserve">9313.10</t>
  </si>
  <si>
    <t xml:space="preserve">Helper Bar Bender and Fixer</t>
  </si>
  <si>
    <t xml:space="preserve">9313.0201</t>
  </si>
  <si>
    <t xml:space="preserve">Helper Mason</t>
  </si>
  <si>
    <t xml:space="preserve">9313.0301</t>
  </si>
  <si>
    <t xml:space="preserve">Helper Electrician</t>
  </si>
  <si>
    <t xml:space="preserve">9313.0501</t>
  </si>
  <si>
    <t xml:space="preserve">Helper Laboratory and Field Technician</t>
  </si>
  <si>
    <t xml:space="preserve">9313.0601</t>
  </si>
  <si>
    <t xml:space="preserve">Helper Painter and Decorator</t>
  </si>
  <si>
    <t xml:space="preserve">9313.0701</t>
  </si>
  <si>
    <t xml:space="preserve">Building Construction Labourers, Other</t>
  </si>
  <si>
    <t xml:space="preserve">9313.9900</t>
  </si>
  <si>
    <t xml:space="preserve">9313.90</t>
  </si>
  <si>
    <t xml:space="preserve">Helper Carpenter – Shuttering &amp; Scaffolding</t>
  </si>
  <si>
    <t xml:space="preserve">9313.0401</t>
  </si>
  <si>
    <t xml:space="preserve">Assistant Scaffolder</t>
  </si>
  <si>
    <t xml:space="preserve">7119.0301</t>
  </si>
  <si>
    <t xml:space="preserve">Well Digger</t>
  </si>
  <si>
    <t xml:space="preserve">7119.0100</t>
  </si>
  <si>
    <t xml:space="preserve">7129.10</t>
  </si>
  <si>
    <t xml:space="preserve">White Washer</t>
  </si>
  <si>
    <t xml:space="preserve">7119.0200</t>
  </si>
  <si>
    <t xml:space="preserve">7129.20</t>
  </si>
  <si>
    <t xml:space="preserve">Building Frame and Related Trades Workers, Other</t>
  </si>
  <si>
    <t xml:space="preserve">7119.9900</t>
  </si>
  <si>
    <t xml:space="preserve">7129.90</t>
  </si>
  <si>
    <t xml:space="preserve">Driver, Fire Brigade Vehicles</t>
  </si>
  <si>
    <t xml:space="preserve">8331.0400</t>
  </si>
  <si>
    <t xml:space="preserve">8323.40</t>
  </si>
  <si>
    <t xml:space="preserve">Driver Road Test</t>
  </si>
  <si>
    <t xml:space="preserve">8331.0500</t>
  </si>
  <si>
    <t xml:space="preserve">8323.50</t>
  </si>
  <si>
    <t xml:space="preserve">Test Driver</t>
  </si>
  <si>
    <t xml:space="preserve">8331.0501</t>
  </si>
  <si>
    <t xml:space="preserve">Signalman, Tram</t>
  </si>
  <si>
    <t xml:space="preserve">8331.0600</t>
  </si>
  <si>
    <t xml:space="preserve">8323.60</t>
  </si>
  <si>
    <t xml:space="preserve">Bus and Tram Drivers, Other</t>
  </si>
  <si>
    <t xml:space="preserve">8331.9900</t>
  </si>
  <si>
    <t xml:space="preserve">8323.90</t>
  </si>
  <si>
    <t xml:space="preserve">Tram Car Driver</t>
  </si>
  <si>
    <t xml:space="preserve">8331.0100</t>
  </si>
  <si>
    <t xml:space="preserve">8323.10</t>
  </si>
  <si>
    <t xml:space="preserve">Trolley Driver</t>
  </si>
  <si>
    <t xml:space="preserve">8331.0200</t>
  </si>
  <si>
    <t xml:space="preserve">8323.20</t>
  </si>
  <si>
    <t xml:space="preserve">Driver, Bus</t>
  </si>
  <si>
    <t xml:space="preserve">8331.0300</t>
  </si>
  <si>
    <t xml:space="preserve">8323.30</t>
  </si>
  <si>
    <t xml:space="preserve">Commercial Vehicle Driver</t>
  </si>
  <si>
    <t xml:space="preserve">8331.0301</t>
  </si>
  <si>
    <t xml:space="preserve">Commercial Vehicle Driver – Assistant</t>
  </si>
  <si>
    <t xml:space="preserve">8331.0302</t>
  </si>
  <si>
    <t xml:space="preserve">Brand Manager</t>
  </si>
  <si>
    <t xml:space="preserve">3339.0200</t>
  </si>
  <si>
    <t xml:space="preserve">2419.50</t>
  </si>
  <si>
    <t xml:space="preserve">Auctioneer</t>
  </si>
  <si>
    <t xml:space="preserve">3339.0300</t>
  </si>
  <si>
    <t xml:space="preserve">3417.10</t>
  </si>
  <si>
    <t xml:space="preserve">Crier, Auction</t>
  </si>
  <si>
    <t xml:space="preserve">3339.0400</t>
  </si>
  <si>
    <t xml:space="preserve">3417.20</t>
  </si>
  <si>
    <t xml:space="preserve">Conductor, Auction Sale</t>
  </si>
  <si>
    <t xml:space="preserve">3339.0500</t>
  </si>
  <si>
    <t xml:space="preserve">3417.30</t>
  </si>
  <si>
    <t xml:space="preserve">Delivery Management Cell Agent</t>
  </si>
  <si>
    <t xml:space="preserve">3339.0601</t>
  </si>
  <si>
    <t xml:space="preserve">3429.10</t>
  </si>
  <si>
    <t xml:space="preserve">Manager, Import and Export</t>
  </si>
  <si>
    <t xml:space="preserve">1219.0100</t>
  </si>
  <si>
    <t xml:space="preserve">1227.30</t>
  </si>
  <si>
    <t xml:space="preserve">Export Manager</t>
  </si>
  <si>
    <t xml:space="preserve">1219.0101</t>
  </si>
  <si>
    <t xml:space="preserve">Manager, Health Club/Manager, Fitness Club/Centre/Gym</t>
  </si>
  <si>
    <t xml:space="preserve">1219.0200</t>
  </si>
  <si>
    <t xml:space="preserve">1228.10</t>
  </si>
  <si>
    <t xml:space="preserve">Butcher</t>
  </si>
  <si>
    <t xml:space="preserve">7511.0100</t>
  </si>
  <si>
    <t xml:space="preserve">7411.10</t>
  </si>
  <si>
    <t xml:space="preserve">Slaughterer</t>
  </si>
  <si>
    <t xml:space="preserve">7511.0200</t>
  </si>
  <si>
    <t xml:space="preserve">7411.20</t>
  </si>
  <si>
    <t xml:space="preserve">Sausage Maker</t>
  </si>
  <si>
    <t xml:space="preserve">7511.0300</t>
  </si>
  <si>
    <t xml:space="preserve">7411.30</t>
  </si>
  <si>
    <t xml:space="preserve">Briner</t>
  </si>
  <si>
    <t xml:space="preserve">7511.0400</t>
  </si>
  <si>
    <t xml:space="preserve">7411.40</t>
  </si>
  <si>
    <t xml:space="preserve">Pickler (Meat Product)</t>
  </si>
  <si>
    <t xml:space="preserve">7511.0500</t>
  </si>
  <si>
    <t xml:space="preserve">7411.45</t>
  </si>
  <si>
    <t xml:space="preserve">Shactor</t>
  </si>
  <si>
    <t xml:space="preserve">7511.0600</t>
  </si>
  <si>
    <t xml:space="preserve">7411.50</t>
  </si>
  <si>
    <t xml:space="preserve">Butchers, Fishmongers and Related Food Preparers, Other</t>
  </si>
  <si>
    <t xml:space="preserve">7511.9900</t>
  </si>
  <si>
    <t xml:space="preserve">7411.90</t>
  </si>
  <si>
    <t xml:space="preserve">Buyer</t>
  </si>
  <si>
    <t xml:space="preserve">3323.0100</t>
  </si>
  <si>
    <t xml:space="preserve">3416.10</t>
  </si>
  <si>
    <t xml:space="preserve">Purchase Executive</t>
  </si>
  <si>
    <t xml:space="preserve">3323.0401</t>
  </si>
  <si>
    <t xml:space="preserve">Supply Chain Field Assistant</t>
  </si>
  <si>
    <t xml:space="preserve">3323.0602</t>
  </si>
  <si>
    <t xml:space="preserve">Buyers, Other</t>
  </si>
  <si>
    <t xml:space="preserve">3323.9900</t>
  </si>
  <si>
    <t xml:space="preserve">3416.90</t>
  </si>
  <si>
    <t xml:space="preserve">Purchasing Agent</t>
  </si>
  <si>
    <t xml:space="preserve">3323.0200</t>
  </si>
  <si>
    <t xml:space="preserve">3416.20</t>
  </si>
  <si>
    <t xml:space="preserve">Vendor Development Executive</t>
  </si>
  <si>
    <t xml:space="preserve">3323.0301</t>
  </si>
  <si>
    <t xml:space="preserve">Merchandiser – Gem &amp; Jewellery</t>
  </si>
  <si>
    <t xml:space="preserve">3323.0101</t>
  </si>
  <si>
    <t xml:space="preserve">Merchandiser – Apparel</t>
  </si>
  <si>
    <t xml:space="preserve">3323.0102</t>
  </si>
  <si>
    <t xml:space="preserve">Purchase Executive – Solar</t>
  </si>
  <si>
    <t xml:space="preserve">3323.0501</t>
  </si>
  <si>
    <t xml:space="preserve">Associate – Supply Chain Management</t>
  </si>
  <si>
    <t xml:space="preserve">3323.0601</t>
  </si>
  <si>
    <t xml:space="preserve">Coach Builder, Railway</t>
  </si>
  <si>
    <t xml:space="preserve">7522.0700</t>
  </si>
  <si>
    <t xml:space="preserve">7422.28</t>
  </si>
  <si>
    <t xml:space="preserve">Body Builder, Other Vehicles</t>
  </si>
  <si>
    <t xml:space="preserve">7522.0800</t>
  </si>
  <si>
    <t xml:space="preserve">7422.30</t>
  </si>
  <si>
    <t xml:space="preserve">Wood Marker</t>
  </si>
  <si>
    <t xml:space="preserve">7522.0900</t>
  </si>
  <si>
    <t xml:space="preserve">7422.35</t>
  </si>
  <si>
    <t xml:space="preserve">Pattern Marker, Wood</t>
  </si>
  <si>
    <t xml:space="preserve">7522.1000</t>
  </si>
  <si>
    <t xml:space="preserve">7422.38</t>
  </si>
  <si>
    <t xml:space="preserve">Cooper</t>
  </si>
  <si>
    <t xml:space="preserve">7522.1100</t>
  </si>
  <si>
    <t xml:space="preserve">7422.40</t>
  </si>
  <si>
    <t xml:space="preserve">Wood Carver, Hand</t>
  </si>
  <si>
    <t xml:space="preserve">7522.1200</t>
  </si>
  <si>
    <t xml:space="preserve">7422.42</t>
  </si>
  <si>
    <t xml:space="preserve">Inlayer, Wood</t>
  </si>
  <si>
    <t xml:space="preserve">7522.1300</t>
  </si>
  <si>
    <t xml:space="preserve">7422.45</t>
  </si>
  <si>
    <t xml:space="preserve">Furniture Maker, Wood</t>
  </si>
  <si>
    <t xml:space="preserve">7522.0100</t>
  </si>
  <si>
    <t xml:space="preserve">7422.10</t>
  </si>
  <si>
    <t xml:space="preserve">Cabinet Maker</t>
  </si>
  <si>
    <t xml:space="preserve">7522.0200</t>
  </si>
  <si>
    <t xml:space="preserve">7422.15</t>
  </si>
  <si>
    <t xml:space="preserve">Body Builder, Automobile</t>
  </si>
  <si>
    <t xml:space="preserve">7522.0600</t>
  </si>
  <si>
    <t xml:space="preserve">7422.25</t>
  </si>
  <si>
    <t xml:space="preserve">Wood Lacquerer</t>
  </si>
  <si>
    <t xml:space="preserve">7522.1900</t>
  </si>
  <si>
    <t xml:space="preserve">7422.60</t>
  </si>
  <si>
    <t xml:space="preserve">Wood Polisher</t>
  </si>
  <si>
    <t xml:space="preserve">7522.2000</t>
  </si>
  <si>
    <t xml:space="preserve">7422.62</t>
  </si>
  <si>
    <t xml:space="preserve">Paper Board Maker</t>
  </si>
  <si>
    <t xml:space="preserve">7522.2100</t>
  </si>
  <si>
    <t xml:space="preserve">7422.65</t>
  </si>
  <si>
    <t xml:space="preserve">Toy Maker, Wood</t>
  </si>
  <si>
    <t xml:space="preserve">7522.1400</t>
  </si>
  <si>
    <t xml:space="preserve">7422.48</t>
  </si>
  <si>
    <t xml:space="preserve">Pith Worker, Wood</t>
  </si>
  <si>
    <t xml:space="preserve">7522.1500</t>
  </si>
  <si>
    <t xml:space="preserve">7422.50</t>
  </si>
  <si>
    <t xml:space="preserve">Picture Frame Maker</t>
  </si>
  <si>
    <t xml:space="preserve">7522.1600</t>
  </si>
  <si>
    <t xml:space="preserve">7422.52</t>
  </si>
  <si>
    <t xml:space="preserve">Sports Goods Maker, Wood</t>
  </si>
  <si>
    <t xml:space="preserve">7522.1800</t>
  </si>
  <si>
    <t xml:space="preserve">7422.58</t>
  </si>
  <si>
    <t xml:space="preserve">Cabinet Makers and Related Workers, Other</t>
  </si>
  <si>
    <t xml:space="preserve">7522.9900</t>
  </si>
  <si>
    <t xml:space="preserve">7422.90</t>
  </si>
  <si>
    <t xml:space="preserve">Driver, Car</t>
  </si>
  <si>
    <t xml:space="preserve">8322.0100</t>
  </si>
  <si>
    <t xml:space="preserve">8322.10</t>
  </si>
  <si>
    <t xml:space="preserve">Chauffer, Driver Personal</t>
  </si>
  <si>
    <t xml:space="preserve">8322.0101</t>
  </si>
  <si>
    <t xml:space="preserve">Chauffer, Cab Driver</t>
  </si>
  <si>
    <t xml:space="preserve">8322.0102</t>
  </si>
  <si>
    <t xml:space="preserve">Driver, Taxi</t>
  </si>
  <si>
    <t xml:space="preserve">8322.0201</t>
  </si>
  <si>
    <t xml:space="preserve">8322.20</t>
  </si>
  <si>
    <t xml:space="preserve">Driver, Ambulance</t>
  </si>
  <si>
    <t xml:space="preserve">8322.0301</t>
  </si>
  <si>
    <t xml:space="preserve">8322.30</t>
  </si>
  <si>
    <t xml:space="preserve">Light Motor Vehicle Driver</t>
  </si>
  <si>
    <t xml:space="preserve">8322.0501</t>
  </si>
  <si>
    <t xml:space="preserve">Car, Taxi and Van Drivers, Other</t>
  </si>
  <si>
    <t xml:space="preserve">8322.9900</t>
  </si>
  <si>
    <t xml:space="preserve">8322.90</t>
  </si>
  <si>
    <t xml:space="preserve">Carpenter, General</t>
  </si>
  <si>
    <t xml:space="preserve">7115.0100</t>
  </si>
  <si>
    <t xml:space="preserve">7124.10</t>
  </si>
  <si>
    <t xml:space="preserve">Carpenter, Village</t>
  </si>
  <si>
    <t xml:space="preserve">7115.0400</t>
  </si>
  <si>
    <t xml:space="preserve">7124.30</t>
  </si>
  <si>
    <t xml:space="preserve">Joiner, Wood</t>
  </si>
  <si>
    <t xml:space="preserve">7115.0500</t>
  </si>
  <si>
    <t xml:space="preserve">7124.35</t>
  </si>
  <si>
    <t xml:space="preserve">Loftsman, Ship Building</t>
  </si>
  <si>
    <t xml:space="preserve">7115.0600</t>
  </si>
  <si>
    <t xml:space="preserve">7124.40</t>
  </si>
  <si>
    <t xml:space="preserve">Shipwright</t>
  </si>
  <si>
    <t xml:space="preserve">7115.0700</t>
  </si>
  <si>
    <t xml:space="preserve">7124.45</t>
  </si>
  <si>
    <t xml:space="preserve">Lascar Stager, Ship Building</t>
  </si>
  <si>
    <t xml:space="preserve">7115.0800</t>
  </si>
  <si>
    <t xml:space="preserve">7124.50</t>
  </si>
  <si>
    <t xml:space="preserve">Carpenter Worker, Boat Building</t>
  </si>
  <si>
    <t xml:space="preserve">7115.1100</t>
  </si>
  <si>
    <t xml:space="preserve">7124.65</t>
  </si>
  <si>
    <t xml:space="preserve">Carpenter, Boat Building</t>
  </si>
  <si>
    <t xml:space="preserve">7115.1200</t>
  </si>
  <si>
    <t xml:space="preserve">7124.70</t>
  </si>
  <si>
    <t xml:space="preserve">Caulker, Boat Building</t>
  </si>
  <si>
    <t xml:space="preserve">7115.1300</t>
  </si>
  <si>
    <t xml:space="preserve">7124.75</t>
  </si>
  <si>
    <t xml:space="preserve">Carpenter, Construction</t>
  </si>
  <si>
    <t xml:space="preserve">7115.0200</t>
  </si>
  <si>
    <t xml:space="preserve">7124.20</t>
  </si>
  <si>
    <t xml:space="preserve">Carpenters and Joiners Operatives, Other</t>
  </si>
  <si>
    <t xml:space="preserve">7115.9900</t>
  </si>
  <si>
    <t xml:space="preserve">7124.90</t>
  </si>
  <si>
    <t xml:space="preserve">Assistant Shuttering Carpenter</t>
  </si>
  <si>
    <t xml:space="preserve">7115.0201</t>
  </si>
  <si>
    <t xml:space="preserve">Carpenter, Structural</t>
  </si>
  <si>
    <t xml:space="preserve">7115.0300</t>
  </si>
  <si>
    <t xml:space="preserve">7124.25</t>
  </si>
  <si>
    <t xml:space="preserve">Cartographer</t>
  </si>
  <si>
    <t xml:space="preserve">2165.0100</t>
  </si>
  <si>
    <t xml:space="preserve">2148.10</t>
  </si>
  <si>
    <t xml:space="preserve">Surveyor, Topographical</t>
  </si>
  <si>
    <t xml:space="preserve">2165.0200</t>
  </si>
  <si>
    <t xml:space="preserve">2148.20</t>
  </si>
  <si>
    <t xml:space="preserve">Surveyor, Photogrammetric</t>
  </si>
  <si>
    <t xml:space="preserve">2165.0400</t>
  </si>
  <si>
    <t xml:space="preserve">2148.30</t>
  </si>
  <si>
    <t xml:space="preserve">Surveyor, Mine</t>
  </si>
  <si>
    <t xml:space="preserve">2165.0500</t>
  </si>
  <si>
    <t xml:space="preserve">2148.40</t>
  </si>
  <si>
    <t xml:space="preserve">Surveyor, Hydrographic</t>
  </si>
  <si>
    <t xml:space="preserve">2165.0600</t>
  </si>
  <si>
    <t xml:space="preserve">2148.50</t>
  </si>
  <si>
    <t xml:space="preserve">Cartographers and Surveyors, Other</t>
  </si>
  <si>
    <t xml:space="preserve">2165.9900</t>
  </si>
  <si>
    <t xml:space="preserve">2148.90</t>
  </si>
  <si>
    <t xml:space="preserve">Aerial – Photograph Interpreter</t>
  </si>
  <si>
    <t xml:space="preserve">2165.0300</t>
  </si>
  <si>
    <t xml:space="preserve">2148.25</t>
  </si>
  <si>
    <t xml:space="preserve">Polishing Machine Operator (Mosaic)</t>
  </si>
  <si>
    <t xml:space="preserve">8114.0100</t>
  </si>
  <si>
    <t xml:space="preserve">8212.10</t>
  </si>
  <si>
    <t xml:space="preserve">Batching and Mixing Plant Operator (Construction)</t>
  </si>
  <si>
    <t xml:space="preserve">8114.0200</t>
  </si>
  <si>
    <t xml:space="preserve">8212.20</t>
  </si>
  <si>
    <t xml:space="preserve">Concrete Mixer Operator</t>
  </si>
  <si>
    <t xml:space="preserve">8114.0300</t>
  </si>
  <si>
    <t xml:space="preserve">8212.30</t>
  </si>
  <si>
    <t xml:space="preserve">Cast Stone Maker</t>
  </si>
  <si>
    <t xml:space="preserve">8114.0500</t>
  </si>
  <si>
    <t xml:space="preserve">8212.50</t>
  </si>
  <si>
    <t xml:space="preserve">Lead Brush Maker (Abrasive Wheel)</t>
  </si>
  <si>
    <t xml:space="preserve">8114.0600</t>
  </si>
  <si>
    <t xml:space="preserve">8212.60</t>
  </si>
  <si>
    <t xml:space="preserve">Fettler (Brick &amp; Tile)</t>
  </si>
  <si>
    <t xml:space="preserve">8114.0700</t>
  </si>
  <si>
    <t xml:space="preserve">8212.70</t>
  </si>
  <si>
    <t xml:space="preserve">Cement and Other Mineral Products Machine Operators, Other</t>
  </si>
  <si>
    <t xml:space="preserve">8114.9900</t>
  </si>
  <si>
    <t xml:space="preserve">8212.90</t>
  </si>
  <si>
    <t xml:space="preserve">Head Cook/Head Chef</t>
  </si>
  <si>
    <t xml:space="preserve">3434.0100</t>
  </si>
  <si>
    <t xml:space="preserve">5122.10</t>
  </si>
  <si>
    <t xml:space="preserve">Laboratory Assistant, Physical</t>
  </si>
  <si>
    <t xml:space="preserve">3111.0100</t>
  </si>
  <si>
    <t xml:space="preserve">3111.10</t>
  </si>
  <si>
    <t xml:space="preserve">Laboratory Assistant, Soil</t>
  </si>
  <si>
    <t xml:space="preserve">3111.0200</t>
  </si>
  <si>
    <t xml:space="preserve">3111.20</t>
  </si>
  <si>
    <t xml:space="preserve">Physical Science Technicians, Other</t>
  </si>
  <si>
    <t xml:space="preserve">3111.9900</t>
  </si>
  <si>
    <t xml:space="preserve">3111.90</t>
  </si>
  <si>
    <t xml:space="preserve">Laboratory Assistant, Chemical</t>
  </si>
  <si>
    <t xml:space="preserve">3111.0300</t>
  </si>
  <si>
    <t xml:space="preserve">3111.30</t>
  </si>
  <si>
    <t xml:space="preserve">Chemical Radiation Technician</t>
  </si>
  <si>
    <t xml:space="preserve">3111.0400</t>
  </si>
  <si>
    <t xml:space="preserve">3111.35</t>
  </si>
  <si>
    <t xml:space="preserve">Laboratory Assistant, Geological</t>
  </si>
  <si>
    <t xml:space="preserve">3111.0500</t>
  </si>
  <si>
    <t xml:space="preserve">3111.40</t>
  </si>
  <si>
    <t xml:space="preserve">Slide Examiner, Petrology</t>
  </si>
  <si>
    <t xml:space="preserve">3111.0600</t>
  </si>
  <si>
    <t xml:space="preserve">3111.50</t>
  </si>
  <si>
    <t xml:space="preserve">Slide Examiner, Palaeontology</t>
  </si>
  <si>
    <t xml:space="preserve">3111.0700</t>
  </si>
  <si>
    <t xml:space="preserve">3111.60</t>
  </si>
  <si>
    <t xml:space="preserve">Laboratory Assistant, Glass and Ceramics</t>
  </si>
  <si>
    <t xml:space="preserve">3116.0100</t>
  </si>
  <si>
    <t xml:space="preserve">3116.10</t>
  </si>
  <si>
    <t xml:space="preserve">Laboratory Assistant, Food &amp; Beverages/ Chemist/ Analytical Supervisor/Lab Chemist</t>
  </si>
  <si>
    <t xml:space="preserve">3116.0200</t>
  </si>
  <si>
    <t xml:space="preserve">3116.20</t>
  </si>
  <si>
    <t xml:space="preserve">Laboratory Assistant, Chemical Engineering General</t>
  </si>
  <si>
    <t xml:space="preserve">3116.0300</t>
  </si>
  <si>
    <t xml:space="preserve">3116.30</t>
  </si>
  <si>
    <t xml:space="preserve">Core Analyst, Petrol and Natural Gas</t>
  </si>
  <si>
    <t xml:space="preserve">3116.0400</t>
  </si>
  <si>
    <t xml:space="preserve">3116.40</t>
  </si>
  <si>
    <t xml:space="preserve">Laboratory Assistant, Petroleum and Lubricants</t>
  </si>
  <si>
    <t xml:space="preserve">3116.0500</t>
  </si>
  <si>
    <t xml:space="preserve">3116.50</t>
  </si>
  <si>
    <t xml:space="preserve">Chemist, Water Purification/Water Treatment</t>
  </si>
  <si>
    <t xml:space="preserve">3116.0600</t>
  </si>
  <si>
    <t xml:space="preserve">3116.60</t>
  </si>
  <si>
    <t xml:space="preserve">Chemical Engineering Technicians, Other/Chemical Process Technicians</t>
  </si>
  <si>
    <t xml:space="preserve">3116.9900</t>
  </si>
  <si>
    <t xml:space="preserve">3116.90</t>
  </si>
  <si>
    <t xml:space="preserve">Chemical Engineer, General</t>
  </si>
  <si>
    <t xml:space="preserve">2145.0100</t>
  </si>
  <si>
    <t xml:space="preserve">2146.10</t>
  </si>
  <si>
    <t xml:space="preserve">Technologist, Alcohol</t>
  </si>
  <si>
    <t xml:space="preserve">2145.1200</t>
  </si>
  <si>
    <t xml:space="preserve">2146.70</t>
  </si>
  <si>
    <t xml:space="preserve">Designer, Chemical Engineering</t>
  </si>
  <si>
    <t xml:space="preserve">2145.0200</t>
  </si>
  <si>
    <t xml:space="preserve">2146.20</t>
  </si>
  <si>
    <t xml:space="preserve">Chemical Engineer, Paints and Varnish</t>
  </si>
  <si>
    <t xml:space="preserve">2145.0300</t>
  </si>
  <si>
    <t xml:space="preserve">2146.30</t>
  </si>
  <si>
    <t xml:space="preserve">Chemical Engineer, Drugs and Acids</t>
  </si>
  <si>
    <t xml:space="preserve">2145.0400</t>
  </si>
  <si>
    <t xml:space="preserve">2146.35</t>
  </si>
  <si>
    <t xml:space="preserve">Chemical Engineer, Petroleum</t>
  </si>
  <si>
    <t xml:space="preserve">2145.0500</t>
  </si>
  <si>
    <t xml:space="preserve">2146.40</t>
  </si>
  <si>
    <t xml:space="preserve">Chemical Engineer, Fertilizers</t>
  </si>
  <si>
    <t xml:space="preserve">2145.0600</t>
  </si>
  <si>
    <t xml:space="preserve">2146.45</t>
  </si>
  <si>
    <t xml:space="preserve">Chemical Engineer, Food</t>
  </si>
  <si>
    <t xml:space="preserve">2145.0700</t>
  </si>
  <si>
    <t xml:space="preserve">2146.50</t>
  </si>
  <si>
    <t xml:space="preserve">Technologist, Food/Chemical Engineer</t>
  </si>
  <si>
    <t xml:space="preserve">2145.0800</t>
  </si>
  <si>
    <t xml:space="preserve">2146.55</t>
  </si>
  <si>
    <t xml:space="preserve">Technologist, Fuel</t>
  </si>
  <si>
    <t xml:space="preserve">2145.0900</t>
  </si>
  <si>
    <t xml:space="preserve">2146.60</t>
  </si>
  <si>
    <t xml:space="preserve">Oil Technologist</t>
  </si>
  <si>
    <t xml:space="preserve">2145.1000</t>
  </si>
  <si>
    <t xml:space="preserve">2146.62</t>
  </si>
  <si>
    <t xml:space="preserve">Technologist, Paper</t>
  </si>
  <si>
    <t xml:space="preserve">2145.1100</t>
  </si>
  <si>
    <t xml:space="preserve">2146.68</t>
  </si>
  <si>
    <t xml:space="preserve">Technologist, Rubber</t>
  </si>
  <si>
    <t xml:space="preserve">2145.1300</t>
  </si>
  <si>
    <t xml:space="preserve">2146.80</t>
  </si>
  <si>
    <t xml:space="preserve">Technologist, Plastics</t>
  </si>
  <si>
    <t xml:space="preserve">2145.1400</t>
  </si>
  <si>
    <t xml:space="preserve">2146.85</t>
  </si>
  <si>
    <t xml:space="preserve">Chemical Engineers and Technologists, Other</t>
  </si>
  <si>
    <t xml:space="preserve">2145.9900</t>
  </si>
  <si>
    <t xml:space="preserve">2146.90</t>
  </si>
  <si>
    <t xml:space="preserve">Process Man, Chemical</t>
  </si>
  <si>
    <t xml:space="preserve">3133.0100</t>
  </si>
  <si>
    <t xml:space="preserve">8152.10</t>
  </si>
  <si>
    <t xml:space="preserve">Furnace Operator (Chemical)</t>
  </si>
  <si>
    <t xml:space="preserve">3133.0200</t>
  </si>
  <si>
    <t xml:space="preserve">8152.60</t>
  </si>
  <si>
    <t xml:space="preserve">Boiling Tub Operator (Chemical)</t>
  </si>
  <si>
    <t xml:space="preserve">3133.0300</t>
  </si>
  <si>
    <t xml:space="preserve">8152.65</t>
  </si>
  <si>
    <t xml:space="preserve">Batch Still Operator, Chemical</t>
  </si>
  <si>
    <t xml:space="preserve">3133.0400</t>
  </si>
  <si>
    <t xml:space="preserve">8154.10</t>
  </si>
  <si>
    <t xml:space="preserve">Continuous Still Operator, Chemical</t>
  </si>
  <si>
    <t xml:space="preserve">3133.0500</t>
  </si>
  <si>
    <t xml:space="preserve">8154.20</t>
  </si>
  <si>
    <t xml:space="preserve">Bleaching Operator, Chemical</t>
  </si>
  <si>
    <t xml:space="preserve">3133.0600</t>
  </si>
  <si>
    <t xml:space="preserve">8159.30</t>
  </si>
  <si>
    <t xml:space="preserve">Chemical Process Operator (Radioactive Materials)</t>
  </si>
  <si>
    <t xml:space="preserve">3133.0700</t>
  </si>
  <si>
    <t xml:space="preserve">8159.50</t>
  </si>
  <si>
    <t xml:space="preserve">Hot Cell Technician</t>
  </si>
  <si>
    <t xml:space="preserve">3133.0800</t>
  </si>
  <si>
    <t xml:space="preserve">8159.52</t>
  </si>
  <si>
    <t xml:space="preserve">Chemical Processing Plant Controllers, Other</t>
  </si>
  <si>
    <t xml:space="preserve">3133.9900</t>
  </si>
  <si>
    <t xml:space="preserve">Crusher Operator, Chemical</t>
  </si>
  <si>
    <t xml:space="preserve">8131.0100</t>
  </si>
  <si>
    <t xml:space="preserve">8151.10</t>
  </si>
  <si>
    <t xml:space="preserve">Miller/Mill Operator (Chemical)</t>
  </si>
  <si>
    <t xml:space="preserve">8131.0200</t>
  </si>
  <si>
    <t xml:space="preserve">8151.20</t>
  </si>
  <si>
    <t xml:space="preserve">Pulveriser Operator, Chemical</t>
  </si>
  <si>
    <t xml:space="preserve">8131.0300</t>
  </si>
  <si>
    <t xml:space="preserve">8151.30</t>
  </si>
  <si>
    <t xml:space="preserve">Drying Chamber Attendant (Match Boxes)/Chamber Operators</t>
  </si>
  <si>
    <t xml:space="preserve">8131.1500</t>
  </si>
  <si>
    <t xml:space="preserve">8152.35</t>
  </si>
  <si>
    <t xml:space="preserve">Size Maker (Abrasive)</t>
  </si>
  <si>
    <t xml:space="preserve">8131.1700</t>
  </si>
  <si>
    <t xml:space="preserve">8152.45</t>
  </si>
  <si>
    <t xml:space="preserve">Paste Maker</t>
  </si>
  <si>
    <t xml:space="preserve">8131.1800</t>
  </si>
  <si>
    <t xml:space="preserve">8152.50</t>
  </si>
  <si>
    <t xml:space="preserve">Ammonia Operator/Ammonia Plant Operator</t>
  </si>
  <si>
    <t xml:space="preserve">8131.2100</t>
  </si>
  <si>
    <t xml:space="preserve">8152.70</t>
  </si>
  <si>
    <t xml:space="preserve">Mixing Machineman Attendant (Chemical)</t>
  </si>
  <si>
    <t xml:space="preserve">8131.0400</t>
  </si>
  <si>
    <t xml:space="preserve">8151.40</t>
  </si>
  <si>
    <t xml:space="preserve">Compounding Man (Match)</t>
  </si>
  <si>
    <t xml:space="preserve">8131.0500</t>
  </si>
  <si>
    <t xml:space="preserve">8151.45</t>
  </si>
  <si>
    <t xml:space="preserve">Sieving Machine Attendant, Chemical</t>
  </si>
  <si>
    <t xml:space="preserve">8131.0800</t>
  </si>
  <si>
    <t xml:space="preserve">8151.60</t>
  </si>
  <si>
    <t xml:space="preserve">Grading Machine Attendant (Abrasive)</t>
  </si>
  <si>
    <t xml:space="preserve">8131.0900</t>
  </si>
  <si>
    <t xml:space="preserve">8151.65</t>
  </si>
  <si>
    <t xml:space="preserve">Drying Chamber Attendant (Drugs)/Chamber Operators</t>
  </si>
  <si>
    <t xml:space="preserve">8131.1400</t>
  </si>
  <si>
    <t xml:space="preserve">8152.30</t>
  </si>
  <si>
    <t xml:space="preserve">Gauger (Cement)</t>
  </si>
  <si>
    <t xml:space="preserve">8131.2900</t>
  </si>
  <si>
    <t xml:space="preserve">8153.60</t>
  </si>
  <si>
    <t xml:space="preserve">Disc Operator (Abrasive)</t>
  </si>
  <si>
    <t xml:space="preserve">8131.3000</t>
  </si>
  <si>
    <t xml:space="preserve">8153.65</t>
  </si>
  <si>
    <t xml:space="preserve">Crude Oil Treater (Petrol &amp; Gas)</t>
  </si>
  <si>
    <t xml:space="preserve">8131.3100</t>
  </si>
  <si>
    <t xml:space="preserve">8153.70</t>
  </si>
  <si>
    <t xml:space="preserve">Brine Maker (Chemical)</t>
  </si>
  <si>
    <t xml:space="preserve">8131.3200</t>
  </si>
  <si>
    <t xml:space="preserve">8153.80</t>
  </si>
  <si>
    <t xml:space="preserve">Heat Treater</t>
  </si>
  <si>
    <t xml:space="preserve">8131.2200</t>
  </si>
  <si>
    <t xml:space="preserve">8152.75</t>
  </si>
  <si>
    <t xml:space="preserve">Autoclave Operator</t>
  </si>
  <si>
    <t xml:space="preserve">8131.3501</t>
  </si>
  <si>
    <t xml:space="preserve">8154.30</t>
  </si>
  <si>
    <t xml:space="preserve">Filter Press Operator</t>
  </si>
  <si>
    <t xml:space="preserve">8131.2300</t>
  </si>
  <si>
    <t xml:space="preserve">8153.10</t>
  </si>
  <si>
    <t xml:space="preserve">Evaporator Operator</t>
  </si>
  <si>
    <t xml:space="preserve">8131.3600</t>
  </si>
  <si>
    <t xml:space="preserve">8154.40</t>
  </si>
  <si>
    <t xml:space="preserve">Filter Press Operator (Ceramics)</t>
  </si>
  <si>
    <t xml:space="preserve">8131.2400</t>
  </si>
  <si>
    <t xml:space="preserve">8153.15</t>
  </si>
  <si>
    <t xml:space="preserve">Reactor Convertor Operator</t>
  </si>
  <si>
    <t xml:space="preserve">8131.3700</t>
  </si>
  <si>
    <t xml:space="preserve">8154.50</t>
  </si>
  <si>
    <t xml:space="preserve">Strainer, Liquid</t>
  </si>
  <si>
    <t xml:space="preserve">8131.2500</t>
  </si>
  <si>
    <t xml:space="preserve">8153.20</t>
  </si>
  <si>
    <t xml:space="preserve">Box Filtration Operator</t>
  </si>
  <si>
    <t xml:space="preserve">8131.2600</t>
  </si>
  <si>
    <t xml:space="preserve">8153.30</t>
  </si>
  <si>
    <t xml:space="preserve">Hydro Extractor Operator</t>
  </si>
  <si>
    <t xml:space="preserve">8131.2700</t>
  </si>
  <si>
    <t xml:space="preserve">8153.40</t>
  </si>
  <si>
    <t xml:space="preserve">Crude Oil Treater (Oil Field)</t>
  </si>
  <si>
    <t xml:space="preserve">8131.2800</t>
  </si>
  <si>
    <t xml:space="preserve">8153.50</t>
  </si>
  <si>
    <t xml:space="preserve">Receiver (Match)</t>
  </si>
  <si>
    <t xml:space="preserve">8131.4100</t>
  </si>
  <si>
    <t xml:space="preserve">8222.20</t>
  </si>
  <si>
    <t xml:space="preserve">Straining Operator (Rubber Reclaim)</t>
  </si>
  <si>
    <t xml:space="preserve">8131.6100</t>
  </si>
  <si>
    <t xml:space="preserve">8159.38</t>
  </si>
  <si>
    <t xml:space="preserve">Box Making Machine Operator (Match)</t>
  </si>
  <si>
    <t xml:space="preserve">8131.4200</t>
  </si>
  <si>
    <t xml:space="preserve">8222.30</t>
  </si>
  <si>
    <t xml:space="preserve">Mixer, Rubber/Mill Operator</t>
  </si>
  <si>
    <t xml:space="preserve">8131.6200</t>
  </si>
  <si>
    <t xml:space="preserve">8159.40</t>
  </si>
  <si>
    <t xml:space="preserve">Box Filling Machine Operator (Match)</t>
  </si>
  <si>
    <t xml:space="preserve">8131.4300</t>
  </si>
  <si>
    <t xml:space="preserve">8222.40</t>
  </si>
  <si>
    <t xml:space="preserve">Solution and Dough Making, Operator, Rubber</t>
  </si>
  <si>
    <t xml:space="preserve">8131.6300</t>
  </si>
  <si>
    <t xml:space="preserve">8159.42</t>
  </si>
  <si>
    <t xml:space="preserve">Friction Machine Operator (Match)</t>
  </si>
  <si>
    <t xml:space="preserve">8131.4400</t>
  </si>
  <si>
    <t xml:space="preserve">8222.50</t>
  </si>
  <si>
    <t xml:space="preserve">Synthetic Fibre Maker</t>
  </si>
  <si>
    <t xml:space="preserve">8131.6400</t>
  </si>
  <si>
    <t xml:space="preserve">8159.45</t>
  </si>
  <si>
    <t xml:space="preserve">Box Closing Machine Operator (Match)</t>
  </si>
  <si>
    <t xml:space="preserve">8131.4500</t>
  </si>
  <si>
    <t xml:space="preserve">8222.60</t>
  </si>
  <si>
    <t xml:space="preserve">Bandroll and Labelling Machine Operator</t>
  </si>
  <si>
    <t xml:space="preserve">8131.4600</t>
  </si>
  <si>
    <t xml:space="preserve">8222.70</t>
  </si>
  <si>
    <t xml:space="preserve">Coke Oven Operator, Controller</t>
  </si>
  <si>
    <t xml:space="preserve">8131.4900</t>
  </si>
  <si>
    <t xml:space="preserve">8159.12</t>
  </si>
  <si>
    <t xml:space="preserve">Charcoal Burner, Beehive Kiln (Chemical)</t>
  </si>
  <si>
    <t xml:space="preserve">8131.5600</t>
  </si>
  <si>
    <t xml:space="preserve">8159.25</t>
  </si>
  <si>
    <t xml:space="preserve">Converter Operator (Grain Feed Mills)</t>
  </si>
  <si>
    <t xml:space="preserve">8131.3800</t>
  </si>
  <si>
    <t xml:space="preserve">8154.60</t>
  </si>
  <si>
    <t xml:space="preserve">Producer Gas Plant Operator</t>
  </si>
  <si>
    <t xml:space="preserve">8131.5800</t>
  </si>
  <si>
    <t xml:space="preserve">8159.28</t>
  </si>
  <si>
    <t xml:space="preserve">Distiller (Chemical)</t>
  </si>
  <si>
    <t xml:space="preserve">8131.3900</t>
  </si>
  <si>
    <t xml:space="preserve">8154.65</t>
  </si>
  <si>
    <t xml:space="preserve">Bale Cutter Operator, Rubber</t>
  </si>
  <si>
    <t xml:space="preserve">8131.5900</t>
  </si>
  <si>
    <t xml:space="preserve">8159.34</t>
  </si>
  <si>
    <t xml:space="preserve">Continuous Machine Operator (Match Box Manufacturing)</t>
  </si>
  <si>
    <t xml:space="preserve">8131.4000</t>
  </si>
  <si>
    <t xml:space="preserve">8222.10</t>
  </si>
  <si>
    <t xml:space="preserve">Masticator, Rubber</t>
  </si>
  <si>
    <t xml:space="preserve">8131.6000</t>
  </si>
  <si>
    <t xml:space="preserve">8159.36</t>
  </si>
  <si>
    <t xml:space="preserve">M.B. Tester</t>
  </si>
  <si>
    <t xml:space="preserve">8131.7500</t>
  </si>
  <si>
    <t xml:space="preserve">8159.72</t>
  </si>
  <si>
    <t xml:space="preserve">Optical Examiner, Ampoules</t>
  </si>
  <si>
    <t xml:space="preserve">8131.7600</t>
  </si>
  <si>
    <t xml:space="preserve">8159.74</t>
  </si>
  <si>
    <t xml:space="preserve">Acid Plant Operator</t>
  </si>
  <si>
    <t xml:space="preserve">8131.7700</t>
  </si>
  <si>
    <t xml:space="preserve">8159.76</t>
  </si>
  <si>
    <t xml:space="preserve">Sulphur Burner</t>
  </si>
  <si>
    <t xml:space="preserve">8131.7800</t>
  </si>
  <si>
    <t xml:space="preserve">8159.78</t>
  </si>
  <si>
    <t xml:space="preserve">Refining Machine Operator (Oils and Fats)/Oil and Fat Plant Operator</t>
  </si>
  <si>
    <t xml:space="preserve">8131.6500</t>
  </si>
  <si>
    <t xml:space="preserve">8159.54</t>
  </si>
  <si>
    <t xml:space="preserve">Acid Concentrator</t>
  </si>
  <si>
    <t xml:space="preserve">8131.8000</t>
  </si>
  <si>
    <t xml:space="preserve">8159.80</t>
  </si>
  <si>
    <t xml:space="preserve">Hydrogenation Operator (Oil &amp; Fats)/Oil and Fat Plant Operator</t>
  </si>
  <si>
    <t xml:space="preserve">8131.6600</t>
  </si>
  <si>
    <t xml:space="preserve">8159.56</t>
  </si>
  <si>
    <t xml:space="preserve">Acid Worker, Other</t>
  </si>
  <si>
    <t xml:space="preserve">8131.8100</t>
  </si>
  <si>
    <t xml:space="preserve">8159.82</t>
  </si>
  <si>
    <t xml:space="preserve">Deodorizer</t>
  </si>
  <si>
    <t xml:space="preserve">8131.6700</t>
  </si>
  <si>
    <t xml:space="preserve">8159.58</t>
  </si>
  <si>
    <t xml:space="preserve">Cell Room Attendant, Chemical</t>
  </si>
  <si>
    <t xml:space="preserve">8131.8200</t>
  </si>
  <si>
    <t xml:space="preserve">8159.84</t>
  </si>
  <si>
    <t xml:space="preserve">Crystallisation Attendant</t>
  </si>
  <si>
    <t xml:space="preserve">8131.6800</t>
  </si>
  <si>
    <t xml:space="preserve">8159.60</t>
  </si>
  <si>
    <t xml:space="preserve">Gas Storage Attendant</t>
  </si>
  <si>
    <t xml:space="preserve">8131.8300</t>
  </si>
  <si>
    <t xml:space="preserve">8159.86</t>
  </si>
  <si>
    <t xml:space="preserve">Tablet Machine Operator</t>
  </si>
  <si>
    <t xml:space="preserve">8131.7000</t>
  </si>
  <si>
    <t xml:space="preserve">8159.62</t>
  </si>
  <si>
    <t xml:space="preserve">Soap Machine Attendant</t>
  </si>
  <si>
    <t xml:space="preserve">8131.8400</t>
  </si>
  <si>
    <t xml:space="preserve">8159.87</t>
  </si>
  <si>
    <t xml:space="preserve">Tablet Coater</t>
  </si>
  <si>
    <t xml:space="preserve">8131.7100</t>
  </si>
  <si>
    <t xml:space="preserve">8159.64</t>
  </si>
  <si>
    <t xml:space="preserve">Extraction Attendant, Chemical</t>
  </si>
  <si>
    <t xml:space="preserve">8131.8500</t>
  </si>
  <si>
    <t xml:space="preserve">8159.88</t>
  </si>
  <si>
    <t xml:space="preserve">Ampoule Machine/Plant Operator</t>
  </si>
  <si>
    <t xml:space="preserve">8131.7200</t>
  </si>
  <si>
    <t xml:space="preserve">8159.66</t>
  </si>
  <si>
    <t xml:space="preserve">Laboratory Attendant</t>
  </si>
  <si>
    <t xml:space="preserve">8131.8700</t>
  </si>
  <si>
    <t xml:space="preserve">8229.10</t>
  </si>
  <si>
    <t xml:space="preserve">Agarbatti Maker</t>
  </si>
  <si>
    <t xml:space="preserve">8131.8800</t>
  </si>
  <si>
    <t xml:space="preserve">8229.20</t>
  </si>
  <si>
    <t xml:space="preserve">Pencil Maker</t>
  </si>
  <si>
    <t xml:space="preserve">8131.8900</t>
  </si>
  <si>
    <t xml:space="preserve">8229.30</t>
  </si>
  <si>
    <t xml:space="preserve">Assembler, Marking Devices (Pen &amp; Pencil)</t>
  </si>
  <si>
    <t xml:space="preserve">8131.9000</t>
  </si>
  <si>
    <t xml:space="preserve">8229.40</t>
  </si>
  <si>
    <t xml:space="preserve">Chemical Products Machine Operators, Other</t>
  </si>
  <si>
    <t xml:space="preserve">8131.9900</t>
  </si>
  <si>
    <t xml:space="preserve">8229.90</t>
  </si>
  <si>
    <t xml:space="preserve">Chemist, General</t>
  </si>
  <si>
    <t xml:space="preserve">2113.0100</t>
  </si>
  <si>
    <t xml:space="preserve">2113.10</t>
  </si>
  <si>
    <t xml:space="preserve">Chemist, Analytical</t>
  </si>
  <si>
    <t xml:space="preserve">2113.0500</t>
  </si>
  <si>
    <t xml:space="preserve">2113.50</t>
  </si>
  <si>
    <t xml:space="preserve">Chemist, Organic</t>
  </si>
  <si>
    <t xml:space="preserve">2113.0200</t>
  </si>
  <si>
    <t xml:space="preserve">2113.20</t>
  </si>
  <si>
    <t xml:space="preserve">Chemist, Inorganic</t>
  </si>
  <si>
    <t xml:space="preserve">2113.0300</t>
  </si>
  <si>
    <t xml:space="preserve">2113.30</t>
  </si>
  <si>
    <t xml:space="preserve">Chemist, Industrial</t>
  </si>
  <si>
    <t xml:space="preserve">2113.0600</t>
  </si>
  <si>
    <t xml:space="preserve">2113.60</t>
  </si>
  <si>
    <t xml:space="preserve">Quality Control Chemist</t>
  </si>
  <si>
    <t xml:space="preserve">2113.0601</t>
  </si>
  <si>
    <t xml:space="preserve">Chemist, Forensic Science</t>
  </si>
  <si>
    <t xml:space="preserve">2113.0800</t>
  </si>
  <si>
    <t xml:space="preserve">2113.80</t>
  </si>
  <si>
    <t xml:space="preserve">Quality Assurance Chemist</t>
  </si>
  <si>
    <t xml:space="preserve">2113.0901</t>
  </si>
  <si>
    <t xml:space="preserve">Chemists, Other</t>
  </si>
  <si>
    <t xml:space="preserve">2113.9900</t>
  </si>
  <si>
    <t xml:space="preserve">2113.90</t>
  </si>
  <si>
    <t xml:space="preserve">Lab Chemist – Finished Product Testing</t>
  </si>
  <si>
    <t xml:space="preserve">2113.0621</t>
  </si>
  <si>
    <t xml:space="preserve">Lab Chemist – Incoming Raw Material Testing</t>
  </si>
  <si>
    <t xml:space="preserve">2113.0622</t>
  </si>
  <si>
    <t xml:space="preserve">Lab Chemist – Compound Testing – Batch Release</t>
  </si>
  <si>
    <t xml:space="preserve">2113.0623</t>
  </si>
  <si>
    <t xml:space="preserve">Lab Chemist – Cured Compound Testing</t>
  </si>
  <si>
    <t xml:space="preserve">2113.0624</t>
  </si>
  <si>
    <t xml:space="preserve">Ayah, Institutional</t>
  </si>
  <si>
    <t xml:space="preserve">5311.0100</t>
  </si>
  <si>
    <t xml:space="preserve">5131.10</t>
  </si>
  <si>
    <t xml:space="preserve">Child Care Worker</t>
  </si>
  <si>
    <t xml:space="preserve">5311.0200</t>
  </si>
  <si>
    <t xml:space="preserve">5131.30</t>
  </si>
  <si>
    <t xml:space="preserve">Governess</t>
  </si>
  <si>
    <t xml:space="preserve">5311.0300</t>
  </si>
  <si>
    <t xml:space="preserve">5121.40</t>
  </si>
  <si>
    <t xml:space="preserve">Ayah, Domestic</t>
  </si>
  <si>
    <t xml:space="preserve">5311.0400</t>
  </si>
  <si>
    <t xml:space="preserve">5131.20</t>
  </si>
  <si>
    <t xml:space="preserve">Child Care Workers, Other</t>
  </si>
  <si>
    <t xml:space="preserve">5311.9900</t>
  </si>
  <si>
    <t xml:space="preserve">5131.90</t>
  </si>
  <si>
    <t xml:space="preserve">Labourer, Other</t>
  </si>
  <si>
    <t xml:space="preserve">9312.0100</t>
  </si>
  <si>
    <t xml:space="preserve">9312.10</t>
  </si>
  <si>
    <t xml:space="preserve">Track Repairer (Rail Transport)</t>
  </si>
  <si>
    <t xml:space="preserve">9312.0200</t>
  </si>
  <si>
    <t xml:space="preserve">9312.20</t>
  </si>
  <si>
    <t xml:space="preserve">Construction and Maintenance Labourers, Other</t>
  </si>
  <si>
    <t xml:space="preserve">9312.9900</t>
  </si>
  <si>
    <t xml:space="preserve">9312.90</t>
  </si>
  <si>
    <t xml:space="preserve">Assistant Laboratory and Field Technician</t>
  </si>
  <si>
    <t xml:space="preserve">3112.0701</t>
  </si>
  <si>
    <t xml:space="preserve">Civil Engineering Technicians, Other</t>
  </si>
  <si>
    <t xml:space="preserve">3112.9900</t>
  </si>
  <si>
    <t xml:space="preserve">3112.90</t>
  </si>
  <si>
    <t xml:space="preserve">Overseer, Civil Engineering</t>
  </si>
  <si>
    <t xml:space="preserve">3112.0100</t>
  </si>
  <si>
    <t xml:space="preserve">3112.10</t>
  </si>
  <si>
    <t xml:space="preserve">Permanent Way Inspector</t>
  </si>
  <si>
    <t xml:space="preserve">3112.0200</t>
  </si>
  <si>
    <t xml:space="preserve">3112.20</t>
  </si>
  <si>
    <t xml:space="preserve">Plain Tabler</t>
  </si>
  <si>
    <t xml:space="preserve">3112.0300</t>
  </si>
  <si>
    <t xml:space="preserve">3112.30</t>
  </si>
  <si>
    <t xml:space="preserve">Topographical Auxiliary</t>
  </si>
  <si>
    <t xml:space="preserve">3112.0400</t>
  </si>
  <si>
    <t xml:space="preserve">3112.40</t>
  </si>
  <si>
    <t xml:space="preserve">Computer Topographical</t>
  </si>
  <si>
    <t xml:space="preserve">3112.0500</t>
  </si>
  <si>
    <t xml:space="preserve">3112.50</t>
  </si>
  <si>
    <t xml:space="preserve">Surveyor, Tidal</t>
  </si>
  <si>
    <t xml:space="preserve">3112.0600</t>
  </si>
  <si>
    <t xml:space="preserve">3112.60</t>
  </si>
  <si>
    <t xml:space="preserve">Civil Engineer, General</t>
  </si>
  <si>
    <t xml:space="preserve">2142.0100</t>
  </si>
  <si>
    <t xml:space="preserve">2142.10</t>
  </si>
  <si>
    <t xml:space="preserve">Civil Engineer, Building</t>
  </si>
  <si>
    <t xml:space="preserve">2142.0200</t>
  </si>
  <si>
    <t xml:space="preserve">2142.20</t>
  </si>
  <si>
    <t xml:space="preserve">Civil Engineer, Structural</t>
  </si>
  <si>
    <t xml:space="preserve">2142.0300</t>
  </si>
  <si>
    <t xml:space="preserve">2142.30</t>
  </si>
  <si>
    <t xml:space="preserve">Plumbing Site Engineer</t>
  </si>
  <si>
    <t xml:space="preserve">2142.0301</t>
  </si>
  <si>
    <t xml:space="preserve">Hydraulic Engineer</t>
  </si>
  <si>
    <t xml:space="preserve">2142.0500</t>
  </si>
  <si>
    <t xml:space="preserve">2142.45</t>
  </si>
  <si>
    <t xml:space="preserve">Fire Protection Systems Design Engineer</t>
  </si>
  <si>
    <t xml:space="preserve">2142.0501</t>
  </si>
  <si>
    <t xml:space="preserve">Civil Engineer, Highways and Roads</t>
  </si>
  <si>
    <t xml:space="preserve">2142.0600</t>
  </si>
  <si>
    <t xml:space="preserve">2142.50</t>
  </si>
  <si>
    <t xml:space="preserve">Civil Engineer, Railways</t>
  </si>
  <si>
    <t xml:space="preserve">2142.0700</t>
  </si>
  <si>
    <t xml:space="preserve">2142.60</t>
  </si>
  <si>
    <t xml:space="preserve">Airport Engineer</t>
  </si>
  <si>
    <t xml:space="preserve">2142.0800</t>
  </si>
  <si>
    <t xml:space="preserve">2142.65</t>
  </si>
  <si>
    <t xml:space="preserve">Civil Engineer, Public Health</t>
  </si>
  <si>
    <t xml:space="preserve">2142.0900</t>
  </si>
  <si>
    <t xml:space="preserve">2142.70</t>
  </si>
  <si>
    <t xml:space="preserve">Public Health System Design Engineer</t>
  </si>
  <si>
    <t xml:space="preserve">2142.0901</t>
  </si>
  <si>
    <t xml:space="preserve">Engineer, Waterworks</t>
  </si>
  <si>
    <t xml:space="preserve">2142.1000</t>
  </si>
  <si>
    <t xml:space="preserve">2142.72</t>
  </si>
  <si>
    <t xml:space="preserve">Groundwater Engineer</t>
  </si>
  <si>
    <t xml:space="preserve">2142.1001</t>
  </si>
  <si>
    <t xml:space="preserve">Civil Engineer, Irrigation</t>
  </si>
  <si>
    <t xml:space="preserve">2142.0400</t>
  </si>
  <si>
    <t xml:space="preserve">2142.40</t>
  </si>
  <si>
    <t xml:space="preserve">Wastewater Systems Design</t>
  </si>
  <si>
    <t xml:space="preserve">2142.1002</t>
  </si>
  <si>
    <t xml:space="preserve">Civil Engineers, Other</t>
  </si>
  <si>
    <t xml:space="preserve">2142.9900</t>
  </si>
  <si>
    <t xml:space="preserve">2142.90</t>
  </si>
  <si>
    <t xml:space="preserve">Dusting Man, Office; Farash, Office/Housekeeping Attendant</t>
  </si>
  <si>
    <t xml:space="preserve">9112.0100</t>
  </si>
  <si>
    <t xml:space="preserve">9132.10</t>
  </si>
  <si>
    <t xml:space="preserve">Cleaner Hospital</t>
  </si>
  <si>
    <t xml:space="preserve">9112.0200</t>
  </si>
  <si>
    <t xml:space="preserve">9132.30</t>
  </si>
  <si>
    <t xml:space="preserve">Helpers and Cleaners in Offices, Hotels and Other Establishments, Other</t>
  </si>
  <si>
    <t xml:space="preserve">9112.9900</t>
  </si>
  <si>
    <t xml:space="preserve">9132.90</t>
  </si>
  <si>
    <t xml:space="preserve">Janitor/Housekeeping Attendant</t>
  </si>
  <si>
    <t xml:space="preserve">5151.0201</t>
  </si>
  <si>
    <t xml:space="preserve">5121.15</t>
  </si>
  <si>
    <t xml:space="preserve">Room Attendant</t>
  </si>
  <si>
    <t xml:space="preserve">5151.0202</t>
  </si>
  <si>
    <t xml:space="preserve">House Stewards/Domestic Help</t>
  </si>
  <si>
    <t xml:space="preserve">5151.0300</t>
  </si>
  <si>
    <t xml:space="preserve">5121.30</t>
  </si>
  <si>
    <t xml:space="preserve">Matron, Housekeeping</t>
  </si>
  <si>
    <t xml:space="preserve">5151.0400</t>
  </si>
  <si>
    <t xml:space="preserve">5121.35</t>
  </si>
  <si>
    <t xml:space="preserve">Linen Keeper</t>
  </si>
  <si>
    <t xml:space="preserve">5151.0500</t>
  </si>
  <si>
    <t xml:space="preserve">5121.50</t>
  </si>
  <si>
    <t xml:space="preserve">Hotel and Restaurant Keeper/Hotel and Restaurant Owner</t>
  </si>
  <si>
    <t xml:space="preserve">5151.0600</t>
  </si>
  <si>
    <t xml:space="preserve">5121.60</t>
  </si>
  <si>
    <t xml:space="preserve">Housekeeper (Institutional)/Housekeeping Supervisor</t>
  </si>
  <si>
    <t xml:space="preserve">5151.0101</t>
  </si>
  <si>
    <t xml:space="preserve">5121.10</t>
  </si>
  <si>
    <t xml:space="preserve">Supervisor, Front Office/Customer Service Executive (Meet and Greet)</t>
  </si>
  <si>
    <t xml:space="preserve">5151.0701</t>
  </si>
  <si>
    <t xml:space="preserve">5121.25</t>
  </si>
  <si>
    <t xml:space="preserve">Room Bearer/Bell Boys/Bell Hop/Hotel Porters</t>
  </si>
  <si>
    <t xml:space="preserve">5151.0800</t>
  </si>
  <si>
    <t xml:space="preserve">5121.70</t>
  </si>
  <si>
    <t xml:space="preserve">Cleaning and Housekeeping Supervisors in Offices, Hotels and Other Establishments, Other</t>
  </si>
  <si>
    <t xml:space="preserve">5151.9900</t>
  </si>
  <si>
    <t xml:space="preserve">5121.90</t>
  </si>
  <si>
    <t xml:space="preserve">Daftry</t>
  </si>
  <si>
    <t xml:space="preserve">4419.0600</t>
  </si>
  <si>
    <t xml:space="preserve">5132.10</t>
  </si>
  <si>
    <t xml:space="preserve">Process Server</t>
  </si>
  <si>
    <t xml:space="preserve">4419.0800</t>
  </si>
  <si>
    <t xml:space="preserve">5132.30</t>
  </si>
  <si>
    <t xml:space="preserve">Publicity Assistant</t>
  </si>
  <si>
    <t xml:space="preserve">4419.0100</t>
  </si>
  <si>
    <t xml:space="preserve">4190.25</t>
  </si>
  <si>
    <t xml:space="preserve">Business Correspondent</t>
  </si>
  <si>
    <t xml:space="preserve">4419.0102</t>
  </si>
  <si>
    <t xml:space="preserve">Patwari</t>
  </si>
  <si>
    <t xml:space="preserve">4419.0200</t>
  </si>
  <si>
    <t xml:space="preserve">4190.40</t>
  </si>
  <si>
    <t xml:space="preserve">Patrol, Irrigation</t>
  </si>
  <si>
    <t xml:space="preserve">4419.0300</t>
  </si>
  <si>
    <t xml:space="preserve">4190.50</t>
  </si>
  <si>
    <t xml:space="preserve">Bailiff</t>
  </si>
  <si>
    <t xml:space="preserve">4419.0400</t>
  </si>
  <si>
    <t xml:space="preserve">4190.55</t>
  </si>
  <si>
    <t xml:space="preserve">Office Boy/Peon</t>
  </si>
  <si>
    <t xml:space="preserve">4419.0500</t>
  </si>
  <si>
    <t xml:space="preserve">4190.80</t>
  </si>
  <si>
    <t xml:space="preserve">Clerical Support Workers, Other</t>
  </si>
  <si>
    <t xml:space="preserve">4419.9900</t>
  </si>
  <si>
    <t xml:space="preserve">5132.90</t>
  </si>
  <si>
    <t xml:space="preserve">Coding Clerk</t>
  </si>
  <si>
    <t xml:space="preserve">4413.0100</t>
  </si>
  <si>
    <t xml:space="preserve">4143.10</t>
  </si>
  <si>
    <t xml:space="preserve">Proofreader</t>
  </si>
  <si>
    <t xml:space="preserve">4413.0200</t>
  </si>
  <si>
    <t xml:space="preserve">4143.20</t>
  </si>
  <si>
    <t xml:space="preserve">Coding, Proofreading and Related Clerks, Others</t>
  </si>
  <si>
    <t xml:space="preserve">4413.9900</t>
  </si>
  <si>
    <t xml:space="preserve">4143.90</t>
  </si>
  <si>
    <t xml:space="preserve">Regional Parts Manager</t>
  </si>
  <si>
    <t xml:space="preserve">3322.0701</t>
  </si>
  <si>
    <t xml:space="preserve">Area Manager (Auto Components)</t>
  </si>
  <si>
    <t xml:space="preserve">3322.0801</t>
  </si>
  <si>
    <t xml:space="preserve">Sales Officer (Auto Components)</t>
  </si>
  <si>
    <t xml:space="preserve">3322.0802</t>
  </si>
  <si>
    <t xml:space="preserve">Sales Supervisor, Retail Trade</t>
  </si>
  <si>
    <t xml:space="preserve">3322.0900</t>
  </si>
  <si>
    <t xml:space="preserve">3415.70</t>
  </si>
  <si>
    <t xml:space="preserve">Territory Sales Manager</t>
  </si>
  <si>
    <t xml:space="preserve">3322.1001</t>
  </si>
  <si>
    <t xml:space="preserve">Territory Sales Manager (Used Vehicles)</t>
  </si>
  <si>
    <t xml:space="preserve">3322.1002</t>
  </si>
  <si>
    <t xml:space="preserve">Sales Representative, Technical</t>
  </si>
  <si>
    <t xml:space="preserve">3322.0101</t>
  </si>
  <si>
    <t xml:space="preserve">3415.10</t>
  </si>
  <si>
    <t xml:space="preserve">Customer Relationship Manager</t>
  </si>
  <si>
    <t xml:space="preserve">3322.1101</t>
  </si>
  <si>
    <t xml:space="preserve">Commercial Traveller, General</t>
  </si>
  <si>
    <t xml:space="preserve">3322.0200</t>
  </si>
  <si>
    <t xml:space="preserve">3415.30</t>
  </si>
  <si>
    <t xml:space="preserve">Canvasser, Sales</t>
  </si>
  <si>
    <t xml:space="preserve">3322.0300</t>
  </si>
  <si>
    <t xml:space="preserve">3415.40</t>
  </si>
  <si>
    <t xml:space="preserve">Sales Supervisor, Wholesale Trade</t>
  </si>
  <si>
    <t xml:space="preserve">3322.0500</t>
  </si>
  <si>
    <t xml:space="preserve">3415.60</t>
  </si>
  <si>
    <t xml:space="preserve">Key Accounts Sales Manager</t>
  </si>
  <si>
    <t xml:space="preserve">3322.0601</t>
  </si>
  <si>
    <t xml:space="preserve">Sales Manager</t>
  </si>
  <si>
    <t xml:space="preserve">3322.1301</t>
  </si>
  <si>
    <t xml:space="preserve">Sales Consultant (Institutional Sales)</t>
  </si>
  <si>
    <t xml:space="preserve">3322.1302</t>
  </si>
  <si>
    <t xml:space="preserve">Sales Consultant (Retail)</t>
  </si>
  <si>
    <t xml:space="preserve">3322.1303</t>
  </si>
  <si>
    <t xml:space="preserve">Sales Consultant</t>
  </si>
  <si>
    <t xml:space="preserve">3322.1304</t>
  </si>
  <si>
    <t xml:space="preserve">Floor Manager</t>
  </si>
  <si>
    <t xml:space="preserve">3322.1305</t>
  </si>
  <si>
    <t xml:space="preserve">Store Manager</t>
  </si>
  <si>
    <t xml:space="preserve">3322.1306</t>
  </si>
  <si>
    <t xml:space="preserve">Other Sales Supervisor</t>
  </si>
  <si>
    <t xml:space="preserve">3322.1400</t>
  </si>
  <si>
    <t xml:space="preserve">3415.80</t>
  </si>
  <si>
    <t xml:space="preserve">Regional Sales Manager (RSM)</t>
  </si>
  <si>
    <t xml:space="preserve">3322.1501</t>
  </si>
  <si>
    <t xml:space="preserve">Regional Sales Manager (Pre-Owned Vehicles)</t>
  </si>
  <si>
    <t xml:space="preserve">3322.1201</t>
  </si>
  <si>
    <t xml:space="preserve">Regional Dealer Development Manager/Network Expansion Manager</t>
  </si>
  <si>
    <t xml:space="preserve">3322.1601</t>
  </si>
  <si>
    <t xml:space="preserve">Sales Lead (Pre-Owned Vehicles)</t>
  </si>
  <si>
    <t xml:space="preserve">3322.1202</t>
  </si>
  <si>
    <t xml:space="preserve">Sales Consultant (Pre-Owned Vehicles)</t>
  </si>
  <si>
    <t xml:space="preserve">3322.1203</t>
  </si>
  <si>
    <t xml:space="preserve">Service Supervisor</t>
  </si>
  <si>
    <t xml:space="preserve">3322.2501</t>
  </si>
  <si>
    <t xml:space="preserve">Service Advisor</t>
  </si>
  <si>
    <t xml:space="preserve">3322.2502</t>
  </si>
  <si>
    <t xml:space="preserve">Service Office Manager</t>
  </si>
  <si>
    <t xml:space="preserve">3322.2503</t>
  </si>
  <si>
    <t xml:space="preserve">Service Office Executive</t>
  </si>
  <si>
    <t xml:space="preserve">3322.2504</t>
  </si>
  <si>
    <t xml:space="preserve">Pre-Delivery Inspection In-Charge</t>
  </si>
  <si>
    <t xml:space="preserve">3322.4001</t>
  </si>
  <si>
    <t xml:space="preserve">Pre-Delivery Inspection Supervisor</t>
  </si>
  <si>
    <t xml:space="preserve">3322.4002</t>
  </si>
  <si>
    <t xml:space="preserve">Plumbing Products Sales Officer</t>
  </si>
  <si>
    <t xml:space="preserve">3322.5001</t>
  </si>
  <si>
    <t xml:space="preserve">Plumber Aftersales Service</t>
  </si>
  <si>
    <t xml:space="preserve">3322.5002</t>
  </si>
  <si>
    <t xml:space="preserve">Export Executive</t>
  </si>
  <si>
    <t xml:space="preserve">3322.6001</t>
  </si>
  <si>
    <t xml:space="preserve">Marketing and Social Media Manager</t>
  </si>
  <si>
    <t xml:space="preserve">3322.1702</t>
  </si>
  <si>
    <t xml:space="preserve">Export Assistant</t>
  </si>
  <si>
    <t xml:space="preserve">3322.6011</t>
  </si>
  <si>
    <t xml:space="preserve">Regional Retail Finance and Insurance Manager</t>
  </si>
  <si>
    <t xml:space="preserve">3322.2101</t>
  </si>
  <si>
    <t xml:space="preserve">Commercial Sales Representatives, Other</t>
  </si>
  <si>
    <t xml:space="preserve">3322.9900</t>
  </si>
  <si>
    <t xml:space="preserve">3415.90</t>
  </si>
  <si>
    <t xml:space="preserve">Regional Manager – Customer Care</t>
  </si>
  <si>
    <t xml:space="preserve">3322.1102</t>
  </si>
  <si>
    <t xml:space="preserve">Marketing Manager – Line of Business</t>
  </si>
  <si>
    <t xml:space="preserve">3322.1701</t>
  </si>
  <si>
    <t xml:space="preserve">Diabetes Educator</t>
  </si>
  <si>
    <t xml:space="preserve">3253.0101</t>
  </si>
  <si>
    <t xml:space="preserve">Frontline Health Worker</t>
  </si>
  <si>
    <t xml:space="preserve">3253.0201</t>
  </si>
  <si>
    <t xml:space="preserve">Community Health Workers, Other</t>
  </si>
  <si>
    <t xml:space="preserve">3253.9900</t>
  </si>
  <si>
    <t xml:space="preserve">System Administration Assistant/Junior System Administrator</t>
  </si>
  <si>
    <t xml:space="preserve">3513.0100</t>
  </si>
  <si>
    <t xml:space="preserve">3121.10</t>
  </si>
  <si>
    <t xml:space="preserve">Computer Security Specialist</t>
  </si>
  <si>
    <t xml:space="preserve">3513.0200</t>
  </si>
  <si>
    <t xml:space="preserve">3121.30</t>
  </si>
  <si>
    <t xml:space="preserve">Computer Network and Systems Technician, Other</t>
  </si>
  <si>
    <t xml:space="preserve">3513.9900</t>
  </si>
  <si>
    <t xml:space="preserve">Infrastructure Engineer</t>
  </si>
  <si>
    <t xml:space="preserve">3513.0301</t>
  </si>
  <si>
    <t xml:space="preserve">Computer System Hardware Analyst/Hardware Engineer</t>
  </si>
  <si>
    <t xml:space="preserve">2523.0200</t>
  </si>
  <si>
    <t xml:space="preserve">2139.40</t>
  </si>
  <si>
    <t xml:space="preserve">Design Engineer</t>
  </si>
  <si>
    <t xml:space="preserve">2523.0401</t>
  </si>
  <si>
    <t xml:space="preserve">Hardware Engineer</t>
  </si>
  <si>
    <t xml:space="preserve">2523.0501</t>
  </si>
  <si>
    <t xml:space="preserve">Computer Network Professionals, Other</t>
  </si>
  <si>
    <t xml:space="preserve">2523.9900</t>
  </si>
  <si>
    <t xml:space="preserve">2139.90</t>
  </si>
  <si>
    <t xml:space="preserve">Data Communication Analyst/Network Administrator</t>
  </si>
  <si>
    <t xml:space="preserve">2523.0100</t>
  </si>
  <si>
    <t xml:space="preserve">2131.20</t>
  </si>
  <si>
    <t xml:space="preserve">Tester/Test Engineer – Hardware</t>
  </si>
  <si>
    <t xml:space="preserve">2523.0301</t>
  </si>
  <si>
    <t xml:space="preserve">Concrete Moulder</t>
  </si>
  <si>
    <t xml:space="preserve">7114.0100</t>
  </si>
  <si>
    <t xml:space="preserve">7123.10</t>
  </si>
  <si>
    <t xml:space="preserve">Cement Finisher</t>
  </si>
  <si>
    <t xml:space="preserve">7114.0200</t>
  </si>
  <si>
    <t xml:space="preserve">7123.20</t>
  </si>
  <si>
    <t xml:space="preserve">Concrete Placers, Concrete Finishers and Related Workers, Other</t>
  </si>
  <si>
    <t xml:space="preserve">7114.9900</t>
  </si>
  <si>
    <t xml:space="preserve">7123.90</t>
  </si>
  <si>
    <t xml:space="preserve">Manager, Construction/Manager Construction Projects</t>
  </si>
  <si>
    <t xml:space="preserve">1323.0100</t>
  </si>
  <si>
    <t xml:space="preserve">1223.10</t>
  </si>
  <si>
    <t xml:space="preserve">Manager, Land Survey</t>
  </si>
  <si>
    <t xml:space="preserve">1323.0200</t>
  </si>
  <si>
    <t xml:space="preserve">1223.20</t>
  </si>
  <si>
    <t xml:space="preserve">General Manager, Construction/General Manager Construction Projects</t>
  </si>
  <si>
    <t xml:space="preserve">1323.0300</t>
  </si>
  <si>
    <t xml:space="preserve">1303.10</t>
  </si>
  <si>
    <t xml:space="preserve">Construction Managers, Other</t>
  </si>
  <si>
    <t xml:space="preserve">1323.9900</t>
  </si>
  <si>
    <t xml:space="preserve">1303.90</t>
  </si>
  <si>
    <t xml:space="preserve">Work Supervisor, Construction</t>
  </si>
  <si>
    <t xml:space="preserve">3123.0100</t>
  </si>
  <si>
    <t xml:space="preserve">7138.10</t>
  </si>
  <si>
    <t xml:space="preserve">Supervisors and Foremen and Related Trades Workers in Painting, Building Structure Cleaning, Other</t>
  </si>
  <si>
    <t xml:space="preserve">3123.9900</t>
  </si>
  <si>
    <t xml:space="preserve">7148.90</t>
  </si>
  <si>
    <t xml:space="preserve">Supervisor and Foreman, Insulation</t>
  </si>
  <si>
    <t xml:space="preserve">3123.0200</t>
  </si>
  <si>
    <t xml:space="preserve">7138.20</t>
  </si>
  <si>
    <t xml:space="preserve">Supervisor and Foreman, Plumbing and Pipe Fitting</t>
  </si>
  <si>
    <t xml:space="preserve">3123.0300</t>
  </si>
  <si>
    <t xml:space="preserve">7138.30</t>
  </si>
  <si>
    <t xml:space="preserve">Plumbing Foreman</t>
  </si>
  <si>
    <t xml:space="preserve">3123.0301</t>
  </si>
  <si>
    <t xml:space="preserve">Plumbing Supervisor</t>
  </si>
  <si>
    <t xml:space="preserve">3123.0302</t>
  </si>
  <si>
    <t xml:space="preserve">Electrical Supervisor, Wiring,</t>
  </si>
  <si>
    <t xml:space="preserve">3123.0400</t>
  </si>
  <si>
    <t xml:space="preserve">7138.40</t>
  </si>
  <si>
    <t xml:space="preserve">Supervisor and Foreman, Painting</t>
  </si>
  <si>
    <t xml:space="preserve">3123.0500</t>
  </si>
  <si>
    <t xml:space="preserve">7148.10</t>
  </si>
  <si>
    <t xml:space="preserve">Painting and Surface Treatment Line In-Charge</t>
  </si>
  <si>
    <t xml:space="preserve">3123.0600</t>
  </si>
  <si>
    <t xml:space="preserve">Painting Supervisor</t>
  </si>
  <si>
    <t xml:space="preserve">3123.0700</t>
  </si>
  <si>
    <t xml:space="preserve">Technical Support Executive – Non-Voice</t>
  </si>
  <si>
    <t xml:space="preserve">4222.0101</t>
  </si>
  <si>
    <t xml:space="preserve">Technical Support Executive – Voice</t>
  </si>
  <si>
    <t xml:space="preserve">4222.0102</t>
  </si>
  <si>
    <t xml:space="preserve">Operator, Call Centre</t>
  </si>
  <si>
    <t xml:space="preserve">5244.0100</t>
  </si>
  <si>
    <t xml:space="preserve">5220.22</t>
  </si>
  <si>
    <t xml:space="preserve">CRM Domestic Voice</t>
  </si>
  <si>
    <t xml:space="preserve">5244.0101</t>
  </si>
  <si>
    <t xml:space="preserve">Customer Care Executive</t>
  </si>
  <si>
    <t xml:space="preserve">5244.0301</t>
  </si>
  <si>
    <t xml:space="preserve">Remote Helpdesk Technician</t>
  </si>
  <si>
    <t xml:space="preserve">5244.0302</t>
  </si>
  <si>
    <t xml:space="preserve">Customer Care Executive (Call Centre)</t>
  </si>
  <si>
    <t xml:space="preserve">5244.0303</t>
  </si>
  <si>
    <t xml:space="preserve">Customer Relation Executive</t>
  </si>
  <si>
    <t xml:space="preserve">5244.0103</t>
  </si>
  <si>
    <t xml:space="preserve">CRM Domestic Non-Voice</t>
  </si>
  <si>
    <t xml:space="preserve">5244.0201</t>
  </si>
  <si>
    <t xml:space="preserve">Associate Customer Care (Non-Voice)</t>
  </si>
  <si>
    <t xml:space="preserve">5244.0202</t>
  </si>
  <si>
    <t xml:space="preserve">Collections Executive</t>
  </si>
  <si>
    <t xml:space="preserve">5244.0203</t>
  </si>
  <si>
    <t xml:space="preserve">Associate – CRM</t>
  </si>
  <si>
    <t xml:space="preserve">5244.0102</t>
  </si>
  <si>
    <t xml:space="preserve">Cook, Institutional</t>
  </si>
  <si>
    <t xml:space="preserve">5120.0200</t>
  </si>
  <si>
    <t xml:space="preserve">5122.20</t>
  </si>
  <si>
    <t xml:space="preserve">Cook, Domestic</t>
  </si>
  <si>
    <t xml:space="preserve">5120.0300</t>
  </si>
  <si>
    <t xml:space="preserve">5122.30</t>
  </si>
  <si>
    <t xml:space="preserve">Cook, Ship</t>
  </si>
  <si>
    <t xml:space="preserve">5120.0400</t>
  </si>
  <si>
    <t xml:space="preserve">5122.40</t>
  </si>
  <si>
    <t xml:space="preserve">Kitchen Porter/Steward</t>
  </si>
  <si>
    <t xml:space="preserve">5120.0500</t>
  </si>
  <si>
    <t xml:space="preserve">5122.50</t>
  </si>
  <si>
    <t xml:space="preserve">Pantry Man</t>
  </si>
  <si>
    <t xml:space="preserve">5120.0600</t>
  </si>
  <si>
    <t xml:space="preserve">5122.60</t>
  </si>
  <si>
    <t xml:space="preserve">Cooks, Other</t>
  </si>
  <si>
    <t xml:space="preserve">5120.9900</t>
  </si>
  <si>
    <t xml:space="preserve">5122.90</t>
  </si>
  <si>
    <t xml:space="preserve">Mobile Crane Operator</t>
  </si>
  <si>
    <t xml:space="preserve">8343.0500</t>
  </si>
  <si>
    <t xml:space="preserve">8333.18</t>
  </si>
  <si>
    <t xml:space="preserve">EOT Crane Operator</t>
  </si>
  <si>
    <t xml:space="preserve">8343.0501</t>
  </si>
  <si>
    <t xml:space="preserve">Crane Operator, Gantry</t>
  </si>
  <si>
    <t xml:space="preserve">8343.0600</t>
  </si>
  <si>
    <t xml:space="preserve">8333.20</t>
  </si>
  <si>
    <t xml:space="preserve">Overhead Crane Operator</t>
  </si>
  <si>
    <t xml:space="preserve">8343.0700</t>
  </si>
  <si>
    <t xml:space="preserve">8333.22</t>
  </si>
  <si>
    <t xml:space="preserve">Derrick Crane Operator</t>
  </si>
  <si>
    <t xml:space="preserve">8343.0800</t>
  </si>
  <si>
    <t xml:space="preserve">8333.24</t>
  </si>
  <si>
    <t xml:space="preserve">Derrick Crane Operator, Magnetic</t>
  </si>
  <si>
    <t xml:space="preserve">8343.0900</t>
  </si>
  <si>
    <t xml:space="preserve">8333.28</t>
  </si>
  <si>
    <t xml:space="preserve">Crane Driver, Hammer Head</t>
  </si>
  <si>
    <t xml:space="preserve">8343.1000</t>
  </si>
  <si>
    <t xml:space="preserve">8333.30</t>
  </si>
  <si>
    <t xml:space="preserve">Driver, Steam Crane</t>
  </si>
  <si>
    <t xml:space="preserve">8343.0100</t>
  </si>
  <si>
    <t xml:space="preserve">8333.10</t>
  </si>
  <si>
    <t xml:space="preserve">Crane Operator, Diesel Electric</t>
  </si>
  <si>
    <t xml:space="preserve">8343.0200</t>
  </si>
  <si>
    <t xml:space="preserve">8333.12</t>
  </si>
  <si>
    <t xml:space="preserve">Crane Operator, Pneumatic</t>
  </si>
  <si>
    <t xml:space="preserve">8343.0300</t>
  </si>
  <si>
    <t xml:space="preserve">8333.14</t>
  </si>
  <si>
    <t xml:space="preserve">Crane Operator, Hydraulic</t>
  </si>
  <si>
    <t xml:space="preserve">8343.0400</t>
  </si>
  <si>
    <t xml:space="preserve">8333.16</t>
  </si>
  <si>
    <t xml:space="preserve">Winchman</t>
  </si>
  <si>
    <t xml:space="preserve">8343.1100</t>
  </si>
  <si>
    <t xml:space="preserve">8333.32</t>
  </si>
  <si>
    <t xml:space="preserve">Hoist Operator</t>
  </si>
  <si>
    <t xml:space="preserve">8343.1200</t>
  </si>
  <si>
    <t xml:space="preserve">8333.35</t>
  </si>
  <si>
    <t xml:space="preserve">Bridge Opening Operator</t>
  </si>
  <si>
    <t xml:space="preserve">8343.1300</t>
  </si>
  <si>
    <t xml:space="preserve">8333.38</t>
  </si>
  <si>
    <t xml:space="preserve">Winding Engineman</t>
  </si>
  <si>
    <t xml:space="preserve">8343.1400</t>
  </si>
  <si>
    <t xml:space="preserve">8333.40</t>
  </si>
  <si>
    <t xml:space="preserve">Haulage Engine Driver</t>
  </si>
  <si>
    <t xml:space="preserve">8343.1500</t>
  </si>
  <si>
    <t xml:space="preserve">8333.50</t>
  </si>
  <si>
    <t xml:space="preserve">Crane and Hoist Operators, Other</t>
  </si>
  <si>
    <t xml:space="preserve">8343.1600</t>
  </si>
  <si>
    <t xml:space="preserve">8333.60</t>
  </si>
  <si>
    <t xml:space="preserve">Aerial Ropeway Operator</t>
  </si>
  <si>
    <t xml:space="preserve">8343.1700</t>
  </si>
  <si>
    <t xml:space="preserve">8333.65</t>
  </si>
  <si>
    <t xml:space="preserve">Liftman</t>
  </si>
  <si>
    <t xml:space="preserve">8343.1800</t>
  </si>
  <si>
    <t xml:space="preserve">8333.70</t>
  </si>
  <si>
    <t xml:space="preserve">Crane, Hoist and Related Plant Operators, Other</t>
  </si>
  <si>
    <t xml:space="preserve">8343.9900</t>
  </si>
  <si>
    <t xml:space="preserve">8333.90</t>
  </si>
  <si>
    <t xml:space="preserve">Rope Dancer</t>
  </si>
  <si>
    <t xml:space="preserve">2659.0100</t>
  </si>
  <si>
    <t xml:space="preserve">3474.10</t>
  </si>
  <si>
    <t xml:space="preserve">Acrobat</t>
  </si>
  <si>
    <t xml:space="preserve">2659.0200</t>
  </si>
  <si>
    <t xml:space="preserve">3474.15</t>
  </si>
  <si>
    <t xml:space="preserve">Equestrian</t>
  </si>
  <si>
    <t xml:space="preserve">2659.0300</t>
  </si>
  <si>
    <t xml:space="preserve">3474.20</t>
  </si>
  <si>
    <t xml:space="preserve">Contortionist</t>
  </si>
  <si>
    <t xml:space="preserve">2659.0400</t>
  </si>
  <si>
    <t xml:space="preserve">3474.30</t>
  </si>
  <si>
    <t xml:space="preserve">Circus Performers, Other</t>
  </si>
  <si>
    <t xml:space="preserve">2659.0500</t>
  </si>
  <si>
    <t xml:space="preserve">3474.35</t>
  </si>
  <si>
    <t xml:space="preserve">Ventriloquist</t>
  </si>
  <si>
    <t xml:space="preserve">2659.0600</t>
  </si>
  <si>
    <t xml:space="preserve">3474.40</t>
  </si>
  <si>
    <t xml:space="preserve">Buffoon; Clown</t>
  </si>
  <si>
    <t xml:space="preserve">2659.0700</t>
  </si>
  <si>
    <t xml:space="preserve">3474.42</t>
  </si>
  <si>
    <t xml:space="preserve">Mimic</t>
  </si>
  <si>
    <t xml:space="preserve">2659.0800</t>
  </si>
  <si>
    <t xml:space="preserve">3474.45</t>
  </si>
  <si>
    <t xml:space="preserve">Magician</t>
  </si>
  <si>
    <t xml:space="preserve">2659.0900</t>
  </si>
  <si>
    <t xml:space="preserve">3474.50</t>
  </si>
  <si>
    <t xml:space="preserve">Juggler</t>
  </si>
  <si>
    <t xml:space="preserve">2659.1000</t>
  </si>
  <si>
    <t xml:space="preserve">3474.55</t>
  </si>
  <si>
    <t xml:space="preserve">Snake Charmer</t>
  </si>
  <si>
    <t xml:space="preserve">2659.1100</t>
  </si>
  <si>
    <t xml:space="preserve">3474.70</t>
  </si>
  <si>
    <t xml:space="preserve">Puppeteer</t>
  </si>
  <si>
    <t xml:space="preserve">2659.1200</t>
  </si>
  <si>
    <t xml:space="preserve">3474.75</t>
  </si>
  <si>
    <t xml:space="preserve">Trainer, Animal</t>
  </si>
  <si>
    <t xml:space="preserve">2659.1300</t>
  </si>
  <si>
    <t xml:space="preserve">3474.60</t>
  </si>
  <si>
    <t xml:space="preserve">Race Horse Trainer</t>
  </si>
  <si>
    <t xml:space="preserve">2659.1400</t>
  </si>
  <si>
    <t xml:space="preserve">3474.65</t>
  </si>
  <si>
    <t xml:space="preserve">Finance Agent</t>
  </si>
  <si>
    <t xml:space="preserve">3312.0100</t>
  </si>
  <si>
    <t xml:space="preserve">3411.50</t>
  </si>
  <si>
    <t xml:space="preserve">Loan Approval Officer</t>
  </si>
  <si>
    <t xml:space="preserve">3312.0101</t>
  </si>
  <si>
    <t xml:space="preserve">Credit and Loan Officers, Other</t>
  </si>
  <si>
    <t xml:space="preserve">3312.9900</t>
  </si>
  <si>
    <t xml:space="preserve">Ploughman</t>
  </si>
  <si>
    <t xml:space="preserve">9211.0100</t>
  </si>
  <si>
    <t xml:space="preserve">9201.10</t>
  </si>
  <si>
    <t xml:space="preserve">Labourer, Agriculture</t>
  </si>
  <si>
    <t xml:space="preserve">9211.0200</t>
  </si>
  <si>
    <t xml:space="preserve">9201.20</t>
  </si>
  <si>
    <t xml:space="preserve">Picker (Tobacco)</t>
  </si>
  <si>
    <t xml:space="preserve">9211.0300</t>
  </si>
  <si>
    <t xml:space="preserve">9201.30</t>
  </si>
  <si>
    <t xml:space="preserve">Farm Hands and Labourers, Other</t>
  </si>
  <si>
    <t xml:space="preserve">9211.9900</t>
  </si>
  <si>
    <t xml:space="preserve">9201.90</t>
  </si>
  <si>
    <t xml:space="preserve">Pulveriser Operator</t>
  </si>
  <si>
    <t xml:space="preserve">8112.0200</t>
  </si>
  <si>
    <t xml:space="preserve">8112.15</t>
  </si>
  <si>
    <t xml:space="preserve">Stamp Mill Operator</t>
  </si>
  <si>
    <t xml:space="preserve">8112.0300</t>
  </si>
  <si>
    <t xml:space="preserve">8112.20</t>
  </si>
  <si>
    <t xml:space="preserve">Cynideman</t>
  </si>
  <si>
    <t xml:space="preserve">8112.0400</t>
  </si>
  <si>
    <t xml:space="preserve">8112.30</t>
  </si>
  <si>
    <t xml:space="preserve">Precipitator</t>
  </si>
  <si>
    <t xml:space="preserve">8112.0500</t>
  </si>
  <si>
    <t xml:space="preserve">8112.40</t>
  </si>
  <si>
    <t xml:space="preserve">Washing Plant Operator</t>
  </si>
  <si>
    <t xml:space="preserve">8112.0600</t>
  </si>
  <si>
    <t xml:space="preserve">8112.45</t>
  </si>
  <si>
    <t xml:space="preserve">Stone Sawyer, Machine</t>
  </si>
  <si>
    <t xml:space="preserve">8112.0700</t>
  </si>
  <si>
    <t xml:space="preserve">8112.50</t>
  </si>
  <si>
    <t xml:space="preserve">Stone Cutter, Machine</t>
  </si>
  <si>
    <t xml:space="preserve">8112.0800</t>
  </si>
  <si>
    <t xml:space="preserve">8112.55</t>
  </si>
  <si>
    <t xml:space="preserve">Stone Polisher, Machine</t>
  </si>
  <si>
    <t xml:space="preserve">8112.0900</t>
  </si>
  <si>
    <t xml:space="preserve">8112.60</t>
  </si>
  <si>
    <t xml:space="preserve">Pipe Machineman, Stoneware</t>
  </si>
  <si>
    <t xml:space="preserve">8112.1000</t>
  </si>
  <si>
    <t xml:space="preserve">8112.62</t>
  </si>
  <si>
    <t xml:space="preserve">Thread Cutting Machine Operator, Stoneware</t>
  </si>
  <si>
    <t xml:space="preserve">8112.1100</t>
  </si>
  <si>
    <t xml:space="preserve">8112.65</t>
  </si>
  <si>
    <t xml:space="preserve">Cone Operator (Mine &amp; Quarry)</t>
  </si>
  <si>
    <t xml:space="preserve">8112.1200</t>
  </si>
  <si>
    <t xml:space="preserve">8112.70</t>
  </si>
  <si>
    <t xml:space="preserve">Mineral and Stone Processing Plant Operators, Other</t>
  </si>
  <si>
    <t xml:space="preserve">8112.9900</t>
  </si>
  <si>
    <t xml:space="preserve">8112.90</t>
  </si>
  <si>
    <t xml:space="preserve">Inspector, Customs</t>
  </si>
  <si>
    <t xml:space="preserve">3351.0100</t>
  </si>
  <si>
    <t xml:space="preserve">3441.10</t>
  </si>
  <si>
    <t xml:space="preserve">Supervisor, Customs</t>
  </si>
  <si>
    <t xml:space="preserve">3351.0200</t>
  </si>
  <si>
    <t xml:space="preserve">3441.20</t>
  </si>
  <si>
    <t xml:space="preserve">Searcher</t>
  </si>
  <si>
    <t xml:space="preserve">3351.0300</t>
  </si>
  <si>
    <t xml:space="preserve">3441.30</t>
  </si>
  <si>
    <t xml:space="preserve">Customs and Border Inspectors, Other</t>
  </si>
  <si>
    <t xml:space="preserve">3351.9900</t>
  </si>
  <si>
    <t xml:space="preserve">3441.90</t>
  </si>
  <si>
    <t xml:space="preserve">Dairy Worker, General</t>
  </si>
  <si>
    <t xml:space="preserve">7513.0100</t>
  </si>
  <si>
    <t xml:space="preserve">7413.10</t>
  </si>
  <si>
    <t xml:space="preserve">Separator Man</t>
  </si>
  <si>
    <t xml:space="preserve">7513.0200</t>
  </si>
  <si>
    <t xml:space="preserve">7413.20</t>
  </si>
  <si>
    <t xml:space="preserve">Butter Maker</t>
  </si>
  <si>
    <t xml:space="preserve">7513.0300</t>
  </si>
  <si>
    <t xml:space="preserve">7413.30</t>
  </si>
  <si>
    <t xml:space="preserve">Cheese Maker</t>
  </si>
  <si>
    <t xml:space="preserve">7513.0400</t>
  </si>
  <si>
    <t xml:space="preserve">7413.40</t>
  </si>
  <si>
    <t xml:space="preserve">Ice-Cream Maker</t>
  </si>
  <si>
    <t xml:space="preserve">7513.0500</t>
  </si>
  <si>
    <t xml:space="preserve">7413.50</t>
  </si>
  <si>
    <t xml:space="preserve">Dairy Products Makers, Others</t>
  </si>
  <si>
    <t xml:space="preserve">7513.9900</t>
  </si>
  <si>
    <t xml:space="preserve">7413.90</t>
  </si>
  <si>
    <t xml:space="preserve">Choreographer</t>
  </si>
  <si>
    <t xml:space="preserve">2653.0100</t>
  </si>
  <si>
    <t xml:space="preserve">2454.10</t>
  </si>
  <si>
    <t xml:space="preserve">Nattuvan</t>
  </si>
  <si>
    <t xml:space="preserve">2653.0200</t>
  </si>
  <si>
    <t xml:space="preserve">2454.20</t>
  </si>
  <si>
    <t xml:space="preserve">Dancer</t>
  </si>
  <si>
    <t xml:space="preserve">2653.0300</t>
  </si>
  <si>
    <t xml:space="preserve">2454.30</t>
  </si>
  <si>
    <t xml:space="preserve">Choreographers and Dancers, Other</t>
  </si>
  <si>
    <t xml:space="preserve">2653.9900</t>
  </si>
  <si>
    <t xml:space="preserve">2454.90</t>
  </si>
  <si>
    <t xml:space="preserve">Domestic Data Entry Operator</t>
  </si>
  <si>
    <t xml:space="preserve">4132.0402</t>
  </si>
  <si>
    <t xml:space="preserve">Coding Machine Operator</t>
  </si>
  <si>
    <t xml:space="preserve">4132.0600</t>
  </si>
  <si>
    <t xml:space="preserve">4113.50</t>
  </si>
  <si>
    <t xml:space="preserve">Duplicating Machine Operator/Photocopier</t>
  </si>
  <si>
    <t xml:space="preserve">4132.0800</t>
  </si>
  <si>
    <t xml:space="preserve">4113.65</t>
  </si>
  <si>
    <t xml:space="preserve">Embossing Machine Operator</t>
  </si>
  <si>
    <t xml:space="preserve">4132.0900</t>
  </si>
  <si>
    <t xml:space="preserve">4113.70</t>
  </si>
  <si>
    <t xml:space="preserve">Addressing Machine Operator</t>
  </si>
  <si>
    <t xml:space="preserve">4132.1000</t>
  </si>
  <si>
    <t xml:space="preserve">4113.80</t>
  </si>
  <si>
    <t xml:space="preserve">Bookkeeping Machine Operator</t>
  </si>
  <si>
    <t xml:space="preserve">4132.1300</t>
  </si>
  <si>
    <t xml:space="preserve">4114.30</t>
  </si>
  <si>
    <t xml:space="preserve">Bill Processing Clerk</t>
  </si>
  <si>
    <t xml:space="preserve">4132.1400</t>
  </si>
  <si>
    <t xml:space="preserve">4114.40</t>
  </si>
  <si>
    <t xml:space="preserve">Data Entry Clerks, Other</t>
  </si>
  <si>
    <t xml:space="preserve">4132.9900</t>
  </si>
  <si>
    <t xml:space="preserve">4114.90</t>
  </si>
  <si>
    <t xml:space="preserve">Data Entry Machine Operator</t>
  </si>
  <si>
    <t xml:space="preserve">4132.0401</t>
  </si>
  <si>
    <t xml:space="preserve">4113.35</t>
  </si>
  <si>
    <t xml:space="preserve">Database Design Analyst</t>
  </si>
  <si>
    <t xml:space="preserve">2521.0100</t>
  </si>
  <si>
    <t xml:space="preserve">2139.20</t>
  </si>
  <si>
    <t xml:space="preserve">Junior Data Associate</t>
  </si>
  <si>
    <t xml:space="preserve">2521.0202</t>
  </si>
  <si>
    <t xml:space="preserve">Bill Collector</t>
  </si>
  <si>
    <t xml:space="preserve">4214.0100</t>
  </si>
  <si>
    <t xml:space="preserve">4215.10</t>
  </si>
  <si>
    <t xml:space="preserve">Debt Recovery Agents</t>
  </si>
  <si>
    <t xml:space="preserve">4214.0201</t>
  </si>
  <si>
    <t xml:space="preserve">Debt Collectors and Related Workers, Other</t>
  </si>
  <si>
    <t xml:space="preserve">4214.9900</t>
  </si>
  <si>
    <t xml:space="preserve">4215.90</t>
  </si>
  <si>
    <t xml:space="preserve">Deep Sea Fishery Workers, Other</t>
  </si>
  <si>
    <t xml:space="preserve">6223.9900</t>
  </si>
  <si>
    <t xml:space="preserve">6153.90</t>
  </si>
  <si>
    <t xml:space="preserve">Fisherman, Deep Sea/Marine Capture Fisherman</t>
  </si>
  <si>
    <t xml:space="preserve">6223.0101</t>
  </si>
  <si>
    <t xml:space="preserve">6153.10</t>
  </si>
  <si>
    <t xml:space="preserve">Dental Assistant</t>
  </si>
  <si>
    <t xml:space="preserve">3251.0101</t>
  </si>
  <si>
    <t xml:space="preserve">3225.10</t>
  </si>
  <si>
    <t xml:space="preserve">Dental Assistants and Therapists, Other</t>
  </si>
  <si>
    <t xml:space="preserve">3251.9900</t>
  </si>
  <si>
    <t xml:space="preserve">3225.90</t>
  </si>
  <si>
    <t xml:space="preserve">Dentist</t>
  </si>
  <si>
    <t xml:space="preserve">2261.0100</t>
  </si>
  <si>
    <t xml:space="preserve">2225.10</t>
  </si>
  <si>
    <t xml:space="preserve">Oral and Maxillofacial Surgeon</t>
  </si>
  <si>
    <t xml:space="preserve">2261.0200</t>
  </si>
  <si>
    <t xml:space="preserve">2225.20</t>
  </si>
  <si>
    <t xml:space="preserve">Orthodontist</t>
  </si>
  <si>
    <t xml:space="preserve">2261.0300</t>
  </si>
  <si>
    <t xml:space="preserve">2225.30</t>
  </si>
  <si>
    <t xml:space="preserve">Periodontist</t>
  </si>
  <si>
    <t xml:space="preserve">2261.0400</t>
  </si>
  <si>
    <t xml:space="preserve">2225.40</t>
  </si>
  <si>
    <t xml:space="preserve">Prosthodontist</t>
  </si>
  <si>
    <t xml:space="preserve">2261.0500</t>
  </si>
  <si>
    <t xml:space="preserve">2225.50</t>
  </si>
  <si>
    <t xml:space="preserve">Paediatric Dentist</t>
  </si>
  <si>
    <t xml:space="preserve">2261.0600</t>
  </si>
  <si>
    <t xml:space="preserve">2225.60</t>
  </si>
  <si>
    <t xml:space="preserve">Dental Specialists, Other</t>
  </si>
  <si>
    <t xml:space="preserve">2261.9900</t>
  </si>
  <si>
    <t xml:space="preserve">2225.90</t>
  </si>
  <si>
    <t xml:space="preserve">Dietician Assistant</t>
  </si>
  <si>
    <t xml:space="preserve">2265.0201</t>
  </si>
  <si>
    <t xml:space="preserve">Animal Nutritionist</t>
  </si>
  <si>
    <t xml:space="preserve">2265.0300</t>
  </si>
  <si>
    <t xml:space="preserve">3223.30</t>
  </si>
  <si>
    <t xml:space="preserve">Dieticians and Nutritionists, Other</t>
  </si>
  <si>
    <t xml:space="preserve">2265.9900</t>
  </si>
  <si>
    <t xml:space="preserve">3223.90</t>
  </si>
  <si>
    <t xml:space="preserve">Nutritionist, General</t>
  </si>
  <si>
    <t xml:space="preserve">2265.0100</t>
  </si>
  <si>
    <t xml:space="preserve">3223.10</t>
  </si>
  <si>
    <t xml:space="preserve">Dietician, General</t>
  </si>
  <si>
    <t xml:space="preserve">2265.0200</t>
  </si>
  <si>
    <t xml:space="preserve">3223.20</t>
  </si>
  <si>
    <t xml:space="preserve">Optician, General</t>
  </si>
  <si>
    <t xml:space="preserve">3254.0100</t>
  </si>
  <si>
    <t xml:space="preserve">3224.10</t>
  </si>
  <si>
    <t xml:space="preserve">Optician, Contact Lens</t>
  </si>
  <si>
    <t xml:space="preserve">3254.0200</t>
  </si>
  <si>
    <t xml:space="preserve">3224.20</t>
  </si>
  <si>
    <t xml:space="preserve">Dispensing Opticians, Other</t>
  </si>
  <si>
    <t xml:space="preserve">3254.9900</t>
  </si>
  <si>
    <t xml:space="preserve">Domestic Servant</t>
  </si>
  <si>
    <t xml:space="preserve">9111.0100</t>
  </si>
  <si>
    <t xml:space="preserve">9131.10</t>
  </si>
  <si>
    <t xml:space="preserve">Char Dust Cleaner and Salvager</t>
  </si>
  <si>
    <t xml:space="preserve">9111.0200</t>
  </si>
  <si>
    <t xml:space="preserve">9131.20</t>
  </si>
  <si>
    <t xml:space="preserve">Cleaner, Home Restoration Service</t>
  </si>
  <si>
    <t xml:space="preserve">9111.0300</t>
  </si>
  <si>
    <t xml:space="preserve">9131.30</t>
  </si>
  <si>
    <t xml:space="preserve">Domestic and Related Helpers, Cleaners and Launderers, Other</t>
  </si>
  <si>
    <t xml:space="preserve">9111.9900</t>
  </si>
  <si>
    <t xml:space="preserve">9131.90</t>
  </si>
  <si>
    <t xml:space="preserve">Domestic Housekeepers, Others</t>
  </si>
  <si>
    <t xml:space="preserve">5152.9900</t>
  </si>
  <si>
    <t xml:space="preserve">Housekeeper (Domestic)</t>
  </si>
  <si>
    <t xml:space="preserve">5152.0100</t>
  </si>
  <si>
    <t xml:space="preserve">5121.20</t>
  </si>
  <si>
    <t xml:space="preserve">Home Deliveryman</t>
  </si>
  <si>
    <t xml:space="preserve">5243.0300</t>
  </si>
  <si>
    <t xml:space="preserve">9113.30</t>
  </si>
  <si>
    <t xml:space="preserve">Distributor Sales Representative</t>
  </si>
  <si>
    <t xml:space="preserve">5243.0401</t>
  </si>
  <si>
    <t xml:space="preserve">Field Sales Executive (FSE)</t>
  </si>
  <si>
    <t xml:space="preserve">5243.0501</t>
  </si>
  <si>
    <t xml:space="preserve">Sales Executive (Broadband)</t>
  </si>
  <si>
    <t xml:space="preserve">5243.0502</t>
  </si>
  <si>
    <t xml:space="preserve">Door-to-Door and Telephone Sales Persons, Other</t>
  </si>
  <si>
    <t xml:space="preserve">5243.9900</t>
  </si>
  <si>
    <t xml:space="preserve">9113.90</t>
  </si>
  <si>
    <t xml:space="preserve">Newspaper Boy</t>
  </si>
  <si>
    <t xml:space="preserve">5243.0100</t>
  </si>
  <si>
    <t xml:space="preserve">9113.10</t>
  </si>
  <si>
    <t xml:space="preserve">Order Supplier/Supplier</t>
  </si>
  <si>
    <t xml:space="preserve">5243.0200</t>
  </si>
  <si>
    <t xml:space="preserve">9113.20</t>
  </si>
  <si>
    <t xml:space="preserve">Draftsman</t>
  </si>
  <si>
    <t xml:space="preserve">3118.0301</t>
  </si>
  <si>
    <t xml:space="preserve">Physical Design Engineer</t>
  </si>
  <si>
    <t xml:space="preserve">3118.0302</t>
  </si>
  <si>
    <t xml:space="preserve">Draughtperson, Mechanical</t>
  </si>
  <si>
    <t xml:space="preserve">3118.0401</t>
  </si>
  <si>
    <t xml:space="preserve">3118.40</t>
  </si>
  <si>
    <t xml:space="preserve">Draughtperson, Structural</t>
  </si>
  <si>
    <t xml:space="preserve">3118.0500</t>
  </si>
  <si>
    <t xml:space="preserve">3118.50</t>
  </si>
  <si>
    <t xml:space="preserve">Draughtperson, Topographical</t>
  </si>
  <si>
    <t xml:space="preserve">3118.0600</t>
  </si>
  <si>
    <t xml:space="preserve">3118.60</t>
  </si>
  <si>
    <t xml:space="preserve">Lithographic Designer</t>
  </si>
  <si>
    <t xml:space="preserve">3118.0700</t>
  </si>
  <si>
    <t xml:space="preserve">3118.70</t>
  </si>
  <si>
    <t xml:space="preserve">Draughtperson, Architectural</t>
  </si>
  <si>
    <t xml:space="preserve">3118.0100</t>
  </si>
  <si>
    <t xml:space="preserve">3118.10</t>
  </si>
  <si>
    <t xml:space="preserve">Draughtperson, Civil</t>
  </si>
  <si>
    <t xml:space="preserve">3118.0200</t>
  </si>
  <si>
    <t xml:space="preserve">3118.20</t>
  </si>
  <si>
    <t xml:space="preserve">Plumbing Draftsman</t>
  </si>
  <si>
    <t xml:space="preserve">3118.0201</t>
  </si>
  <si>
    <t xml:space="preserve">Draughtperson, Electrical</t>
  </si>
  <si>
    <t xml:space="preserve">3118.0300</t>
  </si>
  <si>
    <t xml:space="preserve">3118.30</t>
  </si>
  <si>
    <t xml:space="preserve">Tracer</t>
  </si>
  <si>
    <t xml:space="preserve">3118.0800</t>
  </si>
  <si>
    <t xml:space="preserve">3118.80</t>
  </si>
  <si>
    <t xml:space="preserve">Blue Printer</t>
  </si>
  <si>
    <t xml:space="preserve">3118.0900</t>
  </si>
  <si>
    <t xml:space="preserve">3118.85</t>
  </si>
  <si>
    <t xml:space="preserve">Draughtpersons, Other</t>
  </si>
  <si>
    <t xml:space="preserve">3118.9900</t>
  </si>
  <si>
    <t xml:space="preserve">3118.90</t>
  </si>
  <si>
    <t xml:space="preserve">Draughtsman – Mechanical</t>
  </si>
  <si>
    <t xml:space="preserve">3118.0402</t>
  </si>
  <si>
    <t xml:space="preserve">Horse Carriage Driver</t>
  </si>
  <si>
    <t xml:space="preserve">9332.0100</t>
  </si>
  <si>
    <t xml:space="preserve">9332.10</t>
  </si>
  <si>
    <t xml:space="preserve">Cart Driver</t>
  </si>
  <si>
    <t xml:space="preserve">9332.0200</t>
  </si>
  <si>
    <t xml:space="preserve">9332.20</t>
  </si>
  <si>
    <t xml:space="preserve">Mahout</t>
  </si>
  <si>
    <t xml:space="preserve">9332.0300</t>
  </si>
  <si>
    <t xml:space="preserve">9332.30</t>
  </si>
  <si>
    <t xml:space="preserve">Pack Animal Driver</t>
  </si>
  <si>
    <t xml:space="preserve">9332.0400</t>
  </si>
  <si>
    <t xml:space="preserve">9332.40</t>
  </si>
  <si>
    <t xml:space="preserve">Supervisor, Animal-Drawn and Manually Operated Transport Equipment</t>
  </si>
  <si>
    <t xml:space="preserve">9332.0500</t>
  </si>
  <si>
    <t xml:space="preserve">9332.50</t>
  </si>
  <si>
    <t xml:space="preserve">Animal and Animal Drawn Vehicle Drivers, Other</t>
  </si>
  <si>
    <t xml:space="preserve">9332.9900</t>
  </si>
  <si>
    <t xml:space="preserve">9332.90</t>
  </si>
  <si>
    <t xml:space="preserve">Commercial Vehicle Driver Trainer</t>
  </si>
  <si>
    <t xml:space="preserve">5165.0101</t>
  </si>
  <si>
    <t xml:space="preserve">Teacher, Infant School/Teacher Pre-Primary</t>
  </si>
  <si>
    <t xml:space="preserve">2342.0100</t>
  </si>
  <si>
    <t xml:space="preserve">3320.10</t>
  </si>
  <si>
    <t xml:space="preserve">Pre-Primary Education Teaching Associate Professionals, Other</t>
  </si>
  <si>
    <t xml:space="preserve">2342.9900</t>
  </si>
  <si>
    <t xml:space="preserve">3320.90</t>
  </si>
  <si>
    <t xml:space="preserve">Bulldozer Operator</t>
  </si>
  <si>
    <t xml:space="preserve">8342.0101</t>
  </si>
  <si>
    <t xml:space="preserve">8332.10</t>
  </si>
  <si>
    <t xml:space="preserve">Scrapper Operator</t>
  </si>
  <si>
    <t xml:space="preserve">8342.0200</t>
  </si>
  <si>
    <t xml:space="preserve">8332.12</t>
  </si>
  <si>
    <t xml:space="preserve">Scrapper Loader Operator/Loader Operator</t>
  </si>
  <si>
    <t xml:space="preserve">8342.0301</t>
  </si>
  <si>
    <t xml:space="preserve">8332.14</t>
  </si>
  <si>
    <t xml:space="preserve">Grader Operator</t>
  </si>
  <si>
    <t xml:space="preserve">8342.0400</t>
  </si>
  <si>
    <t xml:space="preserve">8332.16</t>
  </si>
  <si>
    <t xml:space="preserve">Power Shovel Operator/Excavator Operator</t>
  </si>
  <si>
    <t xml:space="preserve">8342.0501</t>
  </si>
  <si>
    <t xml:space="preserve">8332.18</t>
  </si>
  <si>
    <t xml:space="preserve">Bucket Wheel Excavator Operator</t>
  </si>
  <si>
    <t xml:space="preserve">8342.0600</t>
  </si>
  <si>
    <t xml:space="preserve">8332.20</t>
  </si>
  <si>
    <t xml:space="preserve">Road Roller Driver</t>
  </si>
  <si>
    <t xml:space="preserve">8342.1700</t>
  </si>
  <si>
    <t xml:space="preserve">8332.55</t>
  </si>
  <si>
    <t xml:space="preserve">Dragline Operator</t>
  </si>
  <si>
    <t xml:space="preserve">8342.0800</t>
  </si>
  <si>
    <t xml:space="preserve">8332.24</t>
  </si>
  <si>
    <t xml:space="preserve">Bitumen Mixing Machine Operator</t>
  </si>
  <si>
    <t xml:space="preserve">8342.1800</t>
  </si>
  <si>
    <t xml:space="preserve">8332.60</t>
  </si>
  <si>
    <t xml:space="preserve">Dredger Operator</t>
  </si>
  <si>
    <t xml:space="preserve">8342.0900</t>
  </si>
  <si>
    <t xml:space="preserve">8332.26</t>
  </si>
  <si>
    <t xml:space="preserve">Sand Blast Operator, Construction</t>
  </si>
  <si>
    <t xml:space="preserve">8342.1900</t>
  </si>
  <si>
    <t xml:space="preserve">8332.65</t>
  </si>
  <si>
    <t xml:space="preserve">Boom Driver</t>
  </si>
  <si>
    <t xml:space="preserve">8342.1000</t>
  </si>
  <si>
    <t xml:space="preserve">8332.28</t>
  </si>
  <si>
    <t xml:space="preserve">Excavator Operator</t>
  </si>
  <si>
    <t xml:space="preserve">8342.2001</t>
  </si>
  <si>
    <t xml:space="preserve">Pile Driver</t>
  </si>
  <si>
    <t xml:space="preserve">8342.1100</t>
  </si>
  <si>
    <t xml:space="preserve">8332.30</t>
  </si>
  <si>
    <t xml:space="preserve">Mobile Equipment Operator</t>
  </si>
  <si>
    <t xml:space="preserve">8342.2101</t>
  </si>
  <si>
    <t xml:space="preserve">Dumper Operator/Dumper/Tipper Operator</t>
  </si>
  <si>
    <t xml:space="preserve">8342.1201</t>
  </si>
  <si>
    <t xml:space="preserve">8332.32</t>
  </si>
  <si>
    <t xml:space="preserve">Dumper Operator</t>
  </si>
  <si>
    <t xml:space="preserve">8342.1202</t>
  </si>
  <si>
    <t xml:space="preserve">Scoop Truck Operator</t>
  </si>
  <si>
    <t xml:space="preserve">8342.1300</t>
  </si>
  <si>
    <t xml:space="preserve">8332.34</t>
  </si>
  <si>
    <t xml:space="preserve">Tripler Machine Operator</t>
  </si>
  <si>
    <t xml:space="preserve">8342.1400</t>
  </si>
  <si>
    <t xml:space="preserve">8332.36</t>
  </si>
  <si>
    <t xml:space="preserve">Conveyor Operator</t>
  </si>
  <si>
    <t xml:space="preserve">8342.1500</t>
  </si>
  <si>
    <t xml:space="preserve">8332.45</t>
  </si>
  <si>
    <t xml:space="preserve">Spreader Operator</t>
  </si>
  <si>
    <t xml:space="preserve">8342.1600</t>
  </si>
  <si>
    <t xml:space="preserve">8332.50</t>
  </si>
  <si>
    <t xml:space="preserve">Trench Digging Machine Operator</t>
  </si>
  <si>
    <t xml:space="preserve">8342.0700</t>
  </si>
  <si>
    <t xml:space="preserve">8332.22</t>
  </si>
  <si>
    <t xml:space="preserve">Stoking Car Operator Ferro Alloys</t>
  </si>
  <si>
    <t xml:space="preserve">8342.2201</t>
  </si>
  <si>
    <t xml:space="preserve">Earth Moving and Related Plant Operators, Other</t>
  </si>
  <si>
    <t xml:space="preserve">8342.9900</t>
  </si>
  <si>
    <t xml:space="preserve">8332.90</t>
  </si>
  <si>
    <t xml:space="preserve">Economist</t>
  </si>
  <si>
    <t xml:space="preserve">2631.0100</t>
  </si>
  <si>
    <t xml:space="preserve">2441.10</t>
  </si>
  <si>
    <t xml:space="preserve">Energy Economist</t>
  </si>
  <si>
    <t xml:space="preserve">2631.0200</t>
  </si>
  <si>
    <t xml:space="preserve">2441.20</t>
  </si>
  <si>
    <t xml:space="preserve">Home Economist</t>
  </si>
  <si>
    <t xml:space="preserve">2631.0300</t>
  </si>
  <si>
    <t xml:space="preserve">2441.30</t>
  </si>
  <si>
    <t xml:space="preserve">Economists, Other</t>
  </si>
  <si>
    <t xml:space="preserve">2631.9900</t>
  </si>
  <si>
    <t xml:space="preserve">2441.90</t>
  </si>
  <si>
    <t xml:space="preserve">Headmaster</t>
  </si>
  <si>
    <t xml:space="preserve">1345.0100</t>
  </si>
  <si>
    <t xml:space="preserve">1229.20</t>
  </si>
  <si>
    <t xml:space="preserve">School Inspector</t>
  </si>
  <si>
    <t xml:space="preserve">2351.0100</t>
  </si>
  <si>
    <t xml:space="preserve">2332.10</t>
  </si>
  <si>
    <t xml:space="preserve">Education Methods Specialists, Other</t>
  </si>
  <si>
    <t xml:space="preserve">2351.9900</t>
  </si>
  <si>
    <t xml:space="preserve">2331.90</t>
  </si>
  <si>
    <t xml:space="preserve">Assembly Operator (Telephone Equipment Manufacturing)</t>
  </si>
  <si>
    <t xml:space="preserve">8212.0800</t>
  </si>
  <si>
    <t xml:space="preserve">8283.20</t>
  </si>
  <si>
    <t xml:space="preserve">Assembly Operator (Radio Manufacturing)</t>
  </si>
  <si>
    <t xml:space="preserve">8212.0900</t>
  </si>
  <si>
    <t xml:space="preserve">8283.30</t>
  </si>
  <si>
    <t xml:space="preserve">Battery Assembler</t>
  </si>
  <si>
    <t xml:space="preserve">8212.0100</t>
  </si>
  <si>
    <t xml:space="preserve">8282.10</t>
  </si>
  <si>
    <t xml:space="preserve">Assembler Dry Cell (Battery Manufacturing)</t>
  </si>
  <si>
    <t xml:space="preserve">8212.0200</t>
  </si>
  <si>
    <t xml:space="preserve">8282.20</t>
  </si>
  <si>
    <t xml:space="preserve">Battery Repairer</t>
  </si>
  <si>
    <t xml:space="preserve">8212.0300</t>
  </si>
  <si>
    <t xml:space="preserve">8282.30</t>
  </si>
  <si>
    <t xml:space="preserve">Assembler, Electrical Accessories</t>
  </si>
  <si>
    <t xml:space="preserve">8212.0400</t>
  </si>
  <si>
    <t xml:space="preserve">8282.40</t>
  </si>
  <si>
    <t xml:space="preserve">Cutting, Crimping and Connector Assembly Operator</t>
  </si>
  <si>
    <t xml:space="preserve">8212.0401</t>
  </si>
  <si>
    <t xml:space="preserve">Electrical Assembly Operator</t>
  </si>
  <si>
    <t xml:space="preserve">8212.0402</t>
  </si>
  <si>
    <t xml:space="preserve">Electric Motor Winder</t>
  </si>
  <si>
    <t xml:space="preserve">8212.0500</t>
  </si>
  <si>
    <t xml:space="preserve">8282.50</t>
  </si>
  <si>
    <t xml:space="preserve">Calibrator, Electrical</t>
  </si>
  <si>
    <t xml:space="preserve">8212.0600</t>
  </si>
  <si>
    <t xml:space="preserve">8282.60</t>
  </si>
  <si>
    <t xml:space="preserve">Assembler Precision Instrument</t>
  </si>
  <si>
    <t xml:space="preserve">8212.0700</t>
  </si>
  <si>
    <t xml:space="preserve">8283.10</t>
  </si>
  <si>
    <t xml:space="preserve">Form Layer, Cable (Telephone Equipment Manufacturing)</t>
  </si>
  <si>
    <t xml:space="preserve">8212.1000</t>
  </si>
  <si>
    <t xml:space="preserve">8283.40</t>
  </si>
  <si>
    <t xml:space="preserve">Cable Maker, Rack Wiring (Telephone &amp; Telegraph Equipment Manufacturing)</t>
  </si>
  <si>
    <t xml:space="preserve">8212.1100</t>
  </si>
  <si>
    <t xml:space="preserve">8283.50</t>
  </si>
  <si>
    <t xml:space="preserve">Operator, Rack Wiring (Telephone &amp; Telegraph Equipment Manufacturing)</t>
  </si>
  <si>
    <t xml:space="preserve">8212.1200</t>
  </si>
  <si>
    <t xml:space="preserve">8283.60</t>
  </si>
  <si>
    <t xml:space="preserve">RAC Assembly Operator</t>
  </si>
  <si>
    <t xml:space="preserve">8212.1301</t>
  </si>
  <si>
    <t xml:space="preserve">Mechanical Assembly Operator</t>
  </si>
  <si>
    <t xml:space="preserve">8212.1501</t>
  </si>
  <si>
    <t xml:space="preserve">Manual Insertion Operation</t>
  </si>
  <si>
    <t xml:space="preserve">8212.1601</t>
  </si>
  <si>
    <t xml:space="preserve">Through Hole Assembly Operator</t>
  </si>
  <si>
    <t xml:space="preserve">8212.1602</t>
  </si>
  <si>
    <t xml:space="preserve">Pick and Place Assembly Operator</t>
  </si>
  <si>
    <t xml:space="preserve">8212.1603</t>
  </si>
  <si>
    <t xml:space="preserve">Reflow Oven Soldering Operator</t>
  </si>
  <si>
    <t xml:space="preserve">8212.1604</t>
  </si>
  <si>
    <t xml:space="preserve">Pressing Machine Operator</t>
  </si>
  <si>
    <t xml:space="preserve">8212.1806</t>
  </si>
  <si>
    <t xml:space="preserve">Stencil Printing Operator</t>
  </si>
  <si>
    <t xml:space="preserve">8212.1605</t>
  </si>
  <si>
    <t xml:space="preserve">Manual Soldering Technician</t>
  </si>
  <si>
    <t xml:space="preserve">8212.1807</t>
  </si>
  <si>
    <t xml:space="preserve">Component Preparation Operator</t>
  </si>
  <si>
    <t xml:space="preserve">8212.1606</t>
  </si>
  <si>
    <t xml:space="preserve">Wave Soldering Machine Operator</t>
  </si>
  <si>
    <t xml:space="preserve">8212.1808</t>
  </si>
  <si>
    <t xml:space="preserve">Box-Building Assembly Technician</t>
  </si>
  <si>
    <t xml:space="preserve">8212.1607</t>
  </si>
  <si>
    <t xml:space="preserve">Welding Operator</t>
  </si>
  <si>
    <t xml:space="preserve">8212.1901</t>
  </si>
  <si>
    <t xml:space="preserve">Wire Bonding Operator</t>
  </si>
  <si>
    <t xml:space="preserve">8212.1701</t>
  </si>
  <si>
    <t xml:space="preserve">Silicone Painting Operator</t>
  </si>
  <si>
    <t xml:space="preserve">8212.1902</t>
  </si>
  <si>
    <t xml:space="preserve">Die Bonding Operator</t>
  </si>
  <si>
    <t xml:space="preserve">8212.1702</t>
  </si>
  <si>
    <t xml:space="preserve">Assembly Operator Capacitor</t>
  </si>
  <si>
    <t xml:space="preserve">8212.1801</t>
  </si>
  <si>
    <t xml:space="preserve">Winding Operator</t>
  </si>
  <si>
    <t xml:space="preserve">8212.1802</t>
  </si>
  <si>
    <t xml:space="preserve">Vacuum Plant Operator</t>
  </si>
  <si>
    <t xml:space="preserve">8212.1803</t>
  </si>
  <si>
    <t xml:space="preserve">Coating, Curing and Marking Operator</t>
  </si>
  <si>
    <t xml:space="preserve">8212.1804</t>
  </si>
  <si>
    <t xml:space="preserve">Masking Machine Operator</t>
  </si>
  <si>
    <t xml:space="preserve">8212.1805</t>
  </si>
  <si>
    <t xml:space="preserve">Sorting Operator</t>
  </si>
  <si>
    <t xml:space="preserve">8212.1903</t>
  </si>
  <si>
    <t xml:space="preserve">Capping Machine Operator</t>
  </si>
  <si>
    <t xml:space="preserve">8212.1904</t>
  </si>
  <si>
    <t xml:space="preserve">Energy Meter Assembly Operator</t>
  </si>
  <si>
    <t xml:space="preserve">8212.2001</t>
  </si>
  <si>
    <t xml:space="preserve">PLC Assembly Operator</t>
  </si>
  <si>
    <t xml:space="preserve">8212.2002</t>
  </si>
  <si>
    <t xml:space="preserve">UPS Assembly Operator</t>
  </si>
  <si>
    <t xml:space="preserve">8212.2003</t>
  </si>
  <si>
    <t xml:space="preserve">Final Assembly Operator-Magnetics</t>
  </si>
  <si>
    <t xml:space="preserve">8212.2101</t>
  </si>
  <si>
    <t xml:space="preserve">Box Assembly Operator</t>
  </si>
  <si>
    <t xml:space="preserve">8212.2202</t>
  </si>
  <si>
    <t xml:space="preserve">Module Soldering Operator</t>
  </si>
  <si>
    <t xml:space="preserve">8212.2301</t>
  </si>
  <si>
    <t xml:space="preserve">Module Assembly Technician</t>
  </si>
  <si>
    <t xml:space="preserve">8212.2302</t>
  </si>
  <si>
    <t xml:space="preserve">Electrical Technician</t>
  </si>
  <si>
    <t xml:space="preserve">8212.2401</t>
  </si>
  <si>
    <t xml:space="preserve">Inner Layer and Pressing Operator</t>
  </si>
  <si>
    <t xml:space="preserve">8212.2501</t>
  </si>
  <si>
    <t xml:space="preserve">Drilling Operator</t>
  </si>
  <si>
    <t xml:space="preserve">8212.2502</t>
  </si>
  <si>
    <t xml:space="preserve">PCB Assembly Operator</t>
  </si>
  <si>
    <t xml:space="preserve">8212.2701</t>
  </si>
  <si>
    <t xml:space="preserve">Electrical and Electronic Equipment Assemblers, Other</t>
  </si>
  <si>
    <t xml:space="preserve">8212.9900</t>
  </si>
  <si>
    <t xml:space="preserve">8283.90</t>
  </si>
  <si>
    <t xml:space="preserve">Routing Operator</t>
  </si>
  <si>
    <t xml:space="preserve">8212.2503</t>
  </si>
  <si>
    <t xml:space="preserve">Solder Masking &amp; Legend Printing Operator</t>
  </si>
  <si>
    <t xml:space="preserve">8212.2504</t>
  </si>
  <si>
    <t xml:space="preserve">Electronic Sub-Assembly Technician</t>
  </si>
  <si>
    <t xml:space="preserve">8212.2601</t>
  </si>
  <si>
    <t xml:space="preserve">Assembly Operator – PMD and X-Ray</t>
  </si>
  <si>
    <t xml:space="preserve">8212.2201</t>
  </si>
  <si>
    <t xml:space="preserve">Assembly Operator – TV</t>
  </si>
  <si>
    <t xml:space="preserve">8212.1401</t>
  </si>
  <si>
    <t xml:space="preserve">Senior Functioner (Telephone Equipment Manufacturing)</t>
  </si>
  <si>
    <t xml:space="preserve">7419.0100</t>
  </si>
  <si>
    <t xml:space="preserve">7249.10</t>
  </si>
  <si>
    <t xml:space="preserve">Junior Functioner (Telephone Equipment Manufacturing)</t>
  </si>
  <si>
    <t xml:space="preserve">7419.0200</t>
  </si>
  <si>
    <t xml:space="preserve">7249.20</t>
  </si>
  <si>
    <t xml:space="preserve">Wiring Inspector and Bank Tester (Telephone Equipment Manufacturing)</t>
  </si>
  <si>
    <t xml:space="preserve">7419.0300</t>
  </si>
  <si>
    <t xml:space="preserve">7249.30</t>
  </si>
  <si>
    <t xml:space="preserve">Inspector, Assembly (Telephone Equipment Manufacturing)</t>
  </si>
  <si>
    <t xml:space="preserve">7419.0400</t>
  </si>
  <si>
    <t xml:space="preserve">7249.40</t>
  </si>
  <si>
    <t xml:space="preserve">Battery Servicing Man</t>
  </si>
  <si>
    <t xml:space="preserve">7419.0500</t>
  </si>
  <si>
    <t xml:space="preserve">7249.50</t>
  </si>
  <si>
    <t xml:space="preserve">Operator, Impregnation Plant (Telephone Equipment Manufacturing)</t>
  </si>
  <si>
    <t xml:space="preserve">7419.0600</t>
  </si>
  <si>
    <t xml:space="preserve">7249.60</t>
  </si>
  <si>
    <t xml:space="preserve">Electrical and Electronic Equipment Mechanics and Fitters and Related Workers, Othe</t>
  </si>
  <si>
    <t xml:space="preserve">7419.9900</t>
  </si>
  <si>
    <t xml:space="preserve">7249.90</t>
  </si>
  <si>
    <t xml:space="preserve">Electrical Engineering, Technician/Maintenance Technician Electrical</t>
  </si>
  <si>
    <t xml:space="preserve">3113.0101</t>
  </si>
  <si>
    <t xml:space="preserve">3113.10</t>
  </si>
  <si>
    <t xml:space="preserve">Maintenance Technician Electrical</t>
  </si>
  <si>
    <t xml:space="preserve">3113.0102</t>
  </si>
  <si>
    <t xml:space="preserve">Technician Furnace Transformers: Ferro Alloys</t>
  </si>
  <si>
    <t xml:space="preserve">3113.0111</t>
  </si>
  <si>
    <t xml:space="preserve">In-Process and Final Quality Engineer</t>
  </si>
  <si>
    <t xml:space="preserve">3113.0801</t>
  </si>
  <si>
    <t xml:space="preserve">Final Testing Technician</t>
  </si>
  <si>
    <t xml:space="preserve">3113.0802</t>
  </si>
  <si>
    <t xml:space="preserve">Automated Optical Inspection Machine Operator</t>
  </si>
  <si>
    <t xml:space="preserve">3113.0803</t>
  </si>
  <si>
    <t xml:space="preserve">Cluster In-Charge</t>
  </si>
  <si>
    <t xml:space="preserve">3113.0901</t>
  </si>
  <si>
    <t xml:space="preserve">LED Luminaries Testing and Measurement</t>
  </si>
  <si>
    <t xml:space="preserve">3113.1001</t>
  </si>
  <si>
    <t xml:space="preserve">Electrical Technician (High Voltage)</t>
  </si>
  <si>
    <t xml:space="preserve">3113.0200</t>
  </si>
  <si>
    <t xml:space="preserve">3113.20</t>
  </si>
  <si>
    <t xml:space="preserve">LED Light Repair Technician</t>
  </si>
  <si>
    <t xml:space="preserve">3113.1002</t>
  </si>
  <si>
    <t xml:space="preserve">Energy Auditor</t>
  </si>
  <si>
    <t xml:space="preserve">3113.0300</t>
  </si>
  <si>
    <t xml:space="preserve">3113.30</t>
  </si>
  <si>
    <t xml:space="preserve">Machine Maintenance Technician</t>
  </si>
  <si>
    <t xml:space="preserve">3113.0401</t>
  </si>
  <si>
    <t xml:space="preserve">Maintenance Executive</t>
  </si>
  <si>
    <t xml:space="preserve">3113.0501</t>
  </si>
  <si>
    <t xml:space="preserve">Maintenance Technician</t>
  </si>
  <si>
    <t xml:space="preserve">3113.0601</t>
  </si>
  <si>
    <t xml:space="preserve">Customer Inspection Technician</t>
  </si>
  <si>
    <t xml:space="preserve">3113.0701</t>
  </si>
  <si>
    <t xml:space="preserve">Electrical Technicians, Other</t>
  </si>
  <si>
    <t xml:space="preserve">3113.9900</t>
  </si>
  <si>
    <t xml:space="preserve">3113.90</t>
  </si>
  <si>
    <t xml:space="preserve">Electrical Engineer, General</t>
  </si>
  <si>
    <t xml:space="preserve">2151.0100</t>
  </si>
  <si>
    <t xml:space="preserve">2143.10</t>
  </si>
  <si>
    <t xml:space="preserve">LED Light Design Engineer</t>
  </si>
  <si>
    <t xml:space="preserve">2151.0403</t>
  </si>
  <si>
    <t xml:space="preserve">LED Light Design Validation Engineer</t>
  </si>
  <si>
    <t xml:space="preserve">2151.0404</t>
  </si>
  <si>
    <t xml:space="preserve">System Analyst (PCB Design)</t>
  </si>
  <si>
    <t xml:space="preserve">2151.0601</t>
  </si>
  <si>
    <t xml:space="preserve">Systems Designer (PCB Design)</t>
  </si>
  <si>
    <t xml:space="preserve">2151.0602</t>
  </si>
  <si>
    <t xml:space="preserve">Design-For-Manufacture Engineer</t>
  </si>
  <si>
    <t xml:space="preserve">2151.0701</t>
  </si>
  <si>
    <t xml:space="preserve">Designer, Electrical Engineering</t>
  </si>
  <si>
    <t xml:space="preserve">2151.0200</t>
  </si>
  <si>
    <t xml:space="preserve">2143.20</t>
  </si>
  <si>
    <t xml:space="preserve">Electrical Engineers, Other</t>
  </si>
  <si>
    <t xml:space="preserve">2151.9900</t>
  </si>
  <si>
    <t xml:space="preserve">2143.90</t>
  </si>
  <si>
    <t xml:space="preserve">2151.0201</t>
  </si>
  <si>
    <t xml:space="preserve">Electrical Design Developer</t>
  </si>
  <si>
    <t xml:space="preserve">2151.0202</t>
  </si>
  <si>
    <t xml:space="preserve">Electrical Engineer, Generation and Supply</t>
  </si>
  <si>
    <t xml:space="preserve">2151.0300</t>
  </si>
  <si>
    <t xml:space="preserve">2143.30</t>
  </si>
  <si>
    <t xml:space="preserve">Illumination Engineer</t>
  </si>
  <si>
    <t xml:space="preserve">2151.0400</t>
  </si>
  <si>
    <t xml:space="preserve">2143.40</t>
  </si>
  <si>
    <t xml:space="preserve">Electrical Line Installers, Repairers and Cable Jointers, Other</t>
  </si>
  <si>
    <t xml:space="preserve">7413.9900</t>
  </si>
  <si>
    <t xml:space="preserve">7245.90</t>
  </si>
  <si>
    <t xml:space="preserve">Lineman, Light and Power</t>
  </si>
  <si>
    <t xml:space="preserve">7413.0100</t>
  </si>
  <si>
    <t xml:space="preserve">7245.10</t>
  </si>
  <si>
    <t xml:space="preserve">Mechanic, Precision Instrument, Electrical</t>
  </si>
  <si>
    <t xml:space="preserve">7412.0100</t>
  </si>
  <si>
    <t xml:space="preserve">7241.10</t>
  </si>
  <si>
    <t xml:space="preserve">Automation Specialist</t>
  </si>
  <si>
    <t xml:space="preserve">7412.0101</t>
  </si>
  <si>
    <t xml:space="preserve">In-Circuit Testing Machine Operator</t>
  </si>
  <si>
    <t xml:space="preserve">7412.0102</t>
  </si>
  <si>
    <t xml:space="preserve">Fitter Electrical Assembly</t>
  </si>
  <si>
    <t xml:space="preserve">7412.0203</t>
  </si>
  <si>
    <t xml:space="preserve">Adjuster, Relays</t>
  </si>
  <si>
    <t xml:space="preserve">7412.0300</t>
  </si>
  <si>
    <t xml:space="preserve">7241.30</t>
  </si>
  <si>
    <t xml:space="preserve">Armature Winder</t>
  </si>
  <si>
    <t xml:space="preserve">7412.0400</t>
  </si>
  <si>
    <t xml:space="preserve">7241.40</t>
  </si>
  <si>
    <t xml:space="preserve">Coil Winder, Machine</t>
  </si>
  <si>
    <t xml:space="preserve">7412.0500</t>
  </si>
  <si>
    <t xml:space="preserve">7241.50</t>
  </si>
  <si>
    <t xml:space="preserve">Electrician, Aircraft</t>
  </si>
  <si>
    <t xml:space="preserve">7412.0600</t>
  </si>
  <si>
    <t xml:space="preserve">7241.60</t>
  </si>
  <si>
    <t xml:space="preserve">Electrician, Automobile</t>
  </si>
  <si>
    <t xml:space="preserve">7412.0701</t>
  </si>
  <si>
    <t xml:space="preserve">7241.70</t>
  </si>
  <si>
    <t xml:space="preserve">Automated Optical Inspection Operator</t>
  </si>
  <si>
    <t xml:space="preserve">7412.0103</t>
  </si>
  <si>
    <t xml:space="preserve">Bare Board Testing Operator</t>
  </si>
  <si>
    <t xml:space="preserve">7412.0104</t>
  </si>
  <si>
    <t xml:space="preserve">Electrical Fitter</t>
  </si>
  <si>
    <t xml:space="preserve">7412.0200</t>
  </si>
  <si>
    <t xml:space="preserve">7241.20</t>
  </si>
  <si>
    <t xml:space="preserve">Mechanical Fitter</t>
  </si>
  <si>
    <t xml:space="preserve">7412.0202</t>
  </si>
  <si>
    <t xml:space="preserve">Maintenance Assistant/Helper</t>
  </si>
  <si>
    <t xml:space="preserve">7412.0801</t>
  </si>
  <si>
    <t xml:space="preserve">Potting and Curing Operator</t>
  </si>
  <si>
    <t xml:space="preserve">7412.0901</t>
  </si>
  <si>
    <t xml:space="preserve">Electrical Mechanics and Fitters, Other</t>
  </si>
  <si>
    <t xml:space="preserve">7412.9900</t>
  </si>
  <si>
    <t xml:space="preserve">7241.90</t>
  </si>
  <si>
    <t xml:space="preserve">Site Engineer – Control Panel</t>
  </si>
  <si>
    <t xml:space="preserve">7412.1002</t>
  </si>
  <si>
    <t xml:space="preserve">Mechanical Fitter – Control Panel</t>
  </si>
  <si>
    <t xml:space="preserve">7412.1001</t>
  </si>
  <si>
    <t xml:space="preserve">Fitter – Electrical and Electronic Assembly</t>
  </si>
  <si>
    <t xml:space="preserve">7412.0201</t>
  </si>
  <si>
    <t xml:space="preserve">Field Technician: Air-Conditioner</t>
  </si>
  <si>
    <t xml:space="preserve">7421.0401</t>
  </si>
  <si>
    <t xml:space="preserve">Field Technician: Refrigerator</t>
  </si>
  <si>
    <t xml:space="preserve">7421.0501</t>
  </si>
  <si>
    <t xml:space="preserve">Field Technician: Washing Machine</t>
  </si>
  <si>
    <t xml:space="preserve">7421.0601</t>
  </si>
  <si>
    <t xml:space="preserve">Field Technician: Other Home Appliances</t>
  </si>
  <si>
    <t xml:space="preserve">7421.0701</t>
  </si>
  <si>
    <t xml:space="preserve">Field Technician: UPS and Inverter</t>
  </si>
  <si>
    <t xml:space="preserve">7421.0801</t>
  </si>
  <si>
    <t xml:space="preserve">Field Technician: Digital Camera</t>
  </si>
  <si>
    <t xml:space="preserve">7421.0901</t>
  </si>
  <si>
    <t xml:space="preserve">Repair Assistant: Switches</t>
  </si>
  <si>
    <t xml:space="preserve">7421.1101</t>
  </si>
  <si>
    <t xml:space="preserve">Electronics Fitter, General</t>
  </si>
  <si>
    <t xml:space="preserve">7421.0100</t>
  </si>
  <si>
    <t xml:space="preserve">7242.10</t>
  </si>
  <si>
    <t xml:space="preserve">Fitter Electronic Assembly</t>
  </si>
  <si>
    <t xml:space="preserve">7421.0101</t>
  </si>
  <si>
    <t xml:space="preserve">Electronic Mechanic</t>
  </si>
  <si>
    <t xml:space="preserve">7421.0300</t>
  </si>
  <si>
    <t xml:space="preserve">7243.10</t>
  </si>
  <si>
    <t xml:space="preserve">Field Engineer TV</t>
  </si>
  <si>
    <t xml:space="preserve">7421.1302</t>
  </si>
  <si>
    <t xml:space="preserve">Solar Panel Installation Technician</t>
  </si>
  <si>
    <t xml:space="preserve">7421.1401</t>
  </si>
  <si>
    <t xml:space="preserve">Solar Photo Voltaic System Installation Technician</t>
  </si>
  <si>
    <t xml:space="preserve">7421.1402</t>
  </si>
  <si>
    <t xml:space="preserve">PV System Installation Engineer</t>
  </si>
  <si>
    <t xml:space="preserve">7421.1403</t>
  </si>
  <si>
    <t xml:space="preserve">Electronic Fitters, Mechanics and Servicers, Other</t>
  </si>
  <si>
    <t xml:space="preserve">7421.9900</t>
  </si>
  <si>
    <t xml:space="preserve">7243.90</t>
  </si>
  <si>
    <t xml:space="preserve">Auto-Tester Capacitor</t>
  </si>
  <si>
    <t xml:space="preserve">7421.1201</t>
  </si>
  <si>
    <t xml:space="preserve">Testing Technician</t>
  </si>
  <si>
    <t xml:space="preserve">7421.1202</t>
  </si>
  <si>
    <t xml:space="preserve">TV Repair Technician</t>
  </si>
  <si>
    <t xml:space="preserve">7421.1301</t>
  </si>
  <si>
    <t xml:space="preserve">Field Engineer – RACW</t>
  </si>
  <si>
    <t xml:space="preserve">7421.1001</t>
  </si>
  <si>
    <t xml:space="preserve">Field Maintenance Engineer</t>
  </si>
  <si>
    <t xml:space="preserve">3114.0701</t>
  </si>
  <si>
    <t xml:space="preserve">ICT Engineer</t>
  </si>
  <si>
    <t xml:space="preserve">3114.0801</t>
  </si>
  <si>
    <t xml:space="preserve">ICT Technician</t>
  </si>
  <si>
    <t xml:space="preserve">3114.0802</t>
  </si>
  <si>
    <t xml:space="preserve">Broadband Technician</t>
  </si>
  <si>
    <t xml:space="preserve">3114.0804</t>
  </si>
  <si>
    <t xml:space="preserve">Electronics Technician</t>
  </si>
  <si>
    <t xml:space="preserve">3114.0100</t>
  </si>
  <si>
    <t xml:space="preserve">3114.10</t>
  </si>
  <si>
    <t xml:space="preserve">Television Chassis Inspector/Television Technician</t>
  </si>
  <si>
    <t xml:space="preserve">3114.0200</t>
  </si>
  <si>
    <t xml:space="preserve">3152.60</t>
  </si>
  <si>
    <t xml:space="preserve">BSS Support Engineer</t>
  </si>
  <si>
    <t xml:space="preserve">3114.0601</t>
  </si>
  <si>
    <t xml:space="preserve">Product Specialist Engineer</t>
  </si>
  <si>
    <t xml:space="preserve">3114.1101</t>
  </si>
  <si>
    <t xml:space="preserve">Transmission Engineer</t>
  </si>
  <si>
    <t xml:space="preserve">3114.1201</t>
  </si>
  <si>
    <t xml:space="preserve">Network Management Engineer</t>
  </si>
  <si>
    <t xml:space="preserve">3114.1301</t>
  </si>
  <si>
    <t xml:space="preserve">Electronics and Telecommunications Engineering Technicians, Other</t>
  </si>
  <si>
    <t xml:space="preserve">3114.9900</t>
  </si>
  <si>
    <t xml:space="preserve">3114.90</t>
  </si>
  <si>
    <t xml:space="preserve">Installation Engineer – L2 &amp; L3</t>
  </si>
  <si>
    <t xml:space="preserve">3114.0901</t>
  </si>
  <si>
    <t xml:space="preserve">Installation Engineer Installation Engineer – SDH &amp; DWDM–</t>
  </si>
  <si>
    <t xml:space="preserve">3114.0902</t>
  </si>
  <si>
    <t xml:space="preserve">2152.0501</t>
  </si>
  <si>
    <t xml:space="preserve">Design-For-Test Engineer</t>
  </si>
  <si>
    <t xml:space="preserve">2152.0502</t>
  </si>
  <si>
    <t xml:space="preserve">Electronic Engineer</t>
  </si>
  <si>
    <t xml:space="preserve">2152.0200</t>
  </si>
  <si>
    <t xml:space="preserve">2144.60</t>
  </si>
  <si>
    <t xml:space="preserve">Stress Analyst/Computer-Aided Test Executive</t>
  </si>
  <si>
    <t xml:space="preserve">2152.0301</t>
  </si>
  <si>
    <t xml:space="preserve">2144.65</t>
  </si>
  <si>
    <t xml:space="preserve">Electro-Optical Engineer</t>
  </si>
  <si>
    <t xml:space="preserve">2152.0400</t>
  </si>
  <si>
    <t xml:space="preserve">2144.70</t>
  </si>
  <si>
    <t xml:space="preserve">Quality Engineer</t>
  </si>
  <si>
    <t xml:space="preserve">2152.0601</t>
  </si>
  <si>
    <t xml:space="preserve">Electronic Hardware Design Engineer</t>
  </si>
  <si>
    <t xml:space="preserve">2152.0801</t>
  </si>
  <si>
    <t xml:space="preserve">Verification Engineer</t>
  </si>
  <si>
    <t xml:space="preserve">2152.0901</t>
  </si>
  <si>
    <t xml:space="preserve">Testing and Validation Engineer</t>
  </si>
  <si>
    <t xml:space="preserve">2152.0902</t>
  </si>
  <si>
    <t xml:space="preserve">Electronics Engineers, Other</t>
  </si>
  <si>
    <t xml:space="preserve">2152.9900</t>
  </si>
  <si>
    <t xml:space="preserve">2144.90</t>
  </si>
  <si>
    <t xml:space="preserve">Usher</t>
  </si>
  <si>
    <t xml:space="preserve">9629.0100</t>
  </si>
  <si>
    <t xml:space="preserve">9152.40</t>
  </si>
  <si>
    <t xml:space="preserve">Doorkeepers, Watchpersons and Related Workers, Other</t>
  </si>
  <si>
    <t xml:space="preserve">9629.9900</t>
  </si>
  <si>
    <t xml:space="preserve">9152.90</t>
  </si>
  <si>
    <t xml:space="preserve">Engineers and Related Technologists, Other</t>
  </si>
  <si>
    <t xml:space="preserve">2149.0100</t>
  </si>
  <si>
    <t xml:space="preserve">2149.90</t>
  </si>
  <si>
    <t xml:space="preserve">Environmental and Occupational Health and Hygiene Professionals, Other</t>
  </si>
  <si>
    <t xml:space="preserve">2263.9900</t>
  </si>
  <si>
    <t xml:space="preserve">3152.90</t>
  </si>
  <si>
    <t xml:space="preserve">Health Officer</t>
  </si>
  <si>
    <t xml:space="preserve">2263.0100</t>
  </si>
  <si>
    <t xml:space="preserve">2229.10</t>
  </si>
  <si>
    <t xml:space="preserve">Administrator, Hospital</t>
  </si>
  <si>
    <t xml:space="preserve">2263.0200</t>
  </si>
  <si>
    <t xml:space="preserve">2229.15</t>
  </si>
  <si>
    <t xml:space="preserve">Environment Science and Protection Technician, Including Health</t>
  </si>
  <si>
    <t xml:space="preserve">3257.0300</t>
  </si>
  <si>
    <t xml:space="preserve">3214.10</t>
  </si>
  <si>
    <t xml:space="preserve">Environmental Compliance Inspector</t>
  </si>
  <si>
    <t xml:space="preserve">3257.0400</t>
  </si>
  <si>
    <t xml:space="preserve">3214.20</t>
  </si>
  <si>
    <t xml:space="preserve">Environmental Engineering Technician</t>
  </si>
  <si>
    <t xml:space="preserve">3257.0500</t>
  </si>
  <si>
    <t xml:space="preserve">3214.30</t>
  </si>
  <si>
    <t xml:space="preserve">Health, Safety and Environment Officer</t>
  </si>
  <si>
    <t xml:space="preserve">3257.0600</t>
  </si>
  <si>
    <t xml:space="preserve">Environment Science and Protection Technicians, Other</t>
  </si>
  <si>
    <t xml:space="preserve">3257.9900</t>
  </si>
  <si>
    <t xml:space="preserve">3214.90</t>
  </si>
  <si>
    <t xml:space="preserve">Sanitary Inspector</t>
  </si>
  <si>
    <t xml:space="preserve">3257.0100</t>
  </si>
  <si>
    <t xml:space="preserve">3222.10</t>
  </si>
  <si>
    <t xml:space="preserve">Solar Energy System Designer</t>
  </si>
  <si>
    <t xml:space="preserve">2143.0100</t>
  </si>
  <si>
    <t xml:space="preserve">2149.05</t>
  </si>
  <si>
    <t xml:space="preserve">Bio-Medical Engineer</t>
  </si>
  <si>
    <t xml:space="preserve">2143.0200</t>
  </si>
  <si>
    <t xml:space="preserve">2149.17</t>
  </si>
  <si>
    <t xml:space="preserve">Radiation Protection Engineer</t>
  </si>
  <si>
    <t xml:space="preserve">2143.0300</t>
  </si>
  <si>
    <t xml:space="preserve">2149.22</t>
  </si>
  <si>
    <t xml:space="preserve">Waste Management Engineer, Radioactive Material</t>
  </si>
  <si>
    <t xml:space="preserve">2143.0400</t>
  </si>
  <si>
    <t xml:space="preserve">2149.87</t>
  </si>
  <si>
    <t xml:space="preserve">Pollution Control Engineer</t>
  </si>
  <si>
    <t xml:space="preserve">2143.0500</t>
  </si>
  <si>
    <t xml:space="preserve">2149.88</t>
  </si>
  <si>
    <t xml:space="preserve">Ecologist</t>
  </si>
  <si>
    <t xml:space="preserve">2133.0100</t>
  </si>
  <si>
    <t xml:space="preserve">2211.25</t>
  </si>
  <si>
    <t xml:space="preserve">Environment Scientist (Including Health)</t>
  </si>
  <si>
    <t xml:space="preserve">2133.0200</t>
  </si>
  <si>
    <t xml:space="preserve">2211.27</t>
  </si>
  <si>
    <t xml:space="preserve">Taxonomist</t>
  </si>
  <si>
    <t xml:space="preserve">2133.0300</t>
  </si>
  <si>
    <t xml:space="preserve">2211.30</t>
  </si>
  <si>
    <t xml:space="preserve">Paleobotanist</t>
  </si>
  <si>
    <t xml:space="preserve">2133.0400</t>
  </si>
  <si>
    <t xml:space="preserve">2211.45</t>
  </si>
  <si>
    <t xml:space="preserve">Silviculturist</t>
  </si>
  <si>
    <t xml:space="preserve">2132.0500</t>
  </si>
  <si>
    <t xml:space="preserve">2213.50</t>
  </si>
  <si>
    <t xml:space="preserve">Soil Scientist</t>
  </si>
  <si>
    <t xml:space="preserve">2132.0300</t>
  </si>
  <si>
    <t xml:space="preserve">2213.30</t>
  </si>
  <si>
    <t xml:space="preserve">Wood Anatomist</t>
  </si>
  <si>
    <t xml:space="preserve">2132.0600</t>
  </si>
  <si>
    <t xml:space="preserve">2213.60</t>
  </si>
  <si>
    <t xml:space="preserve">Dairy Scientist</t>
  </si>
  <si>
    <t xml:space="preserve">2132.0700</t>
  </si>
  <si>
    <t xml:space="preserve">2213.70</t>
  </si>
  <si>
    <t xml:space="preserve">Poultry Scientist</t>
  </si>
  <si>
    <t xml:space="preserve">2132.0800</t>
  </si>
  <si>
    <t xml:space="preserve">2213.80</t>
  </si>
  <si>
    <t xml:space="preserve">Pisciculturist</t>
  </si>
  <si>
    <t xml:space="preserve">2132.0900</t>
  </si>
  <si>
    <t xml:space="preserve">2211.80</t>
  </si>
  <si>
    <t xml:space="preserve">Agronomist</t>
  </si>
  <si>
    <t xml:space="preserve">2132.0100</t>
  </si>
  <si>
    <t xml:space="preserve">2213.10</t>
  </si>
  <si>
    <t xml:space="preserve">Farm Overseer, Crop Production</t>
  </si>
  <si>
    <t xml:space="preserve">2132.1000</t>
  </si>
  <si>
    <t xml:space="preserve">3213.10</t>
  </si>
  <si>
    <t xml:space="preserve">Horticulturist</t>
  </si>
  <si>
    <t xml:space="preserve">2132.0200</t>
  </si>
  <si>
    <t xml:space="preserve">2213.20</t>
  </si>
  <si>
    <t xml:space="preserve">Agronomists and Related Professionals, Other</t>
  </si>
  <si>
    <t xml:space="preserve">2132.9900</t>
  </si>
  <si>
    <t xml:space="preserve">2213.90</t>
  </si>
  <si>
    <t xml:space="preserve">Model, Fashion</t>
  </si>
  <si>
    <t xml:space="preserve">5241.0100</t>
  </si>
  <si>
    <t xml:space="preserve">5210.10</t>
  </si>
  <si>
    <t xml:space="preserve">Model</t>
  </si>
  <si>
    <t xml:space="preserve">5241.0200</t>
  </si>
  <si>
    <t xml:space="preserve">5210.20</t>
  </si>
  <si>
    <t xml:space="preserve">Fashion and Models, Other</t>
  </si>
  <si>
    <t xml:space="preserve">5241.9900</t>
  </si>
  <si>
    <t xml:space="preserve">5210.90</t>
  </si>
  <si>
    <t xml:space="preserve">Garnett Machineman, Woollen</t>
  </si>
  <si>
    <t xml:space="preserve">8151.0100</t>
  </si>
  <si>
    <t xml:space="preserve">8261.10</t>
  </si>
  <si>
    <t xml:space="preserve">Reeler Textile</t>
  </si>
  <si>
    <t xml:space="preserve">8151.1000</t>
  </si>
  <si>
    <t xml:space="preserve">8261.70</t>
  </si>
  <si>
    <t xml:space="preserve">Weighter, Silk</t>
  </si>
  <si>
    <t xml:space="preserve">8151.2100</t>
  </si>
  <si>
    <t xml:space="preserve">8261.88</t>
  </si>
  <si>
    <t xml:space="preserve">Reed Man</t>
  </si>
  <si>
    <t xml:space="preserve">8151.1100</t>
  </si>
  <si>
    <t xml:space="preserve">8261.77</t>
  </si>
  <si>
    <t xml:space="preserve">Healdman (Textile)</t>
  </si>
  <si>
    <t xml:space="preserve">8151.1200</t>
  </si>
  <si>
    <t xml:space="preserve">8261.79</t>
  </si>
  <si>
    <t xml:space="preserve">Reeler, Silk</t>
  </si>
  <si>
    <t xml:space="preserve">8151.1300</t>
  </si>
  <si>
    <t xml:space="preserve">8261.80</t>
  </si>
  <si>
    <t xml:space="preserve">Yarn Tester</t>
  </si>
  <si>
    <t xml:space="preserve">8151.1400</t>
  </si>
  <si>
    <t xml:space="preserve">8261.81</t>
  </si>
  <si>
    <t xml:space="preserve">Warping Boy (Textile)/Wrapper</t>
  </si>
  <si>
    <t xml:space="preserve">8151.1500</t>
  </si>
  <si>
    <t xml:space="preserve">8261.82</t>
  </si>
  <si>
    <t xml:space="preserve">Rag Machineman (Woollen Textile)</t>
  </si>
  <si>
    <t xml:space="preserve">8151.0300</t>
  </si>
  <si>
    <t xml:space="preserve">8261.20</t>
  </si>
  <si>
    <t xml:space="preserve">Pin Setter (Textile)</t>
  </si>
  <si>
    <t xml:space="preserve">8151.1600</t>
  </si>
  <si>
    <t xml:space="preserve">8261.83</t>
  </si>
  <si>
    <t xml:space="preserve">Doubling Machine Operator (Textile)</t>
  </si>
  <si>
    <t xml:space="preserve">8151.0400</t>
  </si>
  <si>
    <t xml:space="preserve">8261.25</t>
  </si>
  <si>
    <t xml:space="preserve">Roller Coverer</t>
  </si>
  <si>
    <t xml:space="preserve">8151.1700</t>
  </si>
  <si>
    <t xml:space="preserve">8261.84</t>
  </si>
  <si>
    <t xml:space="preserve">Combing Tenter</t>
  </si>
  <si>
    <t xml:space="preserve">8151.0500</t>
  </si>
  <si>
    <t xml:space="preserve">8261.30</t>
  </si>
  <si>
    <t xml:space="preserve">Winder Textile/Winding Operator</t>
  </si>
  <si>
    <t xml:space="preserve">8151.1800</t>
  </si>
  <si>
    <t xml:space="preserve">8261.85</t>
  </si>
  <si>
    <t xml:space="preserve">Spinner, Frame (Textile)/Ring Frame Tenter</t>
  </si>
  <si>
    <t xml:space="preserve">8151.0600</t>
  </si>
  <si>
    <t xml:space="preserve">8261.35</t>
  </si>
  <si>
    <t xml:space="preserve">Size Mixer (Textile)</t>
  </si>
  <si>
    <t xml:space="preserve">8151.1900</t>
  </si>
  <si>
    <t xml:space="preserve">8261.86</t>
  </si>
  <si>
    <t xml:space="preserve">Drawing Tenter</t>
  </si>
  <si>
    <t xml:space="preserve">8151.0700</t>
  </si>
  <si>
    <t xml:space="preserve">8261.40</t>
  </si>
  <si>
    <t xml:space="preserve">Waterproofer, Textile</t>
  </si>
  <si>
    <t xml:space="preserve">8151.2000</t>
  </si>
  <si>
    <t xml:space="preserve">8261.87</t>
  </si>
  <si>
    <t xml:space="preserve">Fetler (Woollen Textile)</t>
  </si>
  <si>
    <t xml:space="preserve">8151.2200</t>
  </si>
  <si>
    <t xml:space="preserve">8261.89</t>
  </si>
  <si>
    <t xml:space="preserve">Fibre Preparing, Spinning and Winding Machine Operators, Other</t>
  </si>
  <si>
    <t xml:space="preserve">8151.9900</t>
  </si>
  <si>
    <t xml:space="preserve">8261.90</t>
  </si>
  <si>
    <t xml:space="preserve">Cultivator, General</t>
  </si>
  <si>
    <t xml:space="preserve">6111.0100</t>
  </si>
  <si>
    <t xml:space="preserve">6111.10</t>
  </si>
  <si>
    <t xml:space="preserve">Cultivator, Fruit</t>
  </si>
  <si>
    <t xml:space="preserve">6111.0800</t>
  </si>
  <si>
    <t xml:space="preserve">6112.10</t>
  </si>
  <si>
    <t xml:space="preserve">Coconut Grower</t>
  </si>
  <si>
    <t xml:space="preserve">6111.0851</t>
  </si>
  <si>
    <t xml:space="preserve">Friends of Coconut Tree</t>
  </si>
  <si>
    <t xml:space="preserve">6111.0852</t>
  </si>
  <si>
    <t xml:space="preserve">Paddy Farmer</t>
  </si>
  <si>
    <t xml:space="preserve">6111.0101</t>
  </si>
  <si>
    <t xml:space="preserve">Banana Farmer</t>
  </si>
  <si>
    <t xml:space="preserve">6111.0901</t>
  </si>
  <si>
    <t xml:space="preserve">Cultivator, Crop</t>
  </si>
  <si>
    <t xml:space="preserve">6111.0200</t>
  </si>
  <si>
    <t xml:space="preserve">6111.20</t>
  </si>
  <si>
    <t xml:space="preserve">Mango Grower</t>
  </si>
  <si>
    <t xml:space="preserve">6111.1001</t>
  </si>
  <si>
    <t xml:space="preserve">Wheat Cultivator</t>
  </si>
  <si>
    <t xml:space="preserve">6111.0201</t>
  </si>
  <si>
    <t xml:space="preserve">Citrus Fruit Grower</t>
  </si>
  <si>
    <t xml:space="preserve">6111.1101</t>
  </si>
  <si>
    <t xml:space="preserve">Maize Cultivator</t>
  </si>
  <si>
    <t xml:space="preserve">6111.0301</t>
  </si>
  <si>
    <t xml:space="preserve">Pulses Cultivator</t>
  </si>
  <si>
    <t xml:space="preserve">6111.0401</t>
  </si>
  <si>
    <t xml:space="preserve">Soybean Cultivator</t>
  </si>
  <si>
    <t xml:space="preserve">6111.0501</t>
  </si>
  <si>
    <t xml:space="preserve">Cotton Cultivator</t>
  </si>
  <si>
    <t xml:space="preserve">6111.0601</t>
  </si>
  <si>
    <t xml:space="preserve">Sugarcane Cultivator</t>
  </si>
  <si>
    <t xml:space="preserve">6111.0701</t>
  </si>
  <si>
    <t xml:space="preserve">Chillies Cultivator</t>
  </si>
  <si>
    <t xml:space="preserve">6111.1801</t>
  </si>
  <si>
    <t xml:space="preserve">Viniculturist</t>
  </si>
  <si>
    <t xml:space="preserve">6111.1200</t>
  </si>
  <si>
    <t xml:space="preserve">6112.20</t>
  </si>
  <si>
    <t xml:space="preserve">Cultivator, Vegetables</t>
  </si>
  <si>
    <t xml:space="preserve">6111.1300</t>
  </si>
  <si>
    <t xml:space="preserve">6111.30</t>
  </si>
  <si>
    <t xml:space="preserve">Bulb Crop Cultivator</t>
  </si>
  <si>
    <t xml:space="preserve">6111.1401</t>
  </si>
  <si>
    <t xml:space="preserve">Solanaceous Crop Cultivator</t>
  </si>
  <si>
    <t xml:space="preserve">6111.1501</t>
  </si>
  <si>
    <t xml:space="preserve">Tuber Crop Cultivator</t>
  </si>
  <si>
    <t xml:space="preserve">6111.1601</t>
  </si>
  <si>
    <t xml:space="preserve">Coriander Cultivator</t>
  </si>
  <si>
    <t xml:space="preserve">6111.1901</t>
  </si>
  <si>
    <t xml:space="preserve">Fieldman, Agriculture</t>
  </si>
  <si>
    <t xml:space="preserve">6111.2000</t>
  </si>
  <si>
    <t xml:space="preserve">6111.50</t>
  </si>
  <si>
    <t xml:space="preserve">Field Crop and Vegetable Growers, Other</t>
  </si>
  <si>
    <t xml:space="preserve">6111.9900</t>
  </si>
  <si>
    <t xml:space="preserve">6111.90</t>
  </si>
  <si>
    <t xml:space="preserve">Director, Theatrical</t>
  </si>
  <si>
    <t xml:space="preserve">2654.0100</t>
  </si>
  <si>
    <t xml:space="preserve">2455.10</t>
  </si>
  <si>
    <t xml:space="preserve">Director, Music</t>
  </si>
  <si>
    <t xml:space="preserve">2654.0200</t>
  </si>
  <si>
    <t xml:space="preserve">2455.20</t>
  </si>
  <si>
    <t xml:space="preserve">Dance Director</t>
  </si>
  <si>
    <t xml:space="preserve">2654.0300</t>
  </si>
  <si>
    <t xml:space="preserve">2455.30</t>
  </si>
  <si>
    <t xml:space="preserve">Live Action Director</t>
  </si>
  <si>
    <t xml:space="preserve">2654.0351</t>
  </si>
  <si>
    <t xml:space="preserve">Director, Research (Motion Picture, Radio &amp; TV)</t>
  </si>
  <si>
    <t xml:space="preserve">2654.0400</t>
  </si>
  <si>
    <t xml:space="preserve">2455.40</t>
  </si>
  <si>
    <t xml:space="preserve">Manager, Recreation and Entertainment</t>
  </si>
  <si>
    <t xml:space="preserve">2654.0500</t>
  </si>
  <si>
    <t xml:space="preserve">1229.10</t>
  </si>
  <si>
    <t xml:space="preserve">Producer, Stage</t>
  </si>
  <si>
    <t xml:space="preserve">2654.0600</t>
  </si>
  <si>
    <t xml:space="preserve">1229.30</t>
  </si>
  <si>
    <t xml:space="preserve">Stage and Film Directors, Other</t>
  </si>
  <si>
    <t xml:space="preserve">2654.9900</t>
  </si>
  <si>
    <t xml:space="preserve">2455.90</t>
  </si>
  <si>
    <t xml:space="preserve">Producer, Film</t>
  </si>
  <si>
    <t xml:space="preserve">2654.0700</t>
  </si>
  <si>
    <t xml:space="preserve">1229.40</t>
  </si>
  <si>
    <t xml:space="preserve">Production Manager (Motion Picture)</t>
  </si>
  <si>
    <t xml:space="preserve">2654.0800</t>
  </si>
  <si>
    <t xml:space="preserve">1229.50</t>
  </si>
  <si>
    <t xml:space="preserve">Lighting Artist</t>
  </si>
  <si>
    <t xml:space="preserve">2654.0901</t>
  </si>
  <si>
    <t xml:space="preserve">General Manager, Bank</t>
  </si>
  <si>
    <t xml:space="preserve">1211.0100</t>
  </si>
  <si>
    <t xml:space="preserve">1307.10</t>
  </si>
  <si>
    <t xml:space="preserve">General Manager, Insurance</t>
  </si>
  <si>
    <t xml:space="preserve">1211.0200</t>
  </si>
  <si>
    <t xml:space="preserve">1307.20</t>
  </si>
  <si>
    <t xml:space="preserve">Purser, Ship</t>
  </si>
  <si>
    <t xml:space="preserve">1211.0300</t>
  </si>
  <si>
    <t xml:space="preserve">1231.10</t>
  </si>
  <si>
    <t xml:space="preserve">Finance Managers, Others</t>
  </si>
  <si>
    <t xml:space="preserve">1211.9900</t>
  </si>
  <si>
    <t xml:space="preserve">1231.90</t>
  </si>
  <si>
    <t xml:space="preserve">Manager, Bank</t>
  </si>
  <si>
    <t xml:space="preserve">1346.0100</t>
  </si>
  <si>
    <t xml:space="preserve">1227.10</t>
  </si>
  <si>
    <t xml:space="preserve">Manager, Insurance</t>
  </si>
  <si>
    <t xml:space="preserve">1346.0200</t>
  </si>
  <si>
    <t xml:space="preserve">1227.20</t>
  </si>
  <si>
    <t xml:space="preserve">Financial and Insurance Service Branch Managers, Other</t>
  </si>
  <si>
    <t xml:space="preserve">1346.9900</t>
  </si>
  <si>
    <t xml:space="preserve">1227.90</t>
  </si>
  <si>
    <t xml:space="preserve">Risk Management Analyst</t>
  </si>
  <si>
    <t xml:space="preserve">2412.0400</t>
  </si>
  <si>
    <t xml:space="preserve">2411.70</t>
  </si>
  <si>
    <t xml:space="preserve">Financial Examiner</t>
  </si>
  <si>
    <t xml:space="preserve">2412.0100</t>
  </si>
  <si>
    <t xml:space="preserve">2411.40</t>
  </si>
  <si>
    <t xml:space="preserve">Financial Analyst</t>
  </si>
  <si>
    <t xml:space="preserve">2412.0200</t>
  </si>
  <si>
    <t xml:space="preserve">2411.50</t>
  </si>
  <si>
    <t xml:space="preserve">Budget Analyst</t>
  </si>
  <si>
    <t xml:space="preserve">2412.0300</t>
  </si>
  <si>
    <t xml:space="preserve">2411.60</t>
  </si>
  <si>
    <t xml:space="preserve">Agriculture Field Officer</t>
  </si>
  <si>
    <t xml:space="preserve">2412.0501</t>
  </si>
  <si>
    <t xml:space="preserve">Commission Agent</t>
  </si>
  <si>
    <t xml:space="preserve">2412.0600</t>
  </si>
  <si>
    <t xml:space="preserve">3411.40</t>
  </si>
  <si>
    <t xml:space="preserve">Financial and Investment Advisors, Other</t>
  </si>
  <si>
    <t xml:space="preserve">2412.9900</t>
  </si>
  <si>
    <t xml:space="preserve">2411.90</t>
  </si>
  <si>
    <t xml:space="preserve">Fire Fighter</t>
  </si>
  <si>
    <t xml:space="preserve">5411.0100</t>
  </si>
  <si>
    <t xml:space="preserve">5161.10</t>
  </si>
  <si>
    <t xml:space="preserve">Fire Fighters, Other</t>
  </si>
  <si>
    <t xml:space="preserve">5411.9900</t>
  </si>
  <si>
    <t xml:space="preserve">5161.90</t>
  </si>
  <si>
    <t xml:space="preserve">Fitness Trainer/Fitness Instructor</t>
  </si>
  <si>
    <t xml:space="preserve">3423.0101</t>
  </si>
  <si>
    <t xml:space="preserve">Physical Training Instructor/Physical Education Teacher</t>
  </si>
  <si>
    <t xml:space="preserve">3423.0200</t>
  </si>
  <si>
    <t xml:space="preserve">3475.15</t>
  </si>
  <si>
    <t xml:space="preserve">Lifeguard</t>
  </si>
  <si>
    <t xml:space="preserve">3423.0501</t>
  </si>
  <si>
    <t xml:space="preserve">Fitness and Recreation Instructors and Programme Leaders</t>
  </si>
  <si>
    <t xml:space="preserve">3423.9900</t>
  </si>
  <si>
    <t xml:space="preserve">Planer (Mosaic Tile)</t>
  </si>
  <si>
    <t xml:space="preserve">7122.0400</t>
  </si>
  <si>
    <t xml:space="preserve">7132.40</t>
  </si>
  <si>
    <t xml:space="preserve">Mosaic Layer</t>
  </si>
  <si>
    <t xml:space="preserve">7122.0500</t>
  </si>
  <si>
    <t xml:space="preserve">7132.50</t>
  </si>
  <si>
    <t xml:space="preserve">Parquetry Floor Layer</t>
  </si>
  <si>
    <t xml:space="preserve">7122.0600</t>
  </si>
  <si>
    <t xml:space="preserve">7132.60</t>
  </si>
  <si>
    <t xml:space="preserve">Floor Layers and Tile Setters, Other</t>
  </si>
  <si>
    <t xml:space="preserve">7122.9900</t>
  </si>
  <si>
    <t xml:space="preserve">7132.90</t>
  </si>
  <si>
    <t xml:space="preserve">Tile Setter</t>
  </si>
  <si>
    <t xml:space="preserve">7122.0100</t>
  </si>
  <si>
    <t xml:space="preserve">7132.10</t>
  </si>
  <si>
    <t xml:space="preserve">Concrete Mixer (Mosaic Tile)</t>
  </si>
  <si>
    <t xml:space="preserve">7122.0200</t>
  </si>
  <si>
    <t xml:space="preserve">7132.20</t>
  </si>
  <si>
    <t xml:space="preserve">Tile Presser (Mosaic)</t>
  </si>
  <si>
    <t xml:space="preserve">7122.0300</t>
  </si>
  <si>
    <t xml:space="preserve">7132.30</t>
  </si>
  <si>
    <t xml:space="preserve">Tea Taster</t>
  </si>
  <si>
    <t xml:space="preserve">7515.0100</t>
  </si>
  <si>
    <t xml:space="preserve">7415.10</t>
  </si>
  <si>
    <t xml:space="preserve">Liquor Taster</t>
  </si>
  <si>
    <t xml:space="preserve">7515.0200</t>
  </si>
  <si>
    <t xml:space="preserve">7415.20</t>
  </si>
  <si>
    <t xml:space="preserve">Taster (Food)</t>
  </si>
  <si>
    <t xml:space="preserve">7515.0300</t>
  </si>
  <si>
    <t xml:space="preserve">7415.30</t>
  </si>
  <si>
    <t xml:space="preserve">Grader, Meat</t>
  </si>
  <si>
    <t xml:space="preserve">7515.0400</t>
  </si>
  <si>
    <t xml:space="preserve">7415.40</t>
  </si>
  <si>
    <t xml:space="preserve">Food and Beverage Tasters and Graders, Other</t>
  </si>
  <si>
    <t xml:space="preserve">7515.9900</t>
  </si>
  <si>
    <t xml:space="preserve">7415.90</t>
  </si>
  <si>
    <t xml:space="preserve">Pasteurising Plant Operator (Dairy)</t>
  </si>
  <si>
    <t xml:space="preserve">8160.0300</t>
  </si>
  <si>
    <t xml:space="preserve">8272.10</t>
  </si>
  <si>
    <t xml:space="preserve">Mixing Tank Operator</t>
  </si>
  <si>
    <t xml:space="preserve">8160.0400</t>
  </si>
  <si>
    <t xml:space="preserve">8272.20</t>
  </si>
  <si>
    <t xml:space="preserve">Dairy Processing Equipment Operator</t>
  </si>
  <si>
    <t xml:space="preserve">8160.0500</t>
  </si>
  <si>
    <t xml:space="preserve">8272.30</t>
  </si>
  <si>
    <t xml:space="preserve">Miller, Food Grains</t>
  </si>
  <si>
    <t xml:space="preserve">8160.0700</t>
  </si>
  <si>
    <t xml:space="preserve">8273.10</t>
  </si>
  <si>
    <t xml:space="preserve">Husker, Machine (Food Grains)</t>
  </si>
  <si>
    <t xml:space="preserve">8160.0800</t>
  </si>
  <si>
    <t xml:space="preserve">8273.20</t>
  </si>
  <si>
    <t xml:space="preserve">Rollerman, (Food Grains)</t>
  </si>
  <si>
    <t xml:space="preserve">8160.0900</t>
  </si>
  <si>
    <t xml:space="preserve">8273.30</t>
  </si>
  <si>
    <t xml:space="preserve">Flour Mill Operator</t>
  </si>
  <si>
    <t xml:space="preserve">8160.1000</t>
  </si>
  <si>
    <t xml:space="preserve">8273.40</t>
  </si>
  <si>
    <t xml:space="preserve">Siever, Machine</t>
  </si>
  <si>
    <t xml:space="preserve">8160.1100</t>
  </si>
  <si>
    <t xml:space="preserve">8273.50</t>
  </si>
  <si>
    <t xml:space="preserve">Fruit Press Operator (Food Canning and Preserving)</t>
  </si>
  <si>
    <t xml:space="preserve">8160.2400</t>
  </si>
  <si>
    <t xml:space="preserve">8275.30</t>
  </si>
  <si>
    <t xml:space="preserve">Oil Crusher Operator, Power</t>
  </si>
  <si>
    <t xml:space="preserve">8160.1200</t>
  </si>
  <si>
    <t xml:space="preserve">8273.60</t>
  </si>
  <si>
    <t xml:space="preserve">Seaming Machine Operator (Food Canning and Preserving)</t>
  </si>
  <si>
    <t xml:space="preserve">8160.2500</t>
  </si>
  <si>
    <t xml:space="preserve">8275.40</t>
  </si>
  <si>
    <t xml:space="preserve">Filter Press Operator (Oil)</t>
  </si>
  <si>
    <t xml:space="preserve">8160.1300</t>
  </si>
  <si>
    <t xml:space="preserve">8273.65</t>
  </si>
  <si>
    <t xml:space="preserve">Retort Operator (Food Canning and Preserving)</t>
  </si>
  <si>
    <t xml:space="preserve">8160.2600</t>
  </si>
  <si>
    <t xml:space="preserve">8275.45</t>
  </si>
  <si>
    <t xml:space="preserve">Wafer Baking Machine Operator (Baking)</t>
  </si>
  <si>
    <t xml:space="preserve">8160.1500</t>
  </si>
  <si>
    <t xml:space="preserve">8274.10</t>
  </si>
  <si>
    <t xml:space="preserve">Processing Man (Food Canning and Preserving)</t>
  </si>
  <si>
    <t xml:space="preserve">8160.2700</t>
  </si>
  <si>
    <t xml:space="preserve">8275.50</t>
  </si>
  <si>
    <t xml:space="preserve">Cooker Operator</t>
  </si>
  <si>
    <t xml:space="preserve">8160.1600</t>
  </si>
  <si>
    <t xml:space="preserve">8274.20</t>
  </si>
  <si>
    <t xml:space="preserve">Cutting Machine Operator (Confectionery)</t>
  </si>
  <si>
    <t xml:space="preserve">8160.1700</t>
  </si>
  <si>
    <t xml:space="preserve">8274.30</t>
  </si>
  <si>
    <t xml:space="preserve">Chocolate Maker, Helper</t>
  </si>
  <si>
    <t xml:space="preserve">8160.1800</t>
  </si>
  <si>
    <t xml:space="preserve">8274.40</t>
  </si>
  <si>
    <t xml:space="preserve">Flake Miller, Wheat and Oats (Grain-Feed Mills)</t>
  </si>
  <si>
    <t xml:space="preserve">8160.1900</t>
  </si>
  <si>
    <t xml:space="preserve">8274.50</t>
  </si>
  <si>
    <t xml:space="preserve">Noodle Press Operator</t>
  </si>
  <si>
    <t xml:space="preserve">8160.2000</t>
  </si>
  <si>
    <t xml:space="preserve">8274.60</t>
  </si>
  <si>
    <t xml:space="preserve">Peeling Machine Operator (Food Canning and Preserving)</t>
  </si>
  <si>
    <t xml:space="preserve">8160.2200</t>
  </si>
  <si>
    <t xml:space="preserve">8275.10</t>
  </si>
  <si>
    <t xml:space="preserve">Pitting Machine Operator (Food Canning and Preserving)</t>
  </si>
  <si>
    <t xml:space="preserve">8160.2300</t>
  </si>
  <si>
    <t xml:space="preserve">8275.20</t>
  </si>
  <si>
    <t xml:space="preserve">Panman (Food Canning and Preserving)</t>
  </si>
  <si>
    <t xml:space="preserve">8160.2800</t>
  </si>
  <si>
    <t xml:space="preserve">8275.55</t>
  </si>
  <si>
    <t xml:space="preserve">Exhaust Box Operator (Food Canning and Preserving)</t>
  </si>
  <si>
    <t xml:space="preserve">8160.2900</t>
  </si>
  <si>
    <t xml:space="preserve">8275.60</t>
  </si>
  <si>
    <t xml:space="preserve">Foodstuff Freezer</t>
  </si>
  <si>
    <t xml:space="preserve">8160.3000</t>
  </si>
  <si>
    <t xml:space="preserve">8275.65</t>
  </si>
  <si>
    <t xml:space="preserve">Peanut Blancher</t>
  </si>
  <si>
    <t xml:space="preserve">8160.3100</t>
  </si>
  <si>
    <t xml:space="preserve">8275.70</t>
  </si>
  <si>
    <t xml:space="preserve">Filter Pressman</t>
  </si>
  <si>
    <t xml:space="preserve">8160.3500</t>
  </si>
  <si>
    <t xml:space="preserve">8276.20</t>
  </si>
  <si>
    <t xml:space="preserve">Dorr Clarifier Operator</t>
  </si>
  <si>
    <t xml:space="preserve">8160.3600</t>
  </si>
  <si>
    <t xml:space="preserve">8276.30</t>
  </si>
  <si>
    <t xml:space="preserve">Evaporator Operator, Sugar</t>
  </si>
  <si>
    <t xml:space="preserve">8160.3700</t>
  </si>
  <si>
    <t xml:space="preserve">8276.40</t>
  </si>
  <si>
    <t xml:space="preserve">Dehydrator Tender (Canning &amp; Preservation)</t>
  </si>
  <si>
    <t xml:space="preserve">8160.3200</t>
  </si>
  <si>
    <t xml:space="preserve">8275.72</t>
  </si>
  <si>
    <t xml:space="preserve">Crusher Operator, Sugarcane</t>
  </si>
  <si>
    <t xml:space="preserve">8160.3400</t>
  </si>
  <si>
    <t xml:space="preserve">8276.10</t>
  </si>
  <si>
    <t xml:space="preserve">Lime Juice Tank Attendant</t>
  </si>
  <si>
    <t xml:space="preserve">8160.4600</t>
  </si>
  <si>
    <t xml:space="preserve">8276.75</t>
  </si>
  <si>
    <t xml:space="preserve">Juice Heater Man</t>
  </si>
  <si>
    <t xml:space="preserve">8160.4700</t>
  </si>
  <si>
    <t xml:space="preserve">8276.76</t>
  </si>
  <si>
    <t xml:space="preserve">Juice Heater Helper</t>
  </si>
  <si>
    <t xml:space="preserve">8160.4800</t>
  </si>
  <si>
    <t xml:space="preserve">8276.77</t>
  </si>
  <si>
    <t xml:space="preserve">Panman, Sugar</t>
  </si>
  <si>
    <t xml:space="preserve">8160.3800</t>
  </si>
  <si>
    <t xml:space="preserve">8276.50</t>
  </si>
  <si>
    <t xml:space="preserve">Carbonation Man</t>
  </si>
  <si>
    <t xml:space="preserve">8160.4900</t>
  </si>
  <si>
    <t xml:space="preserve">8276.78</t>
  </si>
  <si>
    <t xml:space="preserve">Crystalizerman</t>
  </si>
  <si>
    <t xml:space="preserve">8160.3900</t>
  </si>
  <si>
    <t xml:space="preserve">8276.60</t>
  </si>
  <si>
    <t xml:space="preserve">Carbonation Storage Tank Attendant</t>
  </si>
  <si>
    <t xml:space="preserve">8160.5000</t>
  </si>
  <si>
    <t xml:space="preserve">8276.79</t>
  </si>
  <si>
    <t xml:space="preserve">Centrifugal Man</t>
  </si>
  <si>
    <t xml:space="preserve">8160.4000</t>
  </si>
  <si>
    <t xml:space="preserve">8276.65</t>
  </si>
  <si>
    <t xml:space="preserve">Sulphitation Man, Sugar</t>
  </si>
  <si>
    <t xml:space="preserve">8160.5100</t>
  </si>
  <si>
    <t xml:space="preserve">8276.80</t>
  </si>
  <si>
    <t xml:space="preserve">Magmaman</t>
  </si>
  <si>
    <t xml:space="preserve">8160.4100</t>
  </si>
  <si>
    <t xml:space="preserve">8276.70</t>
  </si>
  <si>
    <t xml:space="preserve">Eliminator Attendant, Sugar</t>
  </si>
  <si>
    <t xml:space="preserve">8160.5200</t>
  </si>
  <si>
    <t xml:space="preserve">8276.81</t>
  </si>
  <si>
    <t xml:space="preserve">Cutter Driver</t>
  </si>
  <si>
    <t xml:space="preserve">8160.4200</t>
  </si>
  <si>
    <t xml:space="preserve">8276.71</t>
  </si>
  <si>
    <t xml:space="preserve">Settling Tank Man, Sugar</t>
  </si>
  <si>
    <t xml:space="preserve">8160.5300</t>
  </si>
  <si>
    <t xml:space="preserve">8276.82</t>
  </si>
  <si>
    <t xml:space="preserve">Cane Carrier Driver, Mill House</t>
  </si>
  <si>
    <t xml:space="preserve">8160.4300</t>
  </si>
  <si>
    <t xml:space="preserve">8276.72</t>
  </si>
  <si>
    <t xml:space="preserve">Raw Juice Tank Pump Attendant</t>
  </si>
  <si>
    <t xml:space="preserve">8160.4400</t>
  </si>
  <si>
    <t xml:space="preserve">8276.73</t>
  </si>
  <si>
    <t xml:space="preserve">Juice Measuring Man</t>
  </si>
  <si>
    <t xml:space="preserve">8160.4500</t>
  </si>
  <si>
    <t xml:space="preserve">8276.74</t>
  </si>
  <si>
    <t xml:space="preserve">Malt Maker</t>
  </si>
  <si>
    <t xml:space="preserve">8160.6900</t>
  </si>
  <si>
    <t xml:space="preserve">8278.12</t>
  </si>
  <si>
    <t xml:space="preserve">Withering Loft Attendant (Tea)</t>
  </si>
  <si>
    <t xml:space="preserve">8160.5800</t>
  </si>
  <si>
    <t xml:space="preserve">8277.15</t>
  </si>
  <si>
    <t xml:space="preserve">Masher</t>
  </si>
  <si>
    <t xml:space="preserve">8160.7000</t>
  </si>
  <si>
    <t xml:space="preserve">8278.14</t>
  </si>
  <si>
    <t xml:space="preserve">Roller Attendant</t>
  </si>
  <si>
    <t xml:space="preserve">8160.5900</t>
  </si>
  <si>
    <t xml:space="preserve">8277.20</t>
  </si>
  <si>
    <t xml:space="preserve">Pulp Houseman (Coffee)</t>
  </si>
  <si>
    <t xml:space="preserve">8160.6000</t>
  </si>
  <si>
    <t xml:space="preserve">8277.25</t>
  </si>
  <si>
    <t xml:space="preserve">Peeling Machine Attendant (Coffee)</t>
  </si>
  <si>
    <t xml:space="preserve">8160.6100</t>
  </si>
  <si>
    <t xml:space="preserve">8277.30</t>
  </si>
  <si>
    <t xml:space="preserve">Firing Machine Attendant (Tea)</t>
  </si>
  <si>
    <t xml:space="preserve">8160.6200</t>
  </si>
  <si>
    <t xml:space="preserve">8277.35</t>
  </si>
  <si>
    <t xml:space="preserve">Tea Blender</t>
  </si>
  <si>
    <t xml:space="preserve">8160.6300</t>
  </si>
  <si>
    <t xml:space="preserve">8277.40</t>
  </si>
  <si>
    <t xml:space="preserve">Coffee Blender</t>
  </si>
  <si>
    <t xml:space="preserve">8160.6400</t>
  </si>
  <si>
    <t xml:space="preserve">8277.45</t>
  </si>
  <si>
    <t xml:space="preserve">Coffee Roaster</t>
  </si>
  <si>
    <t xml:space="preserve">8160.6500</t>
  </si>
  <si>
    <t xml:space="preserve">8277.50</t>
  </si>
  <si>
    <t xml:space="preserve">Works Poor Attendant</t>
  </si>
  <si>
    <t xml:space="preserve">8160.5400</t>
  </si>
  <si>
    <t xml:space="preserve">8276.83</t>
  </si>
  <si>
    <t xml:space="preserve">Roaster, Cocoa Bean</t>
  </si>
  <si>
    <t xml:space="preserve">8160.6600</t>
  </si>
  <si>
    <t xml:space="preserve">8277.60</t>
  </si>
  <si>
    <t xml:space="preserve">Gur Maker</t>
  </si>
  <si>
    <t xml:space="preserve">8160.5500</t>
  </si>
  <si>
    <t xml:space="preserve">8276.85</t>
  </si>
  <si>
    <t xml:space="preserve">Brew Master</t>
  </si>
  <si>
    <t xml:space="preserve">8160.6800</t>
  </si>
  <si>
    <t xml:space="preserve">8278.10</t>
  </si>
  <si>
    <t xml:space="preserve">Tea Maker</t>
  </si>
  <si>
    <t xml:space="preserve">8160.5700</t>
  </si>
  <si>
    <t xml:space="preserve">8277.10</t>
  </si>
  <si>
    <t xml:space="preserve">Bottling Plant In-Charge</t>
  </si>
  <si>
    <t xml:space="preserve">8160.8000</t>
  </si>
  <si>
    <t xml:space="preserve">8278.50</t>
  </si>
  <si>
    <t xml:space="preserve">Bottle Washer, Machine</t>
  </si>
  <si>
    <t xml:space="preserve">8160.8100</t>
  </si>
  <si>
    <t xml:space="preserve">8278.55</t>
  </si>
  <si>
    <t xml:space="preserve">Fermentation Man</t>
  </si>
  <si>
    <t xml:space="preserve">8160.7100</t>
  </si>
  <si>
    <t xml:space="preserve">8278.16</t>
  </si>
  <si>
    <t xml:space="preserve">Carbonator Machine Attendant</t>
  </si>
  <si>
    <t xml:space="preserve">8160.8200</t>
  </si>
  <si>
    <t xml:space="preserve">8278.60</t>
  </si>
  <si>
    <t xml:space="preserve">Yeast Maker</t>
  </si>
  <si>
    <t xml:space="preserve">8160.7200</t>
  </si>
  <si>
    <t xml:space="preserve">8278.18</t>
  </si>
  <si>
    <t xml:space="preserve">Filler, Aerated Water</t>
  </si>
  <si>
    <t xml:space="preserve">8160.8300</t>
  </si>
  <si>
    <t xml:space="preserve">8278.65</t>
  </si>
  <si>
    <t xml:space="preserve">Malt Vinegar Maker</t>
  </si>
  <si>
    <t xml:space="preserve">8160.7300</t>
  </si>
  <si>
    <t xml:space="preserve">8278.20</t>
  </si>
  <si>
    <t xml:space="preserve">Filler, Aerated Water, Hand Machine</t>
  </si>
  <si>
    <t xml:space="preserve">8160.8400</t>
  </si>
  <si>
    <t xml:space="preserve">8278.70</t>
  </si>
  <si>
    <t xml:space="preserve">Filterman</t>
  </si>
  <si>
    <t xml:space="preserve">8160.7400</t>
  </si>
  <si>
    <t xml:space="preserve">8278.25</t>
  </si>
  <si>
    <t xml:space="preserve">Drier and Cooler Operator, Tobacco</t>
  </si>
  <si>
    <t xml:space="preserve">8160.8600</t>
  </si>
  <si>
    <t xml:space="preserve">8279.30</t>
  </si>
  <si>
    <t xml:space="preserve">Pasteuriser, Brewery</t>
  </si>
  <si>
    <t xml:space="preserve">8160.7500</t>
  </si>
  <si>
    <t xml:space="preserve">8278.30</t>
  </si>
  <si>
    <t xml:space="preserve">Cutting Machine Operator, Tobacco</t>
  </si>
  <si>
    <t xml:space="preserve">8160.8700</t>
  </si>
  <si>
    <t xml:space="preserve">8279.40</t>
  </si>
  <si>
    <t xml:space="preserve">Syrup Plant Operator</t>
  </si>
  <si>
    <t xml:space="preserve">8160.7600</t>
  </si>
  <si>
    <t xml:space="preserve">8278.35</t>
  </si>
  <si>
    <t xml:space="preserve">Syrup Maker</t>
  </si>
  <si>
    <t xml:space="preserve">8160.7700</t>
  </si>
  <si>
    <t xml:space="preserve">8278.40</t>
  </si>
  <si>
    <t xml:space="preserve">Syrup Mixing Plant Operator</t>
  </si>
  <si>
    <t xml:space="preserve">8160.7800</t>
  </si>
  <si>
    <t xml:space="preserve">8278.45</t>
  </si>
  <si>
    <t xml:space="preserve">Syruper</t>
  </si>
  <si>
    <t xml:space="preserve">8160.7900</t>
  </si>
  <si>
    <t xml:space="preserve">8278.47</t>
  </si>
  <si>
    <t xml:space="preserve">Cigarette Making Machine Operator</t>
  </si>
  <si>
    <t xml:space="preserve">8160.8800</t>
  </si>
  <si>
    <t xml:space="preserve">8279.50</t>
  </si>
  <si>
    <t xml:space="preserve">Stingy Cigarette Slitting Machine Operator</t>
  </si>
  <si>
    <t xml:space="preserve">8160.8900</t>
  </si>
  <si>
    <t xml:space="preserve">8279.60</t>
  </si>
  <si>
    <t xml:space="preserve">Food and Related Products Machine Operators</t>
  </si>
  <si>
    <t xml:space="preserve">8160.9900</t>
  </si>
  <si>
    <t xml:space="preserve">Refining – Machine Operator (Oil &amp; Grease)</t>
  </si>
  <si>
    <t xml:space="preserve">8160.3300</t>
  </si>
  <si>
    <t xml:space="preserve">8275.74</t>
  </si>
  <si>
    <t xml:space="preserve">Forester</t>
  </si>
  <si>
    <t xml:space="preserve">6210.0100</t>
  </si>
  <si>
    <t xml:space="preserve">6141.10</t>
  </si>
  <si>
    <t xml:space="preserve">Forest Guard</t>
  </si>
  <si>
    <t xml:space="preserve">6210.0200</t>
  </si>
  <si>
    <t xml:space="preserve">6141.15</t>
  </si>
  <si>
    <t xml:space="preserve">Forest Fire Watcher</t>
  </si>
  <si>
    <t xml:space="preserve">6210.0300</t>
  </si>
  <si>
    <t xml:space="preserve">6141.20</t>
  </si>
  <si>
    <t xml:space="preserve">Foresters and Related Workers</t>
  </si>
  <si>
    <t xml:space="preserve">6210.0400</t>
  </si>
  <si>
    <t xml:space="preserve">6141.25</t>
  </si>
  <si>
    <t xml:space="preserve">Gatherer Lac</t>
  </si>
  <si>
    <t xml:space="preserve">6210.0500</t>
  </si>
  <si>
    <t xml:space="preserve">6141.30</t>
  </si>
  <si>
    <t xml:space="preserve">Marker, Log</t>
  </si>
  <si>
    <t xml:space="preserve">6210.1200</t>
  </si>
  <si>
    <t xml:space="preserve">6141.65</t>
  </si>
  <si>
    <t xml:space="preserve">Sandalwood Extractor</t>
  </si>
  <si>
    <t xml:space="preserve">6210.1300</t>
  </si>
  <si>
    <t xml:space="preserve">6141.70</t>
  </si>
  <si>
    <t xml:space="preserve">Estimator, Timber</t>
  </si>
  <si>
    <t xml:space="preserve">6210.1400</t>
  </si>
  <si>
    <t xml:space="preserve">6141.75</t>
  </si>
  <si>
    <t xml:space="preserve">Sorter, Timber</t>
  </si>
  <si>
    <t xml:space="preserve">6210.1500</t>
  </si>
  <si>
    <t xml:space="preserve">6141.80</t>
  </si>
  <si>
    <t xml:space="preserve">Log Driver</t>
  </si>
  <si>
    <t xml:space="preserve">6210.1600</t>
  </si>
  <si>
    <t xml:space="preserve">6141.85</t>
  </si>
  <si>
    <t xml:space="preserve">Gatherer, Medicinal Herbs</t>
  </si>
  <si>
    <t xml:space="preserve">6210.0600</t>
  </si>
  <si>
    <t xml:space="preserve">6141.35</t>
  </si>
  <si>
    <t xml:space="preserve">Charcoal Burner, Wood</t>
  </si>
  <si>
    <t xml:space="preserve">6210.1700</t>
  </si>
  <si>
    <t xml:space="preserve">6142.10</t>
  </si>
  <si>
    <t xml:space="preserve">Gatherer, Firewood</t>
  </si>
  <si>
    <t xml:space="preserve">6210.0700</t>
  </si>
  <si>
    <t xml:space="preserve">6141.40</t>
  </si>
  <si>
    <t xml:space="preserve">Cane Cutter</t>
  </si>
  <si>
    <t xml:space="preserve">6210.0800</t>
  </si>
  <si>
    <t xml:space="preserve">6141.45</t>
  </si>
  <si>
    <t xml:space="preserve">Thatch Cutter</t>
  </si>
  <si>
    <t xml:space="preserve">6210.0900</t>
  </si>
  <si>
    <t xml:space="preserve">6141.50</t>
  </si>
  <si>
    <t xml:space="preserve">Log Feller</t>
  </si>
  <si>
    <t xml:space="preserve">6210.1000</t>
  </si>
  <si>
    <t xml:space="preserve">6141.55</t>
  </si>
  <si>
    <t xml:space="preserve">Wood Cutter</t>
  </si>
  <si>
    <t xml:space="preserve">6210.1100</t>
  </si>
  <si>
    <t xml:space="preserve">6141.60</t>
  </si>
  <si>
    <t xml:space="preserve">Digester Operator, Wood</t>
  </si>
  <si>
    <t xml:space="preserve">6210.1800</t>
  </si>
  <si>
    <t xml:space="preserve">6142.20</t>
  </si>
  <si>
    <t xml:space="preserve">Distiller, Turpentine and Eucalyptus</t>
  </si>
  <si>
    <t xml:space="preserve">6210.1900</t>
  </si>
  <si>
    <t xml:space="preserve">6142.30</t>
  </si>
  <si>
    <t xml:space="preserve">Lac Treater</t>
  </si>
  <si>
    <t xml:space="preserve">6210.2000</t>
  </si>
  <si>
    <t xml:space="preserve">6142.40</t>
  </si>
  <si>
    <t xml:space="preserve">Forestry and Related Workers, Other</t>
  </si>
  <si>
    <t xml:space="preserve">6210.9900</t>
  </si>
  <si>
    <t xml:space="preserve">6141.90</t>
  </si>
  <si>
    <t xml:space="preserve">Tappers</t>
  </si>
  <si>
    <t xml:space="preserve">9215.0200</t>
  </si>
  <si>
    <t xml:space="preserve">9203.90</t>
  </si>
  <si>
    <t xml:space="preserve">Forestry Labourers and Related Workers, Other</t>
  </si>
  <si>
    <t xml:space="preserve">9215.9900</t>
  </si>
  <si>
    <t xml:space="preserve">9202.90</t>
  </si>
  <si>
    <t xml:space="preserve">Labourer, Plantation</t>
  </si>
  <si>
    <t xml:space="preserve">9215.0100</t>
  </si>
  <si>
    <t xml:space="preserve">9202.10</t>
  </si>
  <si>
    <t xml:space="preserve">Loader, Transport Associate/Loader/Unloader</t>
  </si>
  <si>
    <t xml:space="preserve">9333.0202</t>
  </si>
  <si>
    <t xml:space="preserve">Freight Handlers, Other</t>
  </si>
  <si>
    <t xml:space="preserve">9333.9900</t>
  </si>
  <si>
    <t xml:space="preserve">9333.90</t>
  </si>
  <si>
    <t xml:space="preserve">Loader and Unloader</t>
  </si>
  <si>
    <t xml:space="preserve">9333.0100</t>
  </si>
  <si>
    <t xml:space="preserve">9333.10</t>
  </si>
  <si>
    <t xml:space="preserve">Loader/Loading and Unloading Operator</t>
  </si>
  <si>
    <t xml:space="preserve">9333.0101</t>
  </si>
  <si>
    <t xml:space="preserve">Warehouse Worker</t>
  </si>
  <si>
    <t xml:space="preserve">9333.0201</t>
  </si>
  <si>
    <t xml:space="preserve">Oil Crusher Operator, Animal-Driven</t>
  </si>
  <si>
    <t xml:space="preserve">7514.0200</t>
  </si>
  <si>
    <t xml:space="preserve">7414.20</t>
  </si>
  <si>
    <t xml:space="preserve">Grinder, Hand (Food Grain)</t>
  </si>
  <si>
    <t xml:space="preserve">7514.0300</t>
  </si>
  <si>
    <t xml:space="preserve">7414.30</t>
  </si>
  <si>
    <t xml:space="preserve">Pounder, Hand (Food Grain)</t>
  </si>
  <si>
    <t xml:space="preserve">7514.0400</t>
  </si>
  <si>
    <t xml:space="preserve">7414.35</t>
  </si>
  <si>
    <t xml:space="preserve">Parcher (Food Grain)</t>
  </si>
  <si>
    <t xml:space="preserve">7514.0500</t>
  </si>
  <si>
    <t xml:space="preserve">7414.36</t>
  </si>
  <si>
    <t xml:space="preserve">Washing Machine Attendant, Cleaner (Food Grain)</t>
  </si>
  <si>
    <t xml:space="preserve">7514.0600</t>
  </si>
  <si>
    <t xml:space="preserve">7414.38</t>
  </si>
  <si>
    <t xml:space="preserve">Oil Expeller Man</t>
  </si>
  <si>
    <t xml:space="preserve">7514.0100</t>
  </si>
  <si>
    <t xml:space="preserve">7414.10</t>
  </si>
  <si>
    <t xml:space="preserve">Cook, General (Food Canning and Preserving)</t>
  </si>
  <si>
    <t xml:space="preserve">7514.0700</t>
  </si>
  <si>
    <t xml:space="preserve">7414.40</t>
  </si>
  <si>
    <t xml:space="preserve">Condiment Maker (Food Canning &amp; Preserving)</t>
  </si>
  <si>
    <t xml:space="preserve">7514.0800</t>
  </si>
  <si>
    <t xml:space="preserve">7414.50</t>
  </si>
  <si>
    <t xml:space="preserve">Cannery Worker (Can &amp; Preservation)</t>
  </si>
  <si>
    <t xml:space="preserve">7514.0900</t>
  </si>
  <si>
    <t xml:space="preserve">7414.52</t>
  </si>
  <si>
    <t xml:space="preserve">Pickler (Can &amp; Preservation)</t>
  </si>
  <si>
    <t xml:space="preserve">7514.1000</t>
  </si>
  <si>
    <t xml:space="preserve">7414.54</t>
  </si>
  <si>
    <t xml:space="preserve">Preservative Filler, Machine (Can &amp; Preservation)</t>
  </si>
  <si>
    <t xml:space="preserve">7514.1100</t>
  </si>
  <si>
    <t xml:space="preserve">7414.56</t>
  </si>
  <si>
    <t xml:space="preserve">Fruits, Vegetables and Related Preservers, Others</t>
  </si>
  <si>
    <t xml:space="preserve">7514.9900</t>
  </si>
  <si>
    <t xml:space="preserve">7414.90</t>
  </si>
  <si>
    <t xml:space="preserve">Flesher, Machine/Fleshing Operator</t>
  </si>
  <si>
    <t xml:space="preserve">8155.0201</t>
  </si>
  <si>
    <t xml:space="preserve">8265.20</t>
  </si>
  <si>
    <t xml:space="preserve">Scudder, Machine/Scudding Machine Operator</t>
  </si>
  <si>
    <t xml:space="preserve">8155.0300</t>
  </si>
  <si>
    <t xml:space="preserve">8265.25</t>
  </si>
  <si>
    <t xml:space="preserve">Hide and Skin Setter, Machine/Setting Machine Operator</t>
  </si>
  <si>
    <t xml:space="preserve">8155.0400</t>
  </si>
  <si>
    <t xml:space="preserve">8265.30</t>
  </si>
  <si>
    <t xml:space="preserve">Hide Splitter, Machine/Splitting Machine Operator</t>
  </si>
  <si>
    <t xml:space="preserve">8155.0500</t>
  </si>
  <si>
    <t xml:space="preserve">8265.32</t>
  </si>
  <si>
    <t xml:space="preserve">Splitting and Sammying Operator (Leather)</t>
  </si>
  <si>
    <t xml:space="preserve">8155.0501</t>
  </si>
  <si>
    <t xml:space="preserve">Hide Shaver, Machine/Shaving Operator</t>
  </si>
  <si>
    <t xml:space="preserve">8155.0601</t>
  </si>
  <si>
    <t xml:space="preserve">8265.35</t>
  </si>
  <si>
    <t xml:space="preserve">Staker, Machine/Staking Machine Operator</t>
  </si>
  <si>
    <t xml:space="preserve">8155.0700</t>
  </si>
  <si>
    <t xml:space="preserve">8265.40</t>
  </si>
  <si>
    <t xml:space="preserve">Dehairer, Machine/Dehairer Machine Operator</t>
  </si>
  <si>
    <t xml:space="preserve">8155.0100</t>
  </si>
  <si>
    <t xml:space="preserve">8265.10</t>
  </si>
  <si>
    <t xml:space="preserve">Post Tanning Machine Operator</t>
  </si>
  <si>
    <t xml:space="preserve">8155.1102</t>
  </si>
  <si>
    <t xml:space="preserve">Leather Measuring Machine Man/Measuring Machine Operator</t>
  </si>
  <si>
    <t xml:space="preserve">8155.1200</t>
  </si>
  <si>
    <t xml:space="preserve">8265.80</t>
  </si>
  <si>
    <t xml:space="preserve">Leather Buffer, Machine/Buffing Operator</t>
  </si>
  <si>
    <t xml:space="preserve">8155.0801</t>
  </si>
  <si>
    <t xml:space="preserve">8265.45</t>
  </si>
  <si>
    <t xml:space="preserve">Leather Glazer, Machine/Glazing Machine Operator</t>
  </si>
  <si>
    <t xml:space="preserve">8155.0900</t>
  </si>
  <si>
    <t xml:space="preserve">8265.50</t>
  </si>
  <si>
    <t xml:space="preserve">Rolling Machine Operator (Leather)</t>
  </si>
  <si>
    <t xml:space="preserve">8155.1000</t>
  </si>
  <si>
    <t xml:space="preserve">8265.60</t>
  </si>
  <si>
    <t xml:space="preserve">Tanner, Rotary Drum, Continuous Process (Leather Manufacturing)/Drum Operator</t>
  </si>
  <si>
    <t xml:space="preserve">8155.1101</t>
  </si>
  <si>
    <t xml:space="preserve">8265.70</t>
  </si>
  <si>
    <t xml:space="preserve">Fur And Leather Preparing Machine Operators, Other</t>
  </si>
  <si>
    <t xml:space="preserve">8155.9900</t>
  </si>
  <si>
    <t xml:space="preserve">8265.90</t>
  </si>
  <si>
    <t xml:space="preserve">Flesher, Machine/Fleshing OperatorFlesher, Machine/Fleshing Operator</t>
  </si>
  <si>
    <t xml:space="preserve">Garbage Collector (Motor Transport)</t>
  </si>
  <si>
    <t xml:space="preserve">9611.0100</t>
  </si>
  <si>
    <t xml:space="preserve">9161.10</t>
  </si>
  <si>
    <t xml:space="preserve">Garbage Collectors, Other</t>
  </si>
  <si>
    <t xml:space="preserve">9611.9900</t>
  </si>
  <si>
    <t xml:space="preserve">9161.90</t>
  </si>
  <si>
    <t xml:space="preserve">E-Waste Collector</t>
  </si>
  <si>
    <t xml:space="preserve">9611.0201</t>
  </si>
  <si>
    <t xml:space="preserve">Planter</t>
  </si>
  <si>
    <t xml:space="preserve">6113.0100</t>
  </si>
  <si>
    <t xml:space="preserve">6113.10</t>
  </si>
  <si>
    <t xml:space="preserve">Nurseryman</t>
  </si>
  <si>
    <t xml:space="preserve">6113.0200</t>
  </si>
  <si>
    <t xml:space="preserve">6113.20</t>
  </si>
  <si>
    <t xml:space="preserve">Gardener, General</t>
  </si>
  <si>
    <t xml:space="preserve">6113.0301</t>
  </si>
  <si>
    <t xml:space="preserve">6113.30</t>
  </si>
  <si>
    <t xml:space="preserve">Groundsman</t>
  </si>
  <si>
    <t xml:space="preserve">6113.0400</t>
  </si>
  <si>
    <t xml:space="preserve">6113.40</t>
  </si>
  <si>
    <t xml:space="preserve">Greenhouse Fitter</t>
  </si>
  <si>
    <t xml:space="preserve">6113.0501</t>
  </si>
  <si>
    <t xml:space="preserve">Nursery Workers and Gardeners, Other</t>
  </si>
  <si>
    <t xml:space="preserve">6113.9900</t>
  </si>
  <si>
    <t xml:space="preserve">6113.90</t>
  </si>
  <si>
    <t xml:space="preserve">Floriculturist – (Open Cultivation)</t>
  </si>
  <si>
    <t xml:space="preserve">6113.0601</t>
  </si>
  <si>
    <t xml:space="preserve">Floriculturist – (Protected Cultivation)</t>
  </si>
  <si>
    <t xml:space="preserve">6113.0602</t>
  </si>
  <si>
    <t xml:space="preserve">Designer (Garment)</t>
  </si>
  <si>
    <t xml:space="preserve">7532.0100</t>
  </si>
  <si>
    <t xml:space="preserve">7435.10</t>
  </si>
  <si>
    <t xml:space="preserve">Designer, Leather Articles</t>
  </si>
  <si>
    <t xml:space="preserve">7532.0200</t>
  </si>
  <si>
    <t xml:space="preserve">7435.15</t>
  </si>
  <si>
    <t xml:space="preserve">Case Finisher (Leather Product)</t>
  </si>
  <si>
    <t xml:space="preserve">7532.0300</t>
  </si>
  <si>
    <t xml:space="preserve">7435.18</t>
  </si>
  <si>
    <t xml:space="preserve">Layerman</t>
  </si>
  <si>
    <t xml:space="preserve">7532.0903</t>
  </si>
  <si>
    <t xml:space="preserve">Cutter, Garment (Leather)</t>
  </si>
  <si>
    <t xml:space="preserve">7532.1000</t>
  </si>
  <si>
    <t xml:space="preserve">7435.45</t>
  </si>
  <si>
    <t xml:space="preserve">Cutter, Goods and Garments (Leather)</t>
  </si>
  <si>
    <t xml:space="preserve">7532.1001</t>
  </si>
  <si>
    <t xml:space="preserve">Cutter, Gloves (Leather)</t>
  </si>
  <si>
    <t xml:space="preserve">7532.1100</t>
  </si>
  <si>
    <t xml:space="preserve">7435.50</t>
  </si>
  <si>
    <t xml:space="preserve">Button Hole Maker</t>
  </si>
  <si>
    <t xml:space="preserve">7532.1200</t>
  </si>
  <si>
    <t xml:space="preserve">7435.55</t>
  </si>
  <si>
    <t xml:space="preserve">Frame Maker, Cap</t>
  </si>
  <si>
    <t xml:space="preserve">7532.0500</t>
  </si>
  <si>
    <t xml:space="preserve">7435.25</t>
  </si>
  <si>
    <t xml:space="preserve">Cutter Tent</t>
  </si>
  <si>
    <t xml:space="preserve">7532.1300</t>
  </si>
  <si>
    <t xml:space="preserve">7435.60</t>
  </si>
  <si>
    <t xml:space="preserve">Master Cutter (Garment)</t>
  </si>
  <si>
    <t xml:space="preserve">7532.0600</t>
  </si>
  <si>
    <t xml:space="preserve">7435.30</t>
  </si>
  <si>
    <t xml:space="preserve">Garment and Related Pattern Makers and Cutters, Other</t>
  </si>
  <si>
    <t xml:space="preserve">7532.9900</t>
  </si>
  <si>
    <t xml:space="preserve">7435.90</t>
  </si>
  <si>
    <t xml:space="preserve">Cutter, Hand (Textile Product)</t>
  </si>
  <si>
    <t xml:space="preserve">7532.0700</t>
  </si>
  <si>
    <t xml:space="preserve">7435.35</t>
  </si>
  <si>
    <t xml:space="preserve">Cutter, Machine (Textile Product)</t>
  </si>
  <si>
    <t xml:space="preserve">7532.0900</t>
  </si>
  <si>
    <t xml:space="preserve">7435.40</t>
  </si>
  <si>
    <t xml:space="preserve">Garment Cutter (CAM)</t>
  </si>
  <si>
    <t xml:space="preserve">7532.0901</t>
  </si>
  <si>
    <t xml:space="preserve">Advance Pattern Maker, Garment (CAD/CAM)</t>
  </si>
  <si>
    <t xml:space="preserve">7532.0902</t>
  </si>
  <si>
    <t xml:space="preserve">Laser Sawing Machine Operator</t>
  </si>
  <si>
    <t xml:space="preserve">8189.0401</t>
  </si>
  <si>
    <t xml:space="preserve">Blade Sawyer</t>
  </si>
  <si>
    <t xml:space="preserve">8189.0405</t>
  </si>
  <si>
    <t xml:space="preserve">Casting Machine Operator</t>
  </si>
  <si>
    <t xml:space="preserve">8189.0501</t>
  </si>
  <si>
    <t xml:space="preserve">Symmetry Analyser Machine Operator</t>
  </si>
  <si>
    <t xml:space="preserve">8189.0601</t>
  </si>
  <si>
    <t xml:space="preserve">Pantograph Machine Operator</t>
  </si>
  <si>
    <t xml:space="preserve">8189.0701</t>
  </si>
  <si>
    <t xml:space="preserve">7313.72</t>
  </si>
  <si>
    <t xml:space="preserve">Gem Grinder, Machine</t>
  </si>
  <si>
    <t xml:space="preserve">8189.0100</t>
  </si>
  <si>
    <t xml:space="preserve">8290.50</t>
  </si>
  <si>
    <t xml:space="preserve">Gem Polisher, Machine</t>
  </si>
  <si>
    <t xml:space="preserve">8189.0200</t>
  </si>
  <si>
    <t xml:space="preserve">8290.60</t>
  </si>
  <si>
    <t xml:space="preserve">CAM Machine Operator</t>
  </si>
  <si>
    <t xml:space="preserve">8189.0301</t>
  </si>
  <si>
    <t xml:space="preserve">Saw Grinder, Machine</t>
  </si>
  <si>
    <t xml:space="preserve">8190.0100</t>
  </si>
  <si>
    <t xml:space="preserve">8290.40</t>
  </si>
  <si>
    <t xml:space="preserve">Clerk, General</t>
  </si>
  <si>
    <t xml:space="preserve">4110.0100</t>
  </si>
  <si>
    <t xml:space="preserve">4190.10</t>
  </si>
  <si>
    <t xml:space="preserve">Clerk, Enquiry</t>
  </si>
  <si>
    <t xml:space="preserve">4110.0200</t>
  </si>
  <si>
    <t xml:space="preserve">4190.20</t>
  </si>
  <si>
    <t xml:space="preserve">Copy Holder</t>
  </si>
  <si>
    <t xml:space="preserve">4110.0400</t>
  </si>
  <si>
    <t xml:space="preserve">4190.35</t>
  </si>
  <si>
    <t xml:space="preserve">Timekeeper</t>
  </si>
  <si>
    <t xml:space="preserve">4110.0500</t>
  </si>
  <si>
    <t xml:space="preserve">4190.60</t>
  </si>
  <si>
    <t xml:space="preserve">Timekeeper, Motor Transport</t>
  </si>
  <si>
    <t xml:space="preserve">4110.0600</t>
  </si>
  <si>
    <t xml:space="preserve">4190.70</t>
  </si>
  <si>
    <t xml:space="preserve">Copyright Clerk</t>
  </si>
  <si>
    <t xml:space="preserve">4110.0300</t>
  </si>
  <si>
    <t xml:space="preserve">4190.30</t>
  </si>
  <si>
    <t xml:space="preserve">Physician, General</t>
  </si>
  <si>
    <t xml:space="preserve">2211.0100</t>
  </si>
  <si>
    <t xml:space="preserve">2221.10</t>
  </si>
  <si>
    <t xml:space="preserve">Surgeon, General</t>
  </si>
  <si>
    <t xml:space="preserve">2211.0200</t>
  </si>
  <si>
    <t xml:space="preserve">2221.15</t>
  </si>
  <si>
    <t xml:space="preserve">Anatomist, Medical</t>
  </si>
  <si>
    <t xml:space="preserve">2211.0300</t>
  </si>
  <si>
    <t xml:space="preserve">2221.20</t>
  </si>
  <si>
    <t xml:space="preserve">Anaesthetist</t>
  </si>
  <si>
    <t xml:space="preserve">2211.0400</t>
  </si>
  <si>
    <t xml:space="preserve">2221.25</t>
  </si>
  <si>
    <t xml:space="preserve">Psychiatrist</t>
  </si>
  <si>
    <t xml:space="preserve">2211.0500</t>
  </si>
  <si>
    <t xml:space="preserve">2221.30</t>
  </si>
  <si>
    <t xml:space="preserve">Generalist Medical Practitioners, Allopathic, Other</t>
  </si>
  <si>
    <t xml:space="preserve">2211.9900</t>
  </si>
  <si>
    <t xml:space="preserve">2221.90</t>
  </si>
  <si>
    <t xml:space="preserve">Geologist</t>
  </si>
  <si>
    <t xml:space="preserve">2114.0100</t>
  </si>
  <si>
    <t xml:space="preserve">2114.10</t>
  </si>
  <si>
    <t xml:space="preserve">Mineralogist</t>
  </si>
  <si>
    <t xml:space="preserve">2114.0600</t>
  </si>
  <si>
    <t xml:space="preserve">2114.60</t>
  </si>
  <si>
    <t xml:space="preserve">Seismologist</t>
  </si>
  <si>
    <t xml:space="preserve">2114.0700</t>
  </si>
  <si>
    <t xml:space="preserve">2114.70</t>
  </si>
  <si>
    <t xml:space="preserve">Oceanographer</t>
  </si>
  <si>
    <t xml:space="preserve">2114.0800</t>
  </si>
  <si>
    <t xml:space="preserve">2114.80</t>
  </si>
  <si>
    <t xml:space="preserve">Geologist, Petroleum</t>
  </si>
  <si>
    <t xml:space="preserve">2114.1500</t>
  </si>
  <si>
    <t xml:space="preserve">2114.15</t>
  </si>
  <si>
    <t xml:space="preserve">Hydrographer, Waterworks</t>
  </si>
  <si>
    <t xml:space="preserve">2114.5500</t>
  </si>
  <si>
    <t xml:space="preserve">2114.55</t>
  </si>
  <si>
    <t xml:space="preserve">Geologists and Geophysicists, Other</t>
  </si>
  <si>
    <t xml:space="preserve">2114.9900</t>
  </si>
  <si>
    <t xml:space="preserve">2114.90</t>
  </si>
  <si>
    <t xml:space="preserve">Petrologists</t>
  </si>
  <si>
    <t xml:space="preserve">2114.0200</t>
  </si>
  <si>
    <t xml:space="preserve">2114.20</t>
  </si>
  <si>
    <t xml:space="preserve">Palaeontologist</t>
  </si>
  <si>
    <t xml:space="preserve">2114.0300</t>
  </si>
  <si>
    <t xml:space="preserve">2114.30</t>
  </si>
  <si>
    <t xml:space="preserve">Geophysicist</t>
  </si>
  <si>
    <t xml:space="preserve">2114.0400</t>
  </si>
  <si>
    <t xml:space="preserve">2114.40</t>
  </si>
  <si>
    <t xml:space="preserve">Hydrologist</t>
  </si>
  <si>
    <t xml:space="preserve">2114.0500</t>
  </si>
  <si>
    <t xml:space="preserve">2114.50</t>
  </si>
  <si>
    <t xml:space="preserve">Blowing Machine Operator (Glass)</t>
  </si>
  <si>
    <t xml:space="preserve">8181.0100</t>
  </si>
  <si>
    <t xml:space="preserve">8131.10</t>
  </si>
  <si>
    <t xml:space="preserve">Machineman, Sheet Glass</t>
  </si>
  <si>
    <t xml:space="preserve">8181.0200</t>
  </si>
  <si>
    <t xml:space="preserve">8131.15</t>
  </si>
  <si>
    <t xml:space="preserve">Pressman (Glass)</t>
  </si>
  <si>
    <t xml:space="preserve">8181.0300</t>
  </si>
  <si>
    <t xml:space="preserve">8131.20</t>
  </si>
  <si>
    <t xml:space="preserve">Pressman (Ceramics)</t>
  </si>
  <si>
    <t xml:space="preserve">8181.0400</t>
  </si>
  <si>
    <t xml:space="preserve">8131.22</t>
  </si>
  <si>
    <t xml:space="preserve">Extruding Press Operator, Clay</t>
  </si>
  <si>
    <t xml:space="preserve">8181.0500</t>
  </si>
  <si>
    <t xml:space="preserve">8131.23</t>
  </si>
  <si>
    <t xml:space="preserve">Rollerman (Glass)</t>
  </si>
  <si>
    <t xml:space="preserve">8181.0600</t>
  </si>
  <si>
    <t xml:space="preserve">8131.25</t>
  </si>
  <si>
    <t xml:space="preserve">Pressman (Abrasive)</t>
  </si>
  <si>
    <t xml:space="preserve">8181.0700</t>
  </si>
  <si>
    <t xml:space="preserve">8131.28</t>
  </si>
  <si>
    <t xml:space="preserve">Tube and Rod Drawer (Glass)</t>
  </si>
  <si>
    <t xml:space="preserve">8181.0800</t>
  </si>
  <si>
    <t xml:space="preserve">8131.30</t>
  </si>
  <si>
    <t xml:space="preserve">Polisher (Glass Manufacturing)</t>
  </si>
  <si>
    <t xml:space="preserve">8181.1000</t>
  </si>
  <si>
    <t xml:space="preserve">8131.37</t>
  </si>
  <si>
    <t xml:space="preserve">Modeller, Pottery and Porcelain</t>
  </si>
  <si>
    <t xml:space="preserve">8181.1100</t>
  </si>
  <si>
    <t xml:space="preserve">8131.40</t>
  </si>
  <si>
    <t xml:space="preserve">Furnace Man, Glass/Furnace Operator</t>
  </si>
  <si>
    <t xml:space="preserve">8181.1200</t>
  </si>
  <si>
    <t xml:space="preserve">8131.50</t>
  </si>
  <si>
    <t xml:space="preserve">Annealer (Glass Product)</t>
  </si>
  <si>
    <t xml:space="preserve">8181.1400</t>
  </si>
  <si>
    <t xml:space="preserve">8131.65</t>
  </si>
  <si>
    <t xml:space="preserve">Kiln Man, Pottery and Porcelain</t>
  </si>
  <si>
    <t xml:space="preserve">8181.1500</t>
  </si>
  <si>
    <t xml:space="preserve">8131.70</t>
  </si>
  <si>
    <t xml:space="preserve">Kiln Loader, Pottery and Porcelain</t>
  </si>
  <si>
    <t xml:space="preserve">8181.1600</t>
  </si>
  <si>
    <t xml:space="preserve">8131.72</t>
  </si>
  <si>
    <t xml:space="preserve">Kiln Man, Brick and Tile</t>
  </si>
  <si>
    <t xml:space="preserve">8181.1700</t>
  </si>
  <si>
    <t xml:space="preserve">8131.75</t>
  </si>
  <si>
    <t xml:space="preserve">Kiln Loader, Brick and Tile</t>
  </si>
  <si>
    <t xml:space="preserve">8181.1800</t>
  </si>
  <si>
    <t xml:space="preserve">8131.77</t>
  </si>
  <si>
    <t xml:space="preserve">Bricklayer (Brick &amp; Tile)</t>
  </si>
  <si>
    <t xml:space="preserve">8181.1900</t>
  </si>
  <si>
    <t xml:space="preserve">8131.79</t>
  </si>
  <si>
    <t xml:space="preserve">Graduating Machine Operator (Glass)</t>
  </si>
  <si>
    <t xml:space="preserve">8181.2000</t>
  </si>
  <si>
    <t xml:space="preserve">8131.80</t>
  </si>
  <si>
    <t xml:space="preserve">Batch Mixer (Glass)</t>
  </si>
  <si>
    <t xml:space="preserve">8181.2100</t>
  </si>
  <si>
    <t xml:space="preserve">8139.10</t>
  </si>
  <si>
    <t xml:space="preserve">Abrasive Mixer</t>
  </si>
  <si>
    <t xml:space="preserve">8181.2200</t>
  </si>
  <si>
    <t xml:space="preserve">8139.15</t>
  </si>
  <si>
    <t xml:space="preserve">Pug Mill Operator (Ceramics)</t>
  </si>
  <si>
    <t xml:space="preserve">8181.2500</t>
  </si>
  <si>
    <t xml:space="preserve">8139.40</t>
  </si>
  <si>
    <t xml:space="preserve">Shaving Machine Operator (Abrasive)</t>
  </si>
  <si>
    <t xml:space="preserve">8181.2600</t>
  </si>
  <si>
    <t xml:space="preserve">8139.50</t>
  </si>
  <si>
    <t xml:space="preserve">Slip Maker (Ceramics)</t>
  </si>
  <si>
    <t xml:space="preserve">8181.2700</t>
  </si>
  <si>
    <t xml:space="preserve">8139.60</t>
  </si>
  <si>
    <t xml:space="preserve">Glaze Maker</t>
  </si>
  <si>
    <t xml:space="preserve">8181.2800</t>
  </si>
  <si>
    <t xml:space="preserve">8139.65</t>
  </si>
  <si>
    <t xml:space="preserve">Edge Operator (Abrasive)</t>
  </si>
  <si>
    <t xml:space="preserve">8181.2900</t>
  </si>
  <si>
    <t xml:space="preserve">8139.70</t>
  </si>
  <si>
    <t xml:space="preserve">Wet Disk Operator (Abrasive)</t>
  </si>
  <si>
    <t xml:space="preserve">8181.3000</t>
  </si>
  <si>
    <t xml:space="preserve">8139.75</t>
  </si>
  <si>
    <t xml:space="preserve">Burner Cement</t>
  </si>
  <si>
    <t xml:space="preserve">8181.3100</t>
  </si>
  <si>
    <t xml:space="preserve">8139.80</t>
  </si>
  <si>
    <t xml:space="preserve">Clay Modeller</t>
  </si>
  <si>
    <t xml:space="preserve">8181.3200</t>
  </si>
  <si>
    <t xml:space="preserve">8139.82</t>
  </si>
  <si>
    <t xml:space="preserve">Furnace Helper</t>
  </si>
  <si>
    <t xml:space="preserve">8181.3400</t>
  </si>
  <si>
    <t xml:space="preserve">Mixing Machine Operator (Abrasive)</t>
  </si>
  <si>
    <t xml:space="preserve">8181.2300</t>
  </si>
  <si>
    <t xml:space="preserve">8139.20</t>
  </si>
  <si>
    <t xml:space="preserve">Glass and Ceramics Plant Operators, Other</t>
  </si>
  <si>
    <t xml:space="preserve">8181.9900</t>
  </si>
  <si>
    <t xml:space="preserve">8139.90</t>
  </si>
  <si>
    <t xml:space="preserve">Ball Mill Operator (Cement &amp; Ceramics)</t>
  </si>
  <si>
    <t xml:space="preserve">8181.2400</t>
  </si>
  <si>
    <t xml:space="preserve">8139.30</t>
  </si>
  <si>
    <t xml:space="preserve">Fiberglass – Machine Operator</t>
  </si>
  <si>
    <t xml:space="preserve">8181.3300</t>
  </si>
  <si>
    <t xml:space="preserve">8139.85</t>
  </si>
  <si>
    <t xml:space="preserve">Blower, Glass</t>
  </si>
  <si>
    <t xml:space="preserve">7315.0100</t>
  </si>
  <si>
    <t xml:space="preserve">7322.10</t>
  </si>
  <si>
    <t xml:space="preserve">Blower, Laboratory Apparatus</t>
  </si>
  <si>
    <t xml:space="preserve">7315.0200</t>
  </si>
  <si>
    <t xml:space="preserve">7322.12</t>
  </si>
  <si>
    <t xml:space="preserve">Blower Helper (Glass)</t>
  </si>
  <si>
    <t xml:space="preserve">7315.0300</t>
  </si>
  <si>
    <t xml:space="preserve">7322.14</t>
  </si>
  <si>
    <t xml:space="preserve">7322.16</t>
  </si>
  <si>
    <t xml:space="preserve">7322.18</t>
  </si>
  <si>
    <t xml:space="preserve">Mouldman (Glass)</t>
  </si>
  <si>
    <t xml:space="preserve">7315.0600</t>
  </si>
  <si>
    <t xml:space="preserve">7322.20</t>
  </si>
  <si>
    <t xml:space="preserve">Bender (Glass)</t>
  </si>
  <si>
    <t xml:space="preserve">7315.0700</t>
  </si>
  <si>
    <t xml:space="preserve">7322.22</t>
  </si>
  <si>
    <t xml:space="preserve">Gatherer (Glass)</t>
  </si>
  <si>
    <t xml:space="preserve">7315.0800</t>
  </si>
  <si>
    <t xml:space="preserve">7322.24</t>
  </si>
  <si>
    <t xml:space="preserve">Drawer (Glass)</t>
  </si>
  <si>
    <t xml:space="preserve">7315.0900</t>
  </si>
  <si>
    <t xml:space="preserve">7322.26</t>
  </si>
  <si>
    <t xml:space="preserve">Bead Maker (Glass)</t>
  </si>
  <si>
    <t xml:space="preserve">7315.1000</t>
  </si>
  <si>
    <t xml:space="preserve">7322.28</t>
  </si>
  <si>
    <t xml:space="preserve">Optical Worker</t>
  </si>
  <si>
    <t xml:space="preserve">7315.1100</t>
  </si>
  <si>
    <t xml:space="preserve">7322.29</t>
  </si>
  <si>
    <t xml:space="preserve">Lens Grinder</t>
  </si>
  <si>
    <t xml:space="preserve">7315.1200</t>
  </si>
  <si>
    <t xml:space="preserve">7322.30</t>
  </si>
  <si>
    <t xml:space="preserve">Edger (Optical glass)</t>
  </si>
  <si>
    <t xml:space="preserve">7315.1300</t>
  </si>
  <si>
    <t xml:space="preserve">7322.32</t>
  </si>
  <si>
    <t xml:space="preserve">Wheel Grinder (Glass)</t>
  </si>
  <si>
    <t xml:space="preserve">7315.1600</t>
  </si>
  <si>
    <t xml:space="preserve">7322.38</t>
  </si>
  <si>
    <t xml:space="preserve">Edge Finisher (Glass)</t>
  </si>
  <si>
    <t xml:space="preserve">7315.1700</t>
  </si>
  <si>
    <t xml:space="preserve">7322.40</t>
  </si>
  <si>
    <t xml:space="preserve">Cutter, Glass Bangles</t>
  </si>
  <si>
    <t xml:space="preserve">7315.1800</t>
  </si>
  <si>
    <t xml:space="preserve">7322.45</t>
  </si>
  <si>
    <t xml:space="preserve">Cooling Man (Glass)</t>
  </si>
  <si>
    <t xml:space="preserve">7315.1900</t>
  </si>
  <si>
    <t xml:space="preserve">7322.50</t>
  </si>
  <si>
    <t xml:space="preserve">Glass Cutter, Other</t>
  </si>
  <si>
    <t xml:space="preserve">7315.2000</t>
  </si>
  <si>
    <t xml:space="preserve">7322.55</t>
  </si>
  <si>
    <t xml:space="preserve">Joiner, Glass Bangles</t>
  </si>
  <si>
    <t xml:space="preserve">7315.2100</t>
  </si>
  <si>
    <t xml:space="preserve">7322.60</t>
  </si>
  <si>
    <t xml:space="preserve">Crusher Attendant, Stone</t>
  </si>
  <si>
    <t xml:space="preserve">7315.2200</t>
  </si>
  <si>
    <t xml:space="preserve">7329.10</t>
  </si>
  <si>
    <t xml:space="preserve">Grinder (Stone and Clay)</t>
  </si>
  <si>
    <t xml:space="preserve">7315.2300</t>
  </si>
  <si>
    <t xml:space="preserve">7329.15</t>
  </si>
  <si>
    <t xml:space="preserve">Sorter, Glass Products</t>
  </si>
  <si>
    <t xml:space="preserve">7315.2400</t>
  </si>
  <si>
    <t xml:space="preserve">7329.30</t>
  </si>
  <si>
    <t xml:space="preserve">Lens Polisher (Optical)</t>
  </si>
  <si>
    <t xml:space="preserve">7315.1400</t>
  </si>
  <si>
    <t xml:space="preserve">7322.34</t>
  </si>
  <si>
    <t xml:space="preserve">Lens Centerer and Edger (Optical Glass)</t>
  </si>
  <si>
    <t xml:space="preserve">7315.1500</t>
  </si>
  <si>
    <t xml:space="preserve">7322.35</t>
  </si>
  <si>
    <t xml:space="preserve">Glass Makers, Cutters, Grinders and Finishers, Other</t>
  </si>
  <si>
    <t xml:space="preserve">7315.9900</t>
  </si>
  <si>
    <t xml:space="preserve">7322.90</t>
  </si>
  <si>
    <t xml:space="preserve">Glazier (Construction)</t>
  </si>
  <si>
    <t xml:space="preserve">7125.0100</t>
  </si>
  <si>
    <t xml:space="preserve">7135.10</t>
  </si>
  <si>
    <t xml:space="preserve">Glazier, Vehicle</t>
  </si>
  <si>
    <t xml:space="preserve">7125.0200</t>
  </si>
  <si>
    <t xml:space="preserve">7135.20</t>
  </si>
  <si>
    <t xml:space="preserve">Picture Framer</t>
  </si>
  <si>
    <t xml:space="preserve">7125.0300</t>
  </si>
  <si>
    <t xml:space="preserve">7135.30</t>
  </si>
  <si>
    <t xml:space="preserve">Glaziers, Other</t>
  </si>
  <si>
    <t xml:space="preserve">7125.9900</t>
  </si>
  <si>
    <t xml:space="preserve">7135.90</t>
  </si>
  <si>
    <t xml:space="preserve">Village Level Worker</t>
  </si>
  <si>
    <t xml:space="preserve">3353.0100</t>
  </si>
  <si>
    <t xml:space="preserve">3443.10</t>
  </si>
  <si>
    <t xml:space="preserve">Patroller, Women</t>
  </si>
  <si>
    <t xml:space="preserve">3353.0200</t>
  </si>
  <si>
    <t xml:space="preserve">3443.20</t>
  </si>
  <si>
    <t xml:space="preserve">Government Social Benefits Officials, Other</t>
  </si>
  <si>
    <t xml:space="preserve">3353.9900</t>
  </si>
  <si>
    <t xml:space="preserve">3443.90</t>
  </si>
  <si>
    <t xml:space="preserve">Inspector, Excise</t>
  </si>
  <si>
    <t xml:space="preserve">3352.0100</t>
  </si>
  <si>
    <t xml:space="preserve">3442.10</t>
  </si>
  <si>
    <t xml:space="preserve">Government Tax and Excise Officials, Other</t>
  </si>
  <si>
    <t xml:space="preserve">3352.9900</t>
  </si>
  <si>
    <t xml:space="preserve">3442.90</t>
  </si>
  <si>
    <t xml:space="preserve">Designer (CAD)</t>
  </si>
  <si>
    <t xml:space="preserve">2166.0401</t>
  </si>
  <si>
    <t xml:space="preserve">Texturing Artist</t>
  </si>
  <si>
    <t xml:space="preserve">2166.0204</t>
  </si>
  <si>
    <t xml:space="preserve">Graphic Designer</t>
  </si>
  <si>
    <t xml:space="preserve">2166.0501</t>
  </si>
  <si>
    <t xml:space="preserve">3471.70</t>
  </si>
  <si>
    <t xml:space="preserve">Animation Director</t>
  </si>
  <si>
    <t xml:space="preserve">2166.0205</t>
  </si>
  <si>
    <t xml:space="preserve">Character Designer</t>
  </si>
  <si>
    <t xml:space="preserve">2166.0206</t>
  </si>
  <si>
    <t xml:space="preserve">Clean-Up Artist</t>
  </si>
  <si>
    <t xml:space="preserve">2166.0207</t>
  </si>
  <si>
    <t xml:space="preserve">Compositor</t>
  </si>
  <si>
    <t xml:space="preserve">2166.0208</t>
  </si>
  <si>
    <t xml:space="preserve">Storyboard Artist</t>
  </si>
  <si>
    <t xml:space="preserve">2166.0209</t>
  </si>
  <si>
    <t xml:space="preserve">Commercial Artist</t>
  </si>
  <si>
    <t xml:space="preserve">2166.0100</t>
  </si>
  <si>
    <t xml:space="preserve">2452.60</t>
  </si>
  <si>
    <t xml:space="preserve">Rendering Artist</t>
  </si>
  <si>
    <t xml:space="preserve">2166.0210</t>
  </si>
  <si>
    <t xml:space="preserve">Art Director</t>
  </si>
  <si>
    <t xml:space="preserve">2166.0111</t>
  </si>
  <si>
    <t xml:space="preserve">VFX Editor</t>
  </si>
  <si>
    <t xml:space="preserve">2166.0211</t>
  </si>
  <si>
    <t xml:space="preserve">Multimedia Artist and Animator/Animator</t>
  </si>
  <si>
    <t xml:space="preserve">2166.0201</t>
  </si>
  <si>
    <t xml:space="preserve">2452.70</t>
  </si>
  <si>
    <t xml:space="preserve">Roto Artist</t>
  </si>
  <si>
    <t xml:space="preserve">2166.0212</t>
  </si>
  <si>
    <t xml:space="preserve">Modeller</t>
  </si>
  <si>
    <t xml:space="preserve">2166.0202</t>
  </si>
  <si>
    <t xml:space="preserve">Web Designer</t>
  </si>
  <si>
    <t xml:space="preserve">2166.0300</t>
  </si>
  <si>
    <t xml:space="preserve">2452.80</t>
  </si>
  <si>
    <t xml:space="preserve">Rigging Artist</t>
  </si>
  <si>
    <t xml:space="preserve">2166.0203</t>
  </si>
  <si>
    <t xml:space="preserve">Colour Key Artist</t>
  </si>
  <si>
    <t xml:space="preserve">2166.0511</t>
  </si>
  <si>
    <t xml:space="preserve">Colourist</t>
  </si>
  <si>
    <t xml:space="preserve">2166.0512</t>
  </si>
  <si>
    <t xml:space="preserve">Assistant Hair Stylist</t>
  </si>
  <si>
    <t xml:space="preserve">5141.0201</t>
  </si>
  <si>
    <t xml:space="preserve">Barber</t>
  </si>
  <si>
    <t xml:space="preserve">5141.0300</t>
  </si>
  <si>
    <t xml:space="preserve">5141.20</t>
  </si>
  <si>
    <t xml:space="preserve">Hairdressers, Other</t>
  </si>
  <si>
    <t xml:space="preserve">5141.9900</t>
  </si>
  <si>
    <t xml:space="preserve">Hairdresser (Ladies)</t>
  </si>
  <si>
    <t xml:space="preserve">5141.0100</t>
  </si>
  <si>
    <t xml:space="preserve">5141.10</t>
  </si>
  <si>
    <t xml:space="preserve">Hair Stylist</t>
  </si>
  <si>
    <t xml:space="preserve">5141.0202</t>
  </si>
  <si>
    <t xml:space="preserve">5141.15</t>
  </si>
  <si>
    <t xml:space="preserve">Hand Pedal Vehicle Drivers, Other</t>
  </si>
  <si>
    <t xml:space="preserve">9331.9900</t>
  </si>
  <si>
    <t xml:space="preserve">9331.90</t>
  </si>
  <si>
    <t xml:space="preserve">Driver, Cycle Rickshaw</t>
  </si>
  <si>
    <t xml:space="preserve">9331.0100</t>
  </si>
  <si>
    <t xml:space="preserve">9331.10</t>
  </si>
  <si>
    <t xml:space="preserve">Hand Cart Man</t>
  </si>
  <si>
    <t xml:space="preserve">9331.0300</t>
  </si>
  <si>
    <t xml:space="preserve">9331.30</t>
  </si>
  <si>
    <t xml:space="preserve">Traffic Hand, Gliding</t>
  </si>
  <si>
    <t xml:space="preserve">9331.0400</t>
  </si>
  <si>
    <t xml:space="preserve">9331.40</t>
  </si>
  <si>
    <t xml:space="preserve">Transport Equipment Operators and Drivers, Other</t>
  </si>
  <si>
    <t xml:space="preserve">9331.0600</t>
  </si>
  <si>
    <t xml:space="preserve">9331.60</t>
  </si>
  <si>
    <t xml:space="preserve">Transport Service Operator</t>
  </si>
  <si>
    <t xml:space="preserve">9331.0700</t>
  </si>
  <si>
    <t xml:space="preserve">9331.70</t>
  </si>
  <si>
    <t xml:space="preserve">Dry Cleaner, Spot</t>
  </si>
  <si>
    <t xml:space="preserve">9121.0700</t>
  </si>
  <si>
    <t xml:space="preserve">9133.70</t>
  </si>
  <si>
    <t xml:space="preserve">Launderers, Dry Cleaners and Pressers, Other</t>
  </si>
  <si>
    <t xml:space="preserve">9121.9900</t>
  </si>
  <si>
    <t xml:space="preserve">9133.90</t>
  </si>
  <si>
    <t xml:space="preserve">Dhobi</t>
  </si>
  <si>
    <t xml:space="preserve">9121.0100</t>
  </si>
  <si>
    <t xml:space="preserve">9133.10</t>
  </si>
  <si>
    <t xml:space="preserve">Laundry Workers (Marker, Sorter)</t>
  </si>
  <si>
    <t xml:space="preserve">9121.0200</t>
  </si>
  <si>
    <t xml:space="preserve">9133.20</t>
  </si>
  <si>
    <t xml:space="preserve">Dry Cleaner, Hand</t>
  </si>
  <si>
    <t xml:space="preserve">9121.0300</t>
  </si>
  <si>
    <t xml:space="preserve">9133.30</t>
  </si>
  <si>
    <t xml:space="preserve">Spot Remover</t>
  </si>
  <si>
    <t xml:space="preserve">9121.0400</t>
  </si>
  <si>
    <t xml:space="preserve">9133.40</t>
  </si>
  <si>
    <t xml:space="preserve">Rug Cleaner</t>
  </si>
  <si>
    <t xml:space="preserve">9121.0500</t>
  </si>
  <si>
    <t xml:space="preserve">9133.50</t>
  </si>
  <si>
    <t xml:space="preserve">Presser, Hand</t>
  </si>
  <si>
    <t xml:space="preserve">9121.0600</t>
  </si>
  <si>
    <t xml:space="preserve">9133.60</t>
  </si>
  <si>
    <t xml:space="preserve">Stamper, Hand</t>
  </si>
  <si>
    <t xml:space="preserve">9321.0400</t>
  </si>
  <si>
    <t xml:space="preserve">9322.40</t>
  </si>
  <si>
    <t xml:space="preserve">Weigher</t>
  </si>
  <si>
    <t xml:space="preserve">9321.1101</t>
  </si>
  <si>
    <t xml:space="preserve">9322.76</t>
  </si>
  <si>
    <t xml:space="preserve">Issuing and Return In-Charge</t>
  </si>
  <si>
    <t xml:space="preserve">9321.1102</t>
  </si>
  <si>
    <t xml:space="preserve">Diamond Bagger and Flueter</t>
  </si>
  <si>
    <t xml:space="preserve">9321.1103</t>
  </si>
  <si>
    <t xml:space="preserve">Counter</t>
  </si>
  <si>
    <t xml:space="preserve">9321.1200</t>
  </si>
  <si>
    <t xml:space="preserve">9322.80</t>
  </si>
  <si>
    <t xml:space="preserve">Packer, Hand</t>
  </si>
  <si>
    <t xml:space="preserve">9321.0101</t>
  </si>
  <si>
    <t xml:space="preserve">9322.10</t>
  </si>
  <si>
    <t xml:space="preserve">Packager and Despatcher</t>
  </si>
  <si>
    <t xml:space="preserve">9321.0102</t>
  </si>
  <si>
    <t xml:space="preserve">Labeller</t>
  </si>
  <si>
    <t xml:space="preserve">9321.0201</t>
  </si>
  <si>
    <t xml:space="preserve">9322.20</t>
  </si>
  <si>
    <t xml:space="preserve">Tagger and Labeller</t>
  </si>
  <si>
    <t xml:space="preserve">9321.0205</t>
  </si>
  <si>
    <t xml:space="preserve">Stenciler</t>
  </si>
  <si>
    <t xml:space="preserve">9321.0300</t>
  </si>
  <si>
    <t xml:space="preserve">9322.30</t>
  </si>
  <si>
    <t xml:space="preserve">Container Washer, Machine</t>
  </si>
  <si>
    <t xml:space="preserve">9321.1300</t>
  </si>
  <si>
    <t xml:space="preserve">9322.85</t>
  </si>
  <si>
    <t xml:space="preserve">Machining Assistant or Helper</t>
  </si>
  <si>
    <t xml:space="preserve">9321.1401</t>
  </si>
  <si>
    <t xml:space="preserve">Hand Packers, Others</t>
  </si>
  <si>
    <t xml:space="preserve">9321.9900</t>
  </si>
  <si>
    <t xml:space="preserve">9322.90</t>
  </si>
  <si>
    <t xml:space="preserve">Candle Maker</t>
  </si>
  <si>
    <t xml:space="preserve">7318.0100</t>
  </si>
  <si>
    <t xml:space="preserve">7332.10</t>
  </si>
  <si>
    <t xml:space="preserve">Candle Moulder</t>
  </si>
  <si>
    <t xml:space="preserve">7318.0200</t>
  </si>
  <si>
    <t xml:space="preserve">7332.20</t>
  </si>
  <si>
    <t xml:space="preserve">Carpet Weaver (Carpet &amp; Rug)</t>
  </si>
  <si>
    <t xml:space="preserve">7318.0300</t>
  </si>
  <si>
    <t xml:space="preserve">7332.30</t>
  </si>
  <si>
    <t xml:space="preserve">Hand Dyer</t>
  </si>
  <si>
    <t xml:space="preserve">7318.0600</t>
  </si>
  <si>
    <t xml:space="preserve">7332.60</t>
  </si>
  <si>
    <t xml:space="preserve">Root Cutter, Jute</t>
  </si>
  <si>
    <t xml:space="preserve">7318.2100</t>
  </si>
  <si>
    <t xml:space="preserve">7431.34</t>
  </si>
  <si>
    <t xml:space="preserve">Repairer, Fabrics/Fabric Mender</t>
  </si>
  <si>
    <t xml:space="preserve">7318.0800</t>
  </si>
  <si>
    <t xml:space="preserve">7332.80</t>
  </si>
  <si>
    <t xml:space="preserve">Bale Breaker Tenter, Cotton/Blow Room Operator</t>
  </si>
  <si>
    <t xml:space="preserve">7318.0900</t>
  </si>
  <si>
    <t xml:space="preserve">7431.10</t>
  </si>
  <si>
    <t xml:space="preserve">Batching Worker, Wool</t>
  </si>
  <si>
    <t xml:space="preserve">7318.1000</t>
  </si>
  <si>
    <t xml:space="preserve">7431.12</t>
  </si>
  <si>
    <t xml:space="preserve">Wool Sorter</t>
  </si>
  <si>
    <t xml:space="preserve">7318.1100</t>
  </si>
  <si>
    <t xml:space="preserve">7431.14</t>
  </si>
  <si>
    <t xml:space="preserve">Selector, Jute</t>
  </si>
  <si>
    <t xml:space="preserve">7318.1200</t>
  </si>
  <si>
    <t xml:space="preserve">7431.16</t>
  </si>
  <si>
    <t xml:space="preserve">Grader, Coir</t>
  </si>
  <si>
    <t xml:space="preserve">7318.1300</t>
  </si>
  <si>
    <t xml:space="preserve">7431.18</t>
  </si>
  <si>
    <t xml:space="preserve">Waste Machine Man (Cotton Textile)/Waste Collection Machine Operator</t>
  </si>
  <si>
    <t xml:space="preserve">7318.1500</t>
  </si>
  <si>
    <t xml:space="preserve">7431.22</t>
  </si>
  <si>
    <t xml:space="preserve">Scouring Man, Wool/Wool Washing and Scouring Operator</t>
  </si>
  <si>
    <t xml:space="preserve">7318.1800</t>
  </si>
  <si>
    <t xml:space="preserve">7431.28</t>
  </si>
  <si>
    <t xml:space="preserve">Knitting Machine Operator, Automatic</t>
  </si>
  <si>
    <t xml:space="preserve">7318.0400</t>
  </si>
  <si>
    <t xml:space="preserve">7332.40</t>
  </si>
  <si>
    <t xml:space="preserve">Cooker (Silkworm)</t>
  </si>
  <si>
    <t xml:space="preserve">7318.1900</t>
  </si>
  <si>
    <t xml:space="preserve">7431.30</t>
  </si>
  <si>
    <t xml:space="preserve">Hand Printer, Textile/Hand Block Printer</t>
  </si>
  <si>
    <t xml:space="preserve">7318.0500</t>
  </si>
  <si>
    <t xml:space="preserve">7332.50</t>
  </si>
  <si>
    <t xml:space="preserve">Softener Feeder and Receiver, Jute</t>
  </si>
  <si>
    <t xml:space="preserve">7318.2000</t>
  </si>
  <si>
    <t xml:space="preserve">7431.32</t>
  </si>
  <si>
    <t xml:space="preserve">Breaker Feeder, Jute</t>
  </si>
  <si>
    <t xml:space="preserve">7318.3800</t>
  </si>
  <si>
    <t xml:space="preserve">7431.72</t>
  </si>
  <si>
    <t xml:space="preserve">Finisher Feeder, Jute</t>
  </si>
  <si>
    <t xml:space="preserve">7318.4000</t>
  </si>
  <si>
    <t xml:space="preserve">7431.75</t>
  </si>
  <si>
    <t xml:space="preserve">Teaser (Feeder and Receiver) Jute</t>
  </si>
  <si>
    <t xml:space="preserve">7318.2200</t>
  </si>
  <si>
    <t xml:space="preserve">7431.40</t>
  </si>
  <si>
    <t xml:space="preserve">Hand Spinner (Cotton and Woollen Textile)</t>
  </si>
  <si>
    <t xml:space="preserve">7318.4200</t>
  </si>
  <si>
    <t xml:space="preserve">7432.20</t>
  </si>
  <si>
    <t xml:space="preserve">Fibre Preparer, Coir</t>
  </si>
  <si>
    <t xml:space="preserve">7318.2300</t>
  </si>
  <si>
    <t xml:space="preserve">7431.42</t>
  </si>
  <si>
    <t xml:space="preserve">Piecer</t>
  </si>
  <si>
    <t xml:space="preserve">7318.4300</t>
  </si>
  <si>
    <t xml:space="preserve">7432.22</t>
  </si>
  <si>
    <t xml:space="preserve">Cardtenter, Cotton/Carding Tenter</t>
  </si>
  <si>
    <t xml:space="preserve">7318.2700</t>
  </si>
  <si>
    <t xml:space="preserve">7431.50</t>
  </si>
  <si>
    <t xml:space="preserve">Spinner, Jute</t>
  </si>
  <si>
    <t xml:space="preserve">7318.4500</t>
  </si>
  <si>
    <t xml:space="preserve">7432.26</t>
  </si>
  <si>
    <t xml:space="preserve">Set Framer, Silk</t>
  </si>
  <si>
    <t xml:space="preserve">7318.2800</t>
  </si>
  <si>
    <t xml:space="preserve">7431.52</t>
  </si>
  <si>
    <t xml:space="preserve">Spinner, Coir</t>
  </si>
  <si>
    <t xml:space="preserve">7318.4600</t>
  </si>
  <si>
    <t xml:space="preserve">7432.28</t>
  </si>
  <si>
    <t xml:space="preserve">Sliver Lap Man/Combing Preparatory Operator</t>
  </si>
  <si>
    <t xml:space="preserve">7318.2900</t>
  </si>
  <si>
    <t xml:space="preserve">7431.54</t>
  </si>
  <si>
    <t xml:space="preserve">Twister</t>
  </si>
  <si>
    <t xml:space="preserve">7318.4700</t>
  </si>
  <si>
    <t xml:space="preserve">7432.30</t>
  </si>
  <si>
    <t xml:space="preserve">Comb Minder/Combing Preparatory Operator</t>
  </si>
  <si>
    <t xml:space="preserve">7318.3400</t>
  </si>
  <si>
    <t xml:space="preserve">7431.66</t>
  </si>
  <si>
    <t xml:space="preserve">Doffer, Spinning/Ring Spinning Doffer</t>
  </si>
  <si>
    <t xml:space="preserve">7318.4800</t>
  </si>
  <si>
    <t xml:space="preserve">7432.32</t>
  </si>
  <si>
    <t xml:space="preserve">Gill Box Man</t>
  </si>
  <si>
    <t xml:space="preserve">7318.3500</t>
  </si>
  <si>
    <t xml:space="preserve">7431.68</t>
  </si>
  <si>
    <t xml:space="preserve">Spreader Feeder, Jute</t>
  </si>
  <si>
    <t xml:space="preserve">7318.3600</t>
  </si>
  <si>
    <t xml:space="preserve">7431.70</t>
  </si>
  <si>
    <t xml:space="preserve">Spreader, Receiver, Jute</t>
  </si>
  <si>
    <t xml:space="preserve">7318.3700</t>
  </si>
  <si>
    <t xml:space="preserve">7431.71</t>
  </si>
  <si>
    <t xml:space="preserve">Lattice Pegger</t>
  </si>
  <si>
    <t xml:space="preserve">7318.5200</t>
  </si>
  <si>
    <t xml:space="preserve">7432.50</t>
  </si>
  <si>
    <t xml:space="preserve">Knitter, Hand</t>
  </si>
  <si>
    <t xml:space="preserve">7318.6600</t>
  </si>
  <si>
    <t xml:space="preserve">7432.74</t>
  </si>
  <si>
    <t xml:space="preserve">Reacher, Hand (Textile)</t>
  </si>
  <si>
    <t xml:space="preserve">7318.5300</t>
  </si>
  <si>
    <t xml:space="preserve">7432.52</t>
  </si>
  <si>
    <t xml:space="preserve">Braid Maker, Hand</t>
  </si>
  <si>
    <t xml:space="preserve">7318.6700</t>
  </si>
  <si>
    <t xml:space="preserve">7432.76</t>
  </si>
  <si>
    <t xml:space="preserve">Weaver Power Loom</t>
  </si>
  <si>
    <t xml:space="preserve">7318.5500</t>
  </si>
  <si>
    <t xml:space="preserve">7432.55</t>
  </si>
  <si>
    <t xml:space="preserve">Handicraft Workers in Textiles, Leather and Related Materials, Others</t>
  </si>
  <si>
    <t xml:space="preserve">7318.9900</t>
  </si>
  <si>
    <t xml:space="preserve">7432.90</t>
  </si>
  <si>
    <t xml:space="preserve">Weaver, Handloom</t>
  </si>
  <si>
    <t xml:space="preserve">7318.5800</t>
  </si>
  <si>
    <t xml:space="preserve">7432.58</t>
  </si>
  <si>
    <t xml:space="preserve">Carpet Weaver, Hand Knitting</t>
  </si>
  <si>
    <t xml:space="preserve">7318.5900</t>
  </si>
  <si>
    <t xml:space="preserve">7432.59</t>
  </si>
  <si>
    <t xml:space="preserve">Carpet Clipper, Hand</t>
  </si>
  <si>
    <t xml:space="preserve">7318.6000</t>
  </si>
  <si>
    <t xml:space="preserve">7432.60</t>
  </si>
  <si>
    <t xml:space="preserve">Carpet Embosser</t>
  </si>
  <si>
    <t xml:space="preserve">7318.6100</t>
  </si>
  <si>
    <t xml:space="preserve">7432.61</t>
  </si>
  <si>
    <t xml:space="preserve">Carpet Repairer</t>
  </si>
  <si>
    <t xml:space="preserve">7318.6200</t>
  </si>
  <si>
    <t xml:space="preserve">7432.62</t>
  </si>
  <si>
    <t xml:space="preserve">Knotter, Silk</t>
  </si>
  <si>
    <t xml:space="preserve">7318.4900</t>
  </si>
  <si>
    <t xml:space="preserve">7432.40</t>
  </si>
  <si>
    <t xml:space="preserve">Coir Weaver (Matting)</t>
  </si>
  <si>
    <t xml:space="preserve">7318.6300</t>
  </si>
  <si>
    <t xml:space="preserve">7432.63</t>
  </si>
  <si>
    <t xml:space="preserve">Beam Gaiter</t>
  </si>
  <si>
    <t xml:space="preserve">7318.5000</t>
  </si>
  <si>
    <t xml:space="preserve">7432.42</t>
  </si>
  <si>
    <t xml:space="preserve">Net Maker, Hand</t>
  </si>
  <si>
    <t xml:space="preserve">7318.6400</t>
  </si>
  <si>
    <t xml:space="preserve">7432.70</t>
  </si>
  <si>
    <t xml:space="preserve">Lacer, Hand</t>
  </si>
  <si>
    <t xml:space="preserve">7318.5100</t>
  </si>
  <si>
    <t xml:space="preserve">7432.45</t>
  </si>
  <si>
    <t xml:space="preserve">Crochet Worker, Hand</t>
  </si>
  <si>
    <t xml:space="preserve">7318.6500</t>
  </si>
  <si>
    <t xml:space="preserve">7432.72</t>
  </si>
  <si>
    <t xml:space="preserve">Lamp Shade Maker</t>
  </si>
  <si>
    <t xml:space="preserve">7317.0100</t>
  </si>
  <si>
    <t xml:space="preserve">7331.10</t>
  </si>
  <si>
    <t xml:space="preserve">Broom Maker</t>
  </si>
  <si>
    <t xml:space="preserve">7317.1000</t>
  </si>
  <si>
    <t xml:space="preserve">7424.45</t>
  </si>
  <si>
    <t xml:space="preserve">Chick Maker</t>
  </si>
  <si>
    <t xml:space="preserve">7317.1100</t>
  </si>
  <si>
    <t xml:space="preserve">7424.50</t>
  </si>
  <si>
    <t xml:space="preserve">Khas Thatti Maker</t>
  </si>
  <si>
    <t xml:space="preserve">7317.1200</t>
  </si>
  <si>
    <t xml:space="preserve">7424.55</t>
  </si>
  <si>
    <t xml:space="preserve">Furniture Maker, Bamboo</t>
  </si>
  <si>
    <t xml:space="preserve">7317.0300</t>
  </si>
  <si>
    <t xml:space="preserve">7424.10</t>
  </si>
  <si>
    <t xml:space="preserve">Brush Material Preparer</t>
  </si>
  <si>
    <t xml:space="preserve">7317.1300</t>
  </si>
  <si>
    <t xml:space="preserve">7424.60</t>
  </si>
  <si>
    <t xml:space="preserve">Furniture Maker, Reed</t>
  </si>
  <si>
    <t xml:space="preserve">7317.0400</t>
  </si>
  <si>
    <t xml:space="preserve">7424.15</t>
  </si>
  <si>
    <t xml:space="preserve">Brush Maker, Hand</t>
  </si>
  <si>
    <t xml:space="preserve">7317.1400</t>
  </si>
  <si>
    <t xml:space="preserve">7424.65</t>
  </si>
  <si>
    <t xml:space="preserve">Basketry Weavers, Brush Makers and Related Workers, Other</t>
  </si>
  <si>
    <t xml:space="preserve">7317.9900</t>
  </si>
  <si>
    <t xml:space="preserve">7424.90</t>
  </si>
  <si>
    <t xml:space="preserve">Furniture Maker, Cane</t>
  </si>
  <si>
    <t xml:space="preserve">7317.0500</t>
  </si>
  <si>
    <t xml:space="preserve">7424.20</t>
  </si>
  <si>
    <t xml:space="preserve">Caner</t>
  </si>
  <si>
    <t xml:space="preserve">7317.0600</t>
  </si>
  <si>
    <t xml:space="preserve">7424.25</t>
  </si>
  <si>
    <t xml:space="preserve">Basket Maker</t>
  </si>
  <si>
    <t xml:space="preserve">7317.0700</t>
  </si>
  <si>
    <t xml:space="preserve">7424.30</t>
  </si>
  <si>
    <t xml:space="preserve">Mat Weaver, Bamboo</t>
  </si>
  <si>
    <t xml:space="preserve">7317.0800</t>
  </si>
  <si>
    <t xml:space="preserve">7424.35</t>
  </si>
  <si>
    <t xml:space="preserve">Mat Weaver, Grass and Leave</t>
  </si>
  <si>
    <t xml:space="preserve">7317.0900</t>
  </si>
  <si>
    <t xml:space="preserve">7424.40</t>
  </si>
  <si>
    <t xml:space="preserve">Naturopath</t>
  </si>
  <si>
    <t xml:space="preserve">2269.0100</t>
  </si>
  <si>
    <t xml:space="preserve">2229.20</t>
  </si>
  <si>
    <t xml:space="preserve">Physician, Osteopathic</t>
  </si>
  <si>
    <t xml:space="preserve">2269.0200</t>
  </si>
  <si>
    <t xml:space="preserve">2229.30</t>
  </si>
  <si>
    <t xml:space="preserve">Physician, Sidha</t>
  </si>
  <si>
    <t xml:space="preserve">2269.0300</t>
  </si>
  <si>
    <t xml:space="preserve">2229.40</t>
  </si>
  <si>
    <t xml:space="preserve">Physicians and Surgeons, Other</t>
  </si>
  <si>
    <t xml:space="preserve">2269.0400</t>
  </si>
  <si>
    <t xml:space="preserve">2229.90</t>
  </si>
  <si>
    <t xml:space="preserve">Orthotist and Prosthetist</t>
  </si>
  <si>
    <t xml:space="preserve">2269.0500</t>
  </si>
  <si>
    <t xml:space="preserve">3229.40</t>
  </si>
  <si>
    <t xml:space="preserve">Orientation &amp; Mobility Instructor</t>
  </si>
  <si>
    <t xml:space="preserve">2269.0600</t>
  </si>
  <si>
    <t xml:space="preserve">3229.50</t>
  </si>
  <si>
    <t xml:space="preserve">Medical and Health Technicians, Other</t>
  </si>
  <si>
    <t xml:space="preserve">2269.0700</t>
  </si>
  <si>
    <t xml:space="preserve">3229.90</t>
  </si>
  <si>
    <t xml:space="preserve">Driver Truck</t>
  </si>
  <si>
    <t xml:space="preserve">8332.0100</t>
  </si>
  <si>
    <t xml:space="preserve">8324.10</t>
  </si>
  <si>
    <t xml:space="preserve">Tram Car Driver (Mines)</t>
  </si>
  <si>
    <t xml:space="preserve">8332.0200</t>
  </si>
  <si>
    <t xml:space="preserve">8324.20</t>
  </si>
  <si>
    <t xml:space="preserve">Heavy Truck and Lorry Drivers, Other</t>
  </si>
  <si>
    <t xml:space="preserve">8332.9900</t>
  </si>
  <si>
    <t xml:space="preserve">8324.90</t>
  </si>
  <si>
    <t xml:space="preserve">Home Health Aide</t>
  </si>
  <si>
    <t xml:space="preserve">5322.0101</t>
  </si>
  <si>
    <t xml:space="preserve">Home-Based Personal Care Workers, Other</t>
  </si>
  <si>
    <t xml:space="preserve">5322.9900</t>
  </si>
  <si>
    <t xml:space="preserve">5133.90</t>
  </si>
  <si>
    <t xml:space="preserve">Manager, Lodging and Catering Services/Resident Manager</t>
  </si>
  <si>
    <t xml:space="preserve">1411.0100</t>
  </si>
  <si>
    <t xml:space="preserve">1225.10</t>
  </si>
  <si>
    <t xml:space="preserve">General Manager, Lodging and Catering Services</t>
  </si>
  <si>
    <t xml:space="preserve">1411.0200</t>
  </si>
  <si>
    <t xml:space="preserve">1305.10</t>
  </si>
  <si>
    <t xml:space="preserve">Hotel Managers, Others</t>
  </si>
  <si>
    <t xml:space="preserve">1411.9900</t>
  </si>
  <si>
    <t xml:space="preserve">1225.90</t>
  </si>
  <si>
    <t xml:space="preserve">Receptionist (Hotel)/Front Office Associate</t>
  </si>
  <si>
    <t xml:space="preserve">4224.0100</t>
  </si>
  <si>
    <t xml:space="preserve">4221.10</t>
  </si>
  <si>
    <t xml:space="preserve">Hotel Receptionists, Other</t>
  </si>
  <si>
    <t xml:space="preserve">4224.9900</t>
  </si>
  <si>
    <t xml:space="preserve">Hut Maker</t>
  </si>
  <si>
    <t xml:space="preserve">7111.0100</t>
  </si>
  <si>
    <t xml:space="preserve">7121.10</t>
  </si>
  <si>
    <t xml:space="preserve">Thatcher</t>
  </si>
  <si>
    <t xml:space="preserve">7111.0200</t>
  </si>
  <si>
    <t xml:space="preserve">7121.20</t>
  </si>
  <si>
    <t xml:space="preserve">Builders, Traditional Materials, Other</t>
  </si>
  <si>
    <t xml:space="preserve">7111.9900</t>
  </si>
  <si>
    <t xml:space="preserve">7121.90</t>
  </si>
  <si>
    <t xml:space="preserve">Personnel Manager</t>
  </si>
  <si>
    <t xml:space="preserve">1212.0100</t>
  </si>
  <si>
    <t xml:space="preserve">1232.10</t>
  </si>
  <si>
    <t xml:space="preserve">Personnel and Industrial Relations Managers, other</t>
  </si>
  <si>
    <t xml:space="preserve">1212.9900</t>
  </si>
  <si>
    <t xml:space="preserve">1232.90</t>
  </si>
  <si>
    <t xml:space="preserve">Trapper</t>
  </si>
  <si>
    <t xml:space="preserve">6224.0300</t>
  </si>
  <si>
    <t xml:space="preserve">6154.30</t>
  </si>
  <si>
    <t xml:space="preserve">Tracker</t>
  </si>
  <si>
    <t xml:space="preserve">6224.0400</t>
  </si>
  <si>
    <t xml:space="preserve">6154.40</t>
  </si>
  <si>
    <t xml:space="preserve">Man Duck</t>
  </si>
  <si>
    <t xml:space="preserve">6224.1300</t>
  </si>
  <si>
    <t xml:space="preserve">6159.55</t>
  </si>
  <si>
    <t xml:space="preserve">Net Maker</t>
  </si>
  <si>
    <t xml:space="preserve">6224.1400</t>
  </si>
  <si>
    <t xml:space="preserve">6159.60</t>
  </si>
  <si>
    <t xml:space="preserve">Hunters and Trappers, Other</t>
  </si>
  <si>
    <t xml:space="preserve">6224.9900</t>
  </si>
  <si>
    <t xml:space="preserve">6159.90</t>
  </si>
  <si>
    <t xml:space="preserve">Fish Overseer</t>
  </si>
  <si>
    <t xml:space="preserve">6224.0500</t>
  </si>
  <si>
    <t xml:space="preserve">6159.10</t>
  </si>
  <si>
    <t xml:space="preserve">Fisheries Inspector</t>
  </si>
  <si>
    <t xml:space="preserve">6224.0600</t>
  </si>
  <si>
    <t xml:space="preserve">6159.20</t>
  </si>
  <si>
    <t xml:space="preserve">Fieldman, Fish</t>
  </si>
  <si>
    <t xml:space="preserve">6224.0700</t>
  </si>
  <si>
    <t xml:space="preserve">6159.25</t>
  </si>
  <si>
    <t xml:space="preserve">Yard Officer</t>
  </si>
  <si>
    <t xml:space="preserve">6224.0800</t>
  </si>
  <si>
    <t xml:space="preserve">6159.30</t>
  </si>
  <si>
    <t xml:space="preserve">Fish Hatcher</t>
  </si>
  <si>
    <t xml:space="preserve">6224.0900</t>
  </si>
  <si>
    <t xml:space="preserve">6159.35</t>
  </si>
  <si>
    <t xml:space="preserve">Fish Curer</t>
  </si>
  <si>
    <t xml:space="preserve">6224.1000</t>
  </si>
  <si>
    <t xml:space="preserve">6159.40</t>
  </si>
  <si>
    <t xml:space="preserve">Fish Meal Maker</t>
  </si>
  <si>
    <t xml:space="preserve">6224.1100</t>
  </si>
  <si>
    <t xml:space="preserve">6159.45</t>
  </si>
  <si>
    <t xml:space="preserve">Rock Pilot</t>
  </si>
  <si>
    <t xml:space="preserve">6224.1200</t>
  </si>
  <si>
    <t xml:space="preserve">6159.50</t>
  </si>
  <si>
    <t xml:space="preserve">Ice Maker</t>
  </si>
  <si>
    <t xml:space="preserve">3132.0100</t>
  </si>
  <si>
    <t xml:space="preserve">8163.10</t>
  </si>
  <si>
    <t xml:space="preserve">Reservoir Caretaker</t>
  </si>
  <si>
    <t xml:space="preserve">3132.0200</t>
  </si>
  <si>
    <t xml:space="preserve">8163.20</t>
  </si>
  <si>
    <t xml:space="preserve">Gas-Compressor Operator</t>
  </si>
  <si>
    <t xml:space="preserve">3132.0300</t>
  </si>
  <si>
    <t xml:space="preserve">8163.30</t>
  </si>
  <si>
    <t xml:space="preserve">Wastewater Treatment Plant Operator</t>
  </si>
  <si>
    <t xml:space="preserve">3132.0400</t>
  </si>
  <si>
    <t xml:space="preserve">8163.40</t>
  </si>
  <si>
    <t xml:space="preserve">Heating Plant Superintendent</t>
  </si>
  <si>
    <t xml:space="preserve">3132.0500</t>
  </si>
  <si>
    <t xml:space="preserve">8163.50</t>
  </si>
  <si>
    <t xml:space="preserve">Ammonia Compressor Attendant</t>
  </si>
  <si>
    <t xml:space="preserve">3132.0800</t>
  </si>
  <si>
    <t xml:space="preserve">8169.20</t>
  </si>
  <si>
    <t xml:space="preserve">Air Conditioning and Refrigeration Plant Attendant</t>
  </si>
  <si>
    <t xml:space="preserve">3132.0900</t>
  </si>
  <si>
    <t xml:space="preserve">8169.30</t>
  </si>
  <si>
    <t xml:space="preserve">Pumpman</t>
  </si>
  <si>
    <t xml:space="preserve">3132.1000</t>
  </si>
  <si>
    <t xml:space="preserve">8169.40</t>
  </si>
  <si>
    <t xml:space="preserve">Exhaust Fan Operator</t>
  </si>
  <si>
    <t xml:space="preserve">3132.1100</t>
  </si>
  <si>
    <t xml:space="preserve">8169.50</t>
  </si>
  <si>
    <t xml:space="preserve">Blower Operator</t>
  </si>
  <si>
    <t xml:space="preserve">3132.1200</t>
  </si>
  <si>
    <t xml:space="preserve">8169.60</t>
  </si>
  <si>
    <t xml:space="preserve">Incinerator Operator</t>
  </si>
  <si>
    <t xml:space="preserve">3132.1300</t>
  </si>
  <si>
    <t xml:space="preserve">8169.65</t>
  </si>
  <si>
    <t xml:space="preserve">Incinerator and Water Treatment Plant Operators, Other</t>
  </si>
  <si>
    <t xml:space="preserve">3132.9900</t>
  </si>
  <si>
    <t xml:space="preserve">Pump Station Operator, Waterworks</t>
  </si>
  <si>
    <t xml:space="preserve">3132.0600</t>
  </si>
  <si>
    <t xml:space="preserve">8163.60</t>
  </si>
  <si>
    <t xml:space="preserve">Air Compressor Operator</t>
  </si>
  <si>
    <t xml:space="preserve">3132.0700</t>
  </si>
  <si>
    <t xml:space="preserve">8169.10</t>
  </si>
  <si>
    <t xml:space="preserve">Works Inspector, Engineering/Inspection Engineer</t>
  </si>
  <si>
    <t xml:space="preserve">2141.0100</t>
  </si>
  <si>
    <t xml:space="preserve">2149.10</t>
  </si>
  <si>
    <t xml:space="preserve">Nuclear Engineer</t>
  </si>
  <si>
    <t xml:space="preserve">2141.1100</t>
  </si>
  <si>
    <t xml:space="preserve">2149.23</t>
  </si>
  <si>
    <t xml:space="preserve">Instrument Engineer/Instrumentation Engineer</t>
  </si>
  <si>
    <t xml:space="preserve">2141.0200</t>
  </si>
  <si>
    <t xml:space="preserve">2149.15</t>
  </si>
  <si>
    <t xml:space="preserve">Jute Technologist</t>
  </si>
  <si>
    <t xml:space="preserve">2141.1200</t>
  </si>
  <si>
    <t xml:space="preserve">2149.25</t>
  </si>
  <si>
    <t xml:space="preserve">Industrial Engineer</t>
  </si>
  <si>
    <t xml:space="preserve">2141.0300</t>
  </si>
  <si>
    <t xml:space="preserve">2149.76</t>
  </si>
  <si>
    <t xml:space="preserve">Fibre Technologist</t>
  </si>
  <si>
    <t xml:space="preserve">2141.1300</t>
  </si>
  <si>
    <t xml:space="preserve">2149.30</t>
  </si>
  <si>
    <t xml:space="preserve">Industrial Engineer Executive</t>
  </si>
  <si>
    <t xml:space="preserve">2141.0301</t>
  </si>
  <si>
    <t xml:space="preserve">Spinning Master</t>
  </si>
  <si>
    <t xml:space="preserve">2141.1400</t>
  </si>
  <si>
    <t xml:space="preserve">2149.35</t>
  </si>
  <si>
    <t xml:space="preserve">Packaging Engineer</t>
  </si>
  <si>
    <t xml:space="preserve">2141.0400</t>
  </si>
  <si>
    <t xml:space="preserve">2149.77</t>
  </si>
  <si>
    <t xml:space="preserve">Planning Engineer</t>
  </si>
  <si>
    <t xml:space="preserve">2141.0500</t>
  </si>
  <si>
    <t xml:space="preserve">2149.78</t>
  </si>
  <si>
    <t xml:space="preserve">Production Planning &amp; Control Engineer</t>
  </si>
  <si>
    <t xml:space="preserve">2141.0501</t>
  </si>
  <si>
    <t xml:space="preserve">Methods Engineer</t>
  </si>
  <si>
    <t xml:space="preserve">2141.0600</t>
  </si>
  <si>
    <t xml:space="preserve">2149.80</t>
  </si>
  <si>
    <t xml:space="preserve">Engineering Estimator/Estimation Engineer</t>
  </si>
  <si>
    <t xml:space="preserve">2141.0800</t>
  </si>
  <si>
    <t xml:space="preserve">2149.84</t>
  </si>
  <si>
    <t xml:space="preserve">Agricultural Engineer</t>
  </si>
  <si>
    <t xml:space="preserve">2141.0900</t>
  </si>
  <si>
    <t xml:space="preserve">2149.18</t>
  </si>
  <si>
    <t xml:space="preserve">Textile Technologist</t>
  </si>
  <si>
    <t xml:space="preserve">2141.1000</t>
  </si>
  <si>
    <t xml:space="preserve">2149.20</t>
  </si>
  <si>
    <t xml:space="preserve">Leather Technologist</t>
  </si>
  <si>
    <t xml:space="preserve">2141.2100</t>
  </si>
  <si>
    <t xml:space="preserve">2149.65</t>
  </si>
  <si>
    <t xml:space="preserve">Glass Technologist</t>
  </si>
  <si>
    <t xml:space="preserve">2141.2200</t>
  </si>
  <si>
    <t xml:space="preserve">2149.70</t>
  </si>
  <si>
    <t xml:space="preserve">Ceramic Technologist</t>
  </si>
  <si>
    <t xml:space="preserve">2141.2300</t>
  </si>
  <si>
    <t xml:space="preserve">2149.72</t>
  </si>
  <si>
    <t xml:space="preserve">Printing Technologist</t>
  </si>
  <si>
    <t xml:space="preserve">2141.2400</t>
  </si>
  <si>
    <t xml:space="preserve">2149.74</t>
  </si>
  <si>
    <t xml:space="preserve">Safety Engineer</t>
  </si>
  <si>
    <t xml:space="preserve">2141.2500</t>
  </si>
  <si>
    <t xml:space="preserve">2149.85</t>
  </si>
  <si>
    <t xml:space="preserve">Weaving Master</t>
  </si>
  <si>
    <t xml:space="preserve">2141.1500</t>
  </si>
  <si>
    <t xml:space="preserve">2149.40</t>
  </si>
  <si>
    <t xml:space="preserve">Occupational Health and Safety Specialist</t>
  </si>
  <si>
    <t xml:space="preserve">2141.2600</t>
  </si>
  <si>
    <t xml:space="preserve">2149.86</t>
  </si>
  <si>
    <t xml:space="preserve">Dyeing and Bleaching Master (Textiles)</t>
  </si>
  <si>
    <t xml:space="preserve">2141.1600</t>
  </si>
  <si>
    <t xml:space="preserve">2149.45</t>
  </si>
  <si>
    <t xml:space="preserve">Printing Master (Textile)</t>
  </si>
  <si>
    <t xml:space="preserve">2141.1700</t>
  </si>
  <si>
    <t xml:space="preserve">2149.50</t>
  </si>
  <si>
    <t xml:space="preserve">Sugar Technologist</t>
  </si>
  <si>
    <t xml:space="preserve">2141.1800</t>
  </si>
  <si>
    <t xml:space="preserve">2149.55</t>
  </si>
  <si>
    <t xml:space="preserve">Dairy Technologist</t>
  </si>
  <si>
    <t xml:space="preserve">2141.1900</t>
  </si>
  <si>
    <t xml:space="preserve">2149.57</t>
  </si>
  <si>
    <t xml:space="preserve">Wood Technologist</t>
  </si>
  <si>
    <t xml:space="preserve">2141.2000</t>
  </si>
  <si>
    <t xml:space="preserve">2149.60</t>
  </si>
  <si>
    <t xml:space="preserve">Domestic Biometric Data Operator</t>
  </si>
  <si>
    <t xml:space="preserve">3511.0101</t>
  </si>
  <si>
    <t xml:space="preserve">Manager, Communication</t>
  </si>
  <si>
    <t xml:space="preserve">1330.0100</t>
  </si>
  <si>
    <t xml:space="preserve">1226.40</t>
  </si>
  <si>
    <t xml:space="preserve">Communication Analyst</t>
  </si>
  <si>
    <t xml:space="preserve">1330.0101</t>
  </si>
  <si>
    <t xml:space="preserve">Contract Officer, Telephone/Liaising Officer/ PRO/Business Executive</t>
  </si>
  <si>
    <t xml:space="preserve">1330.0200</t>
  </si>
  <si>
    <t xml:space="preserve">1226.70</t>
  </si>
  <si>
    <t xml:space="preserve">Post Master</t>
  </si>
  <si>
    <t xml:space="preserve">1330.0300</t>
  </si>
  <si>
    <t xml:space="preserve">1226.80</t>
  </si>
  <si>
    <t xml:space="preserve">General Manager, Communication</t>
  </si>
  <si>
    <t xml:space="preserve">1330.0600</t>
  </si>
  <si>
    <t xml:space="preserve">1306.20</t>
  </si>
  <si>
    <t xml:space="preserve">Cluster Manager</t>
  </si>
  <si>
    <t xml:space="preserve">1330.0701</t>
  </si>
  <si>
    <t xml:space="preserve">Information and Communication Technology Services Manager, Other</t>
  </si>
  <si>
    <t xml:space="preserve">1330.9900</t>
  </si>
  <si>
    <t xml:space="preserve">Data Recovery Planner/System Administrator</t>
  </si>
  <si>
    <t xml:space="preserve">3512.0100</t>
  </si>
  <si>
    <t xml:space="preserve">3121.35</t>
  </si>
  <si>
    <t xml:space="preserve">Domestic IT Helpdesk Attendant</t>
  </si>
  <si>
    <t xml:space="preserve">3512.0101</t>
  </si>
  <si>
    <t xml:space="preserve">Desktop Publishing Operator</t>
  </si>
  <si>
    <t xml:space="preserve">3512.0200</t>
  </si>
  <si>
    <t xml:space="preserve">3121.50</t>
  </si>
  <si>
    <t xml:space="preserve">Programming Assistant/Junior Software Engineer</t>
  </si>
  <si>
    <t xml:space="preserve">3514.0300</t>
  </si>
  <si>
    <t xml:space="preserve">3121.20</t>
  </si>
  <si>
    <t xml:space="preserve">Disk Duplicator</t>
  </si>
  <si>
    <t xml:space="preserve">3512.0401</t>
  </si>
  <si>
    <t xml:space="preserve">IT Co-Ordinator in School</t>
  </si>
  <si>
    <t xml:space="preserve">3512.0501</t>
  </si>
  <si>
    <t xml:space="preserve">Medical Transcriptionist</t>
  </si>
  <si>
    <t xml:space="preserve">3512.0700</t>
  </si>
  <si>
    <t xml:space="preserve">3121.40</t>
  </si>
  <si>
    <t xml:space="preserve">Information and Communication Technology User Support Technicians, Other</t>
  </si>
  <si>
    <t xml:space="preserve">3512.9900</t>
  </si>
  <si>
    <t xml:space="preserve">3121.90</t>
  </si>
  <si>
    <t xml:space="preserve">Associate— Desktop Publishing (DTP)</t>
  </si>
  <si>
    <t xml:space="preserve">3512.0202</t>
  </si>
  <si>
    <t xml:space="preserve">Associate – Clinical Data Management</t>
  </si>
  <si>
    <t xml:space="preserve">3512.0601</t>
  </si>
  <si>
    <t xml:space="preserve">Associate – Medical Transcription</t>
  </si>
  <si>
    <t xml:space="preserve">3512.0702</t>
  </si>
  <si>
    <t xml:space="preserve">Engineer – Technical Support</t>
  </si>
  <si>
    <t xml:space="preserve">3512.0801</t>
  </si>
  <si>
    <t xml:space="preserve">Installation Mechanic</t>
  </si>
  <si>
    <t xml:space="preserve">7422.0100</t>
  </si>
  <si>
    <t xml:space="preserve">7244.10</t>
  </si>
  <si>
    <t xml:space="preserve">Maintenance Mechanic</t>
  </si>
  <si>
    <t xml:space="preserve">7422.0200</t>
  </si>
  <si>
    <t xml:space="preserve">7244.20</t>
  </si>
  <si>
    <t xml:space="preserve">Fault Management Engineer</t>
  </si>
  <si>
    <t xml:space="preserve">7422.0201</t>
  </si>
  <si>
    <t xml:space="preserve">Grass Root Telecom Provider (GRTP)</t>
  </si>
  <si>
    <t xml:space="preserve">7422.0202</t>
  </si>
  <si>
    <t xml:space="preserve">Handset Repair Engineer (Level II)</t>
  </si>
  <si>
    <t xml:space="preserve">7422.0203</t>
  </si>
  <si>
    <t xml:space="preserve">Lineman, Telephone and Telegraph</t>
  </si>
  <si>
    <t xml:space="preserve">7422.0400</t>
  </si>
  <si>
    <t xml:space="preserve">7244.40</t>
  </si>
  <si>
    <t xml:space="preserve">Fault Controller, Telephones</t>
  </si>
  <si>
    <t xml:space="preserve">7422.0600</t>
  </si>
  <si>
    <t xml:space="preserve">7244.60</t>
  </si>
  <si>
    <t xml:space="preserve">Carrier Attendant (Telephone) and Telegraph</t>
  </si>
  <si>
    <t xml:space="preserve">7422.0700</t>
  </si>
  <si>
    <t xml:space="preserve">7244.70</t>
  </si>
  <si>
    <t xml:space="preserve">Cable Jointer</t>
  </si>
  <si>
    <t xml:space="preserve">7422.0800</t>
  </si>
  <si>
    <t xml:space="preserve">7245.20</t>
  </si>
  <si>
    <t xml:space="preserve">Optical Fibre Technician</t>
  </si>
  <si>
    <t xml:space="preserve">7422.0801</t>
  </si>
  <si>
    <t xml:space="preserve">Optical Fibre Splicer</t>
  </si>
  <si>
    <t xml:space="preserve">7422.0802</t>
  </si>
  <si>
    <t xml:space="preserve">Radar Mechanic</t>
  </si>
  <si>
    <t xml:space="preserve">7422.0900</t>
  </si>
  <si>
    <t xml:space="preserve">7243.20</t>
  </si>
  <si>
    <t xml:space="preserve">7422.0204</t>
  </si>
  <si>
    <t xml:space="preserve">Assembly Line Operator</t>
  </si>
  <si>
    <t xml:space="preserve">7422.1901</t>
  </si>
  <si>
    <t xml:space="preserve">Set-Top Box Installer/Service Technician</t>
  </si>
  <si>
    <t xml:space="preserve">7422.1201</t>
  </si>
  <si>
    <t xml:space="preserve">DTH Set-Top Box Installer and Service Technician</t>
  </si>
  <si>
    <t xml:space="preserve">7422.1202</t>
  </si>
  <si>
    <t xml:space="preserve">DAS Set-Top Box Installer and Service Technician</t>
  </si>
  <si>
    <t xml:space="preserve">7422.1203</t>
  </si>
  <si>
    <t xml:space="preserve">Television Service and Repairman</t>
  </si>
  <si>
    <t xml:space="preserve">7422.1300</t>
  </si>
  <si>
    <t xml:space="preserve">7243.50</t>
  </si>
  <si>
    <t xml:space="preserve">Television Repair Technician</t>
  </si>
  <si>
    <t xml:space="preserve">7422.1302</t>
  </si>
  <si>
    <t xml:space="preserve">Radio Technician (Radio Manufacturing)</t>
  </si>
  <si>
    <t xml:space="preserve">7422.1400</t>
  </si>
  <si>
    <t xml:space="preserve">7243.60</t>
  </si>
  <si>
    <t xml:space="preserve">Radio Mechanic</t>
  </si>
  <si>
    <t xml:space="preserve">7422.1500</t>
  </si>
  <si>
    <t xml:space="preserve">7243.70</t>
  </si>
  <si>
    <t xml:space="preserve">X-Ray Mechanic</t>
  </si>
  <si>
    <t xml:space="preserve">7422.1000</t>
  </si>
  <si>
    <t xml:space="preserve">7243.30</t>
  </si>
  <si>
    <t xml:space="preserve">Radio Craftsman, Installation</t>
  </si>
  <si>
    <t xml:space="preserve">7422.1600</t>
  </si>
  <si>
    <t xml:space="preserve">7243.75</t>
  </si>
  <si>
    <t xml:space="preserve">Installation and Service Engineer</t>
  </si>
  <si>
    <t xml:space="preserve">7422.1001</t>
  </si>
  <si>
    <t xml:space="preserve">Radio Craftsman, Maintenance</t>
  </si>
  <si>
    <t xml:space="preserve">7422.1700</t>
  </si>
  <si>
    <t xml:space="preserve">7243.80</t>
  </si>
  <si>
    <t xml:space="preserve">Television Installation Man</t>
  </si>
  <si>
    <t xml:space="preserve">7422.1100</t>
  </si>
  <si>
    <t xml:space="preserve">7243.40</t>
  </si>
  <si>
    <t xml:space="preserve">Site Surveyor/R F Site Surveyor</t>
  </si>
  <si>
    <t xml:space="preserve">7422.1801</t>
  </si>
  <si>
    <t xml:space="preserve">Cable Television Installer</t>
  </si>
  <si>
    <t xml:space="preserve">7422.1200</t>
  </si>
  <si>
    <t xml:space="preserve">7243.45</t>
  </si>
  <si>
    <t xml:space="preserve">Field Technician: (Computing and Peripherals)</t>
  </si>
  <si>
    <t xml:space="preserve">7422.2001</t>
  </si>
  <si>
    <t xml:space="preserve">Field Technician: (Networking and Storage)</t>
  </si>
  <si>
    <t xml:space="preserve">7422.2101</t>
  </si>
  <si>
    <t xml:space="preserve">Test and Repair Technician</t>
  </si>
  <si>
    <t xml:space="preserve">7422.2201</t>
  </si>
  <si>
    <t xml:space="preserve">Smartphones Repair Technician</t>
  </si>
  <si>
    <t xml:space="preserve">7422.2301</t>
  </si>
  <si>
    <t xml:space="preserve">Tower Technician</t>
  </si>
  <si>
    <t xml:space="preserve">7422.3001</t>
  </si>
  <si>
    <t xml:space="preserve">Information and Communications Technology Installers and Servicers, Other</t>
  </si>
  <si>
    <t xml:space="preserve">7422.9900</t>
  </si>
  <si>
    <t xml:space="preserve">Installation (Computing and Peripherals)</t>
  </si>
  <si>
    <t xml:space="preserve">7422.2002</t>
  </si>
  <si>
    <t xml:space="preserve">Sales and Pre-Sales Analyst</t>
  </si>
  <si>
    <t xml:space="preserve">2434.0101</t>
  </si>
  <si>
    <t xml:space="preserve">Sales/Pre-Sales Executive</t>
  </si>
  <si>
    <t xml:space="preserve">2434.0201</t>
  </si>
  <si>
    <t xml:space="preserve">Manual Training Teacher/Craft Instructor</t>
  </si>
  <si>
    <t xml:space="preserve">2356.0100</t>
  </si>
  <si>
    <t xml:space="preserve">3340.10</t>
  </si>
  <si>
    <t xml:space="preserve">Master Trainer for Junior Software Developer</t>
  </si>
  <si>
    <t xml:space="preserve">2356.0301</t>
  </si>
  <si>
    <t xml:space="preserve">Information Technology Trainers, Other</t>
  </si>
  <si>
    <t xml:space="preserve">2356.9900</t>
  </si>
  <si>
    <t xml:space="preserve">3340.90</t>
  </si>
  <si>
    <t xml:space="preserve">Fisherman, Inland Water</t>
  </si>
  <si>
    <t xml:space="preserve">6222.0100</t>
  </si>
  <si>
    <t xml:space="preserve">6152.10</t>
  </si>
  <si>
    <t xml:space="preserve">Fisherman, Estuaries, Coastal and Backwater</t>
  </si>
  <si>
    <t xml:space="preserve">6222.0200</t>
  </si>
  <si>
    <t xml:space="preserve">6152.20</t>
  </si>
  <si>
    <t xml:space="preserve">Inland and Coastal Water Fishery Workers, Other</t>
  </si>
  <si>
    <t xml:space="preserve">6222.9900</t>
  </si>
  <si>
    <t xml:space="preserve">6152.90</t>
  </si>
  <si>
    <t xml:space="preserve">Complaint Attending Clerk/Customer Service Desk/Customer Service Executive</t>
  </si>
  <si>
    <t xml:space="preserve">4225.0100</t>
  </si>
  <si>
    <t xml:space="preserve">4221.30</t>
  </si>
  <si>
    <t xml:space="preserve">Inquiry Clerks, Other</t>
  </si>
  <si>
    <t xml:space="preserve">4225.9900</t>
  </si>
  <si>
    <t xml:space="preserve">4221.90</t>
  </si>
  <si>
    <t xml:space="preserve">Building Insulator, Hand</t>
  </si>
  <si>
    <t xml:space="preserve">7124.0100</t>
  </si>
  <si>
    <t xml:space="preserve">7134.10</t>
  </si>
  <si>
    <t xml:space="preserve">Acoustical Insulator</t>
  </si>
  <si>
    <t xml:space="preserve">7124.0200</t>
  </si>
  <si>
    <t xml:space="preserve">7134.20</t>
  </si>
  <si>
    <t xml:space="preserve">Insulator, Boilers and Pipes</t>
  </si>
  <si>
    <t xml:space="preserve">7124.0300</t>
  </si>
  <si>
    <t xml:space="preserve">7134.30</t>
  </si>
  <si>
    <t xml:space="preserve">Insulator, Refrigeration and Air Conditioning Equipment</t>
  </si>
  <si>
    <t xml:space="preserve">7124.0400</t>
  </si>
  <si>
    <t xml:space="preserve">7134.40</t>
  </si>
  <si>
    <t xml:space="preserve">Insulation Workers, Other</t>
  </si>
  <si>
    <t xml:space="preserve">7124.9900</t>
  </si>
  <si>
    <t xml:space="preserve">7134.90</t>
  </si>
  <si>
    <t xml:space="preserve">Insurance Agent</t>
  </si>
  <si>
    <t xml:space="preserve">3321.0100</t>
  </si>
  <si>
    <t xml:space="preserve">3412.10</t>
  </si>
  <si>
    <t xml:space="preserve">Sales Officer (Auto Insurance)</t>
  </si>
  <si>
    <t xml:space="preserve">3321.0101</t>
  </si>
  <si>
    <t xml:space="preserve">Sales Consultant (Auto Finance)</t>
  </si>
  <si>
    <t xml:space="preserve">3321.0102</t>
  </si>
  <si>
    <t xml:space="preserve">Insurance Adjuster, Examiner, Surveyor and Investigator</t>
  </si>
  <si>
    <t xml:space="preserve">3321.0200</t>
  </si>
  <si>
    <t xml:space="preserve">3412.20</t>
  </si>
  <si>
    <t xml:space="preserve">Finance, Insurance and Registration Co-Ordinator</t>
  </si>
  <si>
    <t xml:space="preserve">3321.0201</t>
  </si>
  <si>
    <t xml:space="preserve">Insurance Representatives, Other</t>
  </si>
  <si>
    <t xml:space="preserve">3321.9900</t>
  </si>
  <si>
    <t xml:space="preserve">3412.90</t>
  </si>
  <si>
    <t xml:space="preserve">Decorator</t>
  </si>
  <si>
    <t xml:space="preserve">3432.0200</t>
  </si>
  <si>
    <t xml:space="preserve">3471.10</t>
  </si>
  <si>
    <t xml:space="preserve">Bathroom and Kitchen Designer</t>
  </si>
  <si>
    <t xml:space="preserve">3432.0501</t>
  </si>
  <si>
    <t xml:space="preserve">Decorators and Commercial Designers, Other</t>
  </si>
  <si>
    <t xml:space="preserve">3432.9900</t>
  </si>
  <si>
    <t xml:space="preserve">3471.90</t>
  </si>
  <si>
    <t xml:space="preserve">Interior Designer</t>
  </si>
  <si>
    <t xml:space="preserve">3432.0100</t>
  </si>
  <si>
    <t xml:space="preserve">3471.50</t>
  </si>
  <si>
    <t xml:space="preserve">Wire Maker, Gold and Silver/Component Maker</t>
  </si>
  <si>
    <t xml:space="preserve">7313.0201</t>
  </si>
  <si>
    <t xml:space="preserve">7313.15</t>
  </si>
  <si>
    <t xml:space="preserve">Gemstone Thread Maker</t>
  </si>
  <si>
    <t xml:space="preserve">7313.0202</t>
  </si>
  <si>
    <t xml:space="preserve">Gold Curer, General/Gold Refiner</t>
  </si>
  <si>
    <t xml:space="preserve">7313.0301</t>
  </si>
  <si>
    <t xml:space="preserve">7313.18</t>
  </si>
  <si>
    <t xml:space="preserve">Gold Curer, Mint/Gold Melter and Refiner</t>
  </si>
  <si>
    <t xml:space="preserve">7313.0401</t>
  </si>
  <si>
    <t xml:space="preserve">7313.20</t>
  </si>
  <si>
    <t xml:space="preserve">Gold Foil Maker</t>
  </si>
  <si>
    <t xml:space="preserve">7313.0500</t>
  </si>
  <si>
    <t xml:space="preserve">7313.22</t>
  </si>
  <si>
    <t xml:space="preserve">Leaf Maker, Gold and Silver</t>
  </si>
  <si>
    <t xml:space="preserve">7313.0600</t>
  </si>
  <si>
    <t xml:space="preserve">7313.25</t>
  </si>
  <si>
    <t xml:space="preserve">Goldsmith</t>
  </si>
  <si>
    <t xml:space="preserve">7313.0700</t>
  </si>
  <si>
    <t xml:space="preserve">7313.28</t>
  </si>
  <si>
    <t xml:space="preserve">Roller, Gold and Silver</t>
  </si>
  <si>
    <t xml:space="preserve">7313.0100</t>
  </si>
  <si>
    <t xml:space="preserve">7313.10</t>
  </si>
  <si>
    <t xml:space="preserve">Jewellery Polisher</t>
  </si>
  <si>
    <t xml:space="preserve">7313.0101</t>
  </si>
  <si>
    <t xml:space="preserve">Plater</t>
  </si>
  <si>
    <t xml:space="preserve">7313.0102</t>
  </si>
  <si>
    <t xml:space="preserve">Filer and Assembler</t>
  </si>
  <si>
    <t xml:space="preserve">7313.0103</t>
  </si>
  <si>
    <t xml:space="preserve">Gem Grinder, Hand</t>
  </si>
  <si>
    <t xml:space="preserve">7313.1300</t>
  </si>
  <si>
    <t xml:space="preserve">7313.55</t>
  </si>
  <si>
    <t xml:space="preserve">Metal Setter</t>
  </si>
  <si>
    <t xml:space="preserve">7313.0802</t>
  </si>
  <si>
    <t xml:space="preserve">Wax Setter</t>
  </si>
  <si>
    <t xml:space="preserve">7313.0803</t>
  </si>
  <si>
    <t xml:space="preserve">Wax Tree Maker</t>
  </si>
  <si>
    <t xml:space="preserve">7313.0804</t>
  </si>
  <si>
    <t xml:space="preserve">Gem Sorter</t>
  </si>
  <si>
    <t xml:space="preserve">7313.0901</t>
  </si>
  <si>
    <t xml:space="preserve">7313.35</t>
  </si>
  <si>
    <t xml:space="preserve">Rough Assorter</t>
  </si>
  <si>
    <t xml:space="preserve">7313.0902</t>
  </si>
  <si>
    <t xml:space="preserve">Rough Marker</t>
  </si>
  <si>
    <t xml:space="preserve">7313.0903</t>
  </si>
  <si>
    <t xml:space="preserve">Gem Slicer/Gemstone Rough Cutter</t>
  </si>
  <si>
    <t xml:space="preserve">7313.1001</t>
  </si>
  <si>
    <t xml:space="preserve">7313.45</t>
  </si>
  <si>
    <t xml:space="preserve">Polisher and Cleaner</t>
  </si>
  <si>
    <t xml:space="preserve">7313.0701</t>
  </si>
  <si>
    <t xml:space="preserve">Gem Cleaver</t>
  </si>
  <si>
    <t xml:space="preserve">7313.1101</t>
  </si>
  <si>
    <t xml:space="preserve">7313.50</t>
  </si>
  <si>
    <t xml:space="preserve">Goldsmith Enameller</t>
  </si>
  <si>
    <t xml:space="preserve">7313.0702</t>
  </si>
  <si>
    <t xml:space="preserve">Inclusion Plotter</t>
  </si>
  <si>
    <t xml:space="preserve">7313.1201</t>
  </si>
  <si>
    <t xml:space="preserve">Goldsmith Frame Maker</t>
  </si>
  <si>
    <t xml:space="preserve">7313.0703</t>
  </si>
  <si>
    <t xml:space="preserve">Planner</t>
  </si>
  <si>
    <t xml:space="preserve">7313.1202</t>
  </si>
  <si>
    <t xml:space="preserve">Jewel Setter/Setter</t>
  </si>
  <si>
    <t xml:space="preserve">7313.0801</t>
  </si>
  <si>
    <t xml:space="preserve">7313.30</t>
  </si>
  <si>
    <t xml:space="preserve">Bottom Polisher</t>
  </si>
  <si>
    <t xml:space="preserve">7313.1504</t>
  </si>
  <si>
    <t xml:space="preserve">Manual Bruter</t>
  </si>
  <si>
    <t xml:space="preserve">7313.1301</t>
  </si>
  <si>
    <t xml:space="preserve">Gemstone Girdle Polisher</t>
  </si>
  <si>
    <t xml:space="preserve">7313.1505</t>
  </si>
  <si>
    <t xml:space="preserve">Auto Blocker</t>
  </si>
  <si>
    <t xml:space="preserve">7313.1302</t>
  </si>
  <si>
    <t xml:space="preserve">Gemstone Polisher</t>
  </si>
  <si>
    <t xml:space="preserve">7313.1506</t>
  </si>
  <si>
    <t xml:space="preserve">Gemstone Facet Maker</t>
  </si>
  <si>
    <t xml:space="preserve">7313.1303</t>
  </si>
  <si>
    <t xml:space="preserve">Table Cutter</t>
  </si>
  <si>
    <t xml:space="preserve">7313.1304</t>
  </si>
  <si>
    <t xml:space="preserve">Manual Blocker</t>
  </si>
  <si>
    <t xml:space="preserve">7313.1305</t>
  </si>
  <si>
    <t xml:space="preserve">Auto Bruter</t>
  </si>
  <si>
    <t xml:space="preserve">7313.1306</t>
  </si>
  <si>
    <t xml:space="preserve">Gem Polisher, Hand</t>
  </si>
  <si>
    <t xml:space="preserve">7313.1400</t>
  </si>
  <si>
    <t xml:space="preserve">7313.60</t>
  </si>
  <si>
    <t xml:space="preserve">Diamond Assorter</t>
  </si>
  <si>
    <t xml:space="preserve">7313.1501</t>
  </si>
  <si>
    <t xml:space="preserve">Polished Diamond Grader &amp; Assorter (Basic)</t>
  </si>
  <si>
    <t xml:space="preserve">7313.1502</t>
  </si>
  <si>
    <t xml:space="preserve">Polished Diamond Grader &amp; Assorter (Advance)</t>
  </si>
  <si>
    <t xml:space="preserve">7313.1503</t>
  </si>
  <si>
    <t xml:space="preserve">Rubber Mould Maker</t>
  </si>
  <si>
    <t xml:space="preserve">7313.2401</t>
  </si>
  <si>
    <t xml:space="preserve">Wax Piece Maker</t>
  </si>
  <si>
    <t xml:space="preserve">7313.2402</t>
  </si>
  <si>
    <t xml:space="preserve">Boiling In-Charge</t>
  </si>
  <si>
    <t xml:space="preserve">7313.2501</t>
  </si>
  <si>
    <t xml:space="preserve">Gemstone Pre-Shaper</t>
  </si>
  <si>
    <t xml:space="preserve">7313.1601</t>
  </si>
  <si>
    <t xml:space="preserve">Final Quality Inspector</t>
  </si>
  <si>
    <t xml:space="preserve">7313.2601</t>
  </si>
  <si>
    <t xml:space="preserve">Gemstone Final Shaper and Calibrator</t>
  </si>
  <si>
    <t xml:space="preserve">7313.1602</t>
  </si>
  <si>
    <t xml:space="preserve">Jewellery, Goldsmith and Silversmith Workers, Other</t>
  </si>
  <si>
    <t xml:space="preserve">7313.9900</t>
  </si>
  <si>
    <t xml:space="preserve">7313.90</t>
  </si>
  <si>
    <t xml:space="preserve">Gem Driller</t>
  </si>
  <si>
    <t xml:space="preserve">7313.1701</t>
  </si>
  <si>
    <t xml:space="preserve">7313.68</t>
  </si>
  <si>
    <t xml:space="preserve">Window Opener</t>
  </si>
  <si>
    <t xml:space="preserve">7313.1702</t>
  </si>
  <si>
    <t xml:space="preserve">Jewellery Engraver</t>
  </si>
  <si>
    <t xml:space="preserve">7313.1800</t>
  </si>
  <si>
    <t xml:space="preserve">7313.70</t>
  </si>
  <si>
    <t xml:space="preserve">Engraver</t>
  </si>
  <si>
    <t xml:space="preserve">7313.1900</t>
  </si>
  <si>
    <t xml:space="preserve">7313.71</t>
  </si>
  <si>
    <t xml:space="preserve">Embosser, Sheet</t>
  </si>
  <si>
    <t xml:space="preserve">7313.2200</t>
  </si>
  <si>
    <t xml:space="preserve">7313.75</t>
  </si>
  <si>
    <t xml:space="preserve">Inlayer, Metal</t>
  </si>
  <si>
    <t xml:space="preserve">7313.2300</t>
  </si>
  <si>
    <t xml:space="preserve">7313.78</t>
  </si>
  <si>
    <t xml:space="preserve">News Reporter</t>
  </si>
  <si>
    <t xml:space="preserve">2642.0100</t>
  </si>
  <si>
    <t xml:space="preserve">2451.30</t>
  </si>
  <si>
    <t xml:space="preserve">Columnist</t>
  </si>
  <si>
    <t xml:space="preserve">2642.0200</t>
  </si>
  <si>
    <t xml:space="preserve">2451.35</t>
  </si>
  <si>
    <t xml:space="preserve">Freelance Journalist</t>
  </si>
  <si>
    <t xml:space="preserve">2642.0300</t>
  </si>
  <si>
    <t xml:space="preserve">2451.40</t>
  </si>
  <si>
    <t xml:space="preserve">Commentary Writer</t>
  </si>
  <si>
    <t xml:space="preserve">2642.0400</t>
  </si>
  <si>
    <t xml:space="preserve">2451.45</t>
  </si>
  <si>
    <t xml:space="preserve">Radio Commentator</t>
  </si>
  <si>
    <t xml:space="preserve">2642.0500</t>
  </si>
  <si>
    <t xml:space="preserve">2451.55</t>
  </si>
  <si>
    <t xml:space="preserve">Commentator (Motion Picture)</t>
  </si>
  <si>
    <t xml:space="preserve">2642.0600</t>
  </si>
  <si>
    <t xml:space="preserve">2451.60</t>
  </si>
  <si>
    <t xml:space="preserve">Magistrate</t>
  </si>
  <si>
    <t xml:space="preserve">2612.0600</t>
  </si>
  <si>
    <t xml:space="preserve">2422.60</t>
  </si>
  <si>
    <t xml:space="preserve">Magistrate, Juvenile Court</t>
  </si>
  <si>
    <t xml:space="preserve">2612.0700</t>
  </si>
  <si>
    <t xml:space="preserve">2422.65</t>
  </si>
  <si>
    <t xml:space="preserve">Judge, Supreme Court</t>
  </si>
  <si>
    <t xml:space="preserve">2612.0100</t>
  </si>
  <si>
    <t xml:space="preserve">2422.10</t>
  </si>
  <si>
    <t xml:space="preserve">Judge, High Court</t>
  </si>
  <si>
    <t xml:space="preserve">2612.0200</t>
  </si>
  <si>
    <t xml:space="preserve">2422.20</t>
  </si>
  <si>
    <t xml:space="preserve">District and Session Judge</t>
  </si>
  <si>
    <t xml:space="preserve">2612.0300</t>
  </si>
  <si>
    <t xml:space="preserve">2422.30</t>
  </si>
  <si>
    <t xml:space="preserve">Munsif</t>
  </si>
  <si>
    <t xml:space="preserve">2612.0400</t>
  </si>
  <si>
    <t xml:space="preserve">2422.40</t>
  </si>
  <si>
    <t xml:space="preserve">Judge, Subordinate Court</t>
  </si>
  <si>
    <t xml:space="preserve">2612.0500</t>
  </si>
  <si>
    <t xml:space="preserve">2422.50</t>
  </si>
  <si>
    <t xml:space="preserve">Chairman, Administrative Tribunal</t>
  </si>
  <si>
    <t xml:space="preserve">2612.0800</t>
  </si>
  <si>
    <t xml:space="preserve">2422.70</t>
  </si>
  <si>
    <t xml:space="preserve">Member, Administrative Tribunal</t>
  </si>
  <si>
    <t xml:space="preserve">2612.0900</t>
  </si>
  <si>
    <t xml:space="preserve">2422.72</t>
  </si>
  <si>
    <t xml:space="preserve">President, Industrial Tribunal</t>
  </si>
  <si>
    <t xml:space="preserve">2612.1000</t>
  </si>
  <si>
    <t xml:space="preserve">2422.75</t>
  </si>
  <si>
    <t xml:space="preserve">Member, Industrial Tribunal</t>
  </si>
  <si>
    <t xml:space="preserve">2612.1100</t>
  </si>
  <si>
    <t xml:space="preserve">2422.80</t>
  </si>
  <si>
    <t xml:space="preserve">President, Consumer Redressal Forum</t>
  </si>
  <si>
    <t xml:space="preserve">2612.1200</t>
  </si>
  <si>
    <t xml:space="preserve">2422.85</t>
  </si>
  <si>
    <t xml:space="preserve">Member, Consumer Redressal Forum</t>
  </si>
  <si>
    <t xml:space="preserve">2612.1300</t>
  </si>
  <si>
    <t xml:space="preserve">2422.87</t>
  </si>
  <si>
    <t xml:space="preserve">Judges and Magistrates, Other</t>
  </si>
  <si>
    <t xml:space="preserve">2612.9900</t>
  </si>
  <si>
    <t xml:space="preserve">2422.90</t>
  </si>
  <si>
    <t xml:space="preserve">Kitchen Helper</t>
  </si>
  <si>
    <t xml:space="preserve">9412.0100</t>
  </si>
  <si>
    <t xml:space="preserve">9132.20</t>
  </si>
  <si>
    <t xml:space="preserve">Pressman</t>
  </si>
  <si>
    <t xml:space="preserve">8157.0401</t>
  </si>
  <si>
    <t xml:space="preserve">Washing Machine Operator</t>
  </si>
  <si>
    <t xml:space="preserve">8157.0100</t>
  </si>
  <si>
    <t xml:space="preserve">8264.10</t>
  </si>
  <si>
    <t xml:space="preserve">Drying Machine Operator</t>
  </si>
  <si>
    <t xml:space="preserve">8157.0200</t>
  </si>
  <si>
    <t xml:space="preserve">8264.20</t>
  </si>
  <si>
    <t xml:space="preserve">Dry Cleaner, Machine</t>
  </si>
  <si>
    <t xml:space="preserve">8157.0300</t>
  </si>
  <si>
    <t xml:space="preserve">8264.30</t>
  </si>
  <si>
    <t xml:space="preserve">Presser, Machine/Ironing Operator</t>
  </si>
  <si>
    <t xml:space="preserve">8157.0400</t>
  </si>
  <si>
    <t xml:space="preserve">8264.40</t>
  </si>
  <si>
    <t xml:space="preserve">Attorney at Law</t>
  </si>
  <si>
    <t xml:space="preserve">2611.0800</t>
  </si>
  <si>
    <t xml:space="preserve">2421.70</t>
  </si>
  <si>
    <t xml:space="preserve">Advocate</t>
  </si>
  <si>
    <t xml:space="preserve">2611.0900</t>
  </si>
  <si>
    <t xml:space="preserve">2421.80</t>
  </si>
  <si>
    <t xml:space="preserve">Intellectual Property Executive</t>
  </si>
  <si>
    <t xml:space="preserve">2611.1001</t>
  </si>
  <si>
    <t xml:space="preserve">Legal Associate</t>
  </si>
  <si>
    <t xml:space="preserve">2611.1002</t>
  </si>
  <si>
    <t xml:space="preserve">Attorney General of India</t>
  </si>
  <si>
    <t xml:space="preserve">2611.0100</t>
  </si>
  <si>
    <t xml:space="preserve">2421.10</t>
  </si>
  <si>
    <t xml:space="preserve">Lawyers, Other</t>
  </si>
  <si>
    <t xml:space="preserve">2611.9900</t>
  </si>
  <si>
    <t xml:space="preserve">2421.90</t>
  </si>
  <si>
    <t xml:space="preserve">Solicitor General of India</t>
  </si>
  <si>
    <t xml:space="preserve">2611.0200</t>
  </si>
  <si>
    <t xml:space="preserve">2421.20</t>
  </si>
  <si>
    <t xml:space="preserve">Advocate General</t>
  </si>
  <si>
    <t xml:space="preserve">2611.0300</t>
  </si>
  <si>
    <t xml:space="preserve">2421.30</t>
  </si>
  <si>
    <t xml:space="preserve">Legal Remembrancer</t>
  </si>
  <si>
    <t xml:space="preserve">2611.0400</t>
  </si>
  <si>
    <t xml:space="preserve">2421.40</t>
  </si>
  <si>
    <t xml:space="preserve">Government Advocate</t>
  </si>
  <si>
    <t xml:space="preserve">2611.0500</t>
  </si>
  <si>
    <t xml:space="preserve">2421.50</t>
  </si>
  <si>
    <t xml:space="preserve">Public Prosecutor</t>
  </si>
  <si>
    <t xml:space="preserve">2611.0600</t>
  </si>
  <si>
    <t xml:space="preserve">2421.60</t>
  </si>
  <si>
    <t xml:space="preserve">Police Prosecutor</t>
  </si>
  <si>
    <t xml:space="preserve">2611.0700</t>
  </si>
  <si>
    <t xml:space="preserve">2421.65</t>
  </si>
  <si>
    <t xml:space="preserve">Legal and Related Associate Professionals, Other</t>
  </si>
  <si>
    <t xml:space="preserve">3411.9900</t>
  </si>
  <si>
    <t xml:space="preserve">3432.90</t>
  </si>
  <si>
    <t xml:space="preserve">Legal Assistant</t>
  </si>
  <si>
    <t xml:space="preserve">3411.0100</t>
  </si>
  <si>
    <t xml:space="preserve">3432.10</t>
  </si>
  <si>
    <t xml:space="preserve">Shirestedar</t>
  </si>
  <si>
    <t xml:space="preserve">3411.0200</t>
  </si>
  <si>
    <t xml:space="preserve">3432.20</t>
  </si>
  <si>
    <t xml:space="preserve">Petition Writer</t>
  </si>
  <si>
    <t xml:space="preserve">3411.0300</t>
  </si>
  <si>
    <t xml:space="preserve">3432.30</t>
  </si>
  <si>
    <t xml:space="preserve">Registrar</t>
  </si>
  <si>
    <t xml:space="preserve">2619.0300</t>
  </si>
  <si>
    <t xml:space="preserve">2429.25</t>
  </si>
  <si>
    <t xml:space="preserve">Prothonotary and Senior Master</t>
  </si>
  <si>
    <t xml:space="preserve">2619.0100</t>
  </si>
  <si>
    <t xml:space="preserve">2429.10</t>
  </si>
  <si>
    <t xml:space="preserve">Registrar (Appellate Side, High Court)</t>
  </si>
  <si>
    <t xml:space="preserve">2619.0200</t>
  </si>
  <si>
    <t xml:space="preserve">2429.20</t>
  </si>
  <si>
    <t xml:space="preserve">Master Official Referee and Registrar in Equity and Commissioner for Taking Accounts (High Court)</t>
  </si>
  <si>
    <t xml:space="preserve">2619.0400</t>
  </si>
  <si>
    <t xml:space="preserve">2429.30</t>
  </si>
  <si>
    <t xml:space="preserve">Taxing Master</t>
  </si>
  <si>
    <t xml:space="preserve">2619.0500</t>
  </si>
  <si>
    <t xml:space="preserve">2429.40</t>
  </si>
  <si>
    <t xml:space="preserve">Insolvency Registrar</t>
  </si>
  <si>
    <t xml:space="preserve">2619.0600</t>
  </si>
  <si>
    <t xml:space="preserve">2429.45</t>
  </si>
  <si>
    <t xml:space="preserve">Official Assignee (High Court)</t>
  </si>
  <si>
    <t xml:space="preserve">2619.0700</t>
  </si>
  <si>
    <t xml:space="preserve">2429.50</t>
  </si>
  <si>
    <t xml:space="preserve">Court Receiver and Liquidator</t>
  </si>
  <si>
    <t xml:space="preserve">2619.0800</t>
  </si>
  <si>
    <t xml:space="preserve">2429.55</t>
  </si>
  <si>
    <t xml:space="preserve">Sheriff</t>
  </si>
  <si>
    <t xml:space="preserve">2619.0900</t>
  </si>
  <si>
    <t xml:space="preserve">2429.60</t>
  </si>
  <si>
    <t xml:space="preserve">Coroner</t>
  </si>
  <si>
    <t xml:space="preserve">2619.1000</t>
  </si>
  <si>
    <t xml:space="preserve">2429.65</t>
  </si>
  <si>
    <t xml:space="preserve">Legal Professionals, Other</t>
  </si>
  <si>
    <t xml:space="preserve">2619.9900</t>
  </si>
  <si>
    <t xml:space="preserve">2429.90</t>
  </si>
  <si>
    <t xml:space="preserve">Elected Official, Union Government</t>
  </si>
  <si>
    <t xml:space="preserve">1111.0100</t>
  </si>
  <si>
    <t xml:space="preserve">1111.10</t>
  </si>
  <si>
    <t xml:space="preserve">Elected Official, State Government</t>
  </si>
  <si>
    <t xml:space="preserve">1111.0200</t>
  </si>
  <si>
    <t xml:space="preserve">1112.10</t>
  </si>
  <si>
    <t xml:space="preserve">Legislators, Other</t>
  </si>
  <si>
    <t xml:space="preserve">1111.9900</t>
  </si>
  <si>
    <t xml:space="preserve">1119.90</t>
  </si>
  <si>
    <t xml:space="preserve">Elected Official, Local Bodies</t>
  </si>
  <si>
    <t xml:space="preserve">1111.0300</t>
  </si>
  <si>
    <t xml:space="preserve">1113.10</t>
  </si>
  <si>
    <t xml:space="preserve">Document Coder/Processor</t>
  </si>
  <si>
    <t xml:space="preserve">2622.0601</t>
  </si>
  <si>
    <t xml:space="preserve">Librarians and Related Information Professionals, Other</t>
  </si>
  <si>
    <t xml:space="preserve">2622.9900</t>
  </si>
  <si>
    <t xml:space="preserve">2432.90</t>
  </si>
  <si>
    <t xml:space="preserve">Librarian</t>
  </si>
  <si>
    <t xml:space="preserve">2622.0100</t>
  </si>
  <si>
    <t xml:space="preserve">2432.10</t>
  </si>
  <si>
    <t xml:space="preserve">Librarian (Film)</t>
  </si>
  <si>
    <t xml:space="preserve">2622.0200</t>
  </si>
  <si>
    <t xml:space="preserve">2432.20</t>
  </si>
  <si>
    <t xml:space="preserve">Tape Librarian/Librarian Digital/Librarian Media</t>
  </si>
  <si>
    <t xml:space="preserve">2622.0300</t>
  </si>
  <si>
    <t xml:space="preserve">2432.25</t>
  </si>
  <si>
    <t xml:space="preserve">News Librarian</t>
  </si>
  <si>
    <t xml:space="preserve">2622.0500</t>
  </si>
  <si>
    <t xml:space="preserve">2432.40</t>
  </si>
  <si>
    <t xml:space="preserve">Library Clerk</t>
  </si>
  <si>
    <t xml:space="preserve">4411.0100</t>
  </si>
  <si>
    <t xml:space="preserve">4141.10</t>
  </si>
  <si>
    <t xml:space="preserve">Braille and Talking Books Clerk</t>
  </si>
  <si>
    <t xml:space="preserve">4411.0200</t>
  </si>
  <si>
    <t xml:space="preserve">4141.20</t>
  </si>
  <si>
    <t xml:space="preserve">Preservation Assistant, Archives</t>
  </si>
  <si>
    <t xml:space="preserve">4411.0300</t>
  </si>
  <si>
    <t xml:space="preserve">4141.30</t>
  </si>
  <si>
    <t xml:space="preserve">Library Clerks, Other</t>
  </si>
  <si>
    <t xml:space="preserve">4411.9900</t>
  </si>
  <si>
    <t xml:space="preserve">4141.90</t>
  </si>
  <si>
    <t xml:space="preserve">Laboratory Assistant, Zoological</t>
  </si>
  <si>
    <t xml:space="preserve">3141.0100</t>
  </si>
  <si>
    <t xml:space="preserve">3211.10</t>
  </si>
  <si>
    <t xml:space="preserve">Laboratory Assistant, Botanical</t>
  </si>
  <si>
    <t xml:space="preserve">3141.0200</t>
  </si>
  <si>
    <t xml:space="preserve">3211.20</t>
  </si>
  <si>
    <t xml:space="preserve">Taxidermist</t>
  </si>
  <si>
    <t xml:space="preserve">3141.0300</t>
  </si>
  <si>
    <t xml:space="preserve">3211.30</t>
  </si>
  <si>
    <t xml:space="preserve">Life Science Technicians (Excluding Medical), Other</t>
  </si>
  <si>
    <t xml:space="preserve">3141.9900</t>
  </si>
  <si>
    <t xml:space="preserve">Lift Truck Operator</t>
  </si>
  <si>
    <t xml:space="preserve">8344.0100</t>
  </si>
  <si>
    <t xml:space="preserve">8334.10</t>
  </si>
  <si>
    <t xml:space="preserve">Fork Lift Truck Operator/Fork Lift Operator/Driver</t>
  </si>
  <si>
    <t xml:space="preserve">8344.0201</t>
  </si>
  <si>
    <t xml:space="preserve">8334.20</t>
  </si>
  <si>
    <t xml:space="preserve">Lift Truck Operator, Other</t>
  </si>
  <si>
    <t xml:space="preserve">8344.9900</t>
  </si>
  <si>
    <t xml:space="preserve">8334.90</t>
  </si>
  <si>
    <t xml:space="preserve">Herdsman</t>
  </si>
  <si>
    <t xml:space="preserve">6121.0400</t>
  </si>
  <si>
    <t xml:space="preserve">6121.25</t>
  </si>
  <si>
    <t xml:space="preserve">Livestock Workers/Other Livestock Workers</t>
  </si>
  <si>
    <t xml:space="preserve">6121.0500</t>
  </si>
  <si>
    <t xml:space="preserve">6121.30</t>
  </si>
  <si>
    <t xml:space="preserve">Farmer, Livestock</t>
  </si>
  <si>
    <t xml:space="preserve">6121.0100</t>
  </si>
  <si>
    <t xml:space="preserve">6121.10</t>
  </si>
  <si>
    <t xml:space="preserve">Farmer, Dairy/Dairy Farmer/Entrepreneur</t>
  </si>
  <si>
    <t xml:space="preserve">6121.0201</t>
  </si>
  <si>
    <t xml:space="preserve">6121.15</t>
  </si>
  <si>
    <t xml:space="preserve">Livestock Worker, General</t>
  </si>
  <si>
    <t xml:space="preserve">6121.0300</t>
  </si>
  <si>
    <t xml:space="preserve">6121.20</t>
  </si>
  <si>
    <t xml:space="preserve">Dairy Farm Worker, General/Dairy Worker</t>
  </si>
  <si>
    <t xml:space="preserve">6121.0601</t>
  </si>
  <si>
    <t xml:space="preserve">6121.35</t>
  </si>
  <si>
    <t xml:space="preserve">Milker</t>
  </si>
  <si>
    <t xml:space="preserve">6121.0700</t>
  </si>
  <si>
    <t xml:space="preserve">6121.40</t>
  </si>
  <si>
    <t xml:space="preserve">Milker, Machine</t>
  </si>
  <si>
    <t xml:space="preserve">6121.0800</t>
  </si>
  <si>
    <t xml:space="preserve">6121.45</t>
  </si>
  <si>
    <t xml:space="preserve">Stableman</t>
  </si>
  <si>
    <t xml:space="preserve">6121.1000</t>
  </si>
  <si>
    <t xml:space="preserve">6121.55</t>
  </si>
  <si>
    <t xml:space="preserve">Elephant Keeper</t>
  </si>
  <si>
    <t xml:space="preserve">6121.1100</t>
  </si>
  <si>
    <t xml:space="preserve">6121.60</t>
  </si>
  <si>
    <t xml:space="preserve">Shearer, Sheep</t>
  </si>
  <si>
    <t xml:space="preserve">6121.1200</t>
  </si>
  <si>
    <t xml:space="preserve">6121.65</t>
  </si>
  <si>
    <t xml:space="preserve">Shearer, Animal, Other/Shearer, Other Animals</t>
  </si>
  <si>
    <t xml:space="preserve">6121.1300</t>
  </si>
  <si>
    <t xml:space="preserve">6121.70</t>
  </si>
  <si>
    <t xml:space="preserve">Grass Cutter</t>
  </si>
  <si>
    <t xml:space="preserve">6121.1400</t>
  </si>
  <si>
    <t xml:space="preserve">6121.75</t>
  </si>
  <si>
    <t xml:space="preserve">Dairy and Livestock Producers, Other</t>
  </si>
  <si>
    <t xml:space="preserve">6121.9900</t>
  </si>
  <si>
    <t xml:space="preserve">6121.90</t>
  </si>
  <si>
    <t xml:space="preserve">Driver, Shunting (Loco)</t>
  </si>
  <si>
    <t xml:space="preserve">8311.0500</t>
  </si>
  <si>
    <t xml:space="preserve">8311.50</t>
  </si>
  <si>
    <t xml:space="preserve">Locomotive Driver</t>
  </si>
  <si>
    <t xml:space="preserve">8311.0601</t>
  </si>
  <si>
    <t xml:space="preserve">Loco Driver, Mines</t>
  </si>
  <si>
    <t xml:space="preserve">8311.0100</t>
  </si>
  <si>
    <t xml:space="preserve">8311.10</t>
  </si>
  <si>
    <t xml:space="preserve">Driver, Railway Engine (Steam)</t>
  </si>
  <si>
    <t xml:space="preserve">8311.0200</t>
  </si>
  <si>
    <t xml:space="preserve">8311.20</t>
  </si>
  <si>
    <t xml:space="preserve">Driver, Railway Engine (Diesel)</t>
  </si>
  <si>
    <t xml:space="preserve">8311.0300</t>
  </si>
  <si>
    <t xml:space="preserve">8311.30</t>
  </si>
  <si>
    <t xml:space="preserve">Driver, Railway Engine (Electrical)</t>
  </si>
  <si>
    <t xml:space="preserve">8311.0400</t>
  </si>
  <si>
    <t xml:space="preserve">8311.40</t>
  </si>
  <si>
    <t xml:space="preserve">Mail Guard</t>
  </si>
  <si>
    <t xml:space="preserve">4412.0100</t>
  </si>
  <si>
    <t xml:space="preserve">4142.40</t>
  </si>
  <si>
    <t xml:space="preserve">Postman</t>
  </si>
  <si>
    <t xml:space="preserve">4412.0200</t>
  </si>
  <si>
    <t xml:space="preserve">4142.45</t>
  </si>
  <si>
    <t xml:space="preserve">Village Postman</t>
  </si>
  <si>
    <t xml:space="preserve">4412.0300</t>
  </si>
  <si>
    <t xml:space="preserve">4142.47</t>
  </si>
  <si>
    <t xml:space="preserve">Mail Carriers and Sorting Clerks, Other</t>
  </si>
  <si>
    <t xml:space="preserve">4412.9900</t>
  </si>
  <si>
    <t xml:space="preserve">4142.90</t>
  </si>
  <si>
    <t xml:space="preserve">Analyst – Research</t>
  </si>
  <si>
    <t xml:space="preserve">2421.0101</t>
  </si>
  <si>
    <t xml:space="preserve">Working Proprietor, Wholesale Trade/Proprietor, Wholesale Trade</t>
  </si>
  <si>
    <t xml:space="preserve">1120.1900</t>
  </si>
  <si>
    <t xml:space="preserve">1214.30</t>
  </si>
  <si>
    <t xml:space="preserve">Working Proprietor, Mines/Proprietor, Mines</t>
  </si>
  <si>
    <t xml:space="preserve">1120.0900</t>
  </si>
  <si>
    <t xml:space="preserve">1213.10</t>
  </si>
  <si>
    <t xml:space="preserve">Working Proprietor, Retail Trade/Proprietor, Retail Trade</t>
  </si>
  <si>
    <t xml:space="preserve">1120.2000</t>
  </si>
  <si>
    <t xml:space="preserve">1214.40</t>
  </si>
  <si>
    <t xml:space="preserve">Working Proprietor, Quarry/Proprietor, Quarry</t>
  </si>
  <si>
    <t xml:space="preserve">1120.1000</t>
  </si>
  <si>
    <t xml:space="preserve">1213.20</t>
  </si>
  <si>
    <t xml:space="preserve">Director, Wholesale Trade</t>
  </si>
  <si>
    <t xml:space="preserve">1120.2100</t>
  </si>
  <si>
    <t xml:space="preserve">1214.50</t>
  </si>
  <si>
    <t xml:space="preserve">Working Proprietor, Well Drilling/Proprietor, Well Drilling</t>
  </si>
  <si>
    <t xml:space="preserve">1120.1100</t>
  </si>
  <si>
    <t xml:space="preserve">1213.30</t>
  </si>
  <si>
    <t xml:space="preserve">Director, Retail Trade</t>
  </si>
  <si>
    <t xml:space="preserve">1120.2200</t>
  </si>
  <si>
    <t xml:space="preserve">1214.60</t>
  </si>
  <si>
    <t xml:space="preserve">Working Proprietor, Electricity</t>
  </si>
  <si>
    <t xml:space="preserve">1120.0100</t>
  </si>
  <si>
    <t xml:space="preserve">1211.10</t>
  </si>
  <si>
    <t xml:space="preserve">Working Proprietor, Construction/Proprietor, Construction</t>
  </si>
  <si>
    <t xml:space="preserve">1120.1200</t>
  </si>
  <si>
    <t xml:space="preserve">1213.40</t>
  </si>
  <si>
    <t xml:space="preserve">Working Proprietor, Transport</t>
  </si>
  <si>
    <t xml:space="preserve">1120.2300</t>
  </si>
  <si>
    <t xml:space="preserve">1215.10</t>
  </si>
  <si>
    <t xml:space="preserve">Working Proprietor, Gas</t>
  </si>
  <si>
    <t xml:space="preserve">1120.0200</t>
  </si>
  <si>
    <t xml:space="preserve">1211.20</t>
  </si>
  <si>
    <t xml:space="preserve">Director, Construction</t>
  </si>
  <si>
    <t xml:space="preserve">1120.1300</t>
  </si>
  <si>
    <t xml:space="preserve">1213.50</t>
  </si>
  <si>
    <t xml:space="preserve">Director, Transport</t>
  </si>
  <si>
    <t xml:space="preserve">1120.2400</t>
  </si>
  <si>
    <t xml:space="preserve">1215.20</t>
  </si>
  <si>
    <t xml:space="preserve">Working Proprietor, Water Supply</t>
  </si>
  <si>
    <t xml:space="preserve">1120.0300</t>
  </si>
  <si>
    <t xml:space="preserve">1211.30</t>
  </si>
  <si>
    <t xml:space="preserve">Director, Mines</t>
  </si>
  <si>
    <t xml:space="preserve">1120.1400</t>
  </si>
  <si>
    <t xml:space="preserve">1213.60</t>
  </si>
  <si>
    <t xml:space="preserve">Director, Communication</t>
  </si>
  <si>
    <t xml:space="preserve">1120.2500</t>
  </si>
  <si>
    <t xml:space="preserve">1215.30</t>
  </si>
  <si>
    <t xml:space="preserve">Director, Electricity</t>
  </si>
  <si>
    <t xml:space="preserve">1120.0400</t>
  </si>
  <si>
    <t xml:space="preserve">1211.40</t>
  </si>
  <si>
    <t xml:space="preserve">Director, Quarry</t>
  </si>
  <si>
    <t xml:space="preserve">1120.1500</t>
  </si>
  <si>
    <t xml:space="preserve">1213.70</t>
  </si>
  <si>
    <t xml:space="preserve">Director, Gas</t>
  </si>
  <si>
    <t xml:space="preserve">1120.0500</t>
  </si>
  <si>
    <t xml:space="preserve">1211.50</t>
  </si>
  <si>
    <t xml:space="preserve">Director, Well Drilling</t>
  </si>
  <si>
    <t xml:space="preserve">1120.1600</t>
  </si>
  <si>
    <t xml:space="preserve">1213.80</t>
  </si>
  <si>
    <t xml:space="preserve">Director, Water Supply</t>
  </si>
  <si>
    <t xml:space="preserve">1120.0600</t>
  </si>
  <si>
    <t xml:space="preserve">1211.60</t>
  </si>
  <si>
    <t xml:space="preserve">Working Proprietor, Manufacturing/Proprietor, Manufacturing</t>
  </si>
  <si>
    <t xml:space="preserve">1120.1700</t>
  </si>
  <si>
    <t xml:space="preserve">1214.10</t>
  </si>
  <si>
    <t xml:space="preserve">Director, Bank</t>
  </si>
  <si>
    <t xml:space="preserve">1120.0700</t>
  </si>
  <si>
    <t xml:space="preserve">1212.10</t>
  </si>
  <si>
    <t xml:space="preserve">Director Manufacturing</t>
  </si>
  <si>
    <t xml:space="preserve">1120.1800</t>
  </si>
  <si>
    <t xml:space="preserve">1214.20</t>
  </si>
  <si>
    <t xml:space="preserve">Director, Insurance</t>
  </si>
  <si>
    <t xml:space="preserve">1120.0800</t>
  </si>
  <si>
    <t xml:space="preserve">1212.20</t>
  </si>
  <si>
    <t xml:space="preserve">Director, Lodging and Catering Services/Director Food and Beverage Service</t>
  </si>
  <si>
    <t xml:space="preserve">1120.3000</t>
  </si>
  <si>
    <t xml:space="preserve">1217.20</t>
  </si>
  <si>
    <t xml:space="preserve">Principal, College</t>
  </si>
  <si>
    <t xml:space="preserve">1120.3900</t>
  </si>
  <si>
    <t xml:space="preserve">1219.50</t>
  </si>
  <si>
    <t xml:space="preserve">Executive Chef</t>
  </si>
  <si>
    <t xml:space="preserve">1120.3100</t>
  </si>
  <si>
    <t xml:space="preserve">1217.30</t>
  </si>
  <si>
    <t xml:space="preserve">Managing Directors and Chief Executives, Others</t>
  </si>
  <si>
    <t xml:space="preserve">1120.9900</t>
  </si>
  <si>
    <t xml:space="preserve">1211.90</t>
  </si>
  <si>
    <t xml:space="preserve">Working Proprietor, Recreation and Entertainment</t>
  </si>
  <si>
    <t xml:space="preserve">1120.3200</t>
  </si>
  <si>
    <t xml:space="preserve">1218.10</t>
  </si>
  <si>
    <t xml:space="preserve">Director, Recreation and Entertainment</t>
  </si>
  <si>
    <t xml:space="preserve">1120.3300</t>
  </si>
  <si>
    <t xml:space="preserve">1218.20</t>
  </si>
  <si>
    <t xml:space="preserve">Station Director, Radio/TV</t>
  </si>
  <si>
    <t xml:space="preserve">1120.3400</t>
  </si>
  <si>
    <t xml:space="preserve">1218.30</t>
  </si>
  <si>
    <t xml:space="preserve">Account Director ( Advertising Agency)</t>
  </si>
  <si>
    <t xml:space="preserve">1120.3401</t>
  </si>
  <si>
    <t xml:space="preserve">Sales Director (Media Org)</t>
  </si>
  <si>
    <t xml:space="preserve">1120.3402</t>
  </si>
  <si>
    <t xml:space="preserve">Director, Airport</t>
  </si>
  <si>
    <t xml:space="preserve">1120.2600</t>
  </si>
  <si>
    <t xml:space="preserve">1215.40</t>
  </si>
  <si>
    <t xml:space="preserve">Working Proprietor, Other Services</t>
  </si>
  <si>
    <t xml:space="preserve">1120.3500</t>
  </si>
  <si>
    <t xml:space="preserve">1219.10</t>
  </si>
  <si>
    <t xml:space="preserve">Working Proprietor, Storage and Warehousing</t>
  </si>
  <si>
    <t xml:space="preserve">1120.2700</t>
  </si>
  <si>
    <t xml:space="preserve">1216.10</t>
  </si>
  <si>
    <t xml:space="preserve">Director, Other Services</t>
  </si>
  <si>
    <t xml:space="preserve">1120.3600</t>
  </si>
  <si>
    <t xml:space="preserve">1219.20</t>
  </si>
  <si>
    <t xml:space="preserve">Director, Storage and Warehousing</t>
  </si>
  <si>
    <t xml:space="preserve">1120.2800</t>
  </si>
  <si>
    <t xml:space="preserve">1216.20</t>
  </si>
  <si>
    <t xml:space="preserve">Director, Museum/Zoo</t>
  </si>
  <si>
    <t xml:space="preserve">1120.3700</t>
  </si>
  <si>
    <t xml:space="preserve">1219.30</t>
  </si>
  <si>
    <t xml:space="preserve">Working Proprietor, Lodging and Catering Services</t>
  </si>
  <si>
    <t xml:space="preserve">1120.2900</t>
  </si>
  <si>
    <t xml:space="preserve">1217.10</t>
  </si>
  <si>
    <t xml:space="preserve">Chief Librarian</t>
  </si>
  <si>
    <t xml:space="preserve">1120.3800</t>
  </si>
  <si>
    <t xml:space="preserve">1219.40</t>
  </si>
  <si>
    <t xml:space="preserve">Checker</t>
  </si>
  <si>
    <t xml:space="preserve">9329.0400</t>
  </si>
  <si>
    <t xml:space="preserve">9322.70</t>
  </si>
  <si>
    <t xml:space="preserve">Tester</t>
  </si>
  <si>
    <t xml:space="preserve">9329.0500</t>
  </si>
  <si>
    <t xml:space="preserve">9322.72</t>
  </si>
  <si>
    <t xml:space="preserve">Sorter</t>
  </si>
  <si>
    <t xml:space="preserve">9329.0600</t>
  </si>
  <si>
    <t xml:space="preserve">9322.74</t>
  </si>
  <si>
    <t xml:space="preserve">Accessory Fitter</t>
  </si>
  <si>
    <t xml:space="preserve">9329.0701</t>
  </si>
  <si>
    <t xml:space="preserve">Parts Picker</t>
  </si>
  <si>
    <t xml:space="preserve">9329.0801</t>
  </si>
  <si>
    <t xml:space="preserve">Khatedar, Salt Production</t>
  </si>
  <si>
    <t xml:space="preserve">9329.0100</t>
  </si>
  <si>
    <t xml:space="preserve">9322.50</t>
  </si>
  <si>
    <t xml:space="preserve">Mukadam, Salt Production</t>
  </si>
  <si>
    <t xml:space="preserve">9329.0200</t>
  </si>
  <si>
    <t xml:space="preserve">9322.55</t>
  </si>
  <si>
    <t xml:space="preserve">Salt Reclamation Worker</t>
  </si>
  <si>
    <t xml:space="preserve">9329.0300</t>
  </si>
  <si>
    <t xml:space="preserve">9322.60</t>
  </si>
  <si>
    <t xml:space="preserve">Manager, Food Processing Plant</t>
  </si>
  <si>
    <t xml:space="preserve">1321.0500</t>
  </si>
  <si>
    <t xml:space="preserve">1222.65</t>
  </si>
  <si>
    <t xml:space="preserve">Manager, Manufacturing</t>
  </si>
  <si>
    <t xml:space="preserve">1321.0600</t>
  </si>
  <si>
    <t xml:space="preserve">1222.70</t>
  </si>
  <si>
    <t xml:space="preserve">General Manager, Electricity</t>
  </si>
  <si>
    <t xml:space="preserve">1321.0700</t>
  </si>
  <si>
    <t xml:space="preserve">1302.40</t>
  </si>
  <si>
    <t xml:space="preserve">General Manager, Gas</t>
  </si>
  <si>
    <t xml:space="preserve">1321.0800</t>
  </si>
  <si>
    <t xml:space="preserve">1302.50</t>
  </si>
  <si>
    <t xml:space="preserve">General Manager, Water Supply</t>
  </si>
  <si>
    <t xml:space="preserve">1321.0900</t>
  </si>
  <si>
    <t xml:space="preserve">1302.60</t>
  </si>
  <si>
    <t xml:space="preserve">General Manager, Manufacturing</t>
  </si>
  <si>
    <t xml:space="preserve">1321.1000</t>
  </si>
  <si>
    <t xml:space="preserve">1302.70</t>
  </si>
  <si>
    <t xml:space="preserve">Manager, Electricity</t>
  </si>
  <si>
    <t xml:space="preserve">1321.0100</t>
  </si>
  <si>
    <t xml:space="preserve">1222.40</t>
  </si>
  <si>
    <t xml:space="preserve">Manufacturing Managers, Other</t>
  </si>
  <si>
    <t xml:space="preserve">1321.9900</t>
  </si>
  <si>
    <t xml:space="preserve">1302.90</t>
  </si>
  <si>
    <t xml:space="preserve">Terminal Manager</t>
  </si>
  <si>
    <t xml:space="preserve">1321.0200</t>
  </si>
  <si>
    <t xml:space="preserve">1222.45</t>
  </si>
  <si>
    <t xml:space="preserve">Manager, Gas</t>
  </si>
  <si>
    <t xml:space="preserve">1321.0300</t>
  </si>
  <si>
    <t xml:space="preserve">1222.50</t>
  </si>
  <si>
    <t xml:space="preserve">Manager, Water Supply</t>
  </si>
  <si>
    <t xml:space="preserve">1321.0400</t>
  </si>
  <si>
    <t xml:space="preserve">1222.60</t>
  </si>
  <si>
    <t xml:space="preserve">Boiler Supervisor</t>
  </si>
  <si>
    <t xml:space="preserve">3122.1600</t>
  </si>
  <si>
    <t xml:space="preserve">8168.10</t>
  </si>
  <si>
    <t xml:space="preserve">Stock House Foreman</t>
  </si>
  <si>
    <t xml:space="preserve">3122.0300</t>
  </si>
  <si>
    <t xml:space="preserve">8128.30</t>
  </si>
  <si>
    <t xml:space="preserve">Supervisors and Foremen, Stationary Engine and Related Equipment</t>
  </si>
  <si>
    <t xml:space="preserve">3122.1700</t>
  </si>
  <si>
    <t xml:space="preserve">8168.20</t>
  </si>
  <si>
    <t xml:space="preserve">Supervisor and Foreman, Metal Treating</t>
  </si>
  <si>
    <t xml:space="preserve">3122.0400</t>
  </si>
  <si>
    <t xml:space="preserve">8128.40</t>
  </si>
  <si>
    <t xml:space="preserve">Supervisor and Foreman, Metal Drawing and Extruding</t>
  </si>
  <si>
    <t xml:space="preserve">3122.0500</t>
  </si>
  <si>
    <t xml:space="preserve">8128.50</t>
  </si>
  <si>
    <t xml:space="preserve">Assembly Line Supervisor</t>
  </si>
  <si>
    <t xml:space="preserve">3122.0601</t>
  </si>
  <si>
    <t xml:space="preserve">Supervisor and Foreman, Glass Forming and Related Activities</t>
  </si>
  <si>
    <t xml:space="preserve">3122.0800</t>
  </si>
  <si>
    <t xml:space="preserve">8138.10</t>
  </si>
  <si>
    <t xml:space="preserve">Supervisor and Foreman, Ceramics and Related Activities</t>
  </si>
  <si>
    <t xml:space="preserve">3122.0900</t>
  </si>
  <si>
    <t xml:space="preserve">8138.20</t>
  </si>
  <si>
    <t xml:space="preserve">Supervisor and Foreman, Wood Preparation and Papermaking</t>
  </si>
  <si>
    <t xml:space="preserve">3122.1000</t>
  </si>
  <si>
    <t xml:space="preserve">8148.10</t>
  </si>
  <si>
    <t xml:space="preserve">Supervisor and Foreman, Paper Pulp and Papermaking</t>
  </si>
  <si>
    <t xml:space="preserve">3122.1100</t>
  </si>
  <si>
    <t xml:space="preserve">8148.20</t>
  </si>
  <si>
    <t xml:space="preserve">Supervisor and Foreman, Chemical Processing and Related Activities</t>
  </si>
  <si>
    <t xml:space="preserve">3122.1300</t>
  </si>
  <si>
    <t xml:space="preserve">8158.10</t>
  </si>
  <si>
    <t xml:space="preserve">Supervisors and Foremen, Metal Making, Converting and Refining</t>
  </si>
  <si>
    <t xml:space="preserve">3122.0100</t>
  </si>
  <si>
    <t xml:space="preserve">8128.10</t>
  </si>
  <si>
    <t xml:space="preserve">Supervisor and Foreman, Petroleum Refining and Related Activities/Operator/Engineering Assistant (Mechanical/Electrical/Civil/Chemical) Related Activities</t>
  </si>
  <si>
    <t xml:space="preserve">3122.1400</t>
  </si>
  <si>
    <t xml:space="preserve">8158.20</t>
  </si>
  <si>
    <t xml:space="preserve">Foreman, Blast Furnace</t>
  </si>
  <si>
    <t xml:space="preserve">3122.0200</t>
  </si>
  <si>
    <t xml:space="preserve">8128.20</t>
  </si>
  <si>
    <t xml:space="preserve">Jobber (Textile)</t>
  </si>
  <si>
    <t xml:space="preserve">3122.2800</t>
  </si>
  <si>
    <t xml:space="preserve">8268.10</t>
  </si>
  <si>
    <t xml:space="preserve">Supervisor and Foreman, Hosiery</t>
  </si>
  <si>
    <t xml:space="preserve">3122.2900</t>
  </si>
  <si>
    <t xml:space="preserve">8268.20</t>
  </si>
  <si>
    <t xml:space="preserve">Supervisor and Foreman, Stone Cutting and Carving</t>
  </si>
  <si>
    <t xml:space="preserve">3122.1800</t>
  </si>
  <si>
    <t xml:space="preserve">8218.10</t>
  </si>
  <si>
    <t xml:space="preserve">Supervisor and Foreman, Tanning and Pelt Dressing</t>
  </si>
  <si>
    <t xml:space="preserve">3122.3000</t>
  </si>
  <si>
    <t xml:space="preserve">8268.30</t>
  </si>
  <si>
    <t xml:space="preserve">Supervisor and Foreman, Machine Tool Operations</t>
  </si>
  <si>
    <t xml:space="preserve">3122.1900</t>
  </si>
  <si>
    <t xml:space="preserve">8218.20</t>
  </si>
  <si>
    <t xml:space="preserve">Supervisor and Foreman, Shoemaking</t>
  </si>
  <si>
    <t xml:space="preserve">3122.3100</t>
  </si>
  <si>
    <t xml:space="preserve">8268.40</t>
  </si>
  <si>
    <t xml:space="preserve">Supervisor and Foreman, Rubber Goods Making</t>
  </si>
  <si>
    <t xml:space="preserve">3122.2000</t>
  </si>
  <si>
    <t xml:space="preserve">8238.10</t>
  </si>
  <si>
    <t xml:space="preserve">Supervisor and Foreman, Harness and Saddle Making</t>
  </si>
  <si>
    <t xml:space="preserve">3122.3200</t>
  </si>
  <si>
    <t xml:space="preserve">8268.50</t>
  </si>
  <si>
    <t xml:space="preserve">Supervisor and Foreman, Plastic Products Making</t>
  </si>
  <si>
    <t xml:space="preserve">3122.2100</t>
  </si>
  <si>
    <t xml:space="preserve">8238.20</t>
  </si>
  <si>
    <t xml:space="preserve">Supervisor and Foreman, Leather Goods Making</t>
  </si>
  <si>
    <t xml:space="preserve">3122.3300</t>
  </si>
  <si>
    <t xml:space="preserve">8268.60</t>
  </si>
  <si>
    <t xml:space="preserve">Plastic Moulding Shop Supervisor</t>
  </si>
  <si>
    <t xml:space="preserve">3122.2200</t>
  </si>
  <si>
    <t xml:space="preserve">Supervisors and Foremen, Textile-Related Products</t>
  </si>
  <si>
    <t xml:space="preserve">3122.3400</t>
  </si>
  <si>
    <t xml:space="preserve">7435.05</t>
  </si>
  <si>
    <t xml:space="preserve">Plastic Moulding Shift In-Charge</t>
  </si>
  <si>
    <t xml:space="preserve">3122.2300</t>
  </si>
  <si>
    <t xml:space="preserve">Scouring Supervisor, Wool</t>
  </si>
  <si>
    <t xml:space="preserve">3122.3450</t>
  </si>
  <si>
    <t xml:space="preserve">7431.26</t>
  </si>
  <si>
    <t xml:space="preserve">Supervisor and Foreman, Wood Working (Machine)</t>
  </si>
  <si>
    <t xml:space="preserve">3122.2400</t>
  </si>
  <si>
    <t xml:space="preserve">8248.10</t>
  </si>
  <si>
    <t xml:space="preserve">Supervisors and Foremen, Tailoring and Dress Making</t>
  </si>
  <si>
    <t xml:space="preserve">3122.3500</t>
  </si>
  <si>
    <t xml:space="preserve">7433.05</t>
  </si>
  <si>
    <t xml:space="preserve">Supervisor and Foreman, Carpentry, Cabinet Making and Related Wood Working Processes</t>
  </si>
  <si>
    <t xml:space="preserve">3122.2500</t>
  </si>
  <si>
    <t xml:space="preserve">8248.20</t>
  </si>
  <si>
    <t xml:space="preserve">Supervisor and Foreman, Paper and Paper Board Product Making</t>
  </si>
  <si>
    <t xml:space="preserve">3122.2600</t>
  </si>
  <si>
    <t xml:space="preserve">8258.10</t>
  </si>
  <si>
    <t xml:space="preserve">Supervisor and Foreman, Tobacco Product Making</t>
  </si>
  <si>
    <t xml:space="preserve">3122.3900</t>
  </si>
  <si>
    <t xml:space="preserve">8279.20</t>
  </si>
  <si>
    <t xml:space="preserve">Supervisor and Foreman, Material and Freight Handling</t>
  </si>
  <si>
    <t xml:space="preserve">3122.4000</t>
  </si>
  <si>
    <t xml:space="preserve">8290.10</t>
  </si>
  <si>
    <t xml:space="preserve">Supervisor and Foreman, Checking, Sorting, Packing and Related Activities</t>
  </si>
  <si>
    <t xml:space="preserve">3122.4100</t>
  </si>
  <si>
    <t xml:space="preserve">8290.20</t>
  </si>
  <si>
    <t xml:space="preserve">Supervisor and Foreman, Welding and Flame Cutting</t>
  </si>
  <si>
    <t xml:space="preserve">3122.4200</t>
  </si>
  <si>
    <t xml:space="preserve">7218.10</t>
  </si>
  <si>
    <t xml:space="preserve">Supervisor and Foreman, Brush Making</t>
  </si>
  <si>
    <t xml:space="preserve">3122.3600</t>
  </si>
  <si>
    <t xml:space="preserve">7424.05</t>
  </si>
  <si>
    <t xml:space="preserve">Supervisor and Foreman, Tobacco Preparation, Cigar and Cigarette Making</t>
  </si>
  <si>
    <t xml:space="preserve">3122.3800</t>
  </si>
  <si>
    <t xml:space="preserve">8279.10</t>
  </si>
  <si>
    <t xml:space="preserve">Press Shop Supervisor</t>
  </si>
  <si>
    <t xml:space="preserve">3122.4602</t>
  </si>
  <si>
    <t xml:space="preserve">Welding Machine Setter</t>
  </si>
  <si>
    <t xml:space="preserve">3122.4701</t>
  </si>
  <si>
    <t xml:space="preserve">Welding Supervisor</t>
  </si>
  <si>
    <t xml:space="preserve">3122.4702</t>
  </si>
  <si>
    <t xml:space="preserve">Supervisor and Foreman, Sheet and Structural Metal Working</t>
  </si>
  <si>
    <t xml:space="preserve">3122.4300</t>
  </si>
  <si>
    <t xml:space="preserve">7218.20</t>
  </si>
  <si>
    <t xml:space="preserve">Casting Line In-Charge</t>
  </si>
  <si>
    <t xml:space="preserve">3122.4401</t>
  </si>
  <si>
    <t xml:space="preserve">Casting Line Supervisor</t>
  </si>
  <si>
    <t xml:space="preserve">3122.4402</t>
  </si>
  <si>
    <t xml:space="preserve">Forging Shop Shift In-Charge</t>
  </si>
  <si>
    <t xml:space="preserve">3122.4501</t>
  </si>
  <si>
    <t xml:space="preserve">Forging Shop Supervisor</t>
  </si>
  <si>
    <t xml:space="preserve">3122.4502</t>
  </si>
  <si>
    <t xml:space="preserve">Press Shop Shift In-Charge</t>
  </si>
  <si>
    <t xml:space="preserve">3122.4601</t>
  </si>
  <si>
    <t xml:space="preserve">Charge Hand, Rack Wiring (Telephone Equipment) Manufacturing</t>
  </si>
  <si>
    <t xml:space="preserve">3122.5900</t>
  </si>
  <si>
    <t xml:space="preserve">7248.40</t>
  </si>
  <si>
    <t xml:space="preserve">Line Supervisor, Electrical</t>
  </si>
  <si>
    <t xml:space="preserve">3122.6000</t>
  </si>
  <si>
    <t xml:space="preserve">7248.50</t>
  </si>
  <si>
    <t xml:space="preserve">Supervisor and Foreman, Precision Instrument Making (Except Electrical)</t>
  </si>
  <si>
    <t xml:space="preserve">3122.6200</t>
  </si>
  <si>
    <t xml:space="preserve">7318.10</t>
  </si>
  <si>
    <t xml:space="preserve">Supervisor and Foreman, Blacksmith</t>
  </si>
  <si>
    <t xml:space="preserve">3122.4900</t>
  </si>
  <si>
    <t xml:space="preserve">7228.10</t>
  </si>
  <si>
    <t xml:space="preserve">Supervisor and Foreman, Musical Instrument Making</t>
  </si>
  <si>
    <t xml:space="preserve">3122.6300</t>
  </si>
  <si>
    <t xml:space="preserve">7318.20</t>
  </si>
  <si>
    <t xml:space="preserve">Supervisor and Foreman, Tool Making/Die Making</t>
  </si>
  <si>
    <t xml:space="preserve">3122.5000</t>
  </si>
  <si>
    <t xml:space="preserve">7228.20</t>
  </si>
  <si>
    <t xml:space="preserve">Supervisor, Jewellery, Engraving and Precision Metal Workers</t>
  </si>
  <si>
    <t xml:space="preserve">3122.6400</t>
  </si>
  <si>
    <t xml:space="preserve">7318.30</t>
  </si>
  <si>
    <t xml:space="preserve">Supervisor and Foreman, Machinery Fitting and Repairing</t>
  </si>
  <si>
    <t xml:space="preserve">3122.5200</t>
  </si>
  <si>
    <t xml:space="preserve">7238.10</t>
  </si>
  <si>
    <t xml:space="preserve">Wax Model Making Supervisor</t>
  </si>
  <si>
    <t xml:space="preserve">3122.6501</t>
  </si>
  <si>
    <t xml:space="preserve">Supervisor and Foreman, Motor Vehicle Repairing</t>
  </si>
  <si>
    <t xml:space="preserve">3122.5300</t>
  </si>
  <si>
    <t xml:space="preserve">7238.20</t>
  </si>
  <si>
    <t xml:space="preserve">Product Development Manager</t>
  </si>
  <si>
    <t xml:space="preserve">3122.6502</t>
  </si>
  <si>
    <t xml:space="preserve">Supervisor and Foreman, Aircraft Repairing</t>
  </si>
  <si>
    <t xml:space="preserve">3122.5400</t>
  </si>
  <si>
    <t xml:space="preserve">7238.30</t>
  </si>
  <si>
    <t xml:space="preserve">Planning Supervisor</t>
  </si>
  <si>
    <t xml:space="preserve">3122.6503</t>
  </si>
  <si>
    <t xml:space="preserve">Supervisor and Foreman, Electrical and Electronic Equipment</t>
  </si>
  <si>
    <t xml:space="preserve">3122.5600</t>
  </si>
  <si>
    <t xml:space="preserve">7248.10</t>
  </si>
  <si>
    <t xml:space="preserve">Engineering Supervisor, Telephone</t>
  </si>
  <si>
    <t xml:space="preserve">3122.5700</t>
  </si>
  <si>
    <t xml:space="preserve">7248.20</t>
  </si>
  <si>
    <t xml:space="preserve">Sub-Inspector, Telephone</t>
  </si>
  <si>
    <t xml:space="preserve">3122.5800</t>
  </si>
  <si>
    <t xml:space="preserve">7248.30</t>
  </si>
  <si>
    <t xml:space="preserve">Rubber Nursery Supervisor</t>
  </si>
  <si>
    <t xml:space="preserve">3122.8001</t>
  </si>
  <si>
    <t xml:space="preserve">Blocking Supervisor</t>
  </si>
  <si>
    <t xml:space="preserve">3122.6507</t>
  </si>
  <si>
    <t xml:space="preserve">Manufacturing Supervisors, Other</t>
  </si>
  <si>
    <t xml:space="preserve">3122.9900</t>
  </si>
  <si>
    <t xml:space="preserve">Polishing Supervisor</t>
  </si>
  <si>
    <t xml:space="preserve">3122.6508</t>
  </si>
  <si>
    <t xml:space="preserve">Final Assortment Supervisor</t>
  </si>
  <si>
    <t xml:space="preserve">3122.6509</t>
  </si>
  <si>
    <t xml:space="preserve">Supervisor Faceting and Polishing</t>
  </si>
  <si>
    <t xml:space="preserve">3122.6511</t>
  </si>
  <si>
    <t xml:space="preserve">Supervisor and Foreman, Photolitho, Photo Engraving and Dark Room Operations</t>
  </si>
  <si>
    <t xml:space="preserve">3122.6600</t>
  </si>
  <si>
    <t xml:space="preserve">7348.10</t>
  </si>
  <si>
    <t xml:space="preserve">Supervisor and Foreman, Printing and Related Work</t>
  </si>
  <si>
    <t xml:space="preserve">3122.6700</t>
  </si>
  <si>
    <t xml:space="preserve">7348.20</t>
  </si>
  <si>
    <t xml:space="preserve">Supervisor and Foreman, Food Processing/Production Supervisor</t>
  </si>
  <si>
    <t xml:space="preserve">3122.6900</t>
  </si>
  <si>
    <t xml:space="preserve">7418.10</t>
  </si>
  <si>
    <t xml:space="preserve">Juice Clarification Supervisor</t>
  </si>
  <si>
    <t xml:space="preserve">3122.7000</t>
  </si>
  <si>
    <t xml:space="preserve">7418.20</t>
  </si>
  <si>
    <t xml:space="preserve">Blade Sawing Supervisor</t>
  </si>
  <si>
    <t xml:space="preserve">3122.6504</t>
  </si>
  <si>
    <t xml:space="preserve">Supervisor and Foreman, Brewing, Aerated Water and Beverage Making</t>
  </si>
  <si>
    <t xml:space="preserve">3122.7100</t>
  </si>
  <si>
    <t xml:space="preserve">7418.30</t>
  </si>
  <si>
    <t xml:space="preserve">Laser Supervisor</t>
  </si>
  <si>
    <t xml:space="preserve">3122.6505</t>
  </si>
  <si>
    <t xml:space="preserve">Supervisor and Foreman, Dairy Products/Dairy Technologist</t>
  </si>
  <si>
    <t xml:space="preserve">3122.7200</t>
  </si>
  <si>
    <t xml:space="preserve">7418.40</t>
  </si>
  <si>
    <t xml:space="preserve">Bruting Supervisor</t>
  </si>
  <si>
    <t xml:space="preserve">3122.6506</t>
  </si>
  <si>
    <t xml:space="preserve">Pattern Marker, Metal Foundry</t>
  </si>
  <si>
    <t xml:space="preserve">7222.0800</t>
  </si>
  <si>
    <t xml:space="preserve">7222.80</t>
  </si>
  <si>
    <t xml:space="preserve">Armourer</t>
  </si>
  <si>
    <t xml:space="preserve">7222.0900</t>
  </si>
  <si>
    <t xml:space="preserve">7222.85</t>
  </si>
  <si>
    <t xml:space="preserve">Tool Makers and Related Workers, Other</t>
  </si>
  <si>
    <t xml:space="preserve">7222.9900</t>
  </si>
  <si>
    <t xml:space="preserve">7222.90</t>
  </si>
  <si>
    <t xml:space="preserve">Tool Maker</t>
  </si>
  <si>
    <t xml:space="preserve">7222.0200</t>
  </si>
  <si>
    <t xml:space="preserve">7222.20</t>
  </si>
  <si>
    <t xml:space="preserve">Jig and Fixture Marker</t>
  </si>
  <si>
    <t xml:space="preserve">7222.0300</t>
  </si>
  <si>
    <t xml:space="preserve">7222.30</t>
  </si>
  <si>
    <t xml:space="preserve">Jig Borer</t>
  </si>
  <si>
    <t xml:space="preserve">7222.0400</t>
  </si>
  <si>
    <t xml:space="preserve">7222.40</t>
  </si>
  <si>
    <t xml:space="preserve">Die Maker</t>
  </si>
  <si>
    <t xml:space="preserve">7222.0500</t>
  </si>
  <si>
    <t xml:space="preserve">7222.50</t>
  </si>
  <si>
    <t xml:space="preserve">Die Sinker, Hand</t>
  </si>
  <si>
    <t xml:space="preserve">7222.0600</t>
  </si>
  <si>
    <t xml:space="preserve">7222.60</t>
  </si>
  <si>
    <t xml:space="preserve">Locksmith</t>
  </si>
  <si>
    <t xml:space="preserve">7222.0700</t>
  </si>
  <si>
    <t xml:space="preserve">7222.70</t>
  </si>
  <si>
    <t xml:space="preserve">Statistician, Applied</t>
  </si>
  <si>
    <t xml:space="preserve">2120.0400</t>
  </si>
  <si>
    <t xml:space="preserve">2122.20</t>
  </si>
  <si>
    <t xml:space="preserve">Operation Research Analyst</t>
  </si>
  <si>
    <t xml:space="preserve">2120.0500</t>
  </si>
  <si>
    <t xml:space="preserve">2122.30</t>
  </si>
  <si>
    <t xml:space="preserve">Mathematician</t>
  </si>
  <si>
    <t xml:space="preserve">2120.0100</t>
  </si>
  <si>
    <t xml:space="preserve">2121.10</t>
  </si>
  <si>
    <t xml:space="preserve">Actuary</t>
  </si>
  <si>
    <t xml:space="preserve">2120.0200</t>
  </si>
  <si>
    <t xml:space="preserve">2121.20</t>
  </si>
  <si>
    <t xml:space="preserve">Statistician</t>
  </si>
  <si>
    <t xml:space="preserve">2120.0300</t>
  </si>
  <si>
    <t xml:space="preserve">2122.10</t>
  </si>
  <si>
    <t xml:space="preserve">Mathematicians, Actuaries and Statisticians,Other</t>
  </si>
  <si>
    <t xml:space="preserve">2120.9900</t>
  </si>
  <si>
    <t xml:space="preserve">2122.90</t>
  </si>
  <si>
    <t xml:space="preserve">Associate – Analytics</t>
  </si>
  <si>
    <t xml:space="preserve">2120.0501</t>
  </si>
  <si>
    <t xml:space="preserve">Automotive Engineering Technician/Testing Manager</t>
  </si>
  <si>
    <t xml:space="preserve">3115.0201</t>
  </si>
  <si>
    <t xml:space="preserve">3115.20</t>
  </si>
  <si>
    <t xml:space="preserve">Test Engineer Product/Vehicle</t>
  </si>
  <si>
    <t xml:space="preserve">3115.0202</t>
  </si>
  <si>
    <t xml:space="preserve">Mechanical Engineering Technician/Supervisor R&amp;D Testing</t>
  </si>
  <si>
    <t xml:space="preserve">3115.0101</t>
  </si>
  <si>
    <t xml:space="preserve">3115.10</t>
  </si>
  <si>
    <t xml:space="preserve">Body Shop In-Charge</t>
  </si>
  <si>
    <t xml:space="preserve">3115.0104</t>
  </si>
  <si>
    <t xml:space="preserve">Workshop Manager</t>
  </si>
  <si>
    <t xml:space="preserve">3115.0105</t>
  </si>
  <si>
    <t xml:space="preserve">Executive, Proto Manufacturing</t>
  </si>
  <si>
    <t xml:space="preserve">3115.0301</t>
  </si>
  <si>
    <t xml:space="preserve">Tool Room Supervisor</t>
  </si>
  <si>
    <t xml:space="preserve">3115.1302</t>
  </si>
  <si>
    <t xml:space="preserve">Loco Foreman</t>
  </si>
  <si>
    <t xml:space="preserve">3115.1400</t>
  </si>
  <si>
    <t xml:space="preserve">3115.60</t>
  </si>
  <si>
    <t xml:space="preserve">Yard Foreman, Railway</t>
  </si>
  <si>
    <t xml:space="preserve">3115.1500</t>
  </si>
  <si>
    <t xml:space="preserve">3115.65</t>
  </si>
  <si>
    <t xml:space="preserve">Method Study Executive</t>
  </si>
  <si>
    <t xml:space="preserve">3115.0401</t>
  </si>
  <si>
    <t xml:space="preserve">Manager Maintenance Mechanical &amp; Electrical</t>
  </si>
  <si>
    <t xml:space="preserve">3115.0501</t>
  </si>
  <si>
    <t xml:space="preserve">Master Auto Service Technician/Auto Service Technician</t>
  </si>
  <si>
    <t xml:space="preserve">3115.0601</t>
  </si>
  <si>
    <t xml:space="preserve">Auto Service Technical Manager/Auto Service Technician</t>
  </si>
  <si>
    <t xml:space="preserve">3115.0602</t>
  </si>
  <si>
    <t xml:space="preserve">Aeronautical Engineering Technician</t>
  </si>
  <si>
    <t xml:space="preserve">3115.1000</t>
  </si>
  <si>
    <t xml:space="preserve">3115.30</t>
  </si>
  <si>
    <t xml:space="preserve">Heating, Ventilation and Refrigeration Engineering Technician</t>
  </si>
  <si>
    <t xml:space="preserve">3115.1100</t>
  </si>
  <si>
    <t xml:space="preserve">3115.40</t>
  </si>
  <si>
    <t xml:space="preserve">Die Designer</t>
  </si>
  <si>
    <t xml:space="preserve">3115.1200</t>
  </si>
  <si>
    <t xml:space="preserve">3115.50</t>
  </si>
  <si>
    <t xml:space="preserve">Tool Designer</t>
  </si>
  <si>
    <t xml:space="preserve">3115.1301</t>
  </si>
  <si>
    <t xml:space="preserve">Train Examiner</t>
  </si>
  <si>
    <t xml:space="preserve">3115.1600</t>
  </si>
  <si>
    <t xml:space="preserve">3115.70</t>
  </si>
  <si>
    <t xml:space="preserve">Mechanical Engineering Technicians, Other</t>
  </si>
  <si>
    <t xml:space="preserve">3115.9900</t>
  </si>
  <si>
    <t xml:space="preserve">3115.90</t>
  </si>
  <si>
    <t xml:space="preserve">Maintenance Technician – Mechanical</t>
  </si>
  <si>
    <t xml:space="preserve">3115.0102</t>
  </si>
  <si>
    <t xml:space="preserve">Maintenance Technician Assistant – Mechanical</t>
  </si>
  <si>
    <t xml:space="preserve">3115.0103</t>
  </si>
  <si>
    <t xml:space="preserve">Manager, Process Engineering</t>
  </si>
  <si>
    <t xml:space="preserve">2144.0105</t>
  </si>
  <si>
    <t xml:space="preserve">Mechanical Engineer, General</t>
  </si>
  <si>
    <t xml:space="preserve">2144.0100</t>
  </si>
  <si>
    <t xml:space="preserve">2145.10</t>
  </si>
  <si>
    <t xml:space="preserve">Process Design Engineer</t>
  </si>
  <si>
    <t xml:space="preserve">2144.0101</t>
  </si>
  <si>
    <t xml:space="preserve">Process Try-Out Engineer</t>
  </si>
  <si>
    <t xml:space="preserve">2144.0102</t>
  </si>
  <si>
    <t xml:space="preserve">Process Try-Out Technician</t>
  </si>
  <si>
    <t xml:space="preserve">2144.0103</t>
  </si>
  <si>
    <t xml:space="preserve">Process Validation Executive</t>
  </si>
  <si>
    <t xml:space="preserve">2144.0104</t>
  </si>
  <si>
    <t xml:space="preserve">Prototyping Engineer</t>
  </si>
  <si>
    <t xml:space="preserve">2144.0701</t>
  </si>
  <si>
    <t xml:space="preserve">Designer, Machine</t>
  </si>
  <si>
    <t xml:space="preserve">2144.0200</t>
  </si>
  <si>
    <t xml:space="preserve">2145.15</t>
  </si>
  <si>
    <t xml:space="preserve">Automobile Designer</t>
  </si>
  <si>
    <t xml:space="preserve">2144.0800</t>
  </si>
  <si>
    <t xml:space="preserve">2145.42</t>
  </si>
  <si>
    <t xml:space="preserve">Designer - Mechanical</t>
  </si>
  <si>
    <t xml:space="preserve">2144.0201</t>
  </si>
  <si>
    <t xml:space="preserve">Tool Engineer</t>
  </si>
  <si>
    <t xml:space="preserve">2144.0300</t>
  </si>
  <si>
    <t xml:space="preserve">2145.20</t>
  </si>
  <si>
    <t xml:space="preserve">Equipment Designer</t>
  </si>
  <si>
    <t xml:space="preserve">2144.0301</t>
  </si>
  <si>
    <t xml:space="preserve">Mechanical Engineer, Production</t>
  </si>
  <si>
    <t xml:space="preserve">2144.0401</t>
  </si>
  <si>
    <t xml:space="preserve">2145.25</t>
  </si>
  <si>
    <t xml:space="preserve">Product Conceptualization Engineer</t>
  </si>
  <si>
    <t xml:space="preserve">2144.0402</t>
  </si>
  <si>
    <t xml:space="preserve">Production Engineer</t>
  </si>
  <si>
    <t xml:space="preserve">2144.0403</t>
  </si>
  <si>
    <t xml:space="preserve">Mechanical Engineer, Structural</t>
  </si>
  <si>
    <t xml:space="preserve">2144.0500</t>
  </si>
  <si>
    <t xml:space="preserve">2145.30</t>
  </si>
  <si>
    <t xml:space="preserve">Mechanical Engineer, Maintenance</t>
  </si>
  <si>
    <t xml:space="preserve">2144.0600</t>
  </si>
  <si>
    <t xml:space="preserve">2145.35</t>
  </si>
  <si>
    <t xml:space="preserve">Mechanical Engineer, Automobile</t>
  </si>
  <si>
    <t xml:space="preserve">2144.0700</t>
  </si>
  <si>
    <t xml:space="preserve">2145.40</t>
  </si>
  <si>
    <t xml:space="preserve">Industrial Engineer (Workstation Design)</t>
  </si>
  <si>
    <t xml:space="preserve">2144.1302</t>
  </si>
  <si>
    <t xml:space="preserve">Product Design Manager</t>
  </si>
  <si>
    <t xml:space="preserve">2144.0801</t>
  </si>
  <si>
    <t xml:space="preserve">2144.0802</t>
  </si>
  <si>
    <t xml:space="preserve">Product Design Engineer</t>
  </si>
  <si>
    <t xml:space="preserve">2144.0803</t>
  </si>
  <si>
    <t xml:space="preserve">Prototyping Manager</t>
  </si>
  <si>
    <t xml:space="preserve">2144.0804</t>
  </si>
  <si>
    <t xml:space="preserve">Mechanical Engineer, Aeronautical</t>
  </si>
  <si>
    <t xml:space="preserve">2144.0900</t>
  </si>
  <si>
    <t xml:space="preserve">2145.45</t>
  </si>
  <si>
    <t xml:space="preserve">Mechanical Engineer, Marine</t>
  </si>
  <si>
    <t xml:space="preserve">2144.1000</t>
  </si>
  <si>
    <t xml:space="preserve">2145.50</t>
  </si>
  <si>
    <t xml:space="preserve">Architect, Naval</t>
  </si>
  <si>
    <t xml:space="preserve">2144.1100</t>
  </si>
  <si>
    <t xml:space="preserve">2145.55</t>
  </si>
  <si>
    <t xml:space="preserve">Mechanical Engineer, Air-Conditioning</t>
  </si>
  <si>
    <t xml:space="preserve">2144.1200</t>
  </si>
  <si>
    <t xml:space="preserve">2145.60</t>
  </si>
  <si>
    <t xml:space="preserve">Layout Engineer</t>
  </si>
  <si>
    <t xml:space="preserve">2144.1301</t>
  </si>
  <si>
    <t xml:space="preserve">Mechanical Engineers, Other</t>
  </si>
  <si>
    <t xml:space="preserve">2144.9900</t>
  </si>
  <si>
    <t xml:space="preserve">2145.90</t>
  </si>
  <si>
    <t xml:space="preserve">Manager – Product Lifecycle Management</t>
  </si>
  <si>
    <t xml:space="preserve">2144.0106</t>
  </si>
  <si>
    <t xml:space="preserve">Service Engineer – Breakdown Service</t>
  </si>
  <si>
    <t xml:space="preserve">2144.0601</t>
  </si>
  <si>
    <t xml:space="preserve">Service Engineer – Installation</t>
  </si>
  <si>
    <t xml:space="preserve">2144.1401</t>
  </si>
  <si>
    <t xml:space="preserve">Service Engineer – Installation and Commissioning</t>
  </si>
  <si>
    <t xml:space="preserve">2144.1402</t>
  </si>
  <si>
    <t xml:space="preserve">Assembler, Stationary Petrol Engine</t>
  </si>
  <si>
    <t xml:space="preserve">8211.0500</t>
  </si>
  <si>
    <t xml:space="preserve">8281.30</t>
  </si>
  <si>
    <t xml:space="preserve">Assembler, Stationary Diesel Engine</t>
  </si>
  <si>
    <t xml:space="preserve">8211.0600</t>
  </si>
  <si>
    <t xml:space="preserve">8281.35</t>
  </si>
  <si>
    <t xml:space="preserve">Assembler, Tractor</t>
  </si>
  <si>
    <t xml:space="preserve">8211.0700</t>
  </si>
  <si>
    <t xml:space="preserve">8281.40</t>
  </si>
  <si>
    <t xml:space="preserve">Assembler, Turbine and Steam Engine</t>
  </si>
  <si>
    <t xml:space="preserve">8211.0800</t>
  </si>
  <si>
    <t xml:space="preserve">8281.45</t>
  </si>
  <si>
    <t xml:space="preserve">Assembler Loco Engines</t>
  </si>
  <si>
    <t xml:space="preserve">8211.0900</t>
  </si>
  <si>
    <t xml:space="preserve">8281.50</t>
  </si>
  <si>
    <t xml:space="preserve">Erector, Machine and Equipment</t>
  </si>
  <si>
    <t xml:space="preserve">8211.1000</t>
  </si>
  <si>
    <t xml:space="preserve">8281.55</t>
  </si>
  <si>
    <t xml:space="preserve">Assembler, Workshop Machine and Equipment</t>
  </si>
  <si>
    <t xml:space="preserve">8211.0100</t>
  </si>
  <si>
    <t xml:space="preserve">8281.10</t>
  </si>
  <si>
    <t xml:space="preserve">Assembler, Continuity</t>
  </si>
  <si>
    <t xml:space="preserve">8211.1100</t>
  </si>
  <si>
    <t xml:space="preserve">8281.60</t>
  </si>
  <si>
    <t xml:space="preserve">Mechanical Sub-Assembly Technician</t>
  </si>
  <si>
    <t xml:space="preserve">8211.0101</t>
  </si>
  <si>
    <t xml:space="preserve">Assembler, Automobile</t>
  </si>
  <si>
    <t xml:space="preserve">8211.1200</t>
  </si>
  <si>
    <t xml:space="preserve">8281.65</t>
  </si>
  <si>
    <t xml:space="preserve">Assembler Printing Machinery</t>
  </si>
  <si>
    <t xml:space="preserve">8211.0200</t>
  </si>
  <si>
    <t xml:space="preserve">8281.15</t>
  </si>
  <si>
    <t xml:space="preserve">Vehicle Assembly Fitter</t>
  </si>
  <si>
    <t xml:space="preserve">8211.1201</t>
  </si>
  <si>
    <t xml:space="preserve">Assembler, Textile Machinery</t>
  </si>
  <si>
    <t xml:space="preserve">8211.0300</t>
  </si>
  <si>
    <t xml:space="preserve">8281.20</t>
  </si>
  <si>
    <t xml:space="preserve">Fitter-Mechanical Assembly</t>
  </si>
  <si>
    <t xml:space="preserve">8211.1202</t>
  </si>
  <si>
    <t xml:space="preserve">Assembler, Refrigerator and Air-Conditioning Unit</t>
  </si>
  <si>
    <t xml:space="preserve">8211.0400</t>
  </si>
  <si>
    <t xml:space="preserve">8281.25</t>
  </si>
  <si>
    <t xml:space="preserve">Assembler, Motor Cycle</t>
  </si>
  <si>
    <t xml:space="preserve">8211.1300</t>
  </si>
  <si>
    <t xml:space="preserve">8281.70</t>
  </si>
  <si>
    <t xml:space="preserve">Assembler, Frame, Aircraft</t>
  </si>
  <si>
    <t xml:space="preserve">8211.1400</t>
  </si>
  <si>
    <t xml:space="preserve">8281.75</t>
  </si>
  <si>
    <t xml:space="preserve">Mechanic, Dental</t>
  </si>
  <si>
    <t xml:space="preserve">3214.0100</t>
  </si>
  <si>
    <t xml:space="preserve">7311.80</t>
  </si>
  <si>
    <t xml:space="preserve">Medical and Dental Prosthetic Technicians, Other</t>
  </si>
  <si>
    <t xml:space="preserve">3214.9900</t>
  </si>
  <si>
    <t xml:space="preserve">Operation Theatre Technician</t>
  </si>
  <si>
    <t xml:space="preserve">3212.0101</t>
  </si>
  <si>
    <t xml:space="preserve">3211.40</t>
  </si>
  <si>
    <t xml:space="preserve">Dialysis Technician</t>
  </si>
  <si>
    <t xml:space="preserve">3212.0201</t>
  </si>
  <si>
    <t xml:space="preserve">3211.50</t>
  </si>
  <si>
    <t xml:space="preserve">Anaesthesia Technician</t>
  </si>
  <si>
    <t xml:space="preserve">3212.0301</t>
  </si>
  <si>
    <t xml:space="preserve">Histotechnician</t>
  </si>
  <si>
    <t xml:space="preserve">3212.0501</t>
  </si>
  <si>
    <t xml:space="preserve">Phlebotomy Technician</t>
  </si>
  <si>
    <t xml:space="preserve">3212.0601</t>
  </si>
  <si>
    <t xml:space="preserve">Blood Bank Technician</t>
  </si>
  <si>
    <t xml:space="preserve">3212.0602</t>
  </si>
  <si>
    <t xml:space="preserve">Medical Laboratory Technician</t>
  </si>
  <si>
    <t xml:space="preserve">3212.0701</t>
  </si>
  <si>
    <t xml:space="preserve">Dialysis Technician Life Science Technicians, Other</t>
  </si>
  <si>
    <t xml:space="preserve">3212.9900</t>
  </si>
  <si>
    <t xml:space="preserve">3211.90</t>
  </si>
  <si>
    <t xml:space="preserve">Refractionist</t>
  </si>
  <si>
    <t xml:space="preserve">3256.0101</t>
  </si>
  <si>
    <t xml:space="preserve">Vision Technician</t>
  </si>
  <si>
    <t xml:space="preserve">3256.0202</t>
  </si>
  <si>
    <t xml:space="preserve">Medical Assistants, Other</t>
  </si>
  <si>
    <t xml:space="preserve">3256.9900</t>
  </si>
  <si>
    <t xml:space="preserve">3221.90</t>
  </si>
  <si>
    <t xml:space="preserve">Medical Imaging and Therapeutic Equipment Technicians, Other</t>
  </si>
  <si>
    <t xml:space="preserve">3211.9900</t>
  </si>
  <si>
    <t xml:space="preserve">3133.90</t>
  </si>
  <si>
    <t xml:space="preserve">X-Ray Technician</t>
  </si>
  <si>
    <t xml:space="preserve">3211.0100</t>
  </si>
  <si>
    <t xml:space="preserve">3133.10</t>
  </si>
  <si>
    <t xml:space="preserve">Radiology Technician</t>
  </si>
  <si>
    <t xml:space="preserve">3211.0101</t>
  </si>
  <si>
    <t xml:space="preserve">Bio-Medical Equipment Technician</t>
  </si>
  <si>
    <t xml:space="preserve">3211.0200</t>
  </si>
  <si>
    <t xml:space="preserve">3133.20</t>
  </si>
  <si>
    <t xml:space="preserve">Medical Equipment Technician</t>
  </si>
  <si>
    <t xml:space="preserve">3211.0501</t>
  </si>
  <si>
    <t xml:space="preserve">Cardiac Care Technician</t>
  </si>
  <si>
    <t xml:space="preserve">3211.0801</t>
  </si>
  <si>
    <t xml:space="preserve">Medical Records and Health Information Technician</t>
  </si>
  <si>
    <t xml:space="preserve">3252.0101</t>
  </si>
  <si>
    <t xml:space="preserve">Sorter, Mail</t>
  </si>
  <si>
    <t xml:space="preserve">9621.0900</t>
  </si>
  <si>
    <t xml:space="preserve">9151.75</t>
  </si>
  <si>
    <t xml:space="preserve">Hotel Concierge</t>
  </si>
  <si>
    <t xml:space="preserve">9621.1200</t>
  </si>
  <si>
    <t xml:space="preserve">9152.10</t>
  </si>
  <si>
    <t xml:space="preserve">Water Carrier</t>
  </si>
  <si>
    <t xml:space="preserve">9621.1300</t>
  </si>
  <si>
    <t xml:space="preserve">9162.40</t>
  </si>
  <si>
    <t xml:space="preserve">Caddie</t>
  </si>
  <si>
    <t xml:space="preserve">9621.0300</t>
  </si>
  <si>
    <t xml:space="preserve">9151.30</t>
  </si>
  <si>
    <t xml:space="preserve">Bellhop (Hotel &amp; Restaurant)</t>
  </si>
  <si>
    <t xml:space="preserve">9621.0400</t>
  </si>
  <si>
    <t xml:space="preserve">9151.40</t>
  </si>
  <si>
    <t xml:space="preserve">Porter, Baggage (Hotel &amp; Restaurant)</t>
  </si>
  <si>
    <t xml:space="preserve">9621.0500</t>
  </si>
  <si>
    <t xml:space="preserve">9151.50</t>
  </si>
  <si>
    <t xml:space="preserve">(Letter Box Peon) Post Man</t>
  </si>
  <si>
    <t xml:space="preserve">9621.0600</t>
  </si>
  <si>
    <t xml:space="preserve">9151.60</t>
  </si>
  <si>
    <t xml:space="preserve">Mail Carrier</t>
  </si>
  <si>
    <t xml:space="preserve">9621.0700</t>
  </si>
  <si>
    <t xml:space="preserve">9151.65</t>
  </si>
  <si>
    <t xml:space="preserve">Runner, Mail</t>
  </si>
  <si>
    <t xml:space="preserve">9621.0800</t>
  </si>
  <si>
    <t xml:space="preserve">9151.70</t>
  </si>
  <si>
    <t xml:space="preserve">Messengers, Package Deliverers and Luggage Porters, Other</t>
  </si>
  <si>
    <t xml:space="preserve">9621.9900</t>
  </si>
  <si>
    <t xml:space="preserve">9151.90</t>
  </si>
  <si>
    <t xml:space="preserve">Electroplater</t>
  </si>
  <si>
    <t xml:space="preserve">8122.0100</t>
  </si>
  <si>
    <t xml:space="preserve">8223.10</t>
  </si>
  <si>
    <t xml:space="preserve">Surface Treatment Technician</t>
  </si>
  <si>
    <t xml:space="preserve">8122.0101</t>
  </si>
  <si>
    <t xml:space="preserve">Enameller, Chemical</t>
  </si>
  <si>
    <t xml:space="preserve">8122.2000</t>
  </si>
  <si>
    <t xml:space="preserve">8223.20</t>
  </si>
  <si>
    <t xml:space="preserve">Reeling Machine Operator</t>
  </si>
  <si>
    <t xml:space="preserve">8122.3000</t>
  </si>
  <si>
    <t xml:space="preserve">8223.30</t>
  </si>
  <si>
    <t xml:space="preserve">Picker</t>
  </si>
  <si>
    <t xml:space="preserve">8122.6700</t>
  </si>
  <si>
    <t xml:space="preserve">8223.67</t>
  </si>
  <si>
    <t xml:space="preserve">Hardness Tester, Metal</t>
  </si>
  <si>
    <t xml:space="preserve">8122.6900</t>
  </si>
  <si>
    <t xml:space="preserve">8223.69</t>
  </si>
  <si>
    <t xml:space="preserve">Speeder Machine Operator (Abrasive Wheel)</t>
  </si>
  <si>
    <t xml:space="preserve">8122.7000</t>
  </si>
  <si>
    <t xml:space="preserve">8223.70</t>
  </si>
  <si>
    <t xml:space="preserve">Sizing Machine Operator (Abrasive Wheel)</t>
  </si>
  <si>
    <t xml:space="preserve">8122.7100</t>
  </si>
  <si>
    <t xml:space="preserve">8223.71</t>
  </si>
  <si>
    <t xml:space="preserve">Abrasive Coated Cloth and Papermaker</t>
  </si>
  <si>
    <t xml:space="preserve">8122.7200</t>
  </si>
  <si>
    <t xml:space="preserve">8223.72</t>
  </si>
  <si>
    <t xml:space="preserve">Skiving Machine Operator (Abrasive)</t>
  </si>
  <si>
    <t xml:space="preserve">8122.7300</t>
  </si>
  <si>
    <t xml:space="preserve">8223.73</t>
  </si>
  <si>
    <t xml:space="preserve">Belt Press Operator (Abrasive)</t>
  </si>
  <si>
    <t xml:space="preserve">8122.7400</t>
  </si>
  <si>
    <t xml:space="preserve">8223.74</t>
  </si>
  <si>
    <t xml:space="preserve">Roll Winding Machine Operator (Abrasive)</t>
  </si>
  <si>
    <t xml:space="preserve">8122.7500</t>
  </si>
  <si>
    <t xml:space="preserve">8223.75</t>
  </si>
  <si>
    <t xml:space="preserve">Metal Sprayer</t>
  </si>
  <si>
    <t xml:space="preserve">8122.5500</t>
  </si>
  <si>
    <t xml:space="preserve">8223.55</t>
  </si>
  <si>
    <t xml:space="preserve">Sheet Cutter (Abrasive)</t>
  </si>
  <si>
    <t xml:space="preserve">8122.7600</t>
  </si>
  <si>
    <t xml:space="preserve">8223.76</t>
  </si>
  <si>
    <t xml:space="preserve">Sample Checker, Metal Making</t>
  </si>
  <si>
    <t xml:space="preserve">8122.6000</t>
  </si>
  <si>
    <t xml:space="preserve">8223.60</t>
  </si>
  <si>
    <t xml:space="preserve">Shot Blaster</t>
  </si>
  <si>
    <t xml:space="preserve">8122.6200</t>
  </si>
  <si>
    <t xml:space="preserve">8223.62</t>
  </si>
  <si>
    <t xml:space="preserve">Splint Feeder (Match)</t>
  </si>
  <si>
    <t xml:space="preserve">8122.7900</t>
  </si>
  <si>
    <t xml:space="preserve">8223.79</t>
  </si>
  <si>
    <t xml:space="preserve">Splint Drying Chamberman (Match)</t>
  </si>
  <si>
    <t xml:space="preserve">8122.8000</t>
  </si>
  <si>
    <t xml:space="preserve">8223.80</t>
  </si>
  <si>
    <t xml:space="preserve">Levelling Machine Attendant (Match)</t>
  </si>
  <si>
    <t xml:space="preserve">8122.8100</t>
  </si>
  <si>
    <t xml:space="preserve">8223.81</t>
  </si>
  <si>
    <t xml:space="preserve">Metal Finishing, Plating and Coating Machine Operators, Other</t>
  </si>
  <si>
    <t xml:space="preserve">8122.9900</t>
  </si>
  <si>
    <t xml:space="preserve">8223.90</t>
  </si>
  <si>
    <t xml:space="preserve">Slitting Machine Operator (Abrasive)</t>
  </si>
  <si>
    <t xml:space="preserve">8122.7700</t>
  </si>
  <si>
    <t xml:space="preserve">8223.77</t>
  </si>
  <si>
    <t xml:space="preserve">Clicker Press Operator (Abrasive)</t>
  </si>
  <si>
    <t xml:space="preserve">8122.7800</t>
  </si>
  <si>
    <t xml:space="preserve">8223.78</t>
  </si>
  <si>
    <t xml:space="preserve">Galvanizer/Operator – Electroplating, Galvanising</t>
  </si>
  <si>
    <t xml:space="preserve">8122.3500</t>
  </si>
  <si>
    <t xml:space="preserve">8223.35</t>
  </si>
  <si>
    <t xml:space="preserve">Press Shop Assistant/Helper</t>
  </si>
  <si>
    <t xml:space="preserve">7211.0102</t>
  </si>
  <si>
    <t xml:space="preserve">Moulder, Machine</t>
  </si>
  <si>
    <t xml:space="preserve">7211.0200</t>
  </si>
  <si>
    <t xml:space="preserve">7211.20</t>
  </si>
  <si>
    <t xml:space="preserve">Moulder, Vertical Pipe</t>
  </si>
  <si>
    <t xml:space="preserve">7211.0300</t>
  </si>
  <si>
    <t xml:space="preserve">7211.30</t>
  </si>
  <si>
    <t xml:space="preserve">Rammer, Vertical Pipe Moulding</t>
  </si>
  <si>
    <t xml:space="preserve">7211.0400</t>
  </si>
  <si>
    <t xml:space="preserve">7211.40</t>
  </si>
  <si>
    <t xml:space="preserve">Moulder, General</t>
  </si>
  <si>
    <t xml:space="preserve">7211.0100</t>
  </si>
  <si>
    <t xml:space="preserve">7211.10</t>
  </si>
  <si>
    <t xml:space="preserve">Press Shop Operator</t>
  </si>
  <si>
    <t xml:space="preserve">7211.0101</t>
  </si>
  <si>
    <t xml:space="preserve">Core Maker, Moulding (Hand)</t>
  </si>
  <si>
    <t xml:space="preserve">7211.0500</t>
  </si>
  <si>
    <t xml:space="preserve">7211.50</t>
  </si>
  <si>
    <t xml:space="preserve">Core Maker, Vertical Pipe</t>
  </si>
  <si>
    <t xml:space="preserve">7211.0600</t>
  </si>
  <si>
    <t xml:space="preserve">7211.60</t>
  </si>
  <si>
    <t xml:space="preserve">Metal Moulders and Core Makers, Other</t>
  </si>
  <si>
    <t xml:space="preserve">7211.9900</t>
  </si>
  <si>
    <t xml:space="preserve">7211.90</t>
  </si>
  <si>
    <t xml:space="preserve">Casting Technician – Sand Moulding</t>
  </si>
  <si>
    <t xml:space="preserve">7211.0201</t>
  </si>
  <si>
    <t xml:space="preserve">Roll Grinder</t>
  </si>
  <si>
    <t xml:space="preserve">7224.0300</t>
  </si>
  <si>
    <t xml:space="preserve">7224.25</t>
  </si>
  <si>
    <t xml:space="preserve">Surface Grinder</t>
  </si>
  <si>
    <t xml:space="preserve">7224.0400</t>
  </si>
  <si>
    <t xml:space="preserve">7224.30</t>
  </si>
  <si>
    <t xml:space="preserve">Thread Grinder</t>
  </si>
  <si>
    <t xml:space="preserve">7224.0500</t>
  </si>
  <si>
    <t xml:space="preserve">7224.35</t>
  </si>
  <si>
    <t xml:space="preserve">Honer/Honing Machine Operator</t>
  </si>
  <si>
    <t xml:space="preserve">7224.0600</t>
  </si>
  <si>
    <t xml:space="preserve">7224.40</t>
  </si>
  <si>
    <t xml:space="preserve">Grinder, General</t>
  </si>
  <si>
    <t xml:space="preserve">7224.0100</t>
  </si>
  <si>
    <t xml:space="preserve">7224.10</t>
  </si>
  <si>
    <t xml:space="preserve">Grinder, Crankshaft</t>
  </si>
  <si>
    <t xml:space="preserve">7224.0200</t>
  </si>
  <si>
    <t xml:space="preserve">7224.20</t>
  </si>
  <si>
    <t xml:space="preserve">Lapper</t>
  </si>
  <si>
    <t xml:space="preserve">7224.0700</t>
  </si>
  <si>
    <t xml:space="preserve">7224.45</t>
  </si>
  <si>
    <t xml:space="preserve">Super Finishing Technician</t>
  </si>
  <si>
    <t xml:space="preserve">7224.0701</t>
  </si>
  <si>
    <t xml:space="preserve">Polisher</t>
  </si>
  <si>
    <t xml:space="preserve">7224.0801</t>
  </si>
  <si>
    <t xml:space="preserve">7224.55</t>
  </si>
  <si>
    <t xml:space="preserve">Saw Grinder, Hand</t>
  </si>
  <si>
    <t xml:space="preserve">7224.0900</t>
  </si>
  <si>
    <t xml:space="preserve">7224.65</t>
  </si>
  <si>
    <t xml:space="preserve">Metal Bluer</t>
  </si>
  <si>
    <t xml:space="preserve">7224.1100</t>
  </si>
  <si>
    <t xml:space="preserve">7224.80</t>
  </si>
  <si>
    <t xml:space="preserve">Metal Wheel Grinder, Polishing and Tool Sharpeners, Other</t>
  </si>
  <si>
    <t xml:space="preserve">7224.9900</t>
  </si>
  <si>
    <t xml:space="preserve">7224.90</t>
  </si>
  <si>
    <t xml:space="preserve">Fitter – Fabrication</t>
  </si>
  <si>
    <t xml:space="preserve">7224.0102</t>
  </si>
  <si>
    <t xml:space="preserve">Grinder – Hand-Held and Power Tools</t>
  </si>
  <si>
    <t xml:space="preserve">7224.0401</t>
  </si>
  <si>
    <t xml:space="preserve">Operator – Conventional Surface Grinding Machines</t>
  </si>
  <si>
    <t xml:space="preserve">7224.0402</t>
  </si>
  <si>
    <t xml:space="preserve">Larry Car Driver, Furnace</t>
  </si>
  <si>
    <t xml:space="preserve">8121.0300</t>
  </si>
  <si>
    <t xml:space="preserve">8121.20</t>
  </si>
  <si>
    <t xml:space="preserve">Shearing and Upcoiler Operator (Non Ferrous Metal)/Coil Operator</t>
  </si>
  <si>
    <t xml:space="preserve">8121.2300</t>
  </si>
  <si>
    <t xml:space="preserve">8122.36</t>
  </si>
  <si>
    <t xml:space="preserve">Flattening Machine and Flying Shear Operator (Non-Ferrous Metal)</t>
  </si>
  <si>
    <t xml:space="preserve">8121.2400</t>
  </si>
  <si>
    <t xml:space="preserve">8122.38</t>
  </si>
  <si>
    <t xml:space="preserve">Slitting Machine Operator (Non-Ferrous Metal)</t>
  </si>
  <si>
    <t xml:space="preserve">8121.2500</t>
  </si>
  <si>
    <t xml:space="preserve">8122.40</t>
  </si>
  <si>
    <t xml:space="preserve">Roller, Second Hand, Strip Mill (Non-Ferrous Metal)</t>
  </si>
  <si>
    <t xml:space="preserve">8121.2700</t>
  </si>
  <si>
    <t xml:space="preserve">8122.44</t>
  </si>
  <si>
    <t xml:space="preserve">Charger, Reveraberatory, Pulverised Coal Fired/Reverberatory Furnace Operator</t>
  </si>
  <si>
    <t xml:space="preserve">8121.3000</t>
  </si>
  <si>
    <t xml:space="preserve">8122.50</t>
  </si>
  <si>
    <t xml:space="preserve">Die Casting Machine Operator</t>
  </si>
  <si>
    <t xml:space="preserve">8121.4200</t>
  </si>
  <si>
    <t xml:space="preserve">8122.74</t>
  </si>
  <si>
    <t xml:space="preserve">Pressure Die Casting (PDC) Operator</t>
  </si>
  <si>
    <t xml:space="preserve">8121.4201</t>
  </si>
  <si>
    <t xml:space="preserve">Casting Machine Operator (Non-Ferrous Metal)</t>
  </si>
  <si>
    <t xml:space="preserve">8121.4300</t>
  </si>
  <si>
    <t xml:space="preserve">8122.76</t>
  </si>
  <si>
    <t xml:space="preserve">Spun Pipe Machine Operator</t>
  </si>
  <si>
    <t xml:space="preserve">8121.4500</t>
  </si>
  <si>
    <t xml:space="preserve">8122.78</t>
  </si>
  <si>
    <t xml:space="preserve">Core Maker, Machine</t>
  </si>
  <si>
    <t xml:space="preserve">8121.4600</t>
  </si>
  <si>
    <t xml:space="preserve">8122.80</t>
  </si>
  <si>
    <t xml:space="preserve">Slag Flusher</t>
  </si>
  <si>
    <t xml:space="preserve">8121.3300</t>
  </si>
  <si>
    <t xml:space="preserve">8122.56</t>
  </si>
  <si>
    <t xml:space="preserve">Casting or Foundry Assistant/Helper</t>
  </si>
  <si>
    <t xml:space="preserve">8121.3301</t>
  </si>
  <si>
    <t xml:space="preserve">Heat Treating Furnace Operator</t>
  </si>
  <si>
    <t xml:space="preserve">8121.3701</t>
  </si>
  <si>
    <t xml:space="preserve">8122.64</t>
  </si>
  <si>
    <t xml:space="preserve">Assistant Casting Technician</t>
  </si>
  <si>
    <t xml:space="preserve">8121.3801</t>
  </si>
  <si>
    <t xml:space="preserve">Metal Drawing Operatives</t>
  </si>
  <si>
    <t xml:space="preserve">8121.5800</t>
  </si>
  <si>
    <t xml:space="preserve">8124.90</t>
  </si>
  <si>
    <t xml:space="preserve">Metal Processing Plant Operators, Other</t>
  </si>
  <si>
    <t xml:space="preserve">8121.9900</t>
  </si>
  <si>
    <t xml:space="preserve">8124.70</t>
  </si>
  <si>
    <t xml:space="preserve">Annealer, Metal</t>
  </si>
  <si>
    <t xml:space="preserve">8121.4700</t>
  </si>
  <si>
    <t xml:space="preserve">8123.10</t>
  </si>
  <si>
    <t xml:space="preserve">Hardener, Metal</t>
  </si>
  <si>
    <t xml:space="preserve">8121.4800</t>
  </si>
  <si>
    <t xml:space="preserve">8123.20</t>
  </si>
  <si>
    <t xml:space="preserve">Temperer, Metal</t>
  </si>
  <si>
    <t xml:space="preserve">8121.4900</t>
  </si>
  <si>
    <t xml:space="preserve">8123.30</t>
  </si>
  <si>
    <t xml:space="preserve">Looper, Metal Drawing</t>
  </si>
  <si>
    <t xml:space="preserve">8121.5200</t>
  </si>
  <si>
    <t xml:space="preserve">8124.15</t>
  </si>
  <si>
    <t xml:space="preserve">Seamless Pipe and Tube Drawers</t>
  </si>
  <si>
    <t xml:space="preserve">8121.5500</t>
  </si>
  <si>
    <t xml:space="preserve">8124.40</t>
  </si>
  <si>
    <t xml:space="preserve">Extrusion Press Operator</t>
  </si>
  <si>
    <t xml:space="preserve">8121.5600</t>
  </si>
  <si>
    <t xml:space="preserve">8124.50</t>
  </si>
  <si>
    <t xml:space="preserve">Casting – Operator Helper (Non-Ferrous Metal)</t>
  </si>
  <si>
    <t xml:space="preserve">8121.4400</t>
  </si>
  <si>
    <t xml:space="preserve">8122.77</t>
  </si>
  <si>
    <t xml:space="preserve">Melter Reveraberatory – Furnace, Pulverised Coal Fired/Reverberatory Furnace Operator</t>
  </si>
  <si>
    <t xml:space="preserve">8121.3100</t>
  </si>
  <si>
    <t xml:space="preserve">8122.52</t>
  </si>
  <si>
    <t xml:space="preserve">Mixerman</t>
  </si>
  <si>
    <t xml:space="preserve">3135.0500</t>
  </si>
  <si>
    <t xml:space="preserve">8121.30</t>
  </si>
  <si>
    <t xml:space="preserve">Convertor Blower/Convertor Blower Technician</t>
  </si>
  <si>
    <t xml:space="preserve">3135.0600</t>
  </si>
  <si>
    <t xml:space="preserve">8121.35</t>
  </si>
  <si>
    <t xml:space="preserve">Convertor Man/Convertor Blower Technician</t>
  </si>
  <si>
    <t xml:space="preserve">3135.0700</t>
  </si>
  <si>
    <t xml:space="preserve">8121.40</t>
  </si>
  <si>
    <t xml:space="preserve">Furnace Operator (Non-Ferrous Metal)</t>
  </si>
  <si>
    <t xml:space="preserve">3135.0900</t>
  </si>
  <si>
    <t xml:space="preserve">8121.47</t>
  </si>
  <si>
    <t xml:space="preserve">Shift In-Charge Furnace Ferro Alloys</t>
  </si>
  <si>
    <t xml:space="preserve">3135.1401</t>
  </si>
  <si>
    <t xml:space="preserve">Roller, Merchant Mill/Mill Operator</t>
  </si>
  <si>
    <t xml:space="preserve">3135.1700</t>
  </si>
  <si>
    <t xml:space="preserve">8122.16</t>
  </si>
  <si>
    <t xml:space="preserve">Roller, Sheet Mill/Mill Operator</t>
  </si>
  <si>
    <t xml:space="preserve">3135.1800</t>
  </si>
  <si>
    <t xml:space="preserve">8122.20</t>
  </si>
  <si>
    <t xml:space="preserve">Operator, Hot Rolling Mill (Non-Ferrous Metal)/Mill Operator</t>
  </si>
  <si>
    <t xml:space="preserve">3135.1900</t>
  </si>
  <si>
    <t xml:space="preserve">8122.28</t>
  </si>
  <si>
    <t xml:space="preserve">Furnace Operator, Open Hearth</t>
  </si>
  <si>
    <t xml:space="preserve">3135.1100</t>
  </si>
  <si>
    <t xml:space="preserve">8121.55</t>
  </si>
  <si>
    <t xml:space="preserve">Furnace Operator, Second Hand, Open Hearth</t>
  </si>
  <si>
    <t xml:space="preserve">3135.1200</t>
  </si>
  <si>
    <t xml:space="preserve">8121.60</t>
  </si>
  <si>
    <t xml:space="preserve">Furnace Operator (Smelting &amp; Refining)</t>
  </si>
  <si>
    <t xml:space="preserve">3135.1300</t>
  </si>
  <si>
    <t xml:space="preserve">8121.70</t>
  </si>
  <si>
    <t xml:space="preserve">Heat Treatment Shop Supervisor</t>
  </si>
  <si>
    <t xml:space="preserve">3135.3001</t>
  </si>
  <si>
    <t xml:space="preserve">Centrifugal Casting Machine Operator</t>
  </si>
  <si>
    <t xml:space="preserve">3135.3100</t>
  </si>
  <si>
    <t xml:space="preserve">8122.72</t>
  </si>
  <si>
    <t xml:space="preserve">Control Man, Billet/Process Controller</t>
  </si>
  <si>
    <t xml:space="preserve">3135.3900</t>
  </si>
  <si>
    <t xml:space="preserve">8124.10</t>
  </si>
  <si>
    <t xml:space="preserve">Metal Production Process Controllers, Other</t>
  </si>
  <si>
    <t xml:space="preserve">3135.9900</t>
  </si>
  <si>
    <t xml:space="preserve">8121.90</t>
  </si>
  <si>
    <t xml:space="preserve">Roller, Hot Rolling Mill (Non-Ferrous Metal)/Mill Operator</t>
  </si>
  <si>
    <t xml:space="preserve">3135.2000</t>
  </si>
  <si>
    <t xml:space="preserve">8122.32</t>
  </si>
  <si>
    <t xml:space="preserve">Fluid Management Operator Rolling Mills</t>
  </si>
  <si>
    <t xml:space="preserve">3135.2001</t>
  </si>
  <si>
    <t xml:space="preserve">Process Operator Rolling Mills</t>
  </si>
  <si>
    <t xml:space="preserve">3135.2002</t>
  </si>
  <si>
    <t xml:space="preserve">Coil Packaging Machine Operator Rolling Mills</t>
  </si>
  <si>
    <t xml:space="preserve">3135.2003</t>
  </si>
  <si>
    <t xml:space="preserve">Operator, Strip Mill (Non-Ferrous Metal)</t>
  </si>
  <si>
    <t xml:space="preserve">3135.2300</t>
  </si>
  <si>
    <t xml:space="preserve">8122.42</t>
  </si>
  <si>
    <t xml:space="preserve">Seamless Pipe and Tube Roller</t>
  </si>
  <si>
    <t xml:space="preserve">3135.2500</t>
  </si>
  <si>
    <t xml:space="preserve">8122.46</t>
  </si>
  <si>
    <t xml:space="preserve">Furnace Man, Reverberatory, Pulverised Coal Fired</t>
  </si>
  <si>
    <t xml:space="preserve">3135.2600</t>
  </si>
  <si>
    <t xml:space="preserve">8122.48</t>
  </si>
  <si>
    <t xml:space="preserve">Tool Setter, General</t>
  </si>
  <si>
    <t xml:space="preserve">7223.0100</t>
  </si>
  <si>
    <t xml:space="preserve">7223.10</t>
  </si>
  <si>
    <t xml:space="preserve">Tool Setter, Press</t>
  </si>
  <si>
    <t xml:space="preserve">7223.0200</t>
  </si>
  <si>
    <t xml:space="preserve">7223.20</t>
  </si>
  <si>
    <t xml:space="preserve">Machine Shop Supervisor</t>
  </si>
  <si>
    <t xml:space="preserve">7223.0502</t>
  </si>
  <si>
    <t xml:space="preserve">Turner/Conventional Turning</t>
  </si>
  <si>
    <t xml:space="preserve">7223.0601</t>
  </si>
  <si>
    <t xml:space="preserve">8211.15</t>
  </si>
  <si>
    <t xml:space="preserve">Turret and Capstan Lathe Operator</t>
  </si>
  <si>
    <t xml:space="preserve">7223.0700</t>
  </si>
  <si>
    <t xml:space="preserve">8211.20</t>
  </si>
  <si>
    <t xml:space="preserve">Lathe Machinist</t>
  </si>
  <si>
    <t xml:space="preserve">7223.0701</t>
  </si>
  <si>
    <t xml:space="preserve">Shaper</t>
  </si>
  <si>
    <t xml:space="preserve">7223.0800</t>
  </si>
  <si>
    <t xml:space="preserve">8211.22</t>
  </si>
  <si>
    <t xml:space="preserve">Planer</t>
  </si>
  <si>
    <t xml:space="preserve">7223.0900</t>
  </si>
  <si>
    <t xml:space="preserve">8211.24</t>
  </si>
  <si>
    <t xml:space="preserve">Setter, Drop Forging Machine</t>
  </si>
  <si>
    <t xml:space="preserve">7223.0300</t>
  </si>
  <si>
    <t xml:space="preserve">7223.30</t>
  </si>
  <si>
    <t xml:space="preserve">Setter, Automatic Machine</t>
  </si>
  <si>
    <t xml:space="preserve">7223.0400</t>
  </si>
  <si>
    <t xml:space="preserve">7223.40</t>
  </si>
  <si>
    <t xml:space="preserve">Assembly Line Machine Setter</t>
  </si>
  <si>
    <t xml:space="preserve">7223.0401</t>
  </si>
  <si>
    <t xml:space="preserve">Mechanist, General/Machinist</t>
  </si>
  <si>
    <t xml:space="preserve">7223.0500</t>
  </si>
  <si>
    <t xml:space="preserve">8211.10</t>
  </si>
  <si>
    <t xml:space="preserve">Machine Shop Master Technician/Setter</t>
  </si>
  <si>
    <t xml:space="preserve">7223.0501</t>
  </si>
  <si>
    <t xml:space="preserve">Driller Metal, General</t>
  </si>
  <si>
    <t xml:space="preserve">7223.1500</t>
  </si>
  <si>
    <t xml:space="preserve">8211.36</t>
  </si>
  <si>
    <t xml:space="preserve">Radial Driller</t>
  </si>
  <si>
    <t xml:space="preserve">7223.1600</t>
  </si>
  <si>
    <t xml:space="preserve">8211.38</t>
  </si>
  <si>
    <t xml:space="preserve">Borer/Operator Boring Machine Operator</t>
  </si>
  <si>
    <t xml:space="preserve">7223.1701</t>
  </si>
  <si>
    <t xml:space="preserve">8211.40</t>
  </si>
  <si>
    <t xml:space="preserve">Cylinder Borer</t>
  </si>
  <si>
    <t xml:space="preserve">7223.1800</t>
  </si>
  <si>
    <t xml:space="preserve">8211.42</t>
  </si>
  <si>
    <t xml:space="preserve">Rifling Machine Operator</t>
  </si>
  <si>
    <t xml:space="preserve">7223.1900</t>
  </si>
  <si>
    <t xml:space="preserve">8211.44</t>
  </si>
  <si>
    <t xml:space="preserve">Bending Machine Operator</t>
  </si>
  <si>
    <t xml:space="preserve">7223.2000</t>
  </si>
  <si>
    <t xml:space="preserve">8211.46</t>
  </si>
  <si>
    <t xml:space="preserve">Planer, Edge</t>
  </si>
  <si>
    <t xml:space="preserve">7223.1000</t>
  </si>
  <si>
    <t xml:space="preserve">8211.26</t>
  </si>
  <si>
    <t xml:space="preserve">Slotter</t>
  </si>
  <si>
    <t xml:space="preserve">7223.1100</t>
  </si>
  <si>
    <t xml:space="preserve">8211.28</t>
  </si>
  <si>
    <t xml:space="preserve">Gear Cutter</t>
  </si>
  <si>
    <t xml:space="preserve">7223.1300</t>
  </si>
  <si>
    <t xml:space="preserve">8211.32</t>
  </si>
  <si>
    <t xml:space="preserve">Heavy Duty End Mill Operator</t>
  </si>
  <si>
    <t xml:space="preserve">7223.1400</t>
  </si>
  <si>
    <t xml:space="preserve">8211.34</t>
  </si>
  <si>
    <t xml:space="preserve">Ball Lapping Machine Operator</t>
  </si>
  <si>
    <t xml:space="preserve">7223.2600</t>
  </si>
  <si>
    <t xml:space="preserve">8211.64</t>
  </si>
  <si>
    <t xml:space="preserve">Dividing Machine Operator</t>
  </si>
  <si>
    <t xml:space="preserve">7223.2700</t>
  </si>
  <si>
    <t xml:space="preserve">8211.66</t>
  </si>
  <si>
    <t xml:space="preserve">Die Copying Machine Operator/Die Sinking Electric Discharge Machine Operator</t>
  </si>
  <si>
    <t xml:space="preserve">7223.2800</t>
  </si>
  <si>
    <t xml:space="preserve">8211.70</t>
  </si>
  <si>
    <t xml:space="preserve">Profiling Machine Operator</t>
  </si>
  <si>
    <t xml:space="preserve">7223.2900</t>
  </si>
  <si>
    <t xml:space="preserve">8211.75</t>
  </si>
  <si>
    <t xml:space="preserve">Metal Stamper</t>
  </si>
  <si>
    <t xml:space="preserve">7223.3000</t>
  </si>
  <si>
    <t xml:space="preserve">8211.80</t>
  </si>
  <si>
    <t xml:space="preserve">Glazer</t>
  </si>
  <si>
    <t xml:space="preserve">7223.2100</t>
  </si>
  <si>
    <t xml:space="preserve">8211.50</t>
  </si>
  <si>
    <t xml:space="preserve">Grinder, Tool and Cutter</t>
  </si>
  <si>
    <t xml:space="preserve">7223.2200</t>
  </si>
  <si>
    <t xml:space="preserve">8211.55</t>
  </si>
  <si>
    <t xml:space="preserve">Power Press Operator, Metal</t>
  </si>
  <si>
    <t xml:space="preserve">7223.2300</t>
  </si>
  <si>
    <t xml:space="preserve">8211.60</t>
  </si>
  <si>
    <t xml:space="preserve">Sheet Metal Machine Operator</t>
  </si>
  <si>
    <t xml:space="preserve">7223.2400</t>
  </si>
  <si>
    <t xml:space="preserve">8211.61</t>
  </si>
  <si>
    <t xml:space="preserve">Ball Filling Machine Operator</t>
  </si>
  <si>
    <t xml:space="preserve">7223.2500</t>
  </si>
  <si>
    <t xml:space="preserve">8211.62</t>
  </si>
  <si>
    <t xml:space="preserve">Machining Technician/CNC Operator</t>
  </si>
  <si>
    <t xml:space="preserve">7223.5001</t>
  </si>
  <si>
    <t xml:space="preserve">CNC Operator - Vertical Machining Centre</t>
  </si>
  <si>
    <t xml:space="preserve">7223.5004</t>
  </si>
  <si>
    <t xml:space="preserve">CNC Programmer</t>
  </si>
  <si>
    <t xml:space="preserve">7223.6003</t>
  </si>
  <si>
    <t xml:space="preserve">Metal Working Machine Tool Setters and Operators, Others</t>
  </si>
  <si>
    <t xml:space="preserve">7223.9900</t>
  </si>
  <si>
    <t xml:space="preserve">8211.90</t>
  </si>
  <si>
    <t xml:space="preserve">CNC Operator – Machining Technician</t>
  </si>
  <si>
    <t xml:space="preserve">7223.5002</t>
  </si>
  <si>
    <t xml:space="preserve">CNC Operator – Machinist</t>
  </si>
  <si>
    <t xml:space="preserve">7223.5003</t>
  </si>
  <si>
    <t xml:space="preserve">CNC Setter-cum-Operator – Vertical Machining Centre</t>
  </si>
  <si>
    <t xml:space="preserve">7223.5005</t>
  </si>
  <si>
    <t xml:space="preserve">CNC Setter-cum-Operator – Turning</t>
  </si>
  <si>
    <t xml:space="preserve">7223.6001</t>
  </si>
  <si>
    <t xml:space="preserve">CNC Operator – Turning</t>
  </si>
  <si>
    <t xml:space="preserve">7223.6002</t>
  </si>
  <si>
    <t xml:space="preserve">Meteorologist</t>
  </si>
  <si>
    <t xml:space="preserve">2112.0100</t>
  </si>
  <si>
    <t xml:space="preserve">2112.10</t>
  </si>
  <si>
    <t xml:space="preserve">Meteorologists, Other</t>
  </si>
  <si>
    <t xml:space="preserve">2112.9900</t>
  </si>
  <si>
    <t xml:space="preserve">2112.90</t>
  </si>
  <si>
    <t xml:space="preserve">Vending Machine Money Collectors, Meter Readers and Related Workers, Other</t>
  </si>
  <si>
    <t xml:space="preserve">9623.9900</t>
  </si>
  <si>
    <t xml:space="preserve">9153.90</t>
  </si>
  <si>
    <t xml:space="preserve">Vending Machine Attendant</t>
  </si>
  <si>
    <t xml:space="preserve">9623.0100</t>
  </si>
  <si>
    <t xml:space="preserve">9153.10</t>
  </si>
  <si>
    <t xml:space="preserve">Coin Collector</t>
  </si>
  <si>
    <t xml:space="preserve">9623.0200</t>
  </si>
  <si>
    <t xml:space="preserve">9153.15</t>
  </si>
  <si>
    <t xml:space="preserve">Meter Reader</t>
  </si>
  <si>
    <t xml:space="preserve">9623.0300</t>
  </si>
  <si>
    <t xml:space="preserve">9153.20</t>
  </si>
  <si>
    <t xml:space="preserve">Municipal Water and Sewage Assessor</t>
  </si>
  <si>
    <t xml:space="preserve">9623.0301</t>
  </si>
  <si>
    <t xml:space="preserve">PUC Attendant</t>
  </si>
  <si>
    <t xml:space="preserve">9623.0401</t>
  </si>
  <si>
    <t xml:space="preserve">Tyre Inflation Attendant</t>
  </si>
  <si>
    <t xml:space="preserve">9623.0501</t>
  </si>
  <si>
    <t xml:space="preserve">Quick Care Point Attendant</t>
  </si>
  <si>
    <t xml:space="preserve">9623.0601</t>
  </si>
  <si>
    <t xml:space="preserve">Lady Health Visitor/ASHA Worker/Anganwadi Worker</t>
  </si>
  <si>
    <t xml:space="preserve">3222.0300</t>
  </si>
  <si>
    <t xml:space="preserve">3232.30</t>
  </si>
  <si>
    <t xml:space="preserve">Midwifery Associate Professionals, Other</t>
  </si>
  <si>
    <t xml:space="preserve">3222.9900</t>
  </si>
  <si>
    <t xml:space="preserve">3232.90</t>
  </si>
  <si>
    <t xml:space="preserve">Midwife</t>
  </si>
  <si>
    <t xml:space="preserve">3222.0100</t>
  </si>
  <si>
    <t xml:space="preserve">3232.10</t>
  </si>
  <si>
    <t xml:space="preserve">Midwifery Attendant</t>
  </si>
  <si>
    <t xml:space="preserve">3222.0200</t>
  </si>
  <si>
    <t xml:space="preserve">3232.20</t>
  </si>
  <si>
    <t xml:space="preserve">Miner, Mica</t>
  </si>
  <si>
    <t xml:space="preserve">8111.0700</t>
  </si>
  <si>
    <t xml:space="preserve">7111.20</t>
  </si>
  <si>
    <t xml:space="preserve">Miner, Coal</t>
  </si>
  <si>
    <t xml:space="preserve">8111.0800</t>
  </si>
  <si>
    <t xml:space="preserve">7111.25</t>
  </si>
  <si>
    <t xml:space="preserve">Quarryman, Stone/Quarryman, Non-Metal</t>
  </si>
  <si>
    <t xml:space="preserve">8111.0900</t>
  </si>
  <si>
    <t xml:space="preserve">7111.30</t>
  </si>
  <si>
    <t xml:space="preserve">Quarryman, Other</t>
  </si>
  <si>
    <t xml:space="preserve">8111.1000</t>
  </si>
  <si>
    <t xml:space="preserve">7111.35</t>
  </si>
  <si>
    <t xml:space="preserve">Miner, Coal Cutting Machine</t>
  </si>
  <si>
    <t xml:space="preserve">8111.0100</t>
  </si>
  <si>
    <t xml:space="preserve">8111.10</t>
  </si>
  <si>
    <t xml:space="preserve">Main Header Colliery</t>
  </si>
  <si>
    <t xml:space="preserve">8111.1100</t>
  </si>
  <si>
    <t xml:space="preserve">7111.40</t>
  </si>
  <si>
    <t xml:space="preserve">Driller, Machine</t>
  </si>
  <si>
    <t xml:space="preserve">8111.0200</t>
  </si>
  <si>
    <t xml:space="preserve">8111.20</t>
  </si>
  <si>
    <t xml:space="preserve">Wagon Driller</t>
  </si>
  <si>
    <t xml:space="preserve">8111.0300</t>
  </si>
  <si>
    <t xml:space="preserve">8111.30</t>
  </si>
  <si>
    <t xml:space="preserve">Diamond Driller</t>
  </si>
  <si>
    <t xml:space="preserve">8111.0400</t>
  </si>
  <si>
    <t xml:space="preserve">8111.40</t>
  </si>
  <si>
    <t xml:space="preserve">Rig Mouted Drill Operator</t>
  </si>
  <si>
    <t xml:space="preserve">8111.0401</t>
  </si>
  <si>
    <t xml:space="preserve">Pick Miners</t>
  </si>
  <si>
    <t xml:space="preserve">8111.0500</t>
  </si>
  <si>
    <t xml:space="preserve">7111.10</t>
  </si>
  <si>
    <t xml:space="preserve">Miner, Metal</t>
  </si>
  <si>
    <t xml:space="preserve">8111.0600</t>
  </si>
  <si>
    <t xml:space="preserve">7111.15</t>
  </si>
  <si>
    <t xml:space="preserve">Stone Cutter, Mines</t>
  </si>
  <si>
    <t xml:space="preserve">8111.1200</t>
  </si>
  <si>
    <t xml:space="preserve">7111.45</t>
  </si>
  <si>
    <t xml:space="preserve">Roof Bolter, Mining</t>
  </si>
  <si>
    <t xml:space="preserve">8111.1300</t>
  </si>
  <si>
    <t xml:space="preserve">7111.47</t>
  </si>
  <si>
    <t xml:space="preserve">Packer, Rock</t>
  </si>
  <si>
    <t xml:space="preserve">8111.1800</t>
  </si>
  <si>
    <t xml:space="preserve">7111.65</t>
  </si>
  <si>
    <t xml:space="preserve">Sampler, Mining/Sampler Metal/Non-Metal</t>
  </si>
  <si>
    <t xml:space="preserve">8111.1900</t>
  </si>
  <si>
    <t xml:space="preserve">7111.68</t>
  </si>
  <si>
    <t xml:space="preserve">Groove Cutter, Mining</t>
  </si>
  <si>
    <t xml:space="preserve">8111.2000</t>
  </si>
  <si>
    <t xml:space="preserve">7111.70</t>
  </si>
  <si>
    <t xml:space="preserve">Bratticeman</t>
  </si>
  <si>
    <t xml:space="preserve">8111.2100</t>
  </si>
  <si>
    <t xml:space="preserve">7111.72</t>
  </si>
  <si>
    <t xml:space="preserve">Driller, Hand</t>
  </si>
  <si>
    <t xml:space="preserve">8111.2200</t>
  </si>
  <si>
    <t xml:space="preserve">7111.74</t>
  </si>
  <si>
    <t xml:space="preserve">Mine Cutting and Channelling Machine Operator</t>
  </si>
  <si>
    <t xml:space="preserve">8111.1400</t>
  </si>
  <si>
    <t xml:space="preserve">7111.49</t>
  </si>
  <si>
    <t xml:space="preserve">Timberman, Mines</t>
  </si>
  <si>
    <t xml:space="preserve">8111.1500</t>
  </si>
  <si>
    <t xml:space="preserve">7111.50</t>
  </si>
  <si>
    <t xml:space="preserve">Creeperman, Colliery</t>
  </si>
  <si>
    <t xml:space="preserve">8111.1600</t>
  </si>
  <si>
    <t xml:space="preserve">7111.55</t>
  </si>
  <si>
    <t xml:space="preserve">Stowing Worker</t>
  </si>
  <si>
    <t xml:space="preserve">8111.1700</t>
  </si>
  <si>
    <t xml:space="preserve">7111.60</t>
  </si>
  <si>
    <t xml:space="preserve">Trammer, Mines</t>
  </si>
  <si>
    <t xml:space="preserve">8111.2800</t>
  </si>
  <si>
    <t xml:space="preserve">7111.85</t>
  </si>
  <si>
    <t xml:space="preserve">Wire Saw Operator</t>
  </si>
  <si>
    <t xml:space="preserve">8111.2901</t>
  </si>
  <si>
    <t xml:space="preserve">Mines, Quarrymen and Related Workers, Other</t>
  </si>
  <si>
    <t xml:space="preserve">8111.9900</t>
  </si>
  <si>
    <t xml:space="preserve">7111.90</t>
  </si>
  <si>
    <t xml:space="preserve">Mineral and Stone Processing Plant Operators</t>
  </si>
  <si>
    <t xml:space="preserve">8112.0000</t>
  </si>
  <si>
    <t xml:space="preserve">Shaft Worker</t>
  </si>
  <si>
    <t xml:space="preserve">8111.2300</t>
  </si>
  <si>
    <t xml:space="preserve">7111.75</t>
  </si>
  <si>
    <t xml:space="preserve">Banksman</t>
  </si>
  <si>
    <t xml:space="preserve">8111.2400</t>
  </si>
  <si>
    <t xml:space="preserve">7111.76</t>
  </si>
  <si>
    <t xml:space="preserve">Jackman</t>
  </si>
  <si>
    <t xml:space="preserve">8111.2500</t>
  </si>
  <si>
    <t xml:space="preserve">7111.77</t>
  </si>
  <si>
    <t xml:space="preserve">Scraper Driver, Mines</t>
  </si>
  <si>
    <t xml:space="preserve">8111.2600</t>
  </si>
  <si>
    <t xml:space="preserve">7111.78</t>
  </si>
  <si>
    <t xml:space="preserve">Sprinkler and Other Vehicle Driver</t>
  </si>
  <si>
    <t xml:space="preserve">8111.2601</t>
  </si>
  <si>
    <t xml:space="preserve">Shovel Operator, Mines</t>
  </si>
  <si>
    <t xml:space="preserve">8111.2700</t>
  </si>
  <si>
    <t xml:space="preserve">7111.80</t>
  </si>
  <si>
    <t xml:space="preserve">Rock Slicer</t>
  </si>
  <si>
    <t xml:space="preserve">3117.0100</t>
  </si>
  <si>
    <t xml:space="preserve">3117.10</t>
  </si>
  <si>
    <t xml:space="preserve">Petroleum and Natural Gas Extraction Technician</t>
  </si>
  <si>
    <t xml:space="preserve">3117.0200</t>
  </si>
  <si>
    <t xml:space="preserve">3117.20</t>
  </si>
  <si>
    <t xml:space="preserve">Laboratory Assistant, Metallurgical</t>
  </si>
  <si>
    <t xml:space="preserve">3117.0300</t>
  </si>
  <si>
    <t xml:space="preserve">3117.30</t>
  </si>
  <si>
    <t xml:space="preserve">Mining and Metallurgical Technicians, Other</t>
  </si>
  <si>
    <t xml:space="preserve">3117.9900</t>
  </si>
  <si>
    <t xml:space="preserve">3117.90</t>
  </si>
  <si>
    <t xml:space="preserve">Mines, Quarrymen, Related Workers</t>
  </si>
  <si>
    <t xml:space="preserve">9311.0100</t>
  </si>
  <si>
    <t xml:space="preserve">9311.10</t>
  </si>
  <si>
    <t xml:space="preserve">Mazdoor/Helper</t>
  </si>
  <si>
    <t xml:space="preserve">9311.0101</t>
  </si>
  <si>
    <t xml:space="preserve">Digger (Mine &amp; Quarry)</t>
  </si>
  <si>
    <t xml:space="preserve">9311.0200</t>
  </si>
  <si>
    <t xml:space="preserve">9311.20</t>
  </si>
  <si>
    <t xml:space="preserve">Mining and Quarrying Labourers, Other</t>
  </si>
  <si>
    <t xml:space="preserve">9311.9900</t>
  </si>
  <si>
    <t xml:space="preserve">9311.90</t>
  </si>
  <si>
    <t xml:space="preserve">Metallurgist, Extractive</t>
  </si>
  <si>
    <t xml:space="preserve">2146.0500</t>
  </si>
  <si>
    <t xml:space="preserve">2147.40</t>
  </si>
  <si>
    <t xml:space="preserve">Manager Heat Treatment/Metallurgist</t>
  </si>
  <si>
    <t xml:space="preserve">2146.0501</t>
  </si>
  <si>
    <t xml:space="preserve">Metallurgists, Adaptive</t>
  </si>
  <si>
    <t xml:space="preserve">2146.0600</t>
  </si>
  <si>
    <t xml:space="preserve">2147.50</t>
  </si>
  <si>
    <t xml:space="preserve">Mining Engineers, Metallurgists and Related Professionals, Other</t>
  </si>
  <si>
    <t xml:space="preserve">2146.9900</t>
  </si>
  <si>
    <t xml:space="preserve">2147.90</t>
  </si>
  <si>
    <t xml:space="preserve">Mining Engineer, General</t>
  </si>
  <si>
    <t xml:space="preserve">2146.0100</t>
  </si>
  <si>
    <t xml:space="preserve">2147.10</t>
  </si>
  <si>
    <t xml:space="preserve">Mining Engineer, Non-Metals</t>
  </si>
  <si>
    <t xml:space="preserve">2146.0200</t>
  </si>
  <si>
    <t xml:space="preserve">2147.20</t>
  </si>
  <si>
    <t xml:space="preserve">Mining Engineer, Metal</t>
  </si>
  <si>
    <t xml:space="preserve">2146.0300</t>
  </si>
  <si>
    <t xml:space="preserve">2147.25</t>
  </si>
  <si>
    <t xml:space="preserve">Mining Engineer, Petroleum and Gas</t>
  </si>
  <si>
    <t xml:space="preserve">2146.0400</t>
  </si>
  <si>
    <t xml:space="preserve">2147.30</t>
  </si>
  <si>
    <t xml:space="preserve">Manager, Well Drilling</t>
  </si>
  <si>
    <t xml:space="preserve">1322.0300</t>
  </si>
  <si>
    <t xml:space="preserve">1222.30</t>
  </si>
  <si>
    <t xml:space="preserve">General Manager, Mine</t>
  </si>
  <si>
    <t xml:space="preserve">1322.0400</t>
  </si>
  <si>
    <t xml:space="preserve">1302.10</t>
  </si>
  <si>
    <t xml:space="preserve">General Manager, Quarry</t>
  </si>
  <si>
    <t xml:space="preserve">1322.0500</t>
  </si>
  <si>
    <t xml:space="preserve">1302.20</t>
  </si>
  <si>
    <t xml:space="preserve">General Manager, Well Drilling</t>
  </si>
  <si>
    <t xml:space="preserve">1322.0600</t>
  </si>
  <si>
    <t xml:space="preserve">1302.30</t>
  </si>
  <si>
    <t xml:space="preserve">Mining Managers, Other</t>
  </si>
  <si>
    <t xml:space="preserve">1322.9900</t>
  </si>
  <si>
    <t xml:space="preserve">1222.90</t>
  </si>
  <si>
    <t xml:space="preserve">Manager, Mine</t>
  </si>
  <si>
    <t xml:space="preserve">1322.0100</t>
  </si>
  <si>
    <t xml:space="preserve">1222.10</t>
  </si>
  <si>
    <t xml:space="preserve">Manager, Quarry</t>
  </si>
  <si>
    <t xml:space="preserve">1322.0200</t>
  </si>
  <si>
    <t xml:space="preserve">1222.20</t>
  </si>
  <si>
    <t xml:space="preserve">Supervisor and Foreman, Mining and Quarrying</t>
  </si>
  <si>
    <t xml:space="preserve">3121.0100</t>
  </si>
  <si>
    <t xml:space="preserve">8118.10</t>
  </si>
  <si>
    <t xml:space="preserve">Supervisor and Foreman, Well Drilling</t>
  </si>
  <si>
    <t xml:space="preserve">3121.0200</t>
  </si>
  <si>
    <t xml:space="preserve">8118.15</t>
  </si>
  <si>
    <t xml:space="preserve">Supervisor and Foreman, Mineral Treating</t>
  </si>
  <si>
    <t xml:space="preserve">3121.0300</t>
  </si>
  <si>
    <t xml:space="preserve">8118.20</t>
  </si>
  <si>
    <t xml:space="preserve">Overman, Colliery</t>
  </si>
  <si>
    <t xml:space="preserve">3121.0400</t>
  </si>
  <si>
    <t xml:space="preserve">8118.25</t>
  </si>
  <si>
    <t xml:space="preserve">Sirdar, Colliery</t>
  </si>
  <si>
    <t xml:space="preserve">3121.0500</t>
  </si>
  <si>
    <t xml:space="preserve">8118.30</t>
  </si>
  <si>
    <t xml:space="preserve">Mud Supervisor</t>
  </si>
  <si>
    <t xml:space="preserve">3121.0600</t>
  </si>
  <si>
    <t xml:space="preserve">8118.35</t>
  </si>
  <si>
    <t xml:space="preserve">Well Pulling Supervisor</t>
  </si>
  <si>
    <t xml:space="preserve">3121.0700</t>
  </si>
  <si>
    <t xml:space="preserve">8118.40</t>
  </si>
  <si>
    <t xml:space="preserve">Gas Supervisor</t>
  </si>
  <si>
    <t xml:space="preserve">3121.0800</t>
  </si>
  <si>
    <t xml:space="preserve">8118.50</t>
  </si>
  <si>
    <t xml:space="preserve">Supervisors and Foremen in Mining and Mineral Processing Plant Operation Activities, Other</t>
  </si>
  <si>
    <t xml:space="preserve">3121.9900</t>
  </si>
  <si>
    <t xml:space="preserve">8118.90</t>
  </si>
  <si>
    <t xml:space="preserve">Artificial Breeding Technician</t>
  </si>
  <si>
    <t xml:space="preserve">6130.0100</t>
  </si>
  <si>
    <t xml:space="preserve">6130.10</t>
  </si>
  <si>
    <t xml:space="preserve">Seed Grower/Quality Seed Grower</t>
  </si>
  <si>
    <t xml:space="preserve">6130.0201</t>
  </si>
  <si>
    <t xml:space="preserve">6112.60</t>
  </si>
  <si>
    <t xml:space="preserve">Seed Processing Worker</t>
  </si>
  <si>
    <t xml:space="preserve">6130.0202</t>
  </si>
  <si>
    <t xml:space="preserve">Mixed Crop and Animal Workers, Other</t>
  </si>
  <si>
    <t xml:space="preserve">6130.9900</t>
  </si>
  <si>
    <t xml:space="preserve">6130.90</t>
  </si>
  <si>
    <t xml:space="preserve">Mixed Crop Growers, Other</t>
  </si>
  <si>
    <t xml:space="preserve">6114.9900</t>
  </si>
  <si>
    <t xml:space="preserve">6114.90</t>
  </si>
  <si>
    <t xml:space="preserve">Operator, Farm Machines</t>
  </si>
  <si>
    <t xml:space="preserve">8341.0200</t>
  </si>
  <si>
    <t xml:space="preserve">8331.20</t>
  </si>
  <si>
    <t xml:space="preserve">Harvesting Machine Operator</t>
  </si>
  <si>
    <t xml:space="preserve">8341.0201</t>
  </si>
  <si>
    <t xml:space="preserve">Tractor Driver, Construction</t>
  </si>
  <si>
    <t xml:space="preserve">8341.0300</t>
  </si>
  <si>
    <t xml:space="preserve">8331.30</t>
  </si>
  <si>
    <t xml:space="preserve">Farm Machinery Operators, Other</t>
  </si>
  <si>
    <t xml:space="preserve">8341.9900</t>
  </si>
  <si>
    <t xml:space="preserve">8331.90</t>
  </si>
  <si>
    <t xml:space="preserve">Tractor Operator, Farm</t>
  </si>
  <si>
    <t xml:space="preserve">8341.0101</t>
  </si>
  <si>
    <t xml:space="preserve">8331.10</t>
  </si>
  <si>
    <t xml:space="preserve">Mechanic, Automobile</t>
  </si>
  <si>
    <t xml:space="preserve">7231.0100</t>
  </si>
  <si>
    <t xml:space="preserve">7231.10</t>
  </si>
  <si>
    <t xml:space="preserve">AC Specialist</t>
  </si>
  <si>
    <t xml:space="preserve">7231.0102</t>
  </si>
  <si>
    <t xml:space="preserve">Automotive Body Technician Level 3</t>
  </si>
  <si>
    <t xml:space="preserve">7231.0103</t>
  </si>
  <si>
    <t xml:space="preserve">Automotive Body Technician Level 4</t>
  </si>
  <si>
    <t xml:space="preserve">7231.0104</t>
  </si>
  <si>
    <t xml:space="preserve">Brake Specialist</t>
  </si>
  <si>
    <t xml:space="preserve">7231.0105</t>
  </si>
  <si>
    <t xml:space="preserve">Clutch Specialist</t>
  </si>
  <si>
    <t xml:space="preserve">7231.0106</t>
  </si>
  <si>
    <t xml:space="preserve">Mechanic, Motor Cycle</t>
  </si>
  <si>
    <t xml:space="preserve">7231.0500</t>
  </si>
  <si>
    <t xml:space="preserve">7231.50</t>
  </si>
  <si>
    <t xml:space="preserve">Auto Service Technician (Two and Three Wheelers)</t>
  </si>
  <si>
    <t xml:space="preserve">7231.0501</t>
  </si>
  <si>
    <t xml:space="preserve">Cleaner Motor Vehicle</t>
  </si>
  <si>
    <t xml:space="preserve">7231.0900</t>
  </si>
  <si>
    <t xml:space="preserve">7231.60</t>
  </si>
  <si>
    <t xml:space="preserve">Motor Vehicle Mechanics, Other</t>
  </si>
  <si>
    <t xml:space="preserve">7231.9900</t>
  </si>
  <si>
    <t xml:space="preserve">7231.90</t>
  </si>
  <si>
    <t xml:space="preserve">Engine Tester</t>
  </si>
  <si>
    <t xml:space="preserve">7231.0200</t>
  </si>
  <si>
    <t xml:space="preserve">7231.20</t>
  </si>
  <si>
    <t xml:space="preserve">Test Technician</t>
  </si>
  <si>
    <t xml:space="preserve">7231.0201</t>
  </si>
  <si>
    <t xml:space="preserve">Tractor Mechanic</t>
  </si>
  <si>
    <t xml:space="preserve">7231.0300</t>
  </si>
  <si>
    <t xml:space="preserve">7231.30</t>
  </si>
  <si>
    <t xml:space="preserve">Fitter Automobile</t>
  </si>
  <si>
    <t xml:space="preserve">7231.0400</t>
  </si>
  <si>
    <t xml:space="preserve">7231.40</t>
  </si>
  <si>
    <t xml:space="preserve">Mechanic Fitter</t>
  </si>
  <si>
    <t xml:space="preserve">7231.0401</t>
  </si>
  <si>
    <t xml:space="preserve">Auto Service Technician – Helper</t>
  </si>
  <si>
    <t xml:space="preserve">7231.0108</t>
  </si>
  <si>
    <t xml:space="preserve">Auto Service Technician – Mechanic</t>
  </si>
  <si>
    <t xml:space="preserve">7231.0107</t>
  </si>
  <si>
    <t xml:space="preserve">Maintenance Technician – Service Workshop</t>
  </si>
  <si>
    <t xml:space="preserve">7231.0101</t>
  </si>
  <si>
    <t xml:space="preserve">Motorcycle Drivers, Other</t>
  </si>
  <si>
    <t xml:space="preserve">8321.9900</t>
  </si>
  <si>
    <t xml:space="preserve">8321.90</t>
  </si>
  <si>
    <t xml:space="preserve">Driver Auto Rickshaw</t>
  </si>
  <si>
    <t xml:space="preserve">8321.0101</t>
  </si>
  <si>
    <t xml:space="preserve">8321.10</t>
  </si>
  <si>
    <t xml:space="preserve">Despatch Rider</t>
  </si>
  <si>
    <t xml:space="preserve">8321.0200</t>
  </si>
  <si>
    <t xml:space="preserve">8321.20</t>
  </si>
  <si>
    <t xml:space="preserve">Delivery Associate/Two Wheeler Delivery Associate</t>
  </si>
  <si>
    <t xml:space="preserve">8321.0201</t>
  </si>
  <si>
    <t xml:space="preserve">Musical Instrument Maker (String )</t>
  </si>
  <si>
    <t xml:space="preserve">7312.0100</t>
  </si>
  <si>
    <t xml:space="preserve">7312.10</t>
  </si>
  <si>
    <t xml:space="preserve">Tabla Maker (Musical Instrument)</t>
  </si>
  <si>
    <t xml:space="preserve">7312.1300</t>
  </si>
  <si>
    <t xml:space="preserve">7312.45</t>
  </si>
  <si>
    <t xml:space="preserve">Drum Maker, Musical</t>
  </si>
  <si>
    <t xml:space="preserve">7312.1400</t>
  </si>
  <si>
    <t xml:space="preserve">7312.50</t>
  </si>
  <si>
    <t xml:space="preserve">Clarinet Assembler</t>
  </si>
  <si>
    <t xml:space="preserve">7312.1500</t>
  </si>
  <si>
    <t xml:space="preserve">7312.55</t>
  </si>
  <si>
    <t xml:space="preserve">Harmonium Maker</t>
  </si>
  <si>
    <t xml:space="preserve">7312.0200</t>
  </si>
  <si>
    <t xml:space="preserve">7312.15</t>
  </si>
  <si>
    <t xml:space="preserve">Bagpipe Maker</t>
  </si>
  <si>
    <t xml:space="preserve">7312.1600</t>
  </si>
  <si>
    <t xml:space="preserve">7312.58</t>
  </si>
  <si>
    <t xml:space="preserve">Harmonium Key Maker</t>
  </si>
  <si>
    <t xml:space="preserve">7312.0300</t>
  </si>
  <si>
    <t xml:space="preserve">7312.18</t>
  </si>
  <si>
    <t xml:space="preserve">Brass Musical Instruments Assembler</t>
  </si>
  <si>
    <t xml:space="preserve">7312.1700</t>
  </si>
  <si>
    <t xml:space="preserve">7312.60</t>
  </si>
  <si>
    <t xml:space="preserve">Harmonium Fitter</t>
  </si>
  <si>
    <t xml:space="preserve">7312.0400</t>
  </si>
  <si>
    <t xml:space="preserve">7312.20</t>
  </si>
  <si>
    <t xml:space="preserve">Bellow Man (Harmonium)</t>
  </si>
  <si>
    <t xml:space="preserve">7312.0500</t>
  </si>
  <si>
    <t xml:space="preserve">7312.22</t>
  </si>
  <si>
    <t xml:space="preserve">Reed Fitter (Harmonium)</t>
  </si>
  <si>
    <t xml:space="preserve">7312.0600</t>
  </si>
  <si>
    <t xml:space="preserve">7312.25</t>
  </si>
  <si>
    <t xml:space="preserve">Finisher (Harmonium)</t>
  </si>
  <si>
    <t xml:space="preserve">7312.0800</t>
  </si>
  <si>
    <t xml:space="preserve">7312.30</t>
  </si>
  <si>
    <t xml:space="preserve">Organ Tuner</t>
  </si>
  <si>
    <t xml:space="preserve">7312.1000</t>
  </si>
  <si>
    <t xml:space="preserve">7312.35</t>
  </si>
  <si>
    <t xml:space="preserve">Piano Tuner</t>
  </si>
  <si>
    <t xml:space="preserve">7312.1200</t>
  </si>
  <si>
    <t xml:space="preserve">7312.43</t>
  </si>
  <si>
    <t xml:space="preserve">Musical Instrument Repairer</t>
  </si>
  <si>
    <t xml:space="preserve">7312.1800</t>
  </si>
  <si>
    <t xml:space="preserve">7312.65</t>
  </si>
  <si>
    <t xml:space="preserve">Musical Instrument Makers and Tuners, Other</t>
  </si>
  <si>
    <t xml:space="preserve">7312.9900</t>
  </si>
  <si>
    <t xml:space="preserve">7312.90</t>
  </si>
  <si>
    <t xml:space="preserve">Orchestra Conductor</t>
  </si>
  <si>
    <t xml:space="preserve">2652.0200</t>
  </si>
  <si>
    <t xml:space="preserve">2453.20</t>
  </si>
  <si>
    <t xml:space="preserve">Singer</t>
  </si>
  <si>
    <t xml:space="preserve">2652.0300</t>
  </si>
  <si>
    <t xml:space="preserve">2453.30</t>
  </si>
  <si>
    <t xml:space="preserve">Instrumental Musician, String Instrument</t>
  </si>
  <si>
    <t xml:space="preserve">2652.0400</t>
  </si>
  <si>
    <t xml:space="preserve">2453.40</t>
  </si>
  <si>
    <t xml:space="preserve">Instrumental Musician, Percussion Instrument</t>
  </si>
  <si>
    <t xml:space="preserve">2652.0500</t>
  </si>
  <si>
    <t xml:space="preserve">2453.50</t>
  </si>
  <si>
    <t xml:space="preserve">Music Composer</t>
  </si>
  <si>
    <t xml:space="preserve">2652.0100</t>
  </si>
  <si>
    <t xml:space="preserve">2453.10</t>
  </si>
  <si>
    <t xml:space="preserve">Instrumental Musician, Wind Instrument</t>
  </si>
  <si>
    <t xml:space="preserve">2652.0600</t>
  </si>
  <si>
    <t xml:space="preserve">2453.60</t>
  </si>
  <si>
    <t xml:space="preserve">Musicians, Singers and Composers, Other</t>
  </si>
  <si>
    <t xml:space="preserve">2652.9900</t>
  </si>
  <si>
    <t xml:space="preserve">2453.90</t>
  </si>
  <si>
    <t xml:space="preserve">Nurse, General</t>
  </si>
  <si>
    <t xml:space="preserve">3221.0100</t>
  </si>
  <si>
    <t xml:space="preserve">3231.10</t>
  </si>
  <si>
    <t xml:space="preserve">Nurse, Industrial</t>
  </si>
  <si>
    <t xml:space="preserve">3221.0200</t>
  </si>
  <si>
    <t xml:space="preserve">3231.20</t>
  </si>
  <si>
    <t xml:space="preserve">Nursing Attendant</t>
  </si>
  <si>
    <t xml:space="preserve">3221.0300</t>
  </si>
  <si>
    <t xml:space="preserve">3231.30</t>
  </si>
  <si>
    <t xml:space="preserve">Nursing Associate Professionals, Other</t>
  </si>
  <si>
    <t xml:space="preserve">3221.9900</t>
  </si>
  <si>
    <t xml:space="preserve">3231.90</t>
  </si>
  <si>
    <t xml:space="preserve">Nurse, Specialist</t>
  </si>
  <si>
    <t xml:space="preserve">2221.0100</t>
  </si>
  <si>
    <t xml:space="preserve">2230.10</t>
  </si>
  <si>
    <t xml:space="preserve">Professional Nurses, Other</t>
  </si>
  <si>
    <t xml:space="preserve">2221.9900</t>
  </si>
  <si>
    <t xml:space="preserve">2230.90</t>
  </si>
  <si>
    <t xml:space="preserve">Office Assistant</t>
  </si>
  <si>
    <t xml:space="preserve">3341.1000</t>
  </si>
  <si>
    <t xml:space="preserve">3431.30</t>
  </si>
  <si>
    <t xml:space="preserve">Briefing Assistant</t>
  </si>
  <si>
    <t xml:space="preserve">3341.1100</t>
  </si>
  <si>
    <t xml:space="preserve">3431.40</t>
  </si>
  <si>
    <t xml:space="preserve">Overseer, Postmen</t>
  </si>
  <si>
    <t xml:space="preserve">3341.0200</t>
  </si>
  <si>
    <t xml:space="preserve">4142.10</t>
  </si>
  <si>
    <t xml:space="preserve">Supervisor, Telephone</t>
  </si>
  <si>
    <t xml:space="preserve">3341.0400</t>
  </si>
  <si>
    <t xml:space="preserve">4142.20</t>
  </si>
  <si>
    <t xml:space="preserve">Monitor, Telephone</t>
  </si>
  <si>
    <t xml:space="preserve">3341.0500</t>
  </si>
  <si>
    <t xml:space="preserve">4142.25</t>
  </si>
  <si>
    <t xml:space="preserve">Supervisor, Wireless</t>
  </si>
  <si>
    <t xml:space="preserve">3341.0600</t>
  </si>
  <si>
    <t xml:space="preserve">4142.30</t>
  </si>
  <si>
    <t xml:space="preserve">Headlight Keeper</t>
  </si>
  <si>
    <t xml:space="preserve">3341.0700</t>
  </si>
  <si>
    <t xml:space="preserve">4142.35</t>
  </si>
  <si>
    <t xml:space="preserve">Section Officer</t>
  </si>
  <si>
    <t xml:space="preserve">3341.0800</t>
  </si>
  <si>
    <t xml:space="preserve">3431.10</t>
  </si>
  <si>
    <t xml:space="preserve">Inspectors and Supervisors, Other (Clerical)</t>
  </si>
  <si>
    <t xml:space="preserve">3341.0900</t>
  </si>
  <si>
    <t xml:space="preserve">3431.20</t>
  </si>
  <si>
    <t xml:space="preserve">Sub-Post Master</t>
  </si>
  <si>
    <t xml:space="preserve">3341.1200</t>
  </si>
  <si>
    <t xml:space="preserve">3439.10</t>
  </si>
  <si>
    <t xml:space="preserve">Office Supervisors, Other</t>
  </si>
  <si>
    <t xml:space="preserve">3341.9900</t>
  </si>
  <si>
    <t xml:space="preserve">3439.90</t>
  </si>
  <si>
    <t xml:space="preserve">Optometrists and Opticians, Other</t>
  </si>
  <si>
    <t xml:space="preserve">2267.9900</t>
  </si>
  <si>
    <t xml:space="preserve">3224.90</t>
  </si>
  <si>
    <t xml:space="preserve">Tattoo Artist</t>
  </si>
  <si>
    <t xml:space="preserve">3435.0100</t>
  </si>
  <si>
    <t xml:space="preserve">3471.30</t>
  </si>
  <si>
    <t xml:space="preserve">Stuntman</t>
  </si>
  <si>
    <t xml:space="preserve">3435.0200</t>
  </si>
  <si>
    <t xml:space="preserve">3474.25</t>
  </si>
  <si>
    <t xml:space="preserve">Prompter</t>
  </si>
  <si>
    <t xml:space="preserve">3435.0300</t>
  </si>
  <si>
    <t xml:space="preserve">3474.47</t>
  </si>
  <si>
    <t xml:space="preserve">Merry-Go-Round Operator</t>
  </si>
  <si>
    <t xml:space="preserve">3435.0400</t>
  </si>
  <si>
    <t xml:space="preserve">3474.80</t>
  </si>
  <si>
    <t xml:space="preserve">Floral Designer</t>
  </si>
  <si>
    <t xml:space="preserve">3435.0500</t>
  </si>
  <si>
    <t xml:space="preserve">3471.60</t>
  </si>
  <si>
    <t xml:space="preserve">Other Artistic and Cultural Associate Professionals, Other</t>
  </si>
  <si>
    <t xml:space="preserve">3435.9900</t>
  </si>
  <si>
    <t xml:space="preserve">3474.90</t>
  </si>
  <si>
    <t xml:space="preserve">Art Teacher</t>
  </si>
  <si>
    <t xml:space="preserve">2355.0100</t>
  </si>
  <si>
    <t xml:space="preserve">2339.10</t>
  </si>
  <si>
    <t xml:space="preserve">Arts Teacher, Other</t>
  </si>
  <si>
    <t xml:space="preserve">2355.9900</t>
  </si>
  <si>
    <t xml:space="preserve">2339.90</t>
  </si>
  <si>
    <t xml:space="preserve">Building Insulator, Machine</t>
  </si>
  <si>
    <t xml:space="preserve">8183.0100</t>
  </si>
  <si>
    <t xml:space="preserve">8290.30</t>
  </si>
  <si>
    <t xml:space="preserve">Painter, Building</t>
  </si>
  <si>
    <t xml:space="preserve">7131.0100</t>
  </si>
  <si>
    <t xml:space="preserve">7141.10</t>
  </si>
  <si>
    <t xml:space="preserve">Assistant Painter and Decorator</t>
  </si>
  <si>
    <t xml:space="preserve">7131.0101</t>
  </si>
  <si>
    <t xml:space="preserve">Painter, Steel Structure</t>
  </si>
  <si>
    <t xml:space="preserve">7131.0200</t>
  </si>
  <si>
    <t xml:space="preserve">7141.20</t>
  </si>
  <si>
    <t xml:space="preserve">Painter, Industrial</t>
  </si>
  <si>
    <t xml:space="preserve">7131.0300</t>
  </si>
  <si>
    <t xml:space="preserve">7141.25</t>
  </si>
  <si>
    <t xml:space="preserve">Paper Hanger/Wallpaper Fixer/Decorator</t>
  </si>
  <si>
    <t xml:space="preserve">7131.0500</t>
  </si>
  <si>
    <t xml:space="preserve">7141.40</t>
  </si>
  <si>
    <t xml:space="preserve">Painters and Related Workers, Other</t>
  </si>
  <si>
    <t xml:space="preserve">7131.9900</t>
  </si>
  <si>
    <t xml:space="preserve">7141.90</t>
  </si>
  <si>
    <t xml:space="preserve">Envelope Maker, Machine</t>
  </si>
  <si>
    <t xml:space="preserve">8143.0200</t>
  </si>
  <si>
    <t xml:space="preserve">8253.20</t>
  </si>
  <si>
    <t xml:space="preserve">Cellophane Bag Maker, Machine</t>
  </si>
  <si>
    <t xml:space="preserve">8143.0300</t>
  </si>
  <si>
    <t xml:space="preserve">8253.30</t>
  </si>
  <si>
    <t xml:space="preserve">Flower Maker, Paper</t>
  </si>
  <si>
    <t xml:space="preserve">8143.0400</t>
  </si>
  <si>
    <t xml:space="preserve">8253.40</t>
  </si>
  <si>
    <t xml:space="preserve">Papier Mache Moulder</t>
  </si>
  <si>
    <t xml:space="preserve">8143.0500</t>
  </si>
  <si>
    <t xml:space="preserve">8253.50</t>
  </si>
  <si>
    <t xml:space="preserve">Paper Product Makers, Other</t>
  </si>
  <si>
    <t xml:space="preserve">8143.9900</t>
  </si>
  <si>
    <t xml:space="preserve">8253.90</t>
  </si>
  <si>
    <t xml:space="preserve">Cardboard Box Maker</t>
  </si>
  <si>
    <t xml:space="preserve">8143.0100</t>
  </si>
  <si>
    <t xml:space="preserve">8253.10</t>
  </si>
  <si>
    <t xml:space="preserve">Laboratory Assistant, Clinical</t>
  </si>
  <si>
    <t xml:space="preserve">2240.0100</t>
  </si>
  <si>
    <t xml:space="preserve">3221.10</t>
  </si>
  <si>
    <t xml:space="preserve">Dresser</t>
  </si>
  <si>
    <t xml:space="preserve">2240.0400</t>
  </si>
  <si>
    <t xml:space="preserve">3221.40</t>
  </si>
  <si>
    <t xml:space="preserve">Paramedical Practitioners, Other</t>
  </si>
  <si>
    <t xml:space="preserve">2240.9900</t>
  </si>
  <si>
    <t xml:space="preserve">Emergency Medical Technician – Basic</t>
  </si>
  <si>
    <t xml:space="preserve">2240.0501</t>
  </si>
  <si>
    <t xml:space="preserve">Emergency Medical Technician – Advanced</t>
  </si>
  <si>
    <t xml:space="preserve">2240.0502</t>
  </si>
  <si>
    <t xml:space="preserve">Moneylender</t>
  </si>
  <si>
    <t xml:space="preserve">4213.0100</t>
  </si>
  <si>
    <t xml:space="preserve">4214.10</t>
  </si>
  <si>
    <t xml:space="preserve">Pawn Broker</t>
  </si>
  <si>
    <t xml:space="preserve">4213.0200</t>
  </si>
  <si>
    <t xml:space="preserve">4214.20</t>
  </si>
  <si>
    <t xml:space="preserve">Pawnbrokers and Moneylenders, Other</t>
  </si>
  <si>
    <t xml:space="preserve">4213.9900</t>
  </si>
  <si>
    <t xml:space="preserve">4214.90</t>
  </si>
  <si>
    <t xml:space="preserve">Accounts Clerk/Accounts Executive (Payroll)</t>
  </si>
  <si>
    <t xml:space="preserve">4313.0101</t>
  </si>
  <si>
    <t xml:space="preserve">4121.20</t>
  </si>
  <si>
    <t xml:space="preserve">Accounts Executive (Statutory Compliance)</t>
  </si>
  <si>
    <t xml:space="preserve">4313.0201</t>
  </si>
  <si>
    <t xml:space="preserve">Sorter, Hides and Skin</t>
  </si>
  <si>
    <t xml:space="preserve">7535.0100</t>
  </si>
  <si>
    <t xml:space="preserve">7441.10</t>
  </si>
  <si>
    <t xml:space="preserve">Flayer</t>
  </si>
  <si>
    <t xml:space="preserve">7535.0200</t>
  </si>
  <si>
    <t xml:space="preserve">7441.15</t>
  </si>
  <si>
    <t xml:space="preserve">Lime Pitman, Leather</t>
  </si>
  <si>
    <t xml:space="preserve">7535.0300</t>
  </si>
  <si>
    <t xml:space="preserve">7441.18</t>
  </si>
  <si>
    <t xml:space="preserve">Dehairer, Hand</t>
  </si>
  <si>
    <t xml:space="preserve">7535.0400</t>
  </si>
  <si>
    <t xml:space="preserve">7441.20</t>
  </si>
  <si>
    <t xml:space="preserve">Flesher, Hand</t>
  </si>
  <si>
    <t xml:space="preserve">7535.0500</t>
  </si>
  <si>
    <t xml:space="preserve">7441.22</t>
  </si>
  <si>
    <t xml:space="preserve">Delimer</t>
  </si>
  <si>
    <t xml:space="preserve">7535.0600</t>
  </si>
  <si>
    <t xml:space="preserve">7441.24</t>
  </si>
  <si>
    <t xml:space="preserve">Scudder, Hand</t>
  </si>
  <si>
    <t xml:space="preserve">7535.0700</t>
  </si>
  <si>
    <t xml:space="preserve">7441.26</t>
  </si>
  <si>
    <t xml:space="preserve">Staker, Hand</t>
  </si>
  <si>
    <t xml:space="preserve">7535.1000</t>
  </si>
  <si>
    <t xml:space="preserve">7441.32</t>
  </si>
  <si>
    <t xml:space="preserve">Pelt Dyer, Hand</t>
  </si>
  <si>
    <t xml:space="preserve">7535.2100</t>
  </si>
  <si>
    <t xml:space="preserve">7441.55</t>
  </si>
  <si>
    <t xml:space="preserve">Bark Pitman (Tanning)</t>
  </si>
  <si>
    <t xml:space="preserve">7535.1100</t>
  </si>
  <si>
    <t xml:space="preserve">7441.34</t>
  </si>
  <si>
    <t xml:space="preserve">Drum Man (Tanning)</t>
  </si>
  <si>
    <t xml:space="preserve">7535.1200</t>
  </si>
  <si>
    <t xml:space="preserve">7441.36</t>
  </si>
  <si>
    <t xml:space="preserve">Leather, Currier</t>
  </si>
  <si>
    <t xml:space="preserve">7535.1300</t>
  </si>
  <si>
    <t xml:space="preserve">7441.38</t>
  </si>
  <si>
    <t xml:space="preserve">Dyer, Leather</t>
  </si>
  <si>
    <t xml:space="preserve">7535.1400</t>
  </si>
  <si>
    <t xml:space="preserve">7441.40</t>
  </si>
  <si>
    <t xml:space="preserve">Embosser, Leather</t>
  </si>
  <si>
    <t xml:space="preserve">7535.1500</t>
  </si>
  <si>
    <t xml:space="preserve">7441.42</t>
  </si>
  <si>
    <t xml:space="preserve">Seasoner, Leather</t>
  </si>
  <si>
    <t xml:space="preserve">7535.1600</t>
  </si>
  <si>
    <t xml:space="preserve">7441.44</t>
  </si>
  <si>
    <t xml:space="preserve">Pelt Dresser, General</t>
  </si>
  <si>
    <t xml:space="preserve">7535.1700</t>
  </si>
  <si>
    <t xml:space="preserve">7441.46</t>
  </si>
  <si>
    <t xml:space="preserve">Pelt Grader</t>
  </si>
  <si>
    <t xml:space="preserve">7535.1800</t>
  </si>
  <si>
    <t xml:space="preserve">7441.48</t>
  </si>
  <si>
    <t xml:space="preserve">Pelt Flesher</t>
  </si>
  <si>
    <t xml:space="preserve">7535.1900</t>
  </si>
  <si>
    <t xml:space="preserve">7441.50</t>
  </si>
  <si>
    <t xml:space="preserve">Fluffer, Hand</t>
  </si>
  <si>
    <t xml:space="preserve">7535.0900</t>
  </si>
  <si>
    <t xml:space="preserve">7441.30</t>
  </si>
  <si>
    <t xml:space="preserve">Pelt Plucker and Trimmer</t>
  </si>
  <si>
    <t xml:space="preserve">7535.2000</t>
  </si>
  <si>
    <t xml:space="preserve">7441.52</t>
  </si>
  <si>
    <t xml:space="preserve">Pelt, Stitcher</t>
  </si>
  <si>
    <t xml:space="preserve">7535.2200</t>
  </si>
  <si>
    <t xml:space="preserve">7441.60</t>
  </si>
  <si>
    <t xml:space="preserve">Pelt Dressers, Tanners and Fell Mongers, Other</t>
  </si>
  <si>
    <t xml:space="preserve">7535.9900</t>
  </si>
  <si>
    <t xml:space="preserve">7441.90</t>
  </si>
  <si>
    <t xml:space="preserve">Vocational Guidance Officer/Career Counsellors</t>
  </si>
  <si>
    <t xml:space="preserve">2423.0100</t>
  </si>
  <si>
    <t xml:space="preserve">2412.40</t>
  </si>
  <si>
    <t xml:space="preserve">Counsellor</t>
  </si>
  <si>
    <t xml:space="preserve">2423.0200</t>
  </si>
  <si>
    <t xml:space="preserve">2412.50</t>
  </si>
  <si>
    <t xml:space="preserve">Occupational Analyst</t>
  </si>
  <si>
    <t xml:space="preserve">2423.0500</t>
  </si>
  <si>
    <t xml:space="preserve">2412.75</t>
  </si>
  <si>
    <t xml:space="preserve">Personal and Careers Professionals, Other</t>
  </si>
  <si>
    <t xml:space="preserve">2423.9900</t>
  </si>
  <si>
    <t xml:space="preserve">2412.90</t>
  </si>
  <si>
    <t xml:space="preserve">Associate – Recruitment</t>
  </si>
  <si>
    <t xml:space="preserve">2423.0101</t>
  </si>
  <si>
    <t xml:space="preserve">General Duty Assistant</t>
  </si>
  <si>
    <t xml:space="preserve">5329.0101</t>
  </si>
  <si>
    <t xml:space="preserve">Associate – HRO</t>
  </si>
  <si>
    <t xml:space="preserve">4416.0101</t>
  </si>
  <si>
    <t xml:space="preserve">Paraffin Plant Operator (Petrol Refining)</t>
  </si>
  <si>
    <t xml:space="preserve">3134.0600</t>
  </si>
  <si>
    <t xml:space="preserve">8155.60</t>
  </si>
  <si>
    <t xml:space="preserve">Pump Station Operator</t>
  </si>
  <si>
    <t xml:space="preserve">3134.0700</t>
  </si>
  <si>
    <t xml:space="preserve">8155.70</t>
  </si>
  <si>
    <t xml:space="preserve">Treating Plant Operator</t>
  </si>
  <si>
    <t xml:space="preserve">3134.0800</t>
  </si>
  <si>
    <t xml:space="preserve">8155.75</t>
  </si>
  <si>
    <t xml:space="preserve">Petroleum Refining Workers, Other</t>
  </si>
  <si>
    <t xml:space="preserve">3134.9900</t>
  </si>
  <si>
    <t xml:space="preserve">8155.90</t>
  </si>
  <si>
    <t xml:space="preserve">Continuous Still Operator, Petroleum</t>
  </si>
  <si>
    <t xml:space="preserve">3134.0100</t>
  </si>
  <si>
    <t xml:space="preserve">8155.10</t>
  </si>
  <si>
    <t xml:space="preserve">Still Man Gas Plant/Gas Plant Operator (Petrol Refining)</t>
  </si>
  <si>
    <t xml:space="preserve">3134.0200</t>
  </si>
  <si>
    <t xml:space="preserve">8155.20</t>
  </si>
  <si>
    <t xml:space="preserve">Pump Man (Petroleum Refining)</t>
  </si>
  <si>
    <t xml:space="preserve">3134.0300</t>
  </si>
  <si>
    <t xml:space="preserve">8155.30</t>
  </si>
  <si>
    <t xml:space="preserve">Control Man (Petroleum Refining)</t>
  </si>
  <si>
    <t xml:space="preserve">3134.0400</t>
  </si>
  <si>
    <t xml:space="preserve">8155.40</t>
  </si>
  <si>
    <t xml:space="preserve">Blender (Petroleum Refining)</t>
  </si>
  <si>
    <t xml:space="preserve">3134.0500</t>
  </si>
  <si>
    <t xml:space="preserve">8155.50</t>
  </si>
  <si>
    <t xml:space="preserve">Pharmacist</t>
  </si>
  <si>
    <t xml:space="preserve">3213.0100</t>
  </si>
  <si>
    <t xml:space="preserve">3228.10</t>
  </si>
  <si>
    <t xml:space="preserve">Pharmacy Assistant</t>
  </si>
  <si>
    <t xml:space="preserve">3213.0101</t>
  </si>
  <si>
    <t xml:space="preserve">Laboratory Assistant, Pharmaceutical</t>
  </si>
  <si>
    <t xml:space="preserve">3213.0200</t>
  </si>
  <si>
    <t xml:space="preserve">3228.20</t>
  </si>
  <si>
    <t xml:space="preserve">Pharmaceutical Assistants, Other</t>
  </si>
  <si>
    <t xml:space="preserve">3213.9900</t>
  </si>
  <si>
    <t xml:space="preserve">3228.90</t>
  </si>
  <si>
    <t xml:space="preserve">Chemist, Pharmaceuticals</t>
  </si>
  <si>
    <t xml:space="preserve">2262.0100</t>
  </si>
  <si>
    <t xml:space="preserve">2113.70</t>
  </si>
  <si>
    <t xml:space="preserve">2262.0101</t>
  </si>
  <si>
    <t xml:space="preserve">Historian</t>
  </si>
  <si>
    <t xml:space="preserve">2633.0100</t>
  </si>
  <si>
    <t xml:space="preserve">2443.10</t>
  </si>
  <si>
    <t xml:space="preserve">Biographer</t>
  </si>
  <si>
    <t xml:space="preserve">2633.0200</t>
  </si>
  <si>
    <t xml:space="preserve">2443.20</t>
  </si>
  <si>
    <t xml:space="preserve">Numismatist</t>
  </si>
  <si>
    <t xml:space="preserve">2633.0400</t>
  </si>
  <si>
    <t xml:space="preserve">2443.40</t>
  </si>
  <si>
    <t xml:space="preserve">Philatelist</t>
  </si>
  <si>
    <t xml:space="preserve">2633.0500</t>
  </si>
  <si>
    <t xml:space="preserve">2443.50</t>
  </si>
  <si>
    <t xml:space="preserve">Political Scientist</t>
  </si>
  <si>
    <t xml:space="preserve">2633.0600</t>
  </si>
  <si>
    <t xml:space="preserve">2443.60</t>
  </si>
  <si>
    <t xml:space="preserve">Philosophers, Historians and Political Scientists, Other</t>
  </si>
  <si>
    <t xml:space="preserve">2633.9900</t>
  </si>
  <si>
    <t xml:space="preserve">2443.90</t>
  </si>
  <si>
    <t xml:space="preserve">Epigraphist</t>
  </si>
  <si>
    <t xml:space="preserve">2633.0300</t>
  </si>
  <si>
    <t xml:space="preserve">2443.30</t>
  </si>
  <si>
    <t xml:space="preserve">Photographer, General</t>
  </si>
  <si>
    <t xml:space="preserve">3431.0100</t>
  </si>
  <si>
    <t xml:space="preserve">3131.25</t>
  </si>
  <si>
    <t xml:space="preserve">Photographer News</t>
  </si>
  <si>
    <t xml:space="preserve">3431.0200</t>
  </si>
  <si>
    <t xml:space="preserve">3131.30</t>
  </si>
  <si>
    <t xml:space="preserve">Photographer, Aerial</t>
  </si>
  <si>
    <t xml:space="preserve">3431.0300</t>
  </si>
  <si>
    <t xml:space="preserve">3131.35</t>
  </si>
  <si>
    <t xml:space="preserve">Photographers, Other</t>
  </si>
  <si>
    <t xml:space="preserve">3431.9900</t>
  </si>
  <si>
    <t xml:space="preserve">3131.90</t>
  </si>
  <si>
    <t xml:space="preserve">Photographic Dark Room Operatives</t>
  </si>
  <si>
    <t xml:space="preserve">8132.0600</t>
  </si>
  <si>
    <t xml:space="preserve">7344.50</t>
  </si>
  <si>
    <t xml:space="preserve">Printing Machine Operator, Photographic</t>
  </si>
  <si>
    <t xml:space="preserve">8132.0700</t>
  </si>
  <si>
    <t xml:space="preserve">8224.10</t>
  </si>
  <si>
    <t xml:space="preserve">Film Developing Machine Operator</t>
  </si>
  <si>
    <t xml:space="preserve">8132.0800</t>
  </si>
  <si>
    <t xml:space="preserve">8224.20</t>
  </si>
  <si>
    <t xml:space="preserve">Photographic Film and Papermaker</t>
  </si>
  <si>
    <t xml:space="preserve">8132.0900</t>
  </si>
  <si>
    <t xml:space="preserve">8224.30</t>
  </si>
  <si>
    <t xml:space="preserve">Linoleum Maker</t>
  </si>
  <si>
    <t xml:space="preserve">8132.1000</t>
  </si>
  <si>
    <t xml:space="preserve">8224.40</t>
  </si>
  <si>
    <t xml:space="preserve">Printer Photographic</t>
  </si>
  <si>
    <t xml:space="preserve">8132.0100</t>
  </si>
  <si>
    <t xml:space="preserve">7344.10</t>
  </si>
  <si>
    <t xml:space="preserve">Developer, Photographic</t>
  </si>
  <si>
    <t xml:space="preserve">8132.0200</t>
  </si>
  <si>
    <t xml:space="preserve">7344.20</t>
  </si>
  <si>
    <t xml:space="preserve">Developer, Automatic (Photofinishing)</t>
  </si>
  <si>
    <t xml:space="preserve">8132.0300</t>
  </si>
  <si>
    <t xml:space="preserve">7344.25</t>
  </si>
  <si>
    <t xml:space="preserve">Enlarger, Photographic</t>
  </si>
  <si>
    <t xml:space="preserve">8132.0400</t>
  </si>
  <si>
    <t xml:space="preserve">7344.30</t>
  </si>
  <si>
    <t xml:space="preserve">Retoucher, Photographic</t>
  </si>
  <si>
    <t xml:space="preserve">8132.0500</t>
  </si>
  <si>
    <t xml:space="preserve">7344.40</t>
  </si>
  <si>
    <t xml:space="preserve">Photographic Products Machine Operators, Other</t>
  </si>
  <si>
    <t xml:space="preserve">8132.9900</t>
  </si>
  <si>
    <t xml:space="preserve">8224.90</t>
  </si>
  <si>
    <t xml:space="preserve">Forensic Science Technician</t>
  </si>
  <si>
    <t xml:space="preserve">3119.0200</t>
  </si>
  <si>
    <t xml:space="preserve">3119.20</t>
  </si>
  <si>
    <t xml:space="preserve">Fingerprint Expert</t>
  </si>
  <si>
    <t xml:space="preserve">3119.0300</t>
  </si>
  <si>
    <t xml:space="preserve">3119.30</t>
  </si>
  <si>
    <t xml:space="preserve">Handwriting Expert</t>
  </si>
  <si>
    <t xml:space="preserve">3119.0400</t>
  </si>
  <si>
    <t xml:space="preserve">3119.35</t>
  </si>
  <si>
    <t xml:space="preserve">Impression Taker</t>
  </si>
  <si>
    <t xml:space="preserve">3119.0500</t>
  </si>
  <si>
    <t xml:space="preserve">3119.37</t>
  </si>
  <si>
    <t xml:space="preserve">Weather Observer</t>
  </si>
  <si>
    <t xml:space="preserve">3119.0600</t>
  </si>
  <si>
    <t xml:space="preserve">3119.40</t>
  </si>
  <si>
    <t xml:space="preserve">Methods, Time and Motion Study Technician</t>
  </si>
  <si>
    <t xml:space="preserve">3119.0700</t>
  </si>
  <si>
    <t xml:space="preserve">3119.50</t>
  </si>
  <si>
    <t xml:space="preserve">Fire Prevention Officer</t>
  </si>
  <si>
    <t xml:space="preserve">3119.0800</t>
  </si>
  <si>
    <t xml:space="preserve">3151.10</t>
  </si>
  <si>
    <t xml:space="preserve">Fire Officer</t>
  </si>
  <si>
    <t xml:space="preserve">3119.0900</t>
  </si>
  <si>
    <t xml:space="preserve">3151.20</t>
  </si>
  <si>
    <t xml:space="preserve">Fire Inspectors, Other</t>
  </si>
  <si>
    <t xml:space="preserve">3119.1000</t>
  </si>
  <si>
    <t xml:space="preserve">3151.90</t>
  </si>
  <si>
    <t xml:space="preserve">Laser Technician</t>
  </si>
  <si>
    <t xml:space="preserve">3119.1100</t>
  </si>
  <si>
    <t xml:space="preserve">3139.10</t>
  </si>
  <si>
    <t xml:space="preserve">Laboratory Assistant, Engineering</t>
  </si>
  <si>
    <t xml:space="preserve">3119.0100</t>
  </si>
  <si>
    <t xml:space="preserve">3119.10</t>
  </si>
  <si>
    <t xml:space="preserve">Optical and Electronic Equipment Controllers, Other</t>
  </si>
  <si>
    <t xml:space="preserve">3119.9900</t>
  </si>
  <si>
    <t xml:space="preserve">3139.90</t>
  </si>
  <si>
    <t xml:space="preserve">Physicist, General</t>
  </si>
  <si>
    <t xml:space="preserve">2111.0100</t>
  </si>
  <si>
    <t xml:space="preserve">2111.10</t>
  </si>
  <si>
    <t xml:space="preserve">Physicist, Mechanics</t>
  </si>
  <si>
    <t xml:space="preserve">2111.0200</t>
  </si>
  <si>
    <t xml:space="preserve">2111.15</t>
  </si>
  <si>
    <t xml:space="preserve">Physicist, Heat</t>
  </si>
  <si>
    <t xml:space="preserve">2111.0300</t>
  </si>
  <si>
    <t xml:space="preserve">2111.20</t>
  </si>
  <si>
    <t xml:space="preserve">Physicist, Light</t>
  </si>
  <si>
    <t xml:space="preserve">2111.0400</t>
  </si>
  <si>
    <t xml:space="preserve">2111.25</t>
  </si>
  <si>
    <t xml:space="preserve">Physicist, Electronics</t>
  </si>
  <si>
    <t xml:space="preserve">2111.0700</t>
  </si>
  <si>
    <t xml:space="preserve">2111.40</t>
  </si>
  <si>
    <t xml:space="preserve">Physicist, Nuclear</t>
  </si>
  <si>
    <t xml:space="preserve">2111.0800</t>
  </si>
  <si>
    <t xml:space="preserve">2111.50</t>
  </si>
  <si>
    <t xml:space="preserve">Astronomer</t>
  </si>
  <si>
    <t xml:space="preserve">2111.0900</t>
  </si>
  <si>
    <t xml:space="preserve">2111.60</t>
  </si>
  <si>
    <t xml:space="preserve">Metrologist</t>
  </si>
  <si>
    <t xml:space="preserve">2111.1000</t>
  </si>
  <si>
    <t xml:space="preserve">2119.10</t>
  </si>
  <si>
    <t xml:space="preserve">Material Scientist</t>
  </si>
  <si>
    <t xml:space="preserve">2111.1100</t>
  </si>
  <si>
    <t xml:space="preserve">2119.20</t>
  </si>
  <si>
    <t xml:space="preserve">Physicist, Sound</t>
  </si>
  <si>
    <t xml:space="preserve">2111.0500</t>
  </si>
  <si>
    <t xml:space="preserve">2111.30</t>
  </si>
  <si>
    <t xml:space="preserve">Physicist, Electricity and Magnetism</t>
  </si>
  <si>
    <t xml:space="preserve">2111.0600</t>
  </si>
  <si>
    <t xml:space="preserve">2111.35</t>
  </si>
  <si>
    <t xml:space="preserve">Physicists and Astronomers, Other</t>
  </si>
  <si>
    <t xml:space="preserve">2111.9900</t>
  </si>
  <si>
    <t xml:space="preserve">2111.90</t>
  </si>
  <si>
    <t xml:space="preserve">Physiotherapist</t>
  </si>
  <si>
    <t xml:space="preserve">2264.0100</t>
  </si>
  <si>
    <t xml:space="preserve">3226.10</t>
  </si>
  <si>
    <t xml:space="preserve">Occupational Therapist</t>
  </si>
  <si>
    <t xml:space="preserve">2264.0200</t>
  </si>
  <si>
    <t xml:space="preserve">3226.20</t>
  </si>
  <si>
    <t xml:space="preserve">Chiropodist</t>
  </si>
  <si>
    <t xml:space="preserve">2264.0300</t>
  </si>
  <si>
    <t xml:space="preserve">3226.30</t>
  </si>
  <si>
    <t xml:space="preserve">Masseur</t>
  </si>
  <si>
    <t xml:space="preserve">2264.0400</t>
  </si>
  <si>
    <t xml:space="preserve">3226.40</t>
  </si>
  <si>
    <t xml:space="preserve">Sports Masseur</t>
  </si>
  <si>
    <t xml:space="preserve">2264.0401</t>
  </si>
  <si>
    <t xml:space="preserve">Physiotherapists and Related Associate Professionals, Other</t>
  </si>
  <si>
    <t xml:space="preserve">2264.9900</t>
  </si>
  <si>
    <t xml:space="preserve">3226.90</t>
  </si>
  <si>
    <t xml:space="preserve">Assistant Physiotherapist</t>
  </si>
  <si>
    <t xml:space="preserve">3255.0101</t>
  </si>
  <si>
    <t xml:space="preserve">Plasterer</t>
  </si>
  <si>
    <t xml:space="preserve">7123.0100</t>
  </si>
  <si>
    <t xml:space="preserve">7133.10</t>
  </si>
  <si>
    <t xml:space="preserve">Plasterers, Other</t>
  </si>
  <si>
    <t xml:space="preserve">7123.9900</t>
  </si>
  <si>
    <t xml:space="preserve">7133.90</t>
  </si>
  <si>
    <t xml:space="preserve">8142.0100</t>
  </si>
  <si>
    <t xml:space="preserve">8232.10</t>
  </si>
  <si>
    <t xml:space="preserve">Laminating Press Operator (Plastic)</t>
  </si>
  <si>
    <t xml:space="preserve">8142.0200</t>
  </si>
  <si>
    <t xml:space="preserve">8232.15</t>
  </si>
  <si>
    <t xml:space="preserve">Extruding Machine Setter (Plastic)</t>
  </si>
  <si>
    <t xml:space="preserve">8142.0300</t>
  </si>
  <si>
    <t xml:space="preserve">8232.18</t>
  </si>
  <si>
    <t xml:space="preserve">Extruding Machine Operator (Plastic)</t>
  </si>
  <si>
    <t xml:space="preserve">8142.0400</t>
  </si>
  <si>
    <t xml:space="preserve">8232.20</t>
  </si>
  <si>
    <t xml:space="preserve">Injection Moulding Machine Operator (Plastic)</t>
  </si>
  <si>
    <t xml:space="preserve">8142.0501</t>
  </si>
  <si>
    <t xml:space="preserve">8232.25</t>
  </si>
  <si>
    <t xml:space="preserve">Moulding Operator</t>
  </si>
  <si>
    <t xml:space="preserve">8142.0502</t>
  </si>
  <si>
    <t xml:space="preserve">Encapsulation Operator</t>
  </si>
  <si>
    <t xml:space="preserve">8142.0503</t>
  </si>
  <si>
    <t xml:space="preserve">Compression Moulding Machine Operator (Plastic)</t>
  </si>
  <si>
    <t xml:space="preserve">8142.0600</t>
  </si>
  <si>
    <t xml:space="preserve">8232.30</t>
  </si>
  <si>
    <t xml:space="preserve">Bottle Blowing Machine Operator (Plastic)</t>
  </si>
  <si>
    <t xml:space="preserve">8142.0700</t>
  </si>
  <si>
    <t xml:space="preserve">8232.35</t>
  </si>
  <si>
    <t xml:space="preserve">Embossing Machine Operator (Plastic)</t>
  </si>
  <si>
    <t xml:space="preserve">8142.1000</t>
  </si>
  <si>
    <t xml:space="preserve">8232.50</t>
  </si>
  <si>
    <t xml:space="preserve">Printing Machine Operator (Plastic)</t>
  </si>
  <si>
    <t xml:space="preserve">8142.1100</t>
  </si>
  <si>
    <t xml:space="preserve">8232.60</t>
  </si>
  <si>
    <t xml:space="preserve">Button Maker</t>
  </si>
  <si>
    <t xml:space="preserve">8142.1200</t>
  </si>
  <si>
    <t xml:space="preserve">8232.62</t>
  </si>
  <si>
    <t xml:space="preserve">Mould Setter (Plastic)</t>
  </si>
  <si>
    <t xml:space="preserve">8142.1300</t>
  </si>
  <si>
    <t xml:space="preserve">8232.65</t>
  </si>
  <si>
    <t xml:space="preserve">Plastic Moulding Technician or Operator</t>
  </si>
  <si>
    <t xml:space="preserve">8142.1301</t>
  </si>
  <si>
    <t xml:space="preserve">Moulder, Hand (Plastic)</t>
  </si>
  <si>
    <t xml:space="preserve">8142.1400</t>
  </si>
  <si>
    <t xml:space="preserve">8232.70</t>
  </si>
  <si>
    <t xml:space="preserve">Cementer (Plastic)</t>
  </si>
  <si>
    <t xml:space="preserve">8142.1500</t>
  </si>
  <si>
    <t xml:space="preserve">8232.75</t>
  </si>
  <si>
    <t xml:space="preserve">Plastic Fabricator</t>
  </si>
  <si>
    <t xml:space="preserve">8142.1600</t>
  </si>
  <si>
    <t xml:space="preserve">8232.80</t>
  </si>
  <si>
    <t xml:space="preserve">Plastic Products Making Operatives, Other</t>
  </si>
  <si>
    <t xml:space="preserve">8142.9900</t>
  </si>
  <si>
    <t xml:space="preserve">8232.90</t>
  </si>
  <si>
    <t xml:space="preserve">Vacuum Plastic Forming Machine Operator</t>
  </si>
  <si>
    <t xml:space="preserve">8142.0800</t>
  </si>
  <si>
    <t xml:space="preserve">8232.40</t>
  </si>
  <si>
    <t xml:space="preserve">Embossing Machine Setter (Plastic)</t>
  </si>
  <si>
    <t xml:space="preserve">8142.0900</t>
  </si>
  <si>
    <t xml:space="preserve">8232.45</t>
  </si>
  <si>
    <t xml:space="preserve">Plumber, General</t>
  </si>
  <si>
    <t xml:space="preserve">7126.0101</t>
  </si>
  <si>
    <t xml:space="preserve">7136.10</t>
  </si>
  <si>
    <t xml:space="preserve">Plumber, Operations</t>
  </si>
  <si>
    <t xml:space="preserve">7126.0102</t>
  </si>
  <si>
    <t xml:space="preserve">Plumber, General Helper</t>
  </si>
  <si>
    <t xml:space="preserve">7126.0104</t>
  </si>
  <si>
    <t xml:space="preserve">Plumber, General Assistant</t>
  </si>
  <si>
    <t xml:space="preserve">7126.0105</t>
  </si>
  <si>
    <t xml:space="preserve">Plumber, Maintenance and Servicing Assistant</t>
  </si>
  <si>
    <t xml:space="preserve">7126.0106</t>
  </si>
  <si>
    <t xml:space="preserve">Plumber, Maintenance and Servicing</t>
  </si>
  <si>
    <t xml:space="preserve">7126.0107</t>
  </si>
  <si>
    <t xml:space="preserve">Pipe Layer/Plumber Pipeline</t>
  </si>
  <si>
    <t xml:space="preserve">7126.0201</t>
  </si>
  <si>
    <t xml:space="preserve">7136.20</t>
  </si>
  <si>
    <t xml:space="preserve">Pipe Fitter</t>
  </si>
  <si>
    <t xml:space="preserve">7126.0301</t>
  </si>
  <si>
    <t xml:space="preserve">7136.30</t>
  </si>
  <si>
    <t xml:space="preserve">Straightening Machine Operator (Iron &amp; Steel)</t>
  </si>
  <si>
    <t xml:space="preserve">7126.0400</t>
  </si>
  <si>
    <t xml:space="preserve">7136.40</t>
  </si>
  <si>
    <t xml:space="preserve">Puncher, Metal</t>
  </si>
  <si>
    <t xml:space="preserve">7126.0500</t>
  </si>
  <si>
    <t xml:space="preserve">7136.50</t>
  </si>
  <si>
    <t xml:space="preserve">Pneumatic Chipper</t>
  </si>
  <si>
    <t xml:space="preserve">7126.0600</t>
  </si>
  <si>
    <t xml:space="preserve">7136.60</t>
  </si>
  <si>
    <t xml:space="preserve">Plumbers and Pipe Fitters, Other</t>
  </si>
  <si>
    <t xml:space="preserve">7126.9900</t>
  </si>
  <si>
    <t xml:space="preserve">7136.90</t>
  </si>
  <si>
    <t xml:space="preserve">Plumber, General – Installation and Repair</t>
  </si>
  <si>
    <t xml:space="preserve">7126.0103</t>
  </si>
  <si>
    <t xml:space="preserve">Police Inspectors and Detectives, Other</t>
  </si>
  <si>
    <t xml:space="preserve">3355.9900</t>
  </si>
  <si>
    <t xml:space="preserve">3450.90</t>
  </si>
  <si>
    <t xml:space="preserve">Inspector, Police</t>
  </si>
  <si>
    <t xml:space="preserve">3355.0100</t>
  </si>
  <si>
    <t xml:space="preserve">3450.10</t>
  </si>
  <si>
    <t xml:space="preserve">Sub-Inspector, Police</t>
  </si>
  <si>
    <t xml:space="preserve">3355.0200</t>
  </si>
  <si>
    <t xml:space="preserve">3450.20</t>
  </si>
  <si>
    <t xml:space="preserve">Detective</t>
  </si>
  <si>
    <t xml:space="preserve">3355.0300</t>
  </si>
  <si>
    <t xml:space="preserve">3450.30</t>
  </si>
  <si>
    <t xml:space="preserve">Police Constable</t>
  </si>
  <si>
    <t xml:space="preserve">5412.0100</t>
  </si>
  <si>
    <t xml:space="preserve">5162.10</t>
  </si>
  <si>
    <t xml:space="preserve">Sepoy, Customs</t>
  </si>
  <si>
    <t xml:space="preserve">5412.0200</t>
  </si>
  <si>
    <t xml:space="preserve">5162.20</t>
  </si>
  <si>
    <t xml:space="preserve">Constable, Excise</t>
  </si>
  <si>
    <t xml:space="preserve">5412.0300</t>
  </si>
  <si>
    <t xml:space="preserve">5162.30</t>
  </si>
  <si>
    <t xml:space="preserve">Police Officers, Other</t>
  </si>
  <si>
    <t xml:space="preserve">5412.9900</t>
  </si>
  <si>
    <t xml:space="preserve">5162.90</t>
  </si>
  <si>
    <t xml:space="preserve">Manager, Automotive Service</t>
  </si>
  <si>
    <t xml:space="preserve">1213.0100</t>
  </si>
  <si>
    <t xml:space="preserve">1239.10</t>
  </si>
  <si>
    <t xml:space="preserve">Quality Assurance Standards In-Charge</t>
  </si>
  <si>
    <t xml:space="preserve">1213.0101</t>
  </si>
  <si>
    <t xml:space="preserve">Manager, Automotive Service Station</t>
  </si>
  <si>
    <t xml:space="preserve">1213.0200</t>
  </si>
  <si>
    <t xml:space="preserve">1239.20</t>
  </si>
  <si>
    <t xml:space="preserve">Area Service Manager</t>
  </si>
  <si>
    <t xml:space="preserve">1213.0201</t>
  </si>
  <si>
    <t xml:space="preserve">Territory Service Manager</t>
  </si>
  <si>
    <t xml:space="preserve">1213.0202</t>
  </si>
  <si>
    <t xml:space="preserve">Managers, Other Services</t>
  </si>
  <si>
    <t xml:space="preserve">1213.9900</t>
  </si>
  <si>
    <t xml:space="preserve">1239.90</t>
  </si>
  <si>
    <t xml:space="preserve">Manager – Customer Quality</t>
  </si>
  <si>
    <t xml:space="preserve">1213.0102</t>
  </si>
  <si>
    <t xml:space="preserve">Mould Maker, Pottery and Porcelain</t>
  </si>
  <si>
    <t xml:space="preserve">7314.0100</t>
  </si>
  <si>
    <t xml:space="preserve">7321.10</t>
  </si>
  <si>
    <t xml:space="preserve">Caster, Pottery and Porcelain</t>
  </si>
  <si>
    <t xml:space="preserve">7314.0200</t>
  </si>
  <si>
    <t xml:space="preserve">7321.15</t>
  </si>
  <si>
    <t xml:space="preserve">Clay Toy Maker/Hand Moulder</t>
  </si>
  <si>
    <t xml:space="preserve">7314.0300</t>
  </si>
  <si>
    <t xml:space="preserve">7321.20</t>
  </si>
  <si>
    <t xml:space="preserve">Moulder, Hand (Ceramics)</t>
  </si>
  <si>
    <t xml:space="preserve">7314.0400</t>
  </si>
  <si>
    <t xml:space="preserve">7321.25</t>
  </si>
  <si>
    <t xml:space="preserve">Checker (Ceramics)</t>
  </si>
  <si>
    <t xml:space="preserve">7314.1200</t>
  </si>
  <si>
    <t xml:space="preserve">7329.35</t>
  </si>
  <si>
    <t xml:space="preserve">Sorter, Brick and Tile</t>
  </si>
  <si>
    <t xml:space="preserve">7314.1300</t>
  </si>
  <si>
    <t xml:space="preserve">7329.40</t>
  </si>
  <si>
    <t xml:space="preserve">Abrasive Wheel Formers, Potters and Related Workers, Other</t>
  </si>
  <si>
    <t xml:space="preserve">7314.9900</t>
  </si>
  <si>
    <t xml:space="preserve">7321.90</t>
  </si>
  <si>
    <t xml:space="preserve">Maker (Pottery and Porcelain)/Jigger and Jolly Operator</t>
  </si>
  <si>
    <t xml:space="preserve">7314.0500</t>
  </si>
  <si>
    <t xml:space="preserve">7321.30</t>
  </si>
  <si>
    <t xml:space="preserve">Turner Pottery and Porcelain</t>
  </si>
  <si>
    <t xml:space="preserve">7314.0600</t>
  </si>
  <si>
    <t xml:space="preserve">7321.35</t>
  </si>
  <si>
    <t xml:space="preserve">Bricks and Tile Moulder, Hand</t>
  </si>
  <si>
    <t xml:space="preserve">7314.0700</t>
  </si>
  <si>
    <t xml:space="preserve">7321.40</t>
  </si>
  <si>
    <t xml:space="preserve">Abrasive Wheel Moulder</t>
  </si>
  <si>
    <t xml:space="preserve">7314.0800</t>
  </si>
  <si>
    <t xml:space="preserve">7321.50</t>
  </si>
  <si>
    <t xml:space="preserve">Potter (Pottery and Porcelain)/Potter's Wheel Operator</t>
  </si>
  <si>
    <t xml:space="preserve">7314.0900</t>
  </si>
  <si>
    <t xml:space="preserve">7321.60</t>
  </si>
  <si>
    <t xml:space="preserve">Granulator Attendant (Cement)</t>
  </si>
  <si>
    <t xml:space="preserve">7314.1000</t>
  </si>
  <si>
    <t xml:space="preserve">7329.20</t>
  </si>
  <si>
    <t xml:space="preserve">Clay Maker (Pottery)</t>
  </si>
  <si>
    <t xml:space="preserve">7314.1100</t>
  </si>
  <si>
    <t xml:space="preserve">7329.25</t>
  </si>
  <si>
    <t xml:space="preserve">Farmer, Poultry/Broiler Farm Supervisor</t>
  </si>
  <si>
    <t xml:space="preserve">6122.0101</t>
  </si>
  <si>
    <t xml:space="preserve">6122.10</t>
  </si>
  <si>
    <t xml:space="preserve">Farmer, Poultry Breeding</t>
  </si>
  <si>
    <t xml:space="preserve">6122.0200</t>
  </si>
  <si>
    <t xml:space="preserve">6122.20</t>
  </si>
  <si>
    <t xml:space="preserve">Poultry Farm Worker, General/Broiler Farm Worker</t>
  </si>
  <si>
    <t xml:space="preserve">6122.0301</t>
  </si>
  <si>
    <t xml:space="preserve">6122.30</t>
  </si>
  <si>
    <t xml:space="preserve">Hatchery Operator/Hatchery In-Charge</t>
  </si>
  <si>
    <t xml:space="preserve">6122.0401</t>
  </si>
  <si>
    <t xml:space="preserve">6122.40</t>
  </si>
  <si>
    <t xml:space="preserve">Poultry Farm Workers, Other</t>
  </si>
  <si>
    <t xml:space="preserve">6122.9900</t>
  </si>
  <si>
    <t xml:space="preserve">6122.90</t>
  </si>
  <si>
    <t xml:space="preserve">Stationary Engine Driver, Steam</t>
  </si>
  <si>
    <t xml:space="preserve">3131.0100</t>
  </si>
  <si>
    <t xml:space="preserve">8161.10</t>
  </si>
  <si>
    <t xml:space="preserve">Stationary Engine Driver, Internal Combustion</t>
  </si>
  <si>
    <t xml:space="preserve">3131.0200</t>
  </si>
  <si>
    <t xml:space="preserve">8161.20</t>
  </si>
  <si>
    <t xml:space="preserve">Turbine Operator, Steam</t>
  </si>
  <si>
    <t xml:space="preserve">3131.0300</t>
  </si>
  <si>
    <t xml:space="preserve">8161.30</t>
  </si>
  <si>
    <t xml:space="preserve">Turbine Operator, Hydel</t>
  </si>
  <si>
    <t xml:space="preserve">3131.0400</t>
  </si>
  <si>
    <t xml:space="preserve">8161.40</t>
  </si>
  <si>
    <t xml:space="preserve">Power Plant Operator</t>
  </si>
  <si>
    <t xml:space="preserve">3131.0500</t>
  </si>
  <si>
    <t xml:space="preserve">8161.45</t>
  </si>
  <si>
    <t xml:space="preserve">Electrical Switch Board Operator</t>
  </si>
  <si>
    <t xml:space="preserve">3131.0600</t>
  </si>
  <si>
    <t xml:space="preserve">8161.50</t>
  </si>
  <si>
    <t xml:space="preserve">Oiler and Greaser, Stationary Engine and Machinery</t>
  </si>
  <si>
    <t xml:space="preserve">3131.0700</t>
  </si>
  <si>
    <t xml:space="preserve">8161.60</t>
  </si>
  <si>
    <t xml:space="preserve">Nuclear Plant Control Operator</t>
  </si>
  <si>
    <t xml:space="preserve">3131.0800</t>
  </si>
  <si>
    <t xml:space="preserve">8161.65</t>
  </si>
  <si>
    <t xml:space="preserve">Breaker Tender</t>
  </si>
  <si>
    <t xml:space="preserve">3131.0900</t>
  </si>
  <si>
    <t xml:space="preserve">8161.70</t>
  </si>
  <si>
    <t xml:space="preserve">Hopper Attendant/Hopper Machine Operator</t>
  </si>
  <si>
    <t xml:space="preserve">3131.1000</t>
  </si>
  <si>
    <t xml:space="preserve">8161.72</t>
  </si>
  <si>
    <t xml:space="preserve">Load Dispatcher</t>
  </si>
  <si>
    <t xml:space="preserve">3131.1100</t>
  </si>
  <si>
    <t xml:space="preserve">8161.80</t>
  </si>
  <si>
    <t xml:space="preserve">Power Production Plant Operators, Other</t>
  </si>
  <si>
    <t xml:space="preserve">3131.9900</t>
  </si>
  <si>
    <t xml:space="preserve">Compositor, Hand</t>
  </si>
  <si>
    <t xml:space="preserve">7321.0100</t>
  </si>
  <si>
    <t xml:space="preserve">7341.15</t>
  </si>
  <si>
    <t xml:space="preserve">Impositor</t>
  </si>
  <si>
    <t xml:space="preserve">7321.0200</t>
  </si>
  <si>
    <t xml:space="preserve">7341.20</t>
  </si>
  <si>
    <t xml:space="preserve">Distributor (Letter Press)</t>
  </si>
  <si>
    <t xml:space="preserve">7321.0300</t>
  </si>
  <si>
    <t xml:space="preserve">7341.25</t>
  </si>
  <si>
    <t xml:space="preserve">Composing Room Operatives</t>
  </si>
  <si>
    <t xml:space="preserve">7321.0400</t>
  </si>
  <si>
    <t xml:space="preserve">7341.30</t>
  </si>
  <si>
    <t xml:space="preserve">Stereo Matrix Moulder</t>
  </si>
  <si>
    <t xml:space="preserve">7321.0500</t>
  </si>
  <si>
    <t xml:space="preserve">7342.10</t>
  </si>
  <si>
    <t xml:space="preserve">Stereotype Caster</t>
  </si>
  <si>
    <t xml:space="preserve">7321.0600</t>
  </si>
  <si>
    <t xml:space="preserve">7342.20</t>
  </si>
  <si>
    <t xml:space="preserve">Electrotyper</t>
  </si>
  <si>
    <t xml:space="preserve">7321.0700</t>
  </si>
  <si>
    <t xml:space="preserve">7342.30</t>
  </si>
  <si>
    <t xml:space="preserve">Lithographic Artist</t>
  </si>
  <si>
    <t xml:space="preserve">7321.0800</t>
  </si>
  <si>
    <t xml:space="preserve">7343.10</t>
  </si>
  <si>
    <t xml:space="preserve">Circuit Imaging Operator</t>
  </si>
  <si>
    <t xml:space="preserve">7321.0801</t>
  </si>
  <si>
    <t xml:space="preserve">Photostat Camera Operator/Photocopier Operator</t>
  </si>
  <si>
    <t xml:space="preserve">7321.1400</t>
  </si>
  <si>
    <t xml:space="preserve">7343.40</t>
  </si>
  <si>
    <t xml:space="preserve">Transferor, Photomechanical</t>
  </si>
  <si>
    <t xml:space="preserve">7321.1500</t>
  </si>
  <si>
    <t xml:space="preserve">7343.45</t>
  </si>
  <si>
    <t xml:space="preserve">Retoucher, Lithographic</t>
  </si>
  <si>
    <t xml:space="preserve">7321.0900</t>
  </si>
  <si>
    <t xml:space="preserve">7343.15</t>
  </si>
  <si>
    <t xml:space="preserve">Mounter/Mounting Machine Operator/CNC Mounting Machine Operator</t>
  </si>
  <si>
    <t xml:space="preserve">7321.1000</t>
  </si>
  <si>
    <t xml:space="preserve">7343.20</t>
  </si>
  <si>
    <t xml:space="preserve">Cameraman, Photomechanical</t>
  </si>
  <si>
    <t xml:space="preserve">7321.1200</t>
  </si>
  <si>
    <t xml:space="preserve">7343.30</t>
  </si>
  <si>
    <t xml:space="preserve">Microstat Cameraman</t>
  </si>
  <si>
    <t xml:space="preserve">7321.1300</t>
  </si>
  <si>
    <t xml:space="preserve">7343.35</t>
  </si>
  <si>
    <t xml:space="preserve">Etcher Photo Engraving</t>
  </si>
  <si>
    <t xml:space="preserve">7321.1600</t>
  </si>
  <si>
    <t xml:space="preserve">7343.50</t>
  </si>
  <si>
    <t xml:space="preserve">Barman, Lino Machine</t>
  </si>
  <si>
    <t xml:space="preserve">7321.1700</t>
  </si>
  <si>
    <t xml:space="preserve">7343.60</t>
  </si>
  <si>
    <t xml:space="preserve">Pre-Press Technicians, Others</t>
  </si>
  <si>
    <t xml:space="preserve">7321.9900</t>
  </si>
  <si>
    <t xml:space="preserve">7343.90</t>
  </si>
  <si>
    <t xml:space="preserve">Circuit Imaging Operator – Photo Imaging</t>
  </si>
  <si>
    <t xml:space="preserve">7321.0802</t>
  </si>
  <si>
    <t xml:space="preserve">Technician Instrumentation</t>
  </si>
  <si>
    <t xml:space="preserve">7311.0101</t>
  </si>
  <si>
    <t xml:space="preserve">Watch Repairer</t>
  </si>
  <si>
    <t xml:space="preserve">7311.0200</t>
  </si>
  <si>
    <t xml:space="preserve">7311.20</t>
  </si>
  <si>
    <t xml:space="preserve">Assembler (Clock &amp; Watch)</t>
  </si>
  <si>
    <t xml:space="preserve">7311.0300</t>
  </si>
  <si>
    <t xml:space="preserve">7311.25</t>
  </si>
  <si>
    <t xml:space="preserve">Mechanic Precision Instrument, Mechanical</t>
  </si>
  <si>
    <t xml:space="preserve">7311.0400</t>
  </si>
  <si>
    <t xml:space="preserve">7311.30</t>
  </si>
  <si>
    <t xml:space="preserve">Fitter Instrumentation</t>
  </si>
  <si>
    <t xml:space="preserve">7311.0401</t>
  </si>
  <si>
    <t xml:space="preserve">Viewer, Workshop</t>
  </si>
  <si>
    <t xml:space="preserve">7311.0500</t>
  </si>
  <si>
    <t xml:space="preserve">7311.35</t>
  </si>
  <si>
    <t xml:space="preserve">Mechanic, Atomizer and Fuel Pump (Diesel)</t>
  </si>
  <si>
    <t xml:space="preserve">7311.0600</t>
  </si>
  <si>
    <t xml:space="preserve">7311.40</t>
  </si>
  <si>
    <t xml:space="preserve">Mechanic, Optical Instrument</t>
  </si>
  <si>
    <t xml:space="preserve">7311.0800</t>
  </si>
  <si>
    <t xml:space="preserve">7311.60</t>
  </si>
  <si>
    <t xml:space="preserve">Calibrator, Glass</t>
  </si>
  <si>
    <t xml:space="preserve">7311.0900</t>
  </si>
  <si>
    <t xml:space="preserve">7311.65</t>
  </si>
  <si>
    <t xml:space="preserve">Calibrator (Instrument &amp; Apparatus)</t>
  </si>
  <si>
    <t xml:space="preserve">7311.1000</t>
  </si>
  <si>
    <t xml:space="preserve">7311.67</t>
  </si>
  <si>
    <t xml:space="preserve">Mechanic Precision Instrument, General</t>
  </si>
  <si>
    <t xml:space="preserve">7311.0100</t>
  </si>
  <si>
    <t xml:space="preserve">7311.10</t>
  </si>
  <si>
    <t xml:space="preserve">Calibration Technician</t>
  </si>
  <si>
    <t xml:space="preserve">7311.1001</t>
  </si>
  <si>
    <t xml:space="preserve">Calibration Engineer</t>
  </si>
  <si>
    <t xml:space="preserve">7311.1002</t>
  </si>
  <si>
    <t xml:space="preserve">Calibrator, Other</t>
  </si>
  <si>
    <t xml:space="preserve">7311.1100</t>
  </si>
  <si>
    <t xml:space="preserve">7311.70</t>
  </si>
  <si>
    <t xml:space="preserve">Orthopaedic Appliances and Limb Technician</t>
  </si>
  <si>
    <t xml:space="preserve">7311.1200</t>
  </si>
  <si>
    <t xml:space="preserve">7311.75</t>
  </si>
  <si>
    <t xml:space="preserve">Instrument Maker, Other</t>
  </si>
  <si>
    <t xml:space="preserve">7311.1400</t>
  </si>
  <si>
    <t xml:space="preserve">7311.85</t>
  </si>
  <si>
    <t xml:space="preserve">Precision Instrument Makers and Repairers, Other</t>
  </si>
  <si>
    <t xml:space="preserve">7311.9900</t>
  </si>
  <si>
    <t xml:space="preserve">7311.90</t>
  </si>
  <si>
    <t xml:space="preserve">Middle School Teacher</t>
  </si>
  <si>
    <t xml:space="preserve">2341.0100</t>
  </si>
  <si>
    <t xml:space="preserve">3311.10</t>
  </si>
  <si>
    <t xml:space="preserve">Language Teacher, Middle School</t>
  </si>
  <si>
    <t xml:space="preserve">2341.0200</t>
  </si>
  <si>
    <t xml:space="preserve">3311.20</t>
  </si>
  <si>
    <t xml:space="preserve">Primary School Teacher</t>
  </si>
  <si>
    <t xml:space="preserve">2341.0400</t>
  </si>
  <si>
    <t xml:space="preserve">3312.10</t>
  </si>
  <si>
    <t xml:space="preserve">Primary School Teachers, Other</t>
  </si>
  <si>
    <t xml:space="preserve">2341.9900</t>
  </si>
  <si>
    <t xml:space="preserve">3312.90</t>
  </si>
  <si>
    <t xml:space="preserve">Book Binder</t>
  </si>
  <si>
    <t xml:space="preserve">7323.0100</t>
  </si>
  <si>
    <t xml:space="preserve">7345.10</t>
  </si>
  <si>
    <t xml:space="preserve">Map and Chart Mounter</t>
  </si>
  <si>
    <t xml:space="preserve">7323.0200</t>
  </si>
  <si>
    <t xml:space="preserve">7345.20</t>
  </si>
  <si>
    <t xml:space="preserve">Book Mender</t>
  </si>
  <si>
    <t xml:space="preserve">7323.0300</t>
  </si>
  <si>
    <t xml:space="preserve">7345.30</t>
  </si>
  <si>
    <t xml:space="preserve">Book Binding Worker</t>
  </si>
  <si>
    <t xml:space="preserve">7323.0400</t>
  </si>
  <si>
    <t xml:space="preserve">7345.40</t>
  </si>
  <si>
    <t xml:space="preserve">Book Binders and Related Workers, Other</t>
  </si>
  <si>
    <t xml:space="preserve">7323.9900</t>
  </si>
  <si>
    <t xml:space="preserve">7345.90</t>
  </si>
  <si>
    <t xml:space="preserve">Photo Type Setting Machine Operator</t>
  </si>
  <si>
    <t xml:space="preserve">7322.0700</t>
  </si>
  <si>
    <t xml:space="preserve">7341.60</t>
  </si>
  <si>
    <t xml:space="preserve">Type Dresser</t>
  </si>
  <si>
    <t xml:space="preserve">7322.0800</t>
  </si>
  <si>
    <t xml:space="preserve">7341.65</t>
  </si>
  <si>
    <t xml:space="preserve">Roller Maker, Paper Printing</t>
  </si>
  <si>
    <t xml:space="preserve">7322.0900</t>
  </si>
  <si>
    <t xml:space="preserve">7341.70</t>
  </si>
  <si>
    <t xml:space="preserve">Stencil Cutter, Silk Screen Printing</t>
  </si>
  <si>
    <t xml:space="preserve">7322.1100</t>
  </si>
  <si>
    <t xml:space="preserve">7346.10</t>
  </si>
  <si>
    <t xml:space="preserve">Lino Operator</t>
  </si>
  <si>
    <t xml:space="preserve">7322.0200</t>
  </si>
  <si>
    <t xml:space="preserve">7341.35</t>
  </si>
  <si>
    <t xml:space="preserve">Mono Operator</t>
  </si>
  <si>
    <t xml:space="preserve">7322.0300</t>
  </si>
  <si>
    <t xml:space="preserve">7341.40</t>
  </si>
  <si>
    <t xml:space="preserve">Mono Caster</t>
  </si>
  <si>
    <t xml:space="preserve">7322.0400</t>
  </si>
  <si>
    <t xml:space="preserve">7341.45</t>
  </si>
  <si>
    <t xml:space="preserve">Type Caster</t>
  </si>
  <si>
    <t xml:space="preserve">7322.0500</t>
  </si>
  <si>
    <t xml:space="preserve">7341.50</t>
  </si>
  <si>
    <t xml:space="preserve">Maker-Up, Photo Type Setting</t>
  </si>
  <si>
    <t xml:space="preserve">7322.0600</t>
  </si>
  <si>
    <t xml:space="preserve">7341.55</t>
  </si>
  <si>
    <t xml:space="preserve">Machineman, Automatic Printing</t>
  </si>
  <si>
    <t xml:space="preserve">7322.1900</t>
  </si>
  <si>
    <t xml:space="preserve">8251.30</t>
  </si>
  <si>
    <t xml:space="preserve">Machineman, Rotary Printing</t>
  </si>
  <si>
    <t xml:space="preserve">7322.2000</t>
  </si>
  <si>
    <t xml:space="preserve">8251.40</t>
  </si>
  <si>
    <t xml:space="preserve">Machineman, Offset Printing</t>
  </si>
  <si>
    <t xml:space="preserve">7322.2100</t>
  </si>
  <si>
    <t xml:space="preserve">8251.45</t>
  </si>
  <si>
    <t xml:space="preserve">Machineman, Direct Lithographic Printing</t>
  </si>
  <si>
    <t xml:space="preserve">7322.2200</t>
  </si>
  <si>
    <t xml:space="preserve">8251.50</t>
  </si>
  <si>
    <t xml:space="preserve">Silk Screen Printer</t>
  </si>
  <si>
    <t xml:space="preserve">7322.1200</t>
  </si>
  <si>
    <t xml:space="preserve">7346.20</t>
  </si>
  <si>
    <t xml:space="preserve">Pressman, Roto Gravure</t>
  </si>
  <si>
    <t xml:space="preserve">7322.2300</t>
  </si>
  <si>
    <t xml:space="preserve">8251.60</t>
  </si>
  <si>
    <t xml:space="preserve">Printing Jobber</t>
  </si>
  <si>
    <t xml:space="preserve">7322.1300</t>
  </si>
  <si>
    <t xml:space="preserve">7346.30</t>
  </si>
  <si>
    <t xml:space="preserve">Colour Maker (Textile Product)</t>
  </si>
  <si>
    <t xml:space="preserve">7322.1400</t>
  </si>
  <si>
    <t xml:space="preserve">7346.40</t>
  </si>
  <si>
    <t xml:space="preserve">Precision Printing Worker</t>
  </si>
  <si>
    <t xml:space="preserve">7322.1500</t>
  </si>
  <si>
    <t xml:space="preserve">7346.50</t>
  </si>
  <si>
    <t xml:space="preserve">Frontman</t>
  </si>
  <si>
    <t xml:space="preserve">7322.1600</t>
  </si>
  <si>
    <t xml:space="preserve">7346.60</t>
  </si>
  <si>
    <t xml:space="preserve">Pressman (Flatbed, Letter Press)</t>
  </si>
  <si>
    <t xml:space="preserve">7322.1700</t>
  </si>
  <si>
    <t xml:space="preserve">8251.10</t>
  </si>
  <si>
    <t xml:space="preserve">Machineman, Hand Printing</t>
  </si>
  <si>
    <t xml:space="preserve">7322.1800</t>
  </si>
  <si>
    <t xml:space="preserve">8251.20</t>
  </si>
  <si>
    <t xml:space="preserve">Printers, Others</t>
  </si>
  <si>
    <t xml:space="preserve">7322.9900</t>
  </si>
  <si>
    <t xml:space="preserve">8251.90</t>
  </si>
  <si>
    <t xml:space="preserve">Braille – Duplicating Machine Operator (Printing &amp; Publishing)</t>
  </si>
  <si>
    <t xml:space="preserve">7322.1000</t>
  </si>
  <si>
    <t xml:space="preserve">7341.80</t>
  </si>
  <si>
    <t xml:space="preserve">Prison Guards, Other</t>
  </si>
  <si>
    <t xml:space="preserve">5413.9900</t>
  </si>
  <si>
    <t xml:space="preserve">5163.90</t>
  </si>
  <si>
    <t xml:space="preserve">Warder, Jail</t>
  </si>
  <si>
    <t xml:space="preserve">5413.0100</t>
  </si>
  <si>
    <t xml:space="preserve">5163.10</t>
  </si>
  <si>
    <t xml:space="preserve">Machineman, Paper, Wet End</t>
  </si>
  <si>
    <t xml:space="preserve">3139.0300</t>
  </si>
  <si>
    <t xml:space="preserve">8143.15</t>
  </si>
  <si>
    <t xml:space="preserve">Machineman, Paper, Dry End</t>
  </si>
  <si>
    <t xml:space="preserve">3139.0400</t>
  </si>
  <si>
    <t xml:space="preserve">8143.25</t>
  </si>
  <si>
    <t xml:space="preserve">Digester Operator, Paper Pulp</t>
  </si>
  <si>
    <t xml:space="preserve">3139.0100</t>
  </si>
  <si>
    <t xml:space="preserve">8142.20</t>
  </si>
  <si>
    <t xml:space="preserve">Beaterman, Paper Pulp</t>
  </si>
  <si>
    <t xml:space="preserve">3139.0200</t>
  </si>
  <si>
    <t xml:space="preserve">8142.55</t>
  </si>
  <si>
    <t xml:space="preserve">Calenderman, Paper</t>
  </si>
  <si>
    <t xml:space="preserve">3139.0500</t>
  </si>
  <si>
    <t xml:space="preserve">8143.65</t>
  </si>
  <si>
    <t xml:space="preserve">Robotic Machine Operator</t>
  </si>
  <si>
    <t xml:space="preserve">3139.1400</t>
  </si>
  <si>
    <t xml:space="preserve">8172.10</t>
  </si>
  <si>
    <t xml:space="preserve">Autocomponent Assembly Fitter</t>
  </si>
  <si>
    <t xml:space="preserve">3139.1501</t>
  </si>
  <si>
    <t xml:space="preserve">Assembly Supervisor</t>
  </si>
  <si>
    <t xml:space="preserve">3139.2001</t>
  </si>
  <si>
    <t xml:space="preserve">Quality Control Inspector</t>
  </si>
  <si>
    <t xml:space="preserve">3139.5001</t>
  </si>
  <si>
    <t xml:space="preserve">Quality Controller</t>
  </si>
  <si>
    <t xml:space="preserve">3139.5002</t>
  </si>
  <si>
    <t xml:space="preserve">Industrial Robot Operators, Other</t>
  </si>
  <si>
    <t xml:space="preserve">3139.9900</t>
  </si>
  <si>
    <t xml:space="preserve">8172.90</t>
  </si>
  <si>
    <t xml:space="preserve">Package Designer/Packaging Designer</t>
  </si>
  <si>
    <t xml:space="preserve">2163.0100</t>
  </si>
  <si>
    <t xml:space="preserve">3471.80</t>
  </si>
  <si>
    <t xml:space="preserve">Design Merchandiser</t>
  </si>
  <si>
    <t xml:space="preserve">2163.0201</t>
  </si>
  <si>
    <t xml:space="preserve">Hand Sketch Designer (Basic)</t>
  </si>
  <si>
    <t xml:space="preserve">2163.0301</t>
  </si>
  <si>
    <t xml:space="preserve">Furniture Designer</t>
  </si>
  <si>
    <t xml:space="preserve">2163.0400</t>
  </si>
  <si>
    <t xml:space="preserve">3471.20</t>
  </si>
  <si>
    <t xml:space="preserve">Fashion Designer</t>
  </si>
  <si>
    <t xml:space="preserve">2163.0500</t>
  </si>
  <si>
    <t xml:space="preserve">3471.40</t>
  </si>
  <si>
    <t xml:space="preserve">Textile Designer</t>
  </si>
  <si>
    <t xml:space="preserve">2163.0600</t>
  </si>
  <si>
    <t xml:space="preserve">3471.45</t>
  </si>
  <si>
    <t xml:space="preserve">Cloth Examiner/Fabric Checker</t>
  </si>
  <si>
    <t xml:space="preserve">7543.0101</t>
  </si>
  <si>
    <t xml:space="preserve">3152.10</t>
  </si>
  <si>
    <t xml:space="preserve">Measurement Checker</t>
  </si>
  <si>
    <t xml:space="preserve">7543.0301</t>
  </si>
  <si>
    <t xml:space="preserve">Inline Checke</t>
  </si>
  <si>
    <t xml:space="preserve">7543.0302</t>
  </si>
  <si>
    <t xml:space="preserve">Examiner, Dry Cleaning/Fabric Inspection Operator</t>
  </si>
  <si>
    <t xml:space="preserve">7543.0400</t>
  </si>
  <si>
    <t xml:space="preserve">3152.40</t>
  </si>
  <si>
    <t xml:space="preserve">Examiner, Wood Working</t>
  </si>
  <si>
    <t xml:space="preserve">7543.0500</t>
  </si>
  <si>
    <t xml:space="preserve">3152.50</t>
  </si>
  <si>
    <t xml:space="preserve">Incoming QC Technician</t>
  </si>
  <si>
    <t xml:space="preserve">7543.0701</t>
  </si>
  <si>
    <t xml:space="preserve">Final Product QC Technician</t>
  </si>
  <si>
    <t xml:space="preserve">7543.0702</t>
  </si>
  <si>
    <t xml:space="preserve">Functional Tester</t>
  </si>
  <si>
    <t xml:space="preserve">7543.0801</t>
  </si>
  <si>
    <t xml:space="preserve">Performance Tester</t>
  </si>
  <si>
    <t xml:space="preserve">7543.0802</t>
  </si>
  <si>
    <t xml:space="preserve">Reliability Tester</t>
  </si>
  <si>
    <t xml:space="preserve">7543.0803</t>
  </si>
  <si>
    <t xml:space="preserve">Quality Assessor</t>
  </si>
  <si>
    <t xml:space="preserve">7543.0202</t>
  </si>
  <si>
    <t xml:space="preserve">Safety Testing Technician</t>
  </si>
  <si>
    <t xml:space="preserve">7543.0804</t>
  </si>
  <si>
    <t xml:space="preserve">Examiner, (Footwear)/Quality Controller</t>
  </si>
  <si>
    <t xml:space="preserve">7543.0300</t>
  </si>
  <si>
    <t xml:space="preserve">3152.30</t>
  </si>
  <si>
    <t xml:space="preserve">7543.1101</t>
  </si>
  <si>
    <t xml:space="preserve">Factory Compliance Auditor</t>
  </si>
  <si>
    <t xml:space="preserve">7543.4001</t>
  </si>
  <si>
    <t xml:space="preserve">Sampling Co-Ordinator</t>
  </si>
  <si>
    <t xml:space="preserve">7543.5001</t>
  </si>
  <si>
    <t xml:space="preserve">Product Graders and Testers, Others</t>
  </si>
  <si>
    <t xml:space="preserve">7543.9900</t>
  </si>
  <si>
    <t xml:space="preserve">Quality Control Inspector – Visual Inspection</t>
  </si>
  <si>
    <t xml:space="preserve">7543.3005</t>
  </si>
  <si>
    <t xml:space="preserve">Quality Control Inspector – Statistical Process Control</t>
  </si>
  <si>
    <t xml:space="preserve">7543.3004</t>
  </si>
  <si>
    <t xml:space="preserve">Quality Control Inspector – Extrusion</t>
  </si>
  <si>
    <t xml:space="preserve">7543.3003</t>
  </si>
  <si>
    <t xml:space="preserve">Quality Control Inspector – Dimension Check</t>
  </si>
  <si>
    <t xml:space="preserve">7543.3002</t>
  </si>
  <si>
    <t xml:space="preserve">Quality Control Inspector – Calendering</t>
  </si>
  <si>
    <t xml:space="preserve">7543.3001</t>
  </si>
  <si>
    <t xml:space="preserve">Quality Inspector – Forged, Casted or Machined Components</t>
  </si>
  <si>
    <t xml:space="preserve">7543.2001</t>
  </si>
  <si>
    <t xml:space="preserve">Performance Tester – TV</t>
  </si>
  <si>
    <t xml:space="preserve">7543.1006</t>
  </si>
  <si>
    <t xml:space="preserve">Performance Tester – RACW</t>
  </si>
  <si>
    <t xml:space="preserve">7543.1005</t>
  </si>
  <si>
    <t xml:space="preserve">Safety Testing Technician – RACW</t>
  </si>
  <si>
    <t xml:space="preserve">7543.1004</t>
  </si>
  <si>
    <t xml:space="preserve">Functional Tester – TV</t>
  </si>
  <si>
    <t xml:space="preserve">7543.1002</t>
  </si>
  <si>
    <t xml:space="preserve">Functional Tester – RAC</t>
  </si>
  <si>
    <t xml:space="preserve">7543.1001</t>
  </si>
  <si>
    <t xml:space="preserve">Functional Tester – Medical Devices</t>
  </si>
  <si>
    <t xml:space="preserve">7543.0901</t>
  </si>
  <si>
    <t xml:space="preserve">QC Executive – Sewing Line</t>
  </si>
  <si>
    <t xml:space="preserve">7543.0201</t>
  </si>
  <si>
    <t xml:space="preserve">Inventory Manager (Wholesale)</t>
  </si>
  <si>
    <t xml:space="preserve">4322.0101</t>
  </si>
  <si>
    <t xml:space="preserve">Junior Rubber Technician/Technical Assistant</t>
  </si>
  <si>
    <t xml:space="preserve">4322.0201</t>
  </si>
  <si>
    <t xml:space="preserve">Psychologist, Social</t>
  </si>
  <si>
    <t xml:space="preserve">2634.0500</t>
  </si>
  <si>
    <t xml:space="preserve">2445.50</t>
  </si>
  <si>
    <t xml:space="preserve">Clinical Psychologist</t>
  </si>
  <si>
    <t xml:space="preserve">2634.0600</t>
  </si>
  <si>
    <t xml:space="preserve">2445.60</t>
  </si>
  <si>
    <t xml:space="preserve">Psychologist, Counselling</t>
  </si>
  <si>
    <t xml:space="preserve">2634.0800</t>
  </si>
  <si>
    <t xml:space="preserve">2445.80</t>
  </si>
  <si>
    <t xml:space="preserve">Psychologist</t>
  </si>
  <si>
    <t xml:space="preserve">2634.0100</t>
  </si>
  <si>
    <t xml:space="preserve">2445.10</t>
  </si>
  <si>
    <t xml:space="preserve">Psychometrist</t>
  </si>
  <si>
    <t xml:space="preserve">2634.0200</t>
  </si>
  <si>
    <t xml:space="preserve">2445.20</t>
  </si>
  <si>
    <t xml:space="preserve">Psychologist, Engineering</t>
  </si>
  <si>
    <t xml:space="preserve">2634.0300</t>
  </si>
  <si>
    <t xml:space="preserve">2445.30</t>
  </si>
  <si>
    <t xml:space="preserve">Psychologist, Educational</t>
  </si>
  <si>
    <t xml:space="preserve">2634.0400</t>
  </si>
  <si>
    <t xml:space="preserve">2445.40</t>
  </si>
  <si>
    <t xml:space="preserve">Psychologists, Other</t>
  </si>
  <si>
    <t xml:space="preserve">2634.9900</t>
  </si>
  <si>
    <t xml:space="preserve">2445.90</t>
  </si>
  <si>
    <t xml:space="preserve">Industrial – Organizational Psychologist</t>
  </si>
  <si>
    <t xml:space="preserve">2634.0700</t>
  </si>
  <si>
    <t xml:space="preserve">2445.70</t>
  </si>
  <si>
    <t xml:space="preserve">Information Officer</t>
  </si>
  <si>
    <t xml:space="preserve">2432.0300</t>
  </si>
  <si>
    <t xml:space="preserve">2419.30</t>
  </si>
  <si>
    <t xml:space="preserve">Public Relations Professionals, Other</t>
  </si>
  <si>
    <t xml:space="preserve">2432.9900</t>
  </si>
  <si>
    <t xml:space="preserve">2419.90</t>
  </si>
  <si>
    <t xml:space="preserve">Publicity Officer</t>
  </si>
  <si>
    <t xml:space="preserve">2432.0100</t>
  </si>
  <si>
    <t xml:space="preserve">2419.10</t>
  </si>
  <si>
    <t xml:space="preserve">Public Relations Officer</t>
  </si>
  <si>
    <t xml:space="preserve">2432.0200</t>
  </si>
  <si>
    <t xml:space="preserve">2419.20</t>
  </si>
  <si>
    <t xml:space="preserve">Digital Marketing/Social Media Manager</t>
  </si>
  <si>
    <t xml:space="preserve">2432.0201</t>
  </si>
  <si>
    <t xml:space="preserve">Bleacher, Paper Pulp</t>
  </si>
  <si>
    <t xml:space="preserve">8171.0900</t>
  </si>
  <si>
    <t xml:space="preserve">8142.50</t>
  </si>
  <si>
    <t xml:space="preserve">Agitator, Paper Pulp</t>
  </si>
  <si>
    <t xml:space="preserve">8171.1100</t>
  </si>
  <si>
    <t xml:space="preserve">8142.60</t>
  </si>
  <si>
    <t xml:space="preserve">Machine Operator, Paper</t>
  </si>
  <si>
    <t xml:space="preserve">8171.1200</t>
  </si>
  <si>
    <t xml:space="preserve">8143.10</t>
  </si>
  <si>
    <t xml:space="preserve">Wire Boy, Paper</t>
  </si>
  <si>
    <t xml:space="preserve">8171.1400</t>
  </si>
  <si>
    <t xml:space="preserve">8143.20</t>
  </si>
  <si>
    <t xml:space="preserve">Chipperman, Paper Pulp</t>
  </si>
  <si>
    <t xml:space="preserve">8171.0100</t>
  </si>
  <si>
    <t xml:space="preserve">8142.10</t>
  </si>
  <si>
    <t xml:space="preserve">Cutter, Paper</t>
  </si>
  <si>
    <t xml:space="preserve">8171.1600</t>
  </si>
  <si>
    <t xml:space="preserve">8143.30</t>
  </si>
  <si>
    <t xml:space="preserve">Grinder, Paper Pulp</t>
  </si>
  <si>
    <t xml:space="preserve">8171.0200</t>
  </si>
  <si>
    <t xml:space="preserve">8142.15</t>
  </si>
  <si>
    <t xml:space="preserve">Finisher, Paper</t>
  </si>
  <si>
    <t xml:space="preserve">8171.1700</t>
  </si>
  <si>
    <t xml:space="preserve">8143.35</t>
  </si>
  <si>
    <t xml:space="preserve">Sorter, Paper Pulp</t>
  </si>
  <si>
    <t xml:space="preserve">8171.0400</t>
  </si>
  <si>
    <t xml:space="preserve">8142.25</t>
  </si>
  <si>
    <t xml:space="preserve">Cutter, Paper Pulp</t>
  </si>
  <si>
    <t xml:space="preserve">8171.0500</t>
  </si>
  <si>
    <t xml:space="preserve">8142.30</t>
  </si>
  <si>
    <t xml:space="preserve">Liquor Maker, Paper Pulp</t>
  </si>
  <si>
    <t xml:space="preserve">8171.0600</t>
  </si>
  <si>
    <t xml:space="preserve">8142.35</t>
  </si>
  <si>
    <t xml:space="preserve">Causticman, Paper Pulp/Causticizing Operator</t>
  </si>
  <si>
    <t xml:space="preserve">8171.0800</t>
  </si>
  <si>
    <t xml:space="preserve">8142.45</t>
  </si>
  <si>
    <t xml:space="preserve">Drier, Handmade Paper</t>
  </si>
  <si>
    <t xml:space="preserve">8171.2100</t>
  </si>
  <si>
    <t xml:space="preserve">8143.55</t>
  </si>
  <si>
    <t xml:space="preserve">Presser, Handmade Paper</t>
  </si>
  <si>
    <t xml:space="preserve">8171.2200</t>
  </si>
  <si>
    <t xml:space="preserve">8143.60</t>
  </si>
  <si>
    <t xml:space="preserve">Calenderman, Handmade Paper</t>
  </si>
  <si>
    <t xml:space="preserve">8171.2400</t>
  </si>
  <si>
    <t xml:space="preserve">8143.70</t>
  </si>
  <si>
    <t xml:space="preserve">Coating Machine Operator, Hardboard (Paper Goods)</t>
  </si>
  <si>
    <t xml:space="preserve">8171.2500</t>
  </si>
  <si>
    <t xml:space="preserve">8143.80</t>
  </si>
  <si>
    <t xml:space="preserve">Pulp and Papermaking Plant Operators, Other</t>
  </si>
  <si>
    <t xml:space="preserve">8171.9900</t>
  </si>
  <si>
    <t xml:space="preserve">8143.90</t>
  </si>
  <si>
    <t xml:space="preserve">Vat Man, Handmade Paper</t>
  </si>
  <si>
    <t xml:space="preserve">8171.1800</t>
  </si>
  <si>
    <t xml:space="preserve">8143.40</t>
  </si>
  <si>
    <t xml:space="preserve">Transferor, Handmade Paper</t>
  </si>
  <si>
    <t xml:space="preserve">8171.1900</t>
  </si>
  <si>
    <t xml:space="preserve">8143.45</t>
  </si>
  <si>
    <t xml:space="preserve">Tub-Sizer, Handmade Paper</t>
  </si>
  <si>
    <t xml:space="preserve">8171.2000</t>
  </si>
  <si>
    <t xml:space="preserve">8143.50</t>
  </si>
  <si>
    <t xml:space="preserve">Signalman, Railway</t>
  </si>
  <si>
    <t xml:space="preserve">8312.0100</t>
  </si>
  <si>
    <t xml:space="preserve">8312.10</t>
  </si>
  <si>
    <t xml:space="preserve">Shunting Worker</t>
  </si>
  <si>
    <t xml:space="preserve">8312.0200</t>
  </si>
  <si>
    <t xml:space="preserve">8312.20</t>
  </si>
  <si>
    <t xml:space="preserve">Traffic Shunter, Railway</t>
  </si>
  <si>
    <t xml:space="preserve">8312.0400</t>
  </si>
  <si>
    <t xml:space="preserve">8312.40</t>
  </si>
  <si>
    <t xml:space="preserve">Braker, Passenger Train</t>
  </si>
  <si>
    <t xml:space="preserve">8312.0500</t>
  </si>
  <si>
    <t xml:space="preserve">8312.50</t>
  </si>
  <si>
    <t xml:space="preserve">Pointsmen, Signalmen and Shunters, Railways, Other</t>
  </si>
  <si>
    <t xml:space="preserve">8312.9900</t>
  </si>
  <si>
    <t xml:space="preserve">8312.90</t>
  </si>
  <si>
    <t xml:space="preserve">Points Man, Railway</t>
  </si>
  <si>
    <t xml:space="preserve">8312.0300</t>
  </si>
  <si>
    <t xml:space="preserve">8312.30</t>
  </si>
  <si>
    <t xml:space="preserve">Property Dealer</t>
  </si>
  <si>
    <t xml:space="preserve">3334.0100</t>
  </si>
  <si>
    <t xml:space="preserve">3413.10</t>
  </si>
  <si>
    <t xml:space="preserve">House Agent</t>
  </si>
  <si>
    <t xml:space="preserve">3334.0200</t>
  </si>
  <si>
    <t xml:space="preserve">3413.20</t>
  </si>
  <si>
    <t xml:space="preserve">Estate Agents, Other</t>
  </si>
  <si>
    <t xml:space="preserve">3334.9900</t>
  </si>
  <si>
    <t xml:space="preserve">3413.90</t>
  </si>
  <si>
    <t xml:space="preserve">Reception Clerk/Front Desk Executive/Receptionist</t>
  </si>
  <si>
    <t xml:space="preserve">4226.0100</t>
  </si>
  <si>
    <t xml:space="preserve">4221.20</t>
  </si>
  <si>
    <t xml:space="preserve">Showroom Hostess/Host</t>
  </si>
  <si>
    <t xml:space="preserve">4226.0201</t>
  </si>
  <si>
    <t xml:space="preserve">Priest</t>
  </si>
  <si>
    <t xml:space="preserve">2636.0100</t>
  </si>
  <si>
    <t xml:space="preserve">2461.10</t>
  </si>
  <si>
    <t xml:space="preserve">Purohit</t>
  </si>
  <si>
    <t xml:space="preserve">2636.0200</t>
  </si>
  <si>
    <t xml:space="preserve">2462.10</t>
  </si>
  <si>
    <t xml:space="preserve">Ordained Religious and Non-Ordained Religious Workers</t>
  </si>
  <si>
    <t xml:space="preserve">2636.9900</t>
  </si>
  <si>
    <t xml:space="preserve">2462.90</t>
  </si>
  <si>
    <t xml:space="preserve">Manager Testing Facility</t>
  </si>
  <si>
    <t xml:space="preserve">1223.0101</t>
  </si>
  <si>
    <t xml:space="preserve">Manager Material Testing</t>
  </si>
  <si>
    <t xml:space="preserve">1223.0102</t>
  </si>
  <si>
    <t xml:space="preserve">Research Associate</t>
  </si>
  <si>
    <t xml:space="preserve">1223.0201</t>
  </si>
  <si>
    <t xml:space="preserve">Restaurant Managers, Other</t>
  </si>
  <si>
    <t xml:space="preserve">1412.9900</t>
  </si>
  <si>
    <t xml:space="preserve">1305.90</t>
  </si>
  <si>
    <t xml:space="preserve">Manager, Fast Food Service</t>
  </si>
  <si>
    <t xml:space="preserve">1412.0100</t>
  </si>
  <si>
    <t xml:space="preserve">1225.20</t>
  </si>
  <si>
    <t xml:space="preserve">Manager, Wholesale Trade</t>
  </si>
  <si>
    <t xml:space="preserve">1420.0100</t>
  </si>
  <si>
    <t xml:space="preserve">1224.10</t>
  </si>
  <si>
    <t xml:space="preserve">Manager, Retail Trade</t>
  </si>
  <si>
    <t xml:space="preserve">1420.0200</t>
  </si>
  <si>
    <t xml:space="preserve">1224.20</t>
  </si>
  <si>
    <t xml:space="preserve">Manager, Export</t>
  </si>
  <si>
    <t xml:space="preserve">1420.0300</t>
  </si>
  <si>
    <t xml:space="preserve">1224.30</t>
  </si>
  <si>
    <t xml:space="preserve">General Manager, Wholesale Trade/Senior Manager, Wholesale Trade</t>
  </si>
  <si>
    <t xml:space="preserve">1420.0400</t>
  </si>
  <si>
    <t xml:space="preserve">1304.10</t>
  </si>
  <si>
    <t xml:space="preserve">General Manager, Retail Trade, Senior Manager, Retail Trade</t>
  </si>
  <si>
    <t xml:space="preserve">1420.0500</t>
  </si>
  <si>
    <t xml:space="preserve">1304.20</t>
  </si>
  <si>
    <t xml:space="preserve">Retail and Wholesale Trade Managers, Other</t>
  </si>
  <si>
    <t xml:space="preserve">1420.9900</t>
  </si>
  <si>
    <t xml:space="preserve">1304.90</t>
  </si>
  <si>
    <t xml:space="preserve">Rigger</t>
  </si>
  <si>
    <t xml:space="preserve">7215.0100</t>
  </si>
  <si>
    <t xml:space="preserve">7215.10</t>
  </si>
  <si>
    <t xml:space="preserve">Rigger: Rigging of Heavy Material</t>
  </si>
  <si>
    <t xml:space="preserve">7215.0101</t>
  </si>
  <si>
    <t xml:space="preserve">Slinger</t>
  </si>
  <si>
    <t xml:space="preserve">7215.0200</t>
  </si>
  <si>
    <t xml:space="preserve">7215.20</t>
  </si>
  <si>
    <t xml:space="preserve">Splicer (Rope and Cables)</t>
  </si>
  <si>
    <t xml:space="preserve">7215.0300</t>
  </si>
  <si>
    <t xml:space="preserve">7215.30</t>
  </si>
  <si>
    <t xml:space="preserve">Riggers and Cable Splicers, Other</t>
  </si>
  <si>
    <t xml:space="preserve">7215.9900</t>
  </si>
  <si>
    <t xml:space="preserve">7215.90</t>
  </si>
  <si>
    <t xml:space="preserve">Tile Layer, Roof</t>
  </si>
  <si>
    <t xml:space="preserve">7121.0100</t>
  </si>
  <si>
    <t xml:space="preserve">7131.10</t>
  </si>
  <si>
    <t xml:space="preserve">Roofers, Other</t>
  </si>
  <si>
    <t xml:space="preserve">7121.9900</t>
  </si>
  <si>
    <t xml:space="preserve">7131.90</t>
  </si>
  <si>
    <t xml:space="preserve">Continuous Curing Operator</t>
  </si>
  <si>
    <t xml:space="preserve">8141.0711</t>
  </si>
  <si>
    <t xml:space="preserve">Calendar Machine Operator</t>
  </si>
  <si>
    <t xml:space="preserve">8141.0100</t>
  </si>
  <si>
    <t xml:space="preserve">8231.10</t>
  </si>
  <si>
    <t xml:space="preserve">Roto Curing Operator</t>
  </si>
  <si>
    <t xml:space="preserve">8141.0712</t>
  </si>
  <si>
    <t xml:space="preserve">Pre-and Post-Calendering Operator</t>
  </si>
  <si>
    <t xml:space="preserve">8141.0101</t>
  </si>
  <si>
    <t xml:space="preserve">Injection Moulding Operator</t>
  </si>
  <si>
    <t xml:space="preserve">8141.0713</t>
  </si>
  <si>
    <t xml:space="preserve">Cord Dipping Operator</t>
  </si>
  <si>
    <t xml:space="preserve">8141.0200</t>
  </si>
  <si>
    <t xml:space="preserve">8231.15</t>
  </si>
  <si>
    <t xml:space="preserve">Transfer Moulding Operator</t>
  </si>
  <si>
    <t xml:space="preserve">8141.0714</t>
  </si>
  <si>
    <t xml:space="preserve">Extruding Machine Operator (Rubber)</t>
  </si>
  <si>
    <t xml:space="preserve">8141.0300</t>
  </si>
  <si>
    <t xml:space="preserve">8231.20</t>
  </si>
  <si>
    <t xml:space="preserve">Internal Mixer Operator</t>
  </si>
  <si>
    <t xml:space="preserve">8141.0715</t>
  </si>
  <si>
    <t xml:space="preserve">Feed Extruder Operator</t>
  </si>
  <si>
    <t xml:space="preserve">8141.0301</t>
  </si>
  <si>
    <t xml:space="preserve">Tube Extruder Operator</t>
  </si>
  <si>
    <t xml:space="preserve">8141.0302</t>
  </si>
  <si>
    <t xml:space="preserve">Rubber Fabric Cutting Machine Operator</t>
  </si>
  <si>
    <t xml:space="preserve">8141.0400</t>
  </si>
  <si>
    <t xml:space="preserve">8231.25</t>
  </si>
  <si>
    <t xml:space="preserve">Slitting Machine Operator (Cycle Tyre)</t>
  </si>
  <si>
    <t xml:space="preserve">8141.0500</t>
  </si>
  <si>
    <t xml:space="preserve">8231.30</t>
  </si>
  <si>
    <t xml:space="preserve">Bead Maker (Rubber Tyre)</t>
  </si>
  <si>
    <t xml:space="preserve">8141.0600</t>
  </si>
  <si>
    <t xml:space="preserve">8231.35</t>
  </si>
  <si>
    <t xml:space="preserve">Profiling Operator (Cycle Tyre)</t>
  </si>
  <si>
    <t xml:space="preserve">8141.0700</t>
  </si>
  <si>
    <t xml:space="preserve">8231.40</t>
  </si>
  <si>
    <t xml:space="preserve">Moulder (Rubber)/Compression Moulding Operator</t>
  </si>
  <si>
    <t xml:space="preserve">8141.1201</t>
  </si>
  <si>
    <t xml:space="preserve">8231.67</t>
  </si>
  <si>
    <t xml:space="preserve">Calenderer Rubberised Fabric/Operator Textile Coating</t>
  </si>
  <si>
    <t xml:space="preserve">8141.1301</t>
  </si>
  <si>
    <t xml:space="preserve">8231.70</t>
  </si>
  <si>
    <t xml:space="preserve">Hose Maker (Rubber Goods)</t>
  </si>
  <si>
    <t xml:space="preserve">8141.1400</t>
  </si>
  <si>
    <t xml:space="preserve">8231.72</t>
  </si>
  <si>
    <t xml:space="preserve">Latex Worker</t>
  </si>
  <si>
    <t xml:space="preserve">8141.1500</t>
  </si>
  <si>
    <t xml:space="preserve">8231.74</t>
  </si>
  <si>
    <t xml:space="preserve">Kneader Operator</t>
  </si>
  <si>
    <t xml:space="preserve">8141.0716</t>
  </si>
  <si>
    <t xml:space="preserve">Finishing Operator (Rubber Tyre)</t>
  </si>
  <si>
    <t xml:space="preserve">8141.0800</t>
  </si>
  <si>
    <t xml:space="preserve">8231.45</t>
  </si>
  <si>
    <t xml:space="preserve">Sealing and Valve Fitting Operator</t>
  </si>
  <si>
    <t xml:space="preserve">8141.0900</t>
  </si>
  <si>
    <t xml:space="preserve">8231.50</t>
  </si>
  <si>
    <t xml:space="preserve">Finishing Operator (Rubber Tube)</t>
  </si>
  <si>
    <t xml:space="preserve">8141.1000</t>
  </si>
  <si>
    <t xml:space="preserve">8231.60</t>
  </si>
  <si>
    <t xml:space="preserve">Sheet Maker (Rubber)</t>
  </si>
  <si>
    <t xml:space="preserve">8141.1100</t>
  </si>
  <si>
    <t xml:space="preserve">8231.65</t>
  </si>
  <si>
    <t xml:space="preserve">Latex Foam Cushion Maker</t>
  </si>
  <si>
    <t xml:space="preserve">8141.1600</t>
  </si>
  <si>
    <t xml:space="preserve">8231.76</t>
  </si>
  <si>
    <t xml:space="preserve">Tyre Builder/Radial Building Operator</t>
  </si>
  <si>
    <t xml:space="preserve">8141.1701</t>
  </si>
  <si>
    <t xml:space="preserve">8231.80</t>
  </si>
  <si>
    <t xml:space="preserve">Tyre Moulder</t>
  </si>
  <si>
    <t xml:space="preserve">8141.1800</t>
  </si>
  <si>
    <t xml:space="preserve">8231.81</t>
  </si>
  <si>
    <t xml:space="preserve">Tyre Moulding Operator</t>
  </si>
  <si>
    <t xml:space="preserve">8141.1801</t>
  </si>
  <si>
    <t xml:space="preserve">Tyre Repairer</t>
  </si>
  <si>
    <t xml:space="preserve">8141.2100</t>
  </si>
  <si>
    <t xml:space="preserve">8231.85</t>
  </si>
  <si>
    <t xml:space="preserve">Moulder, Rubber Tube</t>
  </si>
  <si>
    <t xml:space="preserve">8141.2200</t>
  </si>
  <si>
    <t xml:space="preserve">8231.86</t>
  </si>
  <si>
    <t xml:space="preserve">Cycle Tube Reverser</t>
  </si>
  <si>
    <t xml:space="preserve">8141.2300</t>
  </si>
  <si>
    <t xml:space="preserve">8231.87</t>
  </si>
  <si>
    <t xml:space="preserve">Rubber Stamp Maker</t>
  </si>
  <si>
    <t xml:space="preserve">8141.2400</t>
  </si>
  <si>
    <t xml:space="preserve">8231.88</t>
  </si>
  <si>
    <t xml:space="preserve">Rubber and Rubberised Product Makers, Other</t>
  </si>
  <si>
    <t xml:space="preserve">8141.9900</t>
  </si>
  <si>
    <t xml:space="preserve">8231.90</t>
  </si>
  <si>
    <t xml:space="preserve">Band Builder (Tyre Building)</t>
  </si>
  <si>
    <t xml:space="preserve">8141.1900</t>
  </si>
  <si>
    <t xml:space="preserve">8231.83</t>
  </si>
  <si>
    <t xml:space="preserve">Trimmer (Tyre Building)</t>
  </si>
  <si>
    <t xml:space="preserve">8141.2000</t>
  </si>
  <si>
    <t xml:space="preserve">8231.84</t>
  </si>
  <si>
    <t xml:space="preserve">Tyre Building Operator – Passenger Vehicles</t>
  </si>
  <si>
    <t xml:space="preserve">8141.1703</t>
  </si>
  <si>
    <t xml:space="preserve">Tyre Building Operator – Commercial Vehicles</t>
  </si>
  <si>
    <t xml:space="preserve">8141.1702</t>
  </si>
  <si>
    <t xml:space="preserve">Sales Manager (Wholesale Trade)</t>
  </si>
  <si>
    <t xml:space="preserve">1221.0100</t>
  </si>
  <si>
    <t xml:space="preserve">1233.10</t>
  </si>
  <si>
    <t xml:space="preserve">Sales Manager (Retail Trade)</t>
  </si>
  <si>
    <t xml:space="preserve">1221.0200</t>
  </si>
  <si>
    <t xml:space="preserve">1233.20</t>
  </si>
  <si>
    <t xml:space="preserve">Home Delivery Manager</t>
  </si>
  <si>
    <t xml:space="preserve">1221.0301</t>
  </si>
  <si>
    <t xml:space="preserve">Territory Sales Manager (Broadband)</t>
  </si>
  <si>
    <t xml:space="preserve">1221.0401</t>
  </si>
  <si>
    <t xml:space="preserve">Territory Sales Manager (Prepaid)</t>
  </si>
  <si>
    <t xml:space="preserve">1221.0501</t>
  </si>
  <si>
    <t xml:space="preserve">Sales Co-Ordinator (Media Org)</t>
  </si>
  <si>
    <t xml:space="preserve">1221.0601</t>
  </si>
  <si>
    <t xml:space="preserve">Sales Manager (Media Org)</t>
  </si>
  <si>
    <t xml:space="preserve">1221.0602</t>
  </si>
  <si>
    <t xml:space="preserve">Sales and Marketing Managers, Other</t>
  </si>
  <si>
    <t xml:space="preserve">1221.9900</t>
  </si>
  <si>
    <t xml:space="preserve">1233.90</t>
  </si>
  <si>
    <t xml:space="preserve">Technical Demonstrator (Sale)/Area Technical Lead</t>
  </si>
  <si>
    <t xml:space="preserve">5242.0101</t>
  </si>
  <si>
    <t xml:space="preserve">5220.25</t>
  </si>
  <si>
    <t xml:space="preserve">Sales Associate</t>
  </si>
  <si>
    <t xml:space="preserve">5242.0102</t>
  </si>
  <si>
    <t xml:space="preserve">Associate Operations Engineer</t>
  </si>
  <si>
    <t xml:space="preserve">5242.0502</t>
  </si>
  <si>
    <t xml:space="preserve">Sales Demonstrators, Other</t>
  </si>
  <si>
    <t xml:space="preserve">5242.9900</t>
  </si>
  <si>
    <t xml:space="preserve">5220.90</t>
  </si>
  <si>
    <t xml:space="preserve">Customer Care Executive (Relationship Centre)</t>
  </si>
  <si>
    <t xml:space="preserve">5242.0201</t>
  </si>
  <si>
    <t xml:space="preserve">Customer Care Executive (Repair Centre)</t>
  </si>
  <si>
    <t xml:space="preserve">5242.0301</t>
  </si>
  <si>
    <t xml:space="preserve">In-Store Promoter</t>
  </si>
  <si>
    <t xml:space="preserve">5242.0401</t>
  </si>
  <si>
    <t xml:space="preserve">Associate Network Engineer</t>
  </si>
  <si>
    <t xml:space="preserve">5242.0501</t>
  </si>
  <si>
    <t xml:space="preserve">5220.20</t>
  </si>
  <si>
    <t xml:space="preserve">Commercial Executive/Officer</t>
  </si>
  <si>
    <t xml:space="preserve">5249.0202</t>
  </si>
  <si>
    <t xml:space="preserve">Salesman, Retail Trade</t>
  </si>
  <si>
    <t xml:space="preserve">5249.0301</t>
  </si>
  <si>
    <t xml:space="preserve">5220.35</t>
  </si>
  <si>
    <t xml:space="preserve">Wholesale Dealer</t>
  </si>
  <si>
    <t xml:space="preserve">5249.0400</t>
  </si>
  <si>
    <t xml:space="preserve">5220.50</t>
  </si>
  <si>
    <t xml:space="preserve">Key Account Service Manager</t>
  </si>
  <si>
    <t xml:space="preserve">5249.0101</t>
  </si>
  <si>
    <t xml:space="preserve">Salesman, Wholesale Trade</t>
  </si>
  <si>
    <t xml:space="preserve">5249.0200</t>
  </si>
  <si>
    <t xml:space="preserve">5220.30</t>
  </si>
  <si>
    <t xml:space="preserve">Commercial Manager (Zonal/Regional)</t>
  </si>
  <si>
    <t xml:space="preserve">5249.0201</t>
  </si>
  <si>
    <t xml:space="preserve">Retail Dealer</t>
  </si>
  <si>
    <t xml:space="preserve">5249.0500</t>
  </si>
  <si>
    <t xml:space="preserve">5220.55</t>
  </si>
  <si>
    <t xml:space="preserve">Selling Agent</t>
  </si>
  <si>
    <t xml:space="preserve">5249.0600</t>
  </si>
  <si>
    <t xml:space="preserve">5220.60</t>
  </si>
  <si>
    <t xml:space="preserve">Stockist</t>
  </si>
  <si>
    <t xml:space="preserve">5249.0700</t>
  </si>
  <si>
    <t xml:space="preserve">5220.65</t>
  </si>
  <si>
    <t xml:space="preserve">Braille Transcriber, Hand</t>
  </si>
  <si>
    <t xml:space="preserve">4414.0100</t>
  </si>
  <si>
    <t xml:space="preserve">4144.10</t>
  </si>
  <si>
    <t xml:space="preserve">Scribes and Related Clerks, Other</t>
  </si>
  <si>
    <t xml:space="preserve">4414.9900</t>
  </si>
  <si>
    <t xml:space="preserve">4144.90</t>
  </si>
  <si>
    <t xml:space="preserve">Senior Secondary and Secondary School Teacher, Arts</t>
  </si>
  <si>
    <t xml:space="preserve">2330.0100</t>
  </si>
  <si>
    <t xml:space="preserve">2320.10</t>
  </si>
  <si>
    <t xml:space="preserve">Senior Secondary and Secondary School Teacher, Science</t>
  </si>
  <si>
    <t xml:space="preserve">2330.0200</t>
  </si>
  <si>
    <t xml:space="preserve">2320.12</t>
  </si>
  <si>
    <t xml:space="preserve">Senior Secondary and Secondary School Teacher, Commerce</t>
  </si>
  <si>
    <t xml:space="preserve">2330.0300</t>
  </si>
  <si>
    <t xml:space="preserve">2320.15</t>
  </si>
  <si>
    <t xml:space="preserve">Language Teacher, Senior Secondary and Secondary School</t>
  </si>
  <si>
    <t xml:space="preserve">2330.0400</t>
  </si>
  <si>
    <t xml:space="preserve">2320.20</t>
  </si>
  <si>
    <t xml:space="preserve">Senior Secondary and Secondary School Teachers, Other</t>
  </si>
  <si>
    <t xml:space="preserve">2330.9900</t>
  </si>
  <si>
    <t xml:space="preserve">2320.90</t>
  </si>
  <si>
    <t xml:space="preserve">Private Secretary</t>
  </si>
  <si>
    <t xml:space="preserve">4120.0100</t>
  </si>
  <si>
    <t xml:space="preserve">4115.10</t>
  </si>
  <si>
    <t xml:space="preserve">Personal Secretary</t>
  </si>
  <si>
    <t xml:space="preserve">4120.0200</t>
  </si>
  <si>
    <t xml:space="preserve">4115.20</t>
  </si>
  <si>
    <t xml:space="preserve">Panchayat Secretary</t>
  </si>
  <si>
    <t xml:space="preserve">4120.0300</t>
  </si>
  <si>
    <t xml:space="preserve">4115.30</t>
  </si>
  <si>
    <t xml:space="preserve">Secretaries, Other</t>
  </si>
  <si>
    <t xml:space="preserve">4120.9900</t>
  </si>
  <si>
    <t xml:space="preserve">4115.90</t>
  </si>
  <si>
    <t xml:space="preserve">Jobber, Share Market</t>
  </si>
  <si>
    <t xml:space="preserve">3311.0200</t>
  </si>
  <si>
    <t xml:space="preserve">3411.20</t>
  </si>
  <si>
    <t xml:space="preserve">Equity Dealer</t>
  </si>
  <si>
    <t xml:space="preserve">3311.0201</t>
  </si>
  <si>
    <t xml:space="preserve">Mutual Fund Agent</t>
  </si>
  <si>
    <t xml:space="preserve">3311.0202</t>
  </si>
  <si>
    <t xml:space="preserve">Securities and Finance Dealers and Brokers, Other</t>
  </si>
  <si>
    <t xml:space="preserve">3311.9900</t>
  </si>
  <si>
    <t xml:space="preserve">3411.90</t>
  </si>
  <si>
    <t xml:space="preserve">Broker, Share Market</t>
  </si>
  <si>
    <t xml:space="preserve">3311.0100</t>
  </si>
  <si>
    <t xml:space="preserve">3411.10</t>
  </si>
  <si>
    <t xml:space="preserve">Security Officer</t>
  </si>
  <si>
    <t xml:space="preserve">5414.0101</t>
  </si>
  <si>
    <t xml:space="preserve">5169.10</t>
  </si>
  <si>
    <t xml:space="preserve">Assignment Manager</t>
  </si>
  <si>
    <t xml:space="preserve">5414.0102</t>
  </si>
  <si>
    <t xml:space="preserve">Security Supervisor</t>
  </si>
  <si>
    <t xml:space="preserve">5414.0111</t>
  </si>
  <si>
    <t xml:space="preserve">CCTV Supervisor</t>
  </si>
  <si>
    <t xml:space="preserve">5414.0121</t>
  </si>
  <si>
    <t xml:space="preserve">Armed Security Guard</t>
  </si>
  <si>
    <t xml:space="preserve">5414.0151</t>
  </si>
  <si>
    <t xml:space="preserve">Personal Security Officer</t>
  </si>
  <si>
    <t xml:space="preserve">5414.0171</t>
  </si>
  <si>
    <t xml:space="preserve">Home Guard</t>
  </si>
  <si>
    <t xml:space="preserve">5414.0200</t>
  </si>
  <si>
    <t xml:space="preserve">5169.20</t>
  </si>
  <si>
    <t xml:space="preserve">Watchman</t>
  </si>
  <si>
    <t xml:space="preserve">5414.0400</t>
  </si>
  <si>
    <t xml:space="preserve">9152.20</t>
  </si>
  <si>
    <t xml:space="preserve">Gateman/Unarmed Security Guard</t>
  </si>
  <si>
    <t xml:space="preserve">5414.0501</t>
  </si>
  <si>
    <t xml:space="preserve">9152.30</t>
  </si>
  <si>
    <t xml:space="preserve">Executive Official, State Government</t>
  </si>
  <si>
    <t xml:space="preserve">1112.0500</t>
  </si>
  <si>
    <t xml:space="preserve">1122.20</t>
  </si>
  <si>
    <t xml:space="preserve">Administrative and Executive Officials, Quasi Government (Central)</t>
  </si>
  <si>
    <t xml:space="preserve">1112.0600</t>
  </si>
  <si>
    <t xml:space="preserve">1123.10</t>
  </si>
  <si>
    <t xml:space="preserve">Administrative &amp; Executive Officials, Quasi Government (State)</t>
  </si>
  <si>
    <t xml:space="preserve">1112.0700</t>
  </si>
  <si>
    <t xml:space="preserve">1123.20</t>
  </si>
  <si>
    <t xml:space="preserve">Diplomat</t>
  </si>
  <si>
    <t xml:space="preserve">1112.0200</t>
  </si>
  <si>
    <t xml:space="preserve">1121.20</t>
  </si>
  <si>
    <t xml:space="preserve">Administrative and Executive Officials, Local Bodies</t>
  </si>
  <si>
    <t xml:space="preserve">1112.0800</t>
  </si>
  <si>
    <t xml:space="preserve">1124.10</t>
  </si>
  <si>
    <t xml:space="preserve">Senior Government Officials, Other</t>
  </si>
  <si>
    <t xml:space="preserve">1112.9900</t>
  </si>
  <si>
    <t xml:space="preserve">1129.90</t>
  </si>
  <si>
    <t xml:space="preserve">Executive Officials, Union Government</t>
  </si>
  <si>
    <t xml:space="preserve">1112.0300</t>
  </si>
  <si>
    <t xml:space="preserve">1121.30</t>
  </si>
  <si>
    <t xml:space="preserve">Administrative Official, Union Government</t>
  </si>
  <si>
    <t xml:space="preserve">1112.0100</t>
  </si>
  <si>
    <t xml:space="preserve">1121.10</t>
  </si>
  <si>
    <t xml:space="preserve">Administrative Official, State Government</t>
  </si>
  <si>
    <t xml:space="preserve">1112.0400</t>
  </si>
  <si>
    <t xml:space="preserve">1122.10</t>
  </si>
  <si>
    <t xml:space="preserve">Political Worker</t>
  </si>
  <si>
    <t xml:space="preserve">1114.0100</t>
  </si>
  <si>
    <t xml:space="preserve">1141.10</t>
  </si>
  <si>
    <t xml:space="preserve">Senior Officials of Employers, Workers and Other Economic Interest Organizations</t>
  </si>
  <si>
    <t xml:space="preserve">1114.0200</t>
  </si>
  <si>
    <t xml:space="preserve">1142.00</t>
  </si>
  <si>
    <t xml:space="preserve">Director, Disaster Management Services</t>
  </si>
  <si>
    <t xml:space="preserve">1114.0300</t>
  </si>
  <si>
    <t xml:space="preserve">1143.10</t>
  </si>
  <si>
    <t xml:space="preserve">Senior Officials of Special Interest Organizations, Other</t>
  </si>
  <si>
    <t xml:space="preserve">1114.9900</t>
  </si>
  <si>
    <t xml:space="preserve">1143.90</t>
  </si>
  <si>
    <t xml:space="preserve">Petrol Pump Salesman/Fuel Serviceman/Fuel Dispensing Attendant</t>
  </si>
  <si>
    <t xml:space="preserve">5245.0101</t>
  </si>
  <si>
    <t xml:space="preserve">5220.45</t>
  </si>
  <si>
    <t xml:space="preserve">Embroidery Machine Operator (Semi-Automatic)</t>
  </si>
  <si>
    <t xml:space="preserve">8153.0600</t>
  </si>
  <si>
    <t xml:space="preserve">8263.50</t>
  </si>
  <si>
    <t xml:space="preserve">Embroidery Machine Operator (Zig Zag Machine)</t>
  </si>
  <si>
    <t xml:space="preserve">8153.0601</t>
  </si>
  <si>
    <t xml:space="preserve">Sewers and Embroiders, Other</t>
  </si>
  <si>
    <t xml:space="preserve">8153.9900</t>
  </si>
  <si>
    <t xml:space="preserve">8263.90</t>
  </si>
  <si>
    <t xml:space="preserve">Sewing Machine Operator, General</t>
  </si>
  <si>
    <t xml:space="preserve">8153.0101</t>
  </si>
  <si>
    <t xml:space="preserve">8263.10</t>
  </si>
  <si>
    <t xml:space="preserve">Stitcher (Leather Goods and Garments)</t>
  </si>
  <si>
    <t xml:space="preserve">8153.0102</t>
  </si>
  <si>
    <t xml:space="preserve">Specialized Sewing Machine Operator</t>
  </si>
  <si>
    <t xml:space="preserve">8153.0103</t>
  </si>
  <si>
    <t xml:space="preserve">Button Hole Maker, Machine</t>
  </si>
  <si>
    <t xml:space="preserve">8153.0200</t>
  </si>
  <si>
    <t xml:space="preserve">8263.20</t>
  </si>
  <si>
    <t xml:space="preserve">Eyelet Holing Machine Operator</t>
  </si>
  <si>
    <t xml:space="preserve">8153.0300</t>
  </si>
  <si>
    <t xml:space="preserve">8263.30</t>
  </si>
  <si>
    <t xml:space="preserve">Button Stitching Machine Operator</t>
  </si>
  <si>
    <t xml:space="preserve">8153.0400</t>
  </si>
  <si>
    <t xml:space="preserve">8263.40</t>
  </si>
  <si>
    <t xml:space="preserve">Embroider, Machine</t>
  </si>
  <si>
    <t xml:space="preserve">8153.0500</t>
  </si>
  <si>
    <t xml:space="preserve">8263.45</t>
  </si>
  <si>
    <t xml:space="preserve">Helper – Finishing Operations (Leather Goods and Garments)</t>
  </si>
  <si>
    <t xml:space="preserve">8153.0703</t>
  </si>
  <si>
    <t xml:space="preserve">Helper – Parts Making (Leather Goods and Garments)</t>
  </si>
  <si>
    <t xml:space="preserve">8153.0702</t>
  </si>
  <si>
    <t xml:space="preserve">Doll Maker</t>
  </si>
  <si>
    <t xml:space="preserve">7533.1200</t>
  </si>
  <si>
    <t xml:space="preserve">7436.80</t>
  </si>
  <si>
    <t xml:space="preserve">Sewer, Hand</t>
  </si>
  <si>
    <t xml:space="preserve">7533.0100</t>
  </si>
  <si>
    <t xml:space="preserve">7436.10</t>
  </si>
  <si>
    <t xml:space="preserve">Hand Embroiderer, General</t>
  </si>
  <si>
    <t xml:space="preserve">7533.0201</t>
  </si>
  <si>
    <t xml:space="preserve">7436.15</t>
  </si>
  <si>
    <t xml:space="preserve">Hand Embroiderer, Zari/Hand Embroider, Traditional Crafts</t>
  </si>
  <si>
    <t xml:space="preserve">7533.0300</t>
  </si>
  <si>
    <t xml:space="preserve">7436.20</t>
  </si>
  <si>
    <t xml:space="preserve">Darner</t>
  </si>
  <si>
    <t xml:space="preserve">7533.0600</t>
  </si>
  <si>
    <t xml:space="preserve">7436.35</t>
  </si>
  <si>
    <t xml:space="preserve">Sewer, Tent (Hand)</t>
  </si>
  <si>
    <t xml:space="preserve">7533.0700</t>
  </si>
  <si>
    <t xml:space="preserve">7436.40</t>
  </si>
  <si>
    <t xml:space="preserve">Umbrella Maker</t>
  </si>
  <si>
    <t xml:space="preserve">7533.0800</t>
  </si>
  <si>
    <t xml:space="preserve">7436.45</t>
  </si>
  <si>
    <t xml:space="preserve">Umbrella Examiner</t>
  </si>
  <si>
    <t xml:space="preserve">7533.0900</t>
  </si>
  <si>
    <t xml:space="preserve">7436.50</t>
  </si>
  <si>
    <t xml:space="preserve">Sail and Awning Maker</t>
  </si>
  <si>
    <t xml:space="preserve">7533.1000</t>
  </si>
  <si>
    <t xml:space="preserve">7436.60</t>
  </si>
  <si>
    <t xml:space="preserve">Tailor, Tent (Machine)</t>
  </si>
  <si>
    <t xml:space="preserve">7533.1100</t>
  </si>
  <si>
    <t xml:space="preserve">7436.70</t>
  </si>
  <si>
    <t xml:space="preserve">Sewers, Embroiderers and Related Workers, Other</t>
  </si>
  <si>
    <t xml:space="preserve">7533.9900</t>
  </si>
  <si>
    <t xml:space="preserve">7436.90</t>
  </si>
  <si>
    <t xml:space="preserve">Sheet Metal Worker, Structural</t>
  </si>
  <si>
    <t xml:space="preserve">7213.0200</t>
  </si>
  <si>
    <t xml:space="preserve">7213.20</t>
  </si>
  <si>
    <t xml:space="preserve">Tinsmith/Whitesmith</t>
  </si>
  <si>
    <t xml:space="preserve">7213.0400</t>
  </si>
  <si>
    <t xml:space="preserve">7213.40</t>
  </si>
  <si>
    <t xml:space="preserve">Tin Coater</t>
  </si>
  <si>
    <t xml:space="preserve">7213.0500</t>
  </si>
  <si>
    <t xml:space="preserve">7213.50</t>
  </si>
  <si>
    <t xml:space="preserve">Machine Feeder and Off-Bearer</t>
  </si>
  <si>
    <t xml:space="preserve">7213.0600</t>
  </si>
  <si>
    <t xml:space="preserve">7213.60</t>
  </si>
  <si>
    <t xml:space="preserve">Sheet Metal Workers, Other</t>
  </si>
  <si>
    <t xml:space="preserve">7213.9900</t>
  </si>
  <si>
    <t xml:space="preserve">7213.90</t>
  </si>
  <si>
    <t xml:space="preserve">Auto Engine Repair Technician</t>
  </si>
  <si>
    <t xml:space="preserve">7213.0201</t>
  </si>
  <si>
    <t xml:space="preserve">Dent Remover/Auto Body Repair Technician/ Denter</t>
  </si>
  <si>
    <t xml:space="preserve">7213.0301</t>
  </si>
  <si>
    <t xml:space="preserve">7213.30</t>
  </si>
  <si>
    <t xml:space="preserve">Auto Body Technician/Denter</t>
  </si>
  <si>
    <t xml:space="preserve">7213.0302</t>
  </si>
  <si>
    <t xml:space="preserve">Sheet Metal Worker, General/Sheet Metal Worker – Hand Tools and Manually Operated Machines</t>
  </si>
  <si>
    <t xml:space="preserve">7213.0101</t>
  </si>
  <si>
    <t xml:space="preserve">7213.10</t>
  </si>
  <si>
    <t xml:space="preserve">Serang, Deck/Bosun</t>
  </si>
  <si>
    <t xml:space="preserve">8350.0100</t>
  </si>
  <si>
    <t xml:space="preserve">8340.10</t>
  </si>
  <si>
    <t xml:space="preserve">Seaconny/OS (Ordinary Seaman)</t>
  </si>
  <si>
    <t xml:space="preserve">8350.0300</t>
  </si>
  <si>
    <t xml:space="preserve">8340.20</t>
  </si>
  <si>
    <t xml:space="preserve">Lascar/OS (Ordinary Seaman)</t>
  </si>
  <si>
    <t xml:space="preserve">8350.0400</t>
  </si>
  <si>
    <t xml:space="preserve">Driver, Launch/Tug Master</t>
  </si>
  <si>
    <t xml:space="preserve">8350.0500</t>
  </si>
  <si>
    <t xml:space="preserve">8340.30</t>
  </si>
  <si>
    <t xml:space="preserve">Boatman</t>
  </si>
  <si>
    <t xml:space="preserve">8350.0600</t>
  </si>
  <si>
    <t xml:space="preserve">8340.40</t>
  </si>
  <si>
    <t xml:space="preserve">Rudderman</t>
  </si>
  <si>
    <t xml:space="preserve">8350.0700</t>
  </si>
  <si>
    <t xml:space="preserve">8340.50</t>
  </si>
  <si>
    <t xml:space="preserve">Oarsman</t>
  </si>
  <si>
    <t xml:space="preserve">8350.0800</t>
  </si>
  <si>
    <t xml:space="preserve">8340.60</t>
  </si>
  <si>
    <t xml:space="preserve">Ships’ Deck Ratings, Barge Crews and Boatmen, Other</t>
  </si>
  <si>
    <t xml:space="preserve">8350.9900</t>
  </si>
  <si>
    <t xml:space="preserve">8340.90</t>
  </si>
  <si>
    <t xml:space="preserve">Captain, Ship/Master</t>
  </si>
  <si>
    <t xml:space="preserve">3152.0100</t>
  </si>
  <si>
    <t xml:space="preserve">3142.10</t>
  </si>
  <si>
    <t xml:space="preserve">Chief Officer, Ship</t>
  </si>
  <si>
    <t xml:space="preserve">3152.0200</t>
  </si>
  <si>
    <t xml:space="preserve">3142.20</t>
  </si>
  <si>
    <t xml:space="preserve">Second Officer, Ship</t>
  </si>
  <si>
    <t xml:space="preserve">3152.0300</t>
  </si>
  <si>
    <t xml:space="preserve">3142.30</t>
  </si>
  <si>
    <t xml:space="preserve">Third Officer, Ship</t>
  </si>
  <si>
    <t xml:space="preserve">3152.0400</t>
  </si>
  <si>
    <t xml:space="preserve">3142.40</t>
  </si>
  <si>
    <t xml:space="preserve">Harbour Master</t>
  </si>
  <si>
    <t xml:space="preserve">3152.0500</t>
  </si>
  <si>
    <t xml:space="preserve">3142.50</t>
  </si>
  <si>
    <t xml:space="preserve">Pilot Ship/Bay Pilot/Harbour Pilot/Channel Pilot</t>
  </si>
  <si>
    <t xml:space="preserve">3152.0600</t>
  </si>
  <si>
    <t xml:space="preserve">3142.60</t>
  </si>
  <si>
    <t xml:space="preserve">Ferry Officer</t>
  </si>
  <si>
    <t xml:space="preserve">3152.0900</t>
  </si>
  <si>
    <t xml:space="preserve">3142.85</t>
  </si>
  <si>
    <t xml:space="preserve">Ship’s Deck Officers and Pilots, Other</t>
  </si>
  <si>
    <t xml:space="preserve">3152.9900</t>
  </si>
  <si>
    <t xml:space="preserve">3142.90</t>
  </si>
  <si>
    <t xml:space="preserve">Chief Engineer, Ship</t>
  </si>
  <si>
    <t xml:space="preserve">3151.0100</t>
  </si>
  <si>
    <t xml:space="preserve">3141.10</t>
  </si>
  <si>
    <t xml:space="preserve">Second Engineer, Ship</t>
  </si>
  <si>
    <t xml:space="preserve">3151.0200</t>
  </si>
  <si>
    <t xml:space="preserve">3141.20</t>
  </si>
  <si>
    <t xml:space="preserve">Third Engineer, Ship</t>
  </si>
  <si>
    <t xml:space="preserve">3151.0300</t>
  </si>
  <si>
    <t xml:space="preserve">3141.30</t>
  </si>
  <si>
    <t xml:space="preserve">Fourth Engineer, Ship</t>
  </si>
  <si>
    <t xml:space="preserve">3151.0400</t>
  </si>
  <si>
    <t xml:space="preserve">3141.40</t>
  </si>
  <si>
    <t xml:space="preserve">Fifth Engineer, Ship/Junior Engineer</t>
  </si>
  <si>
    <t xml:space="preserve">3151.0500</t>
  </si>
  <si>
    <t xml:space="preserve">3141.50</t>
  </si>
  <si>
    <t xml:space="preserve">Ship and Aircraft Controllers and Technicians, Other</t>
  </si>
  <si>
    <t xml:space="preserve">3151.9900</t>
  </si>
  <si>
    <t xml:space="preserve">3141.90</t>
  </si>
  <si>
    <t xml:space="preserve">Sole Rounding Machine Operator</t>
  </si>
  <si>
    <t xml:space="preserve">8156.0500</t>
  </si>
  <si>
    <t xml:space="preserve">8266.18</t>
  </si>
  <si>
    <t xml:space="preserve">Nailer, Machine/Machine Operator, Nailing</t>
  </si>
  <si>
    <t xml:space="preserve">8156.0600</t>
  </si>
  <si>
    <t xml:space="preserve">8266.20</t>
  </si>
  <si>
    <t xml:space="preserve">Cutter, Machine/Cutter (Footwear)</t>
  </si>
  <si>
    <t xml:space="preserve">8156.0701</t>
  </si>
  <si>
    <t xml:space="preserve">8266.22</t>
  </si>
  <si>
    <t xml:space="preserve">Leather Cutter, Machine</t>
  </si>
  <si>
    <t xml:space="preserve">8156.0800</t>
  </si>
  <si>
    <t xml:space="preserve">8266.23</t>
  </si>
  <si>
    <t xml:space="preserve">Welt Sewer, Machine/Machine Operator, Welt Sewing</t>
  </si>
  <si>
    <t xml:space="preserve">8156.0900</t>
  </si>
  <si>
    <t xml:space="preserve">8266.25</t>
  </si>
  <si>
    <t xml:space="preserve">Stitching Operator (Footwear)</t>
  </si>
  <si>
    <t xml:space="preserve">8156.0901</t>
  </si>
  <si>
    <t xml:space="preserve">Pounding Machine Operator (Footwear)</t>
  </si>
  <si>
    <t xml:space="preserve">8156.0100</t>
  </si>
  <si>
    <t xml:space="preserve">8266.10</t>
  </si>
  <si>
    <t xml:space="preserve">Splitter, Machine/Splitting Machine Operator</t>
  </si>
  <si>
    <t xml:space="preserve">8156.1700</t>
  </si>
  <si>
    <t xml:space="preserve">8266.38</t>
  </si>
  <si>
    <t xml:space="preserve">Heeler, Machine/Heel Attacher</t>
  </si>
  <si>
    <t xml:space="preserve">8156.1800</t>
  </si>
  <si>
    <t xml:space="preserve">8266.40</t>
  </si>
  <si>
    <t xml:space="preserve">Heel Compressor, Machine (Footwear)</t>
  </si>
  <si>
    <t xml:space="preserve">8156.1900</t>
  </si>
  <si>
    <t xml:space="preserve">8266.42</t>
  </si>
  <si>
    <t xml:space="preserve">Sole Leveller, Machine</t>
  </si>
  <si>
    <t xml:space="preserve">8156.2000</t>
  </si>
  <si>
    <t xml:space="preserve">8266.45</t>
  </si>
  <si>
    <t xml:space="preserve">Trimmer, Machine</t>
  </si>
  <si>
    <t xml:space="preserve">8156.2100</t>
  </si>
  <si>
    <t xml:space="preserve">8266.50</t>
  </si>
  <si>
    <t xml:space="preserve">Edge Setter, Machine</t>
  </si>
  <si>
    <t xml:space="preserve">8156.2200</t>
  </si>
  <si>
    <t xml:space="preserve">8266.55</t>
  </si>
  <si>
    <t xml:space="preserve">Edge Burnisher</t>
  </si>
  <si>
    <t xml:space="preserve">8156.2300</t>
  </si>
  <si>
    <t xml:space="preserve">8266.60</t>
  </si>
  <si>
    <t xml:space="preserve">Skiver, Machine/Skiving Operator</t>
  </si>
  <si>
    <t xml:space="preserve">8156.1001</t>
  </si>
  <si>
    <t xml:space="preserve">8266.26</t>
  </si>
  <si>
    <t xml:space="preserve">Heel Padding Machine Operator</t>
  </si>
  <si>
    <t xml:space="preserve">8156.2400</t>
  </si>
  <si>
    <t xml:space="preserve">8266.65</t>
  </si>
  <si>
    <t xml:space="preserve">Laster, Machine/Lasting Operator</t>
  </si>
  <si>
    <t xml:space="preserve">8156.1401</t>
  </si>
  <si>
    <t xml:space="preserve">8266.32</t>
  </si>
  <si>
    <t xml:space="preserve">Eyeleting Machine Operator</t>
  </si>
  <si>
    <t xml:space="preserve">8156.2500</t>
  </si>
  <si>
    <t xml:space="preserve">8266.68</t>
  </si>
  <si>
    <t xml:space="preserve">Sole Stitcher, Machine</t>
  </si>
  <si>
    <t xml:space="preserve">8156.1500</t>
  </si>
  <si>
    <t xml:space="preserve">8266.35</t>
  </si>
  <si>
    <t xml:space="preserve">Seat Laster, Machine/Lasting Machine Operator</t>
  </si>
  <si>
    <t xml:space="preserve">8156.1600</t>
  </si>
  <si>
    <t xml:space="preserve">8266.36</t>
  </si>
  <si>
    <t xml:space="preserve">Cutting, Lasting and Sewing Machine Operators, Other</t>
  </si>
  <si>
    <t xml:space="preserve">8156.9900</t>
  </si>
  <si>
    <t xml:space="preserve">8266.90</t>
  </si>
  <si>
    <t xml:space="preserve">Pre-Assembly Operator</t>
  </si>
  <si>
    <t xml:space="preserve">8156.2501</t>
  </si>
  <si>
    <t xml:space="preserve">Riveting Machine Operator</t>
  </si>
  <si>
    <t xml:space="preserve">8156.2600</t>
  </si>
  <si>
    <t xml:space="preserve">8266.70</t>
  </si>
  <si>
    <t xml:space="preserve">Helper – Bottom Making (Footwear)</t>
  </si>
  <si>
    <t xml:space="preserve">8156.2601</t>
  </si>
  <si>
    <t xml:space="preserve">Heel Builder, Machine (Footwear)/Machine Operator – Heel Building</t>
  </si>
  <si>
    <t xml:space="preserve">8156.0400</t>
  </si>
  <si>
    <t xml:space="preserve">8266.16</t>
  </si>
  <si>
    <t xml:space="preserve">Heel Breaster, Machine (Footwear)/Machine Operator – Heel Breasting</t>
  </si>
  <si>
    <t xml:space="preserve">8156.0200</t>
  </si>
  <si>
    <t xml:space="preserve">8266.12</t>
  </si>
  <si>
    <t xml:space="preserve">Helper – Upper Making (Footwear)</t>
  </si>
  <si>
    <t xml:space="preserve">8156.2602</t>
  </si>
  <si>
    <t xml:space="preserve">Shoemaker, Hand</t>
  </si>
  <si>
    <t xml:space="preserve">7536.0100</t>
  </si>
  <si>
    <t xml:space="preserve">7442.10</t>
  </si>
  <si>
    <t xml:space="preserve">Shoe Repairer, Cobbler/Shoemaker Cobbler</t>
  </si>
  <si>
    <t xml:space="preserve">7536.0300</t>
  </si>
  <si>
    <t xml:space="preserve">7442.14</t>
  </si>
  <si>
    <t xml:space="preserve">Pattern Maker (Footwear)</t>
  </si>
  <si>
    <t xml:space="preserve">7536.0400</t>
  </si>
  <si>
    <t xml:space="preserve">7442.16</t>
  </si>
  <si>
    <t xml:space="preserve">Cutter, Hand</t>
  </si>
  <si>
    <t xml:space="preserve">7536.0500</t>
  </si>
  <si>
    <t xml:space="preserve">7442.18</t>
  </si>
  <si>
    <t xml:space="preserve">Skiver, Hand (Footwear)</t>
  </si>
  <si>
    <t xml:space="preserve">7536.0600</t>
  </si>
  <si>
    <t xml:space="preserve">7442.20</t>
  </si>
  <si>
    <t xml:space="preserve">Laster, Hand</t>
  </si>
  <si>
    <t xml:space="preserve">7536.0800</t>
  </si>
  <si>
    <t xml:space="preserve">7442.32</t>
  </si>
  <si>
    <t xml:space="preserve">Counter Moulder</t>
  </si>
  <si>
    <t xml:space="preserve">7536.1200</t>
  </si>
  <si>
    <t xml:space="preserve">7442.45</t>
  </si>
  <si>
    <t xml:space="preserve">Sole Stitcher, Hand</t>
  </si>
  <si>
    <t xml:space="preserve">7536.1500</t>
  </si>
  <si>
    <t xml:space="preserve">7442.60</t>
  </si>
  <si>
    <t xml:space="preserve">Heel Attacher, Hand (Footwear)</t>
  </si>
  <si>
    <t xml:space="preserve">7536.1600</t>
  </si>
  <si>
    <t xml:space="preserve">7442.65</t>
  </si>
  <si>
    <t xml:space="preserve">Trimmer, Hand</t>
  </si>
  <si>
    <t xml:space="preserve">7536.1700</t>
  </si>
  <si>
    <t xml:space="preserve">7442.70</t>
  </si>
  <si>
    <t xml:space="preserve">Shoemaker, Orthopaedic</t>
  </si>
  <si>
    <t xml:space="preserve">7536.0200</t>
  </si>
  <si>
    <t xml:space="preserve">7442.12</t>
  </si>
  <si>
    <t xml:space="preserve">Harness Maker</t>
  </si>
  <si>
    <t xml:space="preserve">7536.1800</t>
  </si>
  <si>
    <t xml:space="preserve">7442.72</t>
  </si>
  <si>
    <t xml:space="preserve">Saddler</t>
  </si>
  <si>
    <t xml:space="preserve">7536.1900</t>
  </si>
  <si>
    <t xml:space="preserve">7442.75</t>
  </si>
  <si>
    <t xml:space="preserve">Leather Cutter, Hand</t>
  </si>
  <si>
    <t xml:space="preserve">7536.2000</t>
  </si>
  <si>
    <t xml:space="preserve">7442.76</t>
  </si>
  <si>
    <t xml:space="preserve">Stitcher, Hand</t>
  </si>
  <si>
    <t xml:space="preserve">7536.2100</t>
  </si>
  <si>
    <t xml:space="preserve">7442.78</t>
  </si>
  <si>
    <t xml:space="preserve">Assembler, Hand</t>
  </si>
  <si>
    <t xml:space="preserve">7536.2200</t>
  </si>
  <si>
    <t xml:space="preserve">7442.79</t>
  </si>
  <si>
    <t xml:space="preserve">Suitcase Maker</t>
  </si>
  <si>
    <t xml:space="preserve">7536.2300</t>
  </si>
  <si>
    <t xml:space="preserve">7442.80</t>
  </si>
  <si>
    <t xml:space="preserve">Purse Maker</t>
  </si>
  <si>
    <t xml:space="preserve">7536.2400</t>
  </si>
  <si>
    <t xml:space="preserve">7442.81</t>
  </si>
  <si>
    <t xml:space="preserve">Whip Maker</t>
  </si>
  <si>
    <t xml:space="preserve">7536.2500</t>
  </si>
  <si>
    <t xml:space="preserve">7442.82</t>
  </si>
  <si>
    <t xml:space="preserve">Belt Maker</t>
  </si>
  <si>
    <t xml:space="preserve">7536.2600</t>
  </si>
  <si>
    <t xml:space="preserve">7442.83</t>
  </si>
  <si>
    <t xml:space="preserve">Horn Comb Maker (Hand)</t>
  </si>
  <si>
    <t xml:space="preserve">7536.2700</t>
  </si>
  <si>
    <t xml:space="preserve">7442.85</t>
  </si>
  <si>
    <t xml:space="preserve">Shoemaker and Related Workers, Other</t>
  </si>
  <si>
    <t xml:space="preserve">7536.9900</t>
  </si>
  <si>
    <t xml:space="preserve">7442.90</t>
  </si>
  <si>
    <t xml:space="preserve">Trainee Associate</t>
  </si>
  <si>
    <t xml:space="preserve">5223.0105</t>
  </si>
  <si>
    <t xml:space="preserve">Shop Assistant</t>
  </si>
  <si>
    <t xml:space="preserve">5223.0100</t>
  </si>
  <si>
    <t xml:space="preserve">5220.40</t>
  </si>
  <si>
    <t xml:space="preserve">Order Processor</t>
  </si>
  <si>
    <t xml:space="preserve">5223.0101</t>
  </si>
  <si>
    <t xml:space="preserve">Jewellery Retail Sales Associate (Basic)</t>
  </si>
  <si>
    <t xml:space="preserve">5223.0102</t>
  </si>
  <si>
    <t xml:space="preserve">Jewellery Retail Sales Associate (Advanced)</t>
  </si>
  <si>
    <t xml:space="preserve">5223.0103</t>
  </si>
  <si>
    <t xml:space="preserve">Plumbing Products Sales Assistant</t>
  </si>
  <si>
    <t xml:space="preserve">5223.0104</t>
  </si>
  <si>
    <t xml:space="preserve">5222.0100</t>
  </si>
  <si>
    <t xml:space="preserve">5220.10</t>
  </si>
  <si>
    <t xml:space="preserve">Area Parts Manager (APM)</t>
  </si>
  <si>
    <t xml:space="preserve">5222.0101</t>
  </si>
  <si>
    <t xml:space="preserve">Sales Supervisor, Retail Trade/CRM Manager</t>
  </si>
  <si>
    <t xml:space="preserve">5222.0201</t>
  </si>
  <si>
    <t xml:space="preserve">5220.15</t>
  </si>
  <si>
    <t xml:space="preserve">Cobber, Mica</t>
  </si>
  <si>
    <t xml:space="preserve">7542.0300</t>
  </si>
  <si>
    <t xml:space="preserve">7119.20</t>
  </si>
  <si>
    <t xml:space="preserve">Sickle Dresser, Mica</t>
  </si>
  <si>
    <t xml:space="preserve">7542.0400</t>
  </si>
  <si>
    <t xml:space="preserve">7119.30</t>
  </si>
  <si>
    <t xml:space="preserve">Screener, Mica</t>
  </si>
  <si>
    <t xml:space="preserve">7542.0500</t>
  </si>
  <si>
    <t xml:space="preserve">7119.40</t>
  </si>
  <si>
    <t xml:space="preserve">Knife Dresser, Mica</t>
  </si>
  <si>
    <t xml:space="preserve">7542.0600</t>
  </si>
  <si>
    <t xml:space="preserve">7119.50</t>
  </si>
  <si>
    <t xml:space="preserve">Film Splitter, Mica</t>
  </si>
  <si>
    <t xml:space="preserve">7542.0700</t>
  </si>
  <si>
    <t xml:space="preserve">7119.60</t>
  </si>
  <si>
    <t xml:space="preserve">Deep Cell Attendant</t>
  </si>
  <si>
    <t xml:space="preserve">7542.0800</t>
  </si>
  <si>
    <t xml:space="preserve">7119.70</t>
  </si>
  <si>
    <t xml:space="preserve">Shotfirers and Blasters, Other</t>
  </si>
  <si>
    <t xml:space="preserve">7542.9900</t>
  </si>
  <si>
    <t xml:space="preserve">7112.90</t>
  </si>
  <si>
    <t xml:space="preserve">Shotfirer</t>
  </si>
  <si>
    <t xml:space="preserve">7542.0100</t>
  </si>
  <si>
    <t xml:space="preserve">7112.10</t>
  </si>
  <si>
    <t xml:space="preserve">Person Handling Explosives</t>
  </si>
  <si>
    <t xml:space="preserve">7542.0101</t>
  </si>
  <si>
    <t xml:space="preserve">Safety Lamp Checker</t>
  </si>
  <si>
    <t xml:space="preserve">7542.0200</t>
  </si>
  <si>
    <t xml:space="preserve">7119.10</t>
  </si>
  <si>
    <t xml:space="preserve">Hand Painter (Ceramics)</t>
  </si>
  <si>
    <t xml:space="preserve">7316.0700</t>
  </si>
  <si>
    <t xml:space="preserve">7324.20</t>
  </si>
  <si>
    <t xml:space="preserve">Decorator (Ceramics)</t>
  </si>
  <si>
    <t xml:space="preserve">7316.0800</t>
  </si>
  <si>
    <t xml:space="preserve">7324.30</t>
  </si>
  <si>
    <t xml:space="preserve">Spray Painter, (Ceramics)</t>
  </si>
  <si>
    <t xml:space="preserve">7316.0900</t>
  </si>
  <si>
    <t xml:space="preserve">7324.40</t>
  </si>
  <si>
    <t xml:space="preserve">Glazer, Pottery and Porcelain</t>
  </si>
  <si>
    <t xml:space="preserve">7316.1000</t>
  </si>
  <si>
    <t xml:space="preserve">7324.50</t>
  </si>
  <si>
    <t xml:space="preserve">Mirror Silverer</t>
  </si>
  <si>
    <t xml:space="preserve">7316.1100</t>
  </si>
  <si>
    <t xml:space="preserve">7324.60</t>
  </si>
  <si>
    <t xml:space="preserve">Engraver, Glass</t>
  </si>
  <si>
    <t xml:space="preserve">7316.0100</t>
  </si>
  <si>
    <t xml:space="preserve">7323.10</t>
  </si>
  <si>
    <t xml:space="preserve">Signwriter, Decorative Painters, Engravers and Etchers, Other</t>
  </si>
  <si>
    <t xml:space="preserve">7316.1200</t>
  </si>
  <si>
    <t xml:space="preserve">7324.90</t>
  </si>
  <si>
    <t xml:space="preserve">Glass Etcher</t>
  </si>
  <si>
    <t xml:space="preserve">7316.0200</t>
  </si>
  <si>
    <t xml:space="preserve">7323.20</t>
  </si>
  <si>
    <t xml:space="preserve">Sand Blaster (Glass)</t>
  </si>
  <si>
    <t xml:space="preserve">7316.0300</t>
  </si>
  <si>
    <t xml:space="preserve">7323.30</t>
  </si>
  <si>
    <t xml:space="preserve">Volume Man/Calibrating Technician</t>
  </si>
  <si>
    <t xml:space="preserve">7316.0400</t>
  </si>
  <si>
    <t xml:space="preserve">7323.40</t>
  </si>
  <si>
    <t xml:space="preserve">Waxing Man (Glass)/Helper Calibrator/Decorator, Glass</t>
  </si>
  <si>
    <t xml:space="preserve">7316.0500</t>
  </si>
  <si>
    <t xml:space="preserve">7323.50</t>
  </si>
  <si>
    <t xml:space="preserve">Glass Enameller</t>
  </si>
  <si>
    <t xml:space="preserve">7316.0600</t>
  </si>
  <si>
    <t xml:space="preserve">7324.10</t>
  </si>
  <si>
    <t xml:space="preserve">Labour Welfare Officer</t>
  </si>
  <si>
    <t xml:space="preserve">2635.0100</t>
  </si>
  <si>
    <t xml:space="preserve">2446.10</t>
  </si>
  <si>
    <t xml:space="preserve">Probation Officer</t>
  </si>
  <si>
    <t xml:space="preserve">2635.0300</t>
  </si>
  <si>
    <t xml:space="preserve">2446.30</t>
  </si>
  <si>
    <t xml:space="preserve">Medical Social Worker</t>
  </si>
  <si>
    <t xml:space="preserve">2635.0400</t>
  </si>
  <si>
    <t xml:space="preserve">2446.40</t>
  </si>
  <si>
    <t xml:space="preserve">Child and Family Social Worker</t>
  </si>
  <si>
    <t xml:space="preserve">2635.0500</t>
  </si>
  <si>
    <t xml:space="preserve">2446.42</t>
  </si>
  <si>
    <t xml:space="preserve">Health Educator</t>
  </si>
  <si>
    <t xml:space="preserve">2635.0600</t>
  </si>
  <si>
    <t xml:space="preserve">2446.45</t>
  </si>
  <si>
    <t xml:space="preserve">Child Welfare Organizer</t>
  </si>
  <si>
    <t xml:space="preserve">2635.0800</t>
  </si>
  <si>
    <t xml:space="preserve">2446.55</t>
  </si>
  <si>
    <t xml:space="preserve">Family Planning Organizer</t>
  </si>
  <si>
    <t xml:space="preserve">2635.0900</t>
  </si>
  <si>
    <t xml:space="preserve">2446.60</t>
  </si>
  <si>
    <t xml:space="preserve">Vocational Rehabilitation Counsellor</t>
  </si>
  <si>
    <t xml:space="preserve">2635.1000</t>
  </si>
  <si>
    <t xml:space="preserve">2446.80</t>
  </si>
  <si>
    <t xml:space="preserve">Counsellor, Marriage and Family</t>
  </si>
  <si>
    <t xml:space="preserve">2635.1100</t>
  </si>
  <si>
    <t xml:space="preserve">2446.85</t>
  </si>
  <si>
    <t xml:space="preserve">Social Work Professionals, Other</t>
  </si>
  <si>
    <t xml:space="preserve">2635.9900</t>
  </si>
  <si>
    <t xml:space="preserve">2446.90</t>
  </si>
  <si>
    <t xml:space="preserve">Women’s Welfare Officer</t>
  </si>
  <si>
    <t xml:space="preserve">2635.0200</t>
  </si>
  <si>
    <t xml:space="preserve">2446.20</t>
  </si>
  <si>
    <t xml:space="preserve">Women’s Welfare Organizer</t>
  </si>
  <si>
    <t xml:space="preserve">2635.0700</t>
  </si>
  <si>
    <t xml:space="preserve">2446.50</t>
  </si>
  <si>
    <t xml:space="preserve">Blood Donor Unit Assistant</t>
  </si>
  <si>
    <t xml:space="preserve">3412.0100</t>
  </si>
  <si>
    <t xml:space="preserve">3460.10</t>
  </si>
  <si>
    <t xml:space="preserve">Equal Opportunity Officer</t>
  </si>
  <si>
    <t xml:space="preserve">3412.0200</t>
  </si>
  <si>
    <t xml:space="preserve">3460.20</t>
  </si>
  <si>
    <t xml:space="preserve">Social Work Associate Professionals</t>
  </si>
  <si>
    <t xml:space="preserve">3412.9900</t>
  </si>
  <si>
    <t xml:space="preserve">3460.90</t>
  </si>
  <si>
    <t xml:space="preserve">Sociologist, General</t>
  </si>
  <si>
    <t xml:space="preserve">2632.0100</t>
  </si>
  <si>
    <t xml:space="preserve">2442.10</t>
  </si>
  <si>
    <t xml:space="preserve">Clinical Sociologist</t>
  </si>
  <si>
    <t xml:space="preserve">2632.0300</t>
  </si>
  <si>
    <t xml:space="preserve">2442.25</t>
  </si>
  <si>
    <t xml:space="preserve">Demographer</t>
  </si>
  <si>
    <t xml:space="preserve">2632.0400</t>
  </si>
  <si>
    <t xml:space="preserve">2442.30</t>
  </si>
  <si>
    <t xml:space="preserve">Criminologists</t>
  </si>
  <si>
    <t xml:space="preserve">2632.0500</t>
  </si>
  <si>
    <t xml:space="preserve">2442.40</t>
  </si>
  <si>
    <t xml:space="preserve">Penologist</t>
  </si>
  <si>
    <t xml:space="preserve">2632.0600</t>
  </si>
  <si>
    <t xml:space="preserve">2442.50</t>
  </si>
  <si>
    <t xml:space="preserve">Anthropologist, General</t>
  </si>
  <si>
    <t xml:space="preserve">2632.0700</t>
  </si>
  <si>
    <t xml:space="preserve">2442.60</t>
  </si>
  <si>
    <t xml:space="preserve">Anthropologist, Physical</t>
  </si>
  <si>
    <t xml:space="preserve">2632.0800</t>
  </si>
  <si>
    <t xml:space="preserve">2442.70</t>
  </si>
  <si>
    <t xml:space="preserve">Anthropologist, Cultural</t>
  </si>
  <si>
    <t xml:space="preserve">2632.0900</t>
  </si>
  <si>
    <t xml:space="preserve">2442.75</t>
  </si>
  <si>
    <t xml:space="preserve">Genealogist</t>
  </si>
  <si>
    <t xml:space="preserve">2632.1000</t>
  </si>
  <si>
    <t xml:space="preserve">2442.77</t>
  </si>
  <si>
    <t xml:space="preserve">Archaeologist</t>
  </si>
  <si>
    <t xml:space="preserve">2632.1100</t>
  </si>
  <si>
    <t xml:space="preserve">2442.80</t>
  </si>
  <si>
    <t xml:space="preserve">Geographer</t>
  </si>
  <si>
    <t xml:space="preserve">2632.1200</t>
  </si>
  <si>
    <t xml:space="preserve">2442.85</t>
  </si>
  <si>
    <t xml:space="preserve">Social Ecologist</t>
  </si>
  <si>
    <t xml:space="preserve">2632.0200</t>
  </si>
  <si>
    <t xml:space="preserve">2442.20</t>
  </si>
  <si>
    <t xml:space="preserve">Sociologists, Anthropologists and Related Professionals, Other</t>
  </si>
  <si>
    <t xml:space="preserve">2632.9900</t>
  </si>
  <si>
    <t xml:space="preserve">2442.90</t>
  </si>
  <si>
    <t xml:space="preserve">System Programmer</t>
  </si>
  <si>
    <t xml:space="preserve">2519.0100</t>
  </si>
  <si>
    <t xml:space="preserve">2132.50</t>
  </si>
  <si>
    <t xml:space="preserve">Quality Assurance Analyst (Computers)</t>
  </si>
  <si>
    <t xml:space="preserve">2519.0300</t>
  </si>
  <si>
    <t xml:space="preserve">2139.10</t>
  </si>
  <si>
    <t xml:space="preserve">2519.0501</t>
  </si>
  <si>
    <t xml:space="preserve">Quality Assurance Engineer – IT Services</t>
  </si>
  <si>
    <t xml:space="preserve">2519.0301</t>
  </si>
  <si>
    <t xml:space="preserve">Test Engineer – IT Services</t>
  </si>
  <si>
    <t xml:space="preserve">2519.0302</t>
  </si>
  <si>
    <t xml:space="preserve">Quality Assurance Engineer – Software Products</t>
  </si>
  <si>
    <t xml:space="preserve">2519.0401</t>
  </si>
  <si>
    <t xml:space="preserve">Test Engineer – Software Products</t>
  </si>
  <si>
    <t xml:space="preserve">2519.0402</t>
  </si>
  <si>
    <t xml:space="preserve">Computer Programmer/Software Engineer</t>
  </si>
  <si>
    <t xml:space="preserve">2512.0100</t>
  </si>
  <si>
    <t xml:space="preserve">2132.10</t>
  </si>
  <si>
    <t xml:space="preserve">Software Engineer</t>
  </si>
  <si>
    <t xml:space="preserve">2512.0201</t>
  </si>
  <si>
    <t xml:space="preserve">2132.20</t>
  </si>
  <si>
    <t xml:space="preserve">Design Engineer(Product Engineer)</t>
  </si>
  <si>
    <t xml:space="preserve">2512.0203</t>
  </si>
  <si>
    <t xml:space="preserve">Junior Software Developer</t>
  </si>
  <si>
    <t xml:space="preserve">2512.0205</t>
  </si>
  <si>
    <t xml:space="preserve">Programmer Analyst</t>
  </si>
  <si>
    <t xml:space="preserve">2512.0300</t>
  </si>
  <si>
    <t xml:space="preserve">2132.30</t>
  </si>
  <si>
    <t xml:space="preserve">FPGA Design Engineer</t>
  </si>
  <si>
    <t xml:space="preserve">2512.0401</t>
  </si>
  <si>
    <t xml:space="preserve">Embedded Software Engineer</t>
  </si>
  <si>
    <t xml:space="preserve">2512.0501</t>
  </si>
  <si>
    <t xml:space="preserve">Application Maintenance Engineer</t>
  </si>
  <si>
    <t xml:space="preserve">2512.0701</t>
  </si>
  <si>
    <t xml:space="preserve">Programmer, Engineering and Scientific/System Programmer</t>
  </si>
  <si>
    <t xml:space="preserve">2512.0800</t>
  </si>
  <si>
    <t xml:space="preserve">2132.40</t>
  </si>
  <si>
    <t xml:space="preserve">Test Engineer – Software</t>
  </si>
  <si>
    <t xml:space="preserve">2512.0202</t>
  </si>
  <si>
    <t xml:space="preserve">Software Developer – Application Development</t>
  </si>
  <si>
    <t xml:space="preserve">2512.0204</t>
  </si>
  <si>
    <t xml:space="preserve">Engineer Trainee – IT Services</t>
  </si>
  <si>
    <t xml:space="preserve">2512.0206</t>
  </si>
  <si>
    <t xml:space="preserve">Engineer Trainee – Engineering Analysis</t>
  </si>
  <si>
    <t xml:space="preserve">2512.0207</t>
  </si>
  <si>
    <t xml:space="preserve">Software Developer – Product Development and Delivery</t>
  </si>
  <si>
    <t xml:space="preserve">2512.0301</t>
  </si>
  <si>
    <t xml:space="preserve">Design Engineer – Engineering Analysis</t>
  </si>
  <si>
    <t xml:space="preserve">2512.0601</t>
  </si>
  <si>
    <t xml:space="preserve">Teacher for Visually Impaired</t>
  </si>
  <si>
    <t xml:space="preserve">2352.0100</t>
  </si>
  <si>
    <t xml:space="preserve">3330.10</t>
  </si>
  <si>
    <t xml:space="preserve">Teacher for Hearing-Impaired</t>
  </si>
  <si>
    <t xml:space="preserve">2352.0200</t>
  </si>
  <si>
    <t xml:space="preserve">3330.20</t>
  </si>
  <si>
    <t xml:space="preserve">Teacher for Differently-Abled (Mental)</t>
  </si>
  <si>
    <t xml:space="preserve">2352.0300</t>
  </si>
  <si>
    <t xml:space="preserve">3330.30</t>
  </si>
  <si>
    <t xml:space="preserve">Teacher for Differently-Abled (Physical)</t>
  </si>
  <si>
    <t xml:space="preserve">2352.0400</t>
  </si>
  <si>
    <t xml:space="preserve">3330.40</t>
  </si>
  <si>
    <t xml:space="preserve">Teacher for Differently-Abled, Other</t>
  </si>
  <si>
    <t xml:space="preserve">2352.9900</t>
  </si>
  <si>
    <t xml:space="preserve">3330.90</t>
  </si>
  <si>
    <t xml:space="preserve">Neurologist</t>
  </si>
  <si>
    <t xml:space="preserve">2212.0100</t>
  </si>
  <si>
    <t xml:space="preserve">2221.35</t>
  </si>
  <si>
    <t xml:space="preserve">Dermatologist</t>
  </si>
  <si>
    <t xml:space="preserve">2212.0200</t>
  </si>
  <si>
    <t xml:space="preserve">2221.40</t>
  </si>
  <si>
    <t xml:space="preserve">Allergy Specialist</t>
  </si>
  <si>
    <t xml:space="preserve">2212.0300</t>
  </si>
  <si>
    <t xml:space="preserve">2221.42</t>
  </si>
  <si>
    <t xml:space="preserve">Ear, Nose and Throat Specialist</t>
  </si>
  <si>
    <t xml:space="preserve">2212.0400</t>
  </si>
  <si>
    <t xml:space="preserve">2221.45</t>
  </si>
  <si>
    <t xml:space="preserve">Pathologist, Medical</t>
  </si>
  <si>
    <t xml:space="preserve">2212.1700</t>
  </si>
  <si>
    <t xml:space="preserve">2212.40</t>
  </si>
  <si>
    <t xml:space="preserve">Tuberculosis Specialist</t>
  </si>
  <si>
    <t xml:space="preserve">2212.0700</t>
  </si>
  <si>
    <t xml:space="preserve">2221.60</t>
  </si>
  <si>
    <t xml:space="preserve">Ophthalmologist</t>
  </si>
  <si>
    <t xml:space="preserve">2212.0800</t>
  </si>
  <si>
    <t xml:space="preserve">2221.65</t>
  </si>
  <si>
    <t xml:space="preserve">Urologist</t>
  </si>
  <si>
    <t xml:space="preserve">2212.0900</t>
  </si>
  <si>
    <t xml:space="preserve">2221.68</t>
  </si>
  <si>
    <t xml:space="preserve">Venereologist</t>
  </si>
  <si>
    <t xml:space="preserve">2212.1000</t>
  </si>
  <si>
    <t xml:space="preserve">2221.70</t>
  </si>
  <si>
    <t xml:space="preserve">Obstetrician</t>
  </si>
  <si>
    <t xml:space="preserve">2212.1100</t>
  </si>
  <si>
    <t xml:space="preserve">2221.75</t>
  </si>
  <si>
    <t xml:space="preserve">Gynaecologist</t>
  </si>
  <si>
    <t xml:space="preserve">2212.1200</t>
  </si>
  <si>
    <t xml:space="preserve">2221.78</t>
  </si>
  <si>
    <t xml:space="preserve">Paediatrician</t>
  </si>
  <si>
    <t xml:space="preserve">2212.1300</t>
  </si>
  <si>
    <t xml:space="preserve">2221.80</t>
  </si>
  <si>
    <t xml:space="preserve">Orthopaedist</t>
  </si>
  <si>
    <t xml:space="preserve">2212.1400</t>
  </si>
  <si>
    <t xml:space="preserve">2221.85</t>
  </si>
  <si>
    <t xml:space="preserve">Pharmacologist</t>
  </si>
  <si>
    <t xml:space="preserve">2212.1500</t>
  </si>
  <si>
    <t xml:space="preserve">2212.30</t>
  </si>
  <si>
    <t xml:space="preserve">Cardiologist</t>
  </si>
  <si>
    <t xml:space="preserve">2212.0500</t>
  </si>
  <si>
    <t xml:space="preserve">2221.50</t>
  </si>
  <si>
    <t xml:space="preserve">Toxicologist (Pharmaceutical)</t>
  </si>
  <si>
    <t xml:space="preserve">2212.1600</t>
  </si>
  <si>
    <t xml:space="preserve">2212.35</t>
  </si>
  <si>
    <t xml:space="preserve">Radiologist</t>
  </si>
  <si>
    <t xml:space="preserve">2212.0600</t>
  </si>
  <si>
    <t xml:space="preserve">2221.55</t>
  </si>
  <si>
    <t xml:space="preserve">Malariologist, Medical</t>
  </si>
  <si>
    <t xml:space="preserve">2212.1800</t>
  </si>
  <si>
    <t xml:space="preserve">2212.45</t>
  </si>
  <si>
    <t xml:space="preserve">Physiologist, Medical</t>
  </si>
  <si>
    <t xml:space="preserve">2212.1900</t>
  </si>
  <si>
    <t xml:space="preserve">2212.50</t>
  </si>
  <si>
    <t xml:space="preserve">Specialist Medical Practitioners, Other</t>
  </si>
  <si>
    <t xml:space="preserve">2212.9900</t>
  </si>
  <si>
    <t xml:space="preserve">2212.90</t>
  </si>
  <si>
    <t xml:space="preserve">Athletic Coach</t>
  </si>
  <si>
    <t xml:space="preserve">3422.0100</t>
  </si>
  <si>
    <t xml:space="preserve">3475.40</t>
  </si>
  <si>
    <t xml:space="preserve">Sports Coach</t>
  </si>
  <si>
    <t xml:space="preserve">3422.0201</t>
  </si>
  <si>
    <t xml:space="preserve">3475.45</t>
  </si>
  <si>
    <t xml:space="preserve">Riding Instructor</t>
  </si>
  <si>
    <t xml:space="preserve">3422.0300</t>
  </si>
  <si>
    <t xml:space="preserve">3475.50</t>
  </si>
  <si>
    <t xml:space="preserve">Umpire</t>
  </si>
  <si>
    <t xml:space="preserve">3422.0400</t>
  </si>
  <si>
    <t xml:space="preserve">3475.60</t>
  </si>
  <si>
    <t xml:space="preserve">Marker/Groundsmen &amp; Women</t>
  </si>
  <si>
    <t xml:space="preserve">3422.0500</t>
  </si>
  <si>
    <t xml:space="preserve">3475.70</t>
  </si>
  <si>
    <t xml:space="preserve">Sports Coaches, Instructors and Officials, Other</t>
  </si>
  <si>
    <t xml:space="preserve">3422.9900</t>
  </si>
  <si>
    <t xml:space="preserve">3475.90</t>
  </si>
  <si>
    <t xml:space="preserve">General Manager, Recreation and Entertainment</t>
  </si>
  <si>
    <t xml:space="preserve">1431.0100</t>
  </si>
  <si>
    <t xml:space="preserve">1309.10</t>
  </si>
  <si>
    <t xml:space="preserve">Sports, Recreation and Cultural Centre Manager, Other</t>
  </si>
  <si>
    <t xml:space="preserve">1431.9900</t>
  </si>
  <si>
    <t xml:space="preserve">1309.90</t>
  </si>
  <si>
    <t xml:space="preserve">Painter, Sign and Letter</t>
  </si>
  <si>
    <t xml:space="preserve">7132.0400</t>
  </si>
  <si>
    <t xml:space="preserve">7142.30</t>
  </si>
  <si>
    <t xml:space="preserve">Painter, Brush</t>
  </si>
  <si>
    <t xml:space="preserve">7132.0500</t>
  </si>
  <si>
    <t xml:space="preserve">7142.40</t>
  </si>
  <si>
    <t xml:space="preserve">Painter, General</t>
  </si>
  <si>
    <t xml:space="preserve">7132.0100</t>
  </si>
  <si>
    <t xml:space="preserve">7142.10</t>
  </si>
  <si>
    <t xml:space="preserve">Painter, Spray/Painting Technician (Spray Painting)</t>
  </si>
  <si>
    <t xml:space="preserve">7132.0201</t>
  </si>
  <si>
    <t xml:space="preserve">7142.20</t>
  </si>
  <si>
    <t xml:space="preserve">Auto Spray Painter/Painter</t>
  </si>
  <si>
    <t xml:space="preserve">7132.0202</t>
  </si>
  <si>
    <t xml:space="preserve">Automotive Body Painting Technician</t>
  </si>
  <si>
    <t xml:space="preserve">7132.0204</t>
  </si>
  <si>
    <t xml:space="preserve">Auto Spray Painter Assistant/Painter</t>
  </si>
  <si>
    <t xml:space="preserve">7132.0205</t>
  </si>
  <si>
    <t xml:space="preserve">7132.0300</t>
  </si>
  <si>
    <t xml:space="preserve">7142.25</t>
  </si>
  <si>
    <t xml:space="preserve">Painter, Wood Work and Furniture</t>
  </si>
  <si>
    <t xml:space="preserve">7132.0600</t>
  </si>
  <si>
    <t xml:space="preserve">7142.50</t>
  </si>
  <si>
    <t xml:space="preserve">Painter, Glass</t>
  </si>
  <si>
    <t xml:space="preserve">7132.0700</t>
  </si>
  <si>
    <t xml:space="preserve">7142.60</t>
  </si>
  <si>
    <t xml:space="preserve">Painter, Mate</t>
  </si>
  <si>
    <t xml:space="preserve">7132.0900</t>
  </si>
  <si>
    <t xml:space="preserve">7142.80</t>
  </si>
  <si>
    <t xml:space="preserve">Automotive Paint Shop Assistant</t>
  </si>
  <si>
    <t xml:space="preserve">7132.0901</t>
  </si>
  <si>
    <t xml:space="preserve">Varnishers and Related Workers, Other</t>
  </si>
  <si>
    <t xml:space="preserve">7132.9900</t>
  </si>
  <si>
    <t xml:space="preserve">7142.90</t>
  </si>
  <si>
    <t xml:space="preserve">Auto Body Painting Technician – Surface Treatment</t>
  </si>
  <si>
    <t xml:space="preserve">7132.0203</t>
  </si>
  <si>
    <t xml:space="preserve">Advertising Sales Agent/Advertising Executive</t>
  </si>
  <si>
    <t xml:space="preserve">5211.0100</t>
  </si>
  <si>
    <t xml:space="preserve">5230.10</t>
  </si>
  <si>
    <t xml:space="preserve">Shop Attendant/Sales Assistant</t>
  </si>
  <si>
    <t xml:space="preserve">5211.0200</t>
  </si>
  <si>
    <t xml:space="preserve">5230.20</t>
  </si>
  <si>
    <t xml:space="preserve">Telemarketing Sales Person/Telemarketing Sales Operator</t>
  </si>
  <si>
    <t xml:space="preserve">5211.0300</t>
  </si>
  <si>
    <t xml:space="preserve">5230.30</t>
  </si>
  <si>
    <t xml:space="preserve">Telecaller</t>
  </si>
  <si>
    <t xml:space="preserve">5211.0302</t>
  </si>
  <si>
    <t xml:space="preserve">Stall and Market Salespersons, Other</t>
  </si>
  <si>
    <t xml:space="preserve">5211.9900</t>
  </si>
  <si>
    <t xml:space="preserve">5230.90</t>
  </si>
  <si>
    <t xml:space="preserve">Sales Executive – Dealership</t>
  </si>
  <si>
    <t xml:space="preserve">5211.0301</t>
  </si>
  <si>
    <t xml:space="preserve">Statistical Clerks</t>
  </si>
  <si>
    <t xml:space="preserve">4312.0100</t>
  </si>
  <si>
    <t xml:space="preserve">4122.10</t>
  </si>
  <si>
    <t xml:space="preserve">Statistical Finance and Insurance Clerks, Others</t>
  </si>
  <si>
    <t xml:space="preserve">4312.9900</t>
  </si>
  <si>
    <t xml:space="preserve">4122.90</t>
  </si>
  <si>
    <t xml:space="preserve">Economic Investigator</t>
  </si>
  <si>
    <t xml:space="preserve">3314.0100</t>
  </si>
  <si>
    <t xml:space="preserve">3433.10</t>
  </si>
  <si>
    <t xml:space="preserve">Statistical Assistant</t>
  </si>
  <si>
    <t xml:space="preserve">3314.0200</t>
  </si>
  <si>
    <t xml:space="preserve">3433.20</t>
  </si>
  <si>
    <t xml:space="preserve">Statistical, Mathematical and Related Associate Professionals, Other</t>
  </si>
  <si>
    <t xml:space="preserve">3314.9900</t>
  </si>
  <si>
    <t xml:space="preserve">3433.90</t>
  </si>
  <si>
    <t xml:space="preserve">Boiler, Tindal</t>
  </si>
  <si>
    <t xml:space="preserve">8182.0100</t>
  </si>
  <si>
    <t xml:space="preserve">8162.10</t>
  </si>
  <si>
    <t xml:space="preserve">Boiler, Attendant</t>
  </si>
  <si>
    <t xml:space="preserve">8182.0200</t>
  </si>
  <si>
    <t xml:space="preserve">8162.20</t>
  </si>
  <si>
    <t xml:space="preserve">Boiler, Fireman</t>
  </si>
  <si>
    <t xml:space="preserve">8182.0300</t>
  </si>
  <si>
    <t xml:space="preserve">8162.30</t>
  </si>
  <si>
    <t xml:space="preserve">Boiler House Operatives</t>
  </si>
  <si>
    <t xml:space="preserve">8182.0400</t>
  </si>
  <si>
    <t xml:space="preserve">8162.40</t>
  </si>
  <si>
    <t xml:space="preserve">Serang, Engine Room/Engine Bosun</t>
  </si>
  <si>
    <t xml:space="preserve">8182.0500</t>
  </si>
  <si>
    <t xml:space="preserve">8162.50</t>
  </si>
  <si>
    <t xml:space="preserve">Tindal, Engine Room</t>
  </si>
  <si>
    <t xml:space="preserve">8182.0600</t>
  </si>
  <si>
    <t xml:space="preserve">8162.60</t>
  </si>
  <si>
    <t xml:space="preserve">Fireman, Locomotive</t>
  </si>
  <si>
    <t xml:space="preserve">8182.0800</t>
  </si>
  <si>
    <t xml:space="preserve">8162.75</t>
  </si>
  <si>
    <t xml:space="preserve">Ships’ Engine Room Ratings, Other</t>
  </si>
  <si>
    <t xml:space="preserve">8182.9900</t>
  </si>
  <si>
    <t xml:space="preserve">8162.90</t>
  </si>
  <si>
    <t xml:space="preserve">Incoming Inspection Technician</t>
  </si>
  <si>
    <t xml:space="preserve">4321.0302</t>
  </si>
  <si>
    <t xml:space="preserve">Manager Stores Operation</t>
  </si>
  <si>
    <t xml:space="preserve">4321.0401</t>
  </si>
  <si>
    <t xml:space="preserve">Store Keeper</t>
  </si>
  <si>
    <t xml:space="preserve">4321.0100</t>
  </si>
  <si>
    <t xml:space="preserve">4131.10</t>
  </si>
  <si>
    <t xml:space="preserve">Spare Parts Operations Executive</t>
  </si>
  <si>
    <t xml:space="preserve">4321.0101</t>
  </si>
  <si>
    <t xml:space="preserve">Inventory Clerk</t>
  </si>
  <si>
    <t xml:space="preserve">4321.0102</t>
  </si>
  <si>
    <t xml:space="preserve">Inventory Manager</t>
  </si>
  <si>
    <t xml:space="preserve">4321.0103</t>
  </si>
  <si>
    <t xml:space="preserve">Storage Assistant</t>
  </si>
  <si>
    <t xml:space="preserve">4321.0104</t>
  </si>
  <si>
    <t xml:space="preserve">Store Distributor</t>
  </si>
  <si>
    <t xml:space="preserve">4321.0200</t>
  </si>
  <si>
    <t xml:space="preserve">4131.20</t>
  </si>
  <si>
    <t xml:space="preserve">Stock Verifier</t>
  </si>
  <si>
    <t xml:space="preserve">4321.0301</t>
  </si>
  <si>
    <t xml:space="preserve">4131.30</t>
  </si>
  <si>
    <t xml:space="preserve">Spare Parts Operations In-Charge</t>
  </si>
  <si>
    <t xml:space="preserve">4321.0402</t>
  </si>
  <si>
    <t xml:space="preserve">Store Ops Assistant</t>
  </si>
  <si>
    <t xml:space="preserve">4321.0501</t>
  </si>
  <si>
    <t xml:space="preserve">Warehouse Picker</t>
  </si>
  <si>
    <t xml:space="preserve">4321.0601</t>
  </si>
  <si>
    <t xml:space="preserve">Warehouse Binner</t>
  </si>
  <si>
    <t xml:space="preserve">4321.0602</t>
  </si>
  <si>
    <t xml:space="preserve">Warehouse Packer</t>
  </si>
  <si>
    <t xml:space="preserve">4321.0603</t>
  </si>
  <si>
    <t xml:space="preserve">Kitting and Labelling Executive</t>
  </si>
  <si>
    <t xml:space="preserve">4321.0604</t>
  </si>
  <si>
    <t xml:space="preserve">Warranty Processor</t>
  </si>
  <si>
    <t xml:space="preserve">4321.0701</t>
  </si>
  <si>
    <t xml:space="preserve">Stock Clerks, Other</t>
  </si>
  <si>
    <t xml:space="preserve">4321.9900</t>
  </si>
  <si>
    <t xml:space="preserve">4131.90</t>
  </si>
  <si>
    <t xml:space="preserve">Stone Cutter, Hand</t>
  </si>
  <si>
    <t xml:space="preserve">7113.0200</t>
  </si>
  <si>
    <t xml:space="preserve">7113.20</t>
  </si>
  <si>
    <t xml:space="preserve">Stone Dresser, Hand</t>
  </si>
  <si>
    <t xml:space="preserve">7113.0300</t>
  </si>
  <si>
    <t xml:space="preserve">7113.30</t>
  </si>
  <si>
    <t xml:space="preserve">Stone Carver</t>
  </si>
  <si>
    <t xml:space="preserve">7113.0400</t>
  </si>
  <si>
    <t xml:space="preserve">7113.40</t>
  </si>
  <si>
    <t xml:space="preserve">Stone Polisher, Hand</t>
  </si>
  <si>
    <t xml:space="preserve">7113.0500</t>
  </si>
  <si>
    <t xml:space="preserve">7113.50</t>
  </si>
  <si>
    <t xml:space="preserve">Stone Splitters, Cutters and Carvers, Other</t>
  </si>
  <si>
    <t xml:space="preserve">7113.9900</t>
  </si>
  <si>
    <t xml:space="preserve">7113.90</t>
  </si>
  <si>
    <t xml:space="preserve">Boot Polisher</t>
  </si>
  <si>
    <t xml:space="preserve">9510.0100</t>
  </si>
  <si>
    <t xml:space="preserve">9120.10</t>
  </si>
  <si>
    <t xml:space="preserve">Bill Poster</t>
  </si>
  <si>
    <t xml:space="preserve">9510.0200</t>
  </si>
  <si>
    <t xml:space="preserve">9120.20</t>
  </si>
  <si>
    <t xml:space="preserve">Shoe Cleaning and Other Street Services Elementary Occupations, Other</t>
  </si>
  <si>
    <t xml:space="preserve">9510.9900</t>
  </si>
  <si>
    <t xml:space="preserve">9120.90</t>
  </si>
  <si>
    <t xml:space="preserve">Milkman</t>
  </si>
  <si>
    <t xml:space="preserve">5212.0100</t>
  </si>
  <si>
    <t xml:space="preserve">9111.10</t>
  </si>
  <si>
    <t xml:space="preserve">Street Food Vendors, Other/Khomchawala, Dhabawala, Chat Thelawala</t>
  </si>
  <si>
    <t xml:space="preserve">5212.9900</t>
  </si>
  <si>
    <t xml:space="preserve">9111.90</t>
  </si>
  <si>
    <t xml:space="preserve">Hawker</t>
  </si>
  <si>
    <t xml:space="preserve">9520.0100</t>
  </si>
  <si>
    <t xml:space="preserve">9112.10</t>
  </si>
  <si>
    <t xml:space="preserve">Street Vendors, Non-Food Products, Other</t>
  </si>
  <si>
    <t xml:space="preserve">9520.9900</t>
  </si>
  <si>
    <t xml:space="preserve">9112.90</t>
  </si>
  <si>
    <t xml:space="preserve">Boiler Maker</t>
  </si>
  <si>
    <t xml:space="preserve">7214.0500</t>
  </si>
  <si>
    <t xml:space="preserve">7214.50</t>
  </si>
  <si>
    <t xml:space="preserve">Erector, Structural</t>
  </si>
  <si>
    <t xml:space="preserve">7214.0600</t>
  </si>
  <si>
    <t xml:space="preserve">7214.60</t>
  </si>
  <si>
    <t xml:space="preserve">Fitter, Structural</t>
  </si>
  <si>
    <t xml:space="preserve">7214.0700</t>
  </si>
  <si>
    <t xml:space="preserve">7214.65</t>
  </si>
  <si>
    <t xml:space="preserve">Fitter, Construction</t>
  </si>
  <si>
    <t xml:space="preserve">7214.0800</t>
  </si>
  <si>
    <t xml:space="preserve">7214.70</t>
  </si>
  <si>
    <t xml:space="preserve">Riveter</t>
  </si>
  <si>
    <t xml:space="preserve">7214.0900</t>
  </si>
  <si>
    <t xml:space="preserve">7214.80</t>
  </si>
  <si>
    <t xml:space="preserve">Boiler Fitter</t>
  </si>
  <si>
    <t xml:space="preserve">7214.0300</t>
  </si>
  <si>
    <t xml:space="preserve">7214.30</t>
  </si>
  <si>
    <t xml:space="preserve">Tubesmith, Boiler</t>
  </si>
  <si>
    <t xml:space="preserve">7214.0400</t>
  </si>
  <si>
    <t xml:space="preserve">7214.40</t>
  </si>
  <si>
    <t xml:space="preserve">Riveter (Railroad Equipment)</t>
  </si>
  <si>
    <t xml:space="preserve">7214.1000</t>
  </si>
  <si>
    <t xml:space="preserve">7214.82</t>
  </si>
  <si>
    <t xml:space="preserve">Assistant Bar Bender and Fixer</t>
  </si>
  <si>
    <t xml:space="preserve">7214.1101</t>
  </si>
  <si>
    <t xml:space="preserve">Structural Metal Prepares and Erectors, Other</t>
  </si>
  <si>
    <t xml:space="preserve">7214.9900</t>
  </si>
  <si>
    <t xml:space="preserve">7214.90</t>
  </si>
  <si>
    <t xml:space="preserve">Tree Trimmer and Pruner</t>
  </si>
  <si>
    <t xml:space="preserve">6310.0100</t>
  </si>
  <si>
    <t xml:space="preserve">6200.10</t>
  </si>
  <si>
    <t xml:space="preserve">Subsistence Crop Farmers, Others</t>
  </si>
  <si>
    <t xml:space="preserve">6310.9900</t>
  </si>
  <si>
    <t xml:space="preserve">6200.90</t>
  </si>
  <si>
    <t xml:space="preserve">Manager, Material Control/Manager Materials</t>
  </si>
  <si>
    <t xml:space="preserve">1324.0100</t>
  </si>
  <si>
    <t xml:space="preserve">1235.10</t>
  </si>
  <si>
    <t xml:space="preserve">Manager, Transport</t>
  </si>
  <si>
    <t xml:space="preserve">1324.0200</t>
  </si>
  <si>
    <t xml:space="preserve">1226.10</t>
  </si>
  <si>
    <t xml:space="preserve">Warehouse Supervisor</t>
  </si>
  <si>
    <t xml:space="preserve">1324.1201</t>
  </si>
  <si>
    <t xml:space="preserve">Station Master, Roadways</t>
  </si>
  <si>
    <t xml:space="preserve">1324.0300</t>
  </si>
  <si>
    <t xml:space="preserve">1226.15</t>
  </si>
  <si>
    <t xml:space="preserve">Traffic Inspector, Motor Transport</t>
  </si>
  <si>
    <t xml:space="preserve">1324.0400</t>
  </si>
  <si>
    <t xml:space="preserve">1226.17</t>
  </si>
  <si>
    <t xml:space="preserve">Manager, Traffic</t>
  </si>
  <si>
    <t xml:space="preserve">1324.0500</t>
  </si>
  <si>
    <t xml:space="preserve">1226.20</t>
  </si>
  <si>
    <t xml:space="preserve">Traffic Inspector, Railway</t>
  </si>
  <si>
    <t xml:space="preserve">1324.0600</t>
  </si>
  <si>
    <t xml:space="preserve">1226.25</t>
  </si>
  <si>
    <t xml:space="preserve">Traffic Inspector, Tram</t>
  </si>
  <si>
    <t xml:space="preserve">1324.0700</t>
  </si>
  <si>
    <t xml:space="preserve">1226.29</t>
  </si>
  <si>
    <t xml:space="preserve">Manager, Flight Operation</t>
  </si>
  <si>
    <t xml:space="preserve">1324.0800</t>
  </si>
  <si>
    <t xml:space="preserve">1226.30</t>
  </si>
  <si>
    <t xml:space="preserve">Aerodrome Officer</t>
  </si>
  <si>
    <t xml:space="preserve">1324.0900</t>
  </si>
  <si>
    <t xml:space="preserve">1226.35</t>
  </si>
  <si>
    <t xml:space="preserve">Manager Supplier Quality</t>
  </si>
  <si>
    <t xml:space="preserve">1324.0101</t>
  </si>
  <si>
    <t xml:space="preserve">Flight Operation Officer, Air Service</t>
  </si>
  <si>
    <t xml:space="preserve">1324.1000</t>
  </si>
  <si>
    <t xml:space="preserve">1226.37</t>
  </si>
  <si>
    <t xml:space="preserve">Material Co-Ordination Manager</t>
  </si>
  <si>
    <t xml:space="preserve">1324.0102</t>
  </si>
  <si>
    <t xml:space="preserve">Traffic Officer, Air Service/Traffic Controller</t>
  </si>
  <si>
    <t xml:space="preserve">1324.1100</t>
  </si>
  <si>
    <t xml:space="preserve">1226.39</t>
  </si>
  <si>
    <t xml:space="preserve">Manager Vendor Development</t>
  </si>
  <si>
    <t xml:space="preserve">1324.0103</t>
  </si>
  <si>
    <t xml:space="preserve">Manager, Storage and Warehousing</t>
  </si>
  <si>
    <t xml:space="preserve">1324.1200</t>
  </si>
  <si>
    <t xml:space="preserve">1226.50</t>
  </si>
  <si>
    <t xml:space="preserve">General Manager, Storage and Warehousing</t>
  </si>
  <si>
    <t xml:space="preserve">1324.2200</t>
  </si>
  <si>
    <t xml:space="preserve">1306.30</t>
  </si>
  <si>
    <t xml:space="preserve">Supply, Distribution and Related Managers and General Managers, Other</t>
  </si>
  <si>
    <t xml:space="preserve">1324.9900</t>
  </si>
  <si>
    <t xml:space="preserve">1226.90</t>
  </si>
  <si>
    <t xml:space="preserve">Goods Supervisor, Railway</t>
  </si>
  <si>
    <t xml:space="preserve">1324.1300</t>
  </si>
  <si>
    <t xml:space="preserve">1226.52</t>
  </si>
  <si>
    <t xml:space="preserve">Goods Supervisor, Road Transport</t>
  </si>
  <si>
    <t xml:space="preserve">1324.1400</t>
  </si>
  <si>
    <t xml:space="preserve">1226.54</t>
  </si>
  <si>
    <t xml:space="preserve">Station Master, Railway</t>
  </si>
  <si>
    <t xml:space="preserve">1324.1500</t>
  </si>
  <si>
    <t xml:space="preserve">1226.60</t>
  </si>
  <si>
    <t xml:space="preserve">Platform Inspector, Railway</t>
  </si>
  <si>
    <t xml:space="preserve">1324.1600</t>
  </si>
  <si>
    <t xml:space="preserve">1226.62</t>
  </si>
  <si>
    <t xml:space="preserve">Rates Inspector, Railway</t>
  </si>
  <si>
    <t xml:space="preserve">1324.1700</t>
  </si>
  <si>
    <t xml:space="preserve">1226.64</t>
  </si>
  <si>
    <t xml:space="preserve">Depot Starter, Tram</t>
  </si>
  <si>
    <t xml:space="preserve">1324.1800</t>
  </si>
  <si>
    <t xml:space="preserve">1226.65</t>
  </si>
  <si>
    <t xml:space="preserve">Section Controller, Railway</t>
  </si>
  <si>
    <t xml:space="preserve">1324.1900</t>
  </si>
  <si>
    <t xml:space="preserve">1226.67</t>
  </si>
  <si>
    <t xml:space="preserve">Accident Officer, Tram</t>
  </si>
  <si>
    <t xml:space="preserve">1324.2000</t>
  </si>
  <si>
    <t xml:space="preserve">1226.69</t>
  </si>
  <si>
    <t xml:space="preserve">General Manager, Transport</t>
  </si>
  <si>
    <t xml:space="preserve">1324.2100</t>
  </si>
  <si>
    <t xml:space="preserve">1306.10</t>
  </si>
  <si>
    <t xml:space="preserve">Sweeper, Dry</t>
  </si>
  <si>
    <t xml:space="preserve">9613.0300</t>
  </si>
  <si>
    <t xml:space="preserve">9162.10</t>
  </si>
  <si>
    <t xml:space="preserve">Sweeper, Wet</t>
  </si>
  <si>
    <t xml:space="preserve">9613.0400</t>
  </si>
  <si>
    <t xml:space="preserve">9162.20</t>
  </si>
  <si>
    <t xml:space="preserve">Sweeper, Sewer</t>
  </si>
  <si>
    <t xml:space="preserve">9613.0500</t>
  </si>
  <si>
    <t xml:space="preserve">9162.30</t>
  </si>
  <si>
    <t xml:space="preserve">Sweepers and Related Labourers, Other</t>
  </si>
  <si>
    <t xml:space="preserve">9613.9900</t>
  </si>
  <si>
    <t xml:space="preserve">9162.90</t>
  </si>
  <si>
    <t xml:space="preserve">Support Engineer</t>
  </si>
  <si>
    <t xml:space="preserve">2511.0106</t>
  </si>
  <si>
    <t xml:space="preserve">System Analysts, Other</t>
  </si>
  <si>
    <t xml:space="preserve">2511.9900</t>
  </si>
  <si>
    <t xml:space="preserve">2131.90</t>
  </si>
  <si>
    <t xml:space="preserve">System Analysts</t>
  </si>
  <si>
    <t xml:space="preserve">2511.0100</t>
  </si>
  <si>
    <t xml:space="preserve">2131.10</t>
  </si>
  <si>
    <t xml:space="preserve">Deployment Engineer</t>
  </si>
  <si>
    <t xml:space="preserve">2511.0101</t>
  </si>
  <si>
    <t xml:space="preserve">Analyst</t>
  </si>
  <si>
    <t xml:space="preserve">2511.0105</t>
  </si>
  <si>
    <t xml:space="preserve">Engineer – Software Transition</t>
  </si>
  <si>
    <t xml:space="preserve">2511.0102</t>
  </si>
  <si>
    <t xml:space="preserve">Engineer – Packaging</t>
  </si>
  <si>
    <t xml:space="preserve">2511.0103</t>
  </si>
  <si>
    <t xml:space="preserve">Engineer – Product Lifecycle Management (PLM)</t>
  </si>
  <si>
    <t xml:space="preserve">2511.0104</t>
  </si>
  <si>
    <t xml:space="preserve">Security Analyst</t>
  </si>
  <si>
    <t xml:space="preserve">2522.0201</t>
  </si>
  <si>
    <t xml:space="preserve">Database Administrator</t>
  </si>
  <si>
    <t xml:space="preserve">2522.0100</t>
  </si>
  <si>
    <t xml:space="preserve">2139.30</t>
  </si>
  <si>
    <t xml:space="preserve">Trouser Maker</t>
  </si>
  <si>
    <t xml:space="preserve">7531.0400</t>
  </si>
  <si>
    <t xml:space="preserve">7433.25</t>
  </si>
  <si>
    <t xml:space="preserve">Shirt Maker</t>
  </si>
  <si>
    <t xml:space="preserve">7531.0500</t>
  </si>
  <si>
    <t xml:space="preserve">7433.30</t>
  </si>
  <si>
    <t xml:space="preserve">Hat Maker, General</t>
  </si>
  <si>
    <t xml:space="preserve">7531.0700</t>
  </si>
  <si>
    <t xml:space="preserve">7433.40</t>
  </si>
  <si>
    <t xml:space="preserve">Cap Maker</t>
  </si>
  <si>
    <t xml:space="preserve">7531.0900</t>
  </si>
  <si>
    <t xml:space="preserve">7433.50</t>
  </si>
  <si>
    <t xml:space="preserve">Tailor, General</t>
  </si>
  <si>
    <t xml:space="preserve">7531.0100</t>
  </si>
  <si>
    <t xml:space="preserve">7433.10</t>
  </si>
  <si>
    <t xml:space="preserve">Sampling Tailor</t>
  </si>
  <si>
    <t xml:space="preserve">7531.0101</t>
  </si>
  <si>
    <t xml:space="preserve">Dressmaker/Ladies Dressmaker</t>
  </si>
  <si>
    <t xml:space="preserve">7531.0200</t>
  </si>
  <si>
    <t xml:space="preserve">7433.15</t>
  </si>
  <si>
    <t xml:space="preserve">Coat Maker</t>
  </si>
  <si>
    <t xml:space="preserve">7531.0300</t>
  </si>
  <si>
    <t xml:space="preserve">7433.20</t>
  </si>
  <si>
    <t xml:space="preserve">Wig Maker</t>
  </si>
  <si>
    <t xml:space="preserve">7531.1000</t>
  </si>
  <si>
    <t xml:space="preserve">7433.60</t>
  </si>
  <si>
    <t xml:space="preserve">Tailor, Fur</t>
  </si>
  <si>
    <t xml:space="preserve">7531.1200</t>
  </si>
  <si>
    <t xml:space="preserve">7434.10</t>
  </si>
  <si>
    <t xml:space="preserve">Pattern Maker, Fur</t>
  </si>
  <si>
    <t xml:space="preserve">7531.1300</t>
  </si>
  <si>
    <t xml:space="preserve">7434.20</t>
  </si>
  <si>
    <t xml:space="preserve">Grader and Matcher, Fur</t>
  </si>
  <si>
    <t xml:space="preserve">7531.1400</t>
  </si>
  <si>
    <t xml:space="preserve">7434.30</t>
  </si>
  <si>
    <t xml:space="preserve">Cutter, Fur</t>
  </si>
  <si>
    <t xml:space="preserve">7531.1500</t>
  </si>
  <si>
    <t xml:space="preserve">7434.40</t>
  </si>
  <si>
    <t xml:space="preserve">Nailor, Fur</t>
  </si>
  <si>
    <t xml:space="preserve">7531.1600</t>
  </si>
  <si>
    <t xml:space="preserve">7434.50</t>
  </si>
  <si>
    <t xml:space="preserve">Tailors, Dressmakers, Furriers and Hatters, Other</t>
  </si>
  <si>
    <t xml:space="preserve">7531.9900</t>
  </si>
  <si>
    <t xml:space="preserve">7434.90</t>
  </si>
  <si>
    <t xml:space="preserve">Handwork Teacher/Teacher, Art and Craft</t>
  </si>
  <si>
    <t xml:space="preserve">2359.0100</t>
  </si>
  <si>
    <t xml:space="preserve">3340.20</t>
  </si>
  <si>
    <t xml:space="preserve">Area Sales Officer</t>
  </si>
  <si>
    <t xml:space="preserve">2433.0101</t>
  </si>
  <si>
    <t xml:space="preserve">Medical Representative</t>
  </si>
  <si>
    <t xml:space="preserve">2433.0201</t>
  </si>
  <si>
    <t xml:space="preserve">3415.20</t>
  </si>
  <si>
    <t xml:space="preserve">Business Development Executive</t>
  </si>
  <si>
    <t xml:space="preserve">2433.0601</t>
  </si>
  <si>
    <t xml:space="preserve">Field Officer, Insurance</t>
  </si>
  <si>
    <t xml:space="preserve">2433.0700</t>
  </si>
  <si>
    <t xml:space="preserve">3415.50</t>
  </si>
  <si>
    <t xml:space="preserve">Sales Executive – Medical Electronics</t>
  </si>
  <si>
    <t xml:space="preserve">2433.0301</t>
  </si>
  <si>
    <t xml:space="preserve">Sales Executive – Consumer Electronics</t>
  </si>
  <si>
    <t xml:space="preserve">2433.0401</t>
  </si>
  <si>
    <t xml:space="preserve">Sales Executive – Solar Electronics</t>
  </si>
  <si>
    <t xml:space="preserve">2433.0501</t>
  </si>
  <si>
    <t xml:space="preserve">Telecommunication, Technician</t>
  </si>
  <si>
    <t xml:space="preserve">3522.0100</t>
  </si>
  <si>
    <t xml:space="preserve">3114.20</t>
  </si>
  <si>
    <t xml:space="preserve">Line Inspector, Telephone</t>
  </si>
  <si>
    <t xml:space="preserve">3522.0200</t>
  </si>
  <si>
    <t xml:space="preserve">3114.30</t>
  </si>
  <si>
    <t xml:space="preserve">Telecommunication Engineering Technicians, Other</t>
  </si>
  <si>
    <t xml:space="preserve">3522.9900</t>
  </si>
  <si>
    <t xml:space="preserve">Telephone Inspector</t>
  </si>
  <si>
    <t xml:space="preserve">3522.0300</t>
  </si>
  <si>
    <t xml:space="preserve">3114.40</t>
  </si>
  <si>
    <t xml:space="preserve">Wireless Inspector Electronics</t>
  </si>
  <si>
    <t xml:space="preserve">3522.0400</t>
  </si>
  <si>
    <t xml:space="preserve">3114.50</t>
  </si>
  <si>
    <t xml:space="preserve">Telecommunication Engineer, General</t>
  </si>
  <si>
    <t xml:space="preserve">2153.0100</t>
  </si>
  <si>
    <t xml:space="preserve">2144.10</t>
  </si>
  <si>
    <t xml:space="preserve">Telecom Terminal Equipment Application Developer (Android)</t>
  </si>
  <si>
    <t xml:space="preserve">2153.0101</t>
  </si>
  <si>
    <t xml:space="preserve">Microwave Engineer, Telecommunication</t>
  </si>
  <si>
    <t xml:space="preserve">2153.0300</t>
  </si>
  <si>
    <t xml:space="preserve">2144.30</t>
  </si>
  <si>
    <t xml:space="preserve">Line Communication Engineer, Tele-Communication/Telecommunication Engineer/Technician</t>
  </si>
  <si>
    <t xml:space="preserve">2153.0400</t>
  </si>
  <si>
    <t xml:space="preserve">2144.40</t>
  </si>
  <si>
    <t xml:space="preserve">Sound Engineer</t>
  </si>
  <si>
    <t xml:space="preserve">2153.0500</t>
  </si>
  <si>
    <t xml:space="preserve">2144.50</t>
  </si>
  <si>
    <t xml:space="preserve">Sound Engineer, Media</t>
  </si>
  <si>
    <t xml:space="preserve">2153.0501</t>
  </si>
  <si>
    <t xml:space="preserve">Sound Designer</t>
  </si>
  <si>
    <t xml:space="preserve">2153.0511</t>
  </si>
  <si>
    <t xml:space="preserve">Core Engineer</t>
  </si>
  <si>
    <t xml:space="preserve">2153.0601</t>
  </si>
  <si>
    <t xml:space="preserve">Telecommunication Engineers, Other</t>
  </si>
  <si>
    <t xml:space="preserve">2153.9900</t>
  </si>
  <si>
    <t xml:space="preserve">Telecom Terminal Equipment Application (Native Applications)</t>
  </si>
  <si>
    <t xml:space="preserve">2153.0102</t>
  </si>
  <si>
    <t xml:space="preserve">Radio Engineer, Telecommunication</t>
  </si>
  <si>
    <t xml:space="preserve">2153.0200</t>
  </si>
  <si>
    <t xml:space="preserve">2144.20</t>
  </si>
  <si>
    <t xml:space="preserve">Telephone Operator, Trunk</t>
  </si>
  <si>
    <t xml:space="preserve">4223.0100</t>
  </si>
  <si>
    <t xml:space="preserve">4222.10</t>
  </si>
  <si>
    <t xml:space="preserve">Telephone Operator, Local</t>
  </si>
  <si>
    <t xml:space="preserve">4223.0200</t>
  </si>
  <si>
    <t xml:space="preserve">4222.20</t>
  </si>
  <si>
    <t xml:space="preserve">Telephone Operator, PBX</t>
  </si>
  <si>
    <t xml:space="preserve">4223.0300</t>
  </si>
  <si>
    <t xml:space="preserve">4222.30</t>
  </si>
  <si>
    <t xml:space="preserve">Telephone Switchboard Operators, Other</t>
  </si>
  <si>
    <t xml:space="preserve">4223.9900</t>
  </si>
  <si>
    <t xml:space="preserve">4222.90</t>
  </si>
  <si>
    <t xml:space="preserve">Folder, Machine/Folding Machine Operator</t>
  </si>
  <si>
    <t xml:space="preserve">8159.0100</t>
  </si>
  <si>
    <t xml:space="preserve">8269.10</t>
  </si>
  <si>
    <t xml:space="preserve">Press Operator</t>
  </si>
  <si>
    <t xml:space="preserve">8159.0400</t>
  </si>
  <si>
    <t xml:space="preserve">8269.40</t>
  </si>
  <si>
    <t xml:space="preserve">Leather Cutters, Lasters and Sewers and Related Machine Operators, Other</t>
  </si>
  <si>
    <t xml:space="preserve">8159.9900</t>
  </si>
  <si>
    <t xml:space="preserve">8269.90</t>
  </si>
  <si>
    <t xml:space="preserve">Balling – Machine Operator (Textile)</t>
  </si>
  <si>
    <t xml:space="preserve">8159.0300</t>
  </si>
  <si>
    <t xml:space="preserve">8269.30</t>
  </si>
  <si>
    <t xml:space="preserve">Splicing – Machine Operator, Automatic (Textile)</t>
  </si>
  <si>
    <t xml:space="preserve">8159.0200</t>
  </si>
  <si>
    <t xml:space="preserve">8269.20</t>
  </si>
  <si>
    <t xml:space="preserve">Tobacco Curer</t>
  </si>
  <si>
    <t xml:space="preserve">7516.0100</t>
  </si>
  <si>
    <t xml:space="preserve">7416.10</t>
  </si>
  <si>
    <t xml:space="preserve">Furnace Man, Bidi</t>
  </si>
  <si>
    <t xml:space="preserve">7516.0800</t>
  </si>
  <si>
    <t xml:space="preserve">7416.45</t>
  </si>
  <si>
    <t xml:space="preserve">Bidi Checker</t>
  </si>
  <si>
    <t xml:space="preserve">7516.0900</t>
  </si>
  <si>
    <t xml:space="preserve">7416.50</t>
  </si>
  <si>
    <t xml:space="preserve">Snuff Maker</t>
  </si>
  <si>
    <t xml:space="preserve">7516.1000</t>
  </si>
  <si>
    <t xml:space="preserve">7416.55</t>
  </si>
  <si>
    <t xml:space="preserve">Chewing Tobacco Maker</t>
  </si>
  <si>
    <t xml:space="preserve">7516.1100</t>
  </si>
  <si>
    <t xml:space="preserve">7416.60</t>
  </si>
  <si>
    <t xml:space="preserve">Tobacco Grader</t>
  </si>
  <si>
    <t xml:space="preserve">7516.0200</t>
  </si>
  <si>
    <t xml:space="preserve">7416.15</t>
  </si>
  <si>
    <t xml:space="preserve">Tobacco Preparers and Tobacco Products Makers, Other</t>
  </si>
  <si>
    <t xml:space="preserve">7516.9900</t>
  </si>
  <si>
    <t xml:space="preserve">7416.90</t>
  </si>
  <si>
    <t xml:space="preserve">Blender, Tobacco</t>
  </si>
  <si>
    <t xml:space="preserve">7516.0300</t>
  </si>
  <si>
    <t xml:space="preserve">7416.20</t>
  </si>
  <si>
    <t xml:space="preserve">Conditioner, Tobacco</t>
  </si>
  <si>
    <t xml:space="preserve">7516.0400</t>
  </si>
  <si>
    <t xml:space="preserve">7416.25</t>
  </si>
  <si>
    <t xml:space="preserve">Cigar or Cheroot Roller</t>
  </si>
  <si>
    <t xml:space="preserve">7516.0500</t>
  </si>
  <si>
    <t xml:space="preserve">7416.30</t>
  </si>
  <si>
    <t xml:space="preserve">Cigar or Cheroot Roller Helper</t>
  </si>
  <si>
    <t xml:space="preserve">7516.0600</t>
  </si>
  <si>
    <t xml:space="preserve">7416.35</t>
  </si>
  <si>
    <t xml:space="preserve">Bidi Maker</t>
  </si>
  <si>
    <t xml:space="preserve">7516.0700</t>
  </si>
  <si>
    <t xml:space="preserve">7416.40</t>
  </si>
  <si>
    <t xml:space="preserve">Town Planner</t>
  </si>
  <si>
    <t xml:space="preserve">2164.0100</t>
  </si>
  <si>
    <t xml:space="preserve">2141.20</t>
  </si>
  <si>
    <t xml:space="preserve">Traffic Planner</t>
  </si>
  <si>
    <t xml:space="preserve">2164.0200</t>
  </si>
  <si>
    <t xml:space="preserve">2141.30</t>
  </si>
  <si>
    <t xml:space="preserve">Physician, Ayurvedic</t>
  </si>
  <si>
    <t xml:space="preserve">2230.0100</t>
  </si>
  <si>
    <t xml:space="preserve">2222.10</t>
  </si>
  <si>
    <t xml:space="preserve">Physician, Homeopathic</t>
  </si>
  <si>
    <t xml:space="preserve">2230.0200</t>
  </si>
  <si>
    <t xml:space="preserve">2223.10</t>
  </si>
  <si>
    <t xml:space="preserve">Physician, Bio-Chemic/Bio Chemist</t>
  </si>
  <si>
    <t xml:space="preserve">2230.0300</t>
  </si>
  <si>
    <t xml:space="preserve">2223.20</t>
  </si>
  <si>
    <t xml:space="preserve">Physician, Unani</t>
  </si>
  <si>
    <t xml:space="preserve">2230.0400</t>
  </si>
  <si>
    <t xml:space="preserve">2224.10</t>
  </si>
  <si>
    <t xml:space="preserve">Traditional Medicine Practitioners, Other</t>
  </si>
  <si>
    <t xml:space="preserve">2230.9900</t>
  </si>
  <si>
    <t xml:space="preserve">3241.90</t>
  </si>
  <si>
    <t xml:space="preserve">Manpower Officer/Area Manager, Human Resource</t>
  </si>
  <si>
    <t xml:space="preserve">2424.0100</t>
  </si>
  <si>
    <t xml:space="preserve">2412.10</t>
  </si>
  <si>
    <t xml:space="preserve">Employment Officer/Operation Head, Employment</t>
  </si>
  <si>
    <t xml:space="preserve">2424.0200</t>
  </si>
  <si>
    <t xml:space="preserve">2412.20</t>
  </si>
  <si>
    <t xml:space="preserve">Human Resource Manager</t>
  </si>
  <si>
    <t xml:space="preserve">2424.0300</t>
  </si>
  <si>
    <t xml:space="preserve">2412.30</t>
  </si>
  <si>
    <t xml:space="preserve">Sales Training Manager</t>
  </si>
  <si>
    <t xml:space="preserve">2424.0401</t>
  </si>
  <si>
    <t xml:space="preserve">Sales/Service Trainer (Dealer)</t>
  </si>
  <si>
    <t xml:space="preserve">2424.0402</t>
  </si>
  <si>
    <t xml:space="preserve">Service Training Centre In-Charge</t>
  </si>
  <si>
    <t xml:space="preserve">2424.0501</t>
  </si>
  <si>
    <t xml:space="preserve">Field Service Trainer</t>
  </si>
  <si>
    <t xml:space="preserve">2424.0502</t>
  </si>
  <si>
    <t xml:space="preserve">Training and Staff Development Professionals, Other</t>
  </si>
  <si>
    <t xml:space="preserve">2424.9900</t>
  </si>
  <si>
    <t xml:space="preserve">Language Specialist</t>
  </si>
  <si>
    <t xml:space="preserve">2643.0100</t>
  </si>
  <si>
    <t xml:space="preserve">2444.10</t>
  </si>
  <si>
    <t xml:space="preserve">Translator</t>
  </si>
  <si>
    <t xml:space="preserve">2643.0200</t>
  </si>
  <si>
    <t xml:space="preserve">2444.20</t>
  </si>
  <si>
    <t xml:space="preserve">Interpreter</t>
  </si>
  <si>
    <t xml:space="preserve">2643.0300</t>
  </si>
  <si>
    <t xml:space="preserve">2444.30</t>
  </si>
  <si>
    <t xml:space="preserve">Philologists, Translators and Interpreters, Other</t>
  </si>
  <si>
    <t xml:space="preserve">2643.9900</t>
  </si>
  <si>
    <t xml:space="preserve">2444.90</t>
  </si>
  <si>
    <t xml:space="preserve">Language Translator – Software Products</t>
  </si>
  <si>
    <t xml:space="preserve">2643.0401</t>
  </si>
  <si>
    <t xml:space="preserve">Language Translator – IT Services</t>
  </si>
  <si>
    <t xml:space="preserve">2643.0402</t>
  </si>
  <si>
    <t xml:space="preserve">Yard Master, Railway</t>
  </si>
  <si>
    <t xml:space="preserve">4323.0100</t>
  </si>
  <si>
    <t xml:space="preserve">4133.10</t>
  </si>
  <si>
    <t xml:space="preserve">Head Train Recorder</t>
  </si>
  <si>
    <t xml:space="preserve">4323.0200</t>
  </si>
  <si>
    <t xml:space="preserve">4133.20</t>
  </si>
  <si>
    <t xml:space="preserve">Traffic Regulator, Tram</t>
  </si>
  <si>
    <t xml:space="preserve">4323.0300</t>
  </si>
  <si>
    <t xml:space="preserve">4133.27</t>
  </si>
  <si>
    <t xml:space="preserve">Controller, Tram</t>
  </si>
  <si>
    <t xml:space="preserve">4323.0400</t>
  </si>
  <si>
    <t xml:space="preserve">4133.30</t>
  </si>
  <si>
    <t xml:space="preserve">Traffic Timetable Inspector, Tram</t>
  </si>
  <si>
    <t xml:space="preserve">4323.0500</t>
  </si>
  <si>
    <t xml:space="preserve">4133.40</t>
  </si>
  <si>
    <t xml:space="preserve">Transport Clerks, Other</t>
  </si>
  <si>
    <t xml:space="preserve">4323.9900</t>
  </si>
  <si>
    <t xml:space="preserve">4133.90</t>
  </si>
  <si>
    <t xml:space="preserve">Guard, Passenger Train</t>
  </si>
  <si>
    <t xml:space="preserve">5112.0100</t>
  </si>
  <si>
    <t xml:space="preserve">5112.10</t>
  </si>
  <si>
    <t xml:space="preserve">Guard, Goods Train</t>
  </si>
  <si>
    <t xml:space="preserve">5112.0200</t>
  </si>
  <si>
    <t xml:space="preserve">5112.20</t>
  </si>
  <si>
    <t xml:space="preserve">Brakesman, Railway</t>
  </si>
  <si>
    <t xml:space="preserve">5112.0300</t>
  </si>
  <si>
    <t xml:space="preserve">5112.30</t>
  </si>
  <si>
    <t xml:space="preserve">Conductor Guard, Railway</t>
  </si>
  <si>
    <t xml:space="preserve">5112.0400</t>
  </si>
  <si>
    <t xml:space="preserve">5112.40</t>
  </si>
  <si>
    <t xml:space="preserve">Ticket Collector, Railway</t>
  </si>
  <si>
    <t xml:space="preserve">5112.0500</t>
  </si>
  <si>
    <t xml:space="preserve">5112.42</t>
  </si>
  <si>
    <t xml:space="preserve">Ticket Examiner, Motor Transport</t>
  </si>
  <si>
    <t xml:space="preserve">5112.0700</t>
  </si>
  <si>
    <t xml:space="preserve">5112.46</t>
  </si>
  <si>
    <t xml:space="preserve">Passenger Guide, Railway</t>
  </si>
  <si>
    <t xml:space="preserve">5112.0800</t>
  </si>
  <si>
    <t xml:space="preserve">5112.50</t>
  </si>
  <si>
    <t xml:space="preserve">Conductor, Tram</t>
  </si>
  <si>
    <t xml:space="preserve">5112.0900</t>
  </si>
  <si>
    <t xml:space="preserve">5112.60</t>
  </si>
  <si>
    <t xml:space="preserve">Bus Conductor</t>
  </si>
  <si>
    <t xml:space="preserve">5112.1000</t>
  </si>
  <si>
    <t xml:space="preserve">5112.70</t>
  </si>
  <si>
    <t xml:space="preserve">Transport Conductors, Other</t>
  </si>
  <si>
    <t xml:space="preserve">5112.9900</t>
  </si>
  <si>
    <t xml:space="preserve">5112.90</t>
  </si>
  <si>
    <t xml:space="preserve">Travelling Ticket Examiner, Railway</t>
  </si>
  <si>
    <t xml:space="preserve">5112.0600</t>
  </si>
  <si>
    <t xml:space="preserve">5112.44</t>
  </si>
  <si>
    <t xml:space="preserve">Air Hostess</t>
  </si>
  <si>
    <t xml:space="preserve">5111.0300</t>
  </si>
  <si>
    <t xml:space="preserve">5111.30</t>
  </si>
  <si>
    <t xml:space="preserve">Flight Steward</t>
  </si>
  <si>
    <t xml:space="preserve">5111.0400</t>
  </si>
  <si>
    <t xml:space="preserve">5111.40</t>
  </si>
  <si>
    <t xml:space="preserve">Aircraft Cargo Handling Supervisor</t>
  </si>
  <si>
    <t xml:space="preserve">5111.0500</t>
  </si>
  <si>
    <t xml:space="preserve">5111.50</t>
  </si>
  <si>
    <t xml:space="preserve">Air Crew Member</t>
  </si>
  <si>
    <t xml:space="preserve">5111.0600</t>
  </si>
  <si>
    <t xml:space="preserve">5111.60</t>
  </si>
  <si>
    <t xml:space="preserve">Travel Attendants and Travel Stewards, Other</t>
  </si>
  <si>
    <t xml:space="preserve">5111.9900</t>
  </si>
  <si>
    <t xml:space="preserve">5111.90</t>
  </si>
  <si>
    <t xml:space="preserve">Chief Steward, Ship/Chief Cook</t>
  </si>
  <si>
    <t xml:space="preserve">5111.0100</t>
  </si>
  <si>
    <t xml:space="preserve">5111.10</t>
  </si>
  <si>
    <t xml:space="preserve">Steward, Ship/Mess Man</t>
  </si>
  <si>
    <t xml:space="preserve">5111.0200</t>
  </si>
  <si>
    <t xml:space="preserve">5111.20</t>
  </si>
  <si>
    <t xml:space="preserve">Travel Consultants and Clerks, Others</t>
  </si>
  <si>
    <t xml:space="preserve">4221.9900</t>
  </si>
  <si>
    <t xml:space="preserve">4211.90</t>
  </si>
  <si>
    <t xml:space="preserve">Travel Consultants &amp; Organizers</t>
  </si>
  <si>
    <t xml:space="preserve">4221.0100</t>
  </si>
  <si>
    <t xml:space="preserve">Flight Attendants and Travel Stewards</t>
  </si>
  <si>
    <t xml:space="preserve">4221.0200</t>
  </si>
  <si>
    <t xml:space="preserve">Reservation Clerk, Transport/Reservation Assistant</t>
  </si>
  <si>
    <t xml:space="preserve">4221.0300</t>
  </si>
  <si>
    <t xml:space="preserve">4211.40</t>
  </si>
  <si>
    <t xml:space="preserve">Booking Clerk, Transport/Concierge</t>
  </si>
  <si>
    <t xml:space="preserve">4221.0400</t>
  </si>
  <si>
    <t xml:space="preserve">4211.50</t>
  </si>
  <si>
    <t xml:space="preserve">Travel Agent</t>
  </si>
  <si>
    <t xml:space="preserve">5113.0100</t>
  </si>
  <si>
    <t xml:space="preserve">5113.10</t>
  </si>
  <si>
    <t xml:space="preserve">Tourist Guide</t>
  </si>
  <si>
    <t xml:space="preserve">5113.0200</t>
  </si>
  <si>
    <t xml:space="preserve">5113.20</t>
  </si>
  <si>
    <t xml:space="preserve">Guides, Other</t>
  </si>
  <si>
    <t xml:space="preserve">5113.9900</t>
  </si>
  <si>
    <t xml:space="preserve">5113.90</t>
  </si>
  <si>
    <t xml:space="preserve">Budder</t>
  </si>
  <si>
    <t xml:space="preserve">6112.0400</t>
  </si>
  <si>
    <t xml:space="preserve">6112.65</t>
  </si>
  <si>
    <t xml:space="preserve">Tea Plantation Worker</t>
  </si>
  <si>
    <t xml:space="preserve">6112.0501</t>
  </si>
  <si>
    <t xml:space="preserve">Coffee Plantation Worker</t>
  </si>
  <si>
    <t xml:space="preserve">6112.0601</t>
  </si>
  <si>
    <t xml:space="preserve">Pruner, Tea Gardens</t>
  </si>
  <si>
    <t xml:space="preserve">6112.0100</t>
  </si>
  <si>
    <t xml:space="preserve">6112.30</t>
  </si>
  <si>
    <t xml:space="preserve">Tapper, Palm Juice</t>
  </si>
  <si>
    <t xml:space="preserve">6112.0200</t>
  </si>
  <si>
    <t xml:space="preserve">6112.40</t>
  </si>
  <si>
    <t xml:space="preserve">Neera Technician</t>
  </si>
  <si>
    <t xml:space="preserve">6112.0201</t>
  </si>
  <si>
    <t xml:space="preserve">Tapper, Rubber</t>
  </si>
  <si>
    <t xml:space="preserve">6112.0300</t>
  </si>
  <si>
    <t xml:space="preserve">6112.50</t>
  </si>
  <si>
    <t xml:space="preserve">Bamboo Grower</t>
  </si>
  <si>
    <t xml:space="preserve">6112.0701</t>
  </si>
  <si>
    <t xml:space="preserve">Tree and Shrub Crop Growers, Other</t>
  </si>
  <si>
    <t xml:space="preserve">6112.9900</t>
  </si>
  <si>
    <t xml:space="preserve">6112.90</t>
  </si>
  <si>
    <t xml:space="preserve">Rubber Nursery Worker – Budder</t>
  </si>
  <si>
    <t xml:space="preserve">6112.0801</t>
  </si>
  <si>
    <t xml:space="preserve">Rubber Nursery Worker – General</t>
  </si>
  <si>
    <t xml:space="preserve">6112.0802</t>
  </si>
  <si>
    <t xml:space="preserve">Secretary/Back Office Support</t>
  </si>
  <si>
    <t xml:space="preserve">4131.0100</t>
  </si>
  <si>
    <t xml:space="preserve">4111.10</t>
  </si>
  <si>
    <t xml:space="preserve">Braille Typist</t>
  </si>
  <si>
    <t xml:space="preserve">4131.0400</t>
  </si>
  <si>
    <t xml:space="preserve">4111.40</t>
  </si>
  <si>
    <t xml:space="preserve">Teleprinter Operator</t>
  </si>
  <si>
    <t xml:space="preserve">4131.0500</t>
  </si>
  <si>
    <t xml:space="preserve">4112.10</t>
  </si>
  <si>
    <t xml:space="preserve">Computer Operator</t>
  </si>
  <si>
    <t xml:space="preserve">4131.0600</t>
  </si>
  <si>
    <t xml:space="preserve">4112.20</t>
  </si>
  <si>
    <t xml:space="preserve">Typists and Word Processing Operators, Other</t>
  </si>
  <si>
    <t xml:space="preserve">4131.9900</t>
  </si>
  <si>
    <t xml:space="preserve">4112.90</t>
  </si>
  <si>
    <t xml:space="preserve">Reporter</t>
  </si>
  <si>
    <t xml:space="preserve">4131.0200</t>
  </si>
  <si>
    <t xml:space="preserve">4111.20</t>
  </si>
  <si>
    <t xml:space="preserve">Undertaker</t>
  </si>
  <si>
    <t xml:space="preserve">5163.0100</t>
  </si>
  <si>
    <t xml:space="preserve">5143.10</t>
  </si>
  <si>
    <t xml:space="preserve">Embalmer</t>
  </si>
  <si>
    <t xml:space="preserve">5163.0200</t>
  </si>
  <si>
    <t xml:space="preserve">5143.20</t>
  </si>
  <si>
    <t xml:space="preserve">Grave Digger</t>
  </si>
  <si>
    <t xml:space="preserve">5163.0300</t>
  </si>
  <si>
    <t xml:space="preserve">5143.30</t>
  </si>
  <si>
    <t xml:space="preserve">Undertakers and Embalmers, Other</t>
  </si>
  <si>
    <t xml:space="preserve">5163.9900</t>
  </si>
  <si>
    <t xml:space="preserve">5143.90</t>
  </si>
  <si>
    <t xml:space="preserve">Diver, Pearl</t>
  </si>
  <si>
    <t xml:space="preserve">7541.0100</t>
  </si>
  <si>
    <t xml:space="preserve">6152.30</t>
  </si>
  <si>
    <t xml:space="preserve">Diver, Chank</t>
  </si>
  <si>
    <t xml:space="preserve">7541.0200</t>
  </si>
  <si>
    <t xml:space="preserve">6152.40</t>
  </si>
  <si>
    <t xml:space="preserve">Coral Breaker</t>
  </si>
  <si>
    <t xml:space="preserve">7541.0300</t>
  </si>
  <si>
    <t xml:space="preserve">6152.50</t>
  </si>
  <si>
    <t xml:space="preserve">Dress Diver</t>
  </si>
  <si>
    <t xml:space="preserve">7541.0600</t>
  </si>
  <si>
    <t xml:space="preserve">7216.10</t>
  </si>
  <si>
    <t xml:space="preserve">Skin Diver</t>
  </si>
  <si>
    <t xml:space="preserve">7541.0700</t>
  </si>
  <si>
    <t xml:space="preserve">7216.20</t>
  </si>
  <si>
    <t xml:space="preserve">Underwater Divers, Other</t>
  </si>
  <si>
    <t xml:space="preserve">7541.9900</t>
  </si>
  <si>
    <t xml:space="preserve">7216.90</t>
  </si>
  <si>
    <t xml:space="preserve">Shell Gatherer</t>
  </si>
  <si>
    <t xml:space="preserve">7541.0400</t>
  </si>
  <si>
    <t xml:space="preserve">6152.60</t>
  </si>
  <si>
    <t xml:space="preserve">Seaweed Gatherer</t>
  </si>
  <si>
    <t xml:space="preserve">7541.0500</t>
  </si>
  <si>
    <t xml:space="preserve">6152.70</t>
  </si>
  <si>
    <t xml:space="preserve">University and College Teacher, Management Subjects/Professors/Assistant Professors, Management Subjects</t>
  </si>
  <si>
    <t xml:space="preserve">2310.0300</t>
  </si>
  <si>
    <t xml:space="preserve">2310.18</t>
  </si>
  <si>
    <t xml:space="preserve">University and College Teacher, Law/Professors/Assistant Professors, Education</t>
  </si>
  <si>
    <t xml:space="preserve">2310.0400</t>
  </si>
  <si>
    <t xml:space="preserve">2310.20</t>
  </si>
  <si>
    <t xml:space="preserve">University and College Teacher, Law/Professors/Assistant Professors, Law</t>
  </si>
  <si>
    <t xml:space="preserve">2310.0500</t>
  </si>
  <si>
    <t xml:space="preserve">2310.30</t>
  </si>
  <si>
    <t xml:space="preserve">University and College Teacher, Science Subjects/Professors/Assistant Professors, Science Subjects</t>
  </si>
  <si>
    <t xml:space="preserve">2310.0600</t>
  </si>
  <si>
    <t xml:space="preserve">2310.40</t>
  </si>
  <si>
    <t xml:space="preserve">University and College Teacher, Arts Subjects/Professors/Assistant Professors, Arts Subjects</t>
  </si>
  <si>
    <t xml:space="preserve">2310.0100</t>
  </si>
  <si>
    <t xml:space="preserve">2310.10</t>
  </si>
  <si>
    <t xml:space="preserve">University and College Teacher, Commerce Subjects/Professors/Assistant Professors, Commerce Subjects</t>
  </si>
  <si>
    <t xml:space="preserve">2310.0200</t>
  </si>
  <si>
    <t xml:space="preserve">2310.15</t>
  </si>
  <si>
    <t xml:space="preserve">Professors/Assistant Professors, Other</t>
  </si>
  <si>
    <t xml:space="preserve">2310.9900</t>
  </si>
  <si>
    <t xml:space="preserve">2310.90</t>
  </si>
  <si>
    <t xml:space="preserve">University and College Teacher, Engineering/ Professors/Assistant Professors, Engineering</t>
  </si>
  <si>
    <t xml:space="preserve">2310.0700</t>
  </si>
  <si>
    <t xml:space="preserve">2310.45</t>
  </si>
  <si>
    <t xml:space="preserve">University and College Teacher, Information Technology/Professors/Assistant Professors, Information Technology</t>
  </si>
  <si>
    <t xml:space="preserve">2310.0800</t>
  </si>
  <si>
    <t xml:space="preserve">2310.48</t>
  </si>
  <si>
    <t xml:space="preserve">University and College Teacher, Medicine and Surgery/Professors/Assistant Professors, Medicine and Surgery</t>
  </si>
  <si>
    <t xml:space="preserve">2310.0900</t>
  </si>
  <si>
    <t xml:space="preserve">2310.50</t>
  </si>
  <si>
    <t xml:space="preserve">University and College Teacher, Veterinary Science/Professors/Assistant Professors, Veterinary Science</t>
  </si>
  <si>
    <t xml:space="preserve">2310.1000</t>
  </si>
  <si>
    <t xml:space="preserve">2310.60</t>
  </si>
  <si>
    <t xml:space="preserve">University and College Teacher, Agricultural Subjects</t>
  </si>
  <si>
    <t xml:space="preserve">2310.1100</t>
  </si>
  <si>
    <t xml:space="preserve">2310.70</t>
  </si>
  <si>
    <t xml:space="preserve">University and College Teacher, Fine Arts/Professors/Assistant Professors, Fine Arts</t>
  </si>
  <si>
    <t xml:space="preserve">2310.1200</t>
  </si>
  <si>
    <t xml:space="preserve">2310.80</t>
  </si>
  <si>
    <t xml:space="preserve">Upholsterers and Related Workers, Other</t>
  </si>
  <si>
    <t xml:space="preserve">7534.9900</t>
  </si>
  <si>
    <t xml:space="preserve">7437.90</t>
  </si>
  <si>
    <t xml:space="preserve">Upholsterer, Furniture</t>
  </si>
  <si>
    <t xml:space="preserve">7534.0100</t>
  </si>
  <si>
    <t xml:space="preserve">7437.10</t>
  </si>
  <si>
    <t xml:space="preserve">Upholsterer, Orthopaedic Appliances</t>
  </si>
  <si>
    <t xml:space="preserve">7534.0200</t>
  </si>
  <si>
    <t xml:space="preserve">7437.20</t>
  </si>
  <si>
    <t xml:space="preserve">Upholsterer, Vehicle</t>
  </si>
  <si>
    <t xml:space="preserve">7534.0300</t>
  </si>
  <si>
    <t xml:space="preserve">7437.30</t>
  </si>
  <si>
    <t xml:space="preserve">Cushion Maker</t>
  </si>
  <si>
    <t xml:space="preserve">7534.0400</t>
  </si>
  <si>
    <t xml:space="preserve">7437.40</t>
  </si>
  <si>
    <t xml:space="preserve">Mattress Maker (Spring)</t>
  </si>
  <si>
    <t xml:space="preserve">7534.0500</t>
  </si>
  <si>
    <t xml:space="preserve">7437.45</t>
  </si>
  <si>
    <t xml:space="preserve">Valuer</t>
  </si>
  <si>
    <t xml:space="preserve">3315.0100</t>
  </si>
  <si>
    <t xml:space="preserve">3417.40</t>
  </si>
  <si>
    <t xml:space="preserve">Claims Inspector, Railways</t>
  </si>
  <si>
    <t xml:space="preserve">3315.0200</t>
  </si>
  <si>
    <t xml:space="preserve">3417.50</t>
  </si>
  <si>
    <t xml:space="preserve">Appraiser, Customs</t>
  </si>
  <si>
    <t xml:space="preserve">3315.0300</t>
  </si>
  <si>
    <t xml:space="preserve">3417.60</t>
  </si>
  <si>
    <t xml:space="preserve">Warranty In-Charge</t>
  </si>
  <si>
    <t xml:space="preserve">3315.0501</t>
  </si>
  <si>
    <t xml:space="preserve">Valuers and Loss Assessors, Other</t>
  </si>
  <si>
    <t xml:space="preserve">3315.9900</t>
  </si>
  <si>
    <t xml:space="preserve">3417.90</t>
  </si>
  <si>
    <t xml:space="preserve">Cleaner, Window</t>
  </si>
  <si>
    <t xml:space="preserve">9122.0100</t>
  </si>
  <si>
    <t xml:space="preserve">9142.10</t>
  </si>
  <si>
    <t xml:space="preserve">Washer</t>
  </si>
  <si>
    <t xml:space="preserve">9122.0201</t>
  </si>
  <si>
    <t xml:space="preserve">Driving Assistant</t>
  </si>
  <si>
    <t xml:space="preserve">9122.0301</t>
  </si>
  <si>
    <t xml:space="preserve">Vehicle, Window and Related Cleaners, Other</t>
  </si>
  <si>
    <t xml:space="preserve">9122.9900</t>
  </si>
  <si>
    <t xml:space="preserve">9142.90</t>
  </si>
  <si>
    <t xml:space="preserve">Animal Pathologist</t>
  </si>
  <si>
    <t xml:space="preserve">2250.0100</t>
  </si>
  <si>
    <t xml:space="preserve">2212.60</t>
  </si>
  <si>
    <t xml:space="preserve">Veterinarian, General</t>
  </si>
  <si>
    <t xml:space="preserve">2250.0200</t>
  </si>
  <si>
    <t xml:space="preserve">2226.10</t>
  </si>
  <si>
    <t xml:space="preserve">Veterinarian, Surgeon</t>
  </si>
  <si>
    <t xml:space="preserve">2250.0300</t>
  </si>
  <si>
    <t xml:space="preserve">2226.20</t>
  </si>
  <si>
    <t xml:space="preserve">Animal Genetist</t>
  </si>
  <si>
    <t xml:space="preserve">2250.0400</t>
  </si>
  <si>
    <t xml:space="preserve">2226.30</t>
  </si>
  <si>
    <t xml:space="preserve">Zoo Veterinarian</t>
  </si>
  <si>
    <t xml:space="preserve">2250.0500</t>
  </si>
  <si>
    <t xml:space="preserve">2226.40</t>
  </si>
  <si>
    <t xml:space="preserve">Veterinarian, Poultry</t>
  </si>
  <si>
    <t xml:space="preserve">2250.0600</t>
  </si>
  <si>
    <t xml:space="preserve">2226.50</t>
  </si>
  <si>
    <t xml:space="preserve">Veterinarians, Other</t>
  </si>
  <si>
    <t xml:space="preserve">2250.9900</t>
  </si>
  <si>
    <t xml:space="preserve">2226.90</t>
  </si>
  <si>
    <t xml:space="preserve">Laboratory Technician, Artificial Breeding</t>
  </si>
  <si>
    <t xml:space="preserve">3240.0400</t>
  </si>
  <si>
    <t xml:space="preserve">3227.40</t>
  </si>
  <si>
    <t xml:space="preserve">Vaccinator, Veterinary</t>
  </si>
  <si>
    <t xml:space="preserve">3240.0100</t>
  </si>
  <si>
    <t xml:space="preserve">3227.10</t>
  </si>
  <si>
    <t xml:space="preserve">Stockman</t>
  </si>
  <si>
    <t xml:space="preserve">3240.0200</t>
  </si>
  <si>
    <t xml:space="preserve">3227.20</t>
  </si>
  <si>
    <t xml:space="preserve">Animal Keeper</t>
  </si>
  <si>
    <t xml:space="preserve">3240.0300</t>
  </si>
  <si>
    <t xml:space="preserve">3227.30</t>
  </si>
  <si>
    <t xml:space="preserve">Veterinary Technicians and Assistants, Other</t>
  </si>
  <si>
    <t xml:space="preserve">3240.9900</t>
  </si>
  <si>
    <t xml:space="preserve">3227.90</t>
  </si>
  <si>
    <t xml:space="preserve">Sculptor</t>
  </si>
  <si>
    <t xml:space="preserve">2651.0100</t>
  </si>
  <si>
    <t xml:space="preserve">2452.10</t>
  </si>
  <si>
    <t xml:space="preserve">Modeller (Except Stone)</t>
  </si>
  <si>
    <t xml:space="preserve">2651.0200</t>
  </si>
  <si>
    <t xml:space="preserve">2452.20</t>
  </si>
  <si>
    <t xml:space="preserve">Visual Artists, Other</t>
  </si>
  <si>
    <t xml:space="preserve">2651.9900</t>
  </si>
  <si>
    <t xml:space="preserve">2452.90</t>
  </si>
  <si>
    <t xml:space="preserve">Stone Modeller</t>
  </si>
  <si>
    <t xml:space="preserve">2651.0300</t>
  </si>
  <si>
    <t xml:space="preserve">2452.30</t>
  </si>
  <si>
    <t xml:space="preserve">Painter, Fine Art</t>
  </si>
  <si>
    <t xml:space="preserve">2651.0400</t>
  </si>
  <si>
    <t xml:space="preserve">2452.40</t>
  </si>
  <si>
    <t xml:space="preserve">Renovator, Paintings</t>
  </si>
  <si>
    <t xml:space="preserve">2651.0500</t>
  </si>
  <si>
    <t xml:space="preserve">2452.50</t>
  </si>
  <si>
    <t xml:space="preserve">Cartoonist</t>
  </si>
  <si>
    <t xml:space="preserve">2651.0600</t>
  </si>
  <si>
    <t xml:space="preserve">2452.55</t>
  </si>
  <si>
    <t xml:space="preserve">Certified Training Assessor</t>
  </si>
  <si>
    <t xml:space="preserve">2320.0101</t>
  </si>
  <si>
    <t xml:space="preserve">Physical Security Trainer</t>
  </si>
  <si>
    <t xml:space="preserve">2320.0102</t>
  </si>
  <si>
    <t xml:space="preserve">Butler</t>
  </si>
  <si>
    <t xml:space="preserve">5131.0100</t>
  </si>
  <si>
    <t xml:space="preserve">5123.10</t>
  </si>
  <si>
    <t xml:space="preserve">Steward, Hotel</t>
  </si>
  <si>
    <t xml:space="preserve">5131.0200</t>
  </si>
  <si>
    <t xml:space="preserve">5123.20</t>
  </si>
  <si>
    <t xml:space="preserve">Bearer, Domestic/Household Workers</t>
  </si>
  <si>
    <t xml:space="preserve">5131.0300</t>
  </si>
  <si>
    <t xml:space="preserve">5123.30</t>
  </si>
  <si>
    <t xml:space="preserve">Wine Waiter</t>
  </si>
  <si>
    <t xml:space="preserve">5131.0500</t>
  </si>
  <si>
    <t xml:space="preserve">5123.50</t>
  </si>
  <si>
    <t xml:space="preserve">Waiters, Other</t>
  </si>
  <si>
    <t xml:space="preserve">5131.9900</t>
  </si>
  <si>
    <t xml:space="preserve">5123.90</t>
  </si>
  <si>
    <t xml:space="preserve">Waiter, Institutional/Food &amp; Beverage Service –Steward</t>
  </si>
  <si>
    <t xml:space="preserve">5131.0401</t>
  </si>
  <si>
    <t xml:space="preserve">5123.40</t>
  </si>
  <si>
    <t xml:space="preserve">Drawing Man</t>
  </si>
  <si>
    <t xml:space="preserve">8152.0100</t>
  </si>
  <si>
    <t xml:space="preserve">7432.10</t>
  </si>
  <si>
    <t xml:space="preserve">Doffer, Fly Frame/Speed Frame Operator</t>
  </si>
  <si>
    <t xml:space="preserve">8152.0200</t>
  </si>
  <si>
    <t xml:space="preserve">7432.12</t>
  </si>
  <si>
    <t xml:space="preserve">Knitting Jobber</t>
  </si>
  <si>
    <t xml:space="preserve">8152.0300</t>
  </si>
  <si>
    <t xml:space="preserve">8262.10</t>
  </si>
  <si>
    <t xml:space="preserve">Card Cutter</t>
  </si>
  <si>
    <t xml:space="preserve">8152.0400</t>
  </si>
  <si>
    <t xml:space="preserve">8262.20</t>
  </si>
  <si>
    <t xml:space="preserve">Mat Shearing Operator</t>
  </si>
  <si>
    <t xml:space="preserve">8152.0500</t>
  </si>
  <si>
    <t xml:space="preserve">8262.25</t>
  </si>
  <si>
    <t xml:space="preserve">Sock Knitter, Automatic Machine</t>
  </si>
  <si>
    <t xml:space="preserve">8152.0800</t>
  </si>
  <si>
    <t xml:space="preserve">8262.40</t>
  </si>
  <si>
    <t xml:space="preserve">Looperman, Hosiery</t>
  </si>
  <si>
    <t xml:space="preserve">8152.1000</t>
  </si>
  <si>
    <t xml:space="preserve">8262.50</t>
  </si>
  <si>
    <t xml:space="preserve">Weaver, Lace (Machine)</t>
  </si>
  <si>
    <t xml:space="preserve">8152.1200</t>
  </si>
  <si>
    <t xml:space="preserve">8262.60</t>
  </si>
  <si>
    <t xml:space="preserve">Braid Maker, Machine/Braiding Machine Operator</t>
  </si>
  <si>
    <t xml:space="preserve">8152.1300</t>
  </si>
  <si>
    <t xml:space="preserve">8262.65</t>
  </si>
  <si>
    <t xml:space="preserve">Lace Maker (Machine)</t>
  </si>
  <si>
    <t xml:space="preserve">8152.1400</t>
  </si>
  <si>
    <t xml:space="preserve">8262.70</t>
  </si>
  <si>
    <t xml:space="preserve">Warp Tying Machineman</t>
  </si>
  <si>
    <t xml:space="preserve">8152.1600</t>
  </si>
  <si>
    <t xml:space="preserve">8262.80</t>
  </si>
  <si>
    <t xml:space="preserve">Wrapper</t>
  </si>
  <si>
    <t xml:space="preserve">8152.1700</t>
  </si>
  <si>
    <t xml:space="preserve">8262.81</t>
  </si>
  <si>
    <t xml:space="preserve">Front Sizer (Cotton Textile)</t>
  </si>
  <si>
    <t xml:space="preserve">8152.2000</t>
  </si>
  <si>
    <t xml:space="preserve">8262.85</t>
  </si>
  <si>
    <t xml:space="preserve">Back Sizer</t>
  </si>
  <si>
    <t xml:space="preserve">8152.2100</t>
  </si>
  <si>
    <t xml:space="preserve">8262.86</t>
  </si>
  <si>
    <t xml:space="preserve">Knitter, Machine/Knitting Machine Operator</t>
  </si>
  <si>
    <t xml:space="preserve">8152.0900</t>
  </si>
  <si>
    <t xml:space="preserve">8262.45</t>
  </si>
  <si>
    <t xml:space="preserve">Weaving and Knitting Machine Operators, Other</t>
  </si>
  <si>
    <t xml:space="preserve">8152.9900</t>
  </si>
  <si>
    <t xml:space="preserve">8262.90</t>
  </si>
  <si>
    <t xml:space="preserve">Warp Knitter/Knitting Machine Operator – Warp Knitter</t>
  </si>
  <si>
    <t xml:space="preserve">8152.1100</t>
  </si>
  <si>
    <t xml:space="preserve">8262.55</t>
  </si>
  <si>
    <t xml:space="preserve">Sock Knitter/Knitting Machine Operator – Socks Knitting</t>
  </si>
  <si>
    <t xml:space="preserve">8152.0700</t>
  </si>
  <si>
    <t xml:space="preserve">8262.35</t>
  </si>
  <si>
    <t xml:space="preserve">Flat Knitter, Machine/Knitting Machine Operator – Flat Knitting</t>
  </si>
  <si>
    <t xml:space="preserve">8152.0600</t>
  </si>
  <si>
    <t xml:space="preserve">8262.30</t>
  </si>
  <si>
    <t xml:space="preserve">Web Developer</t>
  </si>
  <si>
    <t xml:space="preserve">2513.0101</t>
  </si>
  <si>
    <t xml:space="preserve">User Interface Developer</t>
  </si>
  <si>
    <t xml:space="preserve">2513.0201</t>
  </si>
  <si>
    <t xml:space="preserve">Media Developer – Product Development and Delivery</t>
  </si>
  <si>
    <t xml:space="preserve">2513.0301</t>
  </si>
  <si>
    <t xml:space="preserve">Media Developer – Application Development</t>
  </si>
  <si>
    <t xml:space="preserve">2513.0302</t>
  </si>
  <si>
    <t xml:space="preserve">Welder, Electric</t>
  </si>
  <si>
    <t xml:space="preserve">7212.0200</t>
  </si>
  <si>
    <t xml:space="preserve">7212.20</t>
  </si>
  <si>
    <t xml:space="preserve">Welder, Machine</t>
  </si>
  <si>
    <t xml:space="preserve">7212.0300</t>
  </si>
  <si>
    <t xml:space="preserve">7212.30</t>
  </si>
  <si>
    <t xml:space="preserve">Welder</t>
  </si>
  <si>
    <t xml:space="preserve">7212.0301</t>
  </si>
  <si>
    <t xml:space="preserve">Welder, Gas</t>
  </si>
  <si>
    <t xml:space="preserve">7212.0100</t>
  </si>
  <si>
    <t xml:space="preserve">7212.10</t>
  </si>
  <si>
    <t xml:space="preserve">Plumber (Welder)/Plumbing (Sanitary Fixtures) Fitter Assistant</t>
  </si>
  <si>
    <t xml:space="preserve">7212.0101</t>
  </si>
  <si>
    <t xml:space="preserve">Plumber (Welder) Assistant</t>
  </si>
  <si>
    <t xml:space="preserve">7212.0102</t>
  </si>
  <si>
    <t xml:space="preserve">Tungsten Inert Gas Welder</t>
  </si>
  <si>
    <t xml:space="preserve">7212.0105</t>
  </si>
  <si>
    <t xml:space="preserve">Repair Welder</t>
  </si>
  <si>
    <t xml:space="preserve">7212.0111</t>
  </si>
  <si>
    <t xml:space="preserve">Welders and Flame Cutters, Other</t>
  </si>
  <si>
    <t xml:space="preserve">7212.9900</t>
  </si>
  <si>
    <t xml:space="preserve">7212.90</t>
  </si>
  <si>
    <t xml:space="preserve">Welding Technician</t>
  </si>
  <si>
    <t xml:space="preserve">7212.0302</t>
  </si>
  <si>
    <t xml:space="preserve">Gas Metal Arc Welder/Metal Inert Gas/Metal Active Gas/Gas Metal Arc Welder (MIG/MAG/GMAW)</t>
  </si>
  <si>
    <t xml:space="preserve">7212.0303</t>
  </si>
  <si>
    <t xml:space="preserve">Gas Cutter</t>
  </si>
  <si>
    <t xml:space="preserve">7212.0400</t>
  </si>
  <si>
    <t xml:space="preserve">7212.40</t>
  </si>
  <si>
    <t xml:space="preserve">Brazer</t>
  </si>
  <si>
    <t xml:space="preserve">7212.0500</t>
  </si>
  <si>
    <t xml:space="preserve">7212.50</t>
  </si>
  <si>
    <t xml:space="preserve">Soldering and Brazing Operator</t>
  </si>
  <si>
    <t xml:space="preserve">7212.0501</t>
  </si>
  <si>
    <t xml:space="preserve">Lead Burner</t>
  </si>
  <si>
    <t xml:space="preserve">7212.0600</t>
  </si>
  <si>
    <t xml:space="preserve">7212.60</t>
  </si>
  <si>
    <t xml:space="preserve">Welder, Resistance</t>
  </si>
  <si>
    <t xml:space="preserve">7212.0700</t>
  </si>
  <si>
    <t xml:space="preserve">7212.65</t>
  </si>
  <si>
    <t xml:space="preserve">Welding Assistant</t>
  </si>
  <si>
    <t xml:space="preserve">7212.0801</t>
  </si>
  <si>
    <t xml:space="preserve">Plasma Cutter – Manual</t>
  </si>
  <si>
    <t xml:space="preserve">7212.0402</t>
  </si>
  <si>
    <t xml:space="preserve">Well Puller</t>
  </si>
  <si>
    <t xml:space="preserve">8113.0500</t>
  </si>
  <si>
    <t xml:space="preserve">8113.30</t>
  </si>
  <si>
    <t xml:space="preserve">Scaperman</t>
  </si>
  <si>
    <t xml:space="preserve">8113.0600</t>
  </si>
  <si>
    <t xml:space="preserve">8113.35</t>
  </si>
  <si>
    <t xml:space="preserve">Gauger</t>
  </si>
  <si>
    <t xml:space="preserve">8113.0700</t>
  </si>
  <si>
    <t xml:space="preserve">8113.40</t>
  </si>
  <si>
    <t xml:space="preserve">Well Driller, Machine (Other than Petroleum and Gas)</t>
  </si>
  <si>
    <t xml:space="preserve">8113.0800</t>
  </si>
  <si>
    <t xml:space="preserve">8113.45</t>
  </si>
  <si>
    <t xml:space="preserve">Well Drillers, Petroleum and Gas</t>
  </si>
  <si>
    <t xml:space="preserve">8113.0100</t>
  </si>
  <si>
    <t xml:space="preserve">8113.10</t>
  </si>
  <si>
    <t xml:space="preserve">Derrickman</t>
  </si>
  <si>
    <t xml:space="preserve">8113.0200</t>
  </si>
  <si>
    <t xml:space="preserve">8113.15</t>
  </si>
  <si>
    <t xml:space="preserve">Mudman</t>
  </si>
  <si>
    <t xml:space="preserve">8113.0300</t>
  </si>
  <si>
    <t xml:space="preserve">8113.20</t>
  </si>
  <si>
    <t xml:space="preserve">Cementer</t>
  </si>
  <si>
    <t xml:space="preserve">8113.0400</t>
  </si>
  <si>
    <t xml:space="preserve">8113.25</t>
  </si>
  <si>
    <t xml:space="preserve">Well Drillers and Borers and Related Workers, Other</t>
  </si>
  <si>
    <t xml:space="preserve">8113.9900</t>
  </si>
  <si>
    <t xml:space="preserve">8113.90</t>
  </si>
  <si>
    <t xml:space="preserve">Wood Sawyer, Machine, General</t>
  </si>
  <si>
    <t xml:space="preserve">8172.0100</t>
  </si>
  <si>
    <t xml:space="preserve">8141.10</t>
  </si>
  <si>
    <t xml:space="preserve">Wood Sawyer, Edger</t>
  </si>
  <si>
    <t xml:space="preserve">8172.0200</t>
  </si>
  <si>
    <t xml:space="preserve">8141.20</t>
  </si>
  <si>
    <t xml:space="preserve">Band Saw Operator</t>
  </si>
  <si>
    <t xml:space="preserve">8172.0300</t>
  </si>
  <si>
    <t xml:space="preserve">8141.25</t>
  </si>
  <si>
    <t xml:space="preserve">Circular Saw Operator</t>
  </si>
  <si>
    <t xml:space="preserve">8172.0400</t>
  </si>
  <si>
    <t xml:space="preserve">8141.30</t>
  </si>
  <si>
    <t xml:space="preserve">Veneer Cutter</t>
  </si>
  <si>
    <t xml:space="preserve">8172.0700</t>
  </si>
  <si>
    <t xml:space="preserve">8141.55</t>
  </si>
  <si>
    <t xml:space="preserve">Peeling Machine Operator</t>
  </si>
  <si>
    <t xml:space="preserve">8172.0800</t>
  </si>
  <si>
    <t xml:space="preserve">8141.60</t>
  </si>
  <si>
    <t xml:space="preserve">Barrel-Lathe Operator, Outside (Wood Container)</t>
  </si>
  <si>
    <t xml:space="preserve">8172.0900</t>
  </si>
  <si>
    <t xml:space="preserve">8141.62</t>
  </si>
  <si>
    <t xml:space="preserve">Wood Chopping Machine Operator</t>
  </si>
  <si>
    <t xml:space="preserve">8172.1000</t>
  </si>
  <si>
    <t xml:space="preserve">8141.65</t>
  </si>
  <si>
    <t xml:space="preserve">Core Laying Machine Operator</t>
  </si>
  <si>
    <t xml:space="preserve">8172.1100</t>
  </si>
  <si>
    <t xml:space="preserve">8141.70</t>
  </si>
  <si>
    <t xml:space="preserve">Core Layer, Plywood</t>
  </si>
  <si>
    <t xml:space="preserve">8172.1200</t>
  </si>
  <si>
    <t xml:space="preserve">8141.75</t>
  </si>
  <si>
    <t xml:space="preserve">Wood Processing Plant Operators and Related Workers, Other</t>
  </si>
  <si>
    <t xml:space="preserve">8172.9900</t>
  </si>
  <si>
    <t xml:space="preserve">8141.90</t>
  </si>
  <si>
    <t xml:space="preserve">Kiln Operator, Wood</t>
  </si>
  <si>
    <t xml:space="preserve">7521.0100</t>
  </si>
  <si>
    <t xml:space="preserve">7421.10</t>
  </si>
  <si>
    <t xml:space="preserve">Impregnator, Wood</t>
  </si>
  <si>
    <t xml:space="preserve">7521.0200</t>
  </si>
  <si>
    <t xml:space="preserve">7421.20</t>
  </si>
  <si>
    <t xml:space="preserve">Wood Bender</t>
  </si>
  <si>
    <t xml:space="preserve">7521.0300</t>
  </si>
  <si>
    <t xml:space="preserve">7421.30</t>
  </si>
  <si>
    <t xml:space="preserve">Wood Treater</t>
  </si>
  <si>
    <t xml:space="preserve">7521.0400</t>
  </si>
  <si>
    <t xml:space="preserve">7421.40</t>
  </si>
  <si>
    <t xml:space="preserve">Grader (Wood Working)</t>
  </si>
  <si>
    <t xml:space="preserve">7521.0500</t>
  </si>
  <si>
    <t xml:space="preserve">7421.50</t>
  </si>
  <si>
    <t xml:space="preserve">Wood Treaters, Other</t>
  </si>
  <si>
    <t xml:space="preserve">7521.9900</t>
  </si>
  <si>
    <t xml:space="preserve">7421.90</t>
  </si>
  <si>
    <t xml:space="preserve">Wood, Turner Hand</t>
  </si>
  <si>
    <t xml:space="preserve">7523.0300</t>
  </si>
  <si>
    <t xml:space="preserve">7423.20</t>
  </si>
  <si>
    <t xml:space="preserve">Shaper Wood</t>
  </si>
  <si>
    <t xml:space="preserve">7523.0400</t>
  </si>
  <si>
    <t xml:space="preserve">7423.25</t>
  </si>
  <si>
    <t xml:space="preserve">Router, Wood</t>
  </si>
  <si>
    <t xml:space="preserve">7523.0500</t>
  </si>
  <si>
    <t xml:space="preserve">7423.30</t>
  </si>
  <si>
    <t xml:space="preserve">Planer, Wood</t>
  </si>
  <si>
    <t xml:space="preserve">7523.0600</t>
  </si>
  <si>
    <t xml:space="preserve">7423.35</t>
  </si>
  <si>
    <t xml:space="preserve">Four Cutter</t>
  </si>
  <si>
    <t xml:space="preserve">7523.0700</t>
  </si>
  <si>
    <t xml:space="preserve">7423.40</t>
  </si>
  <si>
    <t xml:space="preserve">Wood Sawyer, Hand</t>
  </si>
  <si>
    <t xml:space="preserve">7523.0800</t>
  </si>
  <si>
    <t xml:space="preserve">7423.42</t>
  </si>
  <si>
    <t xml:space="preserve">Moulder, Wood</t>
  </si>
  <si>
    <t xml:space="preserve">7523.0900</t>
  </si>
  <si>
    <t xml:space="preserve">7423.45</t>
  </si>
  <si>
    <t xml:space="preserve">Mortiser Operator</t>
  </si>
  <si>
    <t xml:space="preserve">7523.1000</t>
  </si>
  <si>
    <t xml:space="preserve">7423.50</t>
  </si>
  <si>
    <t xml:space="preserve">Tennoning Machine Operator</t>
  </si>
  <si>
    <t xml:space="preserve">7523.1100</t>
  </si>
  <si>
    <t xml:space="preserve">7423.55</t>
  </si>
  <si>
    <t xml:space="preserve">Wood Machinist, General</t>
  </si>
  <si>
    <t xml:space="preserve">7523.0100</t>
  </si>
  <si>
    <t xml:space="preserve">7423.10</t>
  </si>
  <si>
    <t xml:space="preserve">Jointer Machine Operator</t>
  </si>
  <si>
    <t xml:space="preserve">7523.1200</t>
  </si>
  <si>
    <t xml:space="preserve">7423.60</t>
  </si>
  <si>
    <t xml:space="preserve">Wood Turner, Machine</t>
  </si>
  <si>
    <t xml:space="preserve">7523.0200</t>
  </si>
  <si>
    <t xml:space="preserve">7423.15</t>
  </si>
  <si>
    <t xml:space="preserve">Driller Wood</t>
  </si>
  <si>
    <t xml:space="preserve">7523.1300</t>
  </si>
  <si>
    <t xml:space="preserve">7423.65</t>
  </si>
  <si>
    <t xml:space="preserve">Dowell Machine Operator</t>
  </si>
  <si>
    <t xml:space="preserve">7523.1400</t>
  </si>
  <si>
    <t xml:space="preserve">7423.70</t>
  </si>
  <si>
    <t xml:space="preserve">Wood Wool Machine Operator</t>
  </si>
  <si>
    <t xml:space="preserve">7523.1500</t>
  </si>
  <si>
    <t xml:space="preserve">7423.80</t>
  </si>
  <si>
    <t xml:space="preserve">Wood Carver, Machine</t>
  </si>
  <si>
    <t xml:space="preserve">7523.1600</t>
  </si>
  <si>
    <t xml:space="preserve">8241.10</t>
  </si>
  <si>
    <t xml:space="preserve">Fret Saw Machine Operator</t>
  </si>
  <si>
    <t xml:space="preserve">7523.1700</t>
  </si>
  <si>
    <t xml:space="preserve">8241.20</t>
  </si>
  <si>
    <t xml:space="preserve">Sander Operator</t>
  </si>
  <si>
    <t xml:space="preserve">7523.1800</t>
  </si>
  <si>
    <t xml:space="preserve">8241.30</t>
  </si>
  <si>
    <t xml:space="preserve">Wood Working Machine Setters and Setter Operators, Others</t>
  </si>
  <si>
    <t xml:space="preserve">7523.9900</t>
  </si>
  <si>
    <t xml:space="preserve">8241.90</t>
  </si>
  <si>
    <t xml:space="preserve">Source: Directorate General of Employment, National Classification of Occupations listing (dge.gov.in/nat), 3,447 occupations, printed 13 Oct 2026 (provided by the user). Rows with several NCO-2004 codes are split, one row per code.</t>
  </si>
  <si>
    <t xml:space="preserve">ISCO-08 code</t>
  </si>
  <si>
    <t xml:space="preserve">ISCO-08 title</t>
  </si>
  <si>
    <t xml:space="preserve">ISCO-88 code</t>
  </si>
  <si>
    <t xml:space="preserve">ISCO-88 title</t>
  </si>
  <si>
    <t xml:space="preserve">Partial match (p)</t>
  </si>
  <si>
    <t xml:space="preserve">ILO comment (as printed; may be clipped)</t>
  </si>
  <si>
    <t xml:space="preserve">NCO-2004 group (= ISCO-88 first 3 digits)</t>
  </si>
  <si>
    <t xml:space="preserve">ILO exposure score of ISCO-08 job</t>
  </si>
  <si>
    <t xml:space="preserve">ILO exposure gradient</t>
  </si>
  <si>
    <t xml:space="preserve">First link of this job to this group (1/0)</t>
  </si>
  <si>
    <t xml:space="preserve">1111</t>
  </si>
  <si>
    <t xml:space="preserve">Legislators</t>
  </si>
  <si>
    <t xml:space="preserve">1110</t>
  </si>
  <si>
    <t xml:space="preserve">Not Exposed</t>
  </si>
  <si>
    <t xml:space="preserve">1112</t>
  </si>
  <si>
    <t xml:space="preserve">Senior Government Officials</t>
  </si>
  <si>
    <t xml:space="preserve">1120</t>
  </si>
  <si>
    <t xml:space="preserve">Senior government officials</t>
  </si>
  <si>
    <t xml:space="preserve">Minimal Exposure</t>
  </si>
  <si>
    <t xml:space="preserve">1113</t>
  </si>
  <si>
    <t xml:space="preserve">Traditional Chiefs and Heads of Villages</t>
  </si>
  <si>
    <t xml:space="preserve">1130</t>
  </si>
  <si>
    <t xml:space="preserve">Traditional chiefs and heads of villages</t>
  </si>
  <si>
    <t xml:space="preserve">1114</t>
  </si>
  <si>
    <t xml:space="preserve">Senior Officials of Special-interest Organizations</t>
  </si>
  <si>
    <t xml:space="preserve">1141</t>
  </si>
  <si>
    <t xml:space="preserve">Senior officials of political-party organisations</t>
  </si>
  <si>
    <t xml:space="preserve">1142</t>
  </si>
  <si>
    <t xml:space="preserve">Senior officials of employers', workers' and other economic-interest organisations</t>
  </si>
  <si>
    <t xml:space="preserve">1143</t>
  </si>
  <si>
    <t xml:space="preserve">Senior officials of humanitarian and other special- interest organisations</t>
  </si>
  <si>
    <t xml:space="preserve">Managing Directors and Chief Executives</t>
  </si>
  <si>
    <t xml:space="preserve">1210</t>
  </si>
  <si>
    <t xml:space="preserve">Directors and chief executives</t>
  </si>
  <si>
    <t xml:space="preserve">1211</t>
  </si>
  <si>
    <t xml:space="preserve">Finance Managers</t>
  </si>
  <si>
    <t xml:space="preserve">1231</t>
  </si>
  <si>
    <t xml:space="preserve">Finance and administration department managers</t>
  </si>
  <si>
    <t xml:space="preserve">p</t>
  </si>
  <si>
    <t xml:space="preserve">1317</t>
  </si>
  <si>
    <t xml:space="preserve">General managers of business services</t>
  </si>
  <si>
    <t xml:space="preserve">Managers of establishments</t>
  </si>
  <si>
    <t xml:space="preserve">1212</t>
  </si>
  <si>
    <t xml:space="preserve">Human Resource Managers</t>
  </si>
  <si>
    <t xml:space="preserve">1232</t>
  </si>
  <si>
    <t xml:space="preserve">Personnel and industrial relations department</t>
  </si>
  <si>
    <t xml:space="preserve">providing human resource</t>
  </si>
  <si>
    <t xml:space="preserve">1213</t>
  </si>
  <si>
    <t xml:space="preserve">Policy and Planning Managers</t>
  </si>
  <si>
    <t xml:space="preserve">1229</t>
  </si>
  <si>
    <t xml:space="preserve">Production and operations department managers not elsewhere classified</t>
  </si>
  <si>
    <t xml:space="preserve">1239</t>
  </si>
  <si>
    <t xml:space="preserve">Other department managers not elsewhere</t>
  </si>
  <si>
    <t xml:space="preserve">IR managers?</t>
  </si>
  <si>
    <t xml:space="preserve">1219</t>
  </si>
  <si>
    <t xml:space="preserve">Business Services and Administration Managers Not Elsewhere Classified</t>
  </si>
  <si>
    <t xml:space="preserve">1227</t>
  </si>
  <si>
    <t xml:space="preserve">Production and operations department managers in business services</t>
  </si>
  <si>
    <t xml:space="preserve">Building services and</t>
  </si>
  <si>
    <t xml:space="preserve">Gradient 2</t>
  </si>
  <si>
    <t xml:space="preserve">1228</t>
  </si>
  <si>
    <t xml:space="preserve">Production and operations department managers in personal care, cleaning and related services</t>
  </si>
  <si>
    <t xml:space="preserve">cleaning department</t>
  </si>
  <si>
    <t xml:space="preserve">Administration department</t>
  </si>
  <si>
    <t xml:space="preserve">managers</t>
  </si>
  <si>
    <t xml:space="preserve">Managers of contract cleaning</t>
  </si>
  <si>
    <t xml:space="preserve">1318</t>
  </si>
  <si>
    <t xml:space="preserve">General managers in personal care, cleaning and related services</t>
  </si>
  <si>
    <t xml:space="preserve">companies? For review</t>
  </si>
  <si>
    <t xml:space="preserve">1221</t>
  </si>
  <si>
    <t xml:space="preserve">Sales and Marketing Managers</t>
  </si>
  <si>
    <t xml:space="preserve">1233</t>
  </si>
  <si>
    <t xml:space="preserve">Sales and marketing department managers</t>
  </si>
  <si>
    <t xml:space="preserve">Managers of marketing</t>
  </si>
  <si>
    <t xml:space="preserve">1222</t>
  </si>
  <si>
    <t xml:space="preserve">Advertising and Public Relations Managers</t>
  </si>
  <si>
    <t xml:space="preserve">1234</t>
  </si>
  <si>
    <t xml:space="preserve">Advertising and public relations department</t>
  </si>
  <si>
    <t xml:space="preserve">Managers of advertising and</t>
  </si>
  <si>
    <t xml:space="preserve">1223</t>
  </si>
  <si>
    <t xml:space="preserve">Research and Development Managers</t>
  </si>
  <si>
    <t xml:space="preserve">1237</t>
  </si>
  <si>
    <t xml:space="preserve">Research and development department</t>
  </si>
  <si>
    <t xml:space="preserve">1319</t>
  </si>
  <si>
    <t xml:space="preserve">General managers not elsewhere classified</t>
  </si>
  <si>
    <t xml:space="preserve">Research and development</t>
  </si>
  <si>
    <t xml:space="preserve">1311</t>
  </si>
  <si>
    <t xml:space="preserve">Agricultural and Forestry Production Managers</t>
  </si>
  <si>
    <t xml:space="preserve">Production and operations department managers in agriculture, hunting, forestry and fishing</t>
  </si>
  <si>
    <t xml:space="preserve">1312</t>
  </si>
  <si>
    <t xml:space="preserve">Aquaculture and Fisheries Production Managers</t>
  </si>
  <si>
    <t xml:space="preserve">1321</t>
  </si>
  <si>
    <t xml:space="preserve">Manufacturing Managers</t>
  </si>
  <si>
    <t xml:space="preserve">Production and operations department managers in manufacturing</t>
  </si>
  <si>
    <t xml:space="preserve">General managers in manufacturing</t>
  </si>
  <si>
    <t xml:space="preserve">1322</t>
  </si>
  <si>
    <t xml:space="preserve">Mining Managers</t>
  </si>
  <si>
    <t xml:space="preserve">Managers of small mining and</t>
  </si>
  <si>
    <t xml:space="preserve">1323</t>
  </si>
  <si>
    <t xml:space="preserve">Construction Managers</t>
  </si>
  <si>
    <t xml:space="preserve">Production and operations department managers in construction</t>
  </si>
  <si>
    <t xml:space="preserve">1313</t>
  </si>
  <si>
    <t xml:space="preserve">General managers in construction</t>
  </si>
  <si>
    <t xml:space="preserve">1324</t>
  </si>
  <si>
    <t xml:space="preserve">Supply, Distribution and Related Managers</t>
  </si>
  <si>
    <t xml:space="preserve">1226</t>
  </si>
  <si>
    <t xml:space="preserve">Production and operations department managers in transport, storage and communications</t>
  </si>
  <si>
    <t xml:space="preserve">Postmasters, station masters, transport, storage</t>
  </si>
  <si>
    <t xml:space="preserve">1235</t>
  </si>
  <si>
    <t xml:space="preserve">Supply and distribution department managers</t>
  </si>
  <si>
    <t xml:space="preserve">1316</t>
  </si>
  <si>
    <t xml:space="preserve">General managers in transport, storage and communications</t>
  </si>
  <si>
    <t xml:space="preserve">1330</t>
  </si>
  <si>
    <t xml:space="preserve">Information and Communications Technology Service Managers</t>
  </si>
  <si>
    <t xml:space="preserve">Telecommunications department managers</t>
  </si>
  <si>
    <t xml:space="preserve">1236</t>
  </si>
  <si>
    <t xml:space="preserve">Computing services department managers</t>
  </si>
  <si>
    <t xml:space="preserve">Managers of small computing</t>
  </si>
  <si>
    <t xml:space="preserve">and telecommunications</t>
  </si>
  <si>
    <t xml:space="preserve">1341</t>
  </si>
  <si>
    <t xml:space="preserve">Child Care Service Managers</t>
  </si>
  <si>
    <t xml:space="preserve">1342</t>
  </si>
  <si>
    <t xml:space="preserve">Health Service Managers</t>
  </si>
  <si>
    <t xml:space="preserve">2230</t>
  </si>
  <si>
    <t xml:space="preserve">Hospital matrons and</t>
  </si>
  <si>
    <t xml:space="preserve">1343</t>
  </si>
  <si>
    <t xml:space="preserve">Aged Care Service Managers</t>
  </si>
  <si>
    <t xml:space="preserve">Matrons and principal nursing</t>
  </si>
  <si>
    <t xml:space="preserve">1344</t>
  </si>
  <si>
    <t xml:space="preserve">Social Welfare Managers</t>
  </si>
  <si>
    <t xml:space="preserve">1345</t>
  </si>
  <si>
    <t xml:space="preserve">Education Managers</t>
  </si>
  <si>
    <t xml:space="preserve">1346</t>
  </si>
  <si>
    <t xml:space="preserve">Financial and Insurance Services Branch managers</t>
  </si>
  <si>
    <t xml:space="preserve">1349</t>
  </si>
  <si>
    <t xml:space="preserve">Professional Services Managers Not Elsewhere Classified</t>
  </si>
  <si>
    <t xml:space="preserve">1411</t>
  </si>
  <si>
    <t xml:space="preserve">Hotel Managers</t>
  </si>
  <si>
    <t xml:space="preserve">1225</t>
  </si>
  <si>
    <t xml:space="preserve">Production and operations department managers in restaurants and hotels</t>
  </si>
  <si>
    <t xml:space="preserve">Gradient 1</t>
  </si>
  <si>
    <t xml:space="preserve">1315</t>
  </si>
  <si>
    <t xml:space="preserve">General managers of restaurants and hotels</t>
  </si>
  <si>
    <t xml:space="preserve">Production and operations</t>
  </si>
  <si>
    <t xml:space="preserve">1412</t>
  </si>
  <si>
    <t xml:space="preserve">Restaurant Managers</t>
  </si>
  <si>
    <t xml:space="preserve">managers in restaurants</t>
  </si>
  <si>
    <t xml:space="preserve">1420</t>
  </si>
  <si>
    <t xml:space="preserve">Retail and Wholesale Trade Managers</t>
  </si>
  <si>
    <t xml:space="preserve">1224</t>
  </si>
  <si>
    <t xml:space="preserve">Production and operations department managers in wholesale and retail trade</t>
  </si>
  <si>
    <t xml:space="preserve">1314</t>
  </si>
  <si>
    <t xml:space="preserve">General managers in wholesale and retail trade</t>
  </si>
  <si>
    <t xml:space="preserve">1431</t>
  </si>
  <si>
    <t xml:space="preserve">Sports, Recreation and Cultural Centre Managers</t>
  </si>
  <si>
    <t xml:space="preserve">1439</t>
  </si>
  <si>
    <t xml:space="preserve">classified</t>
  </si>
  <si>
    <t xml:space="preserve">Not scored by ILO</t>
  </si>
  <si>
    <t xml:space="preserve">Services managers not elsewhere</t>
  </si>
  <si>
    <t xml:space="preserve">2111</t>
  </si>
  <si>
    <t xml:space="preserve">Physicists and Astronomers</t>
  </si>
  <si>
    <t xml:space="preserve">Physicists and astronomers</t>
  </si>
  <si>
    <t xml:space="preserve">2112</t>
  </si>
  <si>
    <t xml:space="preserve">Meteorologists</t>
  </si>
  <si>
    <t xml:space="preserve">Gradient 3</t>
  </si>
  <si>
    <t xml:space="preserve">2113</t>
  </si>
  <si>
    <t xml:space="preserve">Chemists</t>
  </si>
  <si>
    <t xml:space="preserve">2114</t>
  </si>
  <si>
    <t xml:space="preserve">Geologists and geophysicists</t>
  </si>
  <si>
    <t xml:space="preserve">2120</t>
  </si>
  <si>
    <t xml:space="preserve">Mathematicians, Actuaries and Statisticians</t>
  </si>
  <si>
    <t xml:space="preserve">2121</t>
  </si>
  <si>
    <t xml:space="preserve">Mathematicians and related professionals</t>
  </si>
  <si>
    <t xml:space="preserve">2122</t>
  </si>
  <si>
    <t xml:space="preserve">Statisticians</t>
  </si>
  <si>
    <t xml:space="preserve">2131</t>
  </si>
  <si>
    <t xml:space="preserve">Biologists, Botanists, Zoologists and Related Professionals</t>
  </si>
  <si>
    <t xml:space="preserve">2211</t>
  </si>
  <si>
    <t xml:space="preserve">Biologists, botanists, zoologists and related</t>
  </si>
  <si>
    <t xml:space="preserve">2212</t>
  </si>
  <si>
    <t xml:space="preserve">Pharmacologists, pathologists and related</t>
  </si>
  <si>
    <t xml:space="preserve">Plant pathologists,</t>
  </si>
  <si>
    <t xml:space="preserve">2132</t>
  </si>
  <si>
    <t xml:space="preserve">Farming, Forestry and Fisheries Advisers</t>
  </si>
  <si>
    <t xml:space="preserve">2213</t>
  </si>
  <si>
    <t xml:space="preserve">Agronomists and related professionals</t>
  </si>
  <si>
    <t xml:space="preserve">3213</t>
  </si>
  <si>
    <t xml:space="preserve">Farming and forestry advisers</t>
  </si>
  <si>
    <t xml:space="preserve">2133</t>
  </si>
  <si>
    <t xml:space="preserve">Environmental Protection Professionals</t>
  </si>
  <si>
    <t xml:space="preserve">2141</t>
  </si>
  <si>
    <t xml:space="preserve">Industrial and Production Engineers</t>
  </si>
  <si>
    <t xml:space="preserve">2149</t>
  </si>
  <si>
    <t xml:space="preserve">Architects, engineers and related professionals not elsewhere classified</t>
  </si>
  <si>
    <t xml:space="preserve">2142</t>
  </si>
  <si>
    <t xml:space="preserve">Civil Engineers</t>
  </si>
  <si>
    <t xml:space="preserve">Civil engineers</t>
  </si>
  <si>
    <t xml:space="preserve">2143</t>
  </si>
  <si>
    <t xml:space="preserve">Environmental Engineers</t>
  </si>
  <si>
    <t xml:space="preserve">2144</t>
  </si>
  <si>
    <t xml:space="preserve">Mechanical Engineers</t>
  </si>
  <si>
    <t xml:space="preserve">2145</t>
  </si>
  <si>
    <t xml:space="preserve">Mechanical engineers</t>
  </si>
  <si>
    <t xml:space="preserve">Chemical Engineers</t>
  </si>
  <si>
    <t xml:space="preserve">2146</t>
  </si>
  <si>
    <t xml:space="preserve">Chemical engineers</t>
  </si>
  <si>
    <t xml:space="preserve">Mining Engineers, Metallurgists and Related Professionals</t>
  </si>
  <si>
    <t xml:space="preserve">2147</t>
  </si>
  <si>
    <t xml:space="preserve">Mining engineers, metallurgists and related</t>
  </si>
  <si>
    <t xml:space="preserve">Engineering Professionals Not Elsewhere Classified</t>
  </si>
  <si>
    <t xml:space="preserve">2151</t>
  </si>
  <si>
    <t xml:space="preserve">Electrical Engineers</t>
  </si>
  <si>
    <t xml:space="preserve">Electrical engineers</t>
  </si>
  <si>
    <t xml:space="preserve">2152</t>
  </si>
  <si>
    <t xml:space="preserve">Electronics Engineers</t>
  </si>
  <si>
    <t xml:space="preserve">Electronics and telecommunications engineers</t>
  </si>
  <si>
    <t xml:space="preserve">2153</t>
  </si>
  <si>
    <t xml:space="preserve">Telecommunications Engineers</t>
  </si>
  <si>
    <t xml:space="preserve">2161</t>
  </si>
  <si>
    <t xml:space="preserve">Building Architects</t>
  </si>
  <si>
    <t xml:space="preserve">Architects, town and traffic planners</t>
  </si>
  <si>
    <t xml:space="preserve">2162</t>
  </si>
  <si>
    <t xml:space="preserve">Landscape Architects</t>
  </si>
  <si>
    <t xml:space="preserve">2163</t>
  </si>
  <si>
    <t xml:space="preserve">Product and Garment Designers</t>
  </si>
  <si>
    <t xml:space="preserve">3471</t>
  </si>
  <si>
    <t xml:space="preserve">Decorators and commercial designers</t>
  </si>
  <si>
    <t xml:space="preserve">2164</t>
  </si>
  <si>
    <t xml:space="preserve">Town and Traffic Planners</t>
  </si>
  <si>
    <t xml:space="preserve">2165</t>
  </si>
  <si>
    <t xml:space="preserve">Cartographers and Surveyors</t>
  </si>
  <si>
    <t xml:space="preserve">2148</t>
  </si>
  <si>
    <t xml:space="preserve">Cartographers and surveyors</t>
  </si>
  <si>
    <t xml:space="preserve">2166</t>
  </si>
  <si>
    <t xml:space="preserve">Graphic and Multimedia Designers</t>
  </si>
  <si>
    <t xml:space="preserve">Generalist Medical Practitioners</t>
  </si>
  <si>
    <t xml:space="preserve">2221</t>
  </si>
  <si>
    <t xml:space="preserve">Medical doctors Pharmacologists, pathologists and related</t>
  </si>
  <si>
    <t xml:space="preserve">Human pathologists,</t>
  </si>
  <si>
    <t xml:space="preserve">Specialist Medical Practitioners</t>
  </si>
  <si>
    <t xml:space="preserve">histopathologists, endocrinologists,</t>
  </si>
  <si>
    <t xml:space="preserve">Nursing Professionals</t>
  </si>
  <si>
    <t xml:space="preserve">2222</t>
  </si>
  <si>
    <t xml:space="preserve">Midwifery Professionals</t>
  </si>
  <si>
    <t xml:space="preserve">Traditional and Complementary Medicine Professionals</t>
  </si>
  <si>
    <t xml:space="preserve">3229</t>
  </si>
  <si>
    <t xml:space="preserve">Modern health associate professionals (except nursing) not elsewhere classified</t>
  </si>
  <si>
    <t xml:space="preserve">Homeopaths</t>
  </si>
  <si>
    <t xml:space="preserve">3241</t>
  </si>
  <si>
    <t xml:space="preserve">Traditional medicine practitioners</t>
  </si>
  <si>
    <t xml:space="preserve">2240</t>
  </si>
  <si>
    <t xml:space="preserve">Paramedical Practitioners</t>
  </si>
  <si>
    <t xml:space="preserve">3221</t>
  </si>
  <si>
    <t xml:space="preserve">Medical assistants</t>
  </si>
  <si>
    <t xml:space="preserve">2250</t>
  </si>
  <si>
    <t xml:space="preserve">Animal and veterinary</t>
  </si>
  <si>
    <t xml:space="preserve">2223</t>
  </si>
  <si>
    <t xml:space="preserve">2261</t>
  </si>
  <si>
    <t xml:space="preserve">Dentists</t>
  </si>
  <si>
    <t xml:space="preserve">2262</t>
  </si>
  <si>
    <t xml:space="preserve">Pharmacists</t>
  </si>
  <si>
    <t xml:space="preserve">Industrial pharmacists,</t>
  </si>
  <si>
    <t xml:space="preserve">2224</t>
  </si>
  <si>
    <t xml:space="preserve">2263</t>
  </si>
  <si>
    <t xml:space="preserve">Environmental and Occupational Health and Hygiene Professionals</t>
  </si>
  <si>
    <t xml:space="preserve">2229</t>
  </si>
  <si>
    <t xml:space="preserve">Health professionals (except nursing) not elsewhere classified</t>
  </si>
  <si>
    <t xml:space="preserve">2412</t>
  </si>
  <si>
    <t xml:space="preserve">Personnel and careers professionals</t>
  </si>
  <si>
    <t xml:space="preserve">3152</t>
  </si>
  <si>
    <t xml:space="preserve">Safety, health and quality inspectors</t>
  </si>
  <si>
    <t xml:space="preserve">3222</t>
  </si>
  <si>
    <t xml:space="preserve">Sanitarians</t>
  </si>
  <si>
    <t xml:space="preserve">2264</t>
  </si>
  <si>
    <t xml:space="preserve">Physiotherapists</t>
  </si>
  <si>
    <t xml:space="preserve">3226</t>
  </si>
  <si>
    <t xml:space="preserve">Physiotherapists and related associate</t>
  </si>
  <si>
    <t xml:space="preserve">2265</t>
  </si>
  <si>
    <t xml:space="preserve">Dieticians and Nutritionists</t>
  </si>
  <si>
    <t xml:space="preserve">3223</t>
  </si>
  <si>
    <t xml:space="preserve">Dieticians and nutritionists</t>
  </si>
  <si>
    <t xml:space="preserve">2266</t>
  </si>
  <si>
    <t xml:space="preserve">Audiologists and Speech Therapists</t>
  </si>
  <si>
    <t xml:space="preserve">2267</t>
  </si>
  <si>
    <t xml:space="preserve">Optometrists and Ophthalmic Opticians</t>
  </si>
  <si>
    <t xml:space="preserve">3224</t>
  </si>
  <si>
    <t xml:space="preserve">Optometrists and opticians</t>
  </si>
  <si>
    <t xml:space="preserve">Orthoptists</t>
  </si>
  <si>
    <t xml:space="preserve">2269</t>
  </si>
  <si>
    <t xml:space="preserve">Health Professionals Not Elsewhere Classified</t>
  </si>
  <si>
    <t xml:space="preserve">Podiatrists</t>
  </si>
  <si>
    <t xml:space="preserve">2310</t>
  </si>
  <si>
    <t xml:space="preserve">University and Higher Education Teachers</t>
  </si>
  <si>
    <t xml:space="preserve">College, university and higher education teaching professionals</t>
  </si>
  <si>
    <t xml:space="preserve">2320</t>
  </si>
  <si>
    <t xml:space="preserve">Vocational Education Teachers</t>
  </si>
  <si>
    <t xml:space="preserve">Secondary education teaching professionals</t>
  </si>
  <si>
    <t xml:space="preserve">2330</t>
  </si>
  <si>
    <t xml:space="preserve">Secondary Education Teachers</t>
  </si>
  <si>
    <t xml:space="preserve">2341</t>
  </si>
  <si>
    <t xml:space="preserve">Primary School Teachers</t>
  </si>
  <si>
    <t xml:space="preserve">2331</t>
  </si>
  <si>
    <t xml:space="preserve">Primary education teaching professionals</t>
  </si>
  <si>
    <t xml:space="preserve">3310</t>
  </si>
  <si>
    <t xml:space="preserve">Primary education teaching associate</t>
  </si>
  <si>
    <t xml:space="preserve">2342</t>
  </si>
  <si>
    <t xml:space="preserve">Early Childhood Educators</t>
  </si>
  <si>
    <t xml:space="preserve">2332</t>
  </si>
  <si>
    <t xml:space="preserve">Pre-primary education teaching professionals</t>
  </si>
  <si>
    <t xml:space="preserve">3320</t>
  </si>
  <si>
    <t xml:space="preserve">Pre-primary education teaching associate</t>
  </si>
  <si>
    <t xml:space="preserve">2351</t>
  </si>
  <si>
    <t xml:space="preserve">Education Methods Specialists</t>
  </si>
  <si>
    <t xml:space="preserve">Education methods specialists</t>
  </si>
  <si>
    <t xml:space="preserve">2352</t>
  </si>
  <si>
    <t xml:space="preserve">School inspectors</t>
  </si>
  <si>
    <t xml:space="preserve">Special Needs Teachers</t>
  </si>
  <si>
    <t xml:space="preserve">2340</t>
  </si>
  <si>
    <t xml:space="preserve">Special education teaching professionals</t>
  </si>
  <si>
    <t xml:space="preserve">3330</t>
  </si>
  <si>
    <t xml:space="preserve">Special education teaching associate</t>
  </si>
  <si>
    <t xml:space="preserve">2353</t>
  </si>
  <si>
    <t xml:space="preserve">Other Language Teachers</t>
  </si>
  <si>
    <t xml:space="preserve">2359</t>
  </si>
  <si>
    <t xml:space="preserve">Other teaching professionals not elsewhere</t>
  </si>
  <si>
    <t xml:space="preserve">3340</t>
  </si>
  <si>
    <t xml:space="preserve">Other teaching associate professionals</t>
  </si>
  <si>
    <t xml:space="preserve">2354</t>
  </si>
  <si>
    <t xml:space="preserve">Other Music Teachers</t>
  </si>
  <si>
    <t xml:space="preserve">2355</t>
  </si>
  <si>
    <t xml:space="preserve">Other Arts Teachers</t>
  </si>
  <si>
    <t xml:space="preserve">2356</t>
  </si>
  <si>
    <t xml:space="preserve">Information Technology Trainers</t>
  </si>
  <si>
    <t xml:space="preserve">Teaching Professionals Not Elsewhere Classified</t>
  </si>
  <si>
    <t xml:space="preserve">2411</t>
  </si>
  <si>
    <t xml:space="preserve">Accountants</t>
  </si>
  <si>
    <t xml:space="preserve">Financial and Investment Advisers</t>
  </si>
  <si>
    <t xml:space="preserve">2419</t>
  </si>
  <si>
    <t xml:space="preserve">Business professionals not elsewhere classified</t>
  </si>
  <si>
    <t xml:space="preserve">3411</t>
  </si>
  <si>
    <t xml:space="preserve">Securities and finance dealers and brokers</t>
  </si>
  <si>
    <t xml:space="preserve">2413</t>
  </si>
  <si>
    <t xml:space="preserve">Financial Analysts</t>
  </si>
  <si>
    <t xml:space="preserve">Gradient 4</t>
  </si>
  <si>
    <t xml:space="preserve">2421</t>
  </si>
  <si>
    <t xml:space="preserve">Management and Organization Analysts</t>
  </si>
  <si>
    <t xml:space="preserve">2422</t>
  </si>
  <si>
    <t xml:space="preserve">Policy Administration Professionals</t>
  </si>
  <si>
    <t xml:space="preserve">2423</t>
  </si>
  <si>
    <t xml:space="preserve">Personnel and Careers Professionals</t>
  </si>
  <si>
    <t xml:space="preserve">2424</t>
  </si>
  <si>
    <t xml:space="preserve">Training and Staff Development Professionals</t>
  </si>
  <si>
    <t xml:space="preserve">2431</t>
  </si>
  <si>
    <t xml:space="preserve">Advertising and Marketing Professionals</t>
  </si>
  <si>
    <t xml:space="preserve">2432</t>
  </si>
  <si>
    <t xml:space="preserve">Public Relations Professionals</t>
  </si>
  <si>
    <t xml:space="preserve">2433</t>
  </si>
  <si>
    <t xml:space="preserve">Technical and Medical Sales Professionals (excluding ICT)</t>
  </si>
  <si>
    <t xml:space="preserve">3415</t>
  </si>
  <si>
    <t xml:space="preserve">Technical and commercial sales representatives</t>
  </si>
  <si>
    <t xml:space="preserve">2434</t>
  </si>
  <si>
    <t xml:space="preserve">Information and Communications Technology Sales Professionals</t>
  </si>
  <si>
    <t xml:space="preserve">2511</t>
  </si>
  <si>
    <t xml:space="preserve">Systems Analysts</t>
  </si>
  <si>
    <t xml:space="preserve">Computer systems designers and analysts</t>
  </si>
  <si>
    <t xml:space="preserve">2512</t>
  </si>
  <si>
    <t xml:space="preserve">Software Developers</t>
  </si>
  <si>
    <t xml:space="preserve">2513</t>
  </si>
  <si>
    <t xml:space="preserve">Web and Multimedia Developers</t>
  </si>
  <si>
    <t xml:space="preserve">Computer programmers</t>
  </si>
  <si>
    <t xml:space="preserve">2139</t>
  </si>
  <si>
    <t xml:space="preserve">Computing professionals not elsewhere classified</t>
  </si>
  <si>
    <t xml:space="preserve">2514</t>
  </si>
  <si>
    <t xml:space="preserve">Applications Programmers</t>
  </si>
  <si>
    <t xml:space="preserve">2519</t>
  </si>
  <si>
    <t xml:space="preserve">Software and Applications Developers and Analysts Not Elsewhere Classified</t>
  </si>
  <si>
    <t xml:space="preserve">2521</t>
  </si>
  <si>
    <t xml:space="preserve">Database Designers and Administrators</t>
  </si>
  <si>
    <t xml:space="preserve">2522</t>
  </si>
  <si>
    <t xml:space="preserve">Systems Aministrators</t>
  </si>
  <si>
    <t xml:space="preserve">2523</t>
  </si>
  <si>
    <t xml:space="preserve">Computer Network Professionals</t>
  </si>
  <si>
    <t xml:space="preserve">2529</t>
  </si>
  <si>
    <t xml:space="preserve">Database and Network Professionals Not Elsewhere Classified</t>
  </si>
  <si>
    <t xml:space="preserve">2611</t>
  </si>
  <si>
    <t xml:space="preserve">Lawyers</t>
  </si>
  <si>
    <t xml:space="preserve">2612</t>
  </si>
  <si>
    <t xml:space="preserve">Judges</t>
  </si>
  <si>
    <t xml:space="preserve">2619</t>
  </si>
  <si>
    <t xml:space="preserve">Legal Professionals Not Elsewhere Classified</t>
  </si>
  <si>
    <t xml:space="preserve">2429</t>
  </si>
  <si>
    <t xml:space="preserve">Legal professionals not elsewhere classified</t>
  </si>
  <si>
    <t xml:space="preserve">2621</t>
  </si>
  <si>
    <t xml:space="preserve">Archivists and Curators</t>
  </si>
  <si>
    <t xml:space="preserve">Archivists and curators</t>
  </si>
  <si>
    <t xml:space="preserve">2622</t>
  </si>
  <si>
    <t xml:space="preserve">Librarians and Related Information Professionals</t>
  </si>
  <si>
    <t xml:space="preserve">Librarians and related information professionals</t>
  </si>
  <si>
    <t xml:space="preserve">2631</t>
  </si>
  <si>
    <t xml:space="preserve">Economists</t>
  </si>
  <si>
    <t xml:space="preserve">2441</t>
  </si>
  <si>
    <t xml:space="preserve">2632</t>
  </si>
  <si>
    <t xml:space="preserve">Sociologists, Anthropologists and Related Professionals</t>
  </si>
  <si>
    <t xml:space="preserve">2442</t>
  </si>
  <si>
    <t xml:space="preserve">Sociologists, anthropologists and related</t>
  </si>
  <si>
    <t xml:space="preserve">2633</t>
  </si>
  <si>
    <t xml:space="preserve">Philosophers, Historians and Political Scientists</t>
  </si>
  <si>
    <t xml:space="preserve">2443</t>
  </si>
  <si>
    <t xml:space="preserve">Philosophers, historians and political scientists</t>
  </si>
  <si>
    <t xml:space="preserve">2634</t>
  </si>
  <si>
    <t xml:space="preserve">Psychologists</t>
  </si>
  <si>
    <t xml:space="preserve">2445</t>
  </si>
  <si>
    <t xml:space="preserve">2635</t>
  </si>
  <si>
    <t xml:space="preserve">Social Work and Counselling Professionals</t>
  </si>
  <si>
    <t xml:space="preserve">2446</t>
  </si>
  <si>
    <t xml:space="preserve">Social work professionals</t>
  </si>
  <si>
    <t xml:space="preserve">2636</t>
  </si>
  <si>
    <t xml:space="preserve">Religious Professionals</t>
  </si>
  <si>
    <t xml:space="preserve">2460</t>
  </si>
  <si>
    <t xml:space="preserve">Religious professionals</t>
  </si>
  <si>
    <t xml:space="preserve">2641</t>
  </si>
  <si>
    <t xml:space="preserve">Authors and Related Writers</t>
  </si>
  <si>
    <t xml:space="preserve">2451</t>
  </si>
  <si>
    <t xml:space="preserve">Authors, journalists and other writers</t>
  </si>
  <si>
    <t xml:space="preserve">2642</t>
  </si>
  <si>
    <t xml:space="preserve">Journalists</t>
  </si>
  <si>
    <t xml:space="preserve">3472</t>
  </si>
  <si>
    <t xml:space="preserve">Radio, television and other announcers</t>
  </si>
  <si>
    <t xml:space="preserve">Media interviewers</t>
  </si>
  <si>
    <t xml:space="preserve">2643</t>
  </si>
  <si>
    <t xml:space="preserve">Translators, Interpreters and Other Linguists</t>
  </si>
  <si>
    <t xml:space="preserve">2444</t>
  </si>
  <si>
    <t xml:space="preserve">Philologists, translators and interpreters</t>
  </si>
  <si>
    <t xml:space="preserve">2651</t>
  </si>
  <si>
    <t xml:space="preserve">Visual Artists</t>
  </si>
  <si>
    <t xml:space="preserve">2452</t>
  </si>
  <si>
    <t xml:space="preserve">Sculptors, painters and related artists</t>
  </si>
  <si>
    <t xml:space="preserve">2652</t>
  </si>
  <si>
    <t xml:space="preserve">Musicians, Singers and Composers</t>
  </si>
  <si>
    <t xml:space="preserve">2453</t>
  </si>
  <si>
    <t xml:space="preserve">Composers, musicians and singers</t>
  </si>
  <si>
    <t xml:space="preserve">3473</t>
  </si>
  <si>
    <t xml:space="preserve">Street, night-club and related musicians, singers and dancers</t>
  </si>
  <si>
    <t xml:space="preserve">2653</t>
  </si>
  <si>
    <t xml:space="preserve">Dancers and Choreographers</t>
  </si>
  <si>
    <t xml:space="preserve">2454</t>
  </si>
  <si>
    <t xml:space="preserve">Choreographers and dancers</t>
  </si>
  <si>
    <t xml:space="preserve">2654</t>
  </si>
  <si>
    <t xml:space="preserve">Film, Stage and Related Directors and Producers</t>
  </si>
  <si>
    <t xml:space="preserve">2455</t>
  </si>
  <si>
    <t xml:space="preserve">Film, stage and related actors and directors</t>
  </si>
  <si>
    <t xml:space="preserve">2655</t>
  </si>
  <si>
    <t xml:space="preserve">Actors</t>
  </si>
  <si>
    <t xml:space="preserve">2656</t>
  </si>
  <si>
    <t xml:space="preserve">Announcers on Radio, Television and Other Media</t>
  </si>
  <si>
    <t xml:space="preserve">2659</t>
  </si>
  <si>
    <t xml:space="preserve">Creative and Performing Artists Not Elsewhere Classified</t>
  </si>
  <si>
    <t xml:space="preserve">3474</t>
  </si>
  <si>
    <t xml:space="preserve">Clowns, magicians, acrobats and related associate professionals</t>
  </si>
  <si>
    <t xml:space="preserve">3111</t>
  </si>
  <si>
    <t xml:space="preserve">Chemical and Physical Science Technicians</t>
  </si>
  <si>
    <t xml:space="preserve">Chemical and physical science technicians</t>
  </si>
  <si>
    <t xml:space="preserve">3112</t>
  </si>
  <si>
    <t xml:space="preserve">Civil Engineering Technicians</t>
  </si>
  <si>
    <t xml:space="preserve">Civil engineering technicians</t>
  </si>
  <si>
    <t xml:space="preserve">3151</t>
  </si>
  <si>
    <t xml:space="preserve">Building and fire inspectors</t>
  </si>
  <si>
    <t xml:space="preserve">3113</t>
  </si>
  <si>
    <t xml:space="preserve">Electrical Engineering Technicians</t>
  </si>
  <si>
    <t xml:space="preserve">Electrical engineering technicians</t>
  </si>
  <si>
    <t xml:space="preserve">Quality inspectors (electrical</t>
  </si>
  <si>
    <t xml:space="preserve">3114</t>
  </si>
  <si>
    <t xml:space="preserve">Electronics Engineering Technicians</t>
  </si>
  <si>
    <t xml:space="preserve">Electronics and telecommunications engineering technicians</t>
  </si>
  <si>
    <t xml:space="preserve">Quality inspectors (electronic</t>
  </si>
  <si>
    <t xml:space="preserve">3115</t>
  </si>
  <si>
    <t xml:space="preserve">Mechanical Engineering Technicians</t>
  </si>
  <si>
    <t xml:space="preserve">Mechanical engineering technicians</t>
  </si>
  <si>
    <t xml:space="preserve">Vehicle inspectors,</t>
  </si>
  <si>
    <t xml:space="preserve">3116</t>
  </si>
  <si>
    <t xml:space="preserve">Chemical Engineering Technicians</t>
  </si>
  <si>
    <t xml:space="preserve">Chemical engineering technicians</t>
  </si>
  <si>
    <t xml:space="preserve">3117</t>
  </si>
  <si>
    <t xml:space="preserve">Mining and metallurgical technicians</t>
  </si>
  <si>
    <t xml:space="preserve">Mine (safety) inspectors</t>
  </si>
  <si>
    <t xml:space="preserve">3118</t>
  </si>
  <si>
    <t xml:space="preserve">Draughtspersons</t>
  </si>
  <si>
    <t xml:space="preserve">3119</t>
  </si>
  <si>
    <t xml:space="preserve">Physical and Engineering Science Technicians Not Elsewhere Classified</t>
  </si>
  <si>
    <t xml:space="preserve">Physical and engineering science technicians not elsewhere classified</t>
  </si>
  <si>
    <t xml:space="preserve">3121</t>
  </si>
  <si>
    <t xml:space="preserve">Mining Supervisors</t>
  </si>
  <si>
    <t xml:space="preserve">7111</t>
  </si>
  <si>
    <t xml:space="preserve">Miners and quarry workers</t>
  </si>
  <si>
    <t xml:space="preserve">8111</t>
  </si>
  <si>
    <t xml:space="preserve">Mining-plant operators</t>
  </si>
  <si>
    <t xml:space="preserve">3122</t>
  </si>
  <si>
    <t xml:space="preserve">Manufacturing Supervisors</t>
  </si>
  <si>
    <t xml:space="preserve">8171</t>
  </si>
  <si>
    <t xml:space="preserve">Automated-assembly-line operators</t>
  </si>
  <si>
    <t xml:space="preserve">8172</t>
  </si>
  <si>
    <t xml:space="preserve">Industrial-robot operators</t>
  </si>
  <si>
    <t xml:space="preserve">Supervisors of all unit groups</t>
  </si>
  <si>
    <t xml:space="preserve">8211</t>
  </si>
  <si>
    <t xml:space="preserve">Machine-tool operators</t>
  </si>
  <si>
    <t xml:space="preserve">in ISCO-88 82 could</t>
  </si>
  <si>
    <t xml:space="preserve">8221</t>
  </si>
  <si>
    <t xml:space="preserve">Pharmaceutical- and toiletry-products machine</t>
  </si>
  <si>
    <t xml:space="preserve">8222</t>
  </si>
  <si>
    <t xml:space="preserve">Ammunition- and explosive-products machine</t>
  </si>
  <si>
    <t xml:space="preserve">8223</t>
  </si>
  <si>
    <t xml:space="preserve">Metal finishing-, plating- and coating-machine</t>
  </si>
  <si>
    <t xml:space="preserve">8224</t>
  </si>
  <si>
    <t xml:space="preserve">Photographic-products machine operators</t>
  </si>
  <si>
    <t xml:space="preserve">8229</t>
  </si>
  <si>
    <t xml:space="preserve">Chemical-products machine operators not elsewhere classified</t>
  </si>
  <si>
    <t xml:space="preserve">8231</t>
  </si>
  <si>
    <t xml:space="preserve">Rubber-products machine operators</t>
  </si>
  <si>
    <t xml:space="preserve">8232</t>
  </si>
  <si>
    <t xml:space="preserve">Plastic-products machine operators</t>
  </si>
  <si>
    <t xml:space="preserve">8240</t>
  </si>
  <si>
    <t xml:space="preserve">Wood-products machine operators</t>
  </si>
  <si>
    <t xml:space="preserve">8251</t>
  </si>
  <si>
    <t xml:space="preserve">Printing-machine operators</t>
  </si>
  <si>
    <t xml:space="preserve">8252</t>
  </si>
  <si>
    <t xml:space="preserve">Bookbinding-machine operators</t>
  </si>
  <si>
    <t xml:space="preserve">8253</t>
  </si>
  <si>
    <t xml:space="preserve">Paper-products machine operators</t>
  </si>
  <si>
    <t xml:space="preserve">8261</t>
  </si>
  <si>
    <t xml:space="preserve">Fibre-preparing-, spinning- and winding-machine</t>
  </si>
  <si>
    <t xml:space="preserve">8262</t>
  </si>
  <si>
    <t xml:space="preserve">Weaving- and knitting-machine operators</t>
  </si>
  <si>
    <t xml:space="preserve">8263</t>
  </si>
  <si>
    <t xml:space="preserve">Sewing-machine operators</t>
  </si>
  <si>
    <t xml:space="preserve">8264</t>
  </si>
  <si>
    <t xml:space="preserve">Bleaching-, dyeing- and cleaning-machine</t>
  </si>
  <si>
    <t xml:space="preserve">8265</t>
  </si>
  <si>
    <t xml:space="preserve">Fur- and leather-preparing-machine operators</t>
  </si>
  <si>
    <t xml:space="preserve">8266</t>
  </si>
  <si>
    <t xml:space="preserve">Shoemaking- and related machine operators</t>
  </si>
  <si>
    <t xml:space="preserve">8269</t>
  </si>
  <si>
    <t xml:space="preserve">Textile-, fur- and leather-products machine operators not elsewhere classified</t>
  </si>
  <si>
    <t xml:space="preserve">8271</t>
  </si>
  <si>
    <t xml:space="preserve">Meat- and fish-processing-machine operators</t>
  </si>
  <si>
    <t xml:space="preserve">8272</t>
  </si>
  <si>
    <t xml:space="preserve">Dairy-products machine operators</t>
  </si>
  <si>
    <t xml:space="preserve">8273</t>
  </si>
  <si>
    <t xml:space="preserve">Grain- and spice-milling-machine operators</t>
  </si>
  <si>
    <t xml:space="preserve">8274</t>
  </si>
  <si>
    <t xml:space="preserve">Baked-goods, cereal and chocolate-products machine operators</t>
  </si>
  <si>
    <t xml:space="preserve">8275</t>
  </si>
  <si>
    <t xml:space="preserve">Fruit-, vegetable- and nut-processing-machine</t>
  </si>
  <si>
    <t xml:space="preserve">8276</t>
  </si>
  <si>
    <t xml:space="preserve">Sugar production machine operators</t>
  </si>
  <si>
    <t xml:space="preserve">8277</t>
  </si>
  <si>
    <t xml:space="preserve">Tea-, coffee-, and cocoa-processing-machine</t>
  </si>
  <si>
    <t xml:space="preserve">8278</t>
  </si>
  <si>
    <t xml:space="preserve">Brewers-, wine and other beverage machine</t>
  </si>
  <si>
    <t xml:space="preserve">8279</t>
  </si>
  <si>
    <t xml:space="preserve">Tobacco production machine operators</t>
  </si>
  <si>
    <t xml:space="preserve">8281</t>
  </si>
  <si>
    <t xml:space="preserve">Mechanical-machinery assemblers</t>
  </si>
  <si>
    <t xml:space="preserve">8282</t>
  </si>
  <si>
    <t xml:space="preserve">Electrical-equipment assemblers</t>
  </si>
  <si>
    <t xml:space="preserve">8283</t>
  </si>
  <si>
    <t xml:space="preserve">Electronic-equipment assemblers</t>
  </si>
  <si>
    <t xml:space="preserve">8284</t>
  </si>
  <si>
    <t xml:space="preserve">Metal-, rubber- and plastic-products assemblers</t>
  </si>
  <si>
    <t xml:space="preserve">8285</t>
  </si>
  <si>
    <t xml:space="preserve">Wood and related products assemblers</t>
  </si>
  <si>
    <t xml:space="preserve">8286</t>
  </si>
  <si>
    <t xml:space="preserve">Paperboard, textile and related products</t>
  </si>
  <si>
    <t xml:space="preserve">8290</t>
  </si>
  <si>
    <t xml:space="preserve">Other machine operators and assemblers</t>
  </si>
  <si>
    <t xml:space="preserve">3123</t>
  </si>
  <si>
    <t xml:space="preserve">Construction Supervisors</t>
  </si>
  <si>
    <t xml:space="preserve">7129</t>
  </si>
  <si>
    <t xml:space="preserve">Building frame and related trades workers not elsewhere classified</t>
  </si>
  <si>
    <t xml:space="preserve">3131</t>
  </si>
  <si>
    <t xml:space="preserve">Power Production Plant Operators</t>
  </si>
  <si>
    <t xml:space="preserve">8161</t>
  </si>
  <si>
    <t xml:space="preserve">Power-production plant operators</t>
  </si>
  <si>
    <t xml:space="preserve">3132</t>
  </si>
  <si>
    <t xml:space="preserve">Incinerator and Water Treatment Plant Operators</t>
  </si>
  <si>
    <t xml:space="preserve">8163</t>
  </si>
  <si>
    <t xml:space="preserve">Incinerator, water-treatment and related plant</t>
  </si>
  <si>
    <t xml:space="preserve">3133</t>
  </si>
  <si>
    <t xml:space="preserve">Chemical Processing Plant Controllers</t>
  </si>
  <si>
    <t xml:space="preserve">8152</t>
  </si>
  <si>
    <t xml:space="preserve">Chemical-heat-treating-plant operators</t>
  </si>
  <si>
    <t xml:space="preserve">8153</t>
  </si>
  <si>
    <t xml:space="preserve">Chemical-filtering- and separating-equipment</t>
  </si>
  <si>
    <t xml:space="preserve">8154</t>
  </si>
  <si>
    <t xml:space="preserve">Chemical-still and reactor operators (except petroleum and natural gas)</t>
  </si>
  <si>
    <t xml:space="preserve">8159</t>
  </si>
  <si>
    <t xml:space="preserve">Chemical-processing-plant operators not elsewhere classified</t>
  </si>
  <si>
    <t xml:space="preserve">3134</t>
  </si>
  <si>
    <t xml:space="preserve">Petroleum and Natural Gas Refining Plant Operators</t>
  </si>
  <si>
    <t xml:space="preserve">8155</t>
  </si>
  <si>
    <t xml:space="preserve">Petroleum- and natural-gas-refining-plant</t>
  </si>
  <si>
    <t xml:space="preserve">3135</t>
  </si>
  <si>
    <t xml:space="preserve">Metal Production Process Controllers</t>
  </si>
  <si>
    <t xml:space="preserve">8121</t>
  </si>
  <si>
    <t xml:space="preserve">Ore and metal furnace operators</t>
  </si>
  <si>
    <t xml:space="preserve">8122</t>
  </si>
  <si>
    <t xml:space="preserve">Metal melters, casters and rolling-mill operators</t>
  </si>
  <si>
    <t xml:space="preserve">8123</t>
  </si>
  <si>
    <t xml:space="preserve">Metal-heat-treating-plant operators</t>
  </si>
  <si>
    <t xml:space="preserve">8124</t>
  </si>
  <si>
    <t xml:space="preserve">Metal drawers and extruders</t>
  </si>
  <si>
    <t xml:space="preserve">3139</t>
  </si>
  <si>
    <t xml:space="preserve">Process control technicians not elsewhere</t>
  </si>
  <si>
    <t xml:space="preserve">Industrial robot controllers</t>
  </si>
  <si>
    <t xml:space="preserve">8142</t>
  </si>
  <si>
    <t xml:space="preserve">Paper-pulp plant operators</t>
  </si>
  <si>
    <t xml:space="preserve">8143</t>
  </si>
  <si>
    <t xml:space="preserve">Papermaking-plant operators</t>
  </si>
  <si>
    <t xml:space="preserve">3141</t>
  </si>
  <si>
    <t xml:space="preserve">Life Science Technicians (excluding Medical)</t>
  </si>
  <si>
    <t xml:space="preserve">3211</t>
  </si>
  <si>
    <t xml:space="preserve">Life science technicians</t>
  </si>
  <si>
    <t xml:space="preserve">3142</t>
  </si>
  <si>
    <t xml:space="preserve">Agricultural Technicians</t>
  </si>
  <si>
    <t xml:space="preserve">3212</t>
  </si>
  <si>
    <t xml:space="preserve">Agronomy and forestry technicians</t>
  </si>
  <si>
    <t xml:space="preserve">3143</t>
  </si>
  <si>
    <t xml:space="preserve">Forestry Technicians</t>
  </si>
  <si>
    <t xml:space="preserve">Ships' Engineers</t>
  </si>
  <si>
    <t xml:space="preserve">Ships' engineers</t>
  </si>
  <si>
    <t xml:space="preserve">Ships' Deck Officers and Pilots</t>
  </si>
  <si>
    <t xml:space="preserve">Ships' deck officers and pilots</t>
  </si>
  <si>
    <t xml:space="preserve">3153</t>
  </si>
  <si>
    <t xml:space="preserve">Aircraft Pilots and Related Associate Professionals</t>
  </si>
  <si>
    <t xml:space="preserve">Aircraft pilots and related associate professionals</t>
  </si>
  <si>
    <t xml:space="preserve">Flying instuctors</t>
  </si>
  <si>
    <t xml:space="preserve">3154</t>
  </si>
  <si>
    <t xml:space="preserve">Air Traffic Controllers</t>
  </si>
  <si>
    <t xml:space="preserve">3144</t>
  </si>
  <si>
    <t xml:space="preserve">Air traffic controllers</t>
  </si>
  <si>
    <t xml:space="preserve">3155</t>
  </si>
  <si>
    <t xml:space="preserve">Air Traffic Safety Electronics Technicians</t>
  </si>
  <si>
    <t xml:space="preserve">3145</t>
  </si>
  <si>
    <t xml:space="preserve">Air traffic safety technicians</t>
  </si>
  <si>
    <t xml:space="preserve">Medical Imaging and Therapeutic Equipment Technicians</t>
  </si>
  <si>
    <t xml:space="preserve">Medical equipment operators</t>
  </si>
  <si>
    <t xml:space="preserve">Medical and Pathology Laboratory Technicians</t>
  </si>
  <si>
    <t xml:space="preserve">Pharmaceutical Technicians and Assistants</t>
  </si>
  <si>
    <t xml:space="preserve">3228</t>
  </si>
  <si>
    <t xml:space="preserve">Pharmaceutical assistants</t>
  </si>
  <si>
    <t xml:space="preserve">3214</t>
  </si>
  <si>
    <t xml:space="preserve">Medical and Dental Prosthetic Technicians</t>
  </si>
  <si>
    <t xml:space="preserve">7311</t>
  </si>
  <si>
    <t xml:space="preserve">Precision-instrument makers and repairers</t>
  </si>
  <si>
    <t xml:space="preserve">Nursing Associate Professionals</t>
  </si>
  <si>
    <t xml:space="preserve">3231</t>
  </si>
  <si>
    <t xml:space="preserve">Nursing associate professionals</t>
  </si>
  <si>
    <t xml:space="preserve">Midwifery Associate Professionals</t>
  </si>
  <si>
    <t xml:space="preserve">3232</t>
  </si>
  <si>
    <t xml:space="preserve">Midwifery associate professionals</t>
  </si>
  <si>
    <t xml:space="preserve">3230</t>
  </si>
  <si>
    <t xml:space="preserve">Traditional and Complementary Medicine Associate Professionals</t>
  </si>
  <si>
    <t xml:space="preserve">3240</t>
  </si>
  <si>
    <t xml:space="preserve">Veterinary Technicians and Assistants</t>
  </si>
  <si>
    <t xml:space="preserve">3227</t>
  </si>
  <si>
    <t xml:space="preserve">Veterinary assistants</t>
  </si>
  <si>
    <t xml:space="preserve">3251</t>
  </si>
  <si>
    <t xml:space="preserve">Dental Assistants and Therapists</t>
  </si>
  <si>
    <t xml:space="preserve">3225</t>
  </si>
  <si>
    <t xml:space="preserve">Dental assistants</t>
  </si>
  <si>
    <t xml:space="preserve">3252</t>
  </si>
  <si>
    <t xml:space="preserve">Medical Records and Health Information Technicians</t>
  </si>
  <si>
    <t xml:space="preserve">4143</t>
  </si>
  <si>
    <t xml:space="preserve">Coding, proof-reading and related clerks</t>
  </si>
  <si>
    <t xml:space="preserve">3253</t>
  </si>
  <si>
    <t xml:space="preserve">Community Health Workers</t>
  </si>
  <si>
    <t xml:space="preserve">3254</t>
  </si>
  <si>
    <t xml:space="preserve">Dispensing Opticians</t>
  </si>
  <si>
    <t xml:space="preserve">3255</t>
  </si>
  <si>
    <t xml:space="preserve">Physiotherapy Technicians and Assistants</t>
  </si>
  <si>
    <t xml:space="preserve">3256</t>
  </si>
  <si>
    <t xml:space="preserve">Medical Assistants</t>
  </si>
  <si>
    <t xml:space="preserve">3257</t>
  </si>
  <si>
    <t xml:space="preserve">Environmental and Occupational Health Inspectors and Associates</t>
  </si>
  <si>
    <t xml:space="preserve">3258</t>
  </si>
  <si>
    <t xml:space="preserve">Ambulance Workers</t>
  </si>
  <si>
    <t xml:space="preserve">5132</t>
  </si>
  <si>
    <t xml:space="preserve">Institution-based personal care workers</t>
  </si>
  <si>
    <t xml:space="preserve">3259</t>
  </si>
  <si>
    <t xml:space="preserve">Health Associate Professionals Not Elsewhere Classified</t>
  </si>
  <si>
    <t xml:space="preserve">3311</t>
  </si>
  <si>
    <t xml:space="preserve">Securities and Finance Dealers and Brokers</t>
  </si>
  <si>
    <t xml:space="preserve">Although ISCO-08 3312 is</t>
  </si>
  <si>
    <t xml:space="preserve">3312</t>
  </si>
  <si>
    <t xml:space="preserve">Credit and Loans Officers</t>
  </si>
  <si>
    <t xml:space="preserve">3419</t>
  </si>
  <si>
    <t xml:space="preserve">elsewhere classified</t>
  </si>
  <si>
    <t xml:space="preserve">the only correspondence listed for ISCO-88 3419, other</t>
  </si>
  <si>
    <t xml:space="preserve">3313</t>
  </si>
  <si>
    <t xml:space="preserve">Accounting Associate Professionals</t>
  </si>
  <si>
    <t xml:space="preserve">3433</t>
  </si>
  <si>
    <t xml:space="preserve">Bookkeepers</t>
  </si>
  <si>
    <t xml:space="preserve">3434</t>
  </si>
  <si>
    <t xml:space="preserve">Statistical, mathematical and related associate professionals</t>
  </si>
  <si>
    <t xml:space="preserve">Accounting assistants</t>
  </si>
  <si>
    <t xml:space="preserve">3314</t>
  </si>
  <si>
    <t xml:space="preserve">Statistical, Mathematical and Related Associate Professionals</t>
  </si>
  <si>
    <t xml:space="preserve">3315</t>
  </si>
  <si>
    <t xml:space="preserve">Valuers and Loss Assessors</t>
  </si>
  <si>
    <t xml:space="preserve">3417</t>
  </si>
  <si>
    <t xml:space="preserve">Appraisers, valuers and auctioneers</t>
  </si>
  <si>
    <t xml:space="preserve">3321</t>
  </si>
  <si>
    <t xml:space="preserve">Insurance Representatives</t>
  </si>
  <si>
    <t xml:space="preserve">3412</t>
  </si>
  <si>
    <t xml:space="preserve">Insurance representatives</t>
  </si>
  <si>
    <t xml:space="preserve">3322</t>
  </si>
  <si>
    <t xml:space="preserve">Commercial Sales Representatives</t>
  </si>
  <si>
    <t xml:space="preserve">3323</t>
  </si>
  <si>
    <t xml:space="preserve">Buyers</t>
  </si>
  <si>
    <t xml:space="preserve">3416</t>
  </si>
  <si>
    <t xml:space="preserve">3324</t>
  </si>
  <si>
    <t xml:space="preserve">Trade Brokers</t>
  </si>
  <si>
    <t xml:space="preserve">3421</t>
  </si>
  <si>
    <t xml:space="preserve">Trade brokers</t>
  </si>
  <si>
    <t xml:space="preserve">3331</t>
  </si>
  <si>
    <t xml:space="preserve">Clearing and Forwarding Aents</t>
  </si>
  <si>
    <t xml:space="preserve">3422</t>
  </si>
  <si>
    <t xml:space="preserve">Clearing and forwarding agents</t>
  </si>
  <si>
    <t xml:space="preserve">3332</t>
  </si>
  <si>
    <t xml:space="preserve">Conference and Event Planners</t>
  </si>
  <si>
    <t xml:space="preserve">3414</t>
  </si>
  <si>
    <t xml:space="preserve">Travel consultants and organisers</t>
  </si>
  <si>
    <t xml:space="preserve">Tour operators?</t>
  </si>
  <si>
    <t xml:space="preserve">3439</t>
  </si>
  <si>
    <t xml:space="preserve">Administrative associate professionals not elsewhere classified</t>
  </si>
  <si>
    <t xml:space="preserve">3333</t>
  </si>
  <si>
    <t xml:space="preserve">Employment agents and contractors</t>
  </si>
  <si>
    <t xml:space="preserve">3423</t>
  </si>
  <si>
    <t xml:space="preserve">Employment agents and labour contractors</t>
  </si>
  <si>
    <t xml:space="preserve">3334</t>
  </si>
  <si>
    <t xml:space="preserve">Real Estate Agents and Property Managers</t>
  </si>
  <si>
    <t xml:space="preserve">3413</t>
  </si>
  <si>
    <t xml:space="preserve">Estate agents</t>
  </si>
  <si>
    <t xml:space="preserve">3339</t>
  </si>
  <si>
    <t xml:space="preserve">Business Services Agents Not Elsewhere Classified</t>
  </si>
  <si>
    <t xml:space="preserve">Patent agents</t>
  </si>
  <si>
    <t xml:space="preserve">Auctioneers Literary, musical, sports and</t>
  </si>
  <si>
    <t xml:space="preserve">3429</t>
  </si>
  <si>
    <t xml:space="preserve">Business services agents and trade brokers not elsewhere classified</t>
  </si>
  <si>
    <t xml:space="preserve">theatrical agents</t>
  </si>
  <si>
    <t xml:space="preserve">3341</t>
  </si>
  <si>
    <t xml:space="preserve">Office Supervisors</t>
  </si>
  <si>
    <t xml:space="preserve">3431</t>
  </si>
  <si>
    <t xml:space="preserve">Administrative secretaries and related associate professionals</t>
  </si>
  <si>
    <t xml:space="preserve">4111</t>
  </si>
  <si>
    <t xml:space="preserve">Stenographers and typists</t>
  </si>
  <si>
    <t xml:space="preserve">4112</t>
  </si>
  <si>
    <t xml:space="preserve">Word-processor and related operators</t>
  </si>
  <si>
    <t xml:space="preserve">4114</t>
  </si>
  <si>
    <t xml:space="preserve">Calculating-machine operators</t>
  </si>
  <si>
    <t xml:space="preserve">4115</t>
  </si>
  <si>
    <t xml:space="preserve">Secretaries</t>
  </si>
  <si>
    <t xml:space="preserve">4121</t>
  </si>
  <si>
    <t xml:space="preserve">Accounting and bookkeeping clerks</t>
  </si>
  <si>
    <t xml:space="preserve">4122</t>
  </si>
  <si>
    <t xml:space="preserve">Statistical and finance clerks</t>
  </si>
  <si>
    <t xml:space="preserve">4131</t>
  </si>
  <si>
    <t xml:space="preserve">Stock clerks</t>
  </si>
  <si>
    <t xml:space="preserve">4132</t>
  </si>
  <si>
    <t xml:space="preserve">Production clerks</t>
  </si>
  <si>
    <t xml:space="preserve">4133</t>
  </si>
  <si>
    <t xml:space="preserve">Transport clerks</t>
  </si>
  <si>
    <t xml:space="preserve">4141</t>
  </si>
  <si>
    <t xml:space="preserve">Library and filing clerks</t>
  </si>
  <si>
    <t xml:space="preserve">4142</t>
  </si>
  <si>
    <t xml:space="preserve">Mail carriers and sorting clerks</t>
  </si>
  <si>
    <t xml:space="preserve">4144</t>
  </si>
  <si>
    <t xml:space="preserve">Scribes and related workers</t>
  </si>
  <si>
    <t xml:space="preserve">4190</t>
  </si>
  <si>
    <t xml:space="preserve">Other office clerks</t>
  </si>
  <si>
    <t xml:space="preserve">4222</t>
  </si>
  <si>
    <t xml:space="preserve">Receptionists and information clerks</t>
  </si>
  <si>
    <t xml:space="preserve">4223</t>
  </si>
  <si>
    <t xml:space="preserve">Telephone switchboard operators</t>
  </si>
  <si>
    <t xml:space="preserve">3342</t>
  </si>
  <si>
    <t xml:space="preserve">Legal Secretaries</t>
  </si>
  <si>
    <t xml:space="preserve">3343</t>
  </si>
  <si>
    <t xml:space="preserve">Administrative and Executive Secretaries</t>
  </si>
  <si>
    <t xml:space="preserve">Executive secretaries to</t>
  </si>
  <si>
    <t xml:space="preserve">governemet department</t>
  </si>
  <si>
    <t xml:space="preserve">3344</t>
  </si>
  <si>
    <t xml:space="preserve">Medical Secretaries</t>
  </si>
  <si>
    <t xml:space="preserve">3351</t>
  </si>
  <si>
    <t xml:space="preserve">Customs and Border Inspectors</t>
  </si>
  <si>
    <t xml:space="preserve">3441</t>
  </si>
  <si>
    <t xml:space="preserve">Customs and border inspectors</t>
  </si>
  <si>
    <t xml:space="preserve">3352</t>
  </si>
  <si>
    <t xml:space="preserve">Government Tax and Excise Officials</t>
  </si>
  <si>
    <t xml:space="preserve">3442</t>
  </si>
  <si>
    <t xml:space="preserve">Government tax and excise officials</t>
  </si>
  <si>
    <t xml:space="preserve">3353</t>
  </si>
  <si>
    <t xml:space="preserve">Government Social Benefits Officials</t>
  </si>
  <si>
    <t xml:space="preserve">3443</t>
  </si>
  <si>
    <t xml:space="preserve">Government social benefits officials</t>
  </si>
  <si>
    <t xml:space="preserve">3354</t>
  </si>
  <si>
    <t xml:space="preserve">Government Licensing Officials</t>
  </si>
  <si>
    <t xml:space="preserve">3444</t>
  </si>
  <si>
    <t xml:space="preserve">Government licensing officials</t>
  </si>
  <si>
    <t xml:space="preserve">3355</t>
  </si>
  <si>
    <t xml:space="preserve">Police Inspectors and Detectives</t>
  </si>
  <si>
    <t xml:space="preserve">3450</t>
  </si>
  <si>
    <t xml:space="preserve">Police inspectors and detectives</t>
  </si>
  <si>
    <t xml:space="preserve">3359</t>
  </si>
  <si>
    <t xml:space="preserve">Government Regulatory AssociatePprofessionals Not Elsewhere Classified</t>
  </si>
  <si>
    <t xml:space="preserve">Fire investigators Administrative consular</t>
  </si>
  <si>
    <t xml:space="preserve">officials</t>
  </si>
  <si>
    <t xml:space="preserve">3449</t>
  </si>
  <si>
    <t xml:space="preserve">Customs, tax and related government associate professionals not elsewhere classified</t>
  </si>
  <si>
    <t xml:space="preserve">Legal and Related Associate Professionals</t>
  </si>
  <si>
    <t xml:space="preserve">3432</t>
  </si>
  <si>
    <t xml:space="preserve">Legal and related business associate</t>
  </si>
  <si>
    <t xml:space="preserve">Private invetigators and</t>
  </si>
  <si>
    <t xml:space="preserve">3460</t>
  </si>
  <si>
    <t xml:space="preserve">Social work associate professionals</t>
  </si>
  <si>
    <t xml:space="preserve">Religious Associate Professionals</t>
  </si>
  <si>
    <t xml:space="preserve">3480</t>
  </si>
  <si>
    <t xml:space="preserve">Religious associate professionals</t>
  </si>
  <si>
    <t xml:space="preserve">Athletes and Sports Players</t>
  </si>
  <si>
    <t xml:space="preserve">3475</t>
  </si>
  <si>
    <t xml:space="preserve">Athletes, sportspersons and related associate professionals</t>
  </si>
  <si>
    <t xml:space="preserve">Sports Coaches, Instructors and Officials</t>
  </si>
  <si>
    <t xml:space="preserve">Sailing instructors</t>
  </si>
  <si>
    <t xml:space="preserve">Photographers</t>
  </si>
  <si>
    <t xml:space="preserve">Photographers and image and sound recording equipment operators</t>
  </si>
  <si>
    <t xml:space="preserve">Interior Designers and Decorators</t>
  </si>
  <si>
    <t xml:space="preserve">Gallery, Museum and Library Technicians</t>
  </si>
  <si>
    <t xml:space="preserve">???? Library technicians?</t>
  </si>
  <si>
    <t xml:space="preserve">Chefs</t>
  </si>
  <si>
    <t xml:space="preserve">5122</t>
  </si>
  <si>
    <t xml:space="preserve">3435</t>
  </si>
  <si>
    <t xml:space="preserve">Other artistic and cultural associate Information and communications</t>
  </si>
  <si>
    <t xml:space="preserve">3511</t>
  </si>
  <si>
    <t xml:space="preserve">Information and Communications Technology Operations Technicians</t>
  </si>
  <si>
    <t xml:space="preserve">Computer equipment operators</t>
  </si>
  <si>
    <t xml:space="preserve">3512</t>
  </si>
  <si>
    <t xml:space="preserve">Information and Communications Technology User Support Technicians</t>
  </si>
  <si>
    <t xml:space="preserve">Computer assistants</t>
  </si>
  <si>
    <t xml:space="preserve">3513</t>
  </si>
  <si>
    <t xml:space="preserve">Computer Network and Systems Technicians</t>
  </si>
  <si>
    <t xml:space="preserve">3514</t>
  </si>
  <si>
    <t xml:space="preserve">Web Technicians</t>
  </si>
  <si>
    <t xml:space="preserve">3521</t>
  </si>
  <si>
    <t xml:space="preserve">Broadcasting and Audio-visual Technicians</t>
  </si>
  <si>
    <t xml:space="preserve">Broadcasting and telecommunications equipment</t>
  </si>
  <si>
    <t xml:space="preserve">3522</t>
  </si>
  <si>
    <t xml:space="preserve">Telecommunications Engineering Technicians</t>
  </si>
  <si>
    <t xml:space="preserve">Telecommunications</t>
  </si>
  <si>
    <t xml:space="preserve">4110</t>
  </si>
  <si>
    <t xml:space="preserve">General Office Clerks</t>
  </si>
  <si>
    <t xml:space="preserve">4120</t>
  </si>
  <si>
    <t xml:space="preserve">Typists and Word Processing Operators</t>
  </si>
  <si>
    <t xml:space="preserve">Data Entry Clerks</t>
  </si>
  <si>
    <t xml:space="preserve">4113</t>
  </si>
  <si>
    <t xml:space="preserve">Data entry operators</t>
  </si>
  <si>
    <t xml:space="preserve">4211</t>
  </si>
  <si>
    <t xml:space="preserve">Bank Tellers and Related Clerks</t>
  </si>
  <si>
    <t xml:space="preserve">Bank cashiers</t>
  </si>
  <si>
    <t xml:space="preserve">4212</t>
  </si>
  <si>
    <t xml:space="preserve">Tellers and other counter clerks</t>
  </si>
  <si>
    <t xml:space="preserve">Bookmakers, Croupiers and Related Gaming Workers</t>
  </si>
  <si>
    <t xml:space="preserve">Bookmaking clerk</t>
  </si>
  <si>
    <t xml:space="preserve">4213</t>
  </si>
  <si>
    <t xml:space="preserve">Bookmakers and croupiers</t>
  </si>
  <si>
    <t xml:space="preserve">Pawnbrokers and Money-lenders</t>
  </si>
  <si>
    <t xml:space="preserve">4214</t>
  </si>
  <si>
    <t xml:space="preserve">Pawnbrokers and money-lenders</t>
  </si>
  <si>
    <t xml:space="preserve">Debt Collectors and Related Workers</t>
  </si>
  <si>
    <t xml:space="preserve">4215</t>
  </si>
  <si>
    <t xml:space="preserve">Debt-collectors and related workers</t>
  </si>
  <si>
    <t xml:space="preserve">Should some of ISCO-88</t>
  </si>
  <si>
    <t xml:space="preserve">4221</t>
  </si>
  <si>
    <t xml:space="preserve">Travel Consultants and Clerks</t>
  </si>
  <si>
    <t xml:space="preserve">p?</t>
  </si>
  <si>
    <t xml:space="preserve">3414 concorded with 3332,</t>
  </si>
  <si>
    <t xml:space="preserve">Travel agency and related clerks</t>
  </si>
  <si>
    <t xml:space="preserve">Contact Centre Information Clerks</t>
  </si>
  <si>
    <t xml:space="preserve">Telephone Switchboard Operators</t>
  </si>
  <si>
    <t xml:space="preserve">4224</t>
  </si>
  <si>
    <t xml:space="preserve">Hotel Receptionists</t>
  </si>
  <si>
    <t xml:space="preserve">4225</t>
  </si>
  <si>
    <t xml:space="preserve">Inquiry Clerks</t>
  </si>
  <si>
    <t xml:space="preserve">4226</t>
  </si>
  <si>
    <t xml:space="preserve">Receptionists (general)</t>
  </si>
  <si>
    <t xml:space="preserve">4227</t>
  </si>
  <si>
    <t xml:space="preserve">Survey and Market Research Interviewers</t>
  </si>
  <si>
    <t xml:space="preserve">9113 is another possibility</t>
  </si>
  <si>
    <t xml:space="preserve">4229</t>
  </si>
  <si>
    <t xml:space="preserve">Client Information Workers Not Elsewhere Classified</t>
  </si>
  <si>
    <t xml:space="preserve">4311</t>
  </si>
  <si>
    <t xml:space="preserve">Accounting and Bookkeeping Clerks</t>
  </si>
  <si>
    <t xml:space="preserve">Consider ISCO-88 3432 in</t>
  </si>
  <si>
    <t xml:space="preserve">4312</t>
  </si>
  <si>
    <t xml:space="preserve">Statistical, Finance and Insurance Clerks</t>
  </si>
  <si>
    <t xml:space="preserve">national contexts. ISCO-88 index included broker's</t>
  </si>
  <si>
    <t xml:space="preserve">4313</t>
  </si>
  <si>
    <t xml:space="preserve">Payroll Clerks</t>
  </si>
  <si>
    <t xml:space="preserve">4321</t>
  </si>
  <si>
    <t xml:space="preserve">Stock Clerks</t>
  </si>
  <si>
    <t xml:space="preserve">4322</t>
  </si>
  <si>
    <t xml:space="preserve">Production Clerks</t>
  </si>
  <si>
    <t xml:space="preserve">4323</t>
  </si>
  <si>
    <t xml:space="preserve">Transport Clerks</t>
  </si>
  <si>
    <t xml:space="preserve">4411</t>
  </si>
  <si>
    <t xml:space="preserve">Library Clerks</t>
  </si>
  <si>
    <t xml:space="preserve">4412</t>
  </si>
  <si>
    <t xml:space="preserve">Mail Carriers and Sorting Clerks</t>
  </si>
  <si>
    <t xml:space="preserve">4413</t>
  </si>
  <si>
    <t xml:space="preserve">Coding, Proofreading and Related Clerks</t>
  </si>
  <si>
    <t xml:space="preserve">4414</t>
  </si>
  <si>
    <t xml:space="preserve">Scribes and Related Workers</t>
  </si>
  <si>
    <t xml:space="preserve">4415</t>
  </si>
  <si>
    <t xml:space="preserve">Filing and Copying Clerks</t>
  </si>
  <si>
    <t xml:space="preserve">4416</t>
  </si>
  <si>
    <t xml:space="preserve">Personnel Clerks</t>
  </si>
  <si>
    <t xml:space="preserve">4419</t>
  </si>
  <si>
    <t xml:space="preserve">Clerical Support Workers Not Elsewhere Classified</t>
  </si>
  <si>
    <t xml:space="preserve">5111</t>
  </si>
  <si>
    <t xml:space="preserve">Travel Attendants and Travel Stewards</t>
  </si>
  <si>
    <t xml:space="preserve">Travel attendants and travel stewards</t>
  </si>
  <si>
    <t xml:space="preserve">5112</t>
  </si>
  <si>
    <t xml:space="preserve">Transport Conductors</t>
  </si>
  <si>
    <t xml:space="preserve">Transport conductors</t>
  </si>
  <si>
    <t xml:space="preserve">5113</t>
  </si>
  <si>
    <t xml:space="preserve">Travel Guides</t>
  </si>
  <si>
    <t xml:space="preserve">Travel guides</t>
  </si>
  <si>
    <t xml:space="preserve">5120</t>
  </si>
  <si>
    <t xml:space="preserve">5131</t>
  </si>
  <si>
    <t xml:space="preserve">Waiters</t>
  </si>
  <si>
    <t xml:space="preserve">5123</t>
  </si>
  <si>
    <t xml:space="preserve">Waiters, waitresses and bartenders</t>
  </si>
  <si>
    <t xml:space="preserve">Bartenders</t>
  </si>
  <si>
    <t xml:space="preserve">5141</t>
  </si>
  <si>
    <t xml:space="preserve">Hairdressers</t>
  </si>
  <si>
    <t xml:space="preserve">Hairdressers, barbers, beauticians and related</t>
  </si>
  <si>
    <t xml:space="preserve">5142</t>
  </si>
  <si>
    <t xml:space="preserve">Beauticians and Related Workers</t>
  </si>
  <si>
    <t xml:space="preserve">5151</t>
  </si>
  <si>
    <t xml:space="preserve">Cleaning and Housekeeping Supervisors in Offices, Hotels and Other Establishments</t>
  </si>
  <si>
    <t xml:space="preserve">5121</t>
  </si>
  <si>
    <t xml:space="preserve">Housekeepers and related workers</t>
  </si>
  <si>
    <t xml:space="preserve">5152</t>
  </si>
  <si>
    <t xml:space="preserve">Domestic Housekeepers</t>
  </si>
  <si>
    <t xml:space="preserve">5153</t>
  </si>
  <si>
    <t xml:space="preserve">Building Caretakers</t>
  </si>
  <si>
    <t xml:space="preserve">9141</t>
  </si>
  <si>
    <t xml:space="preserve">Building caretakers</t>
  </si>
  <si>
    <t xml:space="preserve">5161</t>
  </si>
  <si>
    <t xml:space="preserve">Astrologers, Fortune-tellers and Related Workers</t>
  </si>
  <si>
    <t xml:space="preserve">Astrologers and related workers</t>
  </si>
  <si>
    <t xml:space="preserve">Fortune-tellers, palmists and related workers</t>
  </si>
  <si>
    <t xml:space="preserve">5162</t>
  </si>
  <si>
    <t xml:space="preserve">Companions and Valets</t>
  </si>
  <si>
    <t xml:space="preserve">Companions and valets</t>
  </si>
  <si>
    <t xml:space="preserve">5163</t>
  </si>
  <si>
    <t xml:space="preserve">Undertakers and Embalmers</t>
  </si>
  <si>
    <t xml:space="preserve">5143</t>
  </si>
  <si>
    <t xml:space="preserve">Undertakers and embalmers</t>
  </si>
  <si>
    <t xml:space="preserve">5164</t>
  </si>
  <si>
    <t xml:space="preserve">Pet Groomers and Animal Care Workers</t>
  </si>
  <si>
    <t xml:space="preserve">5139</t>
  </si>
  <si>
    <t xml:space="preserve">Personal care and related workers not elsewhere</t>
  </si>
  <si>
    <t xml:space="preserve">Veterinary aids</t>
  </si>
  <si>
    <t xml:space="preserve">6129</t>
  </si>
  <si>
    <t xml:space="preserve">Market-oriented animal producers and related workers not elsewhere classified</t>
  </si>
  <si>
    <t xml:space="preserve">5165</t>
  </si>
  <si>
    <t xml:space="preserve">Driving Instructors</t>
  </si>
  <si>
    <t xml:space="preserve">5169</t>
  </si>
  <si>
    <t xml:space="preserve">Personal Services Workers Not Elsewhere Classified</t>
  </si>
  <si>
    <t xml:space="preserve">5149</t>
  </si>
  <si>
    <t xml:space="preserve">Other personal services workers not elsewhere</t>
  </si>
  <si>
    <t xml:space="preserve">3242</t>
  </si>
  <si>
    <t xml:space="preserve">Faith healers</t>
  </si>
  <si>
    <t xml:space="preserve">5211</t>
  </si>
  <si>
    <t xml:space="preserve">Stall and Market Salespersons</t>
  </si>
  <si>
    <t xml:space="preserve">5230</t>
  </si>
  <si>
    <t xml:space="preserve">Stall and market salespersons</t>
  </si>
  <si>
    <t xml:space="preserve">5212</t>
  </si>
  <si>
    <t xml:space="preserve">Street Food Salespersons</t>
  </si>
  <si>
    <t xml:space="preserve">9111</t>
  </si>
  <si>
    <t xml:space="preserve">Street food vendors</t>
  </si>
  <si>
    <t xml:space="preserve">5221</t>
  </si>
  <si>
    <t xml:space="preserve">Shopkeepers</t>
  </si>
  <si>
    <t xml:space="preserve">5222</t>
  </si>
  <si>
    <t xml:space="preserve">Shop Supervisors</t>
  </si>
  <si>
    <t xml:space="preserve">5220</t>
  </si>
  <si>
    <t xml:space="preserve">Shop salespersons and demonstrators</t>
  </si>
  <si>
    <t xml:space="preserve">5223</t>
  </si>
  <si>
    <t xml:space="preserve">Shop Sales Assistants</t>
  </si>
  <si>
    <t xml:space="preserve">Cashiers and Ticket Clerks</t>
  </si>
  <si>
    <t xml:space="preserve">5241</t>
  </si>
  <si>
    <t xml:space="preserve">Fashion and Other Models</t>
  </si>
  <si>
    <t xml:space="preserve">5210</t>
  </si>
  <si>
    <t xml:space="preserve">Fashion and other models</t>
  </si>
  <si>
    <t xml:space="preserve">5242</t>
  </si>
  <si>
    <t xml:space="preserve">Sales Demonstrators</t>
  </si>
  <si>
    <t xml:space="preserve">5243</t>
  </si>
  <si>
    <t xml:space="preserve">Door-to-door Salespersons</t>
  </si>
  <si>
    <t xml:space="preserve">9113</t>
  </si>
  <si>
    <t xml:space="preserve">Door-to-door and telephone salespersons</t>
  </si>
  <si>
    <t xml:space="preserve">5244</t>
  </si>
  <si>
    <t xml:space="preserve">Contact Centre Salespersons</t>
  </si>
  <si>
    <t xml:space="preserve">5245</t>
  </si>
  <si>
    <t xml:space="preserve">Service Station Attendants</t>
  </si>
  <si>
    <t xml:space="preserve">5246</t>
  </si>
  <si>
    <t xml:space="preserve">Food Service Counter Attendants</t>
  </si>
  <si>
    <t xml:space="preserve">5249</t>
  </si>
  <si>
    <t xml:space="preserve">Sales workers not elsewhere classified</t>
  </si>
  <si>
    <t xml:space="preserve">Car salesperson, boat</t>
  </si>
  <si>
    <t xml:space="preserve">5311</t>
  </si>
  <si>
    <t xml:space="preserve">Child Care Workers</t>
  </si>
  <si>
    <t xml:space="preserve">Child-care workers</t>
  </si>
  <si>
    <t xml:space="preserve">5312</t>
  </si>
  <si>
    <t xml:space="preserve">Teachers' Aides</t>
  </si>
  <si>
    <t xml:space="preserve">5321</t>
  </si>
  <si>
    <t xml:space="preserve">Health Care Assistants</t>
  </si>
  <si>
    <t xml:space="preserve">5322</t>
  </si>
  <si>
    <t xml:space="preserve">Home-based Personal Care Workers</t>
  </si>
  <si>
    <t xml:space="preserve">5133</t>
  </si>
  <si>
    <t xml:space="preserve">Home-based personal care workers</t>
  </si>
  <si>
    <t xml:space="preserve">Hospital orderly, medical</t>
  </si>
  <si>
    <t xml:space="preserve">5329</t>
  </si>
  <si>
    <t xml:space="preserve">Personal Care Workers in Health Services Not Elsewhere Classified</t>
  </si>
  <si>
    <t xml:space="preserve">imaging assistant, dental aid</t>
  </si>
  <si>
    <t xml:space="preserve">5411</t>
  </si>
  <si>
    <t xml:space="preserve">Fire Fighters</t>
  </si>
  <si>
    <t xml:space="preserve">Fire-fighters</t>
  </si>
  <si>
    <t xml:space="preserve">5412</t>
  </si>
  <si>
    <t xml:space="preserve">Police Officers</t>
  </si>
  <si>
    <t xml:space="preserve">Police officers</t>
  </si>
  <si>
    <t xml:space="preserve">5413</t>
  </si>
  <si>
    <t xml:space="preserve">Prison Guards</t>
  </si>
  <si>
    <t xml:space="preserve">Prison guards</t>
  </si>
  <si>
    <t xml:space="preserve">5414</t>
  </si>
  <si>
    <t xml:space="preserve">Security Guards</t>
  </si>
  <si>
    <t xml:space="preserve">Protective services workers not elsewhere</t>
  </si>
  <si>
    <t xml:space="preserve">9152</t>
  </si>
  <si>
    <t xml:space="preserve">Doorkeepers, watchpersons and related workers</t>
  </si>
  <si>
    <t xml:space="preserve">5419</t>
  </si>
  <si>
    <t xml:space="preserve">Protective Services Workers Not Elsewhere Classified</t>
  </si>
  <si>
    <t xml:space="preserve">6111</t>
  </si>
  <si>
    <t xml:space="preserve">Field Crop and Vegetable Growers</t>
  </si>
  <si>
    <t xml:space="preserve">General managers in agriculture, hunting, forestry and fishing</t>
  </si>
  <si>
    <t xml:space="preserve">Field crop and vegetable growers</t>
  </si>
  <si>
    <t xml:space="preserve">6112</t>
  </si>
  <si>
    <t xml:space="preserve">Tree and Shrub Crop Growers</t>
  </si>
  <si>
    <t xml:space="preserve">Tree and shrub crop growers</t>
  </si>
  <si>
    <t xml:space="preserve">6113</t>
  </si>
  <si>
    <t xml:space="preserve">Gardeners, Horticultural and Nursery Growers</t>
  </si>
  <si>
    <t xml:space="preserve">Gardeners, horticultural and nursery growers</t>
  </si>
  <si>
    <t xml:space="preserve">6114</t>
  </si>
  <si>
    <t xml:space="preserve">Mixed Crop Growers</t>
  </si>
  <si>
    <t xml:space="preserve">Mixed-crop growers</t>
  </si>
  <si>
    <t xml:space="preserve">6121</t>
  </si>
  <si>
    <t xml:space="preserve">Livestock and Dairy Producers</t>
  </si>
  <si>
    <t xml:space="preserve">Dairy and livestock producers</t>
  </si>
  <si>
    <t xml:space="preserve">6124</t>
  </si>
  <si>
    <t xml:space="preserve">Mixed-animal producers</t>
  </si>
  <si>
    <t xml:space="preserve">6122</t>
  </si>
  <si>
    <t xml:space="preserve">Poultry Producers</t>
  </si>
  <si>
    <t xml:space="preserve">Poultry producers</t>
  </si>
  <si>
    <t xml:space="preserve">6123</t>
  </si>
  <si>
    <t xml:space="preserve">Apiarists and Sericulturists</t>
  </si>
  <si>
    <t xml:space="preserve">Apiarists and sericulturists</t>
  </si>
  <si>
    <t xml:space="preserve">Animal Producers Not Elsewhere Classified</t>
  </si>
  <si>
    <t xml:space="preserve">6130</t>
  </si>
  <si>
    <t xml:space="preserve">Mixed Crop and Animal Producers</t>
  </si>
  <si>
    <t xml:space="preserve">Market-oriented crop and animal producers</t>
  </si>
  <si>
    <t xml:space="preserve">6210</t>
  </si>
  <si>
    <t xml:space="preserve">Forestry and Related Workers</t>
  </si>
  <si>
    <t xml:space="preserve">6141</t>
  </si>
  <si>
    <t xml:space="preserve">Forestry workers and loggers</t>
  </si>
  <si>
    <t xml:space="preserve">6142</t>
  </si>
  <si>
    <t xml:space="preserve">Charcoal burners and related workers</t>
  </si>
  <si>
    <t xml:space="preserve">6221</t>
  </si>
  <si>
    <t xml:space="preserve">Aquaculture Workers</t>
  </si>
  <si>
    <t xml:space="preserve">6151</t>
  </si>
  <si>
    <t xml:space="preserve">Aquatic-life cultivation workers</t>
  </si>
  <si>
    <t xml:space="preserve">6222</t>
  </si>
  <si>
    <t xml:space="preserve">Inland and Coastal Waters Fishery Workers</t>
  </si>
  <si>
    <t xml:space="preserve">6152</t>
  </si>
  <si>
    <t xml:space="preserve">Inland and coastal waters fishery workers</t>
  </si>
  <si>
    <t xml:space="preserve">6223</t>
  </si>
  <si>
    <t xml:space="preserve">Deep-sea Fishery Workers</t>
  </si>
  <si>
    <t xml:space="preserve">6153</t>
  </si>
  <si>
    <t xml:space="preserve">Deep-sea fishery workers</t>
  </si>
  <si>
    <t xml:space="preserve">6224</t>
  </si>
  <si>
    <t xml:space="preserve">Hunters and Trappers</t>
  </si>
  <si>
    <t xml:space="preserve">6154</t>
  </si>
  <si>
    <t xml:space="preserve">Hunters and trappers</t>
  </si>
  <si>
    <t xml:space="preserve">6310</t>
  </si>
  <si>
    <t xml:space="preserve">Subsistence Crop Farmers</t>
  </si>
  <si>
    <t xml:space="preserve">Subsistence agricultural and fishery workers</t>
  </si>
  <si>
    <t xml:space="preserve">6320</t>
  </si>
  <si>
    <t xml:space="preserve">Subsistence Livestock Farmers</t>
  </si>
  <si>
    <t xml:space="preserve">6330</t>
  </si>
  <si>
    <t xml:space="preserve">Subsistence Mixed Crop and Livestock Farmers</t>
  </si>
  <si>
    <t xml:space="preserve">6340</t>
  </si>
  <si>
    <t xml:space="preserve">Subsistence Fishers, Hunters, Trappers and Gatherers</t>
  </si>
  <si>
    <t xml:space="preserve">House Builders</t>
  </si>
  <si>
    <t xml:space="preserve">7121</t>
  </si>
  <si>
    <t xml:space="preserve">Builders, traditional materials</t>
  </si>
  <si>
    <t xml:space="preserve">Housebuilders not using</t>
  </si>
  <si>
    <t xml:space="preserve">traditional materials</t>
  </si>
  <si>
    <t xml:space="preserve">7112</t>
  </si>
  <si>
    <t xml:space="preserve">Bricklayers and Related Workers</t>
  </si>
  <si>
    <t xml:space="preserve">7122</t>
  </si>
  <si>
    <t xml:space="preserve">Bricklayers and stonemasons</t>
  </si>
  <si>
    <t xml:space="preserve">7113</t>
  </si>
  <si>
    <t xml:space="preserve">Stonemasons, Stone Cutters, Splitters and Carvers</t>
  </si>
  <si>
    <t xml:space="preserve">Stone splitters, cutters and carvers</t>
  </si>
  <si>
    <t xml:space="preserve">7114</t>
  </si>
  <si>
    <t xml:space="preserve">Concrete Placers, Concrete Finishers and Related Workers</t>
  </si>
  <si>
    <t xml:space="preserve">7123</t>
  </si>
  <si>
    <t xml:space="preserve">Concrete placers, concrete finishers and related</t>
  </si>
  <si>
    <t xml:space="preserve">7115</t>
  </si>
  <si>
    <t xml:space="preserve">Carpenters and Joiners</t>
  </si>
  <si>
    <t xml:space="preserve">7124</t>
  </si>
  <si>
    <t xml:space="preserve">Carpenters and joiners</t>
  </si>
  <si>
    <t xml:space="preserve">7119</t>
  </si>
  <si>
    <t xml:space="preserve">Building Frame and Related Trades Workers Not Elsewhere Classified</t>
  </si>
  <si>
    <t xml:space="preserve">Roofers</t>
  </si>
  <si>
    <t xml:space="preserve">7131</t>
  </si>
  <si>
    <t xml:space="preserve">Floor Layers and Tile Setters</t>
  </si>
  <si>
    <t xml:space="preserve">7132</t>
  </si>
  <si>
    <t xml:space="preserve">Floor layers and tile setters</t>
  </si>
  <si>
    <t xml:space="preserve">Plasterers</t>
  </si>
  <si>
    <t xml:space="preserve">7133</t>
  </si>
  <si>
    <t xml:space="preserve">Insulation Workers</t>
  </si>
  <si>
    <t xml:space="preserve">7134</t>
  </si>
  <si>
    <t xml:space="preserve">Insulation workers</t>
  </si>
  <si>
    <t xml:space="preserve">7125</t>
  </si>
  <si>
    <t xml:space="preserve">Glaziers</t>
  </si>
  <si>
    <t xml:space="preserve">7135</t>
  </si>
  <si>
    <t xml:space="preserve">7126</t>
  </si>
  <si>
    <t xml:space="preserve">Plumbers and Pipe Fitters</t>
  </si>
  <si>
    <t xml:space="preserve">7136</t>
  </si>
  <si>
    <t xml:space="preserve">Plumbers and pipe fitters</t>
  </si>
  <si>
    <t xml:space="preserve">7127</t>
  </si>
  <si>
    <t xml:space="preserve">Air Conditioning and Refrigeration Mechanics</t>
  </si>
  <si>
    <t xml:space="preserve">????</t>
  </si>
  <si>
    <t xml:space="preserve">7233</t>
  </si>
  <si>
    <t xml:space="preserve">Agricultural- or industrial-machinery mechanics</t>
  </si>
  <si>
    <t xml:space="preserve">Painters and Related Workers</t>
  </si>
  <si>
    <t xml:space="preserve">7141</t>
  </si>
  <si>
    <t xml:space="preserve">Painters and related workers</t>
  </si>
  <si>
    <t xml:space="preserve">Spray Painters and Varnishers</t>
  </si>
  <si>
    <t xml:space="preserve">7142</t>
  </si>
  <si>
    <t xml:space="preserve">Varnishers and related painters</t>
  </si>
  <si>
    <t xml:space="preserve">Building Structure Cleaners</t>
  </si>
  <si>
    <t xml:space="preserve">7143</t>
  </si>
  <si>
    <t xml:space="preserve">Building structure cleaners</t>
  </si>
  <si>
    <t xml:space="preserve">7211</t>
  </si>
  <si>
    <t xml:space="preserve">Metal Moulders and Coremakers</t>
  </si>
  <si>
    <t xml:space="preserve">Metal moulders and coremakers</t>
  </si>
  <si>
    <t xml:space="preserve">7212</t>
  </si>
  <si>
    <t xml:space="preserve">Welders and Flame Cutters</t>
  </si>
  <si>
    <t xml:space="preserve">Welders and flamecutters</t>
  </si>
  <si>
    <t xml:space="preserve">7213</t>
  </si>
  <si>
    <t xml:space="preserve">Sheet Metal Workers</t>
  </si>
  <si>
    <t xml:space="preserve">Sheet-metal workers</t>
  </si>
  <si>
    <t xml:space="preserve">7214</t>
  </si>
  <si>
    <t xml:space="preserve">Structural Metal Preparers and Erectors</t>
  </si>
  <si>
    <t xml:space="preserve">Structural-metal preparers and erectors</t>
  </si>
  <si>
    <t xml:space="preserve">7215</t>
  </si>
  <si>
    <t xml:space="preserve">Riggers and Cable Splicers</t>
  </si>
  <si>
    <t xml:space="preserve">Riggers and cable splicers</t>
  </si>
  <si>
    <t xml:space="preserve">7221</t>
  </si>
  <si>
    <t xml:space="preserve">Blacksmiths, Hammersmiths and Forging Press Workers</t>
  </si>
  <si>
    <t xml:space="preserve">Blacksmiths, hammer-smiths and forging-press</t>
  </si>
  <si>
    <t xml:space="preserve">7222</t>
  </si>
  <si>
    <t xml:space="preserve">Toolmakers and Related Workers</t>
  </si>
  <si>
    <t xml:space="preserve">Tool-makers and related workers</t>
  </si>
  <si>
    <t xml:space="preserve">7223</t>
  </si>
  <si>
    <t xml:space="preserve">Metal Working Machine Tool Setters and Operators</t>
  </si>
  <si>
    <t xml:space="preserve">Machine-tool setters and setter-operators</t>
  </si>
  <si>
    <t xml:space="preserve">7224</t>
  </si>
  <si>
    <t xml:space="preserve">Metal Polishers, Wheel Grinders and Tool Sharpeners</t>
  </si>
  <si>
    <t xml:space="preserve">Metal wheel-grinders, polishers and tool</t>
  </si>
  <si>
    <t xml:space="preserve">7231</t>
  </si>
  <si>
    <t xml:space="preserve">Motor Vehicle Mechanics and Repairers</t>
  </si>
  <si>
    <t xml:space="preserve">Motor vehicle mechanics and fitters</t>
  </si>
  <si>
    <t xml:space="preserve">7232</t>
  </si>
  <si>
    <t xml:space="preserve">Aircraft Engine Mechanics and Repairers</t>
  </si>
  <si>
    <t xml:space="preserve">Aircraft engine mechanics and fitters</t>
  </si>
  <si>
    <t xml:space="preserve">Agricultural and Industrial Machinery Mechanics and Repairers</t>
  </si>
  <si>
    <t xml:space="preserve">7234</t>
  </si>
  <si>
    <t xml:space="preserve">Bicycle and Related Repairers</t>
  </si>
  <si>
    <t xml:space="preserve">Precision-instrument Makers and Repairers</t>
  </si>
  <si>
    <t xml:space="preserve">7312</t>
  </si>
  <si>
    <t xml:space="preserve">Musical Instrument Makers and Tuners</t>
  </si>
  <si>
    <t xml:space="preserve">Musical instrument makers and tuners</t>
  </si>
  <si>
    <t xml:space="preserve">7313</t>
  </si>
  <si>
    <t xml:space="preserve">Jewellery and Precious Metal Workers</t>
  </si>
  <si>
    <t xml:space="preserve">Jewellery and precious-metal workers</t>
  </si>
  <si>
    <t xml:space="preserve">7314</t>
  </si>
  <si>
    <t xml:space="preserve">Potters and Related Workers</t>
  </si>
  <si>
    <t xml:space="preserve">7321</t>
  </si>
  <si>
    <t xml:space="preserve">Abrasive wheel formers, potters and related</t>
  </si>
  <si>
    <t xml:space="preserve">7315</t>
  </si>
  <si>
    <t xml:space="preserve">Glass Makers, Cutters, Grinders and Finishers</t>
  </si>
  <si>
    <t xml:space="preserve">7322</t>
  </si>
  <si>
    <t xml:space="preserve">Glass-makers, cutters, grinders and finishers</t>
  </si>
  <si>
    <t xml:space="preserve">7316</t>
  </si>
  <si>
    <t xml:space="preserve">Sign Writers, Decorative Painters, Engravers and Etchers</t>
  </si>
  <si>
    <t xml:space="preserve">Tattoists</t>
  </si>
  <si>
    <t xml:space="preserve">7323</t>
  </si>
  <si>
    <t xml:space="preserve">Glass engravers and etchers</t>
  </si>
  <si>
    <t xml:space="preserve">7324</t>
  </si>
  <si>
    <t xml:space="preserve">Glass, ceramics and related decorative painters</t>
  </si>
  <si>
    <t xml:space="preserve">7317</t>
  </si>
  <si>
    <t xml:space="preserve">Handicraft Workers in Wood, Basketry and Related Materials</t>
  </si>
  <si>
    <t xml:space="preserve">7331</t>
  </si>
  <si>
    <t xml:space="preserve">Handicraft workers in wood and related materials</t>
  </si>
  <si>
    <t xml:space="preserve">7424</t>
  </si>
  <si>
    <t xml:space="preserve">Basketry weavers, brush makers and related</t>
  </si>
  <si>
    <t xml:space="preserve">7318</t>
  </si>
  <si>
    <t xml:space="preserve">Handicraft Workers in Textile, Leather and Related Materials</t>
  </si>
  <si>
    <t xml:space="preserve">7332</t>
  </si>
  <si>
    <t xml:space="preserve">Handicraft workers in textile, leather and related</t>
  </si>
  <si>
    <t xml:space="preserve">7431</t>
  </si>
  <si>
    <t xml:space="preserve">Fibre preparers</t>
  </si>
  <si>
    <t xml:space="preserve">7432</t>
  </si>
  <si>
    <t xml:space="preserve">Weavers, knitters and related workers</t>
  </si>
  <si>
    <t xml:space="preserve">7319</t>
  </si>
  <si>
    <t xml:space="preserve">Handicraft workers not elsewhere</t>
  </si>
  <si>
    <t xml:space="preserve">Pre-press Technicians</t>
  </si>
  <si>
    <t xml:space="preserve">7341</t>
  </si>
  <si>
    <t xml:space="preserve">Compositors, typesetters and related workers</t>
  </si>
  <si>
    <t xml:space="preserve">7342</t>
  </si>
  <si>
    <t xml:space="preserve">Stereotypers and electrotypers</t>
  </si>
  <si>
    <t xml:space="preserve">7343</t>
  </si>
  <si>
    <t xml:space="preserve">Printing engravers and etchers</t>
  </si>
  <si>
    <t xml:space="preserve">Printers</t>
  </si>
  <si>
    <t xml:space="preserve">Printers, printing machine</t>
  </si>
  <si>
    <t xml:space="preserve">7346</t>
  </si>
  <si>
    <t xml:space="preserve">Silk-screen, block and textile printers</t>
  </si>
  <si>
    <t xml:space="preserve">Print Finishing and Binding Workers</t>
  </si>
  <si>
    <t xml:space="preserve">7345</t>
  </si>
  <si>
    <t xml:space="preserve">Bookbinders and related workers</t>
  </si>
  <si>
    <t xml:space="preserve">7411</t>
  </si>
  <si>
    <t xml:space="preserve">Building and Related Electricians</t>
  </si>
  <si>
    <t xml:space="preserve">7137</t>
  </si>
  <si>
    <t xml:space="preserve">Building and related electricians</t>
  </si>
  <si>
    <t xml:space="preserve">7412</t>
  </si>
  <si>
    <t xml:space="preserve">Electrical Mechanics and Fitters</t>
  </si>
  <si>
    <t xml:space="preserve">7241</t>
  </si>
  <si>
    <t xml:space="preserve">Electrical mechanics and fitters</t>
  </si>
  <si>
    <t xml:space="preserve">7413</t>
  </si>
  <si>
    <t xml:space="preserve">Electrical Line Installers and Repairers</t>
  </si>
  <si>
    <t xml:space="preserve">7245</t>
  </si>
  <si>
    <t xml:space="preserve">Electrical line installers, repairers and cable</t>
  </si>
  <si>
    <t xml:space="preserve">7421</t>
  </si>
  <si>
    <t xml:space="preserve">Electronics Mechanics and Servicers</t>
  </si>
  <si>
    <t xml:space="preserve">7242</t>
  </si>
  <si>
    <t xml:space="preserve">Electronics fitters</t>
  </si>
  <si>
    <t xml:space="preserve">7243</t>
  </si>
  <si>
    <t xml:space="preserve">Electronics mechanics and servicers</t>
  </si>
  <si>
    <t xml:space="preserve">7422</t>
  </si>
  <si>
    <t xml:space="preserve">Information and Communications Technology Installers and Servicers</t>
  </si>
  <si>
    <t xml:space="preserve">7244</t>
  </si>
  <si>
    <t xml:space="preserve">Telegraph and telephone installers and servicers</t>
  </si>
  <si>
    <t xml:space="preserve">7511</t>
  </si>
  <si>
    <t xml:space="preserve">Butchers, Fishmongers and Related Food Preparers</t>
  </si>
  <si>
    <t xml:space="preserve">Butchers, fishmongers and related food preparers</t>
  </si>
  <si>
    <t xml:space="preserve">7512</t>
  </si>
  <si>
    <t xml:space="preserve">Bakers, Pastry-cooks and Confectionery Makers</t>
  </si>
  <si>
    <t xml:space="preserve">Bakers, pastry-cooks and confectionery makers</t>
  </si>
  <si>
    <t xml:space="preserve">7513</t>
  </si>
  <si>
    <t xml:space="preserve">Dairy Products Makers</t>
  </si>
  <si>
    <t xml:space="preserve">Dairy-products makers</t>
  </si>
  <si>
    <t xml:space="preserve">7514</t>
  </si>
  <si>
    <t xml:space="preserve">Fruit, Vegetable and Related Preservers</t>
  </si>
  <si>
    <t xml:space="preserve">7414</t>
  </si>
  <si>
    <t xml:space="preserve">Fruit, vegetable and related preservers</t>
  </si>
  <si>
    <t xml:space="preserve">7515</t>
  </si>
  <si>
    <t xml:space="preserve">Food and Beverage Tasters and Graders</t>
  </si>
  <si>
    <t xml:space="preserve">7415</t>
  </si>
  <si>
    <t xml:space="preserve">Food and beverage tasters and graders</t>
  </si>
  <si>
    <t xml:space="preserve">7516</t>
  </si>
  <si>
    <t xml:space="preserve">Tobacco Preparers and Tobacco Products Makers</t>
  </si>
  <si>
    <t xml:space="preserve">7416</t>
  </si>
  <si>
    <t xml:space="preserve">Tobacco preparers and tobacco products makers</t>
  </si>
  <si>
    <t xml:space="preserve">7521</t>
  </si>
  <si>
    <t xml:space="preserve">Wood Treaters</t>
  </si>
  <si>
    <t xml:space="preserve">Wood treaters</t>
  </si>
  <si>
    <t xml:space="preserve">7522</t>
  </si>
  <si>
    <t xml:space="preserve">Cabinet-makers and Related Workers</t>
  </si>
  <si>
    <t xml:space="preserve">Cabinet-makers and related workers</t>
  </si>
  <si>
    <t xml:space="preserve">7523</t>
  </si>
  <si>
    <t xml:space="preserve">Woodworking Machine Tool Setters and Operators</t>
  </si>
  <si>
    <t xml:space="preserve">7423</t>
  </si>
  <si>
    <t xml:space="preserve">Woodworking-machine setters and setter-</t>
  </si>
  <si>
    <t xml:space="preserve">7531</t>
  </si>
  <si>
    <t xml:space="preserve">Tailors, Dressmakers, Furriers and Hatters</t>
  </si>
  <si>
    <t xml:space="preserve">7433</t>
  </si>
  <si>
    <t xml:space="preserve">Tailors, dressmakers and hatters</t>
  </si>
  <si>
    <t xml:space="preserve">7434</t>
  </si>
  <si>
    <t xml:space="preserve">Furriers and related workers</t>
  </si>
  <si>
    <t xml:space="preserve">7532</t>
  </si>
  <si>
    <t xml:space="preserve">Garment and Related Patternmakers and Cutters</t>
  </si>
  <si>
    <t xml:space="preserve">7435</t>
  </si>
  <si>
    <t xml:space="preserve">Textile, leather and related pattern-makers and</t>
  </si>
  <si>
    <t xml:space="preserve">7533</t>
  </si>
  <si>
    <t xml:space="preserve">Sewing, Embroidery and Related Workers</t>
  </si>
  <si>
    <t xml:space="preserve">7436</t>
  </si>
  <si>
    <t xml:space="preserve">Sewers, embroiderers and related workers</t>
  </si>
  <si>
    <t xml:space="preserve">7534</t>
  </si>
  <si>
    <t xml:space="preserve">Upholsterers and Related Workers</t>
  </si>
  <si>
    <t xml:space="preserve">7437</t>
  </si>
  <si>
    <t xml:space="preserve">Upholsterers and related workers</t>
  </si>
  <si>
    <t xml:space="preserve">7535</t>
  </si>
  <si>
    <t xml:space="preserve">Pelt Dressers, Tanners and Fellmongers</t>
  </si>
  <si>
    <t xml:space="preserve">7441</t>
  </si>
  <si>
    <t xml:space="preserve">Pelt dressers, tanners and fellmongers</t>
  </si>
  <si>
    <t xml:space="preserve">7536</t>
  </si>
  <si>
    <t xml:space="preserve">Shoemakers and Related Workers</t>
  </si>
  <si>
    <t xml:space="preserve">7442</t>
  </si>
  <si>
    <t xml:space="preserve">Shoe-makers and related workers</t>
  </si>
  <si>
    <t xml:space="preserve">7541</t>
  </si>
  <si>
    <t xml:space="preserve">Underwater Divers</t>
  </si>
  <si>
    <t xml:space="preserve">Divers for sponges, pearls</t>
  </si>
  <si>
    <t xml:space="preserve">7216</t>
  </si>
  <si>
    <t xml:space="preserve">Underwater workers</t>
  </si>
  <si>
    <t xml:space="preserve">7542</t>
  </si>
  <si>
    <t xml:space="preserve">Shotfirers and Blasters</t>
  </si>
  <si>
    <t xml:space="preserve">Shotfirers and blasters Safety, health and quality inspectors</t>
  </si>
  <si>
    <t xml:space="preserve">Product quality inspectors.</t>
  </si>
  <si>
    <t xml:space="preserve">7543</t>
  </si>
  <si>
    <t xml:space="preserve">Product Graders and Testers (except Foods and Beverages)</t>
  </si>
  <si>
    <t xml:space="preserve">Note that in ISCO-88 some product testers were classified</t>
  </si>
  <si>
    <t xml:space="preserve">7544</t>
  </si>
  <si>
    <t xml:space="preserve">Fumigators and Other Pest and Weed Controllers</t>
  </si>
  <si>
    <t xml:space="preserve">Lens polishers, grinders,</t>
  </si>
  <si>
    <t xml:space="preserve">7549</t>
  </si>
  <si>
    <t xml:space="preserve">Craft and Related Workers not Elsewhere Classified</t>
  </si>
  <si>
    <t xml:space="preserve">moulders and slicers - perception these are not</t>
  </si>
  <si>
    <t xml:space="preserve">Miners and Quarriers</t>
  </si>
  <si>
    <t xml:space="preserve">8112</t>
  </si>
  <si>
    <t xml:space="preserve">Mineral-ore- and stone-processing-plant</t>
  </si>
  <si>
    <t xml:space="preserve">8113</t>
  </si>
  <si>
    <t xml:space="preserve">Well Drillers and Borers and Related Workers</t>
  </si>
  <si>
    <t xml:space="preserve">Well drillers and borers and related workers</t>
  </si>
  <si>
    <t xml:space="preserve">8114</t>
  </si>
  <si>
    <t xml:space="preserve">Cement, Stone and Other Mineral Products Machine Operators</t>
  </si>
  <si>
    <t xml:space="preserve">8212</t>
  </si>
  <si>
    <t xml:space="preserve">Cement and other mineral products machine operators</t>
  </si>
  <si>
    <t xml:space="preserve">Metal Processing Plant Operators</t>
  </si>
  <si>
    <t xml:space="preserve">Metal Finishing, Plating and Coating Machine Operators</t>
  </si>
  <si>
    <t xml:space="preserve">8131</t>
  </si>
  <si>
    <t xml:space="preserve">Chemical Products Plant and Machine Operators</t>
  </si>
  <si>
    <t xml:space="preserve">8151</t>
  </si>
  <si>
    <t xml:space="preserve">Crushing-, grinding- and chemical-mixing machinery operators</t>
  </si>
  <si>
    <t xml:space="preserve">Operators of compounders, stills, distillers and other</t>
  </si>
  <si>
    <t xml:space="preserve">8132</t>
  </si>
  <si>
    <t xml:space="preserve">Photographic Products Machine Operators</t>
  </si>
  <si>
    <t xml:space="preserve">7344</t>
  </si>
  <si>
    <t xml:space="preserve">Photographic and related workers</t>
  </si>
  <si>
    <t xml:space="preserve">8141</t>
  </si>
  <si>
    <t xml:space="preserve">Rubber Products Machine Operators</t>
  </si>
  <si>
    <t xml:space="preserve">Plastic Products Machine Operators</t>
  </si>
  <si>
    <t xml:space="preserve">Paper Products Machine Operators</t>
  </si>
  <si>
    <t xml:space="preserve">Fibre Preparing, Spinning and Winding Machine Operators</t>
  </si>
  <si>
    <t xml:space="preserve">Weaving and Knitting Machine Operators</t>
  </si>
  <si>
    <t xml:space="preserve">Weaving and knitting machine</t>
  </si>
  <si>
    <t xml:space="preserve">Sewing Machine Operators</t>
  </si>
  <si>
    <t xml:space="preserve">Bleaching, Dyeing and Fabric Cleaning Machine Operators</t>
  </si>
  <si>
    <t xml:space="preserve">Fur and Leather Preparing Machine Operators</t>
  </si>
  <si>
    <t xml:space="preserve">8156</t>
  </si>
  <si>
    <t xml:space="preserve">Shoemaking and Related Machine Operators</t>
  </si>
  <si>
    <t xml:space="preserve">8157</t>
  </si>
  <si>
    <t xml:space="preserve">Laundry Machine Operators</t>
  </si>
  <si>
    <t xml:space="preserve">Textile, Fur and Leather Products Machine Operators Not Elsewhere Classified</t>
  </si>
  <si>
    <t xml:space="preserve">8160</t>
  </si>
  <si>
    <t xml:space="preserve">Pulp and Papermaking Plant Operators</t>
  </si>
  <si>
    <t xml:space="preserve">Wood Processing Plant Operators</t>
  </si>
  <si>
    <t xml:space="preserve">Wood-processing-plant operators</t>
  </si>
  <si>
    <t xml:space="preserve">8181</t>
  </si>
  <si>
    <t xml:space="preserve">Glass and Ceramics Plant Operators</t>
  </si>
  <si>
    <t xml:space="preserve">Glass and ceramics kiln and related machine</t>
  </si>
  <si>
    <t xml:space="preserve">8139</t>
  </si>
  <si>
    <t xml:space="preserve">Glass, ceramics and related plant operators not elsewhere classified</t>
  </si>
  <si>
    <t xml:space="preserve">8182</t>
  </si>
  <si>
    <t xml:space="preserve">Steam Engine and Boiler Operators</t>
  </si>
  <si>
    <t xml:space="preserve">8162</t>
  </si>
  <si>
    <t xml:space="preserve">Steam-engine and boiler operators</t>
  </si>
  <si>
    <t xml:space="preserve">8183</t>
  </si>
  <si>
    <t xml:space="preserve">Packing, Bottling and Labelling Machine Operators</t>
  </si>
  <si>
    <t xml:space="preserve">8189</t>
  </si>
  <si>
    <t xml:space="preserve">not elsewhere classified</t>
  </si>
  <si>
    <t xml:space="preserve">Mechanical Machinery Assemblers</t>
  </si>
  <si>
    <t xml:space="preserve">Electrical and Electronic Equipment Assemblers</t>
  </si>
  <si>
    <t xml:space="preserve">8219</t>
  </si>
  <si>
    <t xml:space="preserve">Assemblers Not Elsewhere Classified</t>
  </si>
  <si>
    <t xml:space="preserve">8311</t>
  </si>
  <si>
    <t xml:space="preserve">Locomotive Engine Drivers</t>
  </si>
  <si>
    <t xml:space="preserve">Locomotive-engine drivers</t>
  </si>
  <si>
    <t xml:space="preserve">8312</t>
  </si>
  <si>
    <t xml:space="preserve">Railway Brake, Signal and Switch Operators</t>
  </si>
  <si>
    <t xml:space="preserve">Railway brakers, signallers and shunters</t>
  </si>
  <si>
    <t xml:space="preserve">8321</t>
  </si>
  <si>
    <t xml:space="preserve">Motorcycle Drivers</t>
  </si>
  <si>
    <t xml:space="preserve">Motor-cycle drivers</t>
  </si>
  <si>
    <t xml:space="preserve">8322</t>
  </si>
  <si>
    <t xml:space="preserve">Car, Taxi and Van Drivers</t>
  </si>
  <si>
    <t xml:space="preserve">Car, taxi and van drivers</t>
  </si>
  <si>
    <t xml:space="preserve">8331</t>
  </si>
  <si>
    <t xml:space="preserve">Bus and Tram Drivers</t>
  </si>
  <si>
    <t xml:space="preserve">8323</t>
  </si>
  <si>
    <t xml:space="preserve">Bus and tram drivers</t>
  </si>
  <si>
    <t xml:space="preserve">8332</t>
  </si>
  <si>
    <t xml:space="preserve">Heavy Truck and Lorry Drivers</t>
  </si>
  <si>
    <t xml:space="preserve">8324</t>
  </si>
  <si>
    <t xml:space="preserve">Heavy truck and lorry drivers</t>
  </si>
  <si>
    <t xml:space="preserve">8341</t>
  </si>
  <si>
    <t xml:space="preserve">Mobile Farm and Forestry Plant Operators</t>
  </si>
  <si>
    <t xml:space="preserve">Motorised farm and forestry plant operators</t>
  </si>
  <si>
    <t xml:space="preserve">8342</t>
  </si>
  <si>
    <t xml:space="preserve">Earthmoving and Related Plant Operators</t>
  </si>
  <si>
    <t xml:space="preserve">Earth-moving- and related plant operators</t>
  </si>
  <si>
    <t xml:space="preserve">8343</t>
  </si>
  <si>
    <t xml:space="preserve">Crane, hoist and related plant operators</t>
  </si>
  <si>
    <t xml:space="preserve">8333</t>
  </si>
  <si>
    <t xml:space="preserve">8344</t>
  </si>
  <si>
    <t xml:space="preserve">Lifting Truck Operators</t>
  </si>
  <si>
    <t xml:space="preserve">8334</t>
  </si>
  <si>
    <t xml:space="preserve">Lifting-truck operators</t>
  </si>
  <si>
    <t xml:space="preserve">8350</t>
  </si>
  <si>
    <t xml:space="preserve">Ships' Deck Crews and Related Workers</t>
  </si>
  <si>
    <t xml:space="preserve">8340</t>
  </si>
  <si>
    <t xml:space="preserve">Ships' deck crews and related workers</t>
  </si>
  <si>
    <t xml:space="preserve">Domestic Cleaners and Helpers</t>
  </si>
  <si>
    <t xml:space="preserve">9131</t>
  </si>
  <si>
    <t xml:space="preserve">Domestic helpers and cleaners</t>
  </si>
  <si>
    <t xml:space="preserve">9112</t>
  </si>
  <si>
    <t xml:space="preserve">Cleaners and Helpers in Offices, Hotels and Other Establishments</t>
  </si>
  <si>
    <t xml:space="preserve">9132</t>
  </si>
  <si>
    <t xml:space="preserve">Helpers and cleaners in offices, hotels and other establishments</t>
  </si>
  <si>
    <t xml:space="preserve">9121</t>
  </si>
  <si>
    <t xml:space="preserve">Hand Launderers and Pressers</t>
  </si>
  <si>
    <t xml:space="preserve">9133</t>
  </si>
  <si>
    <t xml:space="preserve">Hand-launderers and pressers</t>
  </si>
  <si>
    <t xml:space="preserve">9122</t>
  </si>
  <si>
    <t xml:space="preserve">Vehicle Cleaners</t>
  </si>
  <si>
    <t xml:space="preserve">9142</t>
  </si>
  <si>
    <t xml:space="preserve">Vehicle, window and related cleaners</t>
  </si>
  <si>
    <t xml:space="preserve">9123</t>
  </si>
  <si>
    <t xml:space="preserve">Window Cleaners</t>
  </si>
  <si>
    <t xml:space="preserve">9129</t>
  </si>
  <si>
    <t xml:space="preserve">Other Cleaning Workers</t>
  </si>
  <si>
    <t xml:space="preserve">9211</t>
  </si>
  <si>
    <t xml:space="preserve">Crop Farm Labourers</t>
  </si>
  <si>
    <t xml:space="preserve">Farm-hands and labourers</t>
  </si>
  <si>
    <t xml:space="preserve">9212</t>
  </si>
  <si>
    <t xml:space="preserve">Livestock Farm Labourers</t>
  </si>
  <si>
    <t xml:space="preserve">9213</t>
  </si>
  <si>
    <t xml:space="preserve">Mixed Crop and Livestock Farm Labourers</t>
  </si>
  <si>
    <t xml:space="preserve">9214</t>
  </si>
  <si>
    <t xml:space="preserve">Garden and Horticultural Labourers</t>
  </si>
  <si>
    <t xml:space="preserve">Although garden labourers should logically be classified in ISCO-88 Unit group 9221, they were not specifically mentioned in the definition or</t>
  </si>
  <si>
    <t xml:space="preserve">9215</t>
  </si>
  <si>
    <t xml:space="preserve">Forestry Labourers</t>
  </si>
  <si>
    <t xml:space="preserve">Forestry labourers</t>
  </si>
  <si>
    <t xml:space="preserve">9216</t>
  </si>
  <si>
    <t xml:space="preserve">Fishery and Aquaculture Labourers</t>
  </si>
  <si>
    <t xml:space="preserve">Fishery, hunting and trapping labourers</t>
  </si>
  <si>
    <t xml:space="preserve">9311</t>
  </si>
  <si>
    <t xml:space="preserve">Mining and Quarrying Labourers</t>
  </si>
  <si>
    <t xml:space="preserve">Mining and quarrying labourers</t>
  </si>
  <si>
    <t xml:space="preserve">9312</t>
  </si>
  <si>
    <t xml:space="preserve">Civil Engineering Labourers</t>
  </si>
  <si>
    <t xml:space="preserve">Construction and maintenance labourers: roads, dams and similar constructions</t>
  </si>
  <si>
    <t xml:space="preserve">9313</t>
  </si>
  <si>
    <t xml:space="preserve">Building Construction Labourers</t>
  </si>
  <si>
    <t xml:space="preserve">Building construction labourers</t>
  </si>
  <si>
    <t xml:space="preserve">9321</t>
  </si>
  <si>
    <t xml:space="preserve">Hand Packers</t>
  </si>
  <si>
    <t xml:space="preserve">9322</t>
  </si>
  <si>
    <t xml:space="preserve">Hand packers and other manufacturing labourers</t>
  </si>
  <si>
    <t xml:space="preserve">9329</t>
  </si>
  <si>
    <t xml:space="preserve">Manufacturing Labourers Not Elsewhere Classified</t>
  </si>
  <si>
    <t xml:space="preserve">Assembling labourers</t>
  </si>
  <si>
    <t xml:space="preserve">9331</t>
  </si>
  <si>
    <t xml:space="preserve">Hand and Pedal Vehicle Drivers</t>
  </si>
  <si>
    <t xml:space="preserve">Hand or pedal vehicle drivers</t>
  </si>
  <si>
    <t xml:space="preserve">9332</t>
  </si>
  <si>
    <t xml:space="preserve">Drivers of Animal-drawn Vehicles and Machinery</t>
  </si>
  <si>
    <t xml:space="preserve">Drivers of animal-drawn vehicles and machinery</t>
  </si>
  <si>
    <t xml:space="preserve">9333</t>
  </si>
  <si>
    <t xml:space="preserve">Freight Handlers</t>
  </si>
  <si>
    <t xml:space="preserve">Freight handlers</t>
  </si>
  <si>
    <t xml:space="preserve">9334</t>
  </si>
  <si>
    <t xml:space="preserve">Shelf Fillers</t>
  </si>
  <si>
    <t xml:space="preserve">9411</t>
  </si>
  <si>
    <t xml:space="preserve">Fast Food Preparers</t>
  </si>
  <si>
    <t xml:space="preserve">9412</t>
  </si>
  <si>
    <t xml:space="preserve">Kitchen Helpers</t>
  </si>
  <si>
    <t xml:space="preserve">9510</t>
  </si>
  <si>
    <t xml:space="preserve">Street and Related Service Workers</t>
  </si>
  <si>
    <t xml:space="preserve">9120</t>
  </si>
  <si>
    <t xml:space="preserve">Shoe cleaning and other street services elementary occupations</t>
  </si>
  <si>
    <t xml:space="preserve">9520</t>
  </si>
  <si>
    <t xml:space="preserve">Street Vendors (excluding Food)</t>
  </si>
  <si>
    <t xml:space="preserve">Street vendors, non-food products</t>
  </si>
  <si>
    <t xml:space="preserve">9611</t>
  </si>
  <si>
    <t xml:space="preserve">Garbage and Recycling Collectors</t>
  </si>
  <si>
    <t xml:space="preserve">9161</t>
  </si>
  <si>
    <t xml:space="preserve">Garbage collectors</t>
  </si>
  <si>
    <t xml:space="preserve">9612</t>
  </si>
  <si>
    <t xml:space="preserve">Refuse Sorters</t>
  </si>
  <si>
    <t xml:space="preserve">Bottle sorters</t>
  </si>
  <si>
    <t xml:space="preserve">9613</t>
  </si>
  <si>
    <t xml:space="preserve">Sweepers and Related Labourers</t>
  </si>
  <si>
    <t xml:space="preserve">9162</t>
  </si>
  <si>
    <t xml:space="preserve">Sweepers and related labourers</t>
  </si>
  <si>
    <t xml:space="preserve">9621</t>
  </si>
  <si>
    <t xml:space="preserve">Messengers, Package Deliverers and Luggage Porters</t>
  </si>
  <si>
    <t xml:space="preserve">9151</t>
  </si>
  <si>
    <t xml:space="preserve">Messengers, package and luggage porters and</t>
  </si>
  <si>
    <t xml:space="preserve">Hotel porters</t>
  </si>
  <si>
    <t xml:space="preserve">9622</t>
  </si>
  <si>
    <t xml:space="preserve">Odd Job Persons</t>
  </si>
  <si>
    <t xml:space="preserve">9623</t>
  </si>
  <si>
    <t xml:space="preserve">Meter Readers and Vending-machine Collectors</t>
  </si>
  <si>
    <t xml:space="preserve">9153</t>
  </si>
  <si>
    <t xml:space="preserve">Vending-machine money collectors, meter readers and related workers</t>
  </si>
  <si>
    <t xml:space="preserve">9624</t>
  </si>
  <si>
    <t xml:space="preserve">Water and Firewood Collectors</t>
  </si>
  <si>
    <t xml:space="preserve">9629</t>
  </si>
  <si>
    <t xml:space="preserve">Elementary Workers Not Elsewhere Classified</t>
  </si>
  <si>
    <t xml:space="preserve">0110</t>
  </si>
  <si>
    <t xml:space="preserve">Armed forces</t>
  </si>
  <si>
    <t xml:space="preserve">0210</t>
  </si>
  <si>
    <t xml:space="preserve">0310</t>
  </si>
  <si>
    <t xml:space="preserve">Sources: ILO, Correspondence table ISCO-08 to ISCO-88 (wcms_306833.pdf, provided by the user); scores and gradients from ILO WP140 (Gmyrek et al. 2025) Table A1. ISCO-88 titles were read from the PDF, which clips some long titles. Blue = input values.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</si>
</sst>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"/>
    <numFmt numFmtId="167" formatCode="0%"/>
    <numFmt numFmtId="168" formatCode="#,##0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3" t="s">
        <v>1</v>
      </c>
      <c r="B3" s="2"/>
      <c r="C3" s="2"/>
    </row>
    <row r="4" customFormat="false" ht="15" hidden="false" customHeight="false" outlineLevel="0" collapsed="false">
      <c r="A4" s="2" t="s">
        <v>2</v>
      </c>
      <c r="B4" s="4" t="n">
        <v>0.05</v>
      </c>
      <c r="C4" s="2" t="s">
        <v>3</v>
      </c>
    </row>
    <row r="5" customFormat="false" ht="15" hidden="false" customHeight="false" outlineLevel="0" collapsed="false">
      <c r="A5" s="2"/>
      <c r="B5" s="2"/>
      <c r="C5" s="2"/>
    </row>
    <row r="6" customFormat="false" ht="15" hidden="false" customHeight="false" outlineLevel="0" collapsed="false">
      <c r="A6" s="3" t="s">
        <v>4</v>
      </c>
      <c r="B6" s="2"/>
      <c r="C6" s="2"/>
    </row>
    <row r="7" customFormat="false" ht="15" hidden="false" customHeight="false" outlineLevel="0" collapsed="false">
      <c r="A7" s="5" t="s">
        <v>5</v>
      </c>
      <c r="B7" s="6" t="n">
        <f aca="false">COUNTA(Comparison!A2:A120)</f>
        <v>119</v>
      </c>
      <c r="C7" s="2"/>
    </row>
    <row r="8" customFormat="false" ht="15" hidden="false" customHeight="false" outlineLevel="0" collapsed="false">
      <c r="A8" s="5" t="s">
        <v>6</v>
      </c>
      <c r="B8" s="6" t="n">
        <f aca="false">COUNT(Comparison!J2:J120)</f>
        <v>111</v>
      </c>
      <c r="C8" s="2"/>
    </row>
    <row r="9" customFormat="false" ht="15" hidden="false" customHeight="false" outlineLevel="0" collapsed="false">
      <c r="A9" s="5" t="s">
        <v>7</v>
      </c>
      <c r="B9" s="6" t="n">
        <f aca="false">COUNT(Comparison!K2:K120)</f>
        <v>115</v>
      </c>
      <c r="C9" s="2"/>
    </row>
    <row r="10" customFormat="false" ht="15" hidden="false" customHeight="false" outlineLevel="0" collapsed="false">
      <c r="A10" s="5" t="s">
        <v>8</v>
      </c>
      <c r="B10" s="6" t="n">
        <f aca="false">COUNT(Comparison!L2:L120)</f>
        <v>108</v>
      </c>
      <c r="C10" s="2"/>
    </row>
    <row r="11" customFormat="false" ht="15" hidden="false" customHeight="false" outlineLevel="0" collapsed="false">
      <c r="A11" s="5" t="s">
        <v>9</v>
      </c>
      <c r="B11" s="6" t="n">
        <f aca="false">COUNTIF(Comparison!N2:N120,"DGE only")</f>
        <v>3</v>
      </c>
      <c r="C11" s="2"/>
    </row>
    <row r="12" customFormat="false" ht="15" hidden="false" customHeight="false" outlineLevel="0" collapsed="false">
      <c r="A12" s="5" t="s">
        <v>10</v>
      </c>
      <c r="B12" s="6" t="n">
        <f aca="false">COUNTIF(Comparison!N2:N120,"ILO only")</f>
        <v>7</v>
      </c>
      <c r="C12" s="2"/>
    </row>
    <row r="13" customFormat="false" ht="15" hidden="false" customHeight="false" outlineLevel="0" collapsed="false">
      <c r="A13" s="3" t="s">
        <v>11</v>
      </c>
      <c r="B13" s="2"/>
      <c r="C13" s="2"/>
    </row>
    <row r="14" customFormat="false" ht="15" hidden="false" customHeight="false" outlineLevel="0" collapsed="false">
      <c r="A14" s="5" t="s">
        <v>12</v>
      </c>
      <c r="B14" s="7" t="n">
        <f aca="false">CORREL(Comparison!J2:J120,Comparison!K2:K120)</f>
        <v>0.935155292962302</v>
      </c>
      <c r="C14" s="2"/>
    </row>
    <row r="15" customFormat="false" ht="15" hidden="false" customHeight="false" outlineLevel="0" collapsed="false">
      <c r="A15" s="5" t="s">
        <v>13</v>
      </c>
      <c r="B15" s="7" t="n">
        <f aca="false">AVERAGE(Comparison!M2:M120)</f>
        <v>0.0273247400656294</v>
      </c>
      <c r="C15" s="2"/>
    </row>
    <row r="16" customFormat="false" ht="15" hidden="false" customHeight="false" outlineLevel="0" collapsed="false">
      <c r="A16" s="5" t="s">
        <v>14</v>
      </c>
      <c r="B16" s="7" t="n">
        <f aca="false">MAX(Comparison!M2:M120)</f>
        <v>0.22</v>
      </c>
      <c r="C16" s="2"/>
    </row>
    <row r="17" customFormat="false" ht="15" hidden="false" customHeight="false" outlineLevel="0" collapsed="false">
      <c r="A17" s="5" t="s">
        <v>15</v>
      </c>
      <c r="B17" s="6" t="n">
        <f aca="false">COUNTIF(Comparison!N2:N120,"Agree")</f>
        <v>89</v>
      </c>
      <c r="C17" s="2"/>
    </row>
    <row r="18" customFormat="false" ht="15" hidden="false" customHeight="false" outlineLevel="0" collapsed="false">
      <c r="A18" s="5" t="s">
        <v>16</v>
      </c>
      <c r="B18" s="6" t="n">
        <f aca="false">COUNTIF(Comparison!N2:N120,"Check")</f>
        <v>19</v>
      </c>
      <c r="C18" s="2"/>
    </row>
    <row r="19" customFormat="false" ht="15" hidden="false" customHeight="false" outlineLevel="0" collapsed="false">
      <c r="A19" s="5" t="s">
        <v>17</v>
      </c>
      <c r="B19" s="8" t="n">
        <f aca="false">IFERROR(B17/B9,0)</f>
        <v>0.773913043478261</v>
      </c>
      <c r="C19" s="2"/>
    </row>
    <row r="20" customFormat="false" ht="15" hidden="false" customHeight="false" outlineLevel="0" collapsed="false">
      <c r="A20" s="3" t="s">
        <v>18</v>
      </c>
      <c r="B20" s="2"/>
      <c r="C20" s="2"/>
    </row>
    <row r="21" customFormat="false" ht="15" hidden="false" customHeight="false" outlineLevel="0" collapsed="false">
      <c r="A21" s="5" t="s">
        <v>19</v>
      </c>
      <c r="B21" s="9" t="n">
        <f aca="false">COUNTIF('DGE links'!F2:F3451,"?*")</f>
        <v>2688</v>
      </c>
      <c r="C21" s="2"/>
    </row>
    <row r="22" customFormat="false" ht="15" hidden="false" customHeight="false" outlineLevel="0" collapsed="false">
      <c r="A22" s="5" t="s">
        <v>20</v>
      </c>
      <c r="B22" s="9" t="n">
        <f aca="false">COUNTIF('DGE links'!G2:G3451,"Yes")</f>
        <v>581</v>
      </c>
      <c r="C22" s="2"/>
    </row>
    <row r="23" customFormat="false" ht="15" hidden="false" customHeight="false" outlineLevel="0" collapsed="false">
      <c r="A23" s="5" t="s">
        <v>21</v>
      </c>
      <c r="B23" s="8" t="n">
        <f aca="false">IFERROR(B22/B21,0)</f>
        <v>0.216145833333333</v>
      </c>
      <c r="C23" s="2"/>
    </row>
    <row r="24" customFormat="false" ht="15" hidden="false" customHeight="false" outlineLevel="0" collapsed="false">
      <c r="A24" s="2"/>
      <c r="B24" s="2"/>
      <c r="C24" s="2"/>
    </row>
    <row r="25" customFormat="false" ht="15" hidden="false" customHeight="false" outlineLevel="0" collapsed="false">
      <c r="A25" s="3" t="s">
        <v>22</v>
      </c>
      <c r="B25" s="2"/>
      <c r="C25" s="2"/>
    </row>
    <row r="26" customFormat="false" ht="42" hidden="false" customHeight="true" outlineLevel="0" collapsed="false">
      <c r="A26" s="10" t="s">
        <v>23</v>
      </c>
      <c r="B26" s="10"/>
      <c r="C26" s="10"/>
    </row>
    <row r="27" customFormat="false" ht="42" hidden="false" customHeight="true" outlineLevel="0" collapsed="false">
      <c r="A27" s="10" t="s">
        <v>24</v>
      </c>
      <c r="B27" s="10"/>
      <c r="C27" s="10"/>
    </row>
    <row r="28" customFormat="false" ht="42" hidden="false" customHeight="true" outlineLevel="0" collapsed="false">
      <c r="A28" s="10" t="s">
        <v>25</v>
      </c>
      <c r="B28" s="10"/>
      <c r="C28" s="10"/>
    </row>
    <row r="29" customFormat="false" ht="42" hidden="false" customHeight="true" outlineLevel="0" collapsed="false">
      <c r="A29" s="10" t="s">
        <v>26</v>
      </c>
      <c r="B29" s="10"/>
      <c r="C29" s="10"/>
    </row>
  </sheetData>
  <mergeCells count="4">
    <mergeCell ref="A26:C26"/>
    <mergeCell ref="A27:C27"/>
    <mergeCell ref="A28:C28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5" min="4" style="0" width="2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3" min="10" style="0" width="11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13"/>
  </cols>
  <sheetData>
    <row r="1" customFormat="false" ht="42" hidden="false" customHeight="true" outlineLevel="0" collapsed="false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  <c r="H1" s="11" t="s">
        <v>34</v>
      </c>
      <c r="I1" s="11" t="s">
        <v>35</v>
      </c>
      <c r="J1" s="11" t="s">
        <v>36</v>
      </c>
      <c r="K1" s="11" t="s">
        <v>37</v>
      </c>
      <c r="L1" s="11" t="s">
        <v>38</v>
      </c>
      <c r="M1" s="11" t="s">
        <v>39</v>
      </c>
      <c r="N1" s="11" t="s">
        <v>40</v>
      </c>
      <c r="O1" s="11" t="s">
        <v>41</v>
      </c>
      <c r="P1" s="11" t="s">
        <v>42</v>
      </c>
    </row>
    <row r="2" customFormat="false" ht="15" hidden="false" customHeight="false" outlineLevel="0" collapsed="false">
      <c r="A2" s="2" t="s">
        <v>43</v>
      </c>
      <c r="B2" s="2"/>
      <c r="C2" s="2"/>
      <c r="D2" s="2"/>
      <c r="E2" s="2" t="s">
        <v>44</v>
      </c>
      <c r="F2" s="2"/>
      <c r="G2" s="12"/>
      <c r="H2" s="13" t="n">
        <f aca="false">SUMPRODUCT(('DGE links'!$F$2:$F$3451=A2)*1)</f>
        <v>0</v>
      </c>
      <c r="I2" s="13" t="n">
        <f aca="false">SUMPRODUCT(('ILO links'!$G$2:$G$674=A2)*'ILO links'!$J$2:$J$674)</f>
        <v>3</v>
      </c>
      <c r="J2" s="7" t="str">
        <f aca="false">IFERROR(SUMPRODUCT(('DGE links'!$F$2:$F$3451=A2)*'DGE links'!$H$2:$H$3451*'DGE links'!$I$2:$I$3451*'DGE links'!$J$2:$J$3451)/SUMPRODUCT(('DGE links'!$F$2:$F$3451=A2)*'DGE links'!$H$2:$H$3451*'DGE links'!$J$2:$J$3451),"")</f>
        <v/>
      </c>
      <c r="K2" s="7" t="str">
        <f aca="false">IFERROR(AVERAGEIFS('ILO links'!$H$2:$H$674,'ILO links'!$G$2:$G$674,A2,'ILO links'!$J$2:$J$674,1),"")</f>
        <v/>
      </c>
      <c r="L2" s="14" t="str">
        <f aca="false">IF(AND(ISNUMBER(J2),ISNUMBER(K2)),J2-K2,"")</f>
        <v/>
      </c>
      <c r="M2" s="14" t="str">
        <f aca="false">IF(ISNUMBER(L2),ABS(L2),"")</f>
        <v/>
      </c>
      <c r="N2" s="2" t="str">
        <f aca="false">IF(ISNUMBER(M2),IF(M2&lt;=Summary!$B$4,"Agree","Check"),IF(ISNUMBER(J2),"DGE only",IF(ISNUMBER(K2),"ILO only","Not scored")))</f>
        <v>Not scored</v>
      </c>
      <c r="O2" s="14" t="str">
        <f aca="false">IF(ISNUMBER(J2),J2,IF(ISNUMBER(K2),K2,""))</f>
        <v/>
      </c>
      <c r="P2" s="2" t="str">
        <f aca="false">IF(ISNUMBER(J2),"DGE",IF(ISNUMBER(K2),"ILO table",""))</f>
        <v/>
      </c>
    </row>
    <row r="3" customFormat="false" ht="15" hidden="false" customHeight="false" outlineLevel="0" collapsed="false">
      <c r="A3" s="2" t="s">
        <v>45</v>
      </c>
      <c r="B3" s="2" t="s">
        <v>45</v>
      </c>
      <c r="C3" s="2" t="s">
        <v>46</v>
      </c>
      <c r="D3" s="2" t="s">
        <v>45</v>
      </c>
      <c r="E3" s="2" t="s">
        <v>45</v>
      </c>
      <c r="F3" s="2" t="s">
        <v>45</v>
      </c>
      <c r="G3" s="12" t="n">
        <v>1</v>
      </c>
      <c r="H3" s="13" t="n">
        <f aca="false">SUMPRODUCT(('DGE links'!$F$2:$F$3451=A3)*1)</f>
        <v>4</v>
      </c>
      <c r="I3" s="13" t="n">
        <f aca="false">SUMPRODUCT(('ILO links'!$G$2:$G$674=A3)*'ILO links'!$J$2:$J$674)</f>
        <v>1</v>
      </c>
      <c r="J3" s="7" t="n">
        <f aca="false">IFERROR(SUMPRODUCT(('DGE links'!$F$2:$F$3451=A3)*'DGE links'!$H$2:$H$3451*'DGE links'!$I$2:$I$3451*'DGE links'!$J$2:$J$3451)/SUMPRODUCT(('DGE links'!$F$2:$F$3451=A3)*'DGE links'!$H$2:$H$3451*'DGE links'!$J$2:$J$3451),"")</f>
        <v>0.3225</v>
      </c>
      <c r="K3" s="7" t="n">
        <f aca="false">IFERROR(AVERAGEIFS('ILO links'!$H$2:$H$674,'ILO links'!$G$2:$G$674,A3,'ILO links'!$J$2:$J$674,1),"")</f>
        <v>0.31</v>
      </c>
      <c r="L3" s="14" t="n">
        <f aca="false">IF(AND(ISNUMBER(J3),ISNUMBER(K3)),J3-K3,"")</f>
        <v>0.0125</v>
      </c>
      <c r="M3" s="14" t="n">
        <f aca="false">IF(ISNUMBER(L3),ABS(L3),"")</f>
        <v>0.0125</v>
      </c>
      <c r="N3" s="2" t="str">
        <f aca="false">IF(ISNUMBER(M3),IF(M3&lt;=Summary!$B$4,"Agree","Check"),IF(ISNUMBER(J3),"DGE only",IF(ISNUMBER(K3),"ILO only","Not scored")))</f>
        <v>Agree</v>
      </c>
      <c r="O3" s="14" t="n">
        <f aca="false">IF(ISNUMBER(J3),J3,IF(ISNUMBER(K3),K3,""))</f>
        <v>0.3225</v>
      </c>
      <c r="P3" s="2" t="str">
        <f aca="false">IF(ISNUMBER(J3),"DGE",IF(ISNUMBER(K3),"ILO table",""))</f>
        <v>DGE</v>
      </c>
    </row>
    <row r="4" customFormat="false" ht="15" hidden="false" customHeight="false" outlineLevel="0" collapsed="false">
      <c r="A4" s="2" t="s">
        <v>47</v>
      </c>
      <c r="B4" s="2" t="s">
        <v>45</v>
      </c>
      <c r="C4" s="2" t="s">
        <v>46</v>
      </c>
      <c r="D4" s="2" t="s">
        <v>45</v>
      </c>
      <c r="E4" s="2" t="s">
        <v>45</v>
      </c>
      <c r="F4" s="2" t="s">
        <v>45</v>
      </c>
      <c r="G4" s="12" t="n">
        <v>1</v>
      </c>
      <c r="H4" s="13" t="n">
        <f aca="false">SUMPRODUCT(('DGE links'!$F$2:$F$3451=A4)*1)</f>
        <v>9</v>
      </c>
      <c r="I4" s="13" t="n">
        <f aca="false">SUMPRODUCT(('ILO links'!$G$2:$G$674=A4)*'ILO links'!$J$2:$J$674)</f>
        <v>1</v>
      </c>
      <c r="J4" s="7" t="n">
        <f aca="false">IFERROR(SUMPRODUCT(('DGE links'!$F$2:$F$3451=A4)*'DGE links'!$H$2:$H$3451*'DGE links'!$I$2:$I$3451*'DGE links'!$J$2:$J$3451)/SUMPRODUCT(('DGE links'!$F$2:$F$3451=A4)*'DGE links'!$H$2:$H$3451*'DGE links'!$J$2:$J$3451),"")</f>
        <v>0.3225</v>
      </c>
      <c r="K4" s="7" t="n">
        <f aca="false">IFERROR(AVERAGEIFS('ILO links'!$H$2:$H$674,'ILO links'!$G$2:$G$674,A4,'ILO links'!$J$2:$J$674,1),"")</f>
        <v>0.38</v>
      </c>
      <c r="L4" s="14" t="n">
        <f aca="false">IF(AND(ISNUMBER(J4),ISNUMBER(K4)),J4-K4,"")</f>
        <v>-0.0575</v>
      </c>
      <c r="M4" s="14" t="n">
        <f aca="false">IF(ISNUMBER(L4),ABS(L4),"")</f>
        <v>0.0575</v>
      </c>
      <c r="N4" s="2" t="str">
        <f aca="false">IF(ISNUMBER(M4),IF(M4&lt;=Summary!$B$4,"Agree","Check"),IF(ISNUMBER(J4),"DGE only",IF(ISNUMBER(K4),"ILO only","Not scored")))</f>
        <v>Check</v>
      </c>
      <c r="O4" s="14" t="n">
        <f aca="false">IF(ISNUMBER(J4),J4,IF(ISNUMBER(K4),K4,""))</f>
        <v>0.3225</v>
      </c>
      <c r="P4" s="2" t="str">
        <f aca="false">IF(ISNUMBER(J4),"DGE",IF(ISNUMBER(K4),"ILO table",""))</f>
        <v>DGE</v>
      </c>
    </row>
    <row r="5" customFormat="false" ht="15" hidden="false" customHeight="false" outlineLevel="0" collapsed="false">
      <c r="A5" s="2" t="s">
        <v>48</v>
      </c>
      <c r="B5" s="2"/>
      <c r="C5" s="2"/>
      <c r="D5" s="2"/>
      <c r="E5" s="2" t="s">
        <v>45</v>
      </c>
      <c r="F5" s="2"/>
      <c r="G5" s="12"/>
      <c r="H5" s="13" t="n">
        <f aca="false">SUMPRODUCT(('DGE links'!$F$2:$F$3451=A5)*1)</f>
        <v>0</v>
      </c>
      <c r="I5" s="13" t="n">
        <f aca="false">SUMPRODUCT(('ILO links'!$G$2:$G$674=A5)*'ILO links'!$J$2:$J$674)</f>
        <v>1</v>
      </c>
      <c r="J5" s="7" t="str">
        <f aca="false">IFERROR(SUMPRODUCT(('DGE links'!$F$2:$F$3451=A5)*'DGE links'!$H$2:$H$3451*'DGE links'!$I$2:$I$3451*'DGE links'!$J$2:$J$3451)/SUMPRODUCT(('DGE links'!$F$2:$F$3451=A5)*'DGE links'!$H$2:$H$3451*'DGE links'!$J$2:$J$3451),"")</f>
        <v/>
      </c>
      <c r="K5" s="7" t="n">
        <f aca="false">IFERROR(AVERAGEIFS('ILO links'!$H$2:$H$674,'ILO links'!$G$2:$G$674,A5,'ILO links'!$J$2:$J$674,1),"")</f>
        <v>0.23</v>
      </c>
      <c r="L5" s="14" t="str">
        <f aca="false">IF(AND(ISNUMBER(J5),ISNUMBER(K5)),J5-K5,"")</f>
        <v/>
      </c>
      <c r="M5" s="14" t="str">
        <f aca="false">IF(ISNUMBER(L5),ABS(L5),"")</f>
        <v/>
      </c>
      <c r="N5" s="2" t="str">
        <f aca="false">IF(ISNUMBER(M5),IF(M5&lt;=Summary!$B$4,"Agree","Check"),IF(ISNUMBER(J5),"DGE only",IF(ISNUMBER(K5),"ILO only","Not scored")))</f>
        <v>ILO only</v>
      </c>
      <c r="O5" s="14" t="n">
        <f aca="false">IF(ISNUMBER(J5),J5,IF(ISNUMBER(K5),K5,""))</f>
        <v>0.23</v>
      </c>
      <c r="P5" s="2" t="str">
        <f aca="false">IF(ISNUMBER(J5),"DGE",IF(ISNUMBER(K5),"ILO table",""))</f>
        <v>ILO table</v>
      </c>
    </row>
    <row r="6" customFormat="false" ht="15" hidden="false" customHeight="false" outlineLevel="0" collapsed="false">
      <c r="A6" s="2" t="s">
        <v>49</v>
      </c>
      <c r="B6" s="2" t="s">
        <v>45</v>
      </c>
      <c r="C6" s="2" t="s">
        <v>46</v>
      </c>
      <c r="D6" s="2" t="s">
        <v>45</v>
      </c>
      <c r="E6" s="2" t="s">
        <v>45</v>
      </c>
      <c r="F6" s="2" t="s">
        <v>45</v>
      </c>
      <c r="G6" s="12" t="n">
        <v>1</v>
      </c>
      <c r="H6" s="13" t="n">
        <f aca="false">SUMPRODUCT(('DGE links'!$F$2:$F$3451=A6)*1)</f>
        <v>4</v>
      </c>
      <c r="I6" s="13" t="n">
        <f aca="false">SUMPRODUCT(('ILO links'!$G$2:$G$674=A6)*'ILO links'!$J$2:$J$674)</f>
        <v>1</v>
      </c>
      <c r="J6" s="7" t="n">
        <f aca="false">IFERROR(SUMPRODUCT(('DGE links'!$F$2:$F$3451=A6)*'DGE links'!$H$2:$H$3451*'DGE links'!$I$2:$I$3451*'DGE links'!$J$2:$J$3451)/SUMPRODUCT(('DGE links'!$F$2:$F$3451=A6)*'DGE links'!$H$2:$H$3451*'DGE links'!$J$2:$J$3451),"")</f>
        <v>0.3225</v>
      </c>
      <c r="K6" s="7" t="n">
        <f aca="false">IFERROR(AVERAGEIFS('ILO links'!$H$2:$H$674,'ILO links'!$G$2:$G$674,A6,'ILO links'!$J$2:$J$674,1),"")</f>
        <v>0.37</v>
      </c>
      <c r="L6" s="14" t="n">
        <f aca="false">IF(AND(ISNUMBER(J6),ISNUMBER(K6)),J6-K6,"")</f>
        <v>-0.0475</v>
      </c>
      <c r="M6" s="14" t="n">
        <f aca="false">IF(ISNUMBER(L6),ABS(L6),"")</f>
        <v>0.0475</v>
      </c>
      <c r="N6" s="2" t="str">
        <f aca="false">IF(ISNUMBER(M6),IF(M6&lt;=Summary!$B$4,"Agree","Check"),IF(ISNUMBER(J6),"DGE only",IF(ISNUMBER(K6),"ILO only","Not scored")))</f>
        <v>Agree</v>
      </c>
      <c r="O6" s="14" t="n">
        <f aca="false">IF(ISNUMBER(J6),J6,IF(ISNUMBER(K6),K6,""))</f>
        <v>0.3225</v>
      </c>
      <c r="P6" s="2" t="str">
        <f aca="false">IF(ISNUMBER(J6),"DGE",IF(ISNUMBER(K6),"ILO table",""))</f>
        <v>DGE</v>
      </c>
    </row>
    <row r="7" customFormat="false" ht="15" hidden="false" customHeight="false" outlineLevel="0" collapsed="false">
      <c r="A7" s="2" t="s">
        <v>50</v>
      </c>
      <c r="B7" s="2" t="s">
        <v>47</v>
      </c>
      <c r="C7" s="2" t="s">
        <v>51</v>
      </c>
      <c r="D7" s="2" t="s">
        <v>47</v>
      </c>
      <c r="E7" s="2" t="s">
        <v>47</v>
      </c>
      <c r="F7" s="2" t="s">
        <v>47</v>
      </c>
      <c r="G7" s="12" t="n">
        <v>1</v>
      </c>
      <c r="H7" s="13" t="n">
        <f aca="false">SUMPRODUCT(('DGE links'!$F$2:$F$3451=A7)*1)</f>
        <v>40</v>
      </c>
      <c r="I7" s="13" t="n">
        <f aca="false">SUMPRODUCT(('ILO links'!$G$2:$G$674=A7)*'ILO links'!$J$2:$J$674)</f>
        <v>1</v>
      </c>
      <c r="J7" s="7" t="n">
        <f aca="false">IFERROR(SUMPRODUCT(('DGE links'!$F$2:$F$3451=A7)*'DGE links'!$H$2:$H$3451*'DGE links'!$I$2:$I$3451*'DGE links'!$J$2:$J$3451)/SUMPRODUCT(('DGE links'!$F$2:$F$3451=A7)*'DGE links'!$H$2:$H$3451*'DGE links'!$J$2:$J$3451),"")</f>
        <v>0.38</v>
      </c>
      <c r="K7" s="7" t="n">
        <f aca="false">IFERROR(AVERAGEIFS('ILO links'!$H$2:$H$674,'ILO links'!$G$2:$G$674,A7,'ILO links'!$J$2:$J$674,1),"")</f>
        <v>0.38</v>
      </c>
      <c r="L7" s="14" t="n">
        <f aca="false">IF(AND(ISNUMBER(J7),ISNUMBER(K7)),J7-K7,"")</f>
        <v>0</v>
      </c>
      <c r="M7" s="14" t="n">
        <f aca="false">IF(ISNUMBER(L7),ABS(L7),"")</f>
        <v>0</v>
      </c>
      <c r="N7" s="2" t="str">
        <f aca="false">IF(ISNUMBER(M7),IF(M7&lt;=Summary!$B$4,"Agree","Check"),IF(ISNUMBER(J7),"DGE only",IF(ISNUMBER(K7),"ILO only","Not scored")))</f>
        <v>Agree</v>
      </c>
      <c r="O7" s="14" t="n">
        <f aca="false">IF(ISNUMBER(J7),J7,IF(ISNUMBER(K7),K7,""))</f>
        <v>0.38</v>
      </c>
      <c r="P7" s="2" t="str">
        <f aca="false">IF(ISNUMBER(J7),"DGE",IF(ISNUMBER(K7),"ILO table",""))</f>
        <v>DGE</v>
      </c>
    </row>
    <row r="8" customFormat="false" ht="15" hidden="false" customHeight="false" outlineLevel="0" collapsed="false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55</v>
      </c>
      <c r="G8" s="12" t="n">
        <v>0.8</v>
      </c>
      <c r="H8" s="13" t="n">
        <f aca="false">SUMPRODUCT(('DGE links'!$F$2:$F$3451=A8)*1)</f>
        <v>61</v>
      </c>
      <c r="I8" s="13" t="n">
        <f aca="false">SUMPRODUCT(('ILO links'!$G$2:$G$674=A8)*'ILO links'!$J$2:$J$674)</f>
        <v>22</v>
      </c>
      <c r="J8" s="7" t="n">
        <f aca="false">IFERROR(SUMPRODUCT(('DGE links'!$F$2:$F$3451=A8)*'DGE links'!$H$2:$H$3451*'DGE links'!$I$2:$I$3451*'DGE links'!$J$2:$J$3451)/SUMPRODUCT(('DGE links'!$F$2:$F$3451=A8)*'DGE links'!$H$2:$H$3451*'DGE links'!$J$2:$J$3451),"")</f>
        <v>0.346465573770492</v>
      </c>
      <c r="K8" s="7" t="n">
        <f aca="false">IFERROR(AVERAGEIFS('ILO links'!$H$2:$H$674,'ILO links'!$G$2:$G$674,A8,'ILO links'!$J$2:$J$674,1),"")</f>
        <v>0.36</v>
      </c>
      <c r="L8" s="14" t="n">
        <f aca="false">IF(AND(ISNUMBER(J8),ISNUMBER(K8)),J8-K8,"")</f>
        <v>-0.0135344262295082</v>
      </c>
      <c r="M8" s="14" t="n">
        <f aca="false">IF(ISNUMBER(L8),ABS(L8),"")</f>
        <v>0.0135344262295082</v>
      </c>
      <c r="N8" s="2" t="str">
        <f aca="false">IF(ISNUMBER(M8),IF(M8&lt;=Summary!$B$4,"Agree","Check"),IF(ISNUMBER(J8),"DGE only",IF(ISNUMBER(K8),"ILO only","Not scored")))</f>
        <v>Agree</v>
      </c>
      <c r="O8" s="14" t="n">
        <f aca="false">IF(ISNUMBER(J8),J8,IF(ISNUMBER(K8),K8,""))</f>
        <v>0.346465573770492</v>
      </c>
      <c r="P8" s="2" t="str">
        <f aca="false">IF(ISNUMBER(J8),"DGE",IF(ISNUMBER(K8),"ILO table",""))</f>
        <v>DGE</v>
      </c>
    </row>
    <row r="9" customFormat="false" ht="15" hidden="false" customHeight="false" outlineLevel="0" collapsed="false">
      <c r="A9" s="2" t="s">
        <v>57</v>
      </c>
      <c r="B9" s="2" t="s">
        <v>50</v>
      </c>
      <c r="C9" s="2" t="s">
        <v>58</v>
      </c>
      <c r="D9" s="2" t="s">
        <v>59</v>
      </c>
      <c r="E9" s="2" t="s">
        <v>60</v>
      </c>
      <c r="F9" s="2" t="s">
        <v>59</v>
      </c>
      <c r="G9" s="12" t="n">
        <v>0.75</v>
      </c>
      <c r="H9" s="13" t="n">
        <f aca="false">SUMPRODUCT(('DGE links'!$F$2:$F$3451=A9)*1)</f>
        <v>14</v>
      </c>
      <c r="I9" s="13" t="n">
        <f aca="false">SUMPRODUCT(('ILO links'!$G$2:$G$674=A9)*'ILO links'!$J$2:$J$674)</f>
        <v>9</v>
      </c>
      <c r="J9" s="7" t="n">
        <f aca="false">IFERROR(SUMPRODUCT(('DGE links'!$F$2:$F$3451=A9)*'DGE links'!$H$2:$H$3451*'DGE links'!$I$2:$I$3451*'DGE links'!$J$2:$J$3451)/SUMPRODUCT(('DGE links'!$F$2:$F$3451=A9)*'DGE links'!$H$2:$H$3451*'DGE links'!$J$2:$J$3451),"")</f>
        <v>0.386071428571429</v>
      </c>
      <c r="K9" s="7" t="n">
        <f aca="false">IFERROR(AVERAGEIFS('ILO links'!$H$2:$H$674,'ILO links'!$G$2:$G$674,A9,'ILO links'!$J$2:$J$674,1),"")</f>
        <v>0.392222222222222</v>
      </c>
      <c r="L9" s="14" t="n">
        <f aca="false">IF(AND(ISNUMBER(J9),ISNUMBER(K9)),J9-K9,"")</f>
        <v>-0.00615079365079363</v>
      </c>
      <c r="M9" s="14" t="n">
        <f aca="false">IF(ISNUMBER(L9),ABS(L9),"")</f>
        <v>0.00615079365079363</v>
      </c>
      <c r="N9" s="2" t="str">
        <f aca="false">IF(ISNUMBER(M9),IF(M9&lt;=Summary!$B$4,"Agree","Check"),IF(ISNUMBER(J9),"DGE only",IF(ISNUMBER(K9),"ILO only","Not scored")))</f>
        <v>Agree</v>
      </c>
      <c r="O9" s="14" t="n">
        <f aca="false">IF(ISNUMBER(J9),J9,IF(ISNUMBER(K9),K9,""))</f>
        <v>0.386071428571429</v>
      </c>
      <c r="P9" s="2" t="str">
        <f aca="false">IF(ISNUMBER(J9),"DGE",IF(ISNUMBER(K9),"ILO table",""))</f>
        <v>DGE</v>
      </c>
    </row>
    <row r="10" customFormat="false" ht="15" hidden="false" customHeight="false" outlineLevel="0" collapsed="false">
      <c r="A10" s="2" t="s">
        <v>61</v>
      </c>
      <c r="B10" s="2" t="s">
        <v>53</v>
      </c>
      <c r="C10" s="2" t="s">
        <v>54</v>
      </c>
      <c r="D10" s="2" t="s">
        <v>62</v>
      </c>
      <c r="E10" s="2"/>
      <c r="F10" s="2"/>
      <c r="G10" s="12"/>
      <c r="H10" s="13" t="n">
        <f aca="false">SUMPRODUCT(('DGE links'!$F$2:$F$3451=A10)*1)</f>
        <v>28</v>
      </c>
      <c r="I10" s="13" t="n">
        <f aca="false">SUMPRODUCT(('ILO links'!$G$2:$G$674=A10)*'ILO links'!$J$2:$J$674)</f>
        <v>0</v>
      </c>
      <c r="J10" s="7" t="n">
        <f aca="false">IFERROR(SUMPRODUCT(('DGE links'!$F$2:$F$3451=A10)*'DGE links'!$H$2:$H$3451*'DGE links'!$I$2:$I$3451*'DGE links'!$J$2:$J$3451)/SUMPRODUCT(('DGE links'!$F$2:$F$3451=A10)*'DGE links'!$H$2:$H$3451*'DGE links'!$J$2:$J$3451),"")</f>
        <v>0.346607142857143</v>
      </c>
      <c r="K10" s="7" t="str">
        <f aca="false">IFERROR(AVERAGEIFS('ILO links'!$H$2:$H$674,'ILO links'!$G$2:$G$674,A10,'ILO links'!$J$2:$J$674,1),"")</f>
        <v/>
      </c>
      <c r="L10" s="14" t="str">
        <f aca="false">IF(AND(ISNUMBER(J10),ISNUMBER(K10)),J10-K10,"")</f>
        <v/>
      </c>
      <c r="M10" s="14" t="str">
        <f aca="false">IF(ISNUMBER(L10),ABS(L10),"")</f>
        <v/>
      </c>
      <c r="N10" s="2" t="str">
        <f aca="false">IF(ISNUMBER(M10),IF(M10&lt;=Summary!$B$4,"Agree","Check"),IF(ISNUMBER(J10),"DGE only",IF(ISNUMBER(K10),"ILO only","Not scored")))</f>
        <v>DGE only</v>
      </c>
      <c r="O10" s="14" t="n">
        <f aca="false">IF(ISNUMBER(J10),J10,IF(ISNUMBER(K10),K10,""))</f>
        <v>0.346607142857143</v>
      </c>
      <c r="P10" s="2" t="str">
        <f aca="false">IF(ISNUMBER(J10),"DGE",IF(ISNUMBER(K10),"ILO table",""))</f>
        <v>DGE</v>
      </c>
    </row>
    <row r="11" customFormat="false" ht="15" hidden="false" customHeight="false" outlineLevel="0" collapsed="false">
      <c r="A11" s="2" t="s">
        <v>63</v>
      </c>
      <c r="B11" s="2"/>
      <c r="C11" s="2"/>
      <c r="D11" s="2"/>
      <c r="E11" s="2" t="s">
        <v>64</v>
      </c>
      <c r="F11" s="2"/>
      <c r="G11" s="12"/>
      <c r="H11" s="13" t="n">
        <f aca="false">SUMPRODUCT(('DGE links'!$F$2:$F$3451=A11)*1)</f>
        <v>0</v>
      </c>
      <c r="I11" s="13" t="n">
        <f aca="false">SUMPRODUCT(('ILO links'!$G$2:$G$674=A11)*'ILO links'!$J$2:$J$674)</f>
        <v>31</v>
      </c>
      <c r="J11" s="7" t="str">
        <f aca="false">IFERROR(SUMPRODUCT(('DGE links'!$F$2:$F$3451=A11)*'DGE links'!$H$2:$H$3451*'DGE links'!$I$2:$I$3451*'DGE links'!$J$2:$J$3451)/SUMPRODUCT(('DGE links'!$F$2:$F$3451=A11)*'DGE links'!$H$2:$H$3451*'DGE links'!$J$2:$J$3451),"")</f>
        <v/>
      </c>
      <c r="K11" s="7" t="n">
        <f aca="false">IFERROR(AVERAGEIFS('ILO links'!$H$2:$H$674,'ILO links'!$G$2:$G$674,A11,'ILO links'!$J$2:$J$674,1),"")</f>
        <v>0.333</v>
      </c>
      <c r="L11" s="14" t="str">
        <f aca="false">IF(AND(ISNUMBER(J11),ISNUMBER(K11)),J11-K11,"")</f>
        <v/>
      </c>
      <c r="M11" s="14" t="str">
        <f aca="false">IF(ISNUMBER(L11),ABS(L11),"")</f>
        <v/>
      </c>
      <c r="N11" s="2" t="str">
        <f aca="false">IF(ISNUMBER(M11),IF(M11&lt;=Summary!$B$4,"Agree","Check"),IF(ISNUMBER(J11),"DGE only",IF(ISNUMBER(K11),"ILO only","Not scored")))</f>
        <v>ILO only</v>
      </c>
      <c r="O11" s="14" t="n">
        <f aca="false">IF(ISNUMBER(J11),J11,IF(ISNUMBER(K11),K11,""))</f>
        <v>0.333</v>
      </c>
      <c r="P11" s="2" t="str">
        <f aca="false">IF(ISNUMBER(J11),"DGE",IF(ISNUMBER(K11),"ILO table",""))</f>
        <v>ILO table</v>
      </c>
    </row>
    <row r="12" customFormat="false" ht="15" hidden="false" customHeight="false" outlineLevel="0" collapsed="false">
      <c r="A12" s="2" t="s">
        <v>65</v>
      </c>
      <c r="B12" s="2" t="s">
        <v>65</v>
      </c>
      <c r="C12" s="2" t="s">
        <v>66</v>
      </c>
      <c r="D12" s="2" t="s">
        <v>67</v>
      </c>
      <c r="E12" s="2" t="s">
        <v>67</v>
      </c>
      <c r="F12" s="2" t="s">
        <v>67</v>
      </c>
      <c r="G12" s="12" t="n">
        <v>1</v>
      </c>
      <c r="H12" s="13" t="n">
        <f aca="false">SUMPRODUCT(('DGE links'!$F$2:$F$3451=A12)*1)</f>
        <v>34</v>
      </c>
      <c r="I12" s="13" t="n">
        <f aca="false">SUMPRODUCT(('ILO links'!$G$2:$G$674=A12)*'ILO links'!$J$2:$J$674)</f>
        <v>5</v>
      </c>
      <c r="J12" s="7" t="n">
        <f aca="false">IFERROR(SUMPRODUCT(('DGE links'!$F$2:$F$3451=A12)*'DGE links'!$H$2:$H$3451*'DGE links'!$I$2:$I$3451*'DGE links'!$J$2:$J$3451)/SUMPRODUCT(('DGE links'!$F$2:$F$3451=A12)*'DGE links'!$H$2:$H$3451*'DGE links'!$J$2:$J$3451),"")</f>
        <v>0.412915151515151</v>
      </c>
      <c r="K12" s="7" t="n">
        <f aca="false">IFERROR(AVERAGEIFS('ILO links'!$H$2:$H$674,'ILO links'!$G$2:$G$674,A12,'ILO links'!$J$2:$J$674,1),"")</f>
        <v>0.4</v>
      </c>
      <c r="L12" s="14" t="n">
        <f aca="false">IF(AND(ISNUMBER(J12),ISNUMBER(K12)),J12-K12,"")</f>
        <v>0.0129151515151514</v>
      </c>
      <c r="M12" s="14" t="n">
        <f aca="false">IF(ISNUMBER(L12),ABS(L12),"")</f>
        <v>0.0129151515151514</v>
      </c>
      <c r="N12" s="2" t="str">
        <f aca="false">IF(ISNUMBER(M12),IF(M12&lt;=Summary!$B$4,"Agree","Check"),IF(ISNUMBER(J12),"DGE only",IF(ISNUMBER(K12),"ILO only","Not scored")))</f>
        <v>Agree</v>
      </c>
      <c r="O12" s="14" t="n">
        <f aca="false">IF(ISNUMBER(J12),J12,IF(ISNUMBER(K12),K12,""))</f>
        <v>0.412915151515151</v>
      </c>
      <c r="P12" s="2" t="str">
        <f aca="false">IF(ISNUMBER(J12),"DGE",IF(ISNUMBER(K12),"ILO table",""))</f>
        <v>DGE</v>
      </c>
    </row>
    <row r="13" customFormat="false" ht="15" hidden="false" customHeight="false" outlineLevel="0" collapsed="false">
      <c r="A13" s="2" t="s">
        <v>68</v>
      </c>
      <c r="B13" s="2" t="s">
        <v>68</v>
      </c>
      <c r="C13" s="2" t="s">
        <v>69</v>
      </c>
      <c r="D13" s="2" t="s">
        <v>68</v>
      </c>
      <c r="E13" s="2" t="s">
        <v>68</v>
      </c>
      <c r="F13" s="2" t="s">
        <v>68</v>
      </c>
      <c r="G13" s="12" t="n">
        <v>1</v>
      </c>
      <c r="H13" s="13" t="n">
        <f aca="false">SUMPRODUCT(('DGE links'!$F$2:$F$3451=A13)*1)</f>
        <v>6</v>
      </c>
      <c r="I13" s="13" t="n">
        <f aca="false">SUMPRODUCT(('ILO links'!$G$2:$G$674=A13)*'ILO links'!$J$2:$J$674)</f>
        <v>1</v>
      </c>
      <c r="J13" s="7" t="n">
        <f aca="false">IFERROR(SUMPRODUCT(('DGE links'!$F$2:$F$3451=A13)*'DGE links'!$H$2:$H$3451*'DGE links'!$I$2:$I$3451*'DGE links'!$J$2:$J$3451)/SUMPRODUCT(('DGE links'!$F$2:$F$3451=A13)*'DGE links'!$H$2:$H$3451*'DGE links'!$J$2:$J$3451),"")</f>
        <v>0.56</v>
      </c>
      <c r="K13" s="7" t="n">
        <f aca="false">IFERROR(AVERAGEIFS('ILO links'!$H$2:$H$674,'ILO links'!$G$2:$G$674,A13,'ILO links'!$J$2:$J$674,1),"")</f>
        <v>0.56</v>
      </c>
      <c r="L13" s="14" t="n">
        <f aca="false">IF(AND(ISNUMBER(J13),ISNUMBER(K13)),J13-K13,"")</f>
        <v>0</v>
      </c>
      <c r="M13" s="14" t="n">
        <f aca="false">IF(ISNUMBER(L13),ABS(L13),"")</f>
        <v>0</v>
      </c>
      <c r="N13" s="2" t="str">
        <f aca="false">IF(ISNUMBER(M13),IF(M13&lt;=Summary!$B$4,"Agree","Check"),IF(ISNUMBER(J13),"DGE only",IF(ISNUMBER(K13),"ILO only","Not scored")))</f>
        <v>Agree</v>
      </c>
      <c r="O13" s="14" t="n">
        <f aca="false">IF(ISNUMBER(J13),J13,IF(ISNUMBER(K13),K13,""))</f>
        <v>0.56</v>
      </c>
      <c r="P13" s="2" t="str">
        <f aca="false">IF(ISNUMBER(J13),"DGE",IF(ISNUMBER(K13),"ILO table",""))</f>
        <v>DGE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73</v>
      </c>
      <c r="G14" s="12" t="n">
        <v>0.666666666666667</v>
      </c>
      <c r="H14" s="13" t="n">
        <f aca="false">SUMPRODUCT(('DGE links'!$F$2:$F$3451=A14)*1)</f>
        <v>15</v>
      </c>
      <c r="I14" s="13" t="n">
        <f aca="false">SUMPRODUCT(('ILO links'!$G$2:$G$674=A14)*'ILO links'!$J$2:$J$674)</f>
        <v>10</v>
      </c>
      <c r="J14" s="7" t="n">
        <f aca="false">IFERROR(SUMPRODUCT(('DGE links'!$F$2:$F$3451=A14)*'DGE links'!$H$2:$H$3451*'DGE links'!$I$2:$I$3451*'DGE links'!$J$2:$J$3451)/SUMPRODUCT(('DGE links'!$F$2:$F$3451=A14)*'DGE links'!$H$2:$H$3451*'DGE links'!$J$2:$J$3451),"")</f>
        <v>0.54425</v>
      </c>
      <c r="K14" s="7" t="n">
        <f aca="false">IFERROR(AVERAGEIFS('ILO links'!$H$2:$H$674,'ILO links'!$G$2:$G$674,A14,'ILO links'!$J$2:$J$674,1),"")</f>
        <v>0.532</v>
      </c>
      <c r="L14" s="14" t="n">
        <f aca="false">IF(AND(ISNUMBER(J14),ISNUMBER(K14)),J14-K14,"")</f>
        <v>0.01225</v>
      </c>
      <c r="M14" s="14" t="n">
        <f aca="false">IF(ISNUMBER(L14),ABS(L14),"")</f>
        <v>0.01225</v>
      </c>
      <c r="N14" s="2" t="str">
        <f aca="false">IF(ISNUMBER(M14),IF(M14&lt;=Summary!$B$4,"Agree","Check"),IF(ISNUMBER(J14),"DGE only",IF(ISNUMBER(K14),"ILO only","Not scored")))</f>
        <v>Agree</v>
      </c>
      <c r="O14" s="14" t="n">
        <f aca="false">IF(ISNUMBER(J14),J14,IF(ISNUMBER(K14),K14,""))</f>
        <v>0.54425</v>
      </c>
      <c r="P14" s="2" t="str">
        <f aca="false">IF(ISNUMBER(J14),"DGE",IF(ISNUMBER(K14),"ILO table",""))</f>
        <v>DGE</v>
      </c>
    </row>
    <row r="15" customFormat="false" ht="15" hidden="false" customHeight="false" outlineLevel="0" collapsed="false">
      <c r="A15" s="2" t="s">
        <v>75</v>
      </c>
      <c r="B15" s="2" t="s">
        <v>75</v>
      </c>
      <c r="C15" s="2" t="s">
        <v>76</v>
      </c>
      <c r="D15" s="2" t="s">
        <v>77</v>
      </c>
      <c r="E15" s="2" t="s">
        <v>77</v>
      </c>
      <c r="F15" s="2" t="s">
        <v>77</v>
      </c>
      <c r="G15" s="12" t="n">
        <v>1</v>
      </c>
      <c r="H15" s="13" t="n">
        <f aca="false">SUMPRODUCT(('DGE links'!$F$2:$F$3451=A15)*1)</f>
        <v>102</v>
      </c>
      <c r="I15" s="13" t="n">
        <f aca="false">SUMPRODUCT(('ILO links'!$G$2:$G$674=A15)*'ILO links'!$J$2:$J$674)</f>
        <v>14</v>
      </c>
      <c r="J15" s="7" t="n">
        <f aca="false">IFERROR(SUMPRODUCT(('DGE links'!$F$2:$F$3451=A15)*'DGE links'!$H$2:$H$3451*'DGE links'!$I$2:$I$3451*'DGE links'!$J$2:$J$3451)/SUMPRODUCT(('DGE links'!$F$2:$F$3451=A15)*'DGE links'!$H$2:$H$3451*'DGE links'!$J$2:$J$3451),"")</f>
        <v>0.348149019607843</v>
      </c>
      <c r="K15" s="7" t="n">
        <f aca="false">IFERROR(AVERAGEIFS('ILO links'!$H$2:$H$674,'ILO links'!$G$2:$G$674,A15,'ILO links'!$J$2:$J$674,1),"")</f>
        <v>0.365</v>
      </c>
      <c r="L15" s="14" t="n">
        <f aca="false">IF(AND(ISNUMBER(J15),ISNUMBER(K15)),J15-K15,"")</f>
        <v>-0.0168509803921568</v>
      </c>
      <c r="M15" s="14" t="n">
        <f aca="false">IF(ISNUMBER(L15),ABS(L15),"")</f>
        <v>0.0168509803921568</v>
      </c>
      <c r="N15" s="2" t="str">
        <f aca="false">IF(ISNUMBER(M15),IF(M15&lt;=Summary!$B$4,"Agree","Check"),IF(ISNUMBER(J15),"DGE only",IF(ISNUMBER(K15),"ILO only","Not scored")))</f>
        <v>Agree</v>
      </c>
      <c r="O15" s="14" t="n">
        <f aca="false">IF(ISNUMBER(J15),J15,IF(ISNUMBER(K15),K15,""))</f>
        <v>0.348149019607843</v>
      </c>
      <c r="P15" s="2" t="str">
        <f aca="false">IF(ISNUMBER(J15),"DGE",IF(ISNUMBER(K15),"ILO table",""))</f>
        <v>DGE</v>
      </c>
    </row>
    <row r="16" customFormat="false" ht="15" hidden="false" customHeight="false" outlineLevel="0" collapsed="false">
      <c r="A16" s="2" t="s">
        <v>78</v>
      </c>
      <c r="B16" s="2" t="s">
        <v>70</v>
      </c>
      <c r="C16" s="2" t="s">
        <v>79</v>
      </c>
      <c r="D16" s="2" t="s">
        <v>80</v>
      </c>
      <c r="E16" s="2" t="s">
        <v>80</v>
      </c>
      <c r="F16" s="2" t="s">
        <v>80</v>
      </c>
      <c r="G16" s="12" t="n">
        <v>1</v>
      </c>
      <c r="H16" s="13" t="n">
        <f aca="false">SUMPRODUCT(('DGE links'!$F$2:$F$3451=A16)*1)</f>
        <v>38</v>
      </c>
      <c r="I16" s="13" t="n">
        <f aca="false">SUMPRODUCT(('ILO links'!$G$2:$G$674=A16)*'ILO links'!$J$2:$J$674)</f>
        <v>5</v>
      </c>
      <c r="J16" s="7" t="n">
        <f aca="false">IFERROR(SUMPRODUCT(('DGE links'!$F$2:$F$3451=A16)*'DGE links'!$H$2:$H$3451*'DGE links'!$I$2:$I$3451*'DGE links'!$J$2:$J$3451)/SUMPRODUCT(('DGE links'!$F$2:$F$3451=A16)*'DGE links'!$H$2:$H$3451*'DGE links'!$J$2:$J$3451),"")</f>
        <v>0.338405405405405</v>
      </c>
      <c r="K16" s="7" t="n">
        <f aca="false">IFERROR(AVERAGEIFS('ILO links'!$H$2:$H$674,'ILO links'!$G$2:$G$674,A16,'ILO links'!$J$2:$J$674,1),"")</f>
        <v>0.296</v>
      </c>
      <c r="L16" s="14" t="n">
        <f aca="false">IF(AND(ISNUMBER(J16),ISNUMBER(K16)),J16-K16,"")</f>
        <v>0.0424054054054054</v>
      </c>
      <c r="M16" s="14" t="n">
        <f aca="false">IF(ISNUMBER(L16),ABS(L16),"")</f>
        <v>0.0424054054054054</v>
      </c>
      <c r="N16" s="2" t="str">
        <f aca="false">IF(ISNUMBER(M16),IF(M16&lt;=Summary!$B$4,"Agree","Check"),IF(ISNUMBER(J16),"DGE only",IF(ISNUMBER(K16),"ILO only","Not scored")))</f>
        <v>Agree</v>
      </c>
      <c r="O16" s="14" t="n">
        <f aca="false">IF(ISNUMBER(J16),J16,IF(ISNUMBER(K16),K16,""))</f>
        <v>0.338405405405405</v>
      </c>
      <c r="P16" s="2" t="str">
        <f aca="false">IF(ISNUMBER(J16),"DGE",IF(ISNUMBER(K16),"ILO table",""))</f>
        <v>DGE</v>
      </c>
    </row>
    <row r="17" customFormat="false" ht="15" hidden="false" customHeight="false" outlineLevel="0" collapsed="false">
      <c r="A17" s="2" t="s">
        <v>81</v>
      </c>
      <c r="B17" s="2" t="s">
        <v>78</v>
      </c>
      <c r="C17" s="2" t="s">
        <v>82</v>
      </c>
      <c r="D17" s="2" t="s">
        <v>83</v>
      </c>
      <c r="E17" s="2" t="s">
        <v>84</v>
      </c>
      <c r="F17" s="2" t="s">
        <v>84</v>
      </c>
      <c r="G17" s="12" t="n">
        <v>0.75</v>
      </c>
      <c r="H17" s="13" t="n">
        <f aca="false">SUMPRODUCT(('DGE links'!$F$2:$F$3451=A17)*1)</f>
        <v>43</v>
      </c>
      <c r="I17" s="13" t="n">
        <f aca="false">SUMPRODUCT(('ILO links'!$G$2:$G$674=A17)*'ILO links'!$J$2:$J$674)</f>
        <v>7</v>
      </c>
      <c r="J17" s="7" t="n">
        <f aca="false">IFERROR(SUMPRODUCT(('DGE links'!$F$2:$F$3451=A17)*'DGE links'!$H$2:$H$3451*'DGE links'!$I$2:$I$3451*'DGE links'!$J$2:$J$3451)/SUMPRODUCT(('DGE links'!$F$2:$F$3451=A17)*'DGE links'!$H$2:$H$3451*'DGE links'!$J$2:$J$3451),"")</f>
        <v>0.260013953488372</v>
      </c>
      <c r="K17" s="7" t="n">
        <f aca="false">IFERROR(AVERAGEIFS('ILO links'!$H$2:$H$674,'ILO links'!$G$2:$G$674,A17,'ILO links'!$J$2:$J$674,1),"")</f>
        <v>0.237142857142857</v>
      </c>
      <c r="L17" s="14" t="n">
        <f aca="false">IF(AND(ISNUMBER(J17),ISNUMBER(K17)),J17-K17,"")</f>
        <v>0.0228710963455149</v>
      </c>
      <c r="M17" s="14" t="n">
        <f aca="false">IF(ISNUMBER(L17),ABS(L17),"")</f>
        <v>0.0228710963455149</v>
      </c>
      <c r="N17" s="2" t="str">
        <f aca="false">IF(ISNUMBER(M17),IF(M17&lt;=Summary!$B$4,"Agree","Check"),IF(ISNUMBER(J17),"DGE only",IF(ISNUMBER(K17),"ILO only","Not scored")))</f>
        <v>Agree</v>
      </c>
      <c r="O17" s="14" t="n">
        <f aca="false">IF(ISNUMBER(J17),J17,IF(ISNUMBER(K17),K17,""))</f>
        <v>0.260013953488372</v>
      </c>
      <c r="P17" s="2" t="str">
        <f aca="false">IF(ISNUMBER(J17),"DGE",IF(ISNUMBER(K17),"ILO table",""))</f>
        <v>DGE</v>
      </c>
    </row>
    <row r="18" customFormat="false" ht="15" hidden="false" customHeight="false" outlineLevel="0" collapsed="false">
      <c r="A18" s="2" t="s">
        <v>85</v>
      </c>
      <c r="B18" s="2" t="s">
        <v>81</v>
      </c>
      <c r="C18" s="2" t="s">
        <v>86</v>
      </c>
      <c r="D18" s="2" t="s">
        <v>81</v>
      </c>
      <c r="E18" s="2" t="s">
        <v>87</v>
      </c>
      <c r="F18" s="2" t="s">
        <v>81</v>
      </c>
      <c r="G18" s="12" t="n">
        <v>0.333333333333333</v>
      </c>
      <c r="H18" s="13" t="n">
        <f aca="false">SUMPRODUCT(('DGE links'!$F$2:$F$3451=A18)*1)</f>
        <v>2</v>
      </c>
      <c r="I18" s="13" t="n">
        <f aca="false">SUMPRODUCT(('ILO links'!$G$2:$G$674=A18)*'ILO links'!$J$2:$J$674)</f>
        <v>6</v>
      </c>
      <c r="J18" s="7" t="n">
        <f aca="false">IFERROR(SUMPRODUCT(('DGE links'!$F$2:$F$3451=A18)*'DGE links'!$H$2:$H$3451*'DGE links'!$I$2:$I$3451*'DGE links'!$J$2:$J$3451)/SUMPRODUCT(('DGE links'!$F$2:$F$3451=A18)*'DGE links'!$H$2:$H$3451*'DGE links'!$J$2:$J$3451),"")</f>
        <v>0.275</v>
      </c>
      <c r="K18" s="7" t="n">
        <f aca="false">IFERROR(AVERAGEIFS('ILO links'!$H$2:$H$674,'ILO links'!$G$2:$G$674,A18,'ILO links'!$J$2:$J$674,1),"")</f>
        <v>0.278333333333333</v>
      </c>
      <c r="L18" s="14" t="n">
        <f aca="false">IF(AND(ISNUMBER(J18),ISNUMBER(K18)),J18-K18,"")</f>
        <v>-0.0033333333333333</v>
      </c>
      <c r="M18" s="14" t="n">
        <f aca="false">IF(ISNUMBER(L18),ABS(L18),"")</f>
        <v>0.0033333333333333</v>
      </c>
      <c r="N18" s="2" t="str">
        <f aca="false">IF(ISNUMBER(M18),IF(M18&lt;=Summary!$B$4,"Agree","Check"),IF(ISNUMBER(J18),"DGE only",IF(ISNUMBER(K18),"ILO only","Not scored")))</f>
        <v>Agree</v>
      </c>
      <c r="O18" s="14" t="n">
        <f aca="false">IF(ISNUMBER(J18),J18,IF(ISNUMBER(K18),K18,""))</f>
        <v>0.275</v>
      </c>
      <c r="P18" s="2" t="str">
        <f aca="false">IF(ISNUMBER(J18),"DGE",IF(ISNUMBER(K18),"ILO table",""))</f>
        <v>DGE</v>
      </c>
    </row>
    <row r="19" customFormat="false" ht="15" hidden="false" customHeight="false" outlineLevel="0" collapsed="false">
      <c r="A19" s="2" t="s">
        <v>88</v>
      </c>
      <c r="B19" s="2" t="s">
        <v>88</v>
      </c>
      <c r="C19" s="2" t="s">
        <v>89</v>
      </c>
      <c r="D19" s="2" t="s">
        <v>88</v>
      </c>
      <c r="E19" s="2" t="s">
        <v>90</v>
      </c>
      <c r="F19" s="2" t="s">
        <v>88</v>
      </c>
      <c r="G19" s="12" t="n">
        <v>0.5</v>
      </c>
      <c r="H19" s="13" t="n">
        <f aca="false">SUMPRODUCT(('DGE links'!$F$2:$F$3451=A19)*1)</f>
        <v>13</v>
      </c>
      <c r="I19" s="13" t="n">
        <f aca="false">SUMPRODUCT(('ILO links'!$G$2:$G$674=A19)*'ILO links'!$J$2:$J$674)</f>
        <v>2</v>
      </c>
      <c r="J19" s="7" t="n">
        <f aca="false">IFERROR(SUMPRODUCT(('DGE links'!$F$2:$F$3451=A19)*'DGE links'!$H$2:$H$3451*'DGE links'!$I$2:$I$3451*'DGE links'!$J$2:$J$3451)/SUMPRODUCT(('DGE links'!$F$2:$F$3451=A19)*'DGE links'!$H$2:$H$3451*'DGE links'!$J$2:$J$3451),"")</f>
        <v>0.37</v>
      </c>
      <c r="K19" s="7" t="n">
        <f aca="false">IFERROR(AVERAGEIFS('ILO links'!$H$2:$H$674,'ILO links'!$G$2:$G$674,A19,'ILO links'!$J$2:$J$674,1),"")</f>
        <v>0.36</v>
      </c>
      <c r="L19" s="14" t="n">
        <f aca="false">IF(AND(ISNUMBER(J19),ISNUMBER(K19)),J19-K19,"")</f>
        <v>0.01</v>
      </c>
      <c r="M19" s="14" t="n">
        <f aca="false">IF(ISNUMBER(L19),ABS(L19),"")</f>
        <v>0.01</v>
      </c>
      <c r="N19" s="2" t="str">
        <f aca="false">IF(ISNUMBER(M19),IF(M19&lt;=Summary!$B$4,"Agree","Check"),IF(ISNUMBER(J19),"DGE only",IF(ISNUMBER(K19),"ILO only","Not scored")))</f>
        <v>Agree</v>
      </c>
      <c r="O19" s="14" t="n">
        <f aca="false">IF(ISNUMBER(J19),J19,IF(ISNUMBER(K19),K19,""))</f>
        <v>0.37</v>
      </c>
      <c r="P19" s="2" t="str">
        <f aca="false">IF(ISNUMBER(J19),"DGE",IF(ISNUMBER(K19),"ILO table",""))</f>
        <v>DGE</v>
      </c>
    </row>
    <row r="20" customFormat="false" ht="15" hidden="false" customHeight="false" outlineLevel="0" collapsed="false">
      <c r="A20" s="2" t="s">
        <v>91</v>
      </c>
      <c r="B20" s="2" t="s">
        <v>92</v>
      </c>
      <c r="C20" s="2" t="s">
        <v>93</v>
      </c>
      <c r="D20" s="2" t="s">
        <v>92</v>
      </c>
      <c r="E20" s="2" t="s">
        <v>94</v>
      </c>
      <c r="F20" s="2" t="s">
        <v>92</v>
      </c>
      <c r="G20" s="12" t="n">
        <v>0.5</v>
      </c>
      <c r="H20" s="13" t="n">
        <f aca="false">SUMPRODUCT(('DGE links'!$F$2:$F$3451=A20)*1)</f>
        <v>5</v>
      </c>
      <c r="I20" s="13" t="n">
        <f aca="false">SUMPRODUCT(('ILO links'!$G$2:$G$674=A20)*'ILO links'!$J$2:$J$674)</f>
        <v>2</v>
      </c>
      <c r="J20" s="7" t="n">
        <f aca="false">IFERROR(SUMPRODUCT(('DGE links'!$F$2:$F$3451=A20)*'DGE links'!$H$2:$H$3451*'DGE links'!$I$2:$I$3451*'DGE links'!$J$2:$J$3451)/SUMPRODUCT(('DGE links'!$F$2:$F$3451=A20)*'DGE links'!$H$2:$H$3451*'DGE links'!$J$2:$J$3451),"")</f>
        <v>0.3</v>
      </c>
      <c r="K20" s="7" t="n">
        <f aca="false">IFERROR(AVERAGEIFS('ILO links'!$H$2:$H$674,'ILO links'!$G$2:$G$674,A20,'ILO links'!$J$2:$J$674,1),"")</f>
        <v>0.325</v>
      </c>
      <c r="L20" s="14" t="n">
        <f aca="false">IF(AND(ISNUMBER(J20),ISNUMBER(K20)),J20-K20,"")</f>
        <v>-0.025</v>
      </c>
      <c r="M20" s="14" t="n">
        <f aca="false">IF(ISNUMBER(L20),ABS(L20),"")</f>
        <v>0.025</v>
      </c>
      <c r="N20" s="2" t="str">
        <f aca="false">IF(ISNUMBER(M20),IF(M20&lt;=Summary!$B$4,"Agree","Check"),IF(ISNUMBER(J20),"DGE only",IF(ISNUMBER(K20),"ILO only","Not scored")))</f>
        <v>Agree</v>
      </c>
      <c r="O20" s="14" t="n">
        <f aca="false">IF(ISNUMBER(J20),J20,IF(ISNUMBER(K20),K20,""))</f>
        <v>0.3</v>
      </c>
      <c r="P20" s="2" t="str">
        <f aca="false">IF(ISNUMBER(J20),"DGE",IF(ISNUMBER(K20),"ILO table",""))</f>
        <v>DGE</v>
      </c>
    </row>
    <row r="21" customFormat="false" ht="15" hidden="false" customHeight="false" outlineLevel="0" collapsed="false">
      <c r="A21" s="2" t="s">
        <v>92</v>
      </c>
      <c r="B21" s="2" t="s">
        <v>95</v>
      </c>
      <c r="C21" s="2" t="s">
        <v>96</v>
      </c>
      <c r="D21" s="2" t="s">
        <v>95</v>
      </c>
      <c r="E21" s="2" t="s">
        <v>97</v>
      </c>
      <c r="F21" s="2"/>
      <c r="G21" s="12" t="n">
        <v>0</v>
      </c>
      <c r="H21" s="13" t="n">
        <f aca="false">SUMPRODUCT(('DGE links'!$F$2:$F$3451=A21)*1)</f>
        <v>4</v>
      </c>
      <c r="I21" s="13" t="n">
        <f aca="false">SUMPRODUCT(('ILO links'!$G$2:$G$674=A21)*'ILO links'!$J$2:$J$674)</f>
        <v>2</v>
      </c>
      <c r="J21" s="7" t="n">
        <f aca="false">IFERROR(SUMPRODUCT(('DGE links'!$F$2:$F$3451=A21)*'DGE links'!$H$2:$H$3451*'DGE links'!$I$2:$I$3451*'DGE links'!$J$2:$J$3451)/SUMPRODUCT(('DGE links'!$F$2:$F$3451=A21)*'DGE links'!$H$2:$H$3451*'DGE links'!$J$2:$J$3451),"")</f>
        <v>0.3586</v>
      </c>
      <c r="K21" s="7" t="n">
        <f aca="false">IFERROR(AVERAGEIFS('ILO links'!$H$2:$H$674,'ILO links'!$G$2:$G$674,A21,'ILO links'!$J$2:$J$674,1),"")</f>
        <v>0.235</v>
      </c>
      <c r="L21" s="14" t="n">
        <f aca="false">IF(AND(ISNUMBER(J21),ISNUMBER(K21)),J21-K21,"")</f>
        <v>0.1236</v>
      </c>
      <c r="M21" s="14" t="n">
        <f aca="false">IF(ISNUMBER(L21),ABS(L21),"")</f>
        <v>0.1236</v>
      </c>
      <c r="N21" s="2" t="str">
        <f aca="false">IF(ISNUMBER(M21),IF(M21&lt;=Summary!$B$4,"Agree","Check"),IF(ISNUMBER(J21),"DGE only",IF(ISNUMBER(K21),"ILO only","Not scored")))</f>
        <v>Check</v>
      </c>
      <c r="O21" s="14" t="n">
        <f aca="false">IF(ISNUMBER(J21),J21,IF(ISNUMBER(K21),K21,""))</f>
        <v>0.3586</v>
      </c>
      <c r="P21" s="2" t="str">
        <f aca="false">IF(ISNUMBER(J21),"DGE",IF(ISNUMBER(K21),"ILO table",""))</f>
        <v>DGE</v>
      </c>
    </row>
    <row r="22" customFormat="false" ht="15" hidden="false" customHeight="false" outlineLevel="0" collapsed="false">
      <c r="A22" s="2" t="s">
        <v>97</v>
      </c>
      <c r="B22" s="2"/>
      <c r="C22" s="2"/>
      <c r="D22" s="2"/>
      <c r="E22" s="2" t="s">
        <v>95</v>
      </c>
      <c r="F22" s="2"/>
      <c r="G22" s="12"/>
      <c r="H22" s="13" t="n">
        <f aca="false">SUMPRODUCT(('DGE links'!$F$2:$F$3451=A22)*1)</f>
        <v>0</v>
      </c>
      <c r="I22" s="13" t="n">
        <f aca="false">SUMPRODUCT(('ILO links'!$G$2:$G$674=A22)*'ILO links'!$J$2:$J$674)</f>
        <v>1</v>
      </c>
      <c r="J22" s="7" t="str">
        <f aca="false">IFERROR(SUMPRODUCT(('DGE links'!$F$2:$F$3451=A22)*'DGE links'!$H$2:$H$3451*'DGE links'!$I$2:$I$3451*'DGE links'!$J$2:$J$3451)/SUMPRODUCT(('DGE links'!$F$2:$F$3451=A22)*'DGE links'!$H$2:$H$3451*'DGE links'!$J$2:$J$3451),"")</f>
        <v/>
      </c>
      <c r="K22" s="7" t="n">
        <f aca="false">IFERROR(AVERAGEIFS('ILO links'!$H$2:$H$674,'ILO links'!$G$2:$G$674,A22,'ILO links'!$J$2:$J$674,1),"")</f>
        <v>0.28</v>
      </c>
      <c r="L22" s="14" t="str">
        <f aca="false">IF(AND(ISNUMBER(J22),ISNUMBER(K22)),J22-K22,"")</f>
        <v/>
      </c>
      <c r="M22" s="14" t="str">
        <f aca="false">IF(ISNUMBER(L22),ABS(L22),"")</f>
        <v/>
      </c>
      <c r="N22" s="2" t="str">
        <f aca="false">IF(ISNUMBER(M22),IF(M22&lt;=Summary!$B$4,"Agree","Check"),IF(ISNUMBER(J22),"DGE only",IF(ISNUMBER(K22),"ILO only","Not scored")))</f>
        <v>ILO only</v>
      </c>
      <c r="O22" s="14" t="n">
        <f aca="false">IF(ISNUMBER(J22),J22,IF(ISNUMBER(K22),K22,""))</f>
        <v>0.28</v>
      </c>
      <c r="P22" s="2" t="str">
        <f aca="false">IF(ISNUMBER(J22),"DGE",IF(ISNUMBER(K22),"ILO table",""))</f>
        <v>ILO table</v>
      </c>
    </row>
    <row r="23" customFormat="false" ht="15" hidden="false" customHeight="false" outlineLevel="0" collapsed="false">
      <c r="A23" s="2" t="s">
        <v>95</v>
      </c>
      <c r="B23" s="2"/>
      <c r="C23" s="2"/>
      <c r="D23" s="2"/>
      <c r="E23" s="2" t="s">
        <v>95</v>
      </c>
      <c r="F23" s="2"/>
      <c r="G23" s="12"/>
      <c r="H23" s="13" t="n">
        <f aca="false">SUMPRODUCT(('DGE links'!$F$2:$F$3451=A23)*1)</f>
        <v>0</v>
      </c>
      <c r="I23" s="13" t="n">
        <f aca="false">SUMPRODUCT(('ILO links'!$G$2:$G$674=A23)*'ILO links'!$J$2:$J$674)</f>
        <v>6</v>
      </c>
      <c r="J23" s="7" t="str">
        <f aca="false">IFERROR(SUMPRODUCT(('DGE links'!$F$2:$F$3451=A23)*'DGE links'!$H$2:$H$3451*'DGE links'!$I$2:$I$3451*'DGE links'!$J$2:$J$3451)/SUMPRODUCT(('DGE links'!$F$2:$F$3451=A23)*'DGE links'!$H$2:$H$3451*'DGE links'!$J$2:$J$3451),"")</f>
        <v/>
      </c>
      <c r="K23" s="7" t="n">
        <f aca="false">IFERROR(AVERAGEIFS('ILO links'!$H$2:$H$674,'ILO links'!$G$2:$G$674,A23,'ILO links'!$J$2:$J$674,1),"")</f>
        <v>0.371666666666667</v>
      </c>
      <c r="L23" s="14" t="str">
        <f aca="false">IF(AND(ISNUMBER(J23),ISNUMBER(K23)),J23-K23,"")</f>
        <v/>
      </c>
      <c r="M23" s="14" t="str">
        <f aca="false">IF(ISNUMBER(L23),ABS(L23),"")</f>
        <v/>
      </c>
      <c r="N23" s="2" t="str">
        <f aca="false">IF(ISNUMBER(M23),IF(M23&lt;=Summary!$B$4,"Agree","Check"),IF(ISNUMBER(J23),"DGE only",IF(ISNUMBER(K23),"ILO only","Not scored")))</f>
        <v>ILO only</v>
      </c>
      <c r="O23" s="14" t="n">
        <f aca="false">IF(ISNUMBER(J23),J23,IF(ISNUMBER(K23),K23,""))</f>
        <v>0.371666666666667</v>
      </c>
      <c r="P23" s="2" t="str">
        <f aca="false">IF(ISNUMBER(J23),"DGE",IF(ISNUMBER(K23),"ILO table",""))</f>
        <v>ILO table</v>
      </c>
    </row>
    <row r="24" customFormat="false" ht="15" hidden="false" customHeight="false" outlineLevel="0" collapsed="false">
      <c r="A24" s="2" t="s">
        <v>98</v>
      </c>
      <c r="B24" s="2" t="s">
        <v>98</v>
      </c>
      <c r="C24" s="2" t="s">
        <v>99</v>
      </c>
      <c r="D24" s="2" t="s">
        <v>100</v>
      </c>
      <c r="E24" s="2" t="s">
        <v>101</v>
      </c>
      <c r="F24" s="2" t="s">
        <v>100</v>
      </c>
      <c r="G24" s="12" t="n">
        <v>0.8</v>
      </c>
      <c r="H24" s="13" t="n">
        <f aca="false">SUMPRODUCT(('DGE links'!$F$2:$F$3451=A24)*1)</f>
        <v>21</v>
      </c>
      <c r="I24" s="13" t="n">
        <f aca="false">SUMPRODUCT(('ILO links'!$G$2:$G$674=A24)*'ILO links'!$J$2:$J$674)</f>
        <v>11</v>
      </c>
      <c r="J24" s="7" t="n">
        <f aca="false">IFERROR(SUMPRODUCT(('DGE links'!$F$2:$F$3451=A24)*'DGE links'!$H$2:$H$3451*'DGE links'!$I$2:$I$3451*'DGE links'!$J$2:$J$3451)/SUMPRODUCT(('DGE links'!$F$2:$F$3451=A24)*'DGE links'!$H$2:$H$3451*'DGE links'!$J$2:$J$3451),"")</f>
        <v>0.500576190476191</v>
      </c>
      <c r="K24" s="7" t="n">
        <f aca="false">IFERROR(AVERAGEIFS('ILO links'!$H$2:$H$674,'ILO links'!$G$2:$G$674,A24,'ILO links'!$J$2:$J$674,1),"")</f>
        <v>0.467272727272727</v>
      </c>
      <c r="L24" s="14" t="n">
        <f aca="false">IF(AND(ISNUMBER(J24),ISNUMBER(K24)),J24-K24,"")</f>
        <v>0.0333034632034633</v>
      </c>
      <c r="M24" s="14" t="n">
        <f aca="false">IF(ISNUMBER(L24),ABS(L24),"")</f>
        <v>0.0333034632034633</v>
      </c>
      <c r="N24" s="2" t="str">
        <f aca="false">IF(ISNUMBER(M24),IF(M24&lt;=Summary!$B$4,"Agree","Check"),IF(ISNUMBER(J24),"DGE only",IF(ISNUMBER(K24),"ILO only","Not scored")))</f>
        <v>Agree</v>
      </c>
      <c r="O24" s="14" t="n">
        <f aca="false">IF(ISNUMBER(J24),J24,IF(ISNUMBER(K24),K24,""))</f>
        <v>0.500576190476191</v>
      </c>
      <c r="P24" s="2" t="str">
        <f aca="false">IF(ISNUMBER(J24),"DGE",IF(ISNUMBER(K24),"ILO table",""))</f>
        <v>DGE</v>
      </c>
    </row>
    <row r="25" customFormat="false" ht="15" hidden="false" customHeight="false" outlineLevel="0" collapsed="false">
      <c r="A25" s="2" t="s">
        <v>102</v>
      </c>
      <c r="B25" s="2" t="s">
        <v>103</v>
      </c>
      <c r="C25" s="2" t="s">
        <v>104</v>
      </c>
      <c r="D25" s="2" t="s">
        <v>103</v>
      </c>
      <c r="E25" s="2" t="s">
        <v>103</v>
      </c>
      <c r="F25" s="2" t="s">
        <v>103</v>
      </c>
      <c r="G25" s="12" t="n">
        <v>1</v>
      </c>
      <c r="H25" s="13" t="n">
        <f aca="false">SUMPRODUCT(('DGE links'!$F$2:$F$3451=A25)*1)</f>
        <v>35</v>
      </c>
      <c r="I25" s="13" t="n">
        <f aca="false">SUMPRODUCT(('ILO links'!$G$2:$G$674=A25)*'ILO links'!$J$2:$J$674)</f>
        <v>3</v>
      </c>
      <c r="J25" s="7" t="n">
        <f aca="false">IFERROR(SUMPRODUCT(('DGE links'!$F$2:$F$3451=A25)*'DGE links'!$H$2:$H$3451*'DGE links'!$I$2:$I$3451*'DGE links'!$J$2:$J$3451)/SUMPRODUCT(('DGE links'!$F$2:$F$3451=A25)*'DGE links'!$H$2:$H$3451*'DGE links'!$J$2:$J$3451),"")</f>
        <v>0.3467</v>
      </c>
      <c r="K25" s="7" t="n">
        <f aca="false">IFERROR(AVERAGEIFS('ILO links'!$H$2:$H$674,'ILO links'!$G$2:$G$674,A25,'ILO links'!$J$2:$J$674,1),"")</f>
        <v>0.346666666666667</v>
      </c>
      <c r="L25" s="14" t="n">
        <f aca="false">IF(AND(ISNUMBER(J25),ISNUMBER(K25)),J25-K25,"")</f>
        <v>3.33333333333297E-005</v>
      </c>
      <c r="M25" s="14" t="n">
        <f aca="false">IF(ISNUMBER(L25),ABS(L25),"")</f>
        <v>3.33333333333297E-005</v>
      </c>
      <c r="N25" s="2" t="str">
        <f aca="false">IF(ISNUMBER(M25),IF(M25&lt;=Summary!$B$4,"Agree","Check"),IF(ISNUMBER(J25),"DGE only",IF(ISNUMBER(K25),"ILO only","Not scored")))</f>
        <v>Agree</v>
      </c>
      <c r="O25" s="14" t="n">
        <f aca="false">IF(ISNUMBER(J25),J25,IF(ISNUMBER(K25),K25,""))</f>
        <v>0.3467</v>
      </c>
      <c r="P25" s="2" t="str">
        <f aca="false">IF(ISNUMBER(J25),"DGE",IF(ISNUMBER(K25),"ILO table",""))</f>
        <v>DGE</v>
      </c>
    </row>
    <row r="26" customFormat="false" ht="15" hidden="false" customHeight="false" outlineLevel="0" collapsed="false">
      <c r="A26" s="2" t="s">
        <v>105</v>
      </c>
      <c r="B26" s="2" t="s">
        <v>106</v>
      </c>
      <c r="C26" s="2" t="s">
        <v>107</v>
      </c>
      <c r="D26" s="2" t="s">
        <v>106</v>
      </c>
      <c r="E26" s="2" t="s">
        <v>106</v>
      </c>
      <c r="F26" s="2" t="s">
        <v>106</v>
      </c>
      <c r="G26" s="12" t="n">
        <v>1</v>
      </c>
      <c r="H26" s="13" t="n">
        <f aca="false">SUMPRODUCT(('DGE links'!$F$2:$F$3451=A26)*1)</f>
        <v>13</v>
      </c>
      <c r="I26" s="13" t="n">
        <f aca="false">SUMPRODUCT(('ILO links'!$G$2:$G$674=A26)*'ILO links'!$J$2:$J$674)</f>
        <v>2</v>
      </c>
      <c r="J26" s="7" t="n">
        <f aca="false">IFERROR(SUMPRODUCT(('DGE links'!$F$2:$F$3451=A26)*'DGE links'!$H$2:$H$3451*'DGE links'!$I$2:$I$3451*'DGE links'!$J$2:$J$3451)/SUMPRODUCT(('DGE links'!$F$2:$F$3451=A26)*'DGE links'!$H$2:$H$3451*'DGE links'!$J$2:$J$3451),"")</f>
        <v>0.51</v>
      </c>
      <c r="K26" s="7" t="n">
        <f aca="false">IFERROR(AVERAGEIFS('ILO links'!$H$2:$H$674,'ILO links'!$G$2:$G$674,A26,'ILO links'!$J$2:$J$674,1),"")</f>
        <v>0.51</v>
      </c>
      <c r="L26" s="14" t="n">
        <f aca="false">IF(AND(ISNUMBER(J26),ISNUMBER(K26)),J26-K26,"")</f>
        <v>0</v>
      </c>
      <c r="M26" s="14" t="n">
        <f aca="false">IF(ISNUMBER(L26),ABS(L26),"")</f>
        <v>0</v>
      </c>
      <c r="N26" s="2" t="str">
        <f aca="false">IF(ISNUMBER(M26),IF(M26&lt;=Summary!$B$4,"Agree","Check"),IF(ISNUMBER(J26),"DGE only",IF(ISNUMBER(K26),"ILO only","Not scored")))</f>
        <v>Agree</v>
      </c>
      <c r="O26" s="14" t="n">
        <f aca="false">IF(ISNUMBER(J26),J26,IF(ISNUMBER(K26),K26,""))</f>
        <v>0.51</v>
      </c>
      <c r="P26" s="2" t="str">
        <f aca="false">IF(ISNUMBER(J26),"DGE",IF(ISNUMBER(K26),"ILO table",""))</f>
        <v>DGE</v>
      </c>
    </row>
    <row r="27" customFormat="false" ht="15" hidden="false" customHeight="false" outlineLevel="0" collapsed="false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111</v>
      </c>
      <c r="F27" s="2" t="s">
        <v>111</v>
      </c>
      <c r="G27" s="12" t="n">
        <v>1</v>
      </c>
      <c r="H27" s="13" t="n">
        <f aca="false">SUMPRODUCT(('DGE links'!$F$2:$F$3451=A27)*1)</f>
        <v>49</v>
      </c>
      <c r="I27" s="13" t="n">
        <f aca="false">SUMPRODUCT(('ILO links'!$G$2:$G$674=A27)*'ILO links'!$J$2:$J$674)</f>
        <v>6</v>
      </c>
      <c r="J27" s="7" t="n">
        <f aca="false">IFERROR(SUMPRODUCT(('DGE links'!$F$2:$F$3451=A27)*'DGE links'!$H$2:$H$3451*'DGE links'!$I$2:$I$3451*'DGE links'!$J$2:$J$3451)/SUMPRODUCT(('DGE links'!$F$2:$F$3451=A27)*'DGE links'!$H$2:$H$3451*'DGE links'!$J$2:$J$3451),"")</f>
        <v>0.403877551020408</v>
      </c>
      <c r="K27" s="7" t="n">
        <f aca="false">IFERROR(AVERAGEIFS('ILO links'!$H$2:$H$674,'ILO links'!$G$2:$G$674,A27,'ILO links'!$J$2:$J$674,1),"")</f>
        <v>0.46</v>
      </c>
      <c r="L27" s="14" t="n">
        <f aca="false">IF(AND(ISNUMBER(J27),ISNUMBER(K27)),J27-K27,"")</f>
        <v>-0.0561224489795918</v>
      </c>
      <c r="M27" s="14" t="n">
        <f aca="false">IF(ISNUMBER(L27),ABS(L27),"")</f>
        <v>0.0561224489795918</v>
      </c>
      <c r="N27" s="2" t="str">
        <f aca="false">IF(ISNUMBER(M27),IF(M27&lt;=Summary!$B$4,"Agree","Check"),IF(ISNUMBER(J27),"DGE only",IF(ISNUMBER(K27),"ILO only","Not scored")))</f>
        <v>Check</v>
      </c>
      <c r="O27" s="14" t="n">
        <f aca="false">IF(ISNUMBER(J27),J27,IF(ISNUMBER(K27),K27,""))</f>
        <v>0.403877551020408</v>
      </c>
      <c r="P27" s="2" t="str">
        <f aca="false">IF(ISNUMBER(J27),"DGE",IF(ISNUMBER(K27),"ILO table",""))</f>
        <v>DGE</v>
      </c>
    </row>
    <row r="28" customFormat="false" ht="15" hidden="false" customHeight="false" outlineLevel="0" collapsed="false">
      <c r="A28" s="2" t="s">
        <v>112</v>
      </c>
      <c r="B28" s="2" t="s">
        <v>113</v>
      </c>
      <c r="C28" s="2" t="s">
        <v>114</v>
      </c>
      <c r="D28" s="2" t="s">
        <v>115</v>
      </c>
      <c r="E28" s="2" t="s">
        <v>116</v>
      </c>
      <c r="F28" s="2" t="s">
        <v>116</v>
      </c>
      <c r="G28" s="12" t="n">
        <v>0.5</v>
      </c>
      <c r="H28" s="13" t="n">
        <f aca="false">SUMPRODUCT(('DGE links'!$F$2:$F$3451=A28)*1)</f>
        <v>44</v>
      </c>
      <c r="I28" s="13" t="n">
        <f aca="false">SUMPRODUCT(('ILO links'!$G$2:$G$674=A28)*'ILO links'!$J$2:$J$674)</f>
        <v>7</v>
      </c>
      <c r="J28" s="7" t="n">
        <f aca="false">IFERROR(SUMPRODUCT(('DGE links'!$F$2:$F$3451=A28)*'DGE links'!$H$2:$H$3451*'DGE links'!$I$2:$I$3451*'DGE links'!$J$2:$J$3451)/SUMPRODUCT(('DGE links'!$F$2:$F$3451=A28)*'DGE links'!$H$2:$H$3451*'DGE links'!$J$2:$J$3451),"")</f>
        <v>0.386079545454546</v>
      </c>
      <c r="K28" s="7" t="n">
        <f aca="false">IFERROR(AVERAGEIFS('ILO links'!$H$2:$H$674,'ILO links'!$G$2:$G$674,A28,'ILO links'!$J$2:$J$674,1),"")</f>
        <v>0.35</v>
      </c>
      <c r="L28" s="14" t="n">
        <f aca="false">IF(AND(ISNUMBER(J28),ISNUMBER(K28)),J28-K28,"")</f>
        <v>0.0360795454545455</v>
      </c>
      <c r="M28" s="14" t="n">
        <f aca="false">IF(ISNUMBER(L28),ABS(L28),"")</f>
        <v>0.0360795454545455</v>
      </c>
      <c r="N28" s="2" t="str">
        <f aca="false">IF(ISNUMBER(M28),IF(M28&lt;=Summary!$B$4,"Agree","Check"),IF(ISNUMBER(J28),"DGE only",IF(ISNUMBER(K28),"ILO only","Not scored")))</f>
        <v>Agree</v>
      </c>
      <c r="O28" s="14" t="n">
        <f aca="false">IF(ISNUMBER(J28),J28,IF(ISNUMBER(K28),K28,""))</f>
        <v>0.386079545454546</v>
      </c>
      <c r="P28" s="2" t="str">
        <f aca="false">IF(ISNUMBER(J28),"DGE",IF(ISNUMBER(K28),"ILO table",""))</f>
        <v>DGE</v>
      </c>
    </row>
    <row r="29" customFormat="false" ht="15" hidden="false" customHeight="false" outlineLevel="0" collapsed="false">
      <c r="A29" s="2" t="s">
        <v>117</v>
      </c>
      <c r="B29" s="2" t="s">
        <v>109</v>
      </c>
      <c r="C29" s="2" t="s">
        <v>110</v>
      </c>
      <c r="D29" s="2" t="s">
        <v>109</v>
      </c>
      <c r="E29" s="2" t="s">
        <v>109</v>
      </c>
      <c r="F29" s="2" t="s">
        <v>109</v>
      </c>
      <c r="G29" s="12" t="n">
        <v>1</v>
      </c>
      <c r="H29" s="13" t="n">
        <f aca="false">SUMPRODUCT(('DGE links'!$F$2:$F$3451=A29)*1)</f>
        <v>3</v>
      </c>
      <c r="I29" s="13" t="n">
        <f aca="false">SUMPRODUCT(('ILO links'!$G$2:$G$674=A29)*'ILO links'!$J$2:$J$674)</f>
        <v>1</v>
      </c>
      <c r="J29" s="7" t="n">
        <f aca="false">IFERROR(SUMPRODUCT(('DGE links'!$F$2:$F$3451=A29)*'DGE links'!$H$2:$H$3451*'DGE links'!$I$2:$I$3451*'DGE links'!$J$2:$J$3451)/SUMPRODUCT(('DGE links'!$F$2:$F$3451=A29)*'DGE links'!$H$2:$H$3451*'DGE links'!$J$2:$J$3451),"")</f>
        <v>0.39</v>
      </c>
      <c r="K29" s="7" t="n">
        <f aca="false">IFERROR(AVERAGEIFS('ILO links'!$H$2:$H$674,'ILO links'!$G$2:$G$674,A29,'ILO links'!$J$2:$J$674,1),"")</f>
        <v>0.17</v>
      </c>
      <c r="L29" s="14" t="n">
        <f aca="false">IF(AND(ISNUMBER(J29),ISNUMBER(K29)),J29-K29,"")</f>
        <v>0.22</v>
      </c>
      <c r="M29" s="14" t="n">
        <f aca="false">IF(ISNUMBER(L29),ABS(L29),"")</f>
        <v>0.22</v>
      </c>
      <c r="N29" s="2" t="str">
        <f aca="false">IF(ISNUMBER(M29),IF(M29&lt;=Summary!$B$4,"Agree","Check"),IF(ISNUMBER(J29),"DGE only",IF(ISNUMBER(K29),"ILO only","Not scored")))</f>
        <v>Check</v>
      </c>
      <c r="O29" s="14" t="n">
        <f aca="false">IF(ISNUMBER(J29),J29,IF(ISNUMBER(K29),K29,""))</f>
        <v>0.39</v>
      </c>
      <c r="P29" s="2" t="str">
        <f aca="false">IF(ISNUMBER(J29),"DGE",IF(ISNUMBER(K29),"ILO table",""))</f>
        <v>DGE</v>
      </c>
    </row>
    <row r="30" customFormat="false" ht="15" hidden="false" customHeight="false" outlineLevel="0" collapsed="false">
      <c r="A30" s="2" t="s">
        <v>118</v>
      </c>
      <c r="B30" s="2" t="s">
        <v>118</v>
      </c>
      <c r="C30" s="2" t="s">
        <v>119</v>
      </c>
      <c r="D30" s="2" t="s">
        <v>120</v>
      </c>
      <c r="E30" s="2" t="s">
        <v>120</v>
      </c>
      <c r="F30" s="2" t="s">
        <v>120</v>
      </c>
      <c r="G30" s="12" t="n">
        <v>1</v>
      </c>
      <c r="H30" s="13" t="n">
        <f aca="false">SUMPRODUCT(('DGE links'!$F$2:$F$3451=A30)*1)</f>
        <v>63</v>
      </c>
      <c r="I30" s="13" t="n">
        <f aca="false">SUMPRODUCT(('ILO links'!$G$2:$G$674=A30)*'ILO links'!$J$2:$J$674)</f>
        <v>10</v>
      </c>
      <c r="J30" s="7" t="n">
        <f aca="false">IFERROR(SUMPRODUCT(('DGE links'!$F$2:$F$3451=A30)*'DGE links'!$H$2:$H$3451*'DGE links'!$I$2:$I$3451*'DGE links'!$J$2:$J$3451)/SUMPRODUCT(('DGE links'!$F$2:$F$3451=A30)*'DGE links'!$H$2:$H$3451*'DGE links'!$J$2:$J$3451),"")</f>
        <v>0.302335483870968</v>
      </c>
      <c r="K30" s="7" t="n">
        <f aca="false">IFERROR(AVERAGEIFS('ILO links'!$H$2:$H$674,'ILO links'!$G$2:$G$674,A30,'ILO links'!$J$2:$J$674,1),"")</f>
        <v>0.311</v>
      </c>
      <c r="L30" s="14" t="n">
        <f aca="false">IF(AND(ISNUMBER(J30),ISNUMBER(K30)),J30-K30,"")</f>
        <v>-0.00866451612903235</v>
      </c>
      <c r="M30" s="14" t="n">
        <f aca="false">IF(ISNUMBER(L30),ABS(L30),"")</f>
        <v>0.00866451612903235</v>
      </c>
      <c r="N30" s="2" t="str">
        <f aca="false">IF(ISNUMBER(M30),IF(M30&lt;=Summary!$B$4,"Agree","Check"),IF(ISNUMBER(J30),"DGE only",IF(ISNUMBER(K30),"ILO only","Not scored")))</f>
        <v>Agree</v>
      </c>
      <c r="O30" s="14" t="n">
        <f aca="false">IF(ISNUMBER(J30),J30,IF(ISNUMBER(K30),K30,""))</f>
        <v>0.302335483870968</v>
      </c>
      <c r="P30" s="2" t="str">
        <f aca="false">IF(ISNUMBER(J30),"DGE",IF(ISNUMBER(K30),"ILO table",""))</f>
        <v>DGE</v>
      </c>
    </row>
    <row r="31" customFormat="false" ht="15" hidden="false" customHeight="false" outlineLevel="0" collapsed="false">
      <c r="A31" s="2" t="s">
        <v>121</v>
      </c>
      <c r="B31" s="2" t="s">
        <v>122</v>
      </c>
      <c r="C31" s="2" t="s">
        <v>123</v>
      </c>
      <c r="D31" s="2" t="s">
        <v>122</v>
      </c>
      <c r="E31" s="2" t="s">
        <v>124</v>
      </c>
      <c r="F31" s="2" t="s">
        <v>122</v>
      </c>
      <c r="G31" s="12" t="n">
        <v>0.5</v>
      </c>
      <c r="H31" s="13" t="n">
        <f aca="false">SUMPRODUCT(('DGE links'!$F$2:$F$3451=A31)*1)</f>
        <v>7</v>
      </c>
      <c r="I31" s="13" t="n">
        <f aca="false">SUMPRODUCT(('ILO links'!$G$2:$G$674=A31)*'ILO links'!$J$2:$J$674)</f>
        <v>5</v>
      </c>
      <c r="J31" s="7" t="n">
        <f aca="false">IFERROR(SUMPRODUCT(('DGE links'!$F$2:$F$3451=A31)*'DGE links'!$H$2:$H$3451*'DGE links'!$I$2:$I$3451*'DGE links'!$J$2:$J$3451)/SUMPRODUCT(('DGE links'!$F$2:$F$3451=A31)*'DGE links'!$H$2:$H$3451*'DGE links'!$J$2:$J$3451),"")</f>
        <v>0.465</v>
      </c>
      <c r="K31" s="7" t="n">
        <f aca="false">IFERROR(AVERAGEIFS('ILO links'!$H$2:$H$674,'ILO links'!$G$2:$G$674,A31,'ILO links'!$J$2:$J$674,1),"")</f>
        <v>0.465</v>
      </c>
      <c r="L31" s="14" t="n">
        <f aca="false">IF(AND(ISNUMBER(J31),ISNUMBER(K31)),J31-K31,"")</f>
        <v>0</v>
      </c>
      <c r="M31" s="14" t="n">
        <f aca="false">IF(ISNUMBER(L31),ABS(L31),"")</f>
        <v>0</v>
      </c>
      <c r="N31" s="2" t="str">
        <f aca="false">IF(ISNUMBER(M31),IF(M31&lt;=Summary!$B$4,"Agree","Check"),IF(ISNUMBER(J31),"DGE only",IF(ISNUMBER(K31),"ILO only","Not scored")))</f>
        <v>Agree</v>
      </c>
      <c r="O31" s="14" t="n">
        <f aca="false">IF(ISNUMBER(J31),J31,IF(ISNUMBER(K31),K31,""))</f>
        <v>0.465</v>
      </c>
      <c r="P31" s="2" t="str">
        <f aca="false">IF(ISNUMBER(J31),"DGE",IF(ISNUMBER(K31),"ILO table",""))</f>
        <v>DGE</v>
      </c>
    </row>
    <row r="32" customFormat="false" ht="15" hidden="false" customHeight="false" outlineLevel="0" collapsed="false">
      <c r="A32" s="2" t="s">
        <v>125</v>
      </c>
      <c r="B32" s="2" t="s">
        <v>126</v>
      </c>
      <c r="C32" s="2" t="s">
        <v>127</v>
      </c>
      <c r="D32" s="2" t="s">
        <v>128</v>
      </c>
      <c r="E32" s="2" t="s">
        <v>129</v>
      </c>
      <c r="F32" s="2" t="s">
        <v>129</v>
      </c>
      <c r="G32" s="12" t="n">
        <v>0.75</v>
      </c>
      <c r="H32" s="13" t="n">
        <f aca="false">SUMPRODUCT(('DGE links'!$F$2:$F$3451=A32)*1)</f>
        <v>29</v>
      </c>
      <c r="I32" s="13" t="n">
        <f aca="false">SUMPRODUCT(('ILO links'!$G$2:$G$674=A32)*'ILO links'!$J$2:$J$674)</f>
        <v>4</v>
      </c>
      <c r="J32" s="7" t="n">
        <f aca="false">IFERROR(SUMPRODUCT(('DGE links'!$F$2:$F$3451=A32)*'DGE links'!$H$2:$H$3451*'DGE links'!$I$2:$I$3451*'DGE links'!$J$2:$J$3451)/SUMPRODUCT(('DGE links'!$F$2:$F$3451=A32)*'DGE links'!$H$2:$H$3451*'DGE links'!$J$2:$J$3451),"")</f>
        <v>0.369955172413793</v>
      </c>
      <c r="K32" s="7" t="n">
        <f aca="false">IFERROR(AVERAGEIFS('ILO links'!$H$2:$H$674,'ILO links'!$G$2:$G$674,A32,'ILO links'!$J$2:$J$674,1),"")</f>
        <v>0.3525</v>
      </c>
      <c r="L32" s="14" t="n">
        <f aca="false">IF(AND(ISNUMBER(J32),ISNUMBER(K32)),J32-K32,"")</f>
        <v>0.0174551724137931</v>
      </c>
      <c r="M32" s="14" t="n">
        <f aca="false">IF(ISNUMBER(L32),ABS(L32),"")</f>
        <v>0.0174551724137931</v>
      </c>
      <c r="N32" s="2" t="str">
        <f aca="false">IF(ISNUMBER(M32),IF(M32&lt;=Summary!$B$4,"Agree","Check"),IF(ISNUMBER(J32),"DGE only",IF(ISNUMBER(K32),"ILO only","Not scored")))</f>
        <v>Agree</v>
      </c>
      <c r="O32" s="14" t="n">
        <f aca="false">IF(ISNUMBER(J32),J32,IF(ISNUMBER(K32),K32,""))</f>
        <v>0.369955172413793</v>
      </c>
      <c r="P32" s="2" t="str">
        <f aca="false">IF(ISNUMBER(J32),"DGE",IF(ISNUMBER(K32),"ILO table",""))</f>
        <v>DGE</v>
      </c>
    </row>
    <row r="33" customFormat="false" ht="15" hidden="false" customHeight="false" outlineLevel="0" collapsed="false">
      <c r="A33" s="2" t="s">
        <v>130</v>
      </c>
      <c r="B33" s="2" t="s">
        <v>131</v>
      </c>
      <c r="C33" s="2" t="s">
        <v>132</v>
      </c>
      <c r="D33" s="2" t="s">
        <v>131</v>
      </c>
      <c r="E33" s="2" t="s">
        <v>131</v>
      </c>
      <c r="F33" s="2" t="s">
        <v>131</v>
      </c>
      <c r="G33" s="12" t="n">
        <v>1</v>
      </c>
      <c r="H33" s="13" t="n">
        <f aca="false">SUMPRODUCT(('DGE links'!$F$2:$F$3451=A33)*1)</f>
        <v>29</v>
      </c>
      <c r="I33" s="13" t="n">
        <f aca="false">SUMPRODUCT(('ILO links'!$G$2:$G$674=A33)*'ILO links'!$J$2:$J$674)</f>
        <v>5</v>
      </c>
      <c r="J33" s="7" t="n">
        <f aca="false">IFERROR(SUMPRODUCT(('DGE links'!$F$2:$F$3451=A33)*'DGE links'!$H$2:$H$3451*'DGE links'!$I$2:$I$3451*'DGE links'!$J$2:$J$3451)/SUMPRODUCT(('DGE links'!$F$2:$F$3451=A33)*'DGE links'!$H$2:$H$3451*'DGE links'!$J$2:$J$3451),"")</f>
        <v>0.288</v>
      </c>
      <c r="K33" s="7" t="n">
        <f aca="false">IFERROR(AVERAGEIFS('ILO links'!$H$2:$H$674,'ILO links'!$G$2:$G$674,A33,'ILO links'!$J$2:$J$674,1),"")</f>
        <v>0.288</v>
      </c>
      <c r="L33" s="14" t="n">
        <f aca="false">IF(AND(ISNUMBER(J33),ISNUMBER(K33)),J33-K33,"")</f>
        <v>0</v>
      </c>
      <c r="M33" s="14" t="n">
        <f aca="false">IF(ISNUMBER(L33),ABS(L33),"")</f>
        <v>0</v>
      </c>
      <c r="N33" s="2" t="str">
        <f aca="false">IF(ISNUMBER(M33),IF(M33&lt;=Summary!$B$4,"Agree","Check"),IF(ISNUMBER(J33),"DGE only",IF(ISNUMBER(K33),"ILO only","Not scored")))</f>
        <v>Agree</v>
      </c>
      <c r="O33" s="14" t="n">
        <f aca="false">IF(ISNUMBER(J33),J33,IF(ISNUMBER(K33),K33,""))</f>
        <v>0.288</v>
      </c>
      <c r="P33" s="2" t="str">
        <f aca="false">IF(ISNUMBER(J33),"DGE",IF(ISNUMBER(K33),"ILO table",""))</f>
        <v>DGE</v>
      </c>
    </row>
    <row r="34" customFormat="false" ht="15" hidden="false" customHeight="false" outlineLevel="0" collapsed="false">
      <c r="A34" s="2" t="s">
        <v>131</v>
      </c>
      <c r="B34" s="2" t="s">
        <v>118</v>
      </c>
      <c r="C34" s="2" t="s">
        <v>119</v>
      </c>
      <c r="D34" s="2" t="s">
        <v>133</v>
      </c>
      <c r="E34" s="2" t="s">
        <v>134</v>
      </c>
      <c r="F34" s="2" t="s">
        <v>133</v>
      </c>
      <c r="G34" s="12" t="n">
        <v>0.6</v>
      </c>
      <c r="H34" s="13" t="n">
        <f aca="false">SUMPRODUCT(('DGE links'!$F$2:$F$3451=A34)*1)</f>
        <v>9</v>
      </c>
      <c r="I34" s="13" t="n">
        <f aca="false">SUMPRODUCT(('ILO links'!$G$2:$G$674=A34)*'ILO links'!$J$2:$J$674)</f>
        <v>9</v>
      </c>
      <c r="J34" s="7" t="n">
        <f aca="false">IFERROR(SUMPRODUCT(('DGE links'!$F$2:$F$3451=A34)*'DGE links'!$H$2:$H$3451*'DGE links'!$I$2:$I$3451*'DGE links'!$J$2:$J$3451)/SUMPRODUCT(('DGE links'!$F$2:$F$3451=A34)*'DGE links'!$H$2:$H$3451*'DGE links'!$J$2:$J$3451),"")</f>
        <v>0.2374</v>
      </c>
      <c r="K34" s="7" t="n">
        <f aca="false">IFERROR(AVERAGEIFS('ILO links'!$H$2:$H$674,'ILO links'!$G$2:$G$674,A34,'ILO links'!$J$2:$J$674,1),"")</f>
        <v>0.295555555555556</v>
      </c>
      <c r="L34" s="14" t="n">
        <f aca="false">IF(AND(ISNUMBER(J34),ISNUMBER(K34)),J34-K34,"")</f>
        <v>-0.0581555555555556</v>
      </c>
      <c r="M34" s="14" t="n">
        <f aca="false">IF(ISNUMBER(L34),ABS(L34),"")</f>
        <v>0.0581555555555556</v>
      </c>
      <c r="N34" s="2" t="str">
        <f aca="false">IF(ISNUMBER(M34),IF(M34&lt;=Summary!$B$4,"Agree","Check"),IF(ISNUMBER(J34),"DGE only",IF(ISNUMBER(K34),"ILO only","Not scored")))</f>
        <v>Check</v>
      </c>
      <c r="O34" s="14" t="n">
        <f aca="false">IF(ISNUMBER(J34),J34,IF(ISNUMBER(K34),K34,""))</f>
        <v>0.2374</v>
      </c>
      <c r="P34" s="2" t="str">
        <f aca="false">IF(ISNUMBER(J34),"DGE",IF(ISNUMBER(K34),"ILO table",""))</f>
        <v>DGE</v>
      </c>
    </row>
    <row r="35" customFormat="false" ht="15" hidden="false" customHeight="false" outlineLevel="0" collapsed="false">
      <c r="A35" s="2" t="s">
        <v>135</v>
      </c>
      <c r="B35" s="2" t="s">
        <v>136</v>
      </c>
      <c r="C35" s="2" t="s">
        <v>137</v>
      </c>
      <c r="D35" s="2" t="s">
        <v>138</v>
      </c>
      <c r="E35" s="2" t="s">
        <v>139</v>
      </c>
      <c r="F35" s="2" t="s">
        <v>139</v>
      </c>
      <c r="G35" s="12" t="n">
        <v>0.75</v>
      </c>
      <c r="H35" s="13" t="n">
        <f aca="false">SUMPRODUCT(('DGE links'!$F$2:$F$3451=A35)*1)</f>
        <v>11</v>
      </c>
      <c r="I35" s="13" t="n">
        <f aca="false">SUMPRODUCT(('ILO links'!$G$2:$G$674=A35)*'ILO links'!$J$2:$J$674)</f>
        <v>5</v>
      </c>
      <c r="J35" s="7" t="n">
        <f aca="false">IFERROR(SUMPRODUCT(('DGE links'!$F$2:$F$3451=A35)*'DGE links'!$H$2:$H$3451*'DGE links'!$I$2:$I$3451*'DGE links'!$J$2:$J$3451)/SUMPRODUCT(('DGE links'!$F$2:$F$3451=A35)*'DGE links'!$H$2:$H$3451*'DGE links'!$J$2:$J$3451),"")</f>
        <v>0.276336363636364</v>
      </c>
      <c r="K35" s="7" t="n">
        <f aca="false">IFERROR(AVERAGEIFS('ILO links'!$H$2:$H$674,'ILO links'!$G$2:$G$674,A35,'ILO links'!$J$2:$J$674,1),"")</f>
        <v>0.29</v>
      </c>
      <c r="L35" s="14" t="n">
        <f aca="false">IF(AND(ISNUMBER(J35),ISNUMBER(K35)),J35-K35,"")</f>
        <v>-0.0136636363636364</v>
      </c>
      <c r="M35" s="14" t="n">
        <f aca="false">IF(ISNUMBER(L35),ABS(L35),"")</f>
        <v>0.0136636363636364</v>
      </c>
      <c r="N35" s="2" t="str">
        <f aca="false">IF(ISNUMBER(M35),IF(M35&lt;=Summary!$B$4,"Agree","Check"),IF(ISNUMBER(J35),"DGE only",IF(ISNUMBER(K35),"ILO only","Not scored")))</f>
        <v>Agree</v>
      </c>
      <c r="O35" s="14" t="n">
        <f aca="false">IF(ISNUMBER(J35),J35,IF(ISNUMBER(K35),K35,""))</f>
        <v>0.276336363636364</v>
      </c>
      <c r="P35" s="2" t="str">
        <f aca="false">IF(ISNUMBER(J35),"DGE",IF(ISNUMBER(K35),"ILO table",""))</f>
        <v>DGE</v>
      </c>
    </row>
    <row r="36" customFormat="false" ht="15" hidden="false" customHeight="false" outlineLevel="0" collapsed="false">
      <c r="A36" s="2" t="s">
        <v>140</v>
      </c>
      <c r="B36" s="2" t="s">
        <v>141</v>
      </c>
      <c r="C36" s="2" t="s">
        <v>142</v>
      </c>
      <c r="D36" s="2" t="s">
        <v>143</v>
      </c>
      <c r="E36" s="2" t="s">
        <v>144</v>
      </c>
      <c r="F36" s="2" t="s">
        <v>143</v>
      </c>
      <c r="G36" s="12" t="n">
        <v>0.833333333333333</v>
      </c>
      <c r="H36" s="13" t="n">
        <f aca="false">SUMPRODUCT(('DGE links'!$F$2:$F$3451=A36)*1)</f>
        <v>32</v>
      </c>
      <c r="I36" s="13" t="n">
        <f aca="false">SUMPRODUCT(('ILO links'!$G$2:$G$674=A36)*'ILO links'!$J$2:$J$674)</f>
        <v>17</v>
      </c>
      <c r="J36" s="7" t="n">
        <f aca="false">IFERROR(SUMPRODUCT(('DGE links'!$F$2:$F$3451=A36)*'DGE links'!$H$2:$H$3451*'DGE links'!$I$2:$I$3451*'DGE links'!$J$2:$J$3451)/SUMPRODUCT(('DGE links'!$F$2:$F$3451=A36)*'DGE links'!$H$2:$H$3451*'DGE links'!$J$2:$J$3451),"")</f>
        <v>0.243440625</v>
      </c>
      <c r="K36" s="7" t="n">
        <f aca="false">IFERROR(AVERAGEIFS('ILO links'!$H$2:$H$674,'ILO links'!$G$2:$G$674,A36,'ILO links'!$J$2:$J$674,1),"")</f>
        <v>0.254117647058824</v>
      </c>
      <c r="L36" s="14" t="n">
        <f aca="false">IF(AND(ISNUMBER(J36),ISNUMBER(K36)),J36-K36,"")</f>
        <v>-0.0106770220588236</v>
      </c>
      <c r="M36" s="14" t="n">
        <f aca="false">IF(ISNUMBER(L36),ABS(L36),"")</f>
        <v>0.0106770220588236</v>
      </c>
      <c r="N36" s="2" t="str">
        <f aca="false">IF(ISNUMBER(M36),IF(M36&lt;=Summary!$B$4,"Agree","Check"),IF(ISNUMBER(J36),"DGE only",IF(ISNUMBER(K36),"ILO only","Not scored")))</f>
        <v>Agree</v>
      </c>
      <c r="O36" s="14" t="n">
        <f aca="false">IF(ISNUMBER(J36),J36,IF(ISNUMBER(K36),K36,""))</f>
        <v>0.243440625</v>
      </c>
      <c r="P36" s="2" t="str">
        <f aca="false">IF(ISNUMBER(J36),"DGE",IF(ISNUMBER(K36),"ILO table",""))</f>
        <v>DGE</v>
      </c>
    </row>
    <row r="37" customFormat="false" ht="15" hidden="false" customHeight="false" outlineLevel="0" collapsed="false">
      <c r="A37" s="2" t="s">
        <v>145</v>
      </c>
      <c r="B37" s="2" t="s">
        <v>140</v>
      </c>
      <c r="C37" s="2" t="s">
        <v>146</v>
      </c>
      <c r="D37" s="2" t="s">
        <v>140</v>
      </c>
      <c r="E37" s="2" t="s">
        <v>140</v>
      </c>
      <c r="F37" s="2" t="s">
        <v>140</v>
      </c>
      <c r="G37" s="12" t="n">
        <v>1</v>
      </c>
      <c r="H37" s="13" t="n">
        <f aca="false">SUMPRODUCT(('DGE links'!$F$2:$F$3451=A37)*1)</f>
        <v>8</v>
      </c>
      <c r="I37" s="13" t="n">
        <f aca="false">SUMPRODUCT(('ILO links'!$G$2:$G$674=A37)*'ILO links'!$J$2:$J$674)</f>
        <v>2</v>
      </c>
      <c r="J37" s="7" t="n">
        <f aca="false">IFERROR(SUMPRODUCT(('DGE links'!$F$2:$F$3451=A37)*'DGE links'!$H$2:$H$3451*'DGE links'!$I$2:$I$3451*'DGE links'!$J$2:$J$3451)/SUMPRODUCT(('DGE links'!$F$2:$F$3451=A37)*'DGE links'!$H$2:$H$3451*'DGE links'!$J$2:$J$3451),"")</f>
        <v>0.21</v>
      </c>
      <c r="K37" s="7" t="n">
        <f aca="false">IFERROR(AVERAGEIFS('ILO links'!$H$2:$H$674,'ILO links'!$G$2:$G$674,A37,'ILO links'!$J$2:$J$674,1),"")</f>
        <v>0.21</v>
      </c>
      <c r="L37" s="14" t="n">
        <f aca="false">IF(AND(ISNUMBER(J37),ISNUMBER(K37)),J37-K37,"")</f>
        <v>0</v>
      </c>
      <c r="M37" s="14" t="n">
        <f aca="false">IF(ISNUMBER(L37),ABS(L37),"")</f>
        <v>0</v>
      </c>
      <c r="N37" s="2" t="str">
        <f aca="false">IF(ISNUMBER(M37),IF(M37&lt;=Summary!$B$4,"Agree","Check"),IF(ISNUMBER(J37),"DGE only",IF(ISNUMBER(K37),"ILO only","Not scored")))</f>
        <v>Agree</v>
      </c>
      <c r="O37" s="14" t="n">
        <f aca="false">IF(ISNUMBER(J37),J37,IF(ISNUMBER(K37),K37,""))</f>
        <v>0.21</v>
      </c>
      <c r="P37" s="2" t="str">
        <f aca="false">IF(ISNUMBER(J37),"DGE",IF(ISNUMBER(K37),"ILO table",""))</f>
        <v>DGE</v>
      </c>
    </row>
    <row r="38" customFormat="false" ht="15" hidden="false" customHeight="false" outlineLevel="0" collapsed="false">
      <c r="A38" s="2" t="s">
        <v>147</v>
      </c>
      <c r="B38" s="2" t="s">
        <v>85</v>
      </c>
      <c r="C38" s="2" t="s">
        <v>148</v>
      </c>
      <c r="D38" s="2" t="s">
        <v>85</v>
      </c>
      <c r="E38" s="2" t="s">
        <v>149</v>
      </c>
      <c r="F38" s="2" t="s">
        <v>85</v>
      </c>
      <c r="G38" s="12" t="n">
        <v>0.333333333333333</v>
      </c>
      <c r="H38" s="13" t="n">
        <f aca="false">SUMPRODUCT(('DGE links'!$F$2:$F$3451=A38)*1)</f>
        <v>1</v>
      </c>
      <c r="I38" s="13" t="n">
        <f aca="false">SUMPRODUCT(('ILO links'!$G$2:$G$674=A38)*'ILO links'!$J$2:$J$674)</f>
        <v>3</v>
      </c>
      <c r="J38" s="7" t="n">
        <f aca="false">IFERROR(SUMPRODUCT(('DGE links'!$F$2:$F$3451=A38)*'DGE links'!$H$2:$H$3451*'DGE links'!$I$2:$I$3451*'DGE links'!$J$2:$J$3451)/SUMPRODUCT(('DGE links'!$F$2:$F$3451=A38)*'DGE links'!$H$2:$H$3451*'DGE links'!$J$2:$J$3451),"")</f>
        <v>0.32</v>
      </c>
      <c r="K38" s="7" t="n">
        <f aca="false">IFERROR(AVERAGEIFS('ILO links'!$H$2:$H$674,'ILO links'!$G$2:$G$674,A38,'ILO links'!$J$2:$J$674,1),"")</f>
        <v>0.24</v>
      </c>
      <c r="L38" s="14" t="n">
        <f aca="false">IF(AND(ISNUMBER(J38),ISNUMBER(K38)),J38-K38,"")</f>
        <v>0.08</v>
      </c>
      <c r="M38" s="14" t="n">
        <f aca="false">IF(ISNUMBER(L38),ABS(L38),"")</f>
        <v>0.08</v>
      </c>
      <c r="N38" s="2" t="str">
        <f aca="false">IF(ISNUMBER(M38),IF(M38&lt;=Summary!$B$4,"Agree","Check"),IF(ISNUMBER(J38),"DGE only",IF(ISNUMBER(K38),"ILO only","Not scored")))</f>
        <v>Check</v>
      </c>
      <c r="O38" s="14" t="n">
        <f aca="false">IF(ISNUMBER(J38),J38,IF(ISNUMBER(K38),K38,""))</f>
        <v>0.32</v>
      </c>
      <c r="P38" s="2" t="str">
        <f aca="false">IF(ISNUMBER(J38),"DGE",IF(ISNUMBER(K38),"ILO table",""))</f>
        <v>DGE</v>
      </c>
    </row>
    <row r="39" customFormat="false" ht="15" hidden="false" customHeight="false" outlineLevel="0" collapsed="false">
      <c r="A39" s="2" t="s">
        <v>150</v>
      </c>
      <c r="B39" s="2" t="s">
        <v>97</v>
      </c>
      <c r="C39" s="2" t="s">
        <v>151</v>
      </c>
      <c r="D39" s="2" t="s">
        <v>97</v>
      </c>
      <c r="E39" s="2" t="s">
        <v>97</v>
      </c>
      <c r="F39" s="2" t="s">
        <v>97</v>
      </c>
      <c r="G39" s="12" t="n">
        <v>1</v>
      </c>
      <c r="H39" s="13" t="n">
        <f aca="false">SUMPRODUCT(('DGE links'!$F$2:$F$3451=A39)*1)</f>
        <v>4</v>
      </c>
      <c r="I39" s="13" t="n">
        <f aca="false">SUMPRODUCT(('ILO links'!$G$2:$G$674=A39)*'ILO links'!$J$2:$J$674)</f>
        <v>1</v>
      </c>
      <c r="J39" s="7" t="n">
        <f aca="false">IFERROR(SUMPRODUCT(('DGE links'!$F$2:$F$3451=A39)*'DGE links'!$H$2:$H$3451*'DGE links'!$I$2:$I$3451*'DGE links'!$J$2:$J$3451)/SUMPRODUCT(('DGE links'!$F$2:$F$3451=A39)*'DGE links'!$H$2:$H$3451*'DGE links'!$J$2:$J$3451),"")</f>
        <v>0.235</v>
      </c>
      <c r="K39" s="7" t="n">
        <f aca="false">IFERROR(AVERAGEIFS('ILO links'!$H$2:$H$674,'ILO links'!$G$2:$G$674,A39,'ILO links'!$J$2:$J$674,1),"")</f>
        <v>0.26</v>
      </c>
      <c r="L39" s="14" t="n">
        <f aca="false">IF(AND(ISNUMBER(J39),ISNUMBER(K39)),J39-K39,"")</f>
        <v>-0.025</v>
      </c>
      <c r="M39" s="14" t="n">
        <f aca="false">IF(ISNUMBER(L39),ABS(L39),"")</f>
        <v>0.025</v>
      </c>
      <c r="N39" s="2" t="str">
        <f aca="false">IF(ISNUMBER(M39),IF(M39&lt;=Summary!$B$4,"Agree","Check"),IF(ISNUMBER(J39),"DGE only",IF(ISNUMBER(K39),"ILO only","Not scored")))</f>
        <v>Agree</v>
      </c>
      <c r="O39" s="14" t="n">
        <f aca="false">IF(ISNUMBER(J39),J39,IF(ISNUMBER(K39),K39,""))</f>
        <v>0.235</v>
      </c>
      <c r="P39" s="2" t="str">
        <f aca="false">IF(ISNUMBER(J39),"DGE",IF(ISNUMBER(K39),"ILO table",""))</f>
        <v>DGE</v>
      </c>
    </row>
    <row r="40" customFormat="false" ht="15" hidden="false" customHeight="false" outlineLevel="0" collapsed="false">
      <c r="A40" s="2" t="s">
        <v>152</v>
      </c>
      <c r="B40" s="2" t="s">
        <v>97</v>
      </c>
      <c r="C40" s="2" t="s">
        <v>151</v>
      </c>
      <c r="D40" s="2" t="s">
        <v>97</v>
      </c>
      <c r="E40" s="2" t="s">
        <v>97</v>
      </c>
      <c r="F40" s="2" t="s">
        <v>97</v>
      </c>
      <c r="G40" s="12" t="n">
        <v>1</v>
      </c>
      <c r="H40" s="13" t="n">
        <f aca="false">SUMPRODUCT(('DGE links'!$F$2:$F$3451=A40)*1)</f>
        <v>2</v>
      </c>
      <c r="I40" s="13" t="n">
        <f aca="false">SUMPRODUCT(('ILO links'!$G$2:$G$674=A40)*'ILO links'!$J$2:$J$674)</f>
        <v>1</v>
      </c>
      <c r="J40" s="7" t="n">
        <f aca="false">IFERROR(SUMPRODUCT(('DGE links'!$F$2:$F$3451=A40)*'DGE links'!$H$2:$H$3451*'DGE links'!$I$2:$I$3451*'DGE links'!$J$2:$J$3451)/SUMPRODUCT(('DGE links'!$F$2:$F$3451=A40)*'DGE links'!$H$2:$H$3451*'DGE links'!$J$2:$J$3451),"")</f>
        <v>0.235</v>
      </c>
      <c r="K40" s="7" t="n">
        <f aca="false">IFERROR(AVERAGEIFS('ILO links'!$H$2:$H$674,'ILO links'!$G$2:$G$674,A40,'ILO links'!$J$2:$J$674,1),"")</f>
        <v>0.21</v>
      </c>
      <c r="L40" s="14" t="n">
        <f aca="false">IF(AND(ISNUMBER(J40),ISNUMBER(K40)),J40-K40,"")</f>
        <v>0.025</v>
      </c>
      <c r="M40" s="14" t="n">
        <f aca="false">IF(ISNUMBER(L40),ABS(L40),"")</f>
        <v>0.025</v>
      </c>
      <c r="N40" s="2" t="str">
        <f aca="false">IF(ISNUMBER(M40),IF(M40&lt;=Summary!$B$4,"Agree","Check"),IF(ISNUMBER(J40),"DGE only",IF(ISNUMBER(K40),"ILO only","Not scored")))</f>
        <v>Agree</v>
      </c>
      <c r="O40" s="14" t="n">
        <f aca="false">IF(ISNUMBER(J40),J40,IF(ISNUMBER(K40),K40,""))</f>
        <v>0.235</v>
      </c>
      <c r="P40" s="2" t="str">
        <f aca="false">IF(ISNUMBER(J40),"DGE",IF(ISNUMBER(K40),"ILO table",""))</f>
        <v>DGE</v>
      </c>
    </row>
    <row r="41" customFormat="false" ht="15" hidden="false" customHeight="false" outlineLevel="0" collapsed="false">
      <c r="A41" s="2" t="s">
        <v>153</v>
      </c>
      <c r="B41" s="2" t="s">
        <v>95</v>
      </c>
      <c r="C41" s="2" t="s">
        <v>96</v>
      </c>
      <c r="D41" s="2" t="s">
        <v>95</v>
      </c>
      <c r="E41" s="2" t="s">
        <v>95</v>
      </c>
      <c r="F41" s="2" t="s">
        <v>95</v>
      </c>
      <c r="G41" s="12" t="n">
        <v>1</v>
      </c>
      <c r="H41" s="13" t="n">
        <f aca="false">SUMPRODUCT(('DGE links'!$F$2:$F$3451=A41)*1)</f>
        <v>5</v>
      </c>
      <c r="I41" s="13" t="n">
        <f aca="false">SUMPRODUCT(('ILO links'!$G$2:$G$674=A41)*'ILO links'!$J$2:$J$674)</f>
        <v>1</v>
      </c>
      <c r="J41" s="7" t="n">
        <f aca="false">IFERROR(SUMPRODUCT(('DGE links'!$F$2:$F$3451=A41)*'DGE links'!$H$2:$H$3451*'DGE links'!$I$2:$I$3451*'DGE links'!$J$2:$J$3451)/SUMPRODUCT(('DGE links'!$F$2:$F$3451=A41)*'DGE links'!$H$2:$H$3451*'DGE links'!$J$2:$J$3451),"")</f>
        <v>0.3586</v>
      </c>
      <c r="K41" s="7" t="n">
        <f aca="false">IFERROR(AVERAGEIFS('ILO links'!$H$2:$H$674,'ILO links'!$G$2:$G$674,A41,'ILO links'!$J$2:$J$674,1),"")</f>
        <v>0.28</v>
      </c>
      <c r="L41" s="14" t="n">
        <f aca="false">IF(AND(ISNUMBER(J41),ISNUMBER(K41)),J41-K41,"")</f>
        <v>0.0786</v>
      </c>
      <c r="M41" s="14" t="n">
        <f aca="false">IF(ISNUMBER(L41),ABS(L41),"")</f>
        <v>0.0786</v>
      </c>
      <c r="N41" s="2" t="str">
        <f aca="false">IF(ISNUMBER(M41),IF(M41&lt;=Summary!$B$4,"Agree","Check"),IF(ISNUMBER(J41),"DGE only",IF(ISNUMBER(K41),"ILO only","Not scored")))</f>
        <v>Check</v>
      </c>
      <c r="O41" s="14" t="n">
        <f aca="false">IF(ISNUMBER(J41),J41,IF(ISNUMBER(K41),K41,""))</f>
        <v>0.3586</v>
      </c>
      <c r="P41" s="2" t="str">
        <f aca="false">IF(ISNUMBER(J41),"DGE",IF(ISNUMBER(K41),"ILO table",""))</f>
        <v>DGE</v>
      </c>
    </row>
    <row r="42" customFormat="false" ht="15" hidden="false" customHeight="false" outlineLevel="0" collapsed="false">
      <c r="A42" s="2" t="s">
        <v>154</v>
      </c>
      <c r="B42" s="2" t="s">
        <v>95</v>
      </c>
      <c r="C42" s="2" t="s">
        <v>96</v>
      </c>
      <c r="D42" s="2" t="s">
        <v>95</v>
      </c>
      <c r="E42" s="2" t="s">
        <v>155</v>
      </c>
      <c r="F42" s="2" t="s">
        <v>95</v>
      </c>
      <c r="G42" s="12" t="n">
        <v>0.2</v>
      </c>
      <c r="H42" s="13" t="n">
        <f aca="false">SUMPRODUCT(('DGE links'!$F$2:$F$3451=A42)*1)</f>
        <v>3</v>
      </c>
      <c r="I42" s="13" t="n">
        <f aca="false">SUMPRODUCT(('ILO links'!$G$2:$G$674=A42)*'ILO links'!$J$2:$J$674)</f>
        <v>8</v>
      </c>
      <c r="J42" s="7" t="n">
        <f aca="false">IFERROR(SUMPRODUCT(('DGE links'!$F$2:$F$3451=A42)*'DGE links'!$H$2:$H$3451*'DGE links'!$I$2:$I$3451*'DGE links'!$J$2:$J$3451)/SUMPRODUCT(('DGE links'!$F$2:$F$3451=A42)*'DGE links'!$H$2:$H$3451*'DGE links'!$J$2:$J$3451),"")</f>
        <v>0.3586</v>
      </c>
      <c r="K42" s="7" t="n">
        <f aca="false">IFERROR(AVERAGEIFS('ILO links'!$H$2:$H$674,'ILO links'!$G$2:$G$674,A42,'ILO links'!$J$2:$J$674,1),"")</f>
        <v>0.315714285714286</v>
      </c>
      <c r="L42" s="14" t="n">
        <f aca="false">IF(AND(ISNUMBER(J42),ISNUMBER(K42)),J42-K42,"")</f>
        <v>0.0428857142857143</v>
      </c>
      <c r="M42" s="14" t="n">
        <f aca="false">IF(ISNUMBER(L42),ABS(L42),"")</f>
        <v>0.0428857142857143</v>
      </c>
      <c r="N42" s="2" t="str">
        <f aca="false">IF(ISNUMBER(M42),IF(M42&lt;=Summary!$B$4,"Agree","Check"),IF(ISNUMBER(J42),"DGE only",IF(ISNUMBER(K42),"ILO only","Not scored")))</f>
        <v>Agree</v>
      </c>
      <c r="O42" s="14" t="n">
        <f aca="false">IF(ISNUMBER(J42),J42,IF(ISNUMBER(K42),K42,""))</f>
        <v>0.3586</v>
      </c>
      <c r="P42" s="2" t="str">
        <f aca="false">IF(ISNUMBER(J42),"DGE",IF(ISNUMBER(K42),"ILO table",""))</f>
        <v>DGE</v>
      </c>
    </row>
    <row r="43" customFormat="false" ht="15" hidden="false" customHeight="false" outlineLevel="0" collapsed="false">
      <c r="A43" s="2" t="s">
        <v>156</v>
      </c>
      <c r="B43" s="2" t="s">
        <v>152</v>
      </c>
      <c r="C43" s="2" t="s">
        <v>157</v>
      </c>
      <c r="D43" s="2" t="s">
        <v>158</v>
      </c>
      <c r="E43" s="2" t="s">
        <v>159</v>
      </c>
      <c r="F43" s="2" t="s">
        <v>158</v>
      </c>
      <c r="G43" s="12" t="n">
        <v>0.833333333333333</v>
      </c>
      <c r="H43" s="13" t="n">
        <f aca="false">SUMPRODUCT(('DGE links'!$F$2:$F$3451=A43)*1)</f>
        <v>31</v>
      </c>
      <c r="I43" s="13" t="n">
        <f aca="false">SUMPRODUCT(('ILO links'!$G$2:$G$674=A43)*'ILO links'!$J$2:$J$674)</f>
        <v>13</v>
      </c>
      <c r="J43" s="7" t="n">
        <f aca="false">IFERROR(SUMPRODUCT(('DGE links'!$F$2:$F$3451=A43)*'DGE links'!$H$2:$H$3451*'DGE links'!$I$2:$I$3451*'DGE links'!$J$2:$J$3451)/SUMPRODUCT(('DGE links'!$F$2:$F$3451=A43)*'DGE links'!$H$2:$H$3451*'DGE links'!$J$2:$J$3451),"")</f>
        <v>0.48811935483871</v>
      </c>
      <c r="K43" s="7" t="n">
        <f aca="false">IFERROR(AVERAGEIFS('ILO links'!$H$2:$H$674,'ILO links'!$G$2:$G$674,A43,'ILO links'!$J$2:$J$674,1),"")</f>
        <v>0.5</v>
      </c>
      <c r="L43" s="14" t="n">
        <f aca="false">IF(AND(ISNUMBER(J43),ISNUMBER(K43)),J43-K43,"")</f>
        <v>-0.0118806451612903</v>
      </c>
      <c r="M43" s="14" t="n">
        <f aca="false">IF(ISNUMBER(L43),ABS(L43),"")</f>
        <v>0.0118806451612903</v>
      </c>
      <c r="N43" s="2" t="str">
        <f aca="false">IF(ISNUMBER(M43),IF(M43&lt;=Summary!$B$4,"Agree","Check"),IF(ISNUMBER(J43),"DGE only",IF(ISNUMBER(K43),"ILO only","Not scored")))</f>
        <v>Agree</v>
      </c>
      <c r="O43" s="14" t="n">
        <f aca="false">IF(ISNUMBER(J43),J43,IF(ISNUMBER(K43),K43,""))</f>
        <v>0.48811935483871</v>
      </c>
      <c r="P43" s="2" t="str">
        <f aca="false">IF(ISNUMBER(J43),"DGE",IF(ISNUMBER(K43),"ILO table",""))</f>
        <v>DGE</v>
      </c>
    </row>
    <row r="44" customFormat="false" ht="15" hidden="false" customHeight="false" outlineLevel="0" collapsed="false">
      <c r="A44" s="2" t="s">
        <v>160</v>
      </c>
      <c r="B44" s="2" t="s">
        <v>153</v>
      </c>
      <c r="C44" s="2" t="s">
        <v>161</v>
      </c>
      <c r="D44" s="2" t="s">
        <v>153</v>
      </c>
      <c r="E44" s="2" t="s">
        <v>162</v>
      </c>
      <c r="F44" s="2" t="s">
        <v>153</v>
      </c>
      <c r="G44" s="12" t="n">
        <v>0.5</v>
      </c>
      <c r="H44" s="13" t="n">
        <f aca="false">SUMPRODUCT(('DGE links'!$F$2:$F$3451=A44)*1)</f>
        <v>1</v>
      </c>
      <c r="I44" s="13" t="n">
        <f aca="false">SUMPRODUCT(('ILO links'!$G$2:$G$674=A44)*'ILO links'!$J$2:$J$674)</f>
        <v>4</v>
      </c>
      <c r="J44" s="7" t="n">
        <f aca="false">IFERROR(SUMPRODUCT(('DGE links'!$F$2:$F$3451=A44)*'DGE links'!$H$2:$H$3451*'DGE links'!$I$2:$I$3451*'DGE links'!$J$2:$J$3451)/SUMPRODUCT(('DGE links'!$F$2:$F$3451=A44)*'DGE links'!$H$2:$H$3451*'DGE links'!$J$2:$J$3451),"")</f>
        <v>0.446</v>
      </c>
      <c r="K44" s="7" t="n">
        <f aca="false">IFERROR(AVERAGEIFS('ILO links'!$H$2:$H$674,'ILO links'!$G$2:$G$674,A44,'ILO links'!$J$2:$J$674,1),"")</f>
        <v>0.46</v>
      </c>
      <c r="L44" s="14" t="n">
        <f aca="false">IF(AND(ISNUMBER(J44),ISNUMBER(K44)),J44-K44,"")</f>
        <v>-0.014</v>
      </c>
      <c r="M44" s="14" t="n">
        <f aca="false">IF(ISNUMBER(L44),ABS(L44),"")</f>
        <v>0.014</v>
      </c>
      <c r="N44" s="2" t="str">
        <f aca="false">IF(ISNUMBER(M44),IF(M44&lt;=Summary!$B$4,"Agree","Check"),IF(ISNUMBER(J44),"DGE only",IF(ISNUMBER(K44),"ILO only","Not scored")))</f>
        <v>Agree</v>
      </c>
      <c r="O44" s="14" t="n">
        <f aca="false">IF(ISNUMBER(J44),J44,IF(ISNUMBER(K44),K44,""))</f>
        <v>0.446</v>
      </c>
      <c r="P44" s="2" t="str">
        <f aca="false">IF(ISNUMBER(J44),"DGE",IF(ISNUMBER(K44),"ILO table",""))</f>
        <v>DGE</v>
      </c>
    </row>
    <row r="45" customFormat="false" ht="15" hidden="false" customHeight="false" outlineLevel="0" collapsed="false">
      <c r="A45" s="2" t="s">
        <v>163</v>
      </c>
      <c r="B45" s="2" t="s">
        <v>154</v>
      </c>
      <c r="C45" s="2" t="s">
        <v>164</v>
      </c>
      <c r="D45" s="2" t="s">
        <v>165</v>
      </c>
      <c r="E45" s="2" t="s">
        <v>166</v>
      </c>
      <c r="F45" s="2" t="s">
        <v>165</v>
      </c>
      <c r="G45" s="12" t="n">
        <v>0.5</v>
      </c>
      <c r="H45" s="13" t="n">
        <f aca="false">SUMPRODUCT(('DGE links'!$F$2:$F$3451=A45)*1)</f>
        <v>13</v>
      </c>
      <c r="I45" s="13" t="n">
        <f aca="false">SUMPRODUCT(('ILO links'!$G$2:$G$674=A45)*'ILO links'!$J$2:$J$674)</f>
        <v>10</v>
      </c>
      <c r="J45" s="7" t="n">
        <f aca="false">IFERROR(SUMPRODUCT(('DGE links'!$F$2:$F$3451=A45)*'DGE links'!$H$2:$H$3451*'DGE links'!$I$2:$I$3451*'DGE links'!$J$2:$J$3451)/SUMPRODUCT(('DGE links'!$F$2:$F$3451=A45)*'DGE links'!$H$2:$H$3451*'DGE links'!$J$2:$J$3451),"")</f>
        <v>0.449153846153846</v>
      </c>
      <c r="K45" s="7" t="n">
        <f aca="false">IFERROR(AVERAGEIFS('ILO links'!$H$2:$H$674,'ILO links'!$G$2:$G$674,A45,'ILO links'!$J$2:$J$674,1),"")</f>
        <v>0.471</v>
      </c>
      <c r="L45" s="14" t="n">
        <f aca="false">IF(AND(ISNUMBER(J45),ISNUMBER(K45)),J45-K45,"")</f>
        <v>-0.0218461538461538</v>
      </c>
      <c r="M45" s="14" t="n">
        <f aca="false">IF(ISNUMBER(L45),ABS(L45),"")</f>
        <v>0.0218461538461538</v>
      </c>
      <c r="N45" s="2" t="str">
        <f aca="false">IF(ISNUMBER(M45),IF(M45&lt;=Summary!$B$4,"Agree","Check"),IF(ISNUMBER(J45),"DGE only",IF(ISNUMBER(K45),"ILO only","Not scored")))</f>
        <v>Agree</v>
      </c>
      <c r="O45" s="14" t="n">
        <f aca="false">IF(ISNUMBER(J45),J45,IF(ISNUMBER(K45),K45,""))</f>
        <v>0.449153846153846</v>
      </c>
      <c r="P45" s="2" t="str">
        <f aca="false">IF(ISNUMBER(J45),"DGE",IF(ISNUMBER(K45),"ILO table",""))</f>
        <v>DGE</v>
      </c>
    </row>
    <row r="46" customFormat="false" ht="15" hidden="false" customHeight="false" outlineLevel="0" collapsed="false">
      <c r="A46" s="2" t="s">
        <v>167</v>
      </c>
      <c r="B46" s="2" t="s">
        <v>168</v>
      </c>
      <c r="C46" s="2" t="s">
        <v>169</v>
      </c>
      <c r="D46" s="2" t="s">
        <v>168</v>
      </c>
      <c r="E46" s="2" t="s">
        <v>168</v>
      </c>
      <c r="F46" s="2" t="s">
        <v>168</v>
      </c>
      <c r="G46" s="12" t="n">
        <v>1</v>
      </c>
      <c r="H46" s="13" t="n">
        <f aca="false">SUMPRODUCT(('DGE links'!$F$2:$F$3451=A46)*1)</f>
        <v>9</v>
      </c>
      <c r="I46" s="13" t="n">
        <f aca="false">SUMPRODUCT(('ILO links'!$G$2:$G$674=A46)*'ILO links'!$J$2:$J$674)</f>
        <v>5</v>
      </c>
      <c r="J46" s="7" t="n">
        <f aca="false">IFERROR(SUMPRODUCT(('DGE links'!$F$2:$F$3451=A46)*'DGE links'!$H$2:$H$3451*'DGE links'!$I$2:$I$3451*'DGE links'!$J$2:$J$3451)/SUMPRODUCT(('DGE links'!$F$2:$F$3451=A46)*'DGE links'!$H$2:$H$3451*'DGE links'!$J$2:$J$3451),"")</f>
        <v>0.38</v>
      </c>
      <c r="K46" s="7" t="n">
        <f aca="false">IFERROR(AVERAGEIFS('ILO links'!$H$2:$H$674,'ILO links'!$G$2:$G$674,A46,'ILO links'!$J$2:$J$674,1),"")</f>
        <v>0.41</v>
      </c>
      <c r="L46" s="14" t="n">
        <f aca="false">IF(AND(ISNUMBER(J46),ISNUMBER(K46)),J46-K46,"")</f>
        <v>-0.03</v>
      </c>
      <c r="M46" s="14" t="n">
        <f aca="false">IF(ISNUMBER(L46),ABS(L46),"")</f>
        <v>0.03</v>
      </c>
      <c r="N46" s="2" t="str">
        <f aca="false">IF(ISNUMBER(M46),IF(M46&lt;=Summary!$B$4,"Agree","Check"),IF(ISNUMBER(J46),"DGE only",IF(ISNUMBER(K46),"ILO only","Not scored")))</f>
        <v>Agree</v>
      </c>
      <c r="O46" s="14" t="n">
        <f aca="false">IF(ISNUMBER(J46),J46,IF(ISNUMBER(K46),K46,""))</f>
        <v>0.38</v>
      </c>
      <c r="P46" s="2" t="str">
        <f aca="false">IF(ISNUMBER(J46),"DGE",IF(ISNUMBER(K46),"ILO table",""))</f>
        <v>DGE</v>
      </c>
    </row>
    <row r="47" customFormat="false" ht="15" hidden="false" customHeight="false" outlineLevel="0" collapsed="false">
      <c r="A47" s="2" t="s">
        <v>170</v>
      </c>
      <c r="B47" s="2" t="s">
        <v>168</v>
      </c>
      <c r="C47" s="2" t="s">
        <v>169</v>
      </c>
      <c r="D47" s="2" t="s">
        <v>168</v>
      </c>
      <c r="E47" s="2" t="s">
        <v>171</v>
      </c>
      <c r="F47" s="2" t="s">
        <v>168</v>
      </c>
      <c r="G47" s="12" t="n">
        <v>0.5</v>
      </c>
      <c r="H47" s="13" t="n">
        <f aca="false">SUMPRODUCT(('DGE links'!$F$2:$F$3451=A47)*1)</f>
        <v>4</v>
      </c>
      <c r="I47" s="13" t="n">
        <f aca="false">SUMPRODUCT(('ILO links'!$G$2:$G$674=A47)*'ILO links'!$J$2:$J$674)</f>
        <v>2</v>
      </c>
      <c r="J47" s="7" t="n">
        <f aca="false">IFERROR(SUMPRODUCT(('DGE links'!$F$2:$F$3451=A47)*'DGE links'!$H$2:$H$3451*'DGE links'!$I$2:$I$3451*'DGE links'!$J$2:$J$3451)/SUMPRODUCT(('DGE links'!$F$2:$F$3451=A47)*'DGE links'!$H$2:$H$3451*'DGE links'!$J$2:$J$3451),"")</f>
        <v>0.38</v>
      </c>
      <c r="K47" s="7" t="n">
        <f aca="false">IFERROR(AVERAGEIFS('ILO links'!$H$2:$H$674,'ILO links'!$G$2:$G$674,A47,'ILO links'!$J$2:$J$674,1),"")</f>
        <v>0.31</v>
      </c>
      <c r="L47" s="14" t="n">
        <f aca="false">IF(AND(ISNUMBER(J47),ISNUMBER(K47)),J47-K47,"")</f>
        <v>0.07</v>
      </c>
      <c r="M47" s="14" t="n">
        <f aca="false">IF(ISNUMBER(L47),ABS(L47),"")</f>
        <v>0.07</v>
      </c>
      <c r="N47" s="2" t="str">
        <f aca="false">IF(ISNUMBER(M47),IF(M47&lt;=Summary!$B$4,"Agree","Check"),IF(ISNUMBER(J47),"DGE only",IF(ISNUMBER(K47),"ILO only","Not scored")))</f>
        <v>Check</v>
      </c>
      <c r="O47" s="14" t="n">
        <f aca="false">IF(ISNUMBER(J47),J47,IF(ISNUMBER(K47),K47,""))</f>
        <v>0.38</v>
      </c>
      <c r="P47" s="2" t="str">
        <f aca="false">IF(ISNUMBER(J47),"DGE",IF(ISNUMBER(K47),"ILO table",""))</f>
        <v>DGE</v>
      </c>
    </row>
    <row r="48" customFormat="false" ht="15" hidden="false" customHeight="false" outlineLevel="0" collapsed="false">
      <c r="A48" s="2" t="s">
        <v>172</v>
      </c>
      <c r="B48" s="2" t="s">
        <v>156</v>
      </c>
      <c r="C48" s="2" t="s">
        <v>173</v>
      </c>
      <c r="D48" s="2" t="s">
        <v>156</v>
      </c>
      <c r="E48" s="2" t="s">
        <v>156</v>
      </c>
      <c r="F48" s="2" t="s">
        <v>156</v>
      </c>
      <c r="G48" s="12" t="n">
        <v>1</v>
      </c>
      <c r="H48" s="13" t="n">
        <f aca="false">SUMPRODUCT(('DGE links'!$F$2:$F$3451=A48)*1)</f>
        <v>3</v>
      </c>
      <c r="I48" s="13" t="n">
        <f aca="false">SUMPRODUCT(('ILO links'!$G$2:$G$674=A48)*'ILO links'!$J$2:$J$674)</f>
        <v>1</v>
      </c>
      <c r="J48" s="7" t="n">
        <f aca="false">IFERROR(SUMPRODUCT(('DGE links'!$F$2:$F$3451=A48)*'DGE links'!$H$2:$H$3451*'DGE links'!$I$2:$I$3451*'DGE links'!$J$2:$J$3451)/SUMPRODUCT(('DGE links'!$F$2:$F$3451=A48)*'DGE links'!$H$2:$H$3451*'DGE links'!$J$2:$J$3451),"")</f>
        <v>0.28</v>
      </c>
      <c r="K48" s="7" t="n">
        <f aca="false">IFERROR(AVERAGEIFS('ILO links'!$H$2:$H$674,'ILO links'!$G$2:$G$674,A48,'ILO links'!$J$2:$J$674,1),"")</f>
        <v>0.33</v>
      </c>
      <c r="L48" s="14" t="n">
        <f aca="false">IF(AND(ISNUMBER(J48),ISNUMBER(K48)),J48-K48,"")</f>
        <v>-0.05</v>
      </c>
      <c r="M48" s="14" t="n">
        <f aca="false">IF(ISNUMBER(L48),ABS(L48),"")</f>
        <v>0.05</v>
      </c>
      <c r="N48" s="2" t="str">
        <f aca="false">IF(ISNUMBER(M48),IF(M48&lt;=Summary!$B$4,"Agree","Check"),IF(ISNUMBER(J48),"DGE only",IF(ISNUMBER(K48),"ILO only","Not scored")))</f>
        <v>Agree</v>
      </c>
      <c r="O48" s="14" t="n">
        <f aca="false">IF(ISNUMBER(J48),J48,IF(ISNUMBER(K48),K48,""))</f>
        <v>0.28</v>
      </c>
      <c r="P48" s="2" t="str">
        <f aca="false">IF(ISNUMBER(J48),"DGE",IF(ISNUMBER(K48),"ILO table",""))</f>
        <v>DGE</v>
      </c>
    </row>
    <row r="49" customFormat="false" ht="15" hidden="false" customHeight="false" outlineLevel="0" collapsed="false">
      <c r="A49" s="2" t="s">
        <v>174</v>
      </c>
      <c r="B49" s="2" t="s">
        <v>113</v>
      </c>
      <c r="C49" s="2" t="s">
        <v>114</v>
      </c>
      <c r="D49" s="2" t="s">
        <v>175</v>
      </c>
      <c r="E49" s="2" t="s">
        <v>176</v>
      </c>
      <c r="F49" s="2" t="s">
        <v>175</v>
      </c>
      <c r="G49" s="12" t="n">
        <v>0.666666666666667</v>
      </c>
      <c r="H49" s="13" t="n">
        <f aca="false">SUMPRODUCT(('DGE links'!$F$2:$F$3451=A49)*1)</f>
        <v>40</v>
      </c>
      <c r="I49" s="13" t="n">
        <f aca="false">SUMPRODUCT(('ILO links'!$G$2:$G$674=A49)*'ILO links'!$J$2:$J$674)</f>
        <v>13</v>
      </c>
      <c r="J49" s="7" t="n">
        <f aca="false">IFERROR(SUMPRODUCT(('DGE links'!$F$2:$F$3451=A49)*'DGE links'!$H$2:$H$3451*'DGE links'!$I$2:$I$3451*'DGE links'!$J$2:$J$3451)/SUMPRODUCT(('DGE links'!$F$2:$F$3451=A49)*'DGE links'!$H$2:$H$3451*'DGE links'!$J$2:$J$3451),"")</f>
        <v>0.3109925</v>
      </c>
      <c r="K49" s="7" t="n">
        <f aca="false">IFERROR(AVERAGEIFS('ILO links'!$H$2:$H$674,'ILO links'!$G$2:$G$674,A49,'ILO links'!$J$2:$J$674,1),"")</f>
        <v>0.324615384615385</v>
      </c>
      <c r="L49" s="14" t="n">
        <f aca="false">IF(AND(ISNUMBER(J49),ISNUMBER(K49)),J49-K49,"")</f>
        <v>-0.0136228846153846</v>
      </c>
      <c r="M49" s="14" t="n">
        <f aca="false">IF(ISNUMBER(L49),ABS(L49),"")</f>
        <v>0.0136228846153846</v>
      </c>
      <c r="N49" s="2" t="str">
        <f aca="false">IF(ISNUMBER(M49),IF(M49&lt;=Summary!$B$4,"Agree","Check"),IF(ISNUMBER(J49),"DGE only",IF(ISNUMBER(K49),"ILO only","Not scored")))</f>
        <v>Agree</v>
      </c>
      <c r="O49" s="14" t="n">
        <f aca="false">IF(ISNUMBER(J49),J49,IF(ISNUMBER(K49),K49,""))</f>
        <v>0.3109925</v>
      </c>
      <c r="P49" s="2" t="str">
        <f aca="false">IF(ISNUMBER(J49),"DGE",IF(ISNUMBER(K49),"ILO table",""))</f>
        <v>DGE</v>
      </c>
    </row>
    <row r="50" customFormat="false" ht="15" hidden="false" customHeight="false" outlineLevel="0" collapsed="false">
      <c r="A50" s="2" t="s">
        <v>177</v>
      </c>
      <c r="B50" s="2"/>
      <c r="C50" s="2"/>
      <c r="D50" s="2"/>
      <c r="E50" s="2" t="s">
        <v>156</v>
      </c>
      <c r="F50" s="2"/>
      <c r="G50" s="12"/>
      <c r="H50" s="13" t="n">
        <f aca="false">SUMPRODUCT(('DGE links'!$F$2:$F$3451=A50)*1)</f>
        <v>0</v>
      </c>
      <c r="I50" s="13" t="n">
        <f aca="false">SUMPRODUCT(('ILO links'!$G$2:$G$674=A50)*'ILO links'!$J$2:$J$674)</f>
        <v>1</v>
      </c>
      <c r="J50" s="7" t="str">
        <f aca="false">IFERROR(SUMPRODUCT(('DGE links'!$F$2:$F$3451=A50)*'DGE links'!$H$2:$H$3451*'DGE links'!$I$2:$I$3451*'DGE links'!$J$2:$J$3451)/SUMPRODUCT(('DGE links'!$F$2:$F$3451=A50)*'DGE links'!$H$2:$H$3451*'DGE links'!$J$2:$J$3451),"")</f>
        <v/>
      </c>
      <c r="K50" s="7" t="n">
        <f aca="false">IFERROR(AVERAGEIFS('ILO links'!$H$2:$H$674,'ILO links'!$G$2:$G$674,A50,'ILO links'!$J$2:$J$674,1),"")</f>
        <v>0.12</v>
      </c>
      <c r="L50" s="14" t="str">
        <f aca="false">IF(AND(ISNUMBER(J50),ISNUMBER(K50)),J50-K50,"")</f>
        <v/>
      </c>
      <c r="M50" s="14" t="str">
        <f aca="false">IF(ISNUMBER(L50),ABS(L50),"")</f>
        <v/>
      </c>
      <c r="N50" s="2" t="str">
        <f aca="false">IF(ISNUMBER(M50),IF(M50&lt;=Summary!$B$4,"Agree","Check"),IF(ISNUMBER(J50),"DGE only",IF(ISNUMBER(K50),"ILO only","Not scored")))</f>
        <v>ILO only</v>
      </c>
      <c r="O50" s="14" t="n">
        <f aca="false">IF(ISNUMBER(J50),J50,IF(ISNUMBER(K50),K50,""))</f>
        <v>0.12</v>
      </c>
      <c r="P50" s="2" t="str">
        <f aca="false">IF(ISNUMBER(J50),"DGE",IF(ISNUMBER(K50),"ILO table",""))</f>
        <v>ILO table</v>
      </c>
    </row>
    <row r="51" customFormat="false" ht="15" hidden="false" customHeight="false" outlineLevel="0" collapsed="false">
      <c r="A51" s="2" t="s">
        <v>178</v>
      </c>
      <c r="B51" s="2" t="s">
        <v>179</v>
      </c>
      <c r="C51" s="2" t="s">
        <v>180</v>
      </c>
      <c r="D51" s="2" t="s">
        <v>181</v>
      </c>
      <c r="E51" s="2" t="s">
        <v>182</v>
      </c>
      <c r="F51" s="2" t="s">
        <v>181</v>
      </c>
      <c r="G51" s="12" t="n">
        <v>0.666666666666667</v>
      </c>
      <c r="H51" s="13" t="n">
        <f aca="false">SUMPRODUCT(('DGE links'!$F$2:$F$3451=A51)*1)</f>
        <v>18</v>
      </c>
      <c r="I51" s="13" t="n">
        <f aca="false">SUMPRODUCT(('ILO links'!$G$2:$G$674=A51)*'ILO links'!$J$2:$J$674)</f>
        <v>6</v>
      </c>
      <c r="J51" s="7" t="n">
        <f aca="false">IFERROR(SUMPRODUCT(('DGE links'!$F$2:$F$3451=A51)*'DGE links'!$H$2:$H$3451*'DGE links'!$I$2:$I$3451*'DGE links'!$J$2:$J$3451)/SUMPRODUCT(('DGE links'!$F$2:$F$3451=A51)*'DGE links'!$H$2:$H$3451*'DGE links'!$J$2:$J$3451),"")</f>
        <v>0.653888888888889</v>
      </c>
      <c r="K51" s="7" t="n">
        <f aca="false">IFERROR(AVERAGEIFS('ILO links'!$H$2:$H$674,'ILO links'!$G$2:$G$674,A51,'ILO links'!$J$2:$J$674,1),"")</f>
        <v>0.573333333333333</v>
      </c>
      <c r="L51" s="14" t="n">
        <f aca="false">IF(AND(ISNUMBER(J51),ISNUMBER(K51)),J51-K51,"")</f>
        <v>0.0805555555555555</v>
      </c>
      <c r="M51" s="14" t="n">
        <f aca="false">IF(ISNUMBER(L51),ABS(L51),"")</f>
        <v>0.0805555555555555</v>
      </c>
      <c r="N51" s="2" t="str">
        <f aca="false">IF(ISNUMBER(M51),IF(M51&lt;=Summary!$B$4,"Agree","Check"),IF(ISNUMBER(J51),"DGE only",IF(ISNUMBER(K51),"ILO only","Not scored")))</f>
        <v>Check</v>
      </c>
      <c r="O51" s="14" t="n">
        <f aca="false">IF(ISNUMBER(J51),J51,IF(ISNUMBER(K51),K51,""))</f>
        <v>0.653888888888889</v>
      </c>
      <c r="P51" s="2" t="str">
        <f aca="false">IF(ISNUMBER(J51),"DGE",IF(ISNUMBER(K51),"ILO table",""))</f>
        <v>DGE</v>
      </c>
    </row>
    <row r="52" customFormat="false" ht="15" hidden="false" customHeight="false" outlineLevel="0" collapsed="false">
      <c r="A52" s="2" t="s">
        <v>183</v>
      </c>
      <c r="B52" s="2" t="s">
        <v>184</v>
      </c>
      <c r="C52" s="2" t="s">
        <v>185</v>
      </c>
      <c r="D52" s="2" t="s">
        <v>184</v>
      </c>
      <c r="E52" s="2" t="s">
        <v>186</v>
      </c>
      <c r="F52" s="2" t="s">
        <v>184</v>
      </c>
      <c r="G52" s="12" t="n">
        <v>0.5</v>
      </c>
      <c r="H52" s="13" t="n">
        <f aca="false">SUMPRODUCT(('DGE links'!$F$2:$F$3451=A52)*1)</f>
        <v>10</v>
      </c>
      <c r="I52" s="13" t="n">
        <f aca="false">SUMPRODUCT(('ILO links'!$G$2:$G$674=A52)*'ILO links'!$J$2:$J$674)</f>
        <v>4</v>
      </c>
      <c r="J52" s="7" t="n">
        <f aca="false">IFERROR(SUMPRODUCT(('DGE links'!$F$2:$F$3451=A52)*'DGE links'!$H$2:$H$3451*'DGE links'!$I$2:$I$3451*'DGE links'!$J$2:$J$3451)/SUMPRODUCT(('DGE links'!$F$2:$F$3451=A52)*'DGE links'!$H$2:$H$3451*'DGE links'!$J$2:$J$3451),"")</f>
        <v>0.63</v>
      </c>
      <c r="K52" s="7" t="n">
        <f aca="false">IFERROR(AVERAGEIFS('ILO links'!$H$2:$H$674,'ILO links'!$G$2:$G$674,A52,'ILO links'!$J$2:$J$674,1),"")</f>
        <v>0.58</v>
      </c>
      <c r="L52" s="14" t="n">
        <f aca="false">IF(AND(ISNUMBER(J52),ISNUMBER(K52)),J52-K52,"")</f>
        <v>0.05</v>
      </c>
      <c r="M52" s="14" t="n">
        <f aca="false">IF(ISNUMBER(L52),ABS(L52),"")</f>
        <v>0.05</v>
      </c>
      <c r="N52" s="2" t="str">
        <f aca="false">IF(ISNUMBER(M52),IF(M52&lt;=Summary!$B$4,"Agree","Check"),IF(ISNUMBER(J52),"DGE only",IF(ISNUMBER(K52),"ILO only","Not scored")))</f>
        <v>Agree</v>
      </c>
      <c r="O52" s="14" t="n">
        <f aca="false">IF(ISNUMBER(J52),J52,IF(ISNUMBER(K52),K52,""))</f>
        <v>0.63</v>
      </c>
      <c r="P52" s="2" t="str">
        <f aca="false">IF(ISNUMBER(J52),"DGE",IF(ISNUMBER(K52),"ILO table",""))</f>
        <v>DGE</v>
      </c>
    </row>
    <row r="53" customFormat="false" ht="15" hidden="false" customHeight="false" outlineLevel="0" collapsed="false">
      <c r="A53" s="2" t="s">
        <v>179</v>
      </c>
      <c r="B53" s="2" t="s">
        <v>187</v>
      </c>
      <c r="C53" s="2" t="s">
        <v>188</v>
      </c>
      <c r="D53" s="2" t="s">
        <v>187</v>
      </c>
      <c r="E53" s="2" t="s">
        <v>189</v>
      </c>
      <c r="F53" s="2" t="s">
        <v>187</v>
      </c>
      <c r="G53" s="12" t="n">
        <v>0.5</v>
      </c>
      <c r="H53" s="13" t="n">
        <f aca="false">SUMPRODUCT(('DGE links'!$F$2:$F$3451=A53)*1)</f>
        <v>10</v>
      </c>
      <c r="I53" s="13" t="n">
        <f aca="false">SUMPRODUCT(('ILO links'!$G$2:$G$674=A53)*'ILO links'!$J$2:$J$674)</f>
        <v>4</v>
      </c>
      <c r="J53" s="7" t="n">
        <f aca="false">IFERROR(SUMPRODUCT(('DGE links'!$F$2:$F$3451=A53)*'DGE links'!$H$2:$H$3451*'DGE links'!$I$2:$I$3451*'DGE links'!$J$2:$J$3451)/SUMPRODUCT(('DGE links'!$F$2:$F$3451=A53)*'DGE links'!$H$2:$H$3451*'DGE links'!$J$2:$J$3451),"")</f>
        <v>0.4367</v>
      </c>
      <c r="K53" s="7" t="n">
        <f aca="false">IFERROR(AVERAGEIFS('ILO links'!$H$2:$H$674,'ILO links'!$G$2:$G$674,A53,'ILO links'!$J$2:$J$674,1),"")</f>
        <v>0.435</v>
      </c>
      <c r="L53" s="14" t="n">
        <f aca="false">IF(AND(ISNUMBER(J53),ISNUMBER(K53)),J53-K53,"")</f>
        <v>0.00169999999999998</v>
      </c>
      <c r="M53" s="14" t="n">
        <f aca="false">IF(ISNUMBER(L53),ABS(L53),"")</f>
        <v>0.00169999999999998</v>
      </c>
      <c r="N53" s="2" t="str">
        <f aca="false">IF(ISNUMBER(M53),IF(M53&lt;=Summary!$B$4,"Agree","Check"),IF(ISNUMBER(J53),"DGE only",IF(ISNUMBER(K53),"ILO only","Not scored")))</f>
        <v>Agree</v>
      </c>
      <c r="O53" s="14" t="n">
        <f aca="false">IF(ISNUMBER(J53),J53,IF(ISNUMBER(K53),K53,""))</f>
        <v>0.4367</v>
      </c>
      <c r="P53" s="2" t="str">
        <f aca="false">IF(ISNUMBER(J53),"DGE",IF(ISNUMBER(K53),"ILO table",""))</f>
        <v>DGE</v>
      </c>
    </row>
    <row r="54" customFormat="false" ht="15" hidden="false" customHeight="false" outlineLevel="0" collapsed="false">
      <c r="A54" s="2" t="s">
        <v>190</v>
      </c>
      <c r="B54" s="2" t="s">
        <v>191</v>
      </c>
      <c r="C54" s="2" t="s">
        <v>192</v>
      </c>
      <c r="D54" s="2" t="s">
        <v>193</v>
      </c>
      <c r="E54" s="2" t="s">
        <v>194</v>
      </c>
      <c r="F54" s="2" t="s">
        <v>193</v>
      </c>
      <c r="G54" s="12" t="n">
        <v>0.666666666666667</v>
      </c>
      <c r="H54" s="13" t="n">
        <f aca="false">SUMPRODUCT(('DGE links'!$F$2:$F$3451=A54)*1)</f>
        <v>18</v>
      </c>
      <c r="I54" s="13" t="n">
        <f aca="false">SUMPRODUCT(('ILO links'!$G$2:$G$674=A54)*'ILO links'!$J$2:$J$674)</f>
        <v>7</v>
      </c>
      <c r="J54" s="7" t="n">
        <f aca="false">IFERROR(SUMPRODUCT(('DGE links'!$F$2:$F$3451=A54)*'DGE links'!$H$2:$H$3451*'DGE links'!$I$2:$I$3451*'DGE links'!$J$2:$J$3451)/SUMPRODUCT(('DGE links'!$F$2:$F$3451=A54)*'DGE links'!$H$2:$H$3451*'DGE links'!$J$2:$J$3451),"")</f>
        <v>0.509683333333333</v>
      </c>
      <c r="K54" s="7" t="n">
        <f aca="false">IFERROR(AVERAGEIFS('ILO links'!$H$2:$H$674,'ILO links'!$G$2:$G$674,A54,'ILO links'!$J$2:$J$674,1),"")</f>
        <v>0.468571428571429</v>
      </c>
      <c r="L54" s="14" t="n">
        <f aca="false">IF(AND(ISNUMBER(J54),ISNUMBER(K54)),J54-K54,"")</f>
        <v>0.0411119047619049</v>
      </c>
      <c r="M54" s="14" t="n">
        <f aca="false">IF(ISNUMBER(L54),ABS(L54),"")</f>
        <v>0.0411119047619049</v>
      </c>
      <c r="N54" s="2" t="str">
        <f aca="false">IF(ISNUMBER(M54),IF(M54&lt;=Summary!$B$4,"Agree","Check"),IF(ISNUMBER(J54),"DGE only",IF(ISNUMBER(K54),"ILO only","Not scored")))</f>
        <v>Agree</v>
      </c>
      <c r="O54" s="14" t="n">
        <f aca="false">IF(ISNUMBER(J54),J54,IF(ISNUMBER(K54),K54,""))</f>
        <v>0.509683333333333</v>
      </c>
      <c r="P54" s="2" t="str">
        <f aca="false">IF(ISNUMBER(J54),"DGE",IF(ISNUMBER(K54),"ILO table",""))</f>
        <v>DGE</v>
      </c>
    </row>
    <row r="55" customFormat="false" ht="15" hidden="false" customHeight="false" outlineLevel="0" collapsed="false">
      <c r="A55" s="2" t="s">
        <v>195</v>
      </c>
      <c r="B55" s="2" t="s">
        <v>178</v>
      </c>
      <c r="C55" s="2" t="s">
        <v>196</v>
      </c>
      <c r="D55" s="2" t="s">
        <v>197</v>
      </c>
      <c r="E55" s="2" t="s">
        <v>198</v>
      </c>
      <c r="F55" s="2" t="s">
        <v>197</v>
      </c>
      <c r="G55" s="12" t="n">
        <v>0.5</v>
      </c>
      <c r="H55" s="13" t="n">
        <f aca="false">SUMPRODUCT(('DGE links'!$F$2:$F$3451=A55)*1)</f>
        <v>11</v>
      </c>
      <c r="I55" s="13" t="n">
        <f aca="false">SUMPRODUCT(('ILO links'!$G$2:$G$674=A55)*'ILO links'!$J$2:$J$674)</f>
        <v>5</v>
      </c>
      <c r="J55" s="7" t="n">
        <f aca="false">IFERROR(SUMPRODUCT(('DGE links'!$F$2:$F$3451=A55)*'DGE links'!$H$2:$H$3451*'DGE links'!$I$2:$I$3451*'DGE links'!$J$2:$J$3451)/SUMPRODUCT(('DGE links'!$F$2:$F$3451=A55)*'DGE links'!$H$2:$H$3451*'DGE links'!$J$2:$J$3451),"")</f>
        <v>0.558454545454545</v>
      </c>
      <c r="K55" s="7" t="n">
        <f aca="false">IFERROR(AVERAGEIFS('ILO links'!$H$2:$H$674,'ILO links'!$G$2:$G$674,A55,'ILO links'!$J$2:$J$674,1),"")</f>
        <v>0.562</v>
      </c>
      <c r="L55" s="14" t="n">
        <f aca="false">IF(AND(ISNUMBER(J55),ISNUMBER(K55)),J55-K55,"")</f>
        <v>-0.00354545454545463</v>
      </c>
      <c r="M55" s="14" t="n">
        <f aca="false">IF(ISNUMBER(L55),ABS(L55),"")</f>
        <v>0.00354545454545463</v>
      </c>
      <c r="N55" s="2" t="str">
        <f aca="false">IF(ISNUMBER(M55),IF(M55&lt;=Summary!$B$4,"Agree","Check"),IF(ISNUMBER(J55),"DGE only",IF(ISNUMBER(K55),"ILO only","Not scored")))</f>
        <v>Agree</v>
      </c>
      <c r="O55" s="14" t="n">
        <f aca="false">IF(ISNUMBER(J55),J55,IF(ISNUMBER(K55),K55,""))</f>
        <v>0.558454545454545</v>
      </c>
      <c r="P55" s="2" t="str">
        <f aca="false">IF(ISNUMBER(J55),"DGE",IF(ISNUMBER(K55),"ILO table",""))</f>
        <v>DGE</v>
      </c>
    </row>
    <row r="56" customFormat="false" ht="15" hidden="false" customHeight="false" outlineLevel="0" collapsed="false">
      <c r="A56" s="2" t="s">
        <v>199</v>
      </c>
      <c r="B56" s="2" t="s">
        <v>199</v>
      </c>
      <c r="C56" s="2" t="s">
        <v>200</v>
      </c>
      <c r="D56" s="2" t="s">
        <v>201</v>
      </c>
      <c r="E56" s="2" t="s">
        <v>202</v>
      </c>
      <c r="F56" s="2" t="s">
        <v>199</v>
      </c>
      <c r="G56" s="12" t="n">
        <v>0.333333333333333</v>
      </c>
      <c r="H56" s="13" t="n">
        <f aca="false">SUMPRODUCT(('DGE links'!$F$2:$F$3451=A56)*1)</f>
        <v>16</v>
      </c>
      <c r="I56" s="13" t="n">
        <f aca="false">SUMPRODUCT(('ILO links'!$G$2:$G$674=A56)*'ILO links'!$J$2:$J$674)</f>
        <v>5</v>
      </c>
      <c r="J56" s="7" t="n">
        <f aca="false">IFERROR(SUMPRODUCT(('DGE links'!$F$2:$F$3451=A56)*'DGE links'!$H$2:$H$3451*'DGE links'!$I$2:$I$3451*'DGE links'!$J$2:$J$3451)/SUMPRODUCT(('DGE links'!$F$2:$F$3451=A56)*'DGE links'!$H$2:$H$3451*'DGE links'!$J$2:$J$3451),"")</f>
        <v>0.49484375</v>
      </c>
      <c r="K56" s="7" t="n">
        <f aca="false">IFERROR(AVERAGEIFS('ILO links'!$H$2:$H$674,'ILO links'!$G$2:$G$674,A56,'ILO links'!$J$2:$J$674,1),"")</f>
        <v>0.466</v>
      </c>
      <c r="L56" s="14" t="n">
        <f aca="false">IF(AND(ISNUMBER(J56),ISNUMBER(K56)),J56-K56,"")</f>
        <v>0.0288437499999999</v>
      </c>
      <c r="M56" s="14" t="n">
        <f aca="false">IF(ISNUMBER(L56),ABS(L56),"")</f>
        <v>0.0288437499999999</v>
      </c>
      <c r="N56" s="2" t="str">
        <f aca="false">IF(ISNUMBER(M56),IF(M56&lt;=Summary!$B$4,"Agree","Check"),IF(ISNUMBER(J56),"DGE only",IF(ISNUMBER(K56),"ILO only","Not scored")))</f>
        <v>Agree</v>
      </c>
      <c r="O56" s="14" t="n">
        <f aca="false">IF(ISNUMBER(J56),J56,IF(ISNUMBER(K56),K56,""))</f>
        <v>0.49484375</v>
      </c>
      <c r="P56" s="2" t="str">
        <f aca="false">IF(ISNUMBER(J56),"DGE",IF(ISNUMBER(K56),"ILO table",""))</f>
        <v>DGE</v>
      </c>
    </row>
    <row r="57" customFormat="false" ht="15" hidden="false" customHeight="false" outlineLevel="0" collapsed="false">
      <c r="A57" s="2" t="s">
        <v>203</v>
      </c>
      <c r="B57" s="2" t="s">
        <v>203</v>
      </c>
      <c r="C57" s="2" t="s">
        <v>204</v>
      </c>
      <c r="D57" s="2" t="s">
        <v>203</v>
      </c>
      <c r="E57" s="2" t="s">
        <v>205</v>
      </c>
      <c r="F57" s="2" t="s">
        <v>203</v>
      </c>
      <c r="G57" s="12" t="n">
        <v>0.5</v>
      </c>
      <c r="H57" s="13" t="n">
        <f aca="false">SUMPRODUCT(('DGE links'!$F$2:$F$3451=A57)*1)</f>
        <v>8</v>
      </c>
      <c r="I57" s="13" t="n">
        <f aca="false">SUMPRODUCT(('ILO links'!$G$2:$G$674=A57)*'ILO links'!$J$2:$J$674)</f>
        <v>8</v>
      </c>
      <c r="J57" s="7" t="n">
        <f aca="false">IFERROR(SUMPRODUCT(('DGE links'!$F$2:$F$3451=A57)*'DGE links'!$H$2:$H$3451*'DGE links'!$I$2:$I$3451*'DGE links'!$J$2:$J$3451)/SUMPRODUCT(('DGE links'!$F$2:$F$3451=A57)*'DGE links'!$H$2:$H$3451*'DGE links'!$J$2:$J$3451),"")</f>
        <v>0.5375</v>
      </c>
      <c r="K57" s="7" t="n">
        <f aca="false">IFERROR(AVERAGEIFS('ILO links'!$H$2:$H$674,'ILO links'!$G$2:$G$674,A57,'ILO links'!$J$2:$J$674,1),"")</f>
        <v>0.5225</v>
      </c>
      <c r="L57" s="14" t="n">
        <f aca="false">IF(AND(ISNUMBER(J57),ISNUMBER(K57)),J57-K57,"")</f>
        <v>0.015</v>
      </c>
      <c r="M57" s="14" t="n">
        <f aca="false">IF(ISNUMBER(L57),ABS(L57),"")</f>
        <v>0.015</v>
      </c>
      <c r="N57" s="2" t="str">
        <f aca="false">IF(ISNUMBER(M57),IF(M57&lt;=Summary!$B$4,"Agree","Check"),IF(ISNUMBER(J57),"DGE only",IF(ISNUMBER(K57),"ILO only","Not scored")))</f>
        <v>Agree</v>
      </c>
      <c r="O57" s="14" t="n">
        <f aca="false">IF(ISNUMBER(J57),J57,IF(ISNUMBER(K57),K57,""))</f>
        <v>0.5375</v>
      </c>
      <c r="P57" s="2" t="str">
        <f aca="false">IF(ISNUMBER(J57),"DGE",IF(ISNUMBER(K57),"ILO table",""))</f>
        <v>DGE</v>
      </c>
    </row>
    <row r="58" customFormat="false" ht="15" hidden="false" customHeight="false" outlineLevel="0" collapsed="false">
      <c r="A58" s="2" t="s">
        <v>206</v>
      </c>
      <c r="B58" s="2" t="s">
        <v>206</v>
      </c>
      <c r="C58" s="2" t="s">
        <v>207</v>
      </c>
      <c r="D58" s="2" t="s">
        <v>206</v>
      </c>
      <c r="E58" s="2" t="s">
        <v>206</v>
      </c>
      <c r="F58" s="2" t="s">
        <v>206</v>
      </c>
      <c r="G58" s="12" t="n">
        <v>1</v>
      </c>
      <c r="H58" s="13" t="n">
        <f aca="false">SUMPRODUCT(('DGE links'!$F$2:$F$3451=A58)*1)</f>
        <v>21</v>
      </c>
      <c r="I58" s="13" t="n">
        <f aca="false">SUMPRODUCT(('ILO links'!$G$2:$G$674=A58)*'ILO links'!$J$2:$J$674)</f>
        <v>3</v>
      </c>
      <c r="J58" s="7" t="n">
        <f aca="false">IFERROR(SUMPRODUCT(('DGE links'!$F$2:$F$3451=A58)*'DGE links'!$H$2:$H$3451*'DGE links'!$I$2:$I$3451*'DGE links'!$J$2:$J$3451)/SUMPRODUCT(('DGE links'!$F$2:$F$3451=A58)*'DGE links'!$H$2:$H$3451*'DGE links'!$J$2:$J$3451),"")</f>
        <v>0.2633</v>
      </c>
      <c r="K58" s="7" t="n">
        <f aca="false">IFERROR(AVERAGEIFS('ILO links'!$H$2:$H$674,'ILO links'!$G$2:$G$674,A58,'ILO links'!$J$2:$J$674,1),"")</f>
        <v>0.263333333333333</v>
      </c>
      <c r="L58" s="14" t="n">
        <f aca="false">IF(AND(ISNUMBER(J58),ISNUMBER(K58)),J58-K58,"")</f>
        <v>-3.33333333333852E-005</v>
      </c>
      <c r="M58" s="14" t="n">
        <f aca="false">IF(ISNUMBER(L58),ABS(L58),"")</f>
        <v>3.33333333333852E-005</v>
      </c>
      <c r="N58" s="2" t="str">
        <f aca="false">IF(ISNUMBER(M58),IF(M58&lt;=Summary!$B$4,"Agree","Check"),IF(ISNUMBER(J58),"DGE only",IF(ISNUMBER(K58),"ILO only","Not scored")))</f>
        <v>Agree</v>
      </c>
      <c r="O58" s="14" t="n">
        <f aca="false">IF(ISNUMBER(J58),J58,IF(ISNUMBER(K58),K58,""))</f>
        <v>0.2633</v>
      </c>
      <c r="P58" s="2" t="str">
        <f aca="false">IF(ISNUMBER(J58),"DGE",IF(ISNUMBER(K58),"ILO table",""))</f>
        <v>DGE</v>
      </c>
    </row>
    <row r="59" customFormat="false" ht="15" hidden="false" customHeight="false" outlineLevel="0" collapsed="false">
      <c r="A59" s="2" t="s">
        <v>208</v>
      </c>
      <c r="B59" s="2" t="s">
        <v>209</v>
      </c>
      <c r="C59" s="2" t="s">
        <v>210</v>
      </c>
      <c r="D59" s="2" t="s">
        <v>211</v>
      </c>
      <c r="E59" s="2" t="s">
        <v>212</v>
      </c>
      <c r="F59" s="2" t="s">
        <v>213</v>
      </c>
      <c r="G59" s="12" t="n">
        <v>0.666666666666667</v>
      </c>
      <c r="H59" s="13" t="n">
        <f aca="false">SUMPRODUCT(('DGE links'!$F$2:$F$3451=A59)*1)</f>
        <v>25</v>
      </c>
      <c r="I59" s="13" t="n">
        <f aca="false">SUMPRODUCT(('ILO links'!$G$2:$G$674=A59)*'ILO links'!$J$2:$J$674)</f>
        <v>7</v>
      </c>
      <c r="J59" s="7" t="n">
        <f aca="false">IFERROR(SUMPRODUCT(('DGE links'!$F$2:$F$3451=A59)*'DGE links'!$H$2:$H$3451*'DGE links'!$I$2:$I$3451*'DGE links'!$J$2:$J$3451)/SUMPRODUCT(('DGE links'!$F$2:$F$3451=A59)*'DGE links'!$H$2:$H$3451*'DGE links'!$J$2:$J$3451),"")</f>
        <v>0.2332</v>
      </c>
      <c r="K59" s="7" t="n">
        <f aca="false">IFERROR(AVERAGEIFS('ILO links'!$H$2:$H$674,'ILO links'!$G$2:$G$674,A59,'ILO links'!$J$2:$J$674,1),"")</f>
        <v>0.224285714285714</v>
      </c>
      <c r="L59" s="14" t="n">
        <f aca="false">IF(AND(ISNUMBER(J59),ISNUMBER(K59)),J59-K59,"")</f>
        <v>0.00891428571428571</v>
      </c>
      <c r="M59" s="14" t="n">
        <f aca="false">IF(ISNUMBER(L59),ABS(L59),"")</f>
        <v>0.00891428571428571</v>
      </c>
      <c r="N59" s="2" t="str">
        <f aca="false">IF(ISNUMBER(M59),IF(M59&lt;=Summary!$B$4,"Agree","Check"),IF(ISNUMBER(J59),"DGE only",IF(ISNUMBER(K59),"ILO only","Not scored")))</f>
        <v>Agree</v>
      </c>
      <c r="O59" s="14" t="n">
        <f aca="false">IF(ISNUMBER(J59),J59,IF(ISNUMBER(K59),K59,""))</f>
        <v>0.2332</v>
      </c>
      <c r="P59" s="2" t="str">
        <f aca="false">IF(ISNUMBER(J59),"DGE",IF(ISNUMBER(K59),"ILO table",""))</f>
        <v>DGE</v>
      </c>
    </row>
    <row r="60" customFormat="false" ht="15" hidden="false" customHeight="false" outlineLevel="0" collapsed="false">
      <c r="A60" s="2" t="s">
        <v>214</v>
      </c>
      <c r="B60" s="2" t="s">
        <v>215</v>
      </c>
      <c r="C60" s="2" t="s">
        <v>216</v>
      </c>
      <c r="D60" s="2" t="s">
        <v>217</v>
      </c>
      <c r="E60" s="2" t="s">
        <v>218</v>
      </c>
      <c r="F60" s="2" t="s">
        <v>219</v>
      </c>
      <c r="G60" s="12" t="n">
        <v>0.4</v>
      </c>
      <c r="H60" s="13" t="n">
        <f aca="false">SUMPRODUCT(('DGE links'!$F$2:$F$3451=A60)*1)</f>
        <v>8</v>
      </c>
      <c r="I60" s="13" t="n">
        <f aca="false">SUMPRODUCT(('ILO links'!$G$2:$G$674=A60)*'ILO links'!$J$2:$J$674)</f>
        <v>7</v>
      </c>
      <c r="J60" s="7" t="n">
        <f aca="false">IFERROR(SUMPRODUCT(('DGE links'!$F$2:$F$3451=A60)*'DGE links'!$H$2:$H$3451*'DGE links'!$I$2:$I$3451*'DGE links'!$J$2:$J$3451)/SUMPRODUCT(('DGE links'!$F$2:$F$3451=A60)*'DGE links'!$H$2:$H$3451*'DGE links'!$J$2:$J$3451),"")</f>
        <v>0.320725</v>
      </c>
      <c r="K60" s="7" t="n">
        <f aca="false">IFERROR(AVERAGEIFS('ILO links'!$H$2:$H$674,'ILO links'!$G$2:$G$674,A60,'ILO links'!$J$2:$J$674,1),"")</f>
        <v>0.19</v>
      </c>
      <c r="L60" s="14" t="n">
        <f aca="false">IF(AND(ISNUMBER(J60),ISNUMBER(K60)),J60-K60,"")</f>
        <v>0.130725</v>
      </c>
      <c r="M60" s="14" t="n">
        <f aca="false">IF(ISNUMBER(L60),ABS(L60),"")</f>
        <v>0.130725</v>
      </c>
      <c r="N60" s="2" t="str">
        <f aca="false">IF(ISNUMBER(M60),IF(M60&lt;=Summary!$B$4,"Agree","Check"),IF(ISNUMBER(J60),"DGE only",IF(ISNUMBER(K60),"ILO only","Not scored")))</f>
        <v>Check</v>
      </c>
      <c r="O60" s="14" t="n">
        <f aca="false">IF(ISNUMBER(J60),J60,IF(ISNUMBER(K60),K60,""))</f>
        <v>0.320725</v>
      </c>
      <c r="P60" s="2" t="str">
        <f aca="false">IF(ISNUMBER(J60),"DGE",IF(ISNUMBER(K60),"ILO table",""))</f>
        <v>DGE</v>
      </c>
    </row>
    <row r="61" customFormat="false" ht="15" hidden="false" customHeight="false" outlineLevel="0" collapsed="false">
      <c r="A61" s="2" t="s">
        <v>220</v>
      </c>
      <c r="B61" s="2" t="s">
        <v>220</v>
      </c>
      <c r="C61" s="2" t="s">
        <v>221</v>
      </c>
      <c r="D61" s="2" t="s">
        <v>222</v>
      </c>
      <c r="E61" s="2" t="s">
        <v>222</v>
      </c>
      <c r="F61" s="2" t="s">
        <v>222</v>
      </c>
      <c r="G61" s="12" t="n">
        <v>1</v>
      </c>
      <c r="H61" s="13" t="n">
        <f aca="false">SUMPRODUCT(('DGE links'!$F$2:$F$3451=A61)*1)</f>
        <v>15</v>
      </c>
      <c r="I61" s="13" t="n">
        <f aca="false">SUMPRODUCT(('ILO links'!$G$2:$G$674=A61)*'ILO links'!$J$2:$J$674)</f>
        <v>5</v>
      </c>
      <c r="J61" s="7" t="n">
        <f aca="false">IFERROR(SUMPRODUCT(('DGE links'!$F$2:$F$3451=A61)*'DGE links'!$H$2:$H$3451*'DGE links'!$I$2:$I$3451*'DGE links'!$J$2:$J$3451)/SUMPRODUCT(('DGE links'!$F$2:$F$3451=A61)*'DGE links'!$H$2:$H$3451*'DGE links'!$J$2:$J$3451),"")</f>
        <v>0.183453333333333</v>
      </c>
      <c r="K61" s="7" t="n">
        <f aca="false">IFERROR(AVERAGEIFS('ILO links'!$H$2:$H$674,'ILO links'!$G$2:$G$674,A61,'ILO links'!$J$2:$J$674,1),"")</f>
        <v>0.19</v>
      </c>
      <c r="L61" s="14" t="n">
        <f aca="false">IF(AND(ISNUMBER(J61),ISNUMBER(K61)),J61-K61,"")</f>
        <v>-0.00654666666666667</v>
      </c>
      <c r="M61" s="14" t="n">
        <f aca="false">IF(ISNUMBER(L61),ABS(L61),"")</f>
        <v>0.00654666666666667</v>
      </c>
      <c r="N61" s="2" t="str">
        <f aca="false">IF(ISNUMBER(M61),IF(M61&lt;=Summary!$B$4,"Agree","Check"),IF(ISNUMBER(J61),"DGE only",IF(ISNUMBER(K61),"ILO only","Not scored")))</f>
        <v>Agree</v>
      </c>
      <c r="O61" s="14" t="n">
        <f aca="false">IF(ISNUMBER(J61),J61,IF(ISNUMBER(K61),K61,""))</f>
        <v>0.183453333333333</v>
      </c>
      <c r="P61" s="2" t="str">
        <f aca="false">IF(ISNUMBER(J61),"DGE",IF(ISNUMBER(K61),"ILO table",""))</f>
        <v>DGE</v>
      </c>
    </row>
    <row r="62" customFormat="false" ht="15" hidden="false" customHeight="false" outlineLevel="0" collapsed="false">
      <c r="A62" s="2" t="s">
        <v>209</v>
      </c>
      <c r="B62" s="2" t="s">
        <v>223</v>
      </c>
      <c r="C62" s="2" t="s">
        <v>224</v>
      </c>
      <c r="D62" s="2" t="s">
        <v>223</v>
      </c>
      <c r="E62" s="2" t="s">
        <v>223</v>
      </c>
      <c r="F62" s="2" t="s">
        <v>223</v>
      </c>
      <c r="G62" s="12" t="n">
        <v>1</v>
      </c>
      <c r="H62" s="13" t="n">
        <f aca="false">SUMPRODUCT(('DGE links'!$F$2:$F$3451=A62)*1)</f>
        <v>3</v>
      </c>
      <c r="I62" s="13" t="n">
        <f aca="false">SUMPRODUCT(('ILO links'!$G$2:$G$674=A62)*'ILO links'!$J$2:$J$674)</f>
        <v>1</v>
      </c>
      <c r="J62" s="7" t="n">
        <f aca="false">IFERROR(SUMPRODUCT(('DGE links'!$F$2:$F$3451=A62)*'DGE links'!$H$2:$H$3451*'DGE links'!$I$2:$I$3451*'DGE links'!$J$2:$J$3451)/SUMPRODUCT(('DGE links'!$F$2:$F$3451=A62)*'DGE links'!$H$2:$H$3451*'DGE links'!$J$2:$J$3451),"")</f>
        <v>0.2067</v>
      </c>
      <c r="K62" s="7" t="n">
        <f aca="false">IFERROR(AVERAGEIFS('ILO links'!$H$2:$H$674,'ILO links'!$G$2:$G$674,A62,'ILO links'!$J$2:$J$674,1),"")</f>
        <v>0.3</v>
      </c>
      <c r="L62" s="14" t="n">
        <f aca="false">IF(AND(ISNUMBER(J62),ISNUMBER(K62)),J62-K62,"")</f>
        <v>-0.0933</v>
      </c>
      <c r="M62" s="14" t="n">
        <f aca="false">IF(ISNUMBER(L62),ABS(L62),"")</f>
        <v>0.0933</v>
      </c>
      <c r="N62" s="2" t="str">
        <f aca="false">IF(ISNUMBER(M62),IF(M62&lt;=Summary!$B$4,"Agree","Check"),IF(ISNUMBER(J62),"DGE only",IF(ISNUMBER(K62),"ILO only","Not scored")))</f>
        <v>Check</v>
      </c>
      <c r="O62" s="14" t="n">
        <f aca="false">IF(ISNUMBER(J62),J62,IF(ISNUMBER(K62),K62,""))</f>
        <v>0.2067</v>
      </c>
      <c r="P62" s="2" t="str">
        <f aca="false">IF(ISNUMBER(J62),"DGE",IF(ISNUMBER(K62),"ILO table",""))</f>
        <v>DGE</v>
      </c>
    </row>
    <row r="63" customFormat="false" ht="15" hidden="false" customHeight="false" outlineLevel="0" collapsed="false">
      <c r="A63" s="2" t="s">
        <v>223</v>
      </c>
      <c r="B63" s="2" t="s">
        <v>225</v>
      </c>
      <c r="C63" s="2" t="s">
        <v>226</v>
      </c>
      <c r="D63" s="2" t="s">
        <v>225</v>
      </c>
      <c r="E63" s="2" t="s">
        <v>225</v>
      </c>
      <c r="F63" s="2" t="s">
        <v>225</v>
      </c>
      <c r="G63" s="12" t="n">
        <v>1</v>
      </c>
      <c r="H63" s="13" t="n">
        <f aca="false">SUMPRODUCT(('DGE links'!$F$2:$F$3451=A63)*1)</f>
        <v>10</v>
      </c>
      <c r="I63" s="13" t="n">
        <f aca="false">SUMPRODUCT(('ILO links'!$G$2:$G$674=A63)*'ILO links'!$J$2:$J$674)</f>
        <v>5</v>
      </c>
      <c r="J63" s="7" t="n">
        <f aca="false">IFERROR(SUMPRODUCT(('DGE links'!$F$2:$F$3451=A63)*'DGE links'!$H$2:$H$3451*'DGE links'!$I$2:$I$3451*'DGE links'!$J$2:$J$3451)/SUMPRODUCT(('DGE links'!$F$2:$F$3451=A63)*'DGE links'!$H$2:$H$3451*'DGE links'!$J$2:$J$3451),"")</f>
        <v>0.172</v>
      </c>
      <c r="K63" s="7" t="n">
        <f aca="false">IFERROR(AVERAGEIFS('ILO links'!$H$2:$H$674,'ILO links'!$G$2:$G$674,A63,'ILO links'!$J$2:$J$674,1),"")</f>
        <v>0.172</v>
      </c>
      <c r="L63" s="14" t="n">
        <f aca="false">IF(AND(ISNUMBER(J63),ISNUMBER(K63)),J63-K63,"")</f>
        <v>0</v>
      </c>
      <c r="M63" s="14" t="n">
        <f aca="false">IF(ISNUMBER(L63),ABS(L63),"")</f>
        <v>0</v>
      </c>
      <c r="N63" s="2" t="str">
        <f aca="false">IF(ISNUMBER(M63),IF(M63&lt;=Summary!$B$4,"Agree","Check"),IF(ISNUMBER(J63),"DGE only",IF(ISNUMBER(K63),"ILO only","Not scored")))</f>
        <v>Agree</v>
      </c>
      <c r="O63" s="14" t="n">
        <f aca="false">IF(ISNUMBER(J63),J63,IF(ISNUMBER(K63),K63,""))</f>
        <v>0.172</v>
      </c>
      <c r="P63" s="2" t="str">
        <f aca="false">IF(ISNUMBER(J63),"DGE",IF(ISNUMBER(K63),"ILO table",""))</f>
        <v>DGE</v>
      </c>
    </row>
    <row r="64" customFormat="false" ht="15" hidden="false" customHeight="false" outlineLevel="0" collapsed="false">
      <c r="A64" s="2" t="s">
        <v>227</v>
      </c>
      <c r="B64" s="2" t="s">
        <v>228</v>
      </c>
      <c r="C64" s="2" t="s">
        <v>229</v>
      </c>
      <c r="D64" s="2" t="s">
        <v>228</v>
      </c>
      <c r="E64" s="2" t="s">
        <v>228</v>
      </c>
      <c r="F64" s="2" t="s">
        <v>228</v>
      </c>
      <c r="G64" s="12" t="n">
        <v>1</v>
      </c>
      <c r="H64" s="13" t="n">
        <f aca="false">SUMPRODUCT(('DGE links'!$F$2:$F$3451=A64)*1)</f>
        <v>3</v>
      </c>
      <c r="I64" s="13" t="n">
        <f aca="false">SUMPRODUCT(('ILO links'!$G$2:$G$674=A64)*'ILO links'!$J$2:$J$674)</f>
        <v>1</v>
      </c>
      <c r="J64" s="7" t="n">
        <f aca="false">IFERROR(SUMPRODUCT(('DGE links'!$F$2:$F$3451=A64)*'DGE links'!$H$2:$H$3451*'DGE links'!$I$2:$I$3451*'DGE links'!$J$2:$J$3451)/SUMPRODUCT(('DGE links'!$F$2:$F$3451=A64)*'DGE links'!$H$2:$H$3451*'DGE links'!$J$2:$J$3451),"")</f>
        <v>0.37</v>
      </c>
      <c r="K64" s="7" t="n">
        <f aca="false">IFERROR(AVERAGEIFS('ILO links'!$H$2:$H$674,'ILO links'!$G$2:$G$674,A64,'ILO links'!$J$2:$J$674,1),"")</f>
        <v>0.25</v>
      </c>
      <c r="L64" s="14" t="n">
        <f aca="false">IF(AND(ISNUMBER(J64),ISNUMBER(K64)),J64-K64,"")</f>
        <v>0.12</v>
      </c>
      <c r="M64" s="14" t="n">
        <f aca="false">IF(ISNUMBER(L64),ABS(L64),"")</f>
        <v>0.12</v>
      </c>
      <c r="N64" s="2" t="str">
        <f aca="false">IF(ISNUMBER(M64),IF(M64&lt;=Summary!$B$4,"Agree","Check"),IF(ISNUMBER(J64),"DGE only",IF(ISNUMBER(K64),"ILO only","Not scored")))</f>
        <v>Check</v>
      </c>
      <c r="O64" s="14" t="n">
        <f aca="false">IF(ISNUMBER(J64),J64,IF(ISNUMBER(K64),K64,""))</f>
        <v>0.37</v>
      </c>
      <c r="P64" s="2" t="str">
        <f aca="false">IF(ISNUMBER(J64),"DGE",IF(ISNUMBER(K64),"ILO table",""))</f>
        <v>DGE</v>
      </c>
    </row>
    <row r="65" customFormat="false" ht="15" hidden="false" customHeight="false" outlineLevel="0" collapsed="false">
      <c r="A65" s="2" t="s">
        <v>230</v>
      </c>
      <c r="B65" s="2" t="s">
        <v>228</v>
      </c>
      <c r="C65" s="2" t="s">
        <v>229</v>
      </c>
      <c r="D65" s="2" t="s">
        <v>231</v>
      </c>
      <c r="E65" s="2" t="s">
        <v>231</v>
      </c>
      <c r="F65" s="2" t="s">
        <v>231</v>
      </c>
      <c r="G65" s="12" t="n">
        <v>1</v>
      </c>
      <c r="H65" s="13" t="n">
        <f aca="false">SUMPRODUCT(('DGE links'!$F$2:$F$3451=A65)*1)</f>
        <v>14</v>
      </c>
      <c r="I65" s="13" t="n">
        <f aca="false">SUMPRODUCT(('ILO links'!$G$2:$G$674=A65)*'ILO links'!$J$2:$J$674)</f>
        <v>6</v>
      </c>
      <c r="J65" s="7" t="n">
        <f aca="false">IFERROR(SUMPRODUCT(('DGE links'!$F$2:$F$3451=A65)*'DGE links'!$H$2:$H$3451*'DGE links'!$I$2:$I$3451*'DGE links'!$J$2:$J$3451)/SUMPRODUCT(('DGE links'!$F$2:$F$3451=A65)*'DGE links'!$H$2:$H$3451*'DGE links'!$J$2:$J$3451),"")</f>
        <v>0.374285714285714</v>
      </c>
      <c r="K65" s="7" t="n">
        <f aca="false">IFERROR(AVERAGEIFS('ILO links'!$H$2:$H$674,'ILO links'!$G$2:$G$674,A65,'ILO links'!$J$2:$J$674,1),"")</f>
        <v>0.328</v>
      </c>
      <c r="L65" s="14" t="n">
        <f aca="false">IF(AND(ISNUMBER(J65),ISNUMBER(K65)),J65-K65,"")</f>
        <v>0.0462857142857143</v>
      </c>
      <c r="M65" s="14" t="n">
        <f aca="false">IF(ISNUMBER(L65),ABS(L65),"")</f>
        <v>0.0462857142857143</v>
      </c>
      <c r="N65" s="2" t="str">
        <f aca="false">IF(ISNUMBER(M65),IF(M65&lt;=Summary!$B$4,"Agree","Check"),IF(ISNUMBER(J65),"DGE only",IF(ISNUMBER(K65),"ILO only","Not scored")))</f>
        <v>Agree</v>
      </c>
      <c r="O65" s="14" t="n">
        <f aca="false">IF(ISNUMBER(J65),J65,IF(ISNUMBER(K65),K65,""))</f>
        <v>0.374285714285714</v>
      </c>
      <c r="P65" s="2" t="str">
        <f aca="false">IF(ISNUMBER(J65),"DGE",IF(ISNUMBER(K65),"ILO table",""))</f>
        <v>DGE</v>
      </c>
    </row>
    <row r="66" customFormat="false" ht="15" hidden="false" customHeight="false" outlineLevel="0" collapsed="false">
      <c r="A66" s="2" t="s">
        <v>232</v>
      </c>
      <c r="B66" s="2" t="s">
        <v>227</v>
      </c>
      <c r="C66" s="2" t="s">
        <v>233</v>
      </c>
      <c r="D66" s="2" t="s">
        <v>227</v>
      </c>
      <c r="E66" s="2" t="s">
        <v>234</v>
      </c>
      <c r="F66" s="2" t="s">
        <v>227</v>
      </c>
      <c r="G66" s="12" t="n">
        <v>0.5</v>
      </c>
      <c r="H66" s="13" t="n">
        <f aca="false">SUMPRODUCT(('DGE links'!$F$2:$F$3451=A66)*1)</f>
        <v>4</v>
      </c>
      <c r="I66" s="13" t="n">
        <f aca="false">SUMPRODUCT(('ILO links'!$G$2:$G$674=A66)*'ILO links'!$J$2:$J$674)</f>
        <v>2</v>
      </c>
      <c r="J66" s="7" t="n">
        <f aca="false">IFERROR(SUMPRODUCT(('DGE links'!$F$2:$F$3451=A66)*'DGE links'!$H$2:$H$3451*'DGE links'!$I$2:$I$3451*'DGE links'!$J$2:$J$3451)/SUMPRODUCT(('DGE links'!$F$2:$F$3451=A66)*'DGE links'!$H$2:$H$3451*'DGE links'!$J$2:$J$3451),"")</f>
        <v>0.285</v>
      </c>
      <c r="K66" s="7" t="n">
        <f aca="false">IFERROR(AVERAGEIFS('ILO links'!$H$2:$H$674,'ILO links'!$G$2:$G$674,A66,'ILO links'!$J$2:$J$674,1),"")</f>
        <v>0.295</v>
      </c>
      <c r="L66" s="14" t="n">
        <f aca="false">IF(AND(ISNUMBER(J66),ISNUMBER(K66)),J66-K66,"")</f>
        <v>-0.01</v>
      </c>
      <c r="M66" s="14" t="n">
        <f aca="false">IF(ISNUMBER(L66),ABS(L66),"")</f>
        <v>0.01</v>
      </c>
      <c r="N66" s="2" t="str">
        <f aca="false">IF(ISNUMBER(M66),IF(M66&lt;=Summary!$B$4,"Agree","Check"),IF(ISNUMBER(J66),"DGE only",IF(ISNUMBER(K66),"ILO only","Not scored")))</f>
        <v>Agree</v>
      </c>
      <c r="O66" s="14" t="n">
        <f aca="false">IF(ISNUMBER(J66),J66,IF(ISNUMBER(K66),K66,""))</f>
        <v>0.285</v>
      </c>
      <c r="P66" s="2" t="str">
        <f aca="false">IF(ISNUMBER(J66),"DGE",IF(ISNUMBER(K66),"ILO table",""))</f>
        <v>DGE</v>
      </c>
    </row>
    <row r="67" customFormat="false" ht="15" hidden="false" customHeight="false" outlineLevel="0" collapsed="false">
      <c r="A67" s="2" t="s">
        <v>235</v>
      </c>
      <c r="B67" s="2" t="s">
        <v>235</v>
      </c>
      <c r="C67" s="2" t="s">
        <v>236</v>
      </c>
      <c r="D67" s="2" t="s">
        <v>237</v>
      </c>
      <c r="E67" s="2" t="s">
        <v>238</v>
      </c>
      <c r="F67" s="2" t="s">
        <v>235</v>
      </c>
      <c r="G67" s="12" t="n">
        <v>0.333333333333333</v>
      </c>
      <c r="H67" s="13" t="n">
        <f aca="false">SUMPRODUCT(('DGE links'!$F$2:$F$3451=A67)*1)</f>
        <v>19</v>
      </c>
      <c r="I67" s="13" t="n">
        <f aca="false">SUMPRODUCT(('ILO links'!$G$2:$G$674=A67)*'ILO links'!$J$2:$J$674)</f>
        <v>5</v>
      </c>
      <c r="J67" s="7" t="n">
        <f aca="false">IFERROR(SUMPRODUCT(('DGE links'!$F$2:$F$3451=A67)*'DGE links'!$H$2:$H$3451*'DGE links'!$I$2:$I$3451*'DGE links'!$J$2:$J$3451)/SUMPRODUCT(('DGE links'!$F$2:$F$3451=A67)*'DGE links'!$H$2:$H$3451*'DGE links'!$J$2:$J$3451),"")</f>
        <v>0.175789473684211</v>
      </c>
      <c r="K67" s="7" t="n">
        <f aca="false">IFERROR(AVERAGEIFS('ILO links'!$H$2:$H$674,'ILO links'!$G$2:$G$674,A67,'ILO links'!$J$2:$J$674,1),"")</f>
        <v>0.164</v>
      </c>
      <c r="L67" s="14" t="n">
        <f aca="false">IF(AND(ISNUMBER(J67),ISNUMBER(K67)),J67-K67,"")</f>
        <v>0.0117894736842105</v>
      </c>
      <c r="M67" s="14" t="n">
        <f aca="false">IF(ISNUMBER(L67),ABS(L67),"")</f>
        <v>0.0117894736842105</v>
      </c>
      <c r="N67" s="2" t="str">
        <f aca="false">IF(ISNUMBER(M67),IF(M67&lt;=Summary!$B$4,"Agree","Check"),IF(ISNUMBER(J67),"DGE only",IF(ISNUMBER(K67),"ILO only","Not scored")))</f>
        <v>Agree</v>
      </c>
      <c r="O67" s="14" t="n">
        <f aca="false">IF(ISNUMBER(J67),J67,IF(ISNUMBER(K67),K67,""))</f>
        <v>0.175789473684211</v>
      </c>
      <c r="P67" s="2" t="str">
        <f aca="false">IF(ISNUMBER(J67),"DGE",IF(ISNUMBER(K67),"ILO table",""))</f>
        <v>DGE</v>
      </c>
    </row>
    <row r="68" customFormat="false" ht="15" hidden="false" customHeight="false" outlineLevel="0" collapsed="false">
      <c r="A68" s="2" t="s">
        <v>239</v>
      </c>
      <c r="B68" s="2" t="s">
        <v>239</v>
      </c>
      <c r="C68" s="2" t="s">
        <v>240</v>
      </c>
      <c r="D68" s="2" t="s">
        <v>239</v>
      </c>
      <c r="E68" s="2" t="s">
        <v>241</v>
      </c>
      <c r="F68" s="2" t="s">
        <v>239</v>
      </c>
      <c r="G68" s="12" t="n">
        <v>0.5</v>
      </c>
      <c r="H68" s="13" t="n">
        <f aca="false">SUMPRODUCT(('DGE links'!$F$2:$F$3451=A68)*1)</f>
        <v>25</v>
      </c>
      <c r="I68" s="13" t="n">
        <f aca="false">SUMPRODUCT(('ILO links'!$G$2:$G$674=A68)*'ILO links'!$J$2:$J$674)</f>
        <v>5</v>
      </c>
      <c r="J68" s="7" t="n">
        <f aca="false">IFERROR(SUMPRODUCT(('DGE links'!$F$2:$F$3451=A68)*'DGE links'!$H$2:$H$3451*'DGE links'!$I$2:$I$3451*'DGE links'!$J$2:$J$3451)/SUMPRODUCT(('DGE links'!$F$2:$F$3451=A68)*'DGE links'!$H$2:$H$3451*'DGE links'!$J$2:$J$3451),"")</f>
        <v>0.195</v>
      </c>
      <c r="K68" s="7" t="n">
        <f aca="false">IFERROR(AVERAGEIFS('ILO links'!$H$2:$H$674,'ILO links'!$G$2:$G$674,A68,'ILO links'!$J$2:$J$674,1),"")</f>
        <v>0.184</v>
      </c>
      <c r="L68" s="14" t="n">
        <f aca="false">IF(AND(ISNUMBER(J68),ISNUMBER(K68)),J68-K68,"")</f>
        <v>0.011</v>
      </c>
      <c r="M68" s="14" t="n">
        <f aca="false">IF(ISNUMBER(L68),ABS(L68),"")</f>
        <v>0.011</v>
      </c>
      <c r="N68" s="2" t="str">
        <f aca="false">IF(ISNUMBER(M68),IF(M68&lt;=Summary!$B$4,"Agree","Check"),IF(ISNUMBER(J68),"DGE only",IF(ISNUMBER(K68),"ILO only","Not scored")))</f>
        <v>Agree</v>
      </c>
      <c r="O68" s="14" t="n">
        <f aca="false">IF(ISNUMBER(J68),J68,IF(ISNUMBER(K68),K68,""))</f>
        <v>0.195</v>
      </c>
      <c r="P68" s="2" t="str">
        <f aca="false">IF(ISNUMBER(J68),"DGE",IF(ISNUMBER(K68),"ILO table",""))</f>
        <v>DGE</v>
      </c>
    </row>
    <row r="69" customFormat="false" ht="15" hidden="false" customHeight="false" outlineLevel="0" collapsed="false">
      <c r="A69" s="2" t="s">
        <v>242</v>
      </c>
      <c r="B69" s="2" t="s">
        <v>242</v>
      </c>
      <c r="C69" s="2" t="s">
        <v>243</v>
      </c>
      <c r="D69" s="2" t="s">
        <v>242</v>
      </c>
      <c r="E69" s="2" t="s">
        <v>242</v>
      </c>
      <c r="F69" s="2" t="s">
        <v>242</v>
      </c>
      <c r="G69" s="12" t="n">
        <v>1</v>
      </c>
      <c r="H69" s="13" t="n">
        <f aca="false">SUMPRODUCT(('DGE links'!$F$2:$F$3451=A69)*1)</f>
        <v>2</v>
      </c>
      <c r="I69" s="13" t="n">
        <f aca="false">SUMPRODUCT(('ILO links'!$G$2:$G$674=A69)*'ILO links'!$J$2:$J$674)</f>
        <v>1</v>
      </c>
      <c r="J69" s="7" t="n">
        <f aca="false">IFERROR(SUMPRODUCT(('DGE links'!$F$2:$F$3451=A69)*'DGE links'!$H$2:$H$3451*'DGE links'!$I$2:$I$3451*'DGE links'!$J$2:$J$3451)/SUMPRODUCT(('DGE links'!$F$2:$F$3451=A69)*'DGE links'!$H$2:$H$3451*'DGE links'!$J$2:$J$3451),"")</f>
        <v>0.19</v>
      </c>
      <c r="K69" s="7" t="n">
        <f aca="false">IFERROR(AVERAGEIFS('ILO links'!$H$2:$H$674,'ILO links'!$G$2:$G$674,A69,'ILO links'!$J$2:$J$674,1),"")</f>
        <v>0.19</v>
      </c>
      <c r="L69" s="14" t="n">
        <f aca="false">IF(AND(ISNUMBER(J69),ISNUMBER(K69)),J69-K69,"")</f>
        <v>0</v>
      </c>
      <c r="M69" s="14" t="n">
        <f aca="false">IF(ISNUMBER(L69),ABS(L69),"")</f>
        <v>0</v>
      </c>
      <c r="N69" s="2" t="str">
        <f aca="false">IF(ISNUMBER(M69),IF(M69&lt;=Summary!$B$4,"Agree","Check"),IF(ISNUMBER(J69),"DGE only",IF(ISNUMBER(K69),"ILO only","Not scored")))</f>
        <v>Agree</v>
      </c>
      <c r="O69" s="14" t="n">
        <f aca="false">IF(ISNUMBER(J69),J69,IF(ISNUMBER(K69),K69,""))</f>
        <v>0.19</v>
      </c>
      <c r="P69" s="2" t="str">
        <f aca="false">IF(ISNUMBER(J69),"DGE",IF(ISNUMBER(K69),"ILO table",""))</f>
        <v>DGE</v>
      </c>
    </row>
    <row r="70" customFormat="false" ht="15" hidden="false" customHeight="false" outlineLevel="0" collapsed="false">
      <c r="A70" s="2" t="s">
        <v>244</v>
      </c>
      <c r="B70" s="2" t="s">
        <v>245</v>
      </c>
      <c r="C70" s="2" t="s">
        <v>246</v>
      </c>
      <c r="D70" s="2" t="s">
        <v>245</v>
      </c>
      <c r="E70" s="2" t="s">
        <v>245</v>
      </c>
      <c r="F70" s="2" t="s">
        <v>245</v>
      </c>
      <c r="G70" s="12" t="n">
        <v>1</v>
      </c>
      <c r="H70" s="13" t="n">
        <f aca="false">SUMPRODUCT(('DGE links'!$F$2:$F$3451=A70)*1)</f>
        <v>21</v>
      </c>
      <c r="I70" s="13" t="n">
        <f aca="false">SUMPRODUCT(('ILO links'!$G$2:$G$674=A70)*'ILO links'!$J$2:$J$674)</f>
        <v>1</v>
      </c>
      <c r="J70" s="7" t="n">
        <f aca="false">IFERROR(SUMPRODUCT(('DGE links'!$F$2:$F$3451=A70)*'DGE links'!$H$2:$H$3451*'DGE links'!$I$2:$I$3451*'DGE links'!$J$2:$J$3451)/SUMPRODUCT(('DGE links'!$F$2:$F$3451=A70)*'DGE links'!$H$2:$H$3451*'DGE links'!$J$2:$J$3451),"")</f>
        <v>0.12</v>
      </c>
      <c r="K70" s="7" t="n">
        <f aca="false">IFERROR(AVERAGEIFS('ILO links'!$H$2:$H$674,'ILO links'!$G$2:$G$674,A70,'ILO links'!$J$2:$J$674,1),"")</f>
        <v>0.12</v>
      </c>
      <c r="L70" s="14" t="n">
        <f aca="false">IF(AND(ISNUMBER(J70),ISNUMBER(K70)),J70-K70,"")</f>
        <v>0</v>
      </c>
      <c r="M70" s="14" t="n">
        <f aca="false">IF(ISNUMBER(L70),ABS(L70),"")</f>
        <v>0</v>
      </c>
      <c r="N70" s="2" t="str">
        <f aca="false">IF(ISNUMBER(M70),IF(M70&lt;=Summary!$B$4,"Agree","Check"),IF(ISNUMBER(J70),"DGE only",IF(ISNUMBER(K70),"ILO only","Not scored")))</f>
        <v>Agree</v>
      </c>
      <c r="O70" s="14" t="n">
        <f aca="false">IF(ISNUMBER(J70),J70,IF(ISNUMBER(K70),K70,""))</f>
        <v>0.12</v>
      </c>
      <c r="P70" s="2" t="str">
        <f aca="false">IF(ISNUMBER(J70),"DGE",IF(ISNUMBER(K70),"ILO table",""))</f>
        <v>DGE</v>
      </c>
    </row>
    <row r="71" customFormat="false" ht="15" hidden="false" customHeight="false" outlineLevel="0" collapsed="false">
      <c r="A71" s="2" t="s">
        <v>247</v>
      </c>
      <c r="B71" s="2" t="s">
        <v>248</v>
      </c>
      <c r="C71" s="2" t="s">
        <v>249</v>
      </c>
      <c r="D71" s="2" t="s">
        <v>250</v>
      </c>
      <c r="E71" s="2" t="s">
        <v>250</v>
      </c>
      <c r="F71" s="2" t="s">
        <v>250</v>
      </c>
      <c r="G71" s="12" t="n">
        <v>1</v>
      </c>
      <c r="H71" s="13" t="n">
        <f aca="false">SUMPRODUCT(('DGE links'!$F$2:$F$3451=A71)*1)</f>
        <v>23</v>
      </c>
      <c r="I71" s="13" t="n">
        <f aca="false">SUMPRODUCT(('ILO links'!$G$2:$G$674=A71)*'ILO links'!$J$2:$J$674)</f>
        <v>5</v>
      </c>
      <c r="J71" s="7" t="n">
        <f aca="false">IFERROR(SUMPRODUCT(('DGE links'!$F$2:$F$3451=A71)*'DGE links'!$H$2:$H$3451*'DGE links'!$I$2:$I$3451*'DGE links'!$J$2:$J$3451)/SUMPRODUCT(('DGE links'!$F$2:$F$3451=A71)*'DGE links'!$H$2:$H$3451*'DGE links'!$J$2:$J$3451),"")</f>
        <v>0.166521739130435</v>
      </c>
      <c r="K71" s="7" t="n">
        <f aca="false">IFERROR(AVERAGEIFS('ILO links'!$H$2:$H$674,'ILO links'!$G$2:$G$674,A71,'ILO links'!$J$2:$J$674,1),"")</f>
        <v>0.164</v>
      </c>
      <c r="L71" s="14" t="n">
        <f aca="false">IF(AND(ISNUMBER(J71),ISNUMBER(K71)),J71-K71,"")</f>
        <v>0.00252173913043477</v>
      </c>
      <c r="M71" s="14" t="n">
        <f aca="false">IF(ISNUMBER(L71),ABS(L71),"")</f>
        <v>0.00252173913043477</v>
      </c>
      <c r="N71" s="2" t="str">
        <f aca="false">IF(ISNUMBER(M71),IF(M71&lt;=Summary!$B$4,"Agree","Check"),IF(ISNUMBER(J71),"DGE only",IF(ISNUMBER(K71),"ILO only","Not scored")))</f>
        <v>Agree</v>
      </c>
      <c r="O71" s="14" t="n">
        <f aca="false">IF(ISNUMBER(J71),J71,IF(ISNUMBER(K71),K71,""))</f>
        <v>0.166521739130435</v>
      </c>
      <c r="P71" s="2" t="str">
        <f aca="false">IF(ISNUMBER(J71),"DGE",IF(ISNUMBER(K71),"ILO table",""))</f>
        <v>DGE</v>
      </c>
    </row>
    <row r="72" customFormat="false" ht="15" hidden="false" customHeight="false" outlineLevel="0" collapsed="false">
      <c r="A72" s="2" t="s">
        <v>251</v>
      </c>
      <c r="B72" s="2" t="s">
        <v>252</v>
      </c>
      <c r="C72" s="2" t="s">
        <v>253</v>
      </c>
      <c r="D72" s="2" t="s">
        <v>252</v>
      </c>
      <c r="E72" s="2"/>
      <c r="F72" s="2"/>
      <c r="G72" s="12"/>
      <c r="H72" s="13" t="n">
        <f aca="false">SUMPRODUCT(('DGE links'!$F$2:$F$3451=A72)*1)</f>
        <v>2</v>
      </c>
      <c r="I72" s="13" t="n">
        <f aca="false">SUMPRODUCT(('ILO links'!$G$2:$G$674=A72)*'ILO links'!$J$2:$J$674)</f>
        <v>0</v>
      </c>
      <c r="J72" s="7" t="n">
        <f aca="false">IFERROR(SUMPRODUCT(('DGE links'!$F$2:$F$3451=A72)*'DGE links'!$H$2:$H$3451*'DGE links'!$I$2:$I$3451*'DGE links'!$J$2:$J$3451)/SUMPRODUCT(('DGE links'!$F$2:$F$3451=A72)*'DGE links'!$H$2:$H$3451*'DGE links'!$J$2:$J$3451),"")</f>
        <v>0.13</v>
      </c>
      <c r="K72" s="7" t="str">
        <f aca="false">IFERROR(AVERAGEIFS('ILO links'!$H$2:$H$674,'ILO links'!$G$2:$G$674,A72,'ILO links'!$J$2:$J$674,1),"")</f>
        <v/>
      </c>
      <c r="L72" s="14" t="str">
        <f aca="false">IF(AND(ISNUMBER(J72),ISNUMBER(K72)),J72-K72,"")</f>
        <v/>
      </c>
      <c r="M72" s="14" t="str">
        <f aca="false">IF(ISNUMBER(L72),ABS(L72),"")</f>
        <v/>
      </c>
      <c r="N72" s="2" t="str">
        <f aca="false">IF(ISNUMBER(M72),IF(M72&lt;=Summary!$B$4,"Agree","Check"),IF(ISNUMBER(J72),"DGE only",IF(ISNUMBER(K72),"ILO only","Not scored")))</f>
        <v>DGE only</v>
      </c>
      <c r="O72" s="14" t="n">
        <f aca="false">IF(ISNUMBER(J72),J72,IF(ISNUMBER(K72),K72,""))</f>
        <v>0.13</v>
      </c>
      <c r="P72" s="2" t="str">
        <f aca="false">IF(ISNUMBER(J72),"DGE",IF(ISNUMBER(K72),"ILO table",""))</f>
        <v>DGE</v>
      </c>
    </row>
    <row r="73" customFormat="false" ht="15" hidden="false" customHeight="false" outlineLevel="0" collapsed="false">
      <c r="A73" s="2" t="s">
        <v>245</v>
      </c>
      <c r="B73" s="2"/>
      <c r="C73" s="2"/>
      <c r="D73" s="2"/>
      <c r="E73" s="2" t="s">
        <v>254</v>
      </c>
      <c r="F73" s="2"/>
      <c r="G73" s="12"/>
      <c r="H73" s="13" t="n">
        <f aca="false">SUMPRODUCT(('DGE links'!$F$2:$F$3451=A73)*1)</f>
        <v>0</v>
      </c>
      <c r="I73" s="13" t="n">
        <f aca="false">SUMPRODUCT(('ILO links'!$G$2:$G$674=A73)*'ILO links'!$J$2:$J$674)</f>
        <v>4</v>
      </c>
      <c r="J73" s="7" t="str">
        <f aca="false">IFERROR(SUMPRODUCT(('DGE links'!$F$2:$F$3451=A73)*'DGE links'!$H$2:$H$3451*'DGE links'!$I$2:$I$3451*'DGE links'!$J$2:$J$3451)/SUMPRODUCT(('DGE links'!$F$2:$F$3451=A73)*'DGE links'!$H$2:$H$3451*'DGE links'!$J$2:$J$3451),"")</f>
        <v/>
      </c>
      <c r="K73" s="7" t="n">
        <f aca="false">IFERROR(AVERAGEIFS('ILO links'!$H$2:$H$674,'ILO links'!$G$2:$G$674,A73,'ILO links'!$J$2:$J$674,1),"")</f>
        <v>0.125</v>
      </c>
      <c r="L73" s="14" t="str">
        <f aca="false">IF(AND(ISNUMBER(J73),ISNUMBER(K73)),J73-K73,"")</f>
        <v/>
      </c>
      <c r="M73" s="14" t="str">
        <f aca="false">IF(ISNUMBER(L73),ABS(L73),"")</f>
        <v/>
      </c>
      <c r="N73" s="2" t="str">
        <f aca="false">IF(ISNUMBER(M73),IF(M73&lt;=Summary!$B$4,"Agree","Check"),IF(ISNUMBER(J73),"DGE only",IF(ISNUMBER(K73),"ILO only","Not scored")))</f>
        <v>ILO only</v>
      </c>
      <c r="O73" s="14" t="n">
        <f aca="false">IF(ISNUMBER(J73),J73,IF(ISNUMBER(K73),K73,""))</f>
        <v>0.125</v>
      </c>
      <c r="P73" s="2" t="str">
        <f aca="false">IF(ISNUMBER(J73),"DGE",IF(ISNUMBER(K73),"ILO table",""))</f>
        <v>ILO table</v>
      </c>
    </row>
    <row r="74" customFormat="false" ht="15" hidden="false" customHeight="false" outlineLevel="0" collapsed="false">
      <c r="A74" s="2" t="s">
        <v>255</v>
      </c>
      <c r="B74" s="2" t="s">
        <v>256</v>
      </c>
      <c r="C74" s="2" t="s">
        <v>257</v>
      </c>
      <c r="D74" s="2" t="s">
        <v>258</v>
      </c>
      <c r="E74" s="2" t="s">
        <v>259</v>
      </c>
      <c r="F74" s="2" t="s">
        <v>258</v>
      </c>
      <c r="G74" s="12" t="n">
        <v>0.75</v>
      </c>
      <c r="H74" s="13" t="n">
        <f aca="false">SUMPRODUCT(('DGE links'!$F$2:$F$3451=A74)*1)</f>
        <v>39</v>
      </c>
      <c r="I74" s="13" t="n">
        <f aca="false">SUMPRODUCT(('ILO links'!$G$2:$G$674=A74)*'ILO links'!$J$2:$J$674)</f>
        <v>4</v>
      </c>
      <c r="J74" s="7" t="n">
        <f aca="false">IFERROR(SUMPRODUCT(('DGE links'!$F$2:$F$3451=A74)*'DGE links'!$H$2:$H$3451*'DGE links'!$I$2:$I$3451*'DGE links'!$J$2:$J$3451)/SUMPRODUCT(('DGE links'!$F$2:$F$3451=A74)*'DGE links'!$H$2:$H$3451*'DGE links'!$J$2:$J$3451),"")</f>
        <v>0.182</v>
      </c>
      <c r="K74" s="7" t="n">
        <f aca="false">IFERROR(AVERAGEIFS('ILO links'!$H$2:$H$674,'ILO links'!$G$2:$G$674,A74,'ILO links'!$J$2:$J$674,1),"")</f>
        <v>0.1725</v>
      </c>
      <c r="L74" s="14" t="n">
        <f aca="false">IF(AND(ISNUMBER(J74),ISNUMBER(K74)),J74-K74,"")</f>
        <v>0.00950000000000001</v>
      </c>
      <c r="M74" s="14" t="n">
        <f aca="false">IF(ISNUMBER(L74),ABS(L74),"")</f>
        <v>0.00950000000000001</v>
      </c>
      <c r="N74" s="2" t="str">
        <f aca="false">IF(ISNUMBER(M74),IF(M74&lt;=Summary!$B$4,"Agree","Check"),IF(ISNUMBER(J74),"DGE only",IF(ISNUMBER(K74),"ILO only","Not scored")))</f>
        <v>Agree</v>
      </c>
      <c r="O74" s="14" t="n">
        <f aca="false">IF(ISNUMBER(J74),J74,IF(ISNUMBER(K74),K74,""))</f>
        <v>0.182</v>
      </c>
      <c r="P74" s="2" t="str">
        <f aca="false">IF(ISNUMBER(J74),"DGE",IF(ISNUMBER(K74),"ILO table",""))</f>
        <v>DGE</v>
      </c>
    </row>
    <row r="75" customFormat="false" ht="15" hidden="false" customHeight="false" outlineLevel="0" collapsed="false">
      <c r="A75" s="2" t="s">
        <v>260</v>
      </c>
      <c r="B75" s="2" t="s">
        <v>255</v>
      </c>
      <c r="C75" s="2" t="s">
        <v>261</v>
      </c>
      <c r="D75" s="2" t="s">
        <v>255</v>
      </c>
      <c r="E75" s="2" t="s">
        <v>262</v>
      </c>
      <c r="F75" s="2" t="s">
        <v>255</v>
      </c>
      <c r="G75" s="12" t="n">
        <v>0.5</v>
      </c>
      <c r="H75" s="13" t="n">
        <f aca="false">SUMPRODUCT(('DGE links'!$F$2:$F$3451=A75)*1)</f>
        <v>27</v>
      </c>
      <c r="I75" s="13" t="n">
        <f aca="false">SUMPRODUCT(('ILO links'!$G$2:$G$674=A75)*'ILO links'!$J$2:$J$674)</f>
        <v>7</v>
      </c>
      <c r="J75" s="7" t="n">
        <f aca="false">IFERROR(SUMPRODUCT(('DGE links'!$F$2:$F$3451=A75)*'DGE links'!$H$2:$H$3451*'DGE links'!$I$2:$I$3451*'DGE links'!$J$2:$J$3451)/SUMPRODUCT(('DGE links'!$F$2:$F$3451=A75)*'DGE links'!$H$2:$H$3451*'DGE links'!$J$2:$J$3451),"")</f>
        <v>0.11</v>
      </c>
      <c r="K75" s="7" t="n">
        <f aca="false">IFERROR(AVERAGEIFS('ILO links'!$H$2:$H$674,'ILO links'!$G$2:$G$674,A75,'ILO links'!$J$2:$J$674,1),"")</f>
        <v>0.134285714285714</v>
      </c>
      <c r="L75" s="14" t="n">
        <f aca="false">IF(AND(ISNUMBER(J75),ISNUMBER(K75)),J75-K75,"")</f>
        <v>-0.0242857142857143</v>
      </c>
      <c r="M75" s="14" t="n">
        <f aca="false">IF(ISNUMBER(L75),ABS(L75),"")</f>
        <v>0.0242857142857143</v>
      </c>
      <c r="N75" s="2" t="str">
        <f aca="false">IF(ISNUMBER(M75),IF(M75&lt;=Summary!$B$4,"Agree","Check"),IF(ISNUMBER(J75),"DGE only",IF(ISNUMBER(K75),"ILO only","Not scored")))</f>
        <v>Agree</v>
      </c>
      <c r="O75" s="14" t="n">
        <f aca="false">IF(ISNUMBER(J75),J75,IF(ISNUMBER(K75),K75,""))</f>
        <v>0.11</v>
      </c>
      <c r="P75" s="2" t="str">
        <f aca="false">IF(ISNUMBER(J75),"DGE",IF(ISNUMBER(K75),"ILO table",""))</f>
        <v>DGE</v>
      </c>
    </row>
    <row r="76" customFormat="false" ht="15" hidden="false" customHeight="false" outlineLevel="0" collapsed="false">
      <c r="A76" s="2" t="s">
        <v>263</v>
      </c>
      <c r="B76" s="2" t="s">
        <v>260</v>
      </c>
      <c r="C76" s="2" t="s">
        <v>264</v>
      </c>
      <c r="D76" s="2" t="s">
        <v>265</v>
      </c>
      <c r="E76" s="2" t="s">
        <v>266</v>
      </c>
      <c r="F76" s="2" t="s">
        <v>266</v>
      </c>
      <c r="G76" s="12" t="n">
        <v>0.666666666666667</v>
      </c>
      <c r="H76" s="13" t="n">
        <f aca="false">SUMPRODUCT(('DGE links'!$F$2:$F$3451=A76)*1)</f>
        <v>37</v>
      </c>
      <c r="I76" s="13" t="n">
        <f aca="false">SUMPRODUCT(('ILO links'!$G$2:$G$674=A76)*'ILO links'!$J$2:$J$674)</f>
        <v>8</v>
      </c>
      <c r="J76" s="7" t="n">
        <f aca="false">IFERROR(SUMPRODUCT(('DGE links'!$F$2:$F$3451=A76)*'DGE links'!$H$2:$H$3451*'DGE links'!$I$2:$I$3451*'DGE links'!$J$2:$J$3451)/SUMPRODUCT(('DGE links'!$F$2:$F$3451=A76)*'DGE links'!$H$2:$H$3451*'DGE links'!$J$2:$J$3451),"")</f>
        <v>0.165002702702703</v>
      </c>
      <c r="K76" s="7" t="n">
        <f aca="false">IFERROR(AVERAGEIFS('ILO links'!$H$2:$H$674,'ILO links'!$G$2:$G$674,A76,'ILO links'!$J$2:$J$674,1),"")</f>
        <v>0.14875</v>
      </c>
      <c r="L76" s="14" t="n">
        <f aca="false">IF(AND(ISNUMBER(J76),ISNUMBER(K76)),J76-K76,"")</f>
        <v>0.0162527027027027</v>
      </c>
      <c r="M76" s="14" t="n">
        <f aca="false">IF(ISNUMBER(L76),ABS(L76),"")</f>
        <v>0.0162527027027027</v>
      </c>
      <c r="N76" s="2" t="str">
        <f aca="false">IF(ISNUMBER(M76),IF(M76&lt;=Summary!$B$4,"Agree","Check"),IF(ISNUMBER(J76),"DGE only",IF(ISNUMBER(K76),"ILO only","Not scored")))</f>
        <v>Agree</v>
      </c>
      <c r="O76" s="14" t="n">
        <f aca="false">IF(ISNUMBER(J76),J76,IF(ISNUMBER(K76),K76,""))</f>
        <v>0.165002702702703</v>
      </c>
      <c r="P76" s="2" t="str">
        <f aca="false">IF(ISNUMBER(J76),"DGE",IF(ISNUMBER(K76),"ILO table",""))</f>
        <v>DGE</v>
      </c>
    </row>
    <row r="77" customFormat="false" ht="15" hidden="false" customHeight="false" outlineLevel="0" collapsed="false">
      <c r="A77" s="2" t="s">
        <v>267</v>
      </c>
      <c r="B77" s="2" t="s">
        <v>263</v>
      </c>
      <c r="C77" s="2" t="s">
        <v>268</v>
      </c>
      <c r="D77" s="2" t="s">
        <v>269</v>
      </c>
      <c r="E77" s="2" t="s">
        <v>270</v>
      </c>
      <c r="F77" s="2" t="s">
        <v>263</v>
      </c>
      <c r="G77" s="12" t="n">
        <v>0.333333333333333</v>
      </c>
      <c r="H77" s="13" t="n">
        <f aca="false">SUMPRODUCT(('DGE links'!$F$2:$F$3451=A77)*1)</f>
        <v>16</v>
      </c>
      <c r="I77" s="13" t="n">
        <f aca="false">SUMPRODUCT(('ILO links'!$G$2:$G$674=A77)*'ILO links'!$J$2:$J$674)</f>
        <v>4</v>
      </c>
      <c r="J77" s="7" t="n">
        <f aca="false">IFERROR(SUMPRODUCT(('DGE links'!$F$2:$F$3451=A77)*'DGE links'!$H$2:$H$3451*'DGE links'!$I$2:$I$3451*'DGE links'!$J$2:$J$3451)/SUMPRODUCT(('DGE links'!$F$2:$F$3451=A77)*'DGE links'!$H$2:$H$3451*'DGE links'!$J$2:$J$3451),"")</f>
        <v>0.137475</v>
      </c>
      <c r="K77" s="7" t="n">
        <f aca="false">IFERROR(AVERAGEIFS('ILO links'!$H$2:$H$674,'ILO links'!$G$2:$G$674,A77,'ILO links'!$J$2:$J$674,1),"")</f>
        <v>0.1175</v>
      </c>
      <c r="L77" s="14" t="n">
        <f aca="false">IF(AND(ISNUMBER(J77),ISNUMBER(K77)),J77-K77,"")</f>
        <v>0.019975</v>
      </c>
      <c r="M77" s="14" t="n">
        <f aca="false">IF(ISNUMBER(L77),ABS(L77),"")</f>
        <v>0.019975</v>
      </c>
      <c r="N77" s="2" t="str">
        <f aca="false">IF(ISNUMBER(M77),IF(M77&lt;=Summary!$B$4,"Agree","Check"),IF(ISNUMBER(J77),"DGE only",IF(ISNUMBER(K77),"ILO only","Not scored")))</f>
        <v>Agree</v>
      </c>
      <c r="O77" s="14" t="n">
        <f aca="false">IF(ISNUMBER(J77),J77,IF(ISNUMBER(K77),K77,""))</f>
        <v>0.137475</v>
      </c>
      <c r="P77" s="2" t="str">
        <f aca="false">IF(ISNUMBER(J77),"DGE",IF(ISNUMBER(K77),"ILO table",""))</f>
        <v>DGE</v>
      </c>
    </row>
    <row r="78" customFormat="false" ht="15" hidden="false" customHeight="false" outlineLevel="0" collapsed="false">
      <c r="A78" s="2" t="s">
        <v>271</v>
      </c>
      <c r="B78" s="2" t="s">
        <v>271</v>
      </c>
      <c r="C78" s="2" t="s">
        <v>272</v>
      </c>
      <c r="D78" s="2" t="s">
        <v>273</v>
      </c>
      <c r="E78" s="2" t="s">
        <v>274</v>
      </c>
      <c r="F78" s="2" t="s">
        <v>274</v>
      </c>
      <c r="G78" s="12" t="n">
        <v>0.666666666666667</v>
      </c>
      <c r="H78" s="13" t="n">
        <f aca="false">SUMPRODUCT(('DGE links'!$F$2:$F$3451=A78)*1)</f>
        <v>40</v>
      </c>
      <c r="I78" s="13" t="n">
        <f aca="false">SUMPRODUCT(('ILO links'!$G$2:$G$674=A78)*'ILO links'!$J$2:$J$674)</f>
        <v>6</v>
      </c>
      <c r="J78" s="7" t="n">
        <f aca="false">IFERROR(SUMPRODUCT(('DGE links'!$F$2:$F$3451=A78)*'DGE links'!$H$2:$H$3451*'DGE links'!$I$2:$I$3451*'DGE links'!$J$2:$J$3451)/SUMPRODUCT(('DGE links'!$F$2:$F$3451=A78)*'DGE links'!$H$2:$H$3451*'DGE links'!$J$2:$J$3451),"")</f>
        <v>0.152485</v>
      </c>
      <c r="K78" s="7" t="n">
        <f aca="false">IFERROR(AVERAGEIFS('ILO links'!$H$2:$H$674,'ILO links'!$G$2:$G$674,A78,'ILO links'!$J$2:$J$674,1),"")</f>
        <v>0.145</v>
      </c>
      <c r="L78" s="14" t="n">
        <f aca="false">IF(AND(ISNUMBER(J78),ISNUMBER(K78)),J78-K78,"")</f>
        <v>0.00748499999999999</v>
      </c>
      <c r="M78" s="14" t="n">
        <f aca="false">IF(ISNUMBER(L78),ABS(L78),"")</f>
        <v>0.00748499999999999</v>
      </c>
      <c r="N78" s="2" t="str">
        <f aca="false">IF(ISNUMBER(M78),IF(M78&lt;=Summary!$B$4,"Agree","Check"),IF(ISNUMBER(J78),"DGE only",IF(ISNUMBER(K78),"ILO only","Not scored")))</f>
        <v>Agree</v>
      </c>
      <c r="O78" s="14" t="n">
        <f aca="false">IF(ISNUMBER(J78),J78,IF(ISNUMBER(K78),K78,""))</f>
        <v>0.152485</v>
      </c>
      <c r="P78" s="2" t="str">
        <f aca="false">IF(ISNUMBER(J78),"DGE",IF(ISNUMBER(K78),"ILO table",""))</f>
        <v>DGE</v>
      </c>
    </row>
    <row r="79" customFormat="false" ht="15" hidden="false" customHeight="false" outlineLevel="0" collapsed="false">
      <c r="A79" s="2" t="s">
        <v>275</v>
      </c>
      <c r="B79" s="2" t="s">
        <v>275</v>
      </c>
      <c r="C79" s="2" t="s">
        <v>276</v>
      </c>
      <c r="D79" s="2" t="s">
        <v>277</v>
      </c>
      <c r="E79" s="2" t="s">
        <v>275</v>
      </c>
      <c r="F79" s="2" t="s">
        <v>275</v>
      </c>
      <c r="G79" s="12" t="n">
        <v>0.5</v>
      </c>
      <c r="H79" s="13" t="n">
        <f aca="false">SUMPRODUCT(('DGE links'!$F$2:$F$3451=A79)*1)</f>
        <v>35</v>
      </c>
      <c r="I79" s="13" t="n">
        <f aca="false">SUMPRODUCT(('ILO links'!$G$2:$G$674=A79)*'ILO links'!$J$2:$J$674)</f>
        <v>4</v>
      </c>
      <c r="J79" s="7" t="n">
        <f aca="false">IFERROR(SUMPRODUCT(('DGE links'!$F$2:$F$3451=A79)*'DGE links'!$H$2:$H$3451*'DGE links'!$I$2:$I$3451*'DGE links'!$J$2:$J$3451)/SUMPRODUCT(('DGE links'!$F$2:$F$3451=A79)*'DGE links'!$H$2:$H$3451*'DGE links'!$J$2:$J$3451),"")</f>
        <v>0.18724</v>
      </c>
      <c r="K79" s="7" t="n">
        <f aca="false">IFERROR(AVERAGEIFS('ILO links'!$H$2:$H$674,'ILO links'!$G$2:$G$674,A79,'ILO links'!$J$2:$J$674,1),"")</f>
        <v>0.18</v>
      </c>
      <c r="L79" s="14" t="n">
        <f aca="false">IF(AND(ISNUMBER(J79),ISNUMBER(K79)),J79-K79,"")</f>
        <v>0.00724</v>
      </c>
      <c r="M79" s="14" t="n">
        <f aca="false">IF(ISNUMBER(L79),ABS(L79),"")</f>
        <v>0.00724</v>
      </c>
      <c r="N79" s="2" t="str">
        <f aca="false">IF(ISNUMBER(M79),IF(M79&lt;=Summary!$B$4,"Agree","Check"),IF(ISNUMBER(J79),"DGE only",IF(ISNUMBER(K79),"ILO only","Not scored")))</f>
        <v>Agree</v>
      </c>
      <c r="O79" s="14" t="n">
        <f aca="false">IF(ISNUMBER(J79),J79,IF(ISNUMBER(K79),K79,""))</f>
        <v>0.18724</v>
      </c>
      <c r="P79" s="2" t="str">
        <f aca="false">IF(ISNUMBER(J79),"DGE",IF(ISNUMBER(K79),"ILO table",""))</f>
        <v>DGE</v>
      </c>
    </row>
    <row r="80" customFormat="false" ht="15" hidden="false" customHeight="false" outlineLevel="0" collapsed="false">
      <c r="A80" s="2" t="s">
        <v>278</v>
      </c>
      <c r="B80" s="2" t="s">
        <v>278</v>
      </c>
      <c r="C80" s="2" t="s">
        <v>279</v>
      </c>
      <c r="D80" s="2" t="s">
        <v>280</v>
      </c>
      <c r="E80" s="2" t="s">
        <v>281</v>
      </c>
      <c r="F80" s="2" t="s">
        <v>281</v>
      </c>
      <c r="G80" s="12" t="n">
        <v>0.666666666666667</v>
      </c>
      <c r="H80" s="13" t="n">
        <f aca="false">SUMPRODUCT(('DGE links'!$F$2:$F$3451=A80)*1)</f>
        <v>47</v>
      </c>
      <c r="I80" s="13" t="n">
        <f aca="false">SUMPRODUCT(('ILO links'!$G$2:$G$674=A80)*'ILO links'!$J$2:$J$674)</f>
        <v>5</v>
      </c>
      <c r="J80" s="7" t="n">
        <f aca="false">IFERROR(SUMPRODUCT(('DGE links'!$F$2:$F$3451=A80)*'DGE links'!$H$2:$H$3451*'DGE links'!$I$2:$I$3451*'DGE links'!$J$2:$J$3451)/SUMPRODUCT(('DGE links'!$F$2:$F$3451=A80)*'DGE links'!$H$2:$H$3451*'DGE links'!$J$2:$J$3451),"")</f>
        <v>0.17586170212766</v>
      </c>
      <c r="K80" s="7" t="n">
        <f aca="false">IFERROR(AVERAGEIFS('ILO links'!$H$2:$H$674,'ILO links'!$G$2:$G$674,A80,'ILO links'!$J$2:$J$674,1),"")</f>
        <v>0.176</v>
      </c>
      <c r="L80" s="14" t="n">
        <f aca="false">IF(AND(ISNUMBER(J80),ISNUMBER(K80)),J80-K80,"")</f>
        <v>-0.000138297872340404</v>
      </c>
      <c r="M80" s="14" t="n">
        <f aca="false">IF(ISNUMBER(L80),ABS(L80),"")</f>
        <v>0.000138297872340404</v>
      </c>
      <c r="N80" s="2" t="str">
        <f aca="false">IF(ISNUMBER(M80),IF(M80&lt;=Summary!$B$4,"Agree","Check"),IF(ISNUMBER(J80),"DGE only",IF(ISNUMBER(K80),"ILO only","Not scored")))</f>
        <v>Agree</v>
      </c>
      <c r="O80" s="14" t="n">
        <f aca="false">IF(ISNUMBER(J80),J80,IF(ISNUMBER(K80),K80,""))</f>
        <v>0.17586170212766</v>
      </c>
      <c r="P80" s="2" t="str">
        <f aca="false">IF(ISNUMBER(J80),"DGE",IF(ISNUMBER(K80),"ILO table",""))</f>
        <v>DGE</v>
      </c>
    </row>
    <row r="81" customFormat="false" ht="15" hidden="false" customHeight="false" outlineLevel="0" collapsed="false">
      <c r="A81" s="2" t="s">
        <v>282</v>
      </c>
      <c r="B81" s="2" t="s">
        <v>283</v>
      </c>
      <c r="C81" s="2" t="s">
        <v>284</v>
      </c>
      <c r="D81" s="2" t="s">
        <v>285</v>
      </c>
      <c r="E81" s="2" t="s">
        <v>286</v>
      </c>
      <c r="F81" s="2" t="s">
        <v>286</v>
      </c>
      <c r="G81" s="12" t="n">
        <v>0.666666666666667</v>
      </c>
      <c r="H81" s="13" t="n">
        <f aca="false">SUMPRODUCT(('DGE links'!$F$2:$F$3451=A81)*1)</f>
        <v>40</v>
      </c>
      <c r="I81" s="13" t="n">
        <f aca="false">SUMPRODUCT(('ILO links'!$G$2:$G$674=A81)*'ILO links'!$J$2:$J$674)</f>
        <v>4</v>
      </c>
      <c r="J81" s="7" t="n">
        <f aca="false">IFERROR(SUMPRODUCT(('DGE links'!$F$2:$F$3451=A81)*'DGE links'!$H$2:$H$3451*'DGE links'!$I$2:$I$3451*'DGE links'!$J$2:$J$3451)/SUMPRODUCT(('DGE links'!$F$2:$F$3451=A81)*'DGE links'!$H$2:$H$3451*'DGE links'!$J$2:$J$3451),"")</f>
        <v>0.2208375</v>
      </c>
      <c r="K81" s="7" t="n">
        <f aca="false">IFERROR(AVERAGEIFS('ILO links'!$H$2:$H$674,'ILO links'!$G$2:$G$674,A81,'ILO links'!$J$2:$J$674,1),"")</f>
        <v>0.2025</v>
      </c>
      <c r="L81" s="14" t="n">
        <f aca="false">IF(AND(ISNUMBER(J81),ISNUMBER(K81)),J81-K81,"")</f>
        <v>0.0183375</v>
      </c>
      <c r="M81" s="14" t="n">
        <f aca="false">IF(ISNUMBER(L81),ABS(L81),"")</f>
        <v>0.0183375</v>
      </c>
      <c r="N81" s="2" t="str">
        <f aca="false">IF(ISNUMBER(M81),IF(M81&lt;=Summary!$B$4,"Agree","Check"),IF(ISNUMBER(J81),"DGE only",IF(ISNUMBER(K81),"ILO only","Not scored")))</f>
        <v>Agree</v>
      </c>
      <c r="O81" s="14" t="n">
        <f aca="false">IF(ISNUMBER(J81),J81,IF(ISNUMBER(K81),K81,""))</f>
        <v>0.2208375</v>
      </c>
      <c r="P81" s="2" t="str">
        <f aca="false">IF(ISNUMBER(J81),"DGE",IF(ISNUMBER(K81),"ILO table",""))</f>
        <v>DGE</v>
      </c>
    </row>
    <row r="82" customFormat="false" ht="15" hidden="false" customHeight="false" outlineLevel="0" collapsed="false">
      <c r="A82" s="2" t="s">
        <v>287</v>
      </c>
      <c r="B82" s="2" t="s">
        <v>287</v>
      </c>
      <c r="C82" s="2" t="s">
        <v>288</v>
      </c>
      <c r="D82" s="2" t="s">
        <v>289</v>
      </c>
      <c r="E82" s="2" t="s">
        <v>290</v>
      </c>
      <c r="F82" s="2" t="s">
        <v>290</v>
      </c>
      <c r="G82" s="12" t="n">
        <v>0.5</v>
      </c>
      <c r="H82" s="13" t="n">
        <f aca="false">SUMPRODUCT(('DGE links'!$F$2:$F$3451=A82)*1)</f>
        <v>53</v>
      </c>
      <c r="I82" s="13" t="n">
        <f aca="false">SUMPRODUCT(('ILO links'!$G$2:$G$674=A82)*'ILO links'!$J$2:$J$674)</f>
        <v>4</v>
      </c>
      <c r="J82" s="7" t="n">
        <f aca="false">IFERROR(SUMPRODUCT(('DGE links'!$F$2:$F$3451=A82)*'DGE links'!$H$2:$H$3451*'DGE links'!$I$2:$I$3451*'DGE links'!$J$2:$J$3451)/SUMPRODUCT(('DGE links'!$F$2:$F$3451=A82)*'DGE links'!$H$2:$H$3451*'DGE links'!$J$2:$J$3451),"")</f>
        <v>0.178711320754717</v>
      </c>
      <c r="K82" s="7" t="n">
        <f aca="false">IFERROR(AVERAGEIFS('ILO links'!$H$2:$H$674,'ILO links'!$G$2:$G$674,A82,'ILO links'!$J$2:$J$674,1),"")</f>
        <v>0.1775</v>
      </c>
      <c r="L82" s="14" t="n">
        <f aca="false">IF(AND(ISNUMBER(J82),ISNUMBER(K82)),J82-K82,"")</f>
        <v>0.001211320754717</v>
      </c>
      <c r="M82" s="14" t="n">
        <f aca="false">IF(ISNUMBER(L82),ABS(L82),"")</f>
        <v>0.001211320754717</v>
      </c>
      <c r="N82" s="2" t="str">
        <f aca="false">IF(ISNUMBER(M82),IF(M82&lt;=Summary!$B$4,"Agree","Check"),IF(ISNUMBER(J82),"DGE only",IF(ISNUMBER(K82),"ILO only","Not scored")))</f>
        <v>Agree</v>
      </c>
      <c r="O82" s="14" t="n">
        <f aca="false">IF(ISNUMBER(J82),J82,IF(ISNUMBER(K82),K82,""))</f>
        <v>0.178711320754717</v>
      </c>
      <c r="P82" s="2" t="str">
        <f aca="false">IF(ISNUMBER(J82),"DGE",IF(ISNUMBER(K82),"ILO table",""))</f>
        <v>DGE</v>
      </c>
    </row>
    <row r="83" customFormat="false" ht="15" hidden="false" customHeight="false" outlineLevel="0" collapsed="false">
      <c r="A83" s="2" t="s">
        <v>291</v>
      </c>
      <c r="B83" s="2" t="s">
        <v>287</v>
      </c>
      <c r="C83" s="2" t="s">
        <v>288</v>
      </c>
      <c r="D83" s="2" t="s">
        <v>287</v>
      </c>
      <c r="E83" s="2" t="s">
        <v>292</v>
      </c>
      <c r="F83" s="2" t="s">
        <v>287</v>
      </c>
      <c r="G83" s="12" t="n">
        <v>0.5</v>
      </c>
      <c r="H83" s="13" t="n">
        <f aca="false">SUMPRODUCT(('DGE links'!$F$2:$F$3451=A83)*1)</f>
        <v>51</v>
      </c>
      <c r="I83" s="13" t="n">
        <f aca="false">SUMPRODUCT(('ILO links'!$G$2:$G$674=A83)*'ILO links'!$J$2:$J$674)</f>
        <v>4</v>
      </c>
      <c r="J83" s="7" t="n">
        <f aca="false">IFERROR(SUMPRODUCT(('DGE links'!$F$2:$F$3451=A83)*'DGE links'!$H$2:$H$3451*'DGE links'!$I$2:$I$3451*'DGE links'!$J$2:$J$3451)/SUMPRODUCT(('DGE links'!$F$2:$F$3451=A83)*'DGE links'!$H$2:$H$3451*'DGE links'!$J$2:$J$3451),"")</f>
        <v>0.1688</v>
      </c>
      <c r="K83" s="7" t="n">
        <f aca="false">IFERROR(AVERAGEIFS('ILO links'!$H$2:$H$674,'ILO links'!$G$2:$G$674,A83,'ILO links'!$J$2:$J$674,1),"")</f>
        <v>0.1725</v>
      </c>
      <c r="L83" s="14" t="n">
        <f aca="false">IF(AND(ISNUMBER(J83),ISNUMBER(K83)),J83-K83,"")</f>
        <v>-0.00369999999999998</v>
      </c>
      <c r="M83" s="14" t="n">
        <f aca="false">IF(ISNUMBER(L83),ABS(L83),"")</f>
        <v>0.00369999999999998</v>
      </c>
      <c r="N83" s="2" t="str">
        <f aca="false">IF(ISNUMBER(M83),IF(M83&lt;=Summary!$B$4,"Agree","Check"),IF(ISNUMBER(J83),"DGE only",IF(ISNUMBER(K83),"ILO only","Not scored")))</f>
        <v>Agree</v>
      </c>
      <c r="O83" s="14" t="n">
        <f aca="false">IF(ISNUMBER(J83),J83,IF(ISNUMBER(K83),K83,""))</f>
        <v>0.1688</v>
      </c>
      <c r="P83" s="2" t="str">
        <f aca="false">IF(ISNUMBER(J83),"DGE",IF(ISNUMBER(K83),"ILO table",""))</f>
        <v>DGE</v>
      </c>
    </row>
    <row r="84" customFormat="false" ht="15" hidden="false" customHeight="false" outlineLevel="0" collapsed="false">
      <c r="A84" s="2" t="s">
        <v>293</v>
      </c>
      <c r="B84" s="2" t="s">
        <v>287</v>
      </c>
      <c r="C84" s="2" t="s">
        <v>288</v>
      </c>
      <c r="D84" s="2" t="s">
        <v>287</v>
      </c>
      <c r="E84" s="2" t="s">
        <v>287</v>
      </c>
      <c r="F84" s="2" t="s">
        <v>287</v>
      </c>
      <c r="G84" s="12" t="n">
        <v>1</v>
      </c>
      <c r="H84" s="13" t="n">
        <f aca="false">SUMPRODUCT(('DGE links'!$F$2:$F$3451=A84)*1)</f>
        <v>8</v>
      </c>
      <c r="I84" s="13" t="n">
        <f aca="false">SUMPRODUCT(('ILO links'!$G$2:$G$674=A84)*'ILO links'!$J$2:$J$674)</f>
        <v>3</v>
      </c>
      <c r="J84" s="7" t="n">
        <f aca="false">IFERROR(SUMPRODUCT(('DGE links'!$F$2:$F$3451=A84)*'DGE links'!$H$2:$H$3451*'DGE links'!$I$2:$I$3451*'DGE links'!$J$2:$J$3451)/SUMPRODUCT(('DGE links'!$F$2:$F$3451=A84)*'DGE links'!$H$2:$H$3451*'DGE links'!$J$2:$J$3451),"")</f>
        <v>0.1688</v>
      </c>
      <c r="K84" s="7" t="n">
        <f aca="false">IFERROR(AVERAGEIFS('ILO links'!$H$2:$H$674,'ILO links'!$G$2:$G$674,A84,'ILO links'!$J$2:$J$674,1),"")</f>
        <v>0.135</v>
      </c>
      <c r="L84" s="14" t="n">
        <f aca="false">IF(AND(ISNUMBER(J84),ISNUMBER(K84)),J84-K84,"")</f>
        <v>0.0338</v>
      </c>
      <c r="M84" s="14" t="n">
        <f aca="false">IF(ISNUMBER(L84),ABS(L84),"")</f>
        <v>0.0338</v>
      </c>
      <c r="N84" s="2" t="str">
        <f aca="false">IF(ISNUMBER(M84),IF(M84&lt;=Summary!$B$4,"Agree","Check"),IF(ISNUMBER(J84),"DGE only",IF(ISNUMBER(K84),"ILO only","Not scored")))</f>
        <v>Agree</v>
      </c>
      <c r="O84" s="14" t="n">
        <f aca="false">IF(ISNUMBER(J84),J84,IF(ISNUMBER(K84),K84,""))</f>
        <v>0.1688</v>
      </c>
      <c r="P84" s="2" t="str">
        <f aca="false">IF(ISNUMBER(J84),"DGE",IF(ISNUMBER(K84),"ILO table",""))</f>
        <v>DGE</v>
      </c>
    </row>
    <row r="85" customFormat="false" ht="15" hidden="false" customHeight="false" outlineLevel="0" collapsed="false">
      <c r="A85" s="2" t="s">
        <v>294</v>
      </c>
      <c r="B85" s="2" t="s">
        <v>291</v>
      </c>
      <c r="C85" s="2" t="s">
        <v>295</v>
      </c>
      <c r="D85" s="2" t="s">
        <v>296</v>
      </c>
      <c r="E85" s="2" t="s">
        <v>297</v>
      </c>
      <c r="F85" s="2" t="s">
        <v>297</v>
      </c>
      <c r="G85" s="12" t="n">
        <v>0.666666666666667</v>
      </c>
      <c r="H85" s="13" t="n">
        <f aca="false">SUMPRODUCT(('DGE links'!$F$2:$F$3451=A85)*1)</f>
        <v>45</v>
      </c>
      <c r="I85" s="13" t="n">
        <f aca="false">SUMPRODUCT(('ILO links'!$G$2:$G$674=A85)*'ILO links'!$J$2:$J$674)</f>
        <v>4</v>
      </c>
      <c r="J85" s="7" t="n">
        <f aca="false">IFERROR(SUMPRODUCT(('DGE links'!$F$2:$F$3451=A85)*'DGE links'!$H$2:$H$3451*'DGE links'!$I$2:$I$3451*'DGE links'!$J$2:$J$3451)/SUMPRODUCT(('DGE links'!$F$2:$F$3451=A85)*'DGE links'!$H$2:$H$3451*'DGE links'!$J$2:$J$3451),"")</f>
        <v>0.280566666666667</v>
      </c>
      <c r="K85" s="7" t="n">
        <f aca="false">IFERROR(AVERAGEIFS('ILO links'!$H$2:$H$674,'ILO links'!$G$2:$G$674,A85,'ILO links'!$J$2:$J$674,1),"")</f>
        <v>0.28</v>
      </c>
      <c r="L85" s="14" t="n">
        <f aca="false">IF(AND(ISNUMBER(J85),ISNUMBER(K85)),J85-K85,"")</f>
        <v>0.00056666666666666</v>
      </c>
      <c r="M85" s="14" t="n">
        <f aca="false">IF(ISNUMBER(L85),ABS(L85),"")</f>
        <v>0.00056666666666666</v>
      </c>
      <c r="N85" s="2" t="str">
        <f aca="false">IF(ISNUMBER(M85),IF(M85&lt;=Summary!$B$4,"Agree","Check"),IF(ISNUMBER(J85),"DGE only",IF(ISNUMBER(K85),"ILO only","Not scored")))</f>
        <v>Agree</v>
      </c>
      <c r="O85" s="14" t="n">
        <f aca="false">IF(ISNUMBER(J85),J85,IF(ISNUMBER(K85),K85,""))</f>
        <v>0.280566666666667</v>
      </c>
      <c r="P85" s="2" t="str">
        <f aca="false">IF(ISNUMBER(J85),"DGE",IF(ISNUMBER(K85),"ILO table",""))</f>
        <v>DGE</v>
      </c>
    </row>
    <row r="86" customFormat="false" ht="15" hidden="false" customHeight="false" outlineLevel="0" collapsed="false">
      <c r="A86" s="2" t="s">
        <v>298</v>
      </c>
      <c r="B86" s="2" t="s">
        <v>299</v>
      </c>
      <c r="C86" s="2" t="s">
        <v>300</v>
      </c>
      <c r="D86" s="2" t="s">
        <v>301</v>
      </c>
      <c r="E86" s="2" t="s">
        <v>299</v>
      </c>
      <c r="F86" s="2" t="s">
        <v>299</v>
      </c>
      <c r="G86" s="12" t="n">
        <v>0.5</v>
      </c>
      <c r="H86" s="13" t="n">
        <f aca="false">SUMPRODUCT(('DGE links'!$F$2:$F$3451=A86)*1)</f>
        <v>57</v>
      </c>
      <c r="I86" s="13" t="n">
        <f aca="false">SUMPRODUCT(('ILO links'!$G$2:$G$674=A86)*'ILO links'!$J$2:$J$674)</f>
        <v>6</v>
      </c>
      <c r="J86" s="7" t="n">
        <f aca="false">IFERROR(SUMPRODUCT(('DGE links'!$F$2:$F$3451=A86)*'DGE links'!$H$2:$H$3451*'DGE links'!$I$2:$I$3451*'DGE links'!$J$2:$J$3451)/SUMPRODUCT(('DGE links'!$F$2:$F$3451=A86)*'DGE links'!$H$2:$H$3451*'DGE links'!$J$2:$J$3451),"")</f>
        <v>0.195121052631579</v>
      </c>
      <c r="K86" s="7" t="n">
        <f aca="false">IFERROR(AVERAGEIFS('ILO links'!$H$2:$H$674,'ILO links'!$G$2:$G$674,A86,'ILO links'!$J$2:$J$674,1),"")</f>
        <v>0.186666666666667</v>
      </c>
      <c r="L86" s="14" t="n">
        <f aca="false">IF(AND(ISNUMBER(J86),ISNUMBER(K86)),J86-K86,"")</f>
        <v>0.00845438596491227</v>
      </c>
      <c r="M86" s="14" t="n">
        <f aca="false">IF(ISNUMBER(L86),ABS(L86),"")</f>
        <v>0.00845438596491227</v>
      </c>
      <c r="N86" s="2" t="str">
        <f aca="false">IF(ISNUMBER(M86),IF(M86&lt;=Summary!$B$4,"Agree","Check"),IF(ISNUMBER(J86),"DGE only",IF(ISNUMBER(K86),"ILO only","Not scored")))</f>
        <v>Agree</v>
      </c>
      <c r="O86" s="14" t="n">
        <f aca="false">IF(ISNUMBER(J86),J86,IF(ISNUMBER(K86),K86,""))</f>
        <v>0.195121052631579</v>
      </c>
      <c r="P86" s="2" t="str">
        <f aca="false">IF(ISNUMBER(J86),"DGE",IF(ISNUMBER(K86),"ILO table",""))</f>
        <v>DGE</v>
      </c>
    </row>
    <row r="87" customFormat="false" ht="15" hidden="false" customHeight="false" outlineLevel="0" collapsed="false">
      <c r="A87" s="2" t="s">
        <v>283</v>
      </c>
      <c r="B87" s="2" t="s">
        <v>302</v>
      </c>
      <c r="C87" s="2" t="s">
        <v>303</v>
      </c>
      <c r="D87" s="2" t="s">
        <v>304</v>
      </c>
      <c r="E87" s="2" t="s">
        <v>305</v>
      </c>
      <c r="F87" s="2" t="s">
        <v>305</v>
      </c>
      <c r="G87" s="12" t="n">
        <v>0.666666666666667</v>
      </c>
      <c r="H87" s="13" t="n">
        <f aca="false">SUMPRODUCT(('DGE links'!$F$2:$F$3451=A87)*1)</f>
        <v>53</v>
      </c>
      <c r="I87" s="13" t="n">
        <f aca="false">SUMPRODUCT(('ILO links'!$G$2:$G$674=A87)*'ILO links'!$J$2:$J$674)</f>
        <v>4</v>
      </c>
      <c r="J87" s="7" t="n">
        <f aca="false">IFERROR(SUMPRODUCT(('DGE links'!$F$2:$F$3451=A87)*'DGE links'!$H$2:$H$3451*'DGE links'!$I$2:$I$3451*'DGE links'!$J$2:$J$3451)/SUMPRODUCT(('DGE links'!$F$2:$F$3451=A87)*'DGE links'!$H$2:$H$3451*'DGE links'!$J$2:$J$3451),"")</f>
        <v>0.194360377358491</v>
      </c>
      <c r="K87" s="7" t="n">
        <f aca="false">IFERROR(AVERAGEIFS('ILO links'!$H$2:$H$674,'ILO links'!$G$2:$G$674,A87,'ILO links'!$J$2:$J$674,1),"")</f>
        <v>0.185</v>
      </c>
      <c r="L87" s="14" t="n">
        <f aca="false">IF(AND(ISNUMBER(J87),ISNUMBER(K87)),J87-K87,"")</f>
        <v>0.00936037735849057</v>
      </c>
      <c r="M87" s="14" t="n">
        <f aca="false">IF(ISNUMBER(L87),ABS(L87),"")</f>
        <v>0.00936037735849057</v>
      </c>
      <c r="N87" s="2" t="str">
        <f aca="false">IF(ISNUMBER(M87),IF(M87&lt;=Summary!$B$4,"Agree","Check"),IF(ISNUMBER(J87),"DGE only",IF(ISNUMBER(K87),"ILO only","Not scored")))</f>
        <v>Agree</v>
      </c>
      <c r="O87" s="14" t="n">
        <f aca="false">IF(ISNUMBER(J87),J87,IF(ISNUMBER(K87),K87,""))</f>
        <v>0.194360377358491</v>
      </c>
      <c r="P87" s="2" t="str">
        <f aca="false">IF(ISNUMBER(J87),"DGE",IF(ISNUMBER(K87),"ILO table",""))</f>
        <v>DGE</v>
      </c>
    </row>
    <row r="88" customFormat="false" ht="15" hidden="false" customHeight="false" outlineLevel="0" collapsed="false">
      <c r="A88" s="2" t="s">
        <v>306</v>
      </c>
      <c r="B88" s="2" t="s">
        <v>287</v>
      </c>
      <c r="C88" s="2" t="s">
        <v>288</v>
      </c>
      <c r="D88" s="2" t="s">
        <v>307</v>
      </c>
      <c r="E88" s="2" t="s">
        <v>308</v>
      </c>
      <c r="F88" s="2" t="s">
        <v>308</v>
      </c>
      <c r="G88" s="12" t="n">
        <v>0.75</v>
      </c>
      <c r="H88" s="13" t="n">
        <f aca="false">SUMPRODUCT(('DGE links'!$F$2:$F$3451=A88)*1)</f>
        <v>92</v>
      </c>
      <c r="I88" s="13" t="n">
        <f aca="false">SUMPRODUCT(('ILO links'!$G$2:$G$674=A88)*'ILO links'!$J$2:$J$674)</f>
        <v>6</v>
      </c>
      <c r="J88" s="7" t="n">
        <f aca="false">IFERROR(SUMPRODUCT(('DGE links'!$F$2:$F$3451=A88)*'DGE links'!$H$2:$H$3451*'DGE links'!$I$2:$I$3451*'DGE links'!$J$2:$J$3451)/SUMPRODUCT(('DGE links'!$F$2:$F$3451=A88)*'DGE links'!$H$2:$H$3451*'DGE links'!$J$2:$J$3451),"")</f>
        <v>0.164372826086957</v>
      </c>
      <c r="K88" s="7" t="n">
        <f aca="false">IFERROR(AVERAGEIFS('ILO links'!$H$2:$H$674,'ILO links'!$G$2:$G$674,A88,'ILO links'!$J$2:$J$674,1),"")</f>
        <v>0.151666666666667</v>
      </c>
      <c r="L88" s="14" t="n">
        <f aca="false">IF(AND(ISNUMBER(J88),ISNUMBER(K88)),J88-K88,"")</f>
        <v>0.0127061594202899</v>
      </c>
      <c r="M88" s="14" t="n">
        <f aca="false">IF(ISNUMBER(L88),ABS(L88),"")</f>
        <v>0.0127061594202899</v>
      </c>
      <c r="N88" s="2" t="str">
        <f aca="false">IF(ISNUMBER(M88),IF(M88&lt;=Summary!$B$4,"Agree","Check"),IF(ISNUMBER(J88),"DGE only",IF(ISNUMBER(K88),"ILO only","Not scored")))</f>
        <v>Agree</v>
      </c>
      <c r="O88" s="14" t="n">
        <f aca="false">IF(ISNUMBER(J88),J88,IF(ISNUMBER(K88),K88,""))</f>
        <v>0.164372826086957</v>
      </c>
      <c r="P88" s="2" t="str">
        <f aca="false">IF(ISNUMBER(J88),"DGE",IF(ISNUMBER(K88),"ILO table",""))</f>
        <v>DGE</v>
      </c>
    </row>
    <row r="89" customFormat="false" ht="15" hidden="false" customHeight="false" outlineLevel="0" collapsed="false">
      <c r="A89" s="2" t="s">
        <v>309</v>
      </c>
      <c r="B89" s="2" t="s">
        <v>310</v>
      </c>
      <c r="C89" s="2" t="s">
        <v>311</v>
      </c>
      <c r="D89" s="2" t="s">
        <v>310</v>
      </c>
      <c r="E89" s="2" t="s">
        <v>310</v>
      </c>
      <c r="F89" s="2" t="s">
        <v>310</v>
      </c>
      <c r="G89" s="12" t="n">
        <v>1</v>
      </c>
      <c r="H89" s="13" t="n">
        <f aca="false">SUMPRODUCT(('DGE links'!$F$2:$F$3451=A89)*1)</f>
        <v>44</v>
      </c>
      <c r="I89" s="13" t="n">
        <f aca="false">SUMPRODUCT(('ILO links'!$G$2:$G$674=A89)*'ILO links'!$J$2:$J$674)</f>
        <v>2</v>
      </c>
      <c r="J89" s="7" t="n">
        <f aca="false">IFERROR(SUMPRODUCT(('DGE links'!$F$2:$F$3451=A89)*'DGE links'!$H$2:$H$3451*'DGE links'!$I$2:$I$3451*'DGE links'!$J$2:$J$3451)/SUMPRODUCT(('DGE links'!$F$2:$F$3451=A89)*'DGE links'!$H$2:$H$3451*'DGE links'!$J$2:$J$3451),"")</f>
        <v>0.15</v>
      </c>
      <c r="K89" s="7" t="n">
        <f aca="false">IFERROR(AVERAGEIFS('ILO links'!$H$2:$H$674,'ILO links'!$G$2:$G$674,A89,'ILO links'!$J$2:$J$674,1),"")</f>
        <v>0.14</v>
      </c>
      <c r="L89" s="14" t="n">
        <f aca="false">IF(AND(ISNUMBER(J89),ISNUMBER(K89)),J89-K89,"")</f>
        <v>0.00999999999999998</v>
      </c>
      <c r="M89" s="14" t="n">
        <f aca="false">IF(ISNUMBER(L89),ABS(L89),"")</f>
        <v>0.00999999999999998</v>
      </c>
      <c r="N89" s="2" t="str">
        <f aca="false">IF(ISNUMBER(M89),IF(M89&lt;=Summary!$B$4,"Agree","Check"),IF(ISNUMBER(J89),"DGE only",IF(ISNUMBER(K89),"ILO only","Not scored")))</f>
        <v>Agree</v>
      </c>
      <c r="O89" s="14" t="n">
        <f aca="false">IF(ISNUMBER(J89),J89,IF(ISNUMBER(K89),K89,""))</f>
        <v>0.15</v>
      </c>
      <c r="P89" s="2" t="str">
        <f aca="false">IF(ISNUMBER(J89),"DGE",IF(ISNUMBER(K89),"ILO table",""))</f>
        <v>DGE</v>
      </c>
    </row>
    <row r="90" customFormat="false" ht="15" hidden="false" customHeight="false" outlineLevel="0" collapsed="false">
      <c r="A90" s="2" t="s">
        <v>256</v>
      </c>
      <c r="B90" s="2" t="s">
        <v>256</v>
      </c>
      <c r="C90" s="2" t="s">
        <v>257</v>
      </c>
      <c r="D90" s="2" t="s">
        <v>312</v>
      </c>
      <c r="E90" s="2" t="s">
        <v>312</v>
      </c>
      <c r="F90" s="2" t="s">
        <v>312</v>
      </c>
      <c r="G90" s="12" t="n">
        <v>1</v>
      </c>
      <c r="H90" s="13" t="n">
        <f aca="false">SUMPRODUCT(('DGE links'!$F$2:$F$3451=A90)*1)</f>
        <v>34</v>
      </c>
      <c r="I90" s="13" t="n">
        <f aca="false">SUMPRODUCT(('ILO links'!$G$2:$G$674=A90)*'ILO links'!$J$2:$J$674)</f>
        <v>4</v>
      </c>
      <c r="J90" s="7" t="n">
        <f aca="false">IFERROR(SUMPRODUCT(('DGE links'!$F$2:$F$3451=A90)*'DGE links'!$H$2:$H$3451*'DGE links'!$I$2:$I$3451*'DGE links'!$J$2:$J$3451)/SUMPRODUCT(('DGE links'!$F$2:$F$3451=A90)*'DGE links'!$H$2:$H$3451*'DGE links'!$J$2:$J$3451),"")</f>
        <v>0.228244117647059</v>
      </c>
      <c r="K90" s="7" t="n">
        <f aca="false">IFERROR(AVERAGEIFS('ILO links'!$H$2:$H$674,'ILO links'!$G$2:$G$674,A90,'ILO links'!$J$2:$J$674,1),"")</f>
        <v>0.215</v>
      </c>
      <c r="L90" s="14" t="n">
        <f aca="false">IF(AND(ISNUMBER(J90),ISNUMBER(K90)),J90-K90,"")</f>
        <v>0.0132441176470588</v>
      </c>
      <c r="M90" s="14" t="n">
        <f aca="false">IF(ISNUMBER(L90),ABS(L90),"")</f>
        <v>0.0132441176470588</v>
      </c>
      <c r="N90" s="2" t="str">
        <f aca="false">IF(ISNUMBER(M90),IF(M90&lt;=Summary!$B$4,"Agree","Check"),IF(ISNUMBER(J90),"DGE only",IF(ISNUMBER(K90),"ILO only","Not scored")))</f>
        <v>Agree</v>
      </c>
      <c r="O90" s="14" t="n">
        <f aca="false">IF(ISNUMBER(J90),J90,IF(ISNUMBER(K90),K90,""))</f>
        <v>0.228244117647059</v>
      </c>
      <c r="P90" s="2" t="str">
        <f aca="false">IF(ISNUMBER(J90),"DGE",IF(ISNUMBER(K90),"ILO table",""))</f>
        <v>DGE</v>
      </c>
    </row>
    <row r="91" customFormat="false" ht="15" hidden="false" customHeight="false" outlineLevel="0" collapsed="false">
      <c r="A91" s="2" t="s">
        <v>313</v>
      </c>
      <c r="B91" s="2" t="s">
        <v>313</v>
      </c>
      <c r="C91" s="2" t="s">
        <v>314</v>
      </c>
      <c r="D91" s="2" t="s">
        <v>315</v>
      </c>
      <c r="E91" s="2" t="s">
        <v>316</v>
      </c>
      <c r="F91" s="2" t="s">
        <v>316</v>
      </c>
      <c r="G91" s="12" t="n">
        <v>0.666666666666667</v>
      </c>
      <c r="H91" s="13" t="n">
        <f aca="false">SUMPRODUCT(('DGE links'!$F$2:$F$3451=A91)*1)</f>
        <v>44</v>
      </c>
      <c r="I91" s="13" t="n">
        <f aca="false">SUMPRODUCT(('ILO links'!$G$2:$G$674=A91)*'ILO links'!$J$2:$J$674)</f>
        <v>2</v>
      </c>
      <c r="J91" s="7" t="n">
        <f aca="false">IFERROR(SUMPRODUCT(('DGE links'!$F$2:$F$3451=A91)*'DGE links'!$H$2:$H$3451*'DGE links'!$I$2:$I$3451*'DGE links'!$J$2:$J$3451)/SUMPRODUCT(('DGE links'!$F$2:$F$3451=A91)*'DGE links'!$H$2:$H$3451*'DGE links'!$J$2:$J$3451),"")</f>
        <v>0.261125</v>
      </c>
      <c r="K91" s="7" t="n">
        <f aca="false">IFERROR(AVERAGEIFS('ILO links'!$H$2:$H$674,'ILO links'!$G$2:$G$674,A91,'ILO links'!$J$2:$J$674,1),"")</f>
        <v>0.285</v>
      </c>
      <c r="L91" s="14" t="n">
        <f aca="false">IF(AND(ISNUMBER(J91),ISNUMBER(K91)),J91-K91,"")</f>
        <v>-0.023875</v>
      </c>
      <c r="M91" s="14" t="n">
        <f aca="false">IF(ISNUMBER(L91),ABS(L91),"")</f>
        <v>0.023875</v>
      </c>
      <c r="N91" s="2" t="str">
        <f aca="false">IF(ISNUMBER(M91),IF(M91&lt;=Summary!$B$4,"Agree","Check"),IF(ISNUMBER(J91),"DGE only",IF(ISNUMBER(K91),"ILO only","Not scored")))</f>
        <v>Agree</v>
      </c>
      <c r="O91" s="14" t="n">
        <f aca="false">IF(ISNUMBER(J91),J91,IF(ISNUMBER(K91),K91,""))</f>
        <v>0.261125</v>
      </c>
      <c r="P91" s="2" t="str">
        <f aca="false">IF(ISNUMBER(J91),"DGE",IF(ISNUMBER(K91),"ILO table",""))</f>
        <v>DGE</v>
      </c>
    </row>
    <row r="92" customFormat="false" ht="15" hidden="false" customHeight="false" outlineLevel="0" collapsed="false">
      <c r="A92" s="2" t="s">
        <v>317</v>
      </c>
      <c r="B92" s="2" t="s">
        <v>318</v>
      </c>
      <c r="C92" s="2" t="s">
        <v>319</v>
      </c>
      <c r="D92" s="2" t="s">
        <v>320</v>
      </c>
      <c r="E92" s="2" t="s">
        <v>318</v>
      </c>
      <c r="F92" s="2" t="s">
        <v>318</v>
      </c>
      <c r="G92" s="12" t="n">
        <v>0.5</v>
      </c>
      <c r="H92" s="13" t="n">
        <f aca="false">SUMPRODUCT(('DGE links'!$F$2:$F$3451=A92)*1)</f>
        <v>34</v>
      </c>
      <c r="I92" s="13" t="n">
        <f aca="false">SUMPRODUCT(('ILO links'!$G$2:$G$674=A92)*'ILO links'!$J$2:$J$674)</f>
        <v>1</v>
      </c>
      <c r="J92" s="7" t="n">
        <f aca="false">IFERROR(SUMPRODUCT(('DGE links'!$F$2:$F$3451=A92)*'DGE links'!$H$2:$H$3451*'DGE links'!$I$2:$I$3451*'DGE links'!$J$2:$J$3451)/SUMPRODUCT(('DGE links'!$F$2:$F$3451=A92)*'DGE links'!$H$2:$H$3451*'DGE links'!$J$2:$J$3451),"")</f>
        <v>0.203170588235294</v>
      </c>
      <c r="K92" s="7" t="n">
        <f aca="false">IFERROR(AVERAGEIFS('ILO links'!$H$2:$H$674,'ILO links'!$G$2:$G$674,A92,'ILO links'!$J$2:$J$674,1),"")</f>
        <v>0.17</v>
      </c>
      <c r="L92" s="14" t="n">
        <f aca="false">IF(AND(ISNUMBER(J92),ISNUMBER(K92)),J92-K92,"")</f>
        <v>0.0331705882352941</v>
      </c>
      <c r="M92" s="14" t="n">
        <f aca="false">IF(ISNUMBER(L92),ABS(L92),"")</f>
        <v>0.0331705882352941</v>
      </c>
      <c r="N92" s="2" t="str">
        <f aca="false">IF(ISNUMBER(M92),IF(M92&lt;=Summary!$B$4,"Agree","Check"),IF(ISNUMBER(J92),"DGE only",IF(ISNUMBER(K92),"ILO only","Not scored")))</f>
        <v>Agree</v>
      </c>
      <c r="O92" s="14" t="n">
        <f aca="false">IF(ISNUMBER(J92),J92,IF(ISNUMBER(K92),K92,""))</f>
        <v>0.203170588235294</v>
      </c>
      <c r="P92" s="2" t="str">
        <f aca="false">IF(ISNUMBER(J92),"DGE",IF(ISNUMBER(K92),"ILO table",""))</f>
        <v>DGE</v>
      </c>
    </row>
    <row r="93" customFormat="false" ht="15" hidden="false" customHeight="false" outlineLevel="0" collapsed="false">
      <c r="A93" s="2" t="s">
        <v>321</v>
      </c>
      <c r="B93" s="2" t="s">
        <v>322</v>
      </c>
      <c r="C93" s="2" t="s">
        <v>323</v>
      </c>
      <c r="D93" s="2" t="s">
        <v>324</v>
      </c>
      <c r="E93" s="2" t="s">
        <v>325</v>
      </c>
      <c r="F93" s="2" t="s">
        <v>325</v>
      </c>
      <c r="G93" s="12" t="n">
        <v>0.666666666666667</v>
      </c>
      <c r="H93" s="13" t="n">
        <f aca="false">SUMPRODUCT(('DGE links'!$F$2:$F$3451=A93)*1)</f>
        <v>38</v>
      </c>
      <c r="I93" s="13" t="n">
        <f aca="false">SUMPRODUCT(('ILO links'!$G$2:$G$674=A93)*'ILO links'!$J$2:$J$674)</f>
        <v>3</v>
      </c>
      <c r="J93" s="7" t="n">
        <f aca="false">IFERROR(SUMPRODUCT(('DGE links'!$F$2:$F$3451=A93)*'DGE links'!$H$2:$H$3451*'DGE links'!$I$2:$I$3451*'DGE links'!$J$2:$J$3451)/SUMPRODUCT(('DGE links'!$F$2:$F$3451=A93)*'DGE links'!$H$2:$H$3451*'DGE links'!$J$2:$J$3451),"")</f>
        <v>0.225352631578947</v>
      </c>
      <c r="K93" s="7" t="n">
        <f aca="false">IFERROR(AVERAGEIFS('ILO links'!$H$2:$H$674,'ILO links'!$G$2:$G$674,A93,'ILO links'!$J$2:$J$674,1),"")</f>
        <v>0.21</v>
      </c>
      <c r="L93" s="14" t="n">
        <f aca="false">IF(AND(ISNUMBER(J93),ISNUMBER(K93)),J93-K93,"")</f>
        <v>0.0153526315789473</v>
      </c>
      <c r="M93" s="14" t="n">
        <f aca="false">IF(ISNUMBER(L93),ABS(L93),"")</f>
        <v>0.0153526315789473</v>
      </c>
      <c r="N93" s="2" t="str">
        <f aca="false">IF(ISNUMBER(M93),IF(M93&lt;=Summary!$B$4,"Agree","Check"),IF(ISNUMBER(J93),"DGE only",IF(ISNUMBER(K93),"ILO only","Not scored")))</f>
        <v>Agree</v>
      </c>
      <c r="O93" s="14" t="n">
        <f aca="false">IF(ISNUMBER(J93),J93,IF(ISNUMBER(K93),K93,""))</f>
        <v>0.225352631578947</v>
      </c>
      <c r="P93" s="2" t="str">
        <f aca="false">IF(ISNUMBER(J93),"DGE",IF(ISNUMBER(K93),"ILO table",""))</f>
        <v>DGE</v>
      </c>
    </row>
    <row r="94" customFormat="false" ht="15" hidden="false" customHeight="false" outlineLevel="0" collapsed="false">
      <c r="A94" s="2" t="s">
        <v>326</v>
      </c>
      <c r="B94" s="2" t="s">
        <v>317</v>
      </c>
      <c r="C94" s="2" t="s">
        <v>327</v>
      </c>
      <c r="D94" s="2" t="s">
        <v>328</v>
      </c>
      <c r="E94" s="2" t="s">
        <v>329</v>
      </c>
      <c r="F94" s="2" t="s">
        <v>329</v>
      </c>
      <c r="G94" s="12" t="n">
        <v>0.666666666666667</v>
      </c>
      <c r="H94" s="13" t="n">
        <f aca="false">SUMPRODUCT(('DGE links'!$F$2:$F$3451=A94)*1)</f>
        <v>73</v>
      </c>
      <c r="I94" s="13" t="n">
        <f aca="false">SUMPRODUCT(('ILO links'!$G$2:$G$674=A94)*'ILO links'!$J$2:$J$674)</f>
        <v>3</v>
      </c>
      <c r="J94" s="7" t="n">
        <f aca="false">IFERROR(SUMPRODUCT(('DGE links'!$F$2:$F$3451=A94)*'DGE links'!$H$2:$H$3451*'DGE links'!$I$2:$I$3451*'DGE links'!$J$2:$J$3451)/SUMPRODUCT(('DGE links'!$F$2:$F$3451=A94)*'DGE links'!$H$2:$H$3451*'DGE links'!$J$2:$J$3451),"")</f>
        <v>0.264101369863014</v>
      </c>
      <c r="K94" s="7" t="n">
        <f aca="false">IFERROR(AVERAGEIFS('ILO links'!$H$2:$H$674,'ILO links'!$G$2:$G$674,A94,'ILO links'!$J$2:$J$674,1),"")</f>
        <v>0.273333333333333</v>
      </c>
      <c r="L94" s="14" t="n">
        <f aca="false">IF(AND(ISNUMBER(J94),ISNUMBER(K94)),J94-K94,"")</f>
        <v>-0.00923196347031963</v>
      </c>
      <c r="M94" s="14" t="n">
        <f aca="false">IF(ISNUMBER(L94),ABS(L94),"")</f>
        <v>0.00923196347031963</v>
      </c>
      <c r="N94" s="2" t="str">
        <f aca="false">IF(ISNUMBER(M94),IF(M94&lt;=Summary!$B$4,"Agree","Check"),IF(ISNUMBER(J94),"DGE only",IF(ISNUMBER(K94),"ILO only","Not scored")))</f>
        <v>Agree</v>
      </c>
      <c r="O94" s="14" t="n">
        <f aca="false">IF(ISNUMBER(J94),J94,IF(ISNUMBER(K94),K94,""))</f>
        <v>0.264101369863014</v>
      </c>
      <c r="P94" s="2" t="str">
        <f aca="false">IF(ISNUMBER(J94),"DGE",IF(ISNUMBER(K94),"ILO table",""))</f>
        <v>DGE</v>
      </c>
    </row>
    <row r="95" customFormat="false" ht="15" hidden="false" customHeight="false" outlineLevel="0" collapsed="false">
      <c r="A95" s="2" t="s">
        <v>330</v>
      </c>
      <c r="B95" s="2" t="s">
        <v>125</v>
      </c>
      <c r="C95" s="2" t="s">
        <v>331</v>
      </c>
      <c r="D95" s="2" t="s">
        <v>332</v>
      </c>
      <c r="E95" s="2" t="s">
        <v>333</v>
      </c>
      <c r="F95" s="2" t="s">
        <v>333</v>
      </c>
      <c r="G95" s="12" t="n">
        <v>0.666666666666667</v>
      </c>
      <c r="H95" s="13" t="n">
        <f aca="false">SUMPRODUCT(('DGE links'!$F$2:$F$3451=A95)*1)</f>
        <v>34</v>
      </c>
      <c r="I95" s="13" t="n">
        <f aca="false">SUMPRODUCT(('ILO links'!$G$2:$G$674=A95)*'ILO links'!$J$2:$J$674)</f>
        <v>3</v>
      </c>
      <c r="J95" s="7" t="n">
        <f aca="false">IFERROR(SUMPRODUCT(('DGE links'!$F$2:$F$3451=A95)*'DGE links'!$H$2:$H$3451*'DGE links'!$I$2:$I$3451*'DGE links'!$J$2:$J$3451)/SUMPRODUCT(('DGE links'!$F$2:$F$3451=A95)*'DGE links'!$H$2:$H$3451*'DGE links'!$J$2:$J$3451),"")</f>
        <v>0.267617647058824</v>
      </c>
      <c r="K95" s="7" t="n">
        <f aca="false">IFERROR(AVERAGEIFS('ILO links'!$H$2:$H$674,'ILO links'!$G$2:$G$674,A95,'ILO links'!$J$2:$J$674,1),"")</f>
        <v>0.25</v>
      </c>
      <c r="L95" s="14" t="n">
        <f aca="false">IF(AND(ISNUMBER(J95),ISNUMBER(K95)),J95-K95,"")</f>
        <v>0.0176176470588235</v>
      </c>
      <c r="M95" s="14" t="n">
        <f aca="false">IF(ISNUMBER(L95),ABS(L95),"")</f>
        <v>0.0176176470588235</v>
      </c>
      <c r="N95" s="2" t="str">
        <f aca="false">IF(ISNUMBER(M95),IF(M95&lt;=Summary!$B$4,"Agree","Check"),IF(ISNUMBER(J95),"DGE only",IF(ISNUMBER(K95),"ILO only","Not scored")))</f>
        <v>Agree</v>
      </c>
      <c r="O95" s="14" t="n">
        <f aca="false">IF(ISNUMBER(J95),J95,IF(ISNUMBER(K95),K95,""))</f>
        <v>0.267617647058824</v>
      </c>
      <c r="P95" s="2" t="str">
        <f aca="false">IF(ISNUMBER(J95),"DGE",IF(ISNUMBER(K95),"ILO table",""))</f>
        <v>DGE</v>
      </c>
    </row>
    <row r="96" customFormat="false" ht="15" hidden="false" customHeight="false" outlineLevel="0" collapsed="false">
      <c r="A96" s="2" t="s">
        <v>322</v>
      </c>
      <c r="B96" s="2" t="s">
        <v>125</v>
      </c>
      <c r="C96" s="2" t="s">
        <v>331</v>
      </c>
      <c r="D96" s="2" t="s">
        <v>125</v>
      </c>
      <c r="E96" s="2" t="s">
        <v>334</v>
      </c>
      <c r="F96" s="2" t="s">
        <v>125</v>
      </c>
      <c r="G96" s="12" t="n">
        <v>0.5</v>
      </c>
      <c r="H96" s="13" t="n">
        <f aca="false">SUMPRODUCT(('DGE links'!$F$2:$F$3451=A96)*1)</f>
        <v>2</v>
      </c>
      <c r="I96" s="13" t="n">
        <f aca="false">SUMPRODUCT(('ILO links'!$G$2:$G$674=A96)*'ILO links'!$J$2:$J$674)</f>
        <v>2</v>
      </c>
      <c r="J96" s="7" t="n">
        <f aca="false">IFERROR(SUMPRODUCT(('DGE links'!$F$2:$F$3451=A96)*'DGE links'!$H$2:$H$3451*'DGE links'!$I$2:$I$3451*'DGE links'!$J$2:$J$3451)/SUMPRODUCT(('DGE links'!$F$2:$F$3451=A96)*'DGE links'!$H$2:$H$3451*'DGE links'!$J$2:$J$3451),"")</f>
        <v>0.288</v>
      </c>
      <c r="K96" s="7" t="n">
        <f aca="false">IFERROR(AVERAGEIFS('ILO links'!$H$2:$H$674,'ILO links'!$G$2:$G$674,A96,'ILO links'!$J$2:$J$674,1),"")</f>
        <v>0.35</v>
      </c>
      <c r="L96" s="14" t="n">
        <f aca="false">IF(AND(ISNUMBER(J96),ISNUMBER(K96)),J96-K96,"")</f>
        <v>-0.062</v>
      </c>
      <c r="M96" s="14" t="n">
        <f aca="false">IF(ISNUMBER(L96),ABS(L96),"")</f>
        <v>0.062</v>
      </c>
      <c r="N96" s="2" t="str">
        <f aca="false">IF(ISNUMBER(M96),IF(M96&lt;=Summary!$B$4,"Agree","Check"),IF(ISNUMBER(J96),"DGE only",IF(ISNUMBER(K96),"ILO only","Not scored")))</f>
        <v>Check</v>
      </c>
      <c r="O96" s="14" t="n">
        <f aca="false">IF(ISNUMBER(J96),J96,IF(ISNUMBER(K96),K96,""))</f>
        <v>0.288</v>
      </c>
      <c r="P96" s="2" t="str">
        <f aca="false">IF(ISNUMBER(J96),"DGE",IF(ISNUMBER(K96),"ILO table",""))</f>
        <v>DGE</v>
      </c>
    </row>
    <row r="97" customFormat="false" ht="15" hidden="false" customHeight="false" outlineLevel="0" collapsed="false">
      <c r="A97" s="2" t="s">
        <v>335</v>
      </c>
      <c r="B97" s="2" t="s">
        <v>275</v>
      </c>
      <c r="C97" s="2" t="s">
        <v>276</v>
      </c>
      <c r="D97" s="2" t="s">
        <v>336</v>
      </c>
      <c r="E97" s="2" t="s">
        <v>336</v>
      </c>
      <c r="F97" s="2" t="s">
        <v>336</v>
      </c>
      <c r="G97" s="12" t="n">
        <v>1</v>
      </c>
      <c r="H97" s="13" t="n">
        <f aca="false">SUMPRODUCT(('DGE links'!$F$2:$F$3451=A97)*1)</f>
        <v>35</v>
      </c>
      <c r="I97" s="13" t="n">
        <f aca="false">SUMPRODUCT(('ILO links'!$G$2:$G$674=A97)*'ILO links'!$J$2:$J$674)</f>
        <v>3</v>
      </c>
      <c r="J97" s="7" t="n">
        <f aca="false">IFERROR(SUMPRODUCT(('DGE links'!$F$2:$F$3451=A97)*'DGE links'!$H$2:$H$3451*'DGE links'!$I$2:$I$3451*'DGE links'!$J$2:$J$3451)/SUMPRODUCT(('DGE links'!$F$2:$F$3451=A97)*'DGE links'!$H$2:$H$3451*'DGE links'!$J$2:$J$3451),"")</f>
        <v>0.19124</v>
      </c>
      <c r="K97" s="7" t="n">
        <f aca="false">IFERROR(AVERAGEIFS('ILO links'!$H$2:$H$674,'ILO links'!$G$2:$G$674,A97,'ILO links'!$J$2:$J$674,1),"")</f>
        <v>0.253333333333333</v>
      </c>
      <c r="L97" s="14" t="n">
        <f aca="false">IF(AND(ISNUMBER(J97),ISNUMBER(K97)),J97-K97,"")</f>
        <v>-0.0620933333333334</v>
      </c>
      <c r="M97" s="14" t="n">
        <f aca="false">IF(ISNUMBER(L97),ABS(L97),"")</f>
        <v>0.0620933333333334</v>
      </c>
      <c r="N97" s="2" t="str">
        <f aca="false">IF(ISNUMBER(M97),IF(M97&lt;=Summary!$B$4,"Agree","Check"),IF(ISNUMBER(J97),"DGE only",IF(ISNUMBER(K97),"ILO only","Not scored")))</f>
        <v>Check</v>
      </c>
      <c r="O97" s="14" t="n">
        <f aca="false">IF(ISNUMBER(J97),J97,IF(ISNUMBER(K97),K97,""))</f>
        <v>0.19124</v>
      </c>
      <c r="P97" s="2" t="str">
        <f aca="false">IF(ISNUMBER(J97),"DGE",IF(ISNUMBER(K97),"ILO table",""))</f>
        <v>DGE</v>
      </c>
    </row>
    <row r="98" customFormat="false" ht="15" hidden="false" customHeight="false" outlineLevel="0" collapsed="false">
      <c r="A98" s="2" t="s">
        <v>337</v>
      </c>
      <c r="B98" s="2" t="s">
        <v>313</v>
      </c>
      <c r="C98" s="2" t="s">
        <v>314</v>
      </c>
      <c r="D98" s="2" t="s">
        <v>338</v>
      </c>
      <c r="E98" s="2" t="s">
        <v>339</v>
      </c>
      <c r="F98" s="2" t="s">
        <v>338</v>
      </c>
      <c r="G98" s="12" t="n">
        <v>0.666666666666667</v>
      </c>
      <c r="H98" s="13" t="n">
        <f aca="false">SUMPRODUCT(('DGE links'!$F$2:$F$3451=A98)*1)</f>
        <v>39</v>
      </c>
      <c r="I98" s="13" t="n">
        <f aca="false">SUMPRODUCT(('ILO links'!$G$2:$G$674=A98)*'ILO links'!$J$2:$J$674)</f>
        <v>4</v>
      </c>
      <c r="J98" s="7" t="n">
        <f aca="false">IFERROR(SUMPRODUCT(('DGE links'!$F$2:$F$3451=A98)*'DGE links'!$H$2:$H$3451*'DGE links'!$I$2:$I$3451*'DGE links'!$J$2:$J$3451)/SUMPRODUCT(('DGE links'!$F$2:$F$3451=A98)*'DGE links'!$H$2:$H$3451*'DGE links'!$J$2:$J$3451),"")</f>
        <v>0.240897435897436</v>
      </c>
      <c r="K98" s="7" t="n">
        <f aca="false">IFERROR(AVERAGEIFS('ILO links'!$H$2:$H$674,'ILO links'!$G$2:$G$674,A98,'ILO links'!$J$2:$J$674,1),"")</f>
        <v>0.265</v>
      </c>
      <c r="L98" s="14" t="n">
        <f aca="false">IF(AND(ISNUMBER(J98),ISNUMBER(K98)),J98-K98,"")</f>
        <v>-0.0241025641025641</v>
      </c>
      <c r="M98" s="14" t="n">
        <f aca="false">IF(ISNUMBER(L98),ABS(L98),"")</f>
        <v>0.0241025641025641</v>
      </c>
      <c r="N98" s="2" t="str">
        <f aca="false">IF(ISNUMBER(M98),IF(M98&lt;=Summary!$B$4,"Agree","Check"),IF(ISNUMBER(J98),"DGE only",IF(ISNUMBER(K98),"ILO only","Not scored")))</f>
        <v>Agree</v>
      </c>
      <c r="O98" s="14" t="n">
        <f aca="false">IF(ISNUMBER(J98),J98,IF(ISNUMBER(K98),K98,""))</f>
        <v>0.240897435897436</v>
      </c>
      <c r="P98" s="2" t="str">
        <f aca="false">IF(ISNUMBER(J98),"DGE",IF(ISNUMBER(K98),"ILO table",""))</f>
        <v>DGE</v>
      </c>
    </row>
    <row r="99" customFormat="false" ht="15" hidden="false" customHeight="false" outlineLevel="0" collapsed="false">
      <c r="A99" s="2" t="s">
        <v>340</v>
      </c>
      <c r="B99" s="2" t="s">
        <v>321</v>
      </c>
      <c r="C99" s="2" t="s">
        <v>341</v>
      </c>
      <c r="D99" s="2" t="s">
        <v>342</v>
      </c>
      <c r="E99" s="2" t="s">
        <v>342</v>
      </c>
      <c r="F99" s="2" t="s">
        <v>342</v>
      </c>
      <c r="G99" s="12" t="n">
        <v>1</v>
      </c>
      <c r="H99" s="13" t="n">
        <f aca="false">SUMPRODUCT(('DGE links'!$F$2:$F$3451=A99)*1)</f>
        <v>44</v>
      </c>
      <c r="I99" s="13" t="n">
        <f aca="false">SUMPRODUCT(('ILO links'!$G$2:$G$674=A99)*'ILO links'!$J$2:$J$674)</f>
        <v>3</v>
      </c>
      <c r="J99" s="7" t="n">
        <f aca="false">IFERROR(SUMPRODUCT(('DGE links'!$F$2:$F$3451=A99)*'DGE links'!$H$2:$H$3451*'DGE links'!$I$2:$I$3451*'DGE links'!$J$2:$J$3451)/SUMPRODUCT(('DGE links'!$F$2:$F$3451=A99)*'DGE links'!$H$2:$H$3451*'DGE links'!$J$2:$J$3451),"")</f>
        <v>0.182609090909091</v>
      </c>
      <c r="K99" s="7" t="n">
        <f aca="false">IFERROR(AVERAGEIFS('ILO links'!$H$2:$H$674,'ILO links'!$G$2:$G$674,A99,'ILO links'!$J$2:$J$674,1),"")</f>
        <v>0.233333333333333</v>
      </c>
      <c r="L99" s="14" t="n">
        <f aca="false">IF(AND(ISNUMBER(J99),ISNUMBER(K99)),J99-K99,"")</f>
        <v>-0.0507242424242424</v>
      </c>
      <c r="M99" s="14" t="n">
        <f aca="false">IF(ISNUMBER(L99),ABS(L99),"")</f>
        <v>0.0507242424242424</v>
      </c>
      <c r="N99" s="2" t="str">
        <f aca="false">IF(ISNUMBER(M99),IF(M99&lt;=Summary!$B$4,"Agree","Check"),IF(ISNUMBER(J99),"DGE only",IF(ISNUMBER(K99),"ILO only","Not scored")))</f>
        <v>Check</v>
      </c>
      <c r="O99" s="14" t="n">
        <f aca="false">IF(ISNUMBER(J99),J99,IF(ISNUMBER(K99),K99,""))</f>
        <v>0.182609090909091</v>
      </c>
      <c r="P99" s="2" t="str">
        <f aca="false">IF(ISNUMBER(J99),"DGE",IF(ISNUMBER(K99),"ILO table",""))</f>
        <v>DGE</v>
      </c>
    </row>
    <row r="100" customFormat="false" ht="15" hidden="false" customHeight="false" outlineLevel="0" collapsed="false">
      <c r="A100" s="2" t="s">
        <v>343</v>
      </c>
      <c r="B100" s="2" t="s">
        <v>302</v>
      </c>
      <c r="C100" s="2" t="s">
        <v>303</v>
      </c>
      <c r="D100" s="2" t="s">
        <v>344</v>
      </c>
      <c r="E100" s="2" t="s">
        <v>344</v>
      </c>
      <c r="F100" s="2" t="s">
        <v>344</v>
      </c>
      <c r="G100" s="12" t="n">
        <v>1</v>
      </c>
      <c r="H100" s="13" t="n">
        <f aca="false">SUMPRODUCT(('DGE links'!$F$2:$F$3451=A100)*1)</f>
        <v>6</v>
      </c>
      <c r="I100" s="13" t="n">
        <f aca="false">SUMPRODUCT(('ILO links'!$G$2:$G$674=A100)*'ILO links'!$J$2:$J$674)</f>
        <v>2</v>
      </c>
      <c r="J100" s="7" t="n">
        <f aca="false">IFERROR(SUMPRODUCT(('DGE links'!$F$2:$F$3451=A100)*'DGE links'!$H$2:$H$3451*'DGE links'!$I$2:$I$3451*'DGE links'!$J$2:$J$3451)/SUMPRODUCT(('DGE links'!$F$2:$F$3451=A100)*'DGE links'!$H$2:$H$3451*'DGE links'!$J$2:$J$3451),"")</f>
        <v>0.235566666666667</v>
      </c>
      <c r="K100" s="7" t="n">
        <f aca="false">IFERROR(AVERAGEIFS('ILO links'!$H$2:$H$674,'ILO links'!$G$2:$G$674,A100,'ILO links'!$J$2:$J$674,1),"")</f>
        <v>0.285</v>
      </c>
      <c r="L100" s="14" t="n">
        <f aca="false">IF(AND(ISNUMBER(J100),ISNUMBER(K100)),J100-K100,"")</f>
        <v>-0.0494333333333333</v>
      </c>
      <c r="M100" s="14" t="n">
        <f aca="false">IF(ISNUMBER(L100),ABS(L100),"")</f>
        <v>0.0494333333333333</v>
      </c>
      <c r="N100" s="2" t="str">
        <f aca="false">IF(ISNUMBER(M100),IF(M100&lt;=Summary!$B$4,"Agree","Check"),IF(ISNUMBER(J100),"DGE only",IF(ISNUMBER(K100),"ILO only","Not scored")))</f>
        <v>Agree</v>
      </c>
      <c r="O100" s="14" t="n">
        <f aca="false">IF(ISNUMBER(J100),J100,IF(ISNUMBER(K100),K100,""))</f>
        <v>0.235566666666667</v>
      </c>
      <c r="P100" s="2" t="str">
        <f aca="false">IF(ISNUMBER(J100),"DGE",IF(ISNUMBER(K100),"ILO table",""))</f>
        <v>DGE</v>
      </c>
    </row>
    <row r="101" customFormat="false" ht="15" hidden="false" customHeight="false" outlineLevel="0" collapsed="false">
      <c r="A101" s="2" t="s">
        <v>345</v>
      </c>
      <c r="B101" s="2" t="s">
        <v>291</v>
      </c>
      <c r="C101" s="2" t="s">
        <v>295</v>
      </c>
      <c r="D101" s="2" t="s">
        <v>346</v>
      </c>
      <c r="E101" s="2" t="s">
        <v>346</v>
      </c>
      <c r="F101" s="2" t="s">
        <v>346</v>
      </c>
      <c r="G101" s="12" t="n">
        <v>1</v>
      </c>
      <c r="H101" s="13" t="n">
        <f aca="false">SUMPRODUCT(('DGE links'!$F$2:$F$3451=A101)*1)</f>
        <v>15</v>
      </c>
      <c r="I101" s="13" t="n">
        <f aca="false">SUMPRODUCT(('ILO links'!$G$2:$G$674=A101)*'ILO links'!$J$2:$J$674)</f>
        <v>4</v>
      </c>
      <c r="J101" s="7" t="n">
        <f aca="false">IFERROR(SUMPRODUCT(('DGE links'!$F$2:$F$3451=A101)*'DGE links'!$H$2:$H$3451*'DGE links'!$I$2:$I$3451*'DGE links'!$J$2:$J$3451)/SUMPRODUCT(('DGE links'!$F$2:$F$3451=A101)*'DGE links'!$H$2:$H$3451*'DGE links'!$J$2:$J$3451),"")</f>
        <v>0.24222</v>
      </c>
      <c r="K101" s="7" t="n">
        <f aca="false">IFERROR(AVERAGEIFS('ILO links'!$H$2:$H$674,'ILO links'!$G$2:$G$674,A101,'ILO links'!$J$2:$J$674,1),"")</f>
        <v>0.25</v>
      </c>
      <c r="L101" s="14" t="n">
        <f aca="false">IF(AND(ISNUMBER(J101),ISNUMBER(K101)),J101-K101,"")</f>
        <v>-0.00778000000000001</v>
      </c>
      <c r="M101" s="14" t="n">
        <f aca="false">IF(ISNUMBER(L101),ABS(L101),"")</f>
        <v>0.00778000000000001</v>
      </c>
      <c r="N101" s="2" t="str">
        <f aca="false">IF(ISNUMBER(M101),IF(M101&lt;=Summary!$B$4,"Agree","Check"),IF(ISNUMBER(J101),"DGE only",IF(ISNUMBER(K101),"ILO only","Not scored")))</f>
        <v>Agree</v>
      </c>
      <c r="O101" s="14" t="n">
        <f aca="false">IF(ISNUMBER(J101),J101,IF(ISNUMBER(K101),K101,""))</f>
        <v>0.24222</v>
      </c>
      <c r="P101" s="2" t="str">
        <f aca="false">IF(ISNUMBER(J101),"DGE",IF(ISNUMBER(K101),"ILO table",""))</f>
        <v>DGE</v>
      </c>
    </row>
    <row r="102" customFormat="false" ht="15" hidden="false" customHeight="false" outlineLevel="0" collapsed="false">
      <c r="A102" s="2" t="s">
        <v>347</v>
      </c>
      <c r="B102" s="2" t="s">
        <v>326</v>
      </c>
      <c r="C102" s="2" t="s">
        <v>348</v>
      </c>
      <c r="D102" s="2" t="s">
        <v>349</v>
      </c>
      <c r="E102" s="2" t="s">
        <v>349</v>
      </c>
      <c r="F102" s="2" t="s">
        <v>349</v>
      </c>
      <c r="G102" s="12" t="n">
        <v>1</v>
      </c>
      <c r="H102" s="13" t="n">
        <f aca="false">SUMPRODUCT(('DGE links'!$F$2:$F$3451=A102)*1)</f>
        <v>125</v>
      </c>
      <c r="I102" s="13" t="n">
        <f aca="false">SUMPRODUCT(('ILO links'!$G$2:$G$674=A102)*'ILO links'!$J$2:$J$674)</f>
        <v>9</v>
      </c>
      <c r="J102" s="7" t="n">
        <f aca="false">IFERROR(SUMPRODUCT(('DGE links'!$F$2:$F$3451=A102)*'DGE links'!$H$2:$H$3451*'DGE links'!$I$2:$I$3451*'DGE links'!$J$2:$J$3451)/SUMPRODUCT(('DGE links'!$F$2:$F$3451=A102)*'DGE links'!$H$2:$H$3451*'DGE links'!$J$2:$J$3451),"")</f>
        <v>0.169832203389831</v>
      </c>
      <c r="K102" s="7" t="n">
        <f aca="false">IFERROR(AVERAGEIFS('ILO links'!$H$2:$H$674,'ILO links'!$G$2:$G$674,A102,'ILO links'!$J$2:$J$674,1),"")</f>
        <v>0.183333333333333</v>
      </c>
      <c r="L102" s="14" t="n">
        <f aca="false">IF(AND(ISNUMBER(J102),ISNUMBER(K102)),J102-K102,"")</f>
        <v>-0.0135011299435028</v>
      </c>
      <c r="M102" s="14" t="n">
        <f aca="false">IF(ISNUMBER(L102),ABS(L102),"")</f>
        <v>0.0135011299435028</v>
      </c>
      <c r="N102" s="2" t="str">
        <f aca="false">IF(ISNUMBER(M102),IF(M102&lt;=Summary!$B$4,"Agree","Check"),IF(ISNUMBER(J102),"DGE only",IF(ISNUMBER(K102),"ILO only","Not scored")))</f>
        <v>Agree</v>
      </c>
      <c r="O102" s="14" t="n">
        <f aca="false">IF(ISNUMBER(J102),J102,IF(ISNUMBER(K102),K102,""))</f>
        <v>0.169832203389831</v>
      </c>
      <c r="P102" s="2" t="str">
        <f aca="false">IF(ISNUMBER(J102),"DGE",IF(ISNUMBER(K102),"ILO table",""))</f>
        <v>DGE</v>
      </c>
    </row>
    <row r="103" customFormat="false" ht="15" hidden="false" customHeight="false" outlineLevel="0" collapsed="false">
      <c r="A103" s="2" t="s">
        <v>350</v>
      </c>
      <c r="B103" s="2" t="s">
        <v>330</v>
      </c>
      <c r="C103" s="2" t="s">
        <v>351</v>
      </c>
      <c r="D103" s="2" t="s">
        <v>352</v>
      </c>
      <c r="E103" s="2" t="s">
        <v>352</v>
      </c>
      <c r="F103" s="2" t="s">
        <v>352</v>
      </c>
      <c r="G103" s="12" t="n">
        <v>1</v>
      </c>
      <c r="H103" s="13" t="n">
        <f aca="false">SUMPRODUCT(('DGE links'!$F$2:$F$3451=A103)*1)</f>
        <v>84</v>
      </c>
      <c r="I103" s="13" t="n">
        <f aca="false">SUMPRODUCT(('ILO links'!$G$2:$G$674=A103)*'ILO links'!$J$2:$J$674)</f>
        <v>2</v>
      </c>
      <c r="J103" s="7" t="n">
        <f aca="false">IFERROR(SUMPRODUCT(('DGE links'!$F$2:$F$3451=A103)*'DGE links'!$H$2:$H$3451*'DGE links'!$I$2:$I$3451*'DGE links'!$J$2:$J$3451)/SUMPRODUCT(('DGE links'!$F$2:$F$3451=A103)*'DGE links'!$H$2:$H$3451*'DGE links'!$J$2:$J$3451),"")</f>
        <v>0.153775903614458</v>
      </c>
      <c r="K103" s="7" t="n">
        <f aca="false">IFERROR(AVERAGEIFS('ILO links'!$H$2:$H$674,'ILO links'!$G$2:$G$674,A103,'ILO links'!$J$2:$J$674,1),"")</f>
        <v>0.25</v>
      </c>
      <c r="L103" s="14" t="n">
        <f aca="false">IF(AND(ISNUMBER(J103),ISNUMBER(K103)),J103-K103,"")</f>
        <v>-0.0962240963855422</v>
      </c>
      <c r="M103" s="14" t="n">
        <f aca="false">IF(ISNUMBER(L103),ABS(L103),"")</f>
        <v>0.0962240963855422</v>
      </c>
      <c r="N103" s="2" t="str">
        <f aca="false">IF(ISNUMBER(M103),IF(M103&lt;=Summary!$B$4,"Agree","Check"),IF(ISNUMBER(J103),"DGE only",IF(ISNUMBER(K103),"ILO only","Not scored")))</f>
        <v>Check</v>
      </c>
      <c r="O103" s="14" t="n">
        <f aca="false">IF(ISNUMBER(J103),J103,IF(ISNUMBER(K103),K103,""))</f>
        <v>0.153775903614458</v>
      </c>
      <c r="P103" s="2" t="str">
        <f aca="false">IF(ISNUMBER(J103),"DGE",IF(ISNUMBER(K103),"ILO table",""))</f>
        <v>DGE</v>
      </c>
    </row>
    <row r="104" customFormat="false" ht="15" hidden="false" customHeight="false" outlineLevel="0" collapsed="false">
      <c r="A104" s="2" t="s">
        <v>353</v>
      </c>
      <c r="B104" s="2" t="s">
        <v>335</v>
      </c>
      <c r="C104" s="2" t="s">
        <v>354</v>
      </c>
      <c r="D104" s="2" t="s">
        <v>335</v>
      </c>
      <c r="E104" s="2" t="s">
        <v>355</v>
      </c>
      <c r="F104" s="2" t="s">
        <v>335</v>
      </c>
      <c r="G104" s="12" t="n">
        <v>0.5</v>
      </c>
      <c r="H104" s="13" t="n">
        <f aca="false">SUMPRODUCT(('DGE links'!$F$2:$F$3451=A104)*1)</f>
        <v>32</v>
      </c>
      <c r="I104" s="13" t="n">
        <f aca="false">SUMPRODUCT(('ILO links'!$G$2:$G$674=A104)*'ILO links'!$J$2:$J$674)</f>
        <v>4</v>
      </c>
      <c r="J104" s="7" t="n">
        <f aca="false">IFERROR(SUMPRODUCT(('DGE links'!$F$2:$F$3451=A104)*'DGE links'!$H$2:$H$3451*'DGE links'!$I$2:$I$3451*'DGE links'!$J$2:$J$3451)/SUMPRODUCT(('DGE links'!$F$2:$F$3451=A104)*'DGE links'!$H$2:$H$3451*'DGE links'!$J$2:$J$3451),"")</f>
        <v>0.29</v>
      </c>
      <c r="K104" s="7" t="n">
        <f aca="false">IFERROR(AVERAGEIFS('ILO links'!$H$2:$H$674,'ILO links'!$G$2:$G$674,A104,'ILO links'!$J$2:$J$674,1),"")</f>
        <v>0.305</v>
      </c>
      <c r="L104" s="14" t="n">
        <f aca="false">IF(AND(ISNUMBER(J104),ISNUMBER(K104)),J104-K104,"")</f>
        <v>-0.015</v>
      </c>
      <c r="M104" s="14" t="n">
        <f aca="false">IF(ISNUMBER(L104),ABS(L104),"")</f>
        <v>0.015</v>
      </c>
      <c r="N104" s="2" t="str">
        <f aca="false">IF(ISNUMBER(M104),IF(M104&lt;=Summary!$B$4,"Agree","Check"),IF(ISNUMBER(J104),"DGE only",IF(ISNUMBER(K104),"ILO only","Not scored")))</f>
        <v>Agree</v>
      </c>
      <c r="O104" s="14" t="n">
        <f aca="false">IF(ISNUMBER(J104),J104,IF(ISNUMBER(K104),K104,""))</f>
        <v>0.29</v>
      </c>
      <c r="P104" s="2" t="str">
        <f aca="false">IF(ISNUMBER(J104),"DGE",IF(ISNUMBER(K104),"ILO table",""))</f>
        <v>DGE</v>
      </c>
    </row>
    <row r="105" customFormat="false" ht="15" hidden="false" customHeight="false" outlineLevel="0" collapsed="false">
      <c r="A105" s="2" t="s">
        <v>356</v>
      </c>
      <c r="B105" s="2" t="s">
        <v>318</v>
      </c>
      <c r="C105" s="2" t="s">
        <v>319</v>
      </c>
      <c r="D105" s="2" t="s">
        <v>357</v>
      </c>
      <c r="E105" s="2" t="s">
        <v>358</v>
      </c>
      <c r="F105" s="2" t="s">
        <v>320</v>
      </c>
      <c r="G105" s="12" t="n">
        <v>0.5</v>
      </c>
      <c r="H105" s="13" t="n">
        <f aca="false">SUMPRODUCT(('DGE links'!$F$2:$F$3451=A105)*1)</f>
        <v>6</v>
      </c>
      <c r="I105" s="13" t="n">
        <f aca="false">SUMPRODUCT(('ILO links'!$G$2:$G$674=A105)*'ILO links'!$J$2:$J$674)</f>
        <v>4</v>
      </c>
      <c r="J105" s="7" t="n">
        <f aca="false">IFERROR(SUMPRODUCT(('DGE links'!$F$2:$F$3451=A105)*'DGE links'!$H$2:$H$3451*'DGE links'!$I$2:$I$3451*'DGE links'!$J$2:$J$3451)/SUMPRODUCT(('DGE links'!$F$2:$F$3451=A105)*'DGE links'!$H$2:$H$3451*'DGE links'!$J$2:$J$3451),"")</f>
        <v>0.2407</v>
      </c>
      <c r="K105" s="7" t="n">
        <f aca="false">IFERROR(AVERAGEIFS('ILO links'!$H$2:$H$674,'ILO links'!$G$2:$G$674,A105,'ILO links'!$J$2:$J$674,1),"")</f>
        <v>0.296666666666667</v>
      </c>
      <c r="L105" s="14" t="n">
        <f aca="false">IF(AND(ISNUMBER(J105),ISNUMBER(K105)),J105-K105,"")</f>
        <v>-0.0559666666666667</v>
      </c>
      <c r="M105" s="14" t="n">
        <f aca="false">IF(ISNUMBER(L105),ABS(L105),"")</f>
        <v>0.0559666666666667</v>
      </c>
      <c r="N105" s="2" t="str">
        <f aca="false">IF(ISNUMBER(M105),IF(M105&lt;=Summary!$B$4,"Agree","Check"),IF(ISNUMBER(J105),"DGE only",IF(ISNUMBER(K105),"ILO only","Not scored")))</f>
        <v>Check</v>
      </c>
      <c r="O105" s="14" t="n">
        <f aca="false">IF(ISNUMBER(J105),J105,IF(ISNUMBER(K105),K105,""))</f>
        <v>0.2407</v>
      </c>
      <c r="P105" s="2" t="str">
        <f aca="false">IF(ISNUMBER(J105),"DGE",IF(ISNUMBER(K105),"ILO table",""))</f>
        <v>DGE</v>
      </c>
    </row>
    <row r="106" customFormat="false" ht="15" hidden="false" customHeight="false" outlineLevel="0" collapsed="false">
      <c r="A106" s="2" t="s">
        <v>359</v>
      </c>
      <c r="B106" s="2" t="s">
        <v>359</v>
      </c>
      <c r="C106" s="2" t="s">
        <v>360</v>
      </c>
      <c r="D106" s="2" t="s">
        <v>359</v>
      </c>
      <c r="E106" s="2" t="s">
        <v>359</v>
      </c>
      <c r="F106" s="2" t="s">
        <v>359</v>
      </c>
      <c r="G106" s="12" t="n">
        <v>1</v>
      </c>
      <c r="H106" s="13" t="n">
        <f aca="false">SUMPRODUCT(('DGE links'!$F$2:$F$3451=A106)*1)</f>
        <v>11</v>
      </c>
      <c r="I106" s="13" t="n">
        <f aca="false">SUMPRODUCT(('ILO links'!$G$2:$G$674=A106)*'ILO links'!$J$2:$J$674)</f>
        <v>2</v>
      </c>
      <c r="J106" s="7" t="n">
        <f aca="false">IFERROR(SUMPRODUCT(('DGE links'!$F$2:$F$3451=A106)*'DGE links'!$H$2:$H$3451*'DGE links'!$I$2:$I$3451*'DGE links'!$J$2:$J$3451)/SUMPRODUCT(('DGE links'!$F$2:$F$3451=A106)*'DGE links'!$H$2:$H$3451*'DGE links'!$J$2:$J$3451),"")</f>
        <v>0.185</v>
      </c>
      <c r="K106" s="7" t="n">
        <f aca="false">IFERROR(AVERAGEIFS('ILO links'!$H$2:$H$674,'ILO links'!$G$2:$G$674,A106,'ILO links'!$J$2:$J$674,1),"")</f>
        <v>0.185</v>
      </c>
      <c r="L106" s="14" t="n">
        <f aca="false">IF(AND(ISNUMBER(J106),ISNUMBER(K106)),J106-K106,"")</f>
        <v>0</v>
      </c>
      <c r="M106" s="14" t="n">
        <f aca="false">IF(ISNUMBER(L106),ABS(L106),"")</f>
        <v>0</v>
      </c>
      <c r="N106" s="2" t="str">
        <f aca="false">IF(ISNUMBER(M106),IF(M106&lt;=Summary!$B$4,"Agree","Check"),IF(ISNUMBER(J106),"DGE only",IF(ISNUMBER(K106),"ILO only","Not scored")))</f>
        <v>Agree</v>
      </c>
      <c r="O106" s="14" t="n">
        <f aca="false">IF(ISNUMBER(J106),J106,IF(ISNUMBER(K106),K106,""))</f>
        <v>0.185</v>
      </c>
      <c r="P106" s="2" t="str">
        <f aca="false">IF(ISNUMBER(J106),"DGE",IF(ISNUMBER(K106),"ILO table",""))</f>
        <v>DGE</v>
      </c>
    </row>
    <row r="107" customFormat="false" ht="15" hidden="false" customHeight="false" outlineLevel="0" collapsed="false">
      <c r="A107" s="2" t="s">
        <v>361</v>
      </c>
      <c r="B107" s="2" t="s">
        <v>362</v>
      </c>
      <c r="C107" s="2" t="s">
        <v>363</v>
      </c>
      <c r="D107" s="2" t="s">
        <v>364</v>
      </c>
      <c r="E107" s="2" t="s">
        <v>364</v>
      </c>
      <c r="F107" s="2" t="s">
        <v>364</v>
      </c>
      <c r="G107" s="12" t="n">
        <v>1</v>
      </c>
      <c r="H107" s="13" t="n">
        <f aca="false">SUMPRODUCT(('DGE links'!$F$2:$F$3451=A107)*1)</f>
        <v>17</v>
      </c>
      <c r="I107" s="13" t="n">
        <f aca="false">SUMPRODUCT(('ILO links'!$G$2:$G$674=A107)*'ILO links'!$J$2:$J$674)</f>
        <v>4</v>
      </c>
      <c r="J107" s="7" t="n">
        <f aca="false">IFERROR(SUMPRODUCT(('DGE links'!$F$2:$F$3451=A107)*'DGE links'!$H$2:$H$3451*'DGE links'!$I$2:$I$3451*'DGE links'!$J$2:$J$3451)/SUMPRODUCT(('DGE links'!$F$2:$F$3451=A107)*'DGE links'!$H$2:$H$3451*'DGE links'!$J$2:$J$3451),"")</f>
        <v>0.232647058823529</v>
      </c>
      <c r="K107" s="7" t="n">
        <f aca="false">IFERROR(AVERAGEIFS('ILO links'!$H$2:$H$674,'ILO links'!$G$2:$G$674,A107,'ILO links'!$J$2:$J$674,1),"")</f>
        <v>0.2375</v>
      </c>
      <c r="L107" s="14" t="n">
        <f aca="false">IF(AND(ISNUMBER(J107),ISNUMBER(K107)),J107-K107,"")</f>
        <v>-0.00485294117647056</v>
      </c>
      <c r="M107" s="14" t="n">
        <f aca="false">IF(ISNUMBER(L107),ABS(L107),"")</f>
        <v>0.00485294117647056</v>
      </c>
      <c r="N107" s="2" t="str">
        <f aca="false">IF(ISNUMBER(M107),IF(M107&lt;=Summary!$B$4,"Agree","Check"),IF(ISNUMBER(J107),"DGE only",IF(ISNUMBER(K107),"ILO only","Not scored")))</f>
        <v>Agree</v>
      </c>
      <c r="O107" s="14" t="n">
        <f aca="false">IF(ISNUMBER(J107),J107,IF(ISNUMBER(K107),K107,""))</f>
        <v>0.232647058823529</v>
      </c>
      <c r="P107" s="2" t="str">
        <f aca="false">IF(ISNUMBER(J107),"DGE",IF(ISNUMBER(K107),"ILO table",""))</f>
        <v>DGE</v>
      </c>
    </row>
    <row r="108" customFormat="false" ht="15" hidden="false" customHeight="false" outlineLevel="0" collapsed="false">
      <c r="A108" s="2" t="s">
        <v>362</v>
      </c>
      <c r="B108" s="2" t="s">
        <v>365</v>
      </c>
      <c r="C108" s="2" t="s">
        <v>366</v>
      </c>
      <c r="D108" s="2" t="s">
        <v>365</v>
      </c>
      <c r="E108" s="2" t="s">
        <v>365</v>
      </c>
      <c r="F108" s="2" t="s">
        <v>365</v>
      </c>
      <c r="G108" s="12" t="n">
        <v>1</v>
      </c>
      <c r="H108" s="13" t="n">
        <f aca="false">SUMPRODUCT(('DGE links'!$F$2:$F$3451=A108)*1)</f>
        <v>46</v>
      </c>
      <c r="I108" s="13" t="n">
        <f aca="false">SUMPRODUCT(('ILO links'!$G$2:$G$674=A108)*'ILO links'!$J$2:$J$674)</f>
        <v>4</v>
      </c>
      <c r="J108" s="7" t="n">
        <f aca="false">IFERROR(SUMPRODUCT(('DGE links'!$F$2:$F$3451=A108)*'DGE links'!$H$2:$H$3451*'DGE links'!$I$2:$I$3451*'DGE links'!$J$2:$J$3451)/SUMPRODUCT(('DGE links'!$F$2:$F$3451=A108)*'DGE links'!$H$2:$H$3451*'DGE links'!$J$2:$J$3451),"")</f>
        <v>0.1575</v>
      </c>
      <c r="K108" s="7" t="n">
        <f aca="false">IFERROR(AVERAGEIFS('ILO links'!$H$2:$H$674,'ILO links'!$G$2:$G$674,A108,'ILO links'!$J$2:$J$674,1),"")</f>
        <v>0.1575</v>
      </c>
      <c r="L108" s="14" t="n">
        <f aca="false">IF(AND(ISNUMBER(J108),ISNUMBER(K108)),J108-K108,"")</f>
        <v>0</v>
      </c>
      <c r="M108" s="14" t="n">
        <f aca="false">IF(ISNUMBER(L108),ABS(L108),"")</f>
        <v>0</v>
      </c>
      <c r="N108" s="2" t="str">
        <f aca="false">IF(ISNUMBER(M108),IF(M108&lt;=Summary!$B$4,"Agree","Check"),IF(ISNUMBER(J108),"DGE only",IF(ISNUMBER(K108),"ILO only","Not scored")))</f>
        <v>Agree</v>
      </c>
      <c r="O108" s="14" t="n">
        <f aca="false">IF(ISNUMBER(J108),J108,IF(ISNUMBER(K108),K108,""))</f>
        <v>0.1575</v>
      </c>
      <c r="P108" s="2" t="str">
        <f aca="false">IF(ISNUMBER(J108),"DGE",IF(ISNUMBER(K108),"ILO table",""))</f>
        <v>DGE</v>
      </c>
    </row>
    <row r="109" customFormat="false" ht="15" hidden="false" customHeight="false" outlineLevel="0" collapsed="false">
      <c r="A109" s="2" t="s">
        <v>365</v>
      </c>
      <c r="B109" s="2" t="s">
        <v>367</v>
      </c>
      <c r="C109" s="2" t="s">
        <v>368</v>
      </c>
      <c r="D109" s="2" t="s">
        <v>367</v>
      </c>
      <c r="E109" s="2" t="s">
        <v>367</v>
      </c>
      <c r="F109" s="2" t="s">
        <v>367</v>
      </c>
      <c r="G109" s="12" t="n">
        <v>1</v>
      </c>
      <c r="H109" s="13" t="n">
        <f aca="false">SUMPRODUCT(('DGE links'!$F$2:$F$3451=A109)*1)</f>
        <v>8</v>
      </c>
      <c r="I109" s="13" t="n">
        <f aca="false">SUMPRODUCT(('ILO links'!$G$2:$G$674=A109)*'ILO links'!$J$2:$J$674)</f>
        <v>1</v>
      </c>
      <c r="J109" s="7" t="n">
        <f aca="false">IFERROR(SUMPRODUCT(('DGE links'!$F$2:$F$3451=A109)*'DGE links'!$H$2:$H$3451*'DGE links'!$I$2:$I$3451*'DGE links'!$J$2:$J$3451)/SUMPRODUCT(('DGE links'!$F$2:$F$3451=A109)*'DGE links'!$H$2:$H$3451*'DGE links'!$J$2:$J$3451),"")</f>
        <v>0.14</v>
      </c>
      <c r="K109" s="7" t="n">
        <f aca="false">IFERROR(AVERAGEIFS('ILO links'!$H$2:$H$674,'ILO links'!$G$2:$G$674,A109,'ILO links'!$J$2:$J$674,1),"")</f>
        <v>0.14</v>
      </c>
      <c r="L109" s="14" t="n">
        <f aca="false">IF(AND(ISNUMBER(J109),ISNUMBER(K109)),J109-K109,"")</f>
        <v>0</v>
      </c>
      <c r="M109" s="14" t="n">
        <f aca="false">IF(ISNUMBER(L109),ABS(L109),"")</f>
        <v>0</v>
      </c>
      <c r="N109" s="2" t="str">
        <f aca="false">IF(ISNUMBER(M109),IF(M109&lt;=Summary!$B$4,"Agree","Check"),IF(ISNUMBER(J109),"DGE only",IF(ISNUMBER(K109),"ILO only","Not scored")))</f>
        <v>Agree</v>
      </c>
      <c r="O109" s="14" t="n">
        <f aca="false">IF(ISNUMBER(J109),J109,IF(ISNUMBER(K109),K109,""))</f>
        <v>0.14</v>
      </c>
      <c r="P109" s="2" t="str">
        <f aca="false">IF(ISNUMBER(J109),"DGE",IF(ISNUMBER(K109),"ILO table",""))</f>
        <v>DGE</v>
      </c>
    </row>
    <row r="110" customFormat="false" ht="15" hidden="false" customHeight="false" outlineLevel="0" collapsed="false">
      <c r="A110" s="2" t="s">
        <v>369</v>
      </c>
      <c r="B110" s="2" t="s">
        <v>228</v>
      </c>
      <c r="C110" s="2" t="s">
        <v>229</v>
      </c>
      <c r="D110" s="2" t="s">
        <v>370</v>
      </c>
      <c r="E110" s="2" t="s">
        <v>370</v>
      </c>
      <c r="F110" s="2" t="s">
        <v>370</v>
      </c>
      <c r="G110" s="12" t="n">
        <v>1</v>
      </c>
      <c r="H110" s="13" t="n">
        <f aca="false">SUMPRODUCT(('DGE links'!$F$2:$F$3451=A110)*1)</f>
        <v>8</v>
      </c>
      <c r="I110" s="13" t="n">
        <f aca="false">SUMPRODUCT(('ILO links'!$G$2:$G$674=A110)*'ILO links'!$J$2:$J$674)</f>
        <v>4</v>
      </c>
      <c r="J110" s="7" t="n">
        <f aca="false">IFERROR(SUMPRODUCT(('DGE links'!$F$2:$F$3451=A110)*'DGE links'!$H$2:$H$3451*'DGE links'!$I$2:$I$3451*'DGE links'!$J$2:$J$3451)/SUMPRODUCT(('DGE links'!$F$2:$F$3451=A110)*'DGE links'!$H$2:$H$3451*'DGE links'!$J$2:$J$3451),"")</f>
        <v>0.30625</v>
      </c>
      <c r="K110" s="7" t="n">
        <f aca="false">IFERROR(AVERAGEIFS('ILO links'!$H$2:$H$674,'ILO links'!$G$2:$G$674,A110,'ILO links'!$J$2:$J$674,1),"")</f>
        <v>0.3725</v>
      </c>
      <c r="L110" s="14" t="n">
        <f aca="false">IF(AND(ISNUMBER(J110),ISNUMBER(K110)),J110-K110,"")</f>
        <v>-0.06625</v>
      </c>
      <c r="M110" s="14" t="n">
        <f aca="false">IF(ISNUMBER(L110),ABS(L110),"")</f>
        <v>0.06625</v>
      </c>
      <c r="N110" s="2" t="str">
        <f aca="false">IF(ISNUMBER(M110),IF(M110&lt;=Summary!$B$4,"Agree","Check"),IF(ISNUMBER(J110),"DGE only",IF(ISNUMBER(K110),"ILO only","Not scored")))</f>
        <v>Check</v>
      </c>
      <c r="O110" s="14" t="n">
        <f aca="false">IF(ISNUMBER(J110),J110,IF(ISNUMBER(K110),K110,""))</f>
        <v>0.30625</v>
      </c>
      <c r="P110" s="2" t="str">
        <f aca="false">IF(ISNUMBER(J110),"DGE",IF(ISNUMBER(K110),"ILO table",""))</f>
        <v>DGE</v>
      </c>
    </row>
    <row r="111" customFormat="false" ht="15" hidden="false" customHeight="false" outlineLevel="0" collapsed="false">
      <c r="A111" s="2" t="s">
        <v>371</v>
      </c>
      <c r="B111" s="2" t="s">
        <v>372</v>
      </c>
      <c r="C111" s="2" t="s">
        <v>373</v>
      </c>
      <c r="D111" s="2" t="s">
        <v>372</v>
      </c>
      <c r="E111" s="2" t="s">
        <v>372</v>
      </c>
      <c r="F111" s="2" t="s">
        <v>372</v>
      </c>
      <c r="G111" s="12" t="n">
        <v>1</v>
      </c>
      <c r="H111" s="13" t="n">
        <f aca="false">SUMPRODUCT(('DGE links'!$F$2:$F$3451=A111)*1)</f>
        <v>3</v>
      </c>
      <c r="I111" s="13" t="n">
        <f aca="false">SUMPRODUCT(('ILO links'!$G$2:$G$674=A111)*'ILO links'!$J$2:$J$674)</f>
        <v>1</v>
      </c>
      <c r="J111" s="7" t="n">
        <f aca="false">IFERROR(SUMPRODUCT(('DGE links'!$F$2:$F$3451=A111)*'DGE links'!$H$2:$H$3451*'DGE links'!$I$2:$I$3451*'DGE links'!$J$2:$J$3451)/SUMPRODUCT(('DGE links'!$F$2:$F$3451=A111)*'DGE links'!$H$2:$H$3451*'DGE links'!$J$2:$J$3451),"")</f>
        <v>0.18</v>
      </c>
      <c r="K111" s="7" t="n">
        <f aca="false">IFERROR(AVERAGEIFS('ILO links'!$H$2:$H$674,'ILO links'!$G$2:$G$674,A111,'ILO links'!$J$2:$J$674,1),"")</f>
        <v>0.18</v>
      </c>
      <c r="L111" s="14" t="n">
        <f aca="false">IF(AND(ISNUMBER(J111),ISNUMBER(K111)),J111-K111,"")</f>
        <v>0</v>
      </c>
      <c r="M111" s="14" t="n">
        <f aca="false">IF(ISNUMBER(L111),ABS(L111),"")</f>
        <v>0</v>
      </c>
      <c r="N111" s="2" t="str">
        <f aca="false">IF(ISNUMBER(M111),IF(M111&lt;=Summary!$B$4,"Agree","Check"),IF(ISNUMBER(J111),"DGE only",IF(ISNUMBER(K111),"ILO only","Not scored")))</f>
        <v>Agree</v>
      </c>
      <c r="O111" s="14" t="n">
        <f aca="false">IF(ISNUMBER(J111),J111,IF(ISNUMBER(K111),K111,""))</f>
        <v>0.18</v>
      </c>
      <c r="P111" s="2" t="str">
        <f aca="false">IF(ISNUMBER(J111),"DGE",IF(ISNUMBER(K111),"ILO table",""))</f>
        <v>DGE</v>
      </c>
    </row>
    <row r="112" customFormat="false" ht="15" hidden="false" customHeight="false" outlineLevel="0" collapsed="false">
      <c r="A112" s="2" t="s">
        <v>374</v>
      </c>
      <c r="B112" s="2" t="s">
        <v>371</v>
      </c>
      <c r="C112" s="2" t="s">
        <v>375</v>
      </c>
      <c r="D112" s="2" t="s">
        <v>376</v>
      </c>
      <c r="E112" s="2" t="s">
        <v>376</v>
      </c>
      <c r="F112" s="2" t="s">
        <v>376</v>
      </c>
      <c r="G112" s="12" t="n">
        <v>1</v>
      </c>
      <c r="H112" s="13" t="n">
        <f aca="false">SUMPRODUCT(('DGE links'!$F$2:$F$3451=A112)*1)</f>
        <v>16</v>
      </c>
      <c r="I112" s="13" t="n">
        <f aca="false">SUMPRODUCT(('ILO links'!$G$2:$G$674=A112)*'ILO links'!$J$2:$J$674)</f>
        <v>4</v>
      </c>
      <c r="J112" s="7" t="n">
        <f aca="false">IFERROR(SUMPRODUCT(('DGE links'!$F$2:$F$3451=A112)*'DGE links'!$H$2:$H$3451*'DGE links'!$I$2:$I$3451*'DGE links'!$J$2:$J$3451)/SUMPRODUCT(('DGE links'!$F$2:$F$3451=A112)*'DGE links'!$H$2:$H$3451*'DGE links'!$J$2:$J$3451),"")</f>
        <v>0.1215625</v>
      </c>
      <c r="K112" s="7" t="n">
        <f aca="false">IFERROR(AVERAGEIFS('ILO links'!$H$2:$H$674,'ILO links'!$G$2:$G$674,A112,'ILO links'!$J$2:$J$674,1),"")</f>
        <v>0.1325</v>
      </c>
      <c r="L112" s="14" t="n">
        <f aca="false">IF(AND(ISNUMBER(J112),ISNUMBER(K112)),J112-K112,"")</f>
        <v>-0.0109375</v>
      </c>
      <c r="M112" s="14" t="n">
        <f aca="false">IF(ISNUMBER(L112),ABS(L112),"")</f>
        <v>0.0109375</v>
      </c>
      <c r="N112" s="2" t="str">
        <f aca="false">IF(ISNUMBER(M112),IF(M112&lt;=Summary!$B$4,"Agree","Check"),IF(ISNUMBER(J112),"DGE only",IF(ISNUMBER(K112),"ILO only","Not scored")))</f>
        <v>Agree</v>
      </c>
      <c r="O112" s="14" t="n">
        <f aca="false">IF(ISNUMBER(J112),J112,IF(ISNUMBER(K112),K112,""))</f>
        <v>0.1215625</v>
      </c>
      <c r="P112" s="2" t="str">
        <f aca="false">IF(ISNUMBER(J112),"DGE",IF(ISNUMBER(K112),"ILO table",""))</f>
        <v>DGE</v>
      </c>
    </row>
    <row r="113" customFormat="false" ht="15" hidden="false" customHeight="false" outlineLevel="0" collapsed="false">
      <c r="A113" s="2" t="s">
        <v>377</v>
      </c>
      <c r="B113" s="2" t="s">
        <v>209</v>
      </c>
      <c r="C113" s="2" t="s">
        <v>210</v>
      </c>
      <c r="D113" s="2" t="s">
        <v>378</v>
      </c>
      <c r="E113" s="2" t="s">
        <v>378</v>
      </c>
      <c r="F113" s="2" t="s">
        <v>378</v>
      </c>
      <c r="G113" s="12" t="n">
        <v>1</v>
      </c>
      <c r="H113" s="13" t="n">
        <f aca="false">SUMPRODUCT(('DGE links'!$F$2:$F$3451=A113)*1)</f>
        <v>6</v>
      </c>
      <c r="I113" s="13" t="n">
        <f aca="false">SUMPRODUCT(('ILO links'!$G$2:$G$674=A113)*'ILO links'!$J$2:$J$674)</f>
        <v>4</v>
      </c>
      <c r="J113" s="7" t="n">
        <f aca="false">IFERROR(SUMPRODUCT(('DGE links'!$F$2:$F$3451=A113)*'DGE links'!$H$2:$H$3451*'DGE links'!$I$2:$I$3451*'DGE links'!$J$2:$J$3451)/SUMPRODUCT(('DGE links'!$F$2:$F$3451=A113)*'DGE links'!$H$2:$H$3451*'DGE links'!$J$2:$J$3451),"")</f>
        <v>0.19</v>
      </c>
      <c r="K113" s="7" t="n">
        <f aca="false">IFERROR(AVERAGEIFS('ILO links'!$H$2:$H$674,'ILO links'!$G$2:$G$674,A113,'ILO links'!$J$2:$J$674,1),"")</f>
        <v>0.1425</v>
      </c>
      <c r="L113" s="14" t="n">
        <f aca="false">IF(AND(ISNUMBER(J113),ISNUMBER(K113)),J113-K113,"")</f>
        <v>0.0475</v>
      </c>
      <c r="M113" s="14" t="n">
        <f aca="false">IF(ISNUMBER(L113),ABS(L113),"")</f>
        <v>0.0475</v>
      </c>
      <c r="N113" s="2" t="str">
        <f aca="false">IF(ISNUMBER(M113),IF(M113&lt;=Summary!$B$4,"Agree","Check"),IF(ISNUMBER(J113),"DGE only",IF(ISNUMBER(K113),"ILO only","Not scored")))</f>
        <v>Agree</v>
      </c>
      <c r="O113" s="14" t="n">
        <f aca="false">IF(ISNUMBER(J113),J113,IF(ISNUMBER(K113),K113,""))</f>
        <v>0.19</v>
      </c>
      <c r="P113" s="2" t="str">
        <f aca="false">IF(ISNUMBER(J113),"DGE",IF(ISNUMBER(K113),"ILO table",""))</f>
        <v>DGE</v>
      </c>
    </row>
    <row r="114" customFormat="false" ht="15" hidden="false" customHeight="false" outlineLevel="0" collapsed="false">
      <c r="A114" s="2" t="s">
        <v>379</v>
      </c>
      <c r="B114" s="2" t="s">
        <v>380</v>
      </c>
      <c r="C114" s="2" t="s">
        <v>381</v>
      </c>
      <c r="D114" s="2" t="s">
        <v>382</v>
      </c>
      <c r="E114" s="2" t="s">
        <v>382</v>
      </c>
      <c r="F114" s="2" t="s">
        <v>382</v>
      </c>
      <c r="G114" s="12" t="n">
        <v>1</v>
      </c>
      <c r="H114" s="13" t="n">
        <f aca="false">SUMPRODUCT(('DGE links'!$F$2:$F$3451=A114)*1)</f>
        <v>17</v>
      </c>
      <c r="I114" s="13" t="n">
        <f aca="false">SUMPRODUCT(('ILO links'!$G$2:$G$674=A114)*'ILO links'!$J$2:$J$674)</f>
        <v>4</v>
      </c>
      <c r="J114" s="7" t="n">
        <f aca="false">IFERROR(SUMPRODUCT(('DGE links'!$F$2:$F$3451=A114)*'DGE links'!$H$2:$H$3451*'DGE links'!$I$2:$I$3451*'DGE links'!$J$2:$J$3451)/SUMPRODUCT(('DGE links'!$F$2:$F$3451=A114)*'DGE links'!$H$2:$H$3451*'DGE links'!$J$2:$J$3451),"")</f>
        <v>0.239058823529412</v>
      </c>
      <c r="K114" s="7" t="n">
        <f aca="false">IFERROR(AVERAGEIFS('ILO links'!$H$2:$H$674,'ILO links'!$G$2:$G$674,A114,'ILO links'!$J$2:$J$674,1),"")</f>
        <v>0.31</v>
      </c>
      <c r="L114" s="14" t="n">
        <f aca="false">IF(AND(ISNUMBER(J114),ISNUMBER(K114)),J114-K114,"")</f>
        <v>-0.0709411764705882</v>
      </c>
      <c r="M114" s="14" t="n">
        <f aca="false">IF(ISNUMBER(L114),ABS(L114),"")</f>
        <v>0.0709411764705882</v>
      </c>
      <c r="N114" s="2" t="str">
        <f aca="false">IF(ISNUMBER(M114),IF(M114&lt;=Summary!$B$4,"Agree","Check"),IF(ISNUMBER(J114),"DGE only",IF(ISNUMBER(K114),"ILO only","Not scored")))</f>
        <v>Check</v>
      </c>
      <c r="O114" s="14" t="n">
        <f aca="false">IF(ISNUMBER(J114),J114,IF(ISNUMBER(K114),K114,""))</f>
        <v>0.239058823529412</v>
      </c>
      <c r="P114" s="2" t="str">
        <f aca="false">IF(ISNUMBER(J114),"DGE",IF(ISNUMBER(K114),"ILO table",""))</f>
        <v>DGE</v>
      </c>
    </row>
    <row r="115" customFormat="false" ht="15" hidden="false" customHeight="false" outlineLevel="0" collapsed="false">
      <c r="A115" s="2" t="s">
        <v>383</v>
      </c>
      <c r="B115" s="2" t="s">
        <v>384</v>
      </c>
      <c r="C115" s="2" t="s">
        <v>385</v>
      </c>
      <c r="D115" s="2" t="s">
        <v>386</v>
      </c>
      <c r="E115" s="2" t="s">
        <v>386</v>
      </c>
      <c r="F115" s="2" t="s">
        <v>386</v>
      </c>
      <c r="G115" s="12" t="n">
        <v>1</v>
      </c>
      <c r="H115" s="13" t="n">
        <f aca="false">SUMPRODUCT(('DGE links'!$F$2:$F$3451=A115)*1)</f>
        <v>7</v>
      </c>
      <c r="I115" s="13" t="n">
        <f aca="false">SUMPRODUCT(('ILO links'!$G$2:$G$674=A115)*'ILO links'!$J$2:$J$674)</f>
        <v>5</v>
      </c>
      <c r="J115" s="7" t="n">
        <f aca="false">IFERROR(SUMPRODUCT(('DGE links'!$F$2:$F$3451=A115)*'DGE links'!$H$2:$H$3451*'DGE links'!$I$2:$I$3451*'DGE links'!$J$2:$J$3451)/SUMPRODUCT(('DGE links'!$F$2:$F$3451=A115)*'DGE links'!$H$2:$H$3451*'DGE links'!$J$2:$J$3451),"")</f>
        <v>0.138285714285714</v>
      </c>
      <c r="K115" s="7" t="n">
        <f aca="false">IFERROR(AVERAGEIFS('ILO links'!$H$2:$H$674,'ILO links'!$G$2:$G$674,A115,'ILO links'!$J$2:$J$674,1),"")</f>
        <v>0.112</v>
      </c>
      <c r="L115" s="14" t="n">
        <f aca="false">IF(AND(ISNUMBER(J115),ISNUMBER(K115)),J115-K115,"")</f>
        <v>0.0262857142857143</v>
      </c>
      <c r="M115" s="14" t="n">
        <f aca="false">IF(ISNUMBER(L115),ABS(L115),"")</f>
        <v>0.0262857142857143</v>
      </c>
      <c r="N115" s="2" t="str">
        <f aca="false">IF(ISNUMBER(M115),IF(M115&lt;=Summary!$B$4,"Agree","Check"),IF(ISNUMBER(J115),"DGE only",IF(ISNUMBER(K115),"ILO only","Not scored")))</f>
        <v>Agree</v>
      </c>
      <c r="O115" s="14" t="n">
        <f aca="false">IF(ISNUMBER(J115),J115,IF(ISNUMBER(K115),K115,""))</f>
        <v>0.138285714285714</v>
      </c>
      <c r="P115" s="2" t="str">
        <f aca="false">IF(ISNUMBER(J115),"DGE",IF(ISNUMBER(K115),"ILO table",""))</f>
        <v>DGE</v>
      </c>
    </row>
    <row r="116" customFormat="false" ht="15" hidden="false" customHeight="false" outlineLevel="0" collapsed="false">
      <c r="A116" s="2" t="s">
        <v>387</v>
      </c>
      <c r="B116" s="2" t="s">
        <v>388</v>
      </c>
      <c r="C116" s="2" t="s">
        <v>389</v>
      </c>
      <c r="D116" s="2" t="s">
        <v>388</v>
      </c>
      <c r="E116" s="2"/>
      <c r="F116" s="2"/>
      <c r="G116" s="12"/>
      <c r="H116" s="13" t="n">
        <f aca="false">SUMPRODUCT(('DGE links'!$F$2:$F$3451=A116)*1)</f>
        <v>7</v>
      </c>
      <c r="I116" s="13" t="n">
        <f aca="false">SUMPRODUCT(('ILO links'!$G$2:$G$674=A116)*'ILO links'!$J$2:$J$674)</f>
        <v>0</v>
      </c>
      <c r="J116" s="7" t="n">
        <f aca="false">IFERROR(SUMPRODUCT(('DGE links'!$F$2:$F$3451=A116)*'DGE links'!$H$2:$H$3451*'DGE links'!$I$2:$I$3451*'DGE links'!$J$2:$J$3451)/SUMPRODUCT(('DGE links'!$F$2:$F$3451=A116)*'DGE links'!$H$2:$H$3451*'DGE links'!$J$2:$J$3451),"")</f>
        <v>0.1067</v>
      </c>
      <c r="K116" s="7" t="str">
        <f aca="false">IFERROR(AVERAGEIFS('ILO links'!$H$2:$H$674,'ILO links'!$G$2:$G$674,A116,'ILO links'!$J$2:$J$674,1),"")</f>
        <v/>
      </c>
      <c r="L116" s="14" t="str">
        <f aca="false">IF(AND(ISNUMBER(J116),ISNUMBER(K116)),J116-K116,"")</f>
        <v/>
      </c>
      <c r="M116" s="14" t="str">
        <f aca="false">IF(ISNUMBER(L116),ABS(L116),"")</f>
        <v/>
      </c>
      <c r="N116" s="2" t="str">
        <f aca="false">IF(ISNUMBER(M116),IF(M116&lt;=Summary!$B$4,"Agree","Check"),IF(ISNUMBER(J116),"DGE only",IF(ISNUMBER(K116),"ILO only","Not scored")))</f>
        <v>DGE only</v>
      </c>
      <c r="O116" s="14" t="n">
        <f aca="false">IF(ISNUMBER(J116),J116,IF(ISNUMBER(K116),K116,""))</f>
        <v>0.1067</v>
      </c>
      <c r="P116" s="2" t="str">
        <f aca="false">IF(ISNUMBER(J116),"DGE",IF(ISNUMBER(K116),"ILO table",""))</f>
        <v>DGE</v>
      </c>
    </row>
    <row r="117" customFormat="false" ht="15" hidden="false" customHeight="false" outlineLevel="0" collapsed="false">
      <c r="A117" s="2" t="s">
        <v>388</v>
      </c>
      <c r="B117" s="2"/>
      <c r="C117" s="2"/>
      <c r="D117" s="2"/>
      <c r="E117" s="2" t="s">
        <v>388</v>
      </c>
      <c r="F117" s="2"/>
      <c r="G117" s="12"/>
      <c r="H117" s="13" t="n">
        <f aca="false">SUMPRODUCT(('DGE links'!$F$2:$F$3451=A117)*1)</f>
        <v>0</v>
      </c>
      <c r="I117" s="13" t="n">
        <f aca="false">SUMPRODUCT(('ILO links'!$G$2:$G$674=A117)*'ILO links'!$J$2:$J$674)</f>
        <v>6</v>
      </c>
      <c r="J117" s="7" t="str">
        <f aca="false">IFERROR(SUMPRODUCT(('DGE links'!$F$2:$F$3451=A117)*'DGE links'!$H$2:$H$3451*'DGE links'!$I$2:$I$3451*'DGE links'!$J$2:$J$3451)/SUMPRODUCT(('DGE links'!$F$2:$F$3451=A117)*'DGE links'!$H$2:$H$3451*'DGE links'!$J$2:$J$3451),"")</f>
        <v/>
      </c>
      <c r="K117" s="7" t="n">
        <f aca="false">IFERROR(AVERAGEIFS('ILO links'!$H$2:$H$674,'ILO links'!$G$2:$G$674,A117,'ILO links'!$J$2:$J$674,1),"")</f>
        <v>0.106666666666667</v>
      </c>
      <c r="L117" s="14" t="str">
        <f aca="false">IF(AND(ISNUMBER(J117),ISNUMBER(K117)),J117-K117,"")</f>
        <v/>
      </c>
      <c r="M117" s="14" t="str">
        <f aca="false">IF(ISNUMBER(L117),ABS(L117),"")</f>
        <v/>
      </c>
      <c r="N117" s="2" t="str">
        <f aca="false">IF(ISNUMBER(M117),IF(M117&lt;=Summary!$B$4,"Agree","Check"),IF(ISNUMBER(J117),"DGE only",IF(ISNUMBER(K117),"ILO only","Not scored")))</f>
        <v>ILO only</v>
      </c>
      <c r="O117" s="14" t="n">
        <f aca="false">IF(ISNUMBER(J117),J117,IF(ISNUMBER(K117),K117,""))</f>
        <v>0.106666666666667</v>
      </c>
      <c r="P117" s="2" t="str">
        <f aca="false">IF(ISNUMBER(J117),"DGE",IF(ISNUMBER(K117),"ILO table",""))</f>
        <v>ILO table</v>
      </c>
    </row>
    <row r="118" customFormat="false" ht="15" hidden="false" customHeight="false" outlineLevel="0" collapsed="false">
      <c r="A118" s="2" t="s">
        <v>390</v>
      </c>
      <c r="B118" s="2" t="s">
        <v>390</v>
      </c>
      <c r="C118" s="2" t="s">
        <v>391</v>
      </c>
      <c r="D118" s="2" t="s">
        <v>390</v>
      </c>
      <c r="E118" s="2" t="s">
        <v>390</v>
      </c>
      <c r="F118" s="2" t="s">
        <v>390</v>
      </c>
      <c r="G118" s="12" t="n">
        <v>1</v>
      </c>
      <c r="H118" s="13" t="n">
        <f aca="false">SUMPRODUCT(('DGE links'!$F$2:$F$3451=A118)*1)</f>
        <v>8</v>
      </c>
      <c r="I118" s="13" t="n">
        <f aca="false">SUMPRODUCT(('ILO links'!$G$2:$G$674=A118)*'ILO links'!$J$2:$J$674)</f>
        <v>3</v>
      </c>
      <c r="J118" s="7" t="n">
        <f aca="false">IFERROR(SUMPRODUCT(('DGE links'!$F$2:$F$3451=A118)*'DGE links'!$H$2:$H$3451*'DGE links'!$I$2:$I$3451*'DGE links'!$J$2:$J$3451)/SUMPRODUCT(('DGE links'!$F$2:$F$3451=A118)*'DGE links'!$H$2:$H$3451*'DGE links'!$J$2:$J$3451),"")</f>
        <v>0.0967</v>
      </c>
      <c r="K118" s="7" t="n">
        <f aca="false">IFERROR(AVERAGEIFS('ILO links'!$H$2:$H$674,'ILO links'!$G$2:$G$674,A118,'ILO links'!$J$2:$J$674,1),"")</f>
        <v>0.0966666666666667</v>
      </c>
      <c r="L118" s="14" t="n">
        <f aca="false">IF(AND(ISNUMBER(J118),ISNUMBER(K118)),J118-K118,"")</f>
        <v>3.33333333333297E-005</v>
      </c>
      <c r="M118" s="14" t="n">
        <f aca="false">IF(ISNUMBER(L118),ABS(L118),"")</f>
        <v>3.33333333333297E-005</v>
      </c>
      <c r="N118" s="2" t="str">
        <f aca="false">IF(ISNUMBER(M118),IF(M118&lt;=Summary!$B$4,"Agree","Check"),IF(ISNUMBER(J118),"DGE only",IF(ISNUMBER(K118),"ILO only","Not scored")))</f>
        <v>Agree</v>
      </c>
      <c r="O118" s="14" t="n">
        <f aca="false">IF(ISNUMBER(J118),J118,IF(ISNUMBER(K118),K118,""))</f>
        <v>0.0967</v>
      </c>
      <c r="P118" s="2" t="str">
        <f aca="false">IF(ISNUMBER(J118),"DGE",IF(ISNUMBER(K118),"ILO table",""))</f>
        <v>DGE</v>
      </c>
    </row>
    <row r="119" customFormat="false" ht="15" hidden="false" customHeight="false" outlineLevel="0" collapsed="false">
      <c r="A119" s="2" t="s">
        <v>392</v>
      </c>
      <c r="B119" s="2" t="s">
        <v>392</v>
      </c>
      <c r="C119" s="2" t="s">
        <v>393</v>
      </c>
      <c r="D119" s="2" t="s">
        <v>392</v>
      </c>
      <c r="E119" s="2" t="s">
        <v>394</v>
      </c>
      <c r="F119" s="2" t="s">
        <v>392</v>
      </c>
      <c r="G119" s="12" t="n">
        <v>0.5</v>
      </c>
      <c r="H119" s="13" t="n">
        <f aca="false">SUMPRODUCT(('DGE links'!$F$2:$F$3451=A119)*1)</f>
        <v>14</v>
      </c>
      <c r="I119" s="13" t="n">
        <f aca="false">SUMPRODUCT(('ILO links'!$G$2:$G$674=A119)*'ILO links'!$J$2:$J$674)</f>
        <v>3</v>
      </c>
      <c r="J119" s="7" t="n">
        <f aca="false">IFERROR(SUMPRODUCT(('DGE links'!$F$2:$F$3451=A119)*'DGE links'!$H$2:$H$3451*'DGE links'!$I$2:$I$3451*'DGE links'!$J$2:$J$3451)/SUMPRODUCT(('DGE links'!$F$2:$F$3451=A119)*'DGE links'!$H$2:$H$3451*'DGE links'!$J$2:$J$3451),"")</f>
        <v>0.16</v>
      </c>
      <c r="K119" s="7" t="n">
        <f aca="false">IFERROR(AVERAGEIFS('ILO links'!$H$2:$H$674,'ILO links'!$G$2:$G$674,A119,'ILO links'!$J$2:$J$674,1),"")</f>
        <v>0.166666666666667</v>
      </c>
      <c r="L119" s="14" t="n">
        <f aca="false">IF(AND(ISNUMBER(J119),ISNUMBER(K119)),J119-K119,"")</f>
        <v>-0.00666666666666665</v>
      </c>
      <c r="M119" s="14" t="n">
        <f aca="false">IF(ISNUMBER(L119),ABS(L119),"")</f>
        <v>0.00666666666666665</v>
      </c>
      <c r="N119" s="2" t="str">
        <f aca="false">IF(ISNUMBER(M119),IF(M119&lt;=Summary!$B$4,"Agree","Check"),IF(ISNUMBER(J119),"DGE only",IF(ISNUMBER(K119),"ILO only","Not scored")))</f>
        <v>Agree</v>
      </c>
      <c r="O119" s="14" t="n">
        <f aca="false">IF(ISNUMBER(J119),J119,IF(ISNUMBER(K119),K119,""))</f>
        <v>0.16</v>
      </c>
      <c r="P119" s="2" t="str">
        <f aca="false">IF(ISNUMBER(J119),"DGE",IF(ISNUMBER(K119),"ILO table",""))</f>
        <v>DGE</v>
      </c>
    </row>
    <row r="120" customFormat="false" ht="15" hidden="false" customHeight="false" outlineLevel="0" collapsed="false">
      <c r="A120" s="2" t="s">
        <v>395</v>
      </c>
      <c r="B120" s="2" t="s">
        <v>395</v>
      </c>
      <c r="C120" s="2" t="s">
        <v>396</v>
      </c>
      <c r="D120" s="2" t="s">
        <v>395</v>
      </c>
      <c r="E120" s="2" t="s">
        <v>395</v>
      </c>
      <c r="F120" s="2" t="s">
        <v>395</v>
      </c>
      <c r="G120" s="12" t="n">
        <v>1</v>
      </c>
      <c r="H120" s="13" t="n">
        <f aca="false">SUMPRODUCT(('DGE links'!$F$2:$F$3451=A120)*1)</f>
        <v>14</v>
      </c>
      <c r="I120" s="13" t="n">
        <f aca="false">SUMPRODUCT(('ILO links'!$G$2:$G$674=A120)*'ILO links'!$J$2:$J$674)</f>
        <v>4</v>
      </c>
      <c r="J120" s="7" t="n">
        <f aca="false">IFERROR(SUMPRODUCT(('DGE links'!$F$2:$F$3451=A120)*'DGE links'!$H$2:$H$3451*'DGE links'!$I$2:$I$3451*'DGE links'!$J$2:$J$3451)/SUMPRODUCT(('DGE links'!$F$2:$F$3451=A120)*'DGE links'!$H$2:$H$3451*'DGE links'!$J$2:$J$3451),"")</f>
        <v>0.17</v>
      </c>
      <c r="K120" s="7" t="n">
        <f aca="false">IFERROR(AVERAGEIFS('ILO links'!$H$2:$H$674,'ILO links'!$G$2:$G$674,A120,'ILO links'!$J$2:$J$674,1),"")</f>
        <v>0.17</v>
      </c>
      <c r="L120" s="14" t="n">
        <f aca="false">IF(AND(ISNUMBER(J120),ISNUMBER(K120)),J120-K120,"")</f>
        <v>0</v>
      </c>
      <c r="M120" s="14" t="n">
        <f aca="false">IF(ISNUMBER(L120),ABS(L120),"")</f>
        <v>0</v>
      </c>
      <c r="N120" s="2" t="str">
        <f aca="false">IF(ISNUMBER(M120),IF(M120&lt;=Summary!$B$4,"Agree","Check"),IF(ISNUMBER(J120),"DGE only",IF(ISNUMBER(K120),"ILO only","Not scored")))</f>
        <v>Agree</v>
      </c>
      <c r="O120" s="14" t="n">
        <f aca="false">IF(ISNUMBER(J120),J120,IF(ISNUMBER(K120),K120,""))</f>
        <v>0.17</v>
      </c>
      <c r="P120" s="2" t="str">
        <f aca="false">IF(ISNUMBER(J120),"DGE",IF(ISNUMBER(K120),"ILO table",""))</f>
        <v>DGE</v>
      </c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customFormat="false" ht="15" hidden="false" customHeight="false" outlineLevel="0" collapsed="false">
      <c r="A122" s="15" t="s">
        <v>397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</sheetData>
  <autoFilter ref="A1:P120"/>
  <conditionalFormatting sqref="N2:N120">
    <cfRule type="cellIs" priority="2" operator="equal" aboveAverage="0" equalAverage="0" bottom="0" percent="0" rank="0" text="" dxfId="7">
      <formula>"Check"</formula>
    </cfRule>
    <cfRule type="cellIs" priority="3" operator="equal" aboveAverage="0" equalAverage="0" bottom="0" percent="0" rank="0" text="" dxfId="8">
      <formula>"Agree"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42" hidden="false" customHeight="true" outlineLevel="0" collapsed="false">
      <c r="A1" s="11" t="s">
        <v>398</v>
      </c>
      <c r="B1" s="11" t="s">
        <v>399</v>
      </c>
      <c r="C1" s="11" t="s">
        <v>400</v>
      </c>
      <c r="D1" s="11" t="s">
        <v>401</v>
      </c>
    </row>
    <row r="2" customFormat="false" ht="15" hidden="false" customHeight="false" outlineLevel="0" collapsed="false">
      <c r="A2" s="2" t="s">
        <v>43</v>
      </c>
      <c r="B2" s="2" t="s">
        <v>402</v>
      </c>
      <c r="C2" s="16"/>
      <c r="D2" s="16"/>
    </row>
    <row r="3" customFormat="false" ht="15" hidden="false" customHeight="false" outlineLevel="0" collapsed="false">
      <c r="A3" s="2" t="s">
        <v>403</v>
      </c>
      <c r="B3" s="2" t="s">
        <v>404</v>
      </c>
      <c r="C3" s="16"/>
      <c r="D3" s="16"/>
    </row>
    <row r="4" customFormat="false" ht="15" hidden="false" customHeight="false" outlineLevel="0" collapsed="false">
      <c r="A4" s="2" t="s">
        <v>405</v>
      </c>
      <c r="B4" s="2" t="s">
        <v>406</v>
      </c>
      <c r="C4" s="16"/>
      <c r="D4" s="16"/>
    </row>
    <row r="5" customFormat="false" ht="15" hidden="false" customHeight="false" outlineLevel="0" collapsed="false">
      <c r="A5" s="2" t="s">
        <v>45</v>
      </c>
      <c r="B5" s="2" t="s">
        <v>46</v>
      </c>
      <c r="C5" s="16" t="n">
        <v>0.3225</v>
      </c>
      <c r="D5" s="16" t="n">
        <v>0</v>
      </c>
    </row>
    <row r="6" customFormat="false" ht="15" hidden="false" customHeight="false" outlineLevel="0" collapsed="false">
      <c r="A6" s="2" t="s">
        <v>47</v>
      </c>
      <c r="B6" s="2" t="s">
        <v>51</v>
      </c>
      <c r="C6" s="16" t="n">
        <v>0.38</v>
      </c>
      <c r="D6" s="16" t="n">
        <v>0</v>
      </c>
    </row>
    <row r="7" customFormat="false" ht="15" hidden="false" customHeight="false" outlineLevel="0" collapsed="false">
      <c r="A7" s="2" t="s">
        <v>50</v>
      </c>
      <c r="B7" s="2" t="s">
        <v>58</v>
      </c>
      <c r="C7" s="16" t="n">
        <v>0.3775</v>
      </c>
      <c r="D7" s="16" t="n">
        <v>0</v>
      </c>
    </row>
    <row r="8" customFormat="false" ht="15" hidden="false" customHeight="false" outlineLevel="0" collapsed="false">
      <c r="A8" s="2" t="s">
        <v>52</v>
      </c>
      <c r="B8" s="2" t="s">
        <v>407</v>
      </c>
      <c r="C8" s="16" t="n">
        <v>0.4</v>
      </c>
      <c r="D8" s="16" t="n">
        <v>0</v>
      </c>
    </row>
    <row r="9" customFormat="false" ht="15" hidden="false" customHeight="false" outlineLevel="0" collapsed="false">
      <c r="A9" s="2" t="s">
        <v>63</v>
      </c>
      <c r="B9" s="2" t="s">
        <v>408</v>
      </c>
      <c r="C9" s="16" t="n">
        <v>0.245</v>
      </c>
      <c r="D9" s="16" t="n">
        <v>0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16" t="n">
        <v>0.3625</v>
      </c>
      <c r="D10" s="16" t="n">
        <v>0</v>
      </c>
    </row>
    <row r="11" customFormat="false" ht="15" hidden="false" customHeight="false" outlineLevel="0" collapsed="false">
      <c r="A11" s="2" t="s">
        <v>409</v>
      </c>
      <c r="B11" s="2" t="s">
        <v>410</v>
      </c>
      <c r="C11" s="16" t="n">
        <v>0.44</v>
      </c>
      <c r="D11" s="16" t="n">
        <v>0</v>
      </c>
    </row>
    <row r="12" customFormat="false" ht="15" hidden="false" customHeight="false" outlineLevel="0" collapsed="false">
      <c r="A12" s="2" t="s">
        <v>411</v>
      </c>
      <c r="B12" s="2" t="s">
        <v>412</v>
      </c>
      <c r="C12" s="16" t="n">
        <v>0.3686</v>
      </c>
      <c r="D12" s="16" t="n">
        <v>0</v>
      </c>
    </row>
    <row r="13" customFormat="false" ht="15" hidden="false" customHeight="false" outlineLevel="0" collapsed="false">
      <c r="A13" s="2" t="s">
        <v>413</v>
      </c>
      <c r="B13" s="2" t="s">
        <v>414</v>
      </c>
      <c r="C13" s="16" t="n">
        <v>0.365</v>
      </c>
      <c r="D13" s="16" t="n">
        <v>0</v>
      </c>
    </row>
    <row r="14" customFormat="false" ht="15" hidden="false" customHeight="false" outlineLevel="0" collapsed="false">
      <c r="A14" s="2" t="s">
        <v>415</v>
      </c>
      <c r="B14" s="2" t="s">
        <v>416</v>
      </c>
      <c r="C14" s="16" t="n">
        <v>0.44</v>
      </c>
      <c r="D14" s="16" t="n">
        <v>0</v>
      </c>
    </row>
    <row r="15" customFormat="false" ht="15" hidden="false" customHeight="false" outlineLevel="0" collapsed="false">
      <c r="A15" s="2" t="s">
        <v>417</v>
      </c>
      <c r="B15" s="2" t="s">
        <v>418</v>
      </c>
      <c r="C15" s="16" t="n">
        <v>0.32</v>
      </c>
      <c r="D15" s="16" t="n">
        <v>0</v>
      </c>
    </row>
    <row r="16" customFormat="false" ht="15" hidden="false" customHeight="false" outlineLevel="0" collapsed="false">
      <c r="A16" s="2" t="s">
        <v>65</v>
      </c>
      <c r="B16" s="2" t="s">
        <v>66</v>
      </c>
      <c r="C16" s="16" t="n">
        <v>0.4175</v>
      </c>
      <c r="D16" s="16" t="n">
        <v>0.25</v>
      </c>
    </row>
    <row r="17" customFormat="false" ht="15" hidden="false" customHeight="false" outlineLevel="0" collapsed="false">
      <c r="A17" s="2" t="s">
        <v>68</v>
      </c>
      <c r="B17" s="2" t="s">
        <v>69</v>
      </c>
      <c r="C17" s="16" t="n">
        <v>0.56</v>
      </c>
      <c r="D17" s="16" t="n">
        <v>1</v>
      </c>
    </row>
    <row r="18" customFormat="false" ht="15" hidden="false" customHeight="false" outlineLevel="0" collapsed="false">
      <c r="A18" s="2" t="s">
        <v>70</v>
      </c>
      <c r="B18" s="2" t="s">
        <v>79</v>
      </c>
      <c r="C18" s="16" t="n">
        <v>0.3567</v>
      </c>
      <c r="D18" s="16" t="n">
        <v>0</v>
      </c>
    </row>
    <row r="19" customFormat="false" ht="15" hidden="false" customHeight="false" outlineLevel="0" collapsed="false">
      <c r="A19" s="2" t="s">
        <v>75</v>
      </c>
      <c r="B19" s="2" t="s">
        <v>76</v>
      </c>
      <c r="C19" s="16" t="n">
        <v>0.33</v>
      </c>
      <c r="D19" s="16" t="n">
        <v>0</v>
      </c>
    </row>
    <row r="20" customFormat="false" ht="15" hidden="false" customHeight="false" outlineLevel="0" collapsed="false">
      <c r="A20" s="2" t="s">
        <v>419</v>
      </c>
      <c r="B20" s="2" t="s">
        <v>420</v>
      </c>
      <c r="C20" s="16" t="n">
        <v>0.4033</v>
      </c>
      <c r="D20" s="16" t="n">
        <v>0</v>
      </c>
    </row>
    <row r="21" customFormat="false" ht="15" hidden="false" customHeight="false" outlineLevel="0" collapsed="false">
      <c r="A21" s="2" t="s">
        <v>421</v>
      </c>
      <c r="B21" s="2" t="s">
        <v>422</v>
      </c>
      <c r="C21" s="16" t="n">
        <v>0.405</v>
      </c>
      <c r="D21" s="16" t="n">
        <v>0</v>
      </c>
    </row>
    <row r="22" customFormat="false" ht="15" hidden="false" customHeight="false" outlineLevel="0" collapsed="false">
      <c r="A22" s="2" t="s">
        <v>78</v>
      </c>
      <c r="B22" s="2" t="s">
        <v>82</v>
      </c>
      <c r="C22" s="16" t="n">
        <v>0.28</v>
      </c>
      <c r="D22" s="16" t="n">
        <v>0</v>
      </c>
    </row>
    <row r="23" customFormat="false" ht="15" hidden="false" customHeight="false" outlineLevel="0" collapsed="false">
      <c r="A23" s="2" t="s">
        <v>81</v>
      </c>
      <c r="B23" s="2" t="s">
        <v>86</v>
      </c>
      <c r="C23" s="16" t="n">
        <v>0.275</v>
      </c>
      <c r="D23" s="16" t="n">
        <v>0</v>
      </c>
    </row>
    <row r="24" customFormat="false" ht="15" hidden="false" customHeight="false" outlineLevel="0" collapsed="false">
      <c r="A24" s="2" t="s">
        <v>85</v>
      </c>
      <c r="B24" s="2" t="s">
        <v>148</v>
      </c>
      <c r="C24" s="16" t="n">
        <v>0.32</v>
      </c>
      <c r="D24" s="16" t="n">
        <v>0</v>
      </c>
    </row>
    <row r="25" customFormat="false" ht="15" hidden="false" customHeight="false" outlineLevel="0" collapsed="false">
      <c r="A25" s="2" t="s">
        <v>423</v>
      </c>
      <c r="B25" s="2" t="s">
        <v>424</v>
      </c>
      <c r="C25" s="16" t="n">
        <v>0.23</v>
      </c>
      <c r="D25" s="16" t="n">
        <v>0</v>
      </c>
    </row>
    <row r="26" customFormat="false" ht="15" hidden="false" customHeight="false" outlineLevel="0" collapsed="false">
      <c r="A26" s="2" t="s">
        <v>425</v>
      </c>
      <c r="B26" s="2" t="s">
        <v>426</v>
      </c>
      <c r="C26" s="16" t="n">
        <v>0.14</v>
      </c>
      <c r="D26" s="16" t="n">
        <v>0</v>
      </c>
    </row>
    <row r="27" customFormat="false" ht="15" hidden="false" customHeight="false" outlineLevel="0" collapsed="false">
      <c r="A27" s="2" t="s">
        <v>141</v>
      </c>
      <c r="B27" s="2" t="s">
        <v>142</v>
      </c>
      <c r="C27" s="16" t="n">
        <v>0.2662</v>
      </c>
      <c r="D27" s="16" t="n">
        <v>0</v>
      </c>
    </row>
    <row r="28" customFormat="false" ht="15" hidden="false" customHeight="false" outlineLevel="0" collapsed="false">
      <c r="A28" s="2" t="s">
        <v>88</v>
      </c>
      <c r="B28" s="2" t="s">
        <v>89</v>
      </c>
      <c r="C28" s="16" t="n">
        <v>0.37</v>
      </c>
      <c r="D28" s="16" t="n">
        <v>0</v>
      </c>
    </row>
    <row r="29" customFormat="false" ht="15" hidden="false" customHeight="false" outlineLevel="0" collapsed="false">
      <c r="A29" s="2" t="s">
        <v>91</v>
      </c>
      <c r="B29" s="2" t="s">
        <v>427</v>
      </c>
      <c r="C29" s="16" t="n">
        <v>0.35</v>
      </c>
      <c r="D29" s="16" t="n">
        <v>0</v>
      </c>
    </row>
    <row r="30" customFormat="false" ht="15" hidden="false" customHeight="false" outlineLevel="0" collapsed="false">
      <c r="A30" s="2" t="s">
        <v>92</v>
      </c>
      <c r="B30" s="2" t="s">
        <v>93</v>
      </c>
      <c r="C30" s="16" t="n">
        <v>0.3</v>
      </c>
      <c r="D30" s="16" t="n">
        <v>0</v>
      </c>
    </row>
    <row r="31" customFormat="false" ht="15" hidden="false" customHeight="false" outlineLevel="0" collapsed="false">
      <c r="A31" s="2" t="s">
        <v>97</v>
      </c>
      <c r="B31" s="2" t="s">
        <v>151</v>
      </c>
      <c r="C31" s="16" t="n">
        <v>0.235</v>
      </c>
      <c r="D31" s="16" t="n">
        <v>0</v>
      </c>
    </row>
    <row r="32" customFormat="false" ht="15" hidden="false" customHeight="false" outlineLevel="0" collapsed="false">
      <c r="A32" s="2" t="s">
        <v>95</v>
      </c>
      <c r="B32" s="2" t="s">
        <v>96</v>
      </c>
      <c r="C32" s="16" t="n">
        <v>0.3586</v>
      </c>
      <c r="D32" s="16" t="n">
        <v>0</v>
      </c>
    </row>
    <row r="33" customFormat="false" ht="15" hidden="false" customHeight="false" outlineLevel="0" collapsed="false">
      <c r="A33" s="2" t="s">
        <v>98</v>
      </c>
      <c r="B33" s="2" t="s">
        <v>99</v>
      </c>
      <c r="C33" s="16" t="n">
        <v>0.5667</v>
      </c>
      <c r="D33" s="16" t="n">
        <v>1</v>
      </c>
    </row>
    <row r="34" customFormat="false" ht="15" hidden="false" customHeight="false" outlineLevel="0" collapsed="false">
      <c r="A34" s="2" t="s">
        <v>102</v>
      </c>
      <c r="B34" s="2" t="s">
        <v>428</v>
      </c>
      <c r="C34" s="16" t="n">
        <v>0.435</v>
      </c>
      <c r="D34" s="16" t="n">
        <v>0</v>
      </c>
    </row>
    <row r="35" customFormat="false" ht="15" hidden="false" customHeight="false" outlineLevel="0" collapsed="false">
      <c r="A35" s="2" t="s">
        <v>105</v>
      </c>
      <c r="B35" s="2" t="s">
        <v>429</v>
      </c>
      <c r="C35" s="16" t="n">
        <v>0.4975</v>
      </c>
      <c r="D35" s="16" t="n">
        <v>0.75</v>
      </c>
    </row>
    <row r="36" customFormat="false" ht="15" hidden="false" customHeight="false" outlineLevel="0" collapsed="false">
      <c r="A36" s="2" t="s">
        <v>71</v>
      </c>
      <c r="B36" s="2" t="s">
        <v>72</v>
      </c>
      <c r="C36" s="16" t="n">
        <v>0.548</v>
      </c>
      <c r="D36" s="16" t="n">
        <v>0.8</v>
      </c>
    </row>
    <row r="37" customFormat="false" ht="15" hidden="false" customHeight="false" outlineLevel="0" collapsed="false">
      <c r="A37" s="2" t="s">
        <v>430</v>
      </c>
      <c r="B37" s="2" t="s">
        <v>431</v>
      </c>
      <c r="C37" s="16" t="n">
        <v>0.5375</v>
      </c>
      <c r="D37" s="16" t="n">
        <v>0.75</v>
      </c>
    </row>
    <row r="38" customFormat="false" ht="15" hidden="false" customHeight="false" outlineLevel="0" collapsed="false">
      <c r="A38" s="2" t="s">
        <v>103</v>
      </c>
      <c r="B38" s="2" t="s">
        <v>104</v>
      </c>
      <c r="C38" s="16" t="n">
        <v>0.3467</v>
      </c>
      <c r="D38" s="16" t="n">
        <v>0</v>
      </c>
    </row>
    <row r="39" customFormat="false" ht="15" hidden="false" customHeight="false" outlineLevel="0" collapsed="false">
      <c r="A39" s="2" t="s">
        <v>106</v>
      </c>
      <c r="B39" s="2" t="s">
        <v>107</v>
      </c>
      <c r="C39" s="16" t="n">
        <v>0.51</v>
      </c>
      <c r="D39" s="16" t="n">
        <v>0.5</v>
      </c>
    </row>
    <row r="40" customFormat="false" ht="15" hidden="false" customHeight="false" outlineLevel="0" collapsed="false">
      <c r="A40" s="2" t="s">
        <v>109</v>
      </c>
      <c r="B40" s="2" t="s">
        <v>110</v>
      </c>
      <c r="C40" s="16" t="n">
        <v>0.39</v>
      </c>
      <c r="D40" s="16" t="n">
        <v>0.1667</v>
      </c>
    </row>
    <row r="41" customFormat="false" ht="15" hidden="false" customHeight="false" outlineLevel="0" collapsed="false">
      <c r="A41" s="2" t="s">
        <v>432</v>
      </c>
      <c r="B41" s="2" t="s">
        <v>433</v>
      </c>
      <c r="C41" s="16" t="n">
        <v>0.56</v>
      </c>
      <c r="D41" s="16" t="n">
        <v>1</v>
      </c>
    </row>
    <row r="42" customFormat="false" ht="15" hidden="false" customHeight="false" outlineLevel="0" collapsed="false">
      <c r="A42" s="2" t="s">
        <v>113</v>
      </c>
      <c r="B42" s="2" t="s">
        <v>114</v>
      </c>
      <c r="C42" s="16" t="n">
        <v>0.28</v>
      </c>
      <c r="D42" s="16" t="n">
        <v>0</v>
      </c>
    </row>
    <row r="43" customFormat="false" ht="15" hidden="false" customHeight="false" outlineLevel="0" collapsed="false">
      <c r="A43" s="2" t="s">
        <v>118</v>
      </c>
      <c r="B43" s="2" t="s">
        <v>119</v>
      </c>
      <c r="C43" s="16" t="n">
        <v>0.2956</v>
      </c>
      <c r="D43" s="16" t="n">
        <v>0</v>
      </c>
    </row>
    <row r="44" customFormat="false" ht="15" hidden="false" customHeight="false" outlineLevel="0" collapsed="false">
      <c r="A44" s="2" t="s">
        <v>121</v>
      </c>
      <c r="B44" s="2" t="s">
        <v>434</v>
      </c>
      <c r="C44" s="16" t="n">
        <v>0.3067</v>
      </c>
      <c r="D44" s="16" t="n">
        <v>0</v>
      </c>
    </row>
    <row r="45" customFormat="false" ht="15" hidden="false" customHeight="false" outlineLevel="0" collapsed="false">
      <c r="A45" s="2" t="s">
        <v>125</v>
      </c>
      <c r="B45" s="2" t="s">
        <v>331</v>
      </c>
      <c r="C45" s="16" t="n">
        <v>0.288</v>
      </c>
      <c r="D45" s="16" t="n">
        <v>0</v>
      </c>
    </row>
    <row r="46" customFormat="false" ht="15" hidden="false" customHeight="false" outlineLevel="0" collapsed="false">
      <c r="A46" s="2" t="s">
        <v>130</v>
      </c>
      <c r="B46" s="2" t="s">
        <v>435</v>
      </c>
      <c r="C46" s="16" t="n">
        <v>0.2833</v>
      </c>
      <c r="D46" s="16" t="n">
        <v>0</v>
      </c>
    </row>
    <row r="47" customFormat="false" ht="15" hidden="false" customHeight="false" outlineLevel="0" collapsed="false">
      <c r="A47" s="2" t="s">
        <v>131</v>
      </c>
      <c r="B47" s="2" t="s">
        <v>132</v>
      </c>
      <c r="C47" s="16" t="n">
        <v>0.288</v>
      </c>
      <c r="D47" s="16" t="n">
        <v>0</v>
      </c>
    </row>
    <row r="48" customFormat="false" ht="15" hidden="false" customHeight="false" outlineLevel="0" collapsed="false">
      <c r="A48" s="2" t="s">
        <v>135</v>
      </c>
      <c r="B48" s="2" t="s">
        <v>436</v>
      </c>
      <c r="C48" s="16" t="n">
        <v>0.2525</v>
      </c>
      <c r="D48" s="16" t="n">
        <v>0</v>
      </c>
    </row>
    <row r="49" customFormat="false" ht="15" hidden="false" customHeight="false" outlineLevel="0" collapsed="false">
      <c r="A49" s="2" t="s">
        <v>140</v>
      </c>
      <c r="B49" s="2" t="s">
        <v>146</v>
      </c>
      <c r="C49" s="16" t="n">
        <v>0.21</v>
      </c>
      <c r="D49" s="16" t="n">
        <v>0</v>
      </c>
    </row>
    <row r="50" customFormat="false" ht="15" hidden="false" customHeight="false" outlineLevel="0" collapsed="false">
      <c r="A50" s="2" t="s">
        <v>145</v>
      </c>
      <c r="B50" s="2" t="s">
        <v>437</v>
      </c>
      <c r="C50" s="16" t="n">
        <v>0.19</v>
      </c>
      <c r="D50" s="16" t="n">
        <v>0</v>
      </c>
    </row>
    <row r="51" customFormat="false" ht="15" hidden="false" customHeight="false" outlineLevel="0" collapsed="false">
      <c r="A51" s="2" t="s">
        <v>147</v>
      </c>
      <c r="B51" s="2" t="s">
        <v>438</v>
      </c>
      <c r="C51" s="16" t="n">
        <v>0.14</v>
      </c>
      <c r="D51" s="16" t="n">
        <v>0</v>
      </c>
    </row>
    <row r="52" customFormat="false" ht="15" hidden="false" customHeight="false" outlineLevel="0" collapsed="false">
      <c r="A52" s="2" t="s">
        <v>136</v>
      </c>
      <c r="B52" s="2" t="s">
        <v>137</v>
      </c>
      <c r="C52" s="16" t="n">
        <v>0.2689</v>
      </c>
      <c r="D52" s="16" t="n">
        <v>0.1111</v>
      </c>
    </row>
    <row r="53" customFormat="false" ht="15" hidden="false" customHeight="false" outlineLevel="0" collapsed="false">
      <c r="A53" s="2" t="s">
        <v>150</v>
      </c>
      <c r="B53" s="2" t="s">
        <v>439</v>
      </c>
      <c r="C53" s="16" t="n">
        <v>0.548</v>
      </c>
      <c r="D53" s="16" t="n">
        <v>0.6</v>
      </c>
    </row>
    <row r="54" customFormat="false" ht="15" hidden="false" customHeight="false" outlineLevel="0" collapsed="false">
      <c r="A54" s="2" t="s">
        <v>152</v>
      </c>
      <c r="B54" s="2" t="s">
        <v>157</v>
      </c>
      <c r="C54" s="16" t="n">
        <v>0.4625</v>
      </c>
      <c r="D54" s="16" t="n">
        <v>0.25</v>
      </c>
    </row>
    <row r="55" customFormat="false" ht="15" hidden="false" customHeight="false" outlineLevel="0" collapsed="false">
      <c r="A55" s="2" t="s">
        <v>153</v>
      </c>
      <c r="B55" s="2" t="s">
        <v>161</v>
      </c>
      <c r="C55" s="16" t="n">
        <v>0.446</v>
      </c>
      <c r="D55" s="16" t="n">
        <v>0.2</v>
      </c>
    </row>
    <row r="56" customFormat="false" ht="15" hidden="false" customHeight="false" outlineLevel="0" collapsed="false">
      <c r="A56" s="2" t="s">
        <v>154</v>
      </c>
      <c r="B56" s="2" t="s">
        <v>164</v>
      </c>
      <c r="C56" s="16" t="n">
        <v>0.5125</v>
      </c>
      <c r="D56" s="16" t="n">
        <v>0.75</v>
      </c>
    </row>
    <row r="57" customFormat="false" ht="15" hidden="false" customHeight="false" outlineLevel="0" collapsed="false">
      <c r="A57" s="2" t="s">
        <v>168</v>
      </c>
      <c r="B57" s="2" t="s">
        <v>169</v>
      </c>
      <c r="C57" s="16" t="n">
        <v>0.38</v>
      </c>
      <c r="D57" s="16" t="n">
        <v>0</v>
      </c>
    </row>
    <row r="58" customFormat="false" ht="15" hidden="false" customHeight="false" outlineLevel="0" collapsed="false">
      <c r="A58" s="2" t="s">
        <v>156</v>
      </c>
      <c r="B58" s="2" t="s">
        <v>173</v>
      </c>
      <c r="C58" s="16" t="n">
        <v>0.28</v>
      </c>
      <c r="D58" s="16" t="n">
        <v>0</v>
      </c>
    </row>
    <row r="59" customFormat="false" ht="15" hidden="false" customHeight="false" outlineLevel="0" collapsed="false">
      <c r="A59" s="2" t="s">
        <v>160</v>
      </c>
      <c r="B59" s="2" t="s">
        <v>440</v>
      </c>
      <c r="C59" s="16" t="n">
        <v>0.2833</v>
      </c>
      <c r="D59" s="16" t="n">
        <v>0</v>
      </c>
    </row>
    <row r="60" customFormat="false" ht="15" hidden="false" customHeight="false" outlineLevel="0" collapsed="false">
      <c r="A60" s="2" t="s">
        <v>163</v>
      </c>
      <c r="B60" s="2" t="s">
        <v>441</v>
      </c>
      <c r="C60" s="16" t="n">
        <v>0.345</v>
      </c>
      <c r="D60" s="16" t="n">
        <v>0</v>
      </c>
    </row>
    <row r="61" customFormat="false" ht="15" hidden="false" customHeight="false" outlineLevel="0" collapsed="false">
      <c r="A61" s="2" t="s">
        <v>122</v>
      </c>
      <c r="B61" s="2" t="s">
        <v>123</v>
      </c>
      <c r="C61" s="16" t="n">
        <v>0.465</v>
      </c>
      <c r="D61" s="16" t="n">
        <v>0.25</v>
      </c>
    </row>
    <row r="62" customFormat="false" ht="15" hidden="false" customHeight="false" outlineLevel="0" collapsed="false">
      <c r="A62" s="2" t="s">
        <v>126</v>
      </c>
      <c r="B62" s="2" t="s">
        <v>127</v>
      </c>
      <c r="C62" s="16" t="n">
        <v>0.4</v>
      </c>
      <c r="D62" s="16" t="n">
        <v>0</v>
      </c>
    </row>
    <row r="63" customFormat="false" ht="15" hidden="false" customHeight="false" outlineLevel="0" collapsed="false">
      <c r="A63" s="2" t="s">
        <v>178</v>
      </c>
      <c r="B63" s="2" t="s">
        <v>196</v>
      </c>
      <c r="C63" s="16" t="n">
        <v>0.6</v>
      </c>
      <c r="D63" s="16" t="n">
        <v>1</v>
      </c>
    </row>
    <row r="64" customFormat="false" ht="15" hidden="false" customHeight="false" outlineLevel="0" collapsed="false">
      <c r="A64" s="2" t="s">
        <v>183</v>
      </c>
      <c r="B64" s="2" t="s">
        <v>442</v>
      </c>
      <c r="C64" s="16" t="n">
        <v>0.58</v>
      </c>
      <c r="D64" s="16" t="n">
        <v>1</v>
      </c>
    </row>
    <row r="65" customFormat="false" ht="15" hidden="false" customHeight="false" outlineLevel="0" collapsed="false">
      <c r="A65" s="2" t="s">
        <v>179</v>
      </c>
      <c r="B65" s="2" t="s">
        <v>180</v>
      </c>
      <c r="C65" s="16" t="n">
        <v>0.675</v>
      </c>
      <c r="D65" s="16" t="n">
        <v>1</v>
      </c>
    </row>
    <row r="66" customFormat="false" ht="15" hidden="false" customHeight="false" outlineLevel="0" collapsed="false">
      <c r="A66" s="2" t="s">
        <v>199</v>
      </c>
      <c r="B66" s="2" t="s">
        <v>200</v>
      </c>
      <c r="C66" s="16" t="n">
        <v>0.485</v>
      </c>
      <c r="D66" s="16" t="n">
        <v>0.25</v>
      </c>
    </row>
    <row r="67" customFormat="false" ht="15" hidden="false" customHeight="false" outlineLevel="0" collapsed="false">
      <c r="A67" s="2" t="s">
        <v>203</v>
      </c>
      <c r="B67" s="2" t="s">
        <v>204</v>
      </c>
      <c r="C67" s="16" t="n">
        <v>0.5375</v>
      </c>
      <c r="D67" s="16" t="n">
        <v>0.875</v>
      </c>
    </row>
    <row r="68" customFormat="false" ht="15" hidden="false" customHeight="false" outlineLevel="0" collapsed="false">
      <c r="A68" s="2" t="s">
        <v>184</v>
      </c>
      <c r="B68" s="2" t="s">
        <v>185</v>
      </c>
      <c r="C68" s="16" t="n">
        <v>0.63</v>
      </c>
      <c r="D68" s="16" t="n">
        <v>1</v>
      </c>
    </row>
    <row r="69" customFormat="false" ht="15" hidden="false" customHeight="false" outlineLevel="0" collapsed="false">
      <c r="A69" s="2" t="s">
        <v>187</v>
      </c>
      <c r="B69" s="2" t="s">
        <v>188</v>
      </c>
      <c r="C69" s="16" t="n">
        <v>0.4367</v>
      </c>
      <c r="D69" s="16" t="n">
        <v>0.3333</v>
      </c>
    </row>
    <row r="70" customFormat="false" ht="15" hidden="false" customHeight="false" outlineLevel="0" collapsed="false">
      <c r="A70" s="2" t="s">
        <v>191</v>
      </c>
      <c r="B70" s="2" t="s">
        <v>192</v>
      </c>
      <c r="C70" s="16" t="n">
        <v>0.5086</v>
      </c>
      <c r="D70" s="16" t="n">
        <v>0.5714</v>
      </c>
    </row>
    <row r="71" customFormat="false" ht="15" hidden="false" customHeight="false" outlineLevel="0" collapsed="false">
      <c r="A71" s="2" t="s">
        <v>206</v>
      </c>
      <c r="B71" s="2" t="s">
        <v>207</v>
      </c>
      <c r="C71" s="16" t="n">
        <v>0.2633</v>
      </c>
      <c r="D71" s="16" t="n">
        <v>0</v>
      </c>
    </row>
    <row r="72" customFormat="false" ht="15" hidden="false" customHeight="false" outlineLevel="0" collapsed="false">
      <c r="A72" s="2" t="s">
        <v>208</v>
      </c>
      <c r="B72" s="2" t="s">
        <v>443</v>
      </c>
      <c r="C72" s="16" t="n">
        <v>0.18</v>
      </c>
      <c r="D72" s="16" t="n">
        <v>0</v>
      </c>
    </row>
    <row r="73" customFormat="false" ht="15" hidden="false" customHeight="false" outlineLevel="0" collapsed="false">
      <c r="A73" s="2" t="s">
        <v>214</v>
      </c>
      <c r="B73" s="2" t="s">
        <v>444</v>
      </c>
      <c r="C73" s="16" t="n">
        <v>0.27</v>
      </c>
      <c r="D73" s="16" t="n">
        <v>0</v>
      </c>
    </row>
    <row r="74" customFormat="false" ht="15" hidden="false" customHeight="false" outlineLevel="0" collapsed="false">
      <c r="A74" s="2" t="s">
        <v>220</v>
      </c>
      <c r="B74" s="2" t="s">
        <v>221</v>
      </c>
      <c r="C74" s="16" t="n">
        <v>0.175</v>
      </c>
      <c r="D74" s="16" t="n">
        <v>0</v>
      </c>
    </row>
    <row r="75" customFormat="false" ht="15" hidden="false" customHeight="false" outlineLevel="0" collapsed="false">
      <c r="A75" s="2" t="s">
        <v>209</v>
      </c>
      <c r="B75" s="2" t="s">
        <v>210</v>
      </c>
      <c r="C75" s="16" t="n">
        <v>0.23</v>
      </c>
      <c r="D75" s="16" t="n">
        <v>0</v>
      </c>
    </row>
    <row r="76" customFormat="false" ht="15" hidden="false" customHeight="false" outlineLevel="0" collapsed="false">
      <c r="A76" s="2" t="s">
        <v>223</v>
      </c>
      <c r="B76" s="2" t="s">
        <v>224</v>
      </c>
      <c r="C76" s="16" t="n">
        <v>0.2067</v>
      </c>
      <c r="D76" s="16" t="n">
        <v>0</v>
      </c>
    </row>
    <row r="77" customFormat="false" ht="15" hidden="false" customHeight="false" outlineLevel="0" collapsed="false">
      <c r="A77" s="2" t="s">
        <v>227</v>
      </c>
      <c r="B77" s="2" t="s">
        <v>233</v>
      </c>
      <c r="C77" s="16" t="n">
        <v>0.285</v>
      </c>
      <c r="D77" s="16" t="n">
        <v>0</v>
      </c>
    </row>
    <row r="78" customFormat="false" ht="15" hidden="false" customHeight="false" outlineLevel="0" collapsed="false">
      <c r="A78" s="2" t="s">
        <v>230</v>
      </c>
      <c r="B78" s="2" t="s">
        <v>445</v>
      </c>
      <c r="C78" s="16" t="n">
        <v>0.39</v>
      </c>
      <c r="D78" s="16" t="n">
        <v>0</v>
      </c>
    </row>
    <row r="79" customFormat="false" ht="15" hidden="false" customHeight="false" outlineLevel="0" collapsed="false">
      <c r="A79" s="2" t="s">
        <v>232</v>
      </c>
      <c r="B79" s="2" t="s">
        <v>446</v>
      </c>
      <c r="C79" s="16" t="n">
        <v>0.39</v>
      </c>
      <c r="D79" s="16" t="n">
        <v>0</v>
      </c>
    </row>
    <row r="80" customFormat="false" ht="15" hidden="false" customHeight="false" outlineLevel="0" collapsed="false">
      <c r="A80" s="2" t="s">
        <v>228</v>
      </c>
      <c r="B80" s="2" t="s">
        <v>229</v>
      </c>
      <c r="C80" s="16" t="n">
        <v>0.37</v>
      </c>
      <c r="D80" s="16" t="n">
        <v>0.1667</v>
      </c>
    </row>
    <row r="81" customFormat="false" ht="15" hidden="false" customHeight="false" outlineLevel="0" collapsed="false">
      <c r="A81" s="2" t="s">
        <v>215</v>
      </c>
      <c r="B81" s="2" t="s">
        <v>216</v>
      </c>
      <c r="C81" s="16" t="n">
        <v>0.215</v>
      </c>
      <c r="D81" s="16" t="n">
        <v>0</v>
      </c>
    </row>
    <row r="82" customFormat="false" ht="15" hidden="false" customHeight="false" outlineLevel="0" collapsed="false">
      <c r="A82" s="2" t="s">
        <v>447</v>
      </c>
      <c r="B82" s="2" t="s">
        <v>448</v>
      </c>
      <c r="C82" s="16" t="n">
        <v>0.18</v>
      </c>
      <c r="D82" s="16" t="n">
        <v>0</v>
      </c>
    </row>
    <row r="83" customFormat="false" ht="15" hidden="false" customHeight="false" outlineLevel="0" collapsed="false">
      <c r="A83" s="2" t="s">
        <v>225</v>
      </c>
      <c r="B83" s="2" t="s">
        <v>226</v>
      </c>
      <c r="C83" s="16" t="n">
        <v>0.172</v>
      </c>
      <c r="D83" s="16" t="n">
        <v>0</v>
      </c>
    </row>
    <row r="84" customFormat="false" ht="15" hidden="false" customHeight="false" outlineLevel="0" collapsed="false">
      <c r="A84" s="2" t="s">
        <v>235</v>
      </c>
      <c r="B84" s="2" t="s">
        <v>236</v>
      </c>
      <c r="C84" s="16" t="n">
        <v>0.175</v>
      </c>
      <c r="D84" s="16" t="n">
        <v>0</v>
      </c>
    </row>
    <row r="85" customFormat="false" ht="15" hidden="false" customHeight="false" outlineLevel="0" collapsed="false">
      <c r="A85" s="2" t="s">
        <v>239</v>
      </c>
      <c r="B85" s="2" t="s">
        <v>240</v>
      </c>
      <c r="C85" s="16" t="n">
        <v>0.195</v>
      </c>
      <c r="D85" s="16" t="n">
        <v>0</v>
      </c>
    </row>
    <row r="86" customFormat="false" ht="15" hidden="false" customHeight="false" outlineLevel="0" collapsed="false">
      <c r="A86" s="2" t="s">
        <v>242</v>
      </c>
      <c r="B86" s="2" t="s">
        <v>243</v>
      </c>
      <c r="C86" s="16" t="n">
        <v>0.19</v>
      </c>
      <c r="D86" s="16" t="n">
        <v>0</v>
      </c>
    </row>
    <row r="87" customFormat="false" ht="15" hidden="false" customHeight="false" outlineLevel="0" collapsed="false">
      <c r="A87" s="2" t="s">
        <v>245</v>
      </c>
      <c r="B87" s="2" t="s">
        <v>246</v>
      </c>
      <c r="C87" s="16" t="n">
        <v>0.12</v>
      </c>
      <c r="D87" s="16" t="n">
        <v>0</v>
      </c>
    </row>
    <row r="88" customFormat="false" ht="15" hidden="false" customHeight="false" outlineLevel="0" collapsed="false">
      <c r="A88" s="2" t="s">
        <v>248</v>
      </c>
      <c r="B88" s="2" t="s">
        <v>249</v>
      </c>
      <c r="C88" s="16" t="n">
        <v>0.165</v>
      </c>
      <c r="D88" s="16" t="n">
        <v>0</v>
      </c>
    </row>
    <row r="89" customFormat="false" ht="15" hidden="false" customHeight="false" outlineLevel="0" collapsed="false">
      <c r="A89" s="2" t="s">
        <v>252</v>
      </c>
      <c r="B89" s="2" t="s">
        <v>253</v>
      </c>
      <c r="C89" s="16" t="n">
        <v>0.13</v>
      </c>
      <c r="D89" s="16" t="n">
        <v>0</v>
      </c>
    </row>
    <row r="90" customFormat="false" ht="15" hidden="false" customHeight="false" outlineLevel="0" collapsed="false">
      <c r="A90" s="2" t="s">
        <v>449</v>
      </c>
      <c r="B90" s="2" t="s">
        <v>450</v>
      </c>
      <c r="C90" s="16" t="n">
        <v>0.13</v>
      </c>
      <c r="D90" s="16" t="n">
        <v>0</v>
      </c>
    </row>
    <row r="91" customFormat="false" ht="15" hidden="false" customHeight="false" outlineLevel="0" collapsed="false">
      <c r="A91" s="2" t="s">
        <v>451</v>
      </c>
      <c r="B91" s="2" t="s">
        <v>452</v>
      </c>
      <c r="C91" s="16" t="n">
        <v>0.12</v>
      </c>
      <c r="D91" s="16" t="n">
        <v>0</v>
      </c>
    </row>
    <row r="92" customFormat="false" ht="15" hidden="false" customHeight="false" outlineLevel="0" collapsed="false">
      <c r="A92" s="2" t="s">
        <v>453</v>
      </c>
      <c r="B92" s="2" t="s">
        <v>454</v>
      </c>
      <c r="C92" s="16" t="n">
        <v>0.12</v>
      </c>
      <c r="D92" s="16" t="n">
        <v>0</v>
      </c>
    </row>
    <row r="93" customFormat="false" ht="15" hidden="false" customHeight="false" outlineLevel="0" collapsed="false">
      <c r="A93" s="2" t="s">
        <v>255</v>
      </c>
      <c r="B93" s="2" t="s">
        <v>261</v>
      </c>
      <c r="C93" s="16" t="n">
        <v>0.11</v>
      </c>
      <c r="D93" s="16" t="n">
        <v>0</v>
      </c>
    </row>
    <row r="94" customFormat="false" ht="15" hidden="false" customHeight="false" outlineLevel="0" collapsed="false">
      <c r="A94" s="2" t="s">
        <v>260</v>
      </c>
      <c r="B94" s="2" t="s">
        <v>264</v>
      </c>
      <c r="C94" s="16" t="n">
        <v>0.1429</v>
      </c>
      <c r="D94" s="16" t="n">
        <v>0</v>
      </c>
    </row>
    <row r="95" customFormat="false" ht="15" hidden="false" customHeight="false" outlineLevel="0" collapsed="false">
      <c r="A95" s="2" t="s">
        <v>263</v>
      </c>
      <c r="B95" s="2" t="s">
        <v>268</v>
      </c>
      <c r="C95" s="16" t="n">
        <v>0.1133</v>
      </c>
      <c r="D95" s="16" t="n">
        <v>0</v>
      </c>
    </row>
    <row r="96" customFormat="false" ht="15" hidden="false" customHeight="false" outlineLevel="0" collapsed="false">
      <c r="A96" s="2" t="s">
        <v>271</v>
      </c>
      <c r="B96" s="2" t="s">
        <v>272</v>
      </c>
      <c r="C96" s="16" t="n">
        <v>0.142</v>
      </c>
      <c r="D96" s="16" t="n">
        <v>0</v>
      </c>
    </row>
    <row r="97" customFormat="false" ht="15" hidden="false" customHeight="false" outlineLevel="0" collapsed="false">
      <c r="A97" s="2" t="s">
        <v>275</v>
      </c>
      <c r="B97" s="2" t="s">
        <v>276</v>
      </c>
      <c r="C97" s="16" t="n">
        <v>0.18</v>
      </c>
      <c r="D97" s="16" t="n">
        <v>0</v>
      </c>
    </row>
    <row r="98" customFormat="false" ht="15" hidden="false" customHeight="false" outlineLevel="0" collapsed="false">
      <c r="A98" s="2" t="s">
        <v>278</v>
      </c>
      <c r="B98" s="2" t="s">
        <v>279</v>
      </c>
      <c r="C98" s="16" t="n">
        <v>0.1675</v>
      </c>
      <c r="D98" s="16" t="n">
        <v>0</v>
      </c>
    </row>
    <row r="99" customFormat="false" ht="15" hidden="false" customHeight="false" outlineLevel="0" collapsed="false">
      <c r="A99" s="2" t="s">
        <v>287</v>
      </c>
      <c r="B99" s="2" t="s">
        <v>288</v>
      </c>
      <c r="C99" s="16" t="n">
        <v>0.1688</v>
      </c>
      <c r="D99" s="16" t="n">
        <v>0</v>
      </c>
    </row>
    <row r="100" customFormat="false" ht="15" hidden="false" customHeight="false" outlineLevel="0" collapsed="false">
      <c r="A100" s="2" t="s">
        <v>291</v>
      </c>
      <c r="B100" s="2" t="s">
        <v>295</v>
      </c>
      <c r="C100" s="16" t="n">
        <v>0.2833</v>
      </c>
      <c r="D100" s="16" t="n">
        <v>0</v>
      </c>
    </row>
    <row r="101" customFormat="false" ht="15" hidden="false" customHeight="false" outlineLevel="0" collapsed="false">
      <c r="A101" s="2" t="s">
        <v>298</v>
      </c>
      <c r="B101" s="2" t="s">
        <v>455</v>
      </c>
      <c r="C101" s="16" t="n">
        <v>0.17</v>
      </c>
      <c r="D101" s="16" t="n">
        <v>0</v>
      </c>
    </row>
    <row r="102" customFormat="false" ht="15" hidden="false" customHeight="false" outlineLevel="0" collapsed="false">
      <c r="A102" s="2" t="s">
        <v>283</v>
      </c>
      <c r="B102" s="2" t="s">
        <v>284</v>
      </c>
      <c r="C102" s="16" t="n">
        <v>0.245</v>
      </c>
      <c r="D102" s="16" t="n">
        <v>0</v>
      </c>
    </row>
    <row r="103" customFormat="false" ht="15" hidden="false" customHeight="false" outlineLevel="0" collapsed="false">
      <c r="A103" s="2" t="s">
        <v>299</v>
      </c>
      <c r="B103" s="2" t="s">
        <v>300</v>
      </c>
      <c r="C103" s="16" t="n">
        <v>0.1867</v>
      </c>
      <c r="D103" s="16" t="n">
        <v>0</v>
      </c>
    </row>
    <row r="104" customFormat="false" ht="15" hidden="false" customHeight="false" outlineLevel="0" collapsed="false">
      <c r="A104" s="2" t="s">
        <v>302</v>
      </c>
      <c r="B104" s="2" t="s">
        <v>303</v>
      </c>
      <c r="C104" s="16" t="n">
        <v>0.2</v>
      </c>
      <c r="D104" s="16" t="n">
        <v>0</v>
      </c>
    </row>
    <row r="105" customFormat="false" ht="15" hidden="false" customHeight="false" outlineLevel="0" collapsed="false">
      <c r="A105" s="2" t="s">
        <v>310</v>
      </c>
      <c r="B105" s="2" t="s">
        <v>311</v>
      </c>
      <c r="C105" s="16" t="n">
        <v>0.15</v>
      </c>
      <c r="D105" s="16" t="n">
        <v>0</v>
      </c>
    </row>
    <row r="106" customFormat="false" ht="15" hidden="false" customHeight="false" outlineLevel="0" collapsed="false">
      <c r="A106" s="2" t="s">
        <v>456</v>
      </c>
      <c r="B106" s="2" t="s">
        <v>457</v>
      </c>
      <c r="C106" s="16" t="n">
        <v>0.172</v>
      </c>
      <c r="D106" s="16" t="n">
        <v>0</v>
      </c>
    </row>
    <row r="107" customFormat="false" ht="15" hidden="false" customHeight="false" outlineLevel="0" collapsed="false">
      <c r="A107" s="2" t="s">
        <v>256</v>
      </c>
      <c r="B107" s="2" t="s">
        <v>257</v>
      </c>
      <c r="C107" s="16" t="n">
        <v>0.2</v>
      </c>
      <c r="D107" s="16" t="n">
        <v>0</v>
      </c>
    </row>
    <row r="108" customFormat="false" ht="15" hidden="false" customHeight="false" outlineLevel="0" collapsed="false">
      <c r="A108" s="2" t="s">
        <v>313</v>
      </c>
      <c r="B108" s="2" t="s">
        <v>314</v>
      </c>
      <c r="C108" s="16" t="n">
        <v>0.23</v>
      </c>
      <c r="D108" s="16" t="n">
        <v>0</v>
      </c>
    </row>
    <row r="109" customFormat="false" ht="15" hidden="false" customHeight="false" outlineLevel="0" collapsed="false">
      <c r="A109" s="2" t="s">
        <v>317</v>
      </c>
      <c r="B109" s="2" t="s">
        <v>327</v>
      </c>
      <c r="C109" s="16" t="n">
        <v>0.255</v>
      </c>
      <c r="D109" s="16" t="n">
        <v>0</v>
      </c>
    </row>
    <row r="110" customFormat="false" ht="15" hidden="false" customHeight="false" outlineLevel="0" collapsed="false">
      <c r="A110" s="2" t="s">
        <v>321</v>
      </c>
      <c r="B110" s="2" t="s">
        <v>341</v>
      </c>
      <c r="C110" s="16" t="n">
        <v>0.1767</v>
      </c>
      <c r="D110" s="16" t="n">
        <v>0</v>
      </c>
    </row>
    <row r="111" customFormat="false" ht="15" hidden="false" customHeight="false" outlineLevel="0" collapsed="false">
      <c r="A111" s="2" t="s">
        <v>326</v>
      </c>
      <c r="B111" s="2" t="s">
        <v>348</v>
      </c>
      <c r="C111" s="16" t="n">
        <v>0.1625</v>
      </c>
      <c r="D111" s="16" t="n">
        <v>0</v>
      </c>
    </row>
    <row r="112" customFormat="false" ht="15" hidden="false" customHeight="false" outlineLevel="0" collapsed="false">
      <c r="A112" s="2" t="s">
        <v>330</v>
      </c>
      <c r="B112" s="2" t="s">
        <v>351</v>
      </c>
      <c r="C112" s="16" t="n">
        <v>0.15</v>
      </c>
      <c r="D112" s="16" t="n">
        <v>0</v>
      </c>
    </row>
    <row r="113" customFormat="false" ht="15" hidden="false" customHeight="false" outlineLevel="0" collapsed="false">
      <c r="A113" s="2" t="s">
        <v>322</v>
      </c>
      <c r="B113" s="2" t="s">
        <v>323</v>
      </c>
      <c r="C113" s="16" t="n">
        <v>0.21</v>
      </c>
      <c r="D113" s="16" t="n">
        <v>0</v>
      </c>
    </row>
    <row r="114" customFormat="false" ht="15" hidden="false" customHeight="false" outlineLevel="0" collapsed="false">
      <c r="A114" s="2" t="s">
        <v>318</v>
      </c>
      <c r="B114" s="2" t="s">
        <v>319</v>
      </c>
      <c r="C114" s="16" t="n">
        <v>0.1967</v>
      </c>
      <c r="D114" s="16" t="n">
        <v>0</v>
      </c>
    </row>
    <row r="115" customFormat="false" ht="15" hidden="false" customHeight="false" outlineLevel="0" collapsed="false">
      <c r="A115" s="2" t="s">
        <v>335</v>
      </c>
      <c r="B115" s="2" t="s">
        <v>354</v>
      </c>
      <c r="C115" s="16" t="n">
        <v>0.29</v>
      </c>
      <c r="D115" s="16" t="n">
        <v>0</v>
      </c>
    </row>
    <row r="116" customFormat="false" ht="15" hidden="false" customHeight="false" outlineLevel="0" collapsed="false">
      <c r="A116" s="2" t="s">
        <v>359</v>
      </c>
      <c r="B116" s="2" t="s">
        <v>360</v>
      </c>
      <c r="C116" s="16" t="n">
        <v>0.185</v>
      </c>
      <c r="D116" s="16" t="n">
        <v>0</v>
      </c>
    </row>
    <row r="117" customFormat="false" ht="15" hidden="false" customHeight="false" outlineLevel="0" collapsed="false">
      <c r="A117" s="2" t="s">
        <v>361</v>
      </c>
      <c r="B117" s="2" t="s">
        <v>458</v>
      </c>
      <c r="C117" s="16" t="n">
        <v>0.265</v>
      </c>
      <c r="D117" s="16" t="n">
        <v>0</v>
      </c>
    </row>
    <row r="118" customFormat="false" ht="15" hidden="false" customHeight="false" outlineLevel="0" collapsed="false">
      <c r="A118" s="2" t="s">
        <v>362</v>
      </c>
      <c r="B118" s="2" t="s">
        <v>363</v>
      </c>
      <c r="C118" s="16" t="n">
        <v>0.21</v>
      </c>
      <c r="D118" s="16" t="n">
        <v>0</v>
      </c>
    </row>
    <row r="119" customFormat="false" ht="15" hidden="false" customHeight="false" outlineLevel="0" collapsed="false">
      <c r="A119" s="2" t="s">
        <v>365</v>
      </c>
      <c r="B119" s="2" t="s">
        <v>366</v>
      </c>
      <c r="C119" s="16" t="n">
        <v>0.1575</v>
      </c>
      <c r="D119" s="16" t="n">
        <v>0</v>
      </c>
    </row>
    <row r="120" customFormat="false" ht="15" hidden="false" customHeight="false" outlineLevel="0" collapsed="false">
      <c r="A120" s="2" t="s">
        <v>367</v>
      </c>
      <c r="B120" s="2" t="s">
        <v>368</v>
      </c>
      <c r="C120" s="16" t="n">
        <v>0.14</v>
      </c>
      <c r="D120" s="16" t="n">
        <v>0</v>
      </c>
    </row>
    <row r="121" customFormat="false" ht="15" hidden="false" customHeight="false" outlineLevel="0" collapsed="false">
      <c r="A121" s="2" t="s">
        <v>369</v>
      </c>
      <c r="B121" s="2" t="s">
        <v>459</v>
      </c>
      <c r="C121" s="16" t="n">
        <v>0.13</v>
      </c>
      <c r="D121" s="16" t="n">
        <v>0</v>
      </c>
    </row>
    <row r="122" customFormat="false" ht="15" hidden="false" customHeight="false" outlineLevel="0" collapsed="false">
      <c r="A122" s="2" t="s">
        <v>371</v>
      </c>
      <c r="B122" s="2" t="s">
        <v>375</v>
      </c>
      <c r="C122" s="16" t="n">
        <v>0.11</v>
      </c>
      <c r="D122" s="16" t="n">
        <v>0</v>
      </c>
    </row>
    <row r="123" customFormat="false" ht="15" hidden="false" customHeight="false" outlineLevel="0" collapsed="false">
      <c r="A123" s="2" t="s">
        <v>388</v>
      </c>
      <c r="B123" s="2" t="s">
        <v>389</v>
      </c>
      <c r="C123" s="16" t="n">
        <v>0.1067</v>
      </c>
      <c r="D123" s="16" t="n">
        <v>0</v>
      </c>
    </row>
    <row r="124" customFormat="false" ht="15" hidden="false" customHeight="false" outlineLevel="0" collapsed="false">
      <c r="A124" s="2" t="s">
        <v>390</v>
      </c>
      <c r="B124" s="2" t="s">
        <v>391</v>
      </c>
      <c r="C124" s="16" t="n">
        <v>0.0967</v>
      </c>
      <c r="D124" s="16" t="n">
        <v>0</v>
      </c>
    </row>
    <row r="125" customFormat="false" ht="15" hidden="false" customHeight="false" outlineLevel="0" collapsed="false">
      <c r="A125" s="2" t="s">
        <v>392</v>
      </c>
      <c r="B125" s="2" t="s">
        <v>393</v>
      </c>
      <c r="C125" s="16" t="n">
        <v>0.16</v>
      </c>
      <c r="D125" s="16" t="n">
        <v>0</v>
      </c>
    </row>
    <row r="126" customFormat="false" ht="15" hidden="false" customHeight="false" outlineLevel="0" collapsed="false">
      <c r="A126" s="2" t="s">
        <v>395</v>
      </c>
      <c r="B126" s="2" t="s">
        <v>396</v>
      </c>
      <c r="C126" s="16" t="n">
        <v>0.17</v>
      </c>
      <c r="D126" s="16" t="n">
        <v>0</v>
      </c>
    </row>
    <row r="127" customFormat="false" ht="15" hidden="false" customHeight="false" outlineLevel="0" collapsed="false">
      <c r="A127" s="2" t="s">
        <v>460</v>
      </c>
      <c r="B127" s="2" t="s">
        <v>461</v>
      </c>
      <c r="C127" s="16" t="n">
        <v>0.155</v>
      </c>
      <c r="D127" s="16" t="n">
        <v>0</v>
      </c>
    </row>
    <row r="128" customFormat="false" ht="15" hidden="false" customHeight="false" outlineLevel="0" collapsed="false">
      <c r="A128" s="2" t="s">
        <v>372</v>
      </c>
      <c r="B128" s="2" t="s">
        <v>373</v>
      </c>
      <c r="C128" s="16" t="n">
        <v>0.18</v>
      </c>
      <c r="D128" s="16" t="n">
        <v>0</v>
      </c>
    </row>
    <row r="129" customFormat="false" ht="15" hidden="false" customHeight="false" outlineLevel="0" collapsed="false">
      <c r="A129" s="2" t="s">
        <v>462</v>
      </c>
      <c r="B129" s="2" t="s">
        <v>463</v>
      </c>
      <c r="C129" s="16" t="n">
        <v>0.2</v>
      </c>
      <c r="D129" s="16" t="n">
        <v>0</v>
      </c>
    </row>
    <row r="130" customFormat="false" ht="15" hidden="false" customHeight="false" outlineLevel="0" collapsed="false">
      <c r="A130" s="2" t="s">
        <v>384</v>
      </c>
      <c r="B130" s="2" t="s">
        <v>385</v>
      </c>
      <c r="C130" s="16" t="n">
        <v>0.12</v>
      </c>
      <c r="D130" s="16" t="n">
        <v>0</v>
      </c>
    </row>
    <row r="131" customFormat="false" ht="15" hidden="false" customHeight="false" outlineLevel="0" collapsed="false">
      <c r="A131" s="2" t="s">
        <v>380</v>
      </c>
      <c r="B131" s="2" t="s">
        <v>381</v>
      </c>
      <c r="C131" s="16" t="n">
        <v>0.248</v>
      </c>
      <c r="D131" s="16" t="n">
        <v>0</v>
      </c>
    </row>
    <row r="132" customFormat="false" ht="15" hidden="false" customHeight="false" outlineLevel="0" collapsed="false">
      <c r="A132" s="2"/>
      <c r="B132" s="2"/>
      <c r="C132" s="2"/>
      <c r="D132" s="2"/>
    </row>
    <row r="133" customFormat="false" ht="15" hidden="false" customHeight="false" outlineLevel="0" collapsed="false">
      <c r="A133" s="15" t="s">
        <v>464</v>
      </c>
      <c r="B133" s="2"/>
      <c r="C133" s="2"/>
      <c r="D13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5"/>
    <col collapsed="false" customWidth="true" hidden="false" outlineLevel="0" max="4" min="3" style="0" width="13"/>
    <col collapsed="false" customWidth="true" hidden="false" outlineLevel="0" max="7" min="5" style="0" width="11"/>
    <col collapsed="false" customWidth="true" hidden="false" outlineLevel="0" max="9" min="8" style="0" width="13"/>
    <col collapsed="false" customWidth="true" hidden="false" outlineLevel="0" max="10" min="10" style="0" width="9"/>
  </cols>
  <sheetData>
    <row r="1" customFormat="false" ht="42" hidden="false" customHeight="true" outlineLevel="0" collapsed="false">
      <c r="A1" s="11" t="s">
        <v>465</v>
      </c>
      <c r="B1" s="11" t="s">
        <v>466</v>
      </c>
      <c r="C1" s="11" t="s">
        <v>467</v>
      </c>
      <c r="D1" s="11" t="s">
        <v>468</v>
      </c>
      <c r="E1" s="11" t="s">
        <v>398</v>
      </c>
      <c r="F1" s="11" t="s">
        <v>27</v>
      </c>
      <c r="G1" s="11" t="s">
        <v>469</v>
      </c>
      <c r="H1" s="11" t="s">
        <v>470</v>
      </c>
      <c r="I1" s="11" t="s">
        <v>471</v>
      </c>
      <c r="J1" s="11" t="s">
        <v>472</v>
      </c>
    </row>
    <row r="2" customFormat="false" ht="15" hidden="false" customHeight="false" outlineLevel="0" collapsed="false">
      <c r="A2" s="2" t="n">
        <v>1</v>
      </c>
      <c r="B2" s="2" t="s">
        <v>473</v>
      </c>
      <c r="C2" s="2" t="s">
        <v>474</v>
      </c>
      <c r="D2" s="2" t="s">
        <v>475</v>
      </c>
      <c r="E2" s="2" t="str">
        <f aca="false">LEFT(C2,3)</f>
        <v>241</v>
      </c>
      <c r="F2" s="2" t="str">
        <f aca="false">IF(D2="","",LEFT(D2,3))</f>
        <v>241</v>
      </c>
      <c r="G2" s="2" t="str">
        <f aca="false">IF(F2="","",IF(E2=F2,"Yes","No"))</f>
        <v>Yes</v>
      </c>
      <c r="H2" s="2" t="n">
        <f aca="false">IF(D2="",0,1/COUNTIF($D$2:$D$3451,D2))</f>
        <v>1</v>
      </c>
      <c r="I2" s="13" t="n">
        <f aca="false">IFERROR(INDEX('NCO-2015 scores'!$C$2:$C$131,MATCH(E2,'NCO-2015 scores'!$A$2:$A$131,0)),0)</f>
        <v>0.5667</v>
      </c>
      <c r="J2" s="13" t="n">
        <f aca="false">IF(ISNUMBER(MATCH(E2,'NCO-2015 scores'!$A$2:$A$131,0)),IF(ISNUMBER(INDEX('NCO-2015 scores'!$C$2:$C$131,MATCH(E2,'NCO-2015 scores'!$A$2:$A$131,0))),1,0),0)</f>
        <v>1</v>
      </c>
    </row>
    <row r="3" customFormat="false" ht="15" hidden="false" customHeight="false" outlineLevel="0" collapsed="false">
      <c r="A3" s="2" t="n">
        <v>2</v>
      </c>
      <c r="B3" s="2" t="s">
        <v>476</v>
      </c>
      <c r="C3" s="2" t="s">
        <v>477</v>
      </c>
      <c r="D3" s="2" t="s">
        <v>478</v>
      </c>
      <c r="E3" s="2" t="str">
        <f aca="false">LEFT(C3,3)</f>
        <v>241</v>
      </c>
      <c r="F3" s="2" t="str">
        <f aca="false">IF(D3="","",LEFT(D3,3))</f>
        <v>241</v>
      </c>
      <c r="G3" s="2" t="str">
        <f aca="false">IF(F3="","",IF(E3=F3,"Yes","No"))</f>
        <v>Yes</v>
      </c>
      <c r="H3" s="2" t="n">
        <f aca="false">IF(D3="",0,1/COUNTIF($D$2:$D$3451,D3))</f>
        <v>1</v>
      </c>
      <c r="I3" s="13" t="n">
        <f aca="false">IFERROR(INDEX('NCO-2015 scores'!$C$2:$C$131,MATCH(E3,'NCO-2015 scores'!$A$2:$A$131,0)),0)</f>
        <v>0.5667</v>
      </c>
      <c r="J3" s="13" t="n">
        <f aca="false">IF(ISNUMBER(MATCH(E3,'NCO-2015 scores'!$A$2:$A$131,0)),IF(ISNUMBER(INDEX('NCO-2015 scores'!$C$2:$C$131,MATCH(E3,'NCO-2015 scores'!$A$2:$A$131,0))),1,0),0)</f>
        <v>1</v>
      </c>
    </row>
    <row r="4" customFormat="false" ht="15" hidden="false" customHeight="false" outlineLevel="0" collapsed="false">
      <c r="A4" s="2" t="n">
        <v>3</v>
      </c>
      <c r="B4" s="2" t="s">
        <v>479</v>
      </c>
      <c r="C4" s="2" t="s">
        <v>480</v>
      </c>
      <c r="D4" s="2" t="s">
        <v>481</v>
      </c>
      <c r="E4" s="2" t="str">
        <f aca="false">LEFT(C4,3)</f>
        <v>241</v>
      </c>
      <c r="F4" s="2" t="str">
        <f aca="false">IF(D4="","",LEFT(D4,3))</f>
        <v>241</v>
      </c>
      <c r="G4" s="2" t="str">
        <f aca="false">IF(F4="","",IF(E4=F4,"Yes","No"))</f>
        <v>Yes</v>
      </c>
      <c r="H4" s="2" t="n">
        <f aca="false">IF(D4="",0,1/COUNTIF($D$2:$D$3451,D4))</f>
        <v>1</v>
      </c>
      <c r="I4" s="13" t="n">
        <f aca="false">IFERROR(INDEX('NCO-2015 scores'!$C$2:$C$131,MATCH(E4,'NCO-2015 scores'!$A$2:$A$131,0)),0)</f>
        <v>0.5667</v>
      </c>
      <c r="J4" s="13" t="n">
        <f aca="false">IF(ISNUMBER(MATCH(E4,'NCO-2015 scores'!$A$2:$A$131,0)),IF(ISNUMBER(INDEX('NCO-2015 scores'!$C$2:$C$131,MATCH(E4,'NCO-2015 scores'!$A$2:$A$131,0))),1,0),0)</f>
        <v>1</v>
      </c>
    </row>
    <row r="5" customFormat="false" ht="15" hidden="false" customHeight="false" outlineLevel="0" collapsed="false">
      <c r="A5" s="2" t="n">
        <v>4</v>
      </c>
      <c r="B5" s="2" t="s">
        <v>482</v>
      </c>
      <c r="C5" s="2" t="s">
        <v>483</v>
      </c>
      <c r="D5" s="2"/>
      <c r="E5" s="2" t="str">
        <f aca="false">LEFT(C5,3)</f>
        <v>241</v>
      </c>
      <c r="F5" s="2" t="str">
        <f aca="false">IF(D5="","",LEFT(D5,3))</f>
        <v/>
      </c>
      <c r="G5" s="2" t="str">
        <f aca="false">IF(F5="","",IF(E5=F5,"Yes","No"))</f>
        <v/>
      </c>
      <c r="H5" s="2" t="n">
        <f aca="false">IF(D5="",0,1/COUNTIF($D$2:$D$3451,D5))</f>
        <v>0</v>
      </c>
      <c r="I5" s="13" t="n">
        <f aca="false">IFERROR(INDEX('NCO-2015 scores'!$C$2:$C$131,MATCH(E5,'NCO-2015 scores'!$A$2:$A$131,0)),0)</f>
        <v>0.5667</v>
      </c>
      <c r="J5" s="13" t="n">
        <f aca="false">IF(ISNUMBER(MATCH(E5,'NCO-2015 scores'!$A$2:$A$131,0)),IF(ISNUMBER(INDEX('NCO-2015 scores'!$C$2:$C$131,MATCH(E5,'NCO-2015 scores'!$A$2:$A$131,0))),1,0),0)</f>
        <v>1</v>
      </c>
    </row>
    <row r="6" customFormat="false" ht="15" hidden="false" customHeight="false" outlineLevel="0" collapsed="false">
      <c r="A6" s="2" t="n">
        <v>5</v>
      </c>
      <c r="B6" s="2" t="s">
        <v>484</v>
      </c>
      <c r="C6" s="2" t="s">
        <v>485</v>
      </c>
      <c r="D6" s="2"/>
      <c r="E6" s="2" t="str">
        <f aca="false">LEFT(C6,3)</f>
        <v>241</v>
      </c>
      <c r="F6" s="2" t="str">
        <f aca="false">IF(D6="","",LEFT(D6,3))</f>
        <v/>
      </c>
      <c r="G6" s="2" t="str">
        <f aca="false">IF(F6="","",IF(E6=F6,"Yes","No"))</f>
        <v/>
      </c>
      <c r="H6" s="2" t="n">
        <f aca="false">IF(D6="",0,1/COUNTIF($D$2:$D$3451,D6))</f>
        <v>0</v>
      </c>
      <c r="I6" s="13" t="n">
        <f aca="false">IFERROR(INDEX('NCO-2015 scores'!$C$2:$C$131,MATCH(E6,'NCO-2015 scores'!$A$2:$A$131,0)),0)</f>
        <v>0.5667</v>
      </c>
      <c r="J6" s="13" t="n">
        <f aca="false">IF(ISNUMBER(MATCH(E6,'NCO-2015 scores'!$A$2:$A$131,0)),IF(ISNUMBER(INDEX('NCO-2015 scores'!$C$2:$C$131,MATCH(E6,'NCO-2015 scores'!$A$2:$A$131,0))),1,0),0)</f>
        <v>1</v>
      </c>
    </row>
    <row r="7" customFormat="false" ht="15" hidden="false" customHeight="false" outlineLevel="0" collapsed="false">
      <c r="A7" s="2" t="n">
        <v>6</v>
      </c>
      <c r="B7" s="2" t="s">
        <v>486</v>
      </c>
      <c r="C7" s="2" t="s">
        <v>487</v>
      </c>
      <c r="D7" s="2" t="s">
        <v>488</v>
      </c>
      <c r="E7" s="2" t="str">
        <f aca="false">LEFT(C7,3)</f>
        <v>431</v>
      </c>
      <c r="F7" s="2" t="str">
        <f aca="false">IF(D7="","",LEFT(D7,3))</f>
        <v>412</v>
      </c>
      <c r="G7" s="2" t="str">
        <f aca="false">IF(F7="","",IF(E7=F7,"Yes","No"))</f>
        <v>No</v>
      </c>
      <c r="H7" s="2" t="n">
        <f aca="false">IF(D7="",0,1/COUNTIF($D$2:$D$3451,D7))</f>
        <v>1</v>
      </c>
      <c r="I7" s="13" t="n">
        <f aca="false">IFERROR(INDEX('NCO-2015 scores'!$C$2:$C$131,MATCH(E7,'NCO-2015 scores'!$A$2:$A$131,0)),0)</f>
        <v>0.63</v>
      </c>
      <c r="J7" s="13" t="n">
        <f aca="false">IF(ISNUMBER(MATCH(E7,'NCO-2015 scores'!$A$2:$A$131,0)),IF(ISNUMBER(INDEX('NCO-2015 scores'!$C$2:$C$131,MATCH(E7,'NCO-2015 scores'!$A$2:$A$131,0))),1,0),0)</f>
        <v>1</v>
      </c>
    </row>
    <row r="8" customFormat="false" ht="15" hidden="false" customHeight="false" outlineLevel="0" collapsed="false">
      <c r="A8" s="2" t="n">
        <v>7</v>
      </c>
      <c r="B8" s="2" t="s">
        <v>489</v>
      </c>
      <c r="C8" s="2" t="s">
        <v>490</v>
      </c>
      <c r="D8" s="2" t="s">
        <v>491</v>
      </c>
      <c r="E8" s="2" t="str">
        <f aca="false">LEFT(C8,3)</f>
        <v>431</v>
      </c>
      <c r="F8" s="2" t="str">
        <f aca="false">IF(D8="","",LEFT(D8,3))</f>
        <v>412</v>
      </c>
      <c r="G8" s="2" t="str">
        <f aca="false">IF(F8="","",IF(E8=F8,"Yes","No"))</f>
        <v>No</v>
      </c>
      <c r="H8" s="2" t="n">
        <f aca="false">IF(D8="",0,1/COUNTIF($D$2:$D$3451,D8))</f>
        <v>1</v>
      </c>
      <c r="I8" s="13" t="n">
        <f aca="false">IFERROR(INDEX('NCO-2015 scores'!$C$2:$C$131,MATCH(E8,'NCO-2015 scores'!$A$2:$A$131,0)),0)</f>
        <v>0.63</v>
      </c>
      <c r="J8" s="13" t="n">
        <f aca="false">IF(ISNUMBER(MATCH(E8,'NCO-2015 scores'!$A$2:$A$131,0)),IF(ISNUMBER(INDEX('NCO-2015 scores'!$C$2:$C$131,MATCH(E8,'NCO-2015 scores'!$A$2:$A$131,0))),1,0),0)</f>
        <v>1</v>
      </c>
    </row>
    <row r="9" customFormat="false" ht="15" hidden="false" customHeight="false" outlineLevel="0" collapsed="false">
      <c r="A9" s="2" t="n">
        <v>8</v>
      </c>
      <c r="B9" s="2" t="s">
        <v>492</v>
      </c>
      <c r="C9" s="2" t="s">
        <v>493</v>
      </c>
      <c r="D9" s="2" t="s">
        <v>494</v>
      </c>
      <c r="E9" s="2" t="str">
        <f aca="false">LEFT(C9,3)</f>
        <v>431</v>
      </c>
      <c r="F9" s="2" t="str">
        <f aca="false">IF(D9="","",LEFT(D9,3))</f>
        <v>412</v>
      </c>
      <c r="G9" s="2" t="str">
        <f aca="false">IF(F9="","",IF(E9=F9,"Yes","No"))</f>
        <v>No</v>
      </c>
      <c r="H9" s="2" t="n">
        <f aca="false">IF(D9="",0,1/COUNTIF($D$2:$D$3451,D9))</f>
        <v>1</v>
      </c>
      <c r="I9" s="13" t="n">
        <f aca="false">IFERROR(INDEX('NCO-2015 scores'!$C$2:$C$131,MATCH(E9,'NCO-2015 scores'!$A$2:$A$131,0)),0)</f>
        <v>0.63</v>
      </c>
      <c r="J9" s="13" t="n">
        <f aca="false">IF(ISNUMBER(MATCH(E9,'NCO-2015 scores'!$A$2:$A$131,0)),IF(ISNUMBER(INDEX('NCO-2015 scores'!$C$2:$C$131,MATCH(E9,'NCO-2015 scores'!$A$2:$A$131,0))),1,0),0)</f>
        <v>1</v>
      </c>
    </row>
    <row r="10" customFormat="false" ht="15" hidden="false" customHeight="false" outlineLevel="0" collapsed="false">
      <c r="A10" s="2" t="n">
        <v>9</v>
      </c>
      <c r="B10" s="2" t="s">
        <v>495</v>
      </c>
      <c r="C10" s="2" t="s">
        <v>496</v>
      </c>
      <c r="D10" s="2"/>
      <c r="E10" s="2" t="str">
        <f aca="false">LEFT(C10,3)</f>
        <v>431</v>
      </c>
      <c r="F10" s="2" t="str">
        <f aca="false">IF(D10="","",LEFT(D10,3))</f>
        <v/>
      </c>
      <c r="G10" s="2" t="str">
        <f aca="false">IF(F10="","",IF(E10=F10,"Yes","No"))</f>
        <v/>
      </c>
      <c r="H10" s="2" t="n">
        <f aca="false">IF(D10="",0,1/COUNTIF($D$2:$D$3451,D10))</f>
        <v>0</v>
      </c>
      <c r="I10" s="13" t="n">
        <f aca="false">IFERROR(INDEX('NCO-2015 scores'!$C$2:$C$131,MATCH(E10,'NCO-2015 scores'!$A$2:$A$131,0)),0)</f>
        <v>0.63</v>
      </c>
      <c r="J10" s="13" t="n">
        <f aca="false">IF(ISNUMBER(MATCH(E10,'NCO-2015 scores'!$A$2:$A$131,0)),IF(ISNUMBER(INDEX('NCO-2015 scores'!$C$2:$C$131,MATCH(E10,'NCO-2015 scores'!$A$2:$A$131,0))),1,0),0)</f>
        <v>1</v>
      </c>
    </row>
    <row r="11" customFormat="false" ht="15" hidden="false" customHeight="false" outlineLevel="0" collapsed="false">
      <c r="A11" s="2" t="n">
        <v>10</v>
      </c>
      <c r="B11" s="2" t="s">
        <v>497</v>
      </c>
      <c r="C11" s="2" t="s">
        <v>498</v>
      </c>
      <c r="D11" s="2" t="s">
        <v>499</v>
      </c>
      <c r="E11" s="2" t="str">
        <f aca="false">LEFT(C11,3)</f>
        <v>431</v>
      </c>
      <c r="F11" s="2" t="str">
        <f aca="false">IF(D11="","",LEFT(D11,3))</f>
        <v>412</v>
      </c>
      <c r="G11" s="2" t="str">
        <f aca="false">IF(F11="","",IF(E11=F11,"Yes","No"))</f>
        <v>No</v>
      </c>
      <c r="H11" s="2" t="n">
        <f aca="false">IF(D11="",0,1/COUNTIF($D$2:$D$3451,D11))</f>
        <v>1</v>
      </c>
      <c r="I11" s="13" t="n">
        <f aca="false">IFERROR(INDEX('NCO-2015 scores'!$C$2:$C$131,MATCH(E11,'NCO-2015 scores'!$A$2:$A$131,0)),0)</f>
        <v>0.63</v>
      </c>
      <c r="J11" s="13" t="n">
        <f aca="false">IF(ISNUMBER(MATCH(E11,'NCO-2015 scores'!$A$2:$A$131,0)),IF(ISNUMBER(INDEX('NCO-2015 scores'!$C$2:$C$131,MATCH(E11,'NCO-2015 scores'!$A$2:$A$131,0))),1,0),0)</f>
        <v>1</v>
      </c>
    </row>
    <row r="12" customFormat="false" ht="15" hidden="false" customHeight="false" outlineLevel="0" collapsed="false">
      <c r="A12" s="2" t="n">
        <v>11</v>
      </c>
      <c r="B12" s="2" t="s">
        <v>500</v>
      </c>
      <c r="C12" s="2" t="s">
        <v>501</v>
      </c>
      <c r="D12" s="2" t="s">
        <v>502</v>
      </c>
      <c r="E12" s="2" t="str">
        <f aca="false">LEFT(C12,3)</f>
        <v>431</v>
      </c>
      <c r="F12" s="2" t="str">
        <f aca="false">IF(D12="","",LEFT(D12,3))</f>
        <v>412</v>
      </c>
      <c r="G12" s="2" t="str">
        <f aca="false">IF(F12="","",IF(E12=F12,"Yes","No"))</f>
        <v>No</v>
      </c>
      <c r="H12" s="2" t="n">
        <f aca="false">IF(D12="",0,1/COUNTIF($D$2:$D$3451,D12))</f>
        <v>1</v>
      </c>
      <c r="I12" s="13" t="n">
        <f aca="false">IFERROR(INDEX('NCO-2015 scores'!$C$2:$C$131,MATCH(E12,'NCO-2015 scores'!$A$2:$A$131,0)),0)</f>
        <v>0.63</v>
      </c>
      <c r="J12" s="13" t="n">
        <f aca="false">IF(ISNUMBER(MATCH(E12,'NCO-2015 scores'!$A$2:$A$131,0)),IF(ISNUMBER(INDEX('NCO-2015 scores'!$C$2:$C$131,MATCH(E12,'NCO-2015 scores'!$A$2:$A$131,0))),1,0),0)</f>
        <v>1</v>
      </c>
    </row>
    <row r="13" customFormat="false" ht="15" hidden="false" customHeight="false" outlineLevel="0" collapsed="false">
      <c r="A13" s="2" t="n">
        <v>12</v>
      </c>
      <c r="B13" s="2" t="s">
        <v>503</v>
      </c>
      <c r="C13" s="2" t="s">
        <v>504</v>
      </c>
      <c r="D13" s="2" t="s">
        <v>505</v>
      </c>
      <c r="E13" s="2" t="str">
        <f aca="false">LEFT(C13,3)</f>
        <v>431</v>
      </c>
      <c r="F13" s="2" t="str">
        <f aca="false">IF(D13="","",LEFT(D13,3))</f>
        <v>412</v>
      </c>
      <c r="G13" s="2" t="str">
        <f aca="false">IF(F13="","",IF(E13=F13,"Yes","No"))</f>
        <v>No</v>
      </c>
      <c r="H13" s="2" t="n">
        <f aca="false">IF(D13="",0,1/COUNTIF($D$2:$D$3451,D13))</f>
        <v>1</v>
      </c>
      <c r="I13" s="13" t="n">
        <f aca="false">IFERROR(INDEX('NCO-2015 scores'!$C$2:$C$131,MATCH(E13,'NCO-2015 scores'!$A$2:$A$131,0)),0)</f>
        <v>0.63</v>
      </c>
      <c r="J13" s="13" t="n">
        <f aca="false">IF(ISNUMBER(MATCH(E13,'NCO-2015 scores'!$A$2:$A$131,0)),IF(ISNUMBER(INDEX('NCO-2015 scores'!$C$2:$C$131,MATCH(E13,'NCO-2015 scores'!$A$2:$A$131,0))),1,0),0)</f>
        <v>1</v>
      </c>
    </row>
    <row r="14" customFormat="false" ht="15" hidden="false" customHeight="false" outlineLevel="0" collapsed="false">
      <c r="A14" s="2" t="n">
        <v>13</v>
      </c>
      <c r="B14" s="2" t="s">
        <v>506</v>
      </c>
      <c r="C14" s="2" t="s">
        <v>507</v>
      </c>
      <c r="D14" s="2"/>
      <c r="E14" s="2" t="str">
        <f aca="false">LEFT(C14,3)</f>
        <v>431</v>
      </c>
      <c r="F14" s="2" t="str">
        <f aca="false">IF(D14="","",LEFT(D14,3))</f>
        <v/>
      </c>
      <c r="G14" s="2" t="str">
        <f aca="false">IF(F14="","",IF(E14=F14,"Yes","No"))</f>
        <v/>
      </c>
      <c r="H14" s="2" t="n">
        <f aca="false">IF(D14="",0,1/COUNTIF($D$2:$D$3451,D14))</f>
        <v>0</v>
      </c>
      <c r="I14" s="13" t="n">
        <f aca="false">IFERROR(INDEX('NCO-2015 scores'!$C$2:$C$131,MATCH(E14,'NCO-2015 scores'!$A$2:$A$131,0)),0)</f>
        <v>0.63</v>
      </c>
      <c r="J14" s="13" t="n">
        <f aca="false">IF(ISNUMBER(MATCH(E14,'NCO-2015 scores'!$A$2:$A$131,0)),IF(ISNUMBER(INDEX('NCO-2015 scores'!$C$2:$C$131,MATCH(E14,'NCO-2015 scores'!$A$2:$A$131,0))),1,0),0)</f>
        <v>1</v>
      </c>
    </row>
    <row r="15" customFormat="false" ht="15" hidden="false" customHeight="false" outlineLevel="0" collapsed="false">
      <c r="A15" s="2" t="n">
        <v>14</v>
      </c>
      <c r="B15" s="2" t="s">
        <v>508</v>
      </c>
      <c r="C15" s="2" t="s">
        <v>509</v>
      </c>
      <c r="D15" s="2" t="s">
        <v>510</v>
      </c>
      <c r="E15" s="2" t="str">
        <f aca="false">LEFT(C15,3)</f>
        <v>431</v>
      </c>
      <c r="F15" s="2" t="str">
        <f aca="false">IF(D15="","",LEFT(D15,3))</f>
        <v>412</v>
      </c>
      <c r="G15" s="2" t="str">
        <f aca="false">IF(F15="","",IF(E15=F15,"Yes","No"))</f>
        <v>No</v>
      </c>
      <c r="H15" s="2" t="n">
        <f aca="false">IF(D15="",0,1/COUNTIF($D$2:$D$3451,D15))</f>
        <v>1</v>
      </c>
      <c r="I15" s="13" t="n">
        <f aca="false">IFERROR(INDEX('NCO-2015 scores'!$C$2:$C$131,MATCH(E15,'NCO-2015 scores'!$A$2:$A$131,0)),0)</f>
        <v>0.63</v>
      </c>
      <c r="J15" s="13" t="n">
        <f aca="false">IF(ISNUMBER(MATCH(E15,'NCO-2015 scores'!$A$2:$A$131,0)),IF(ISNUMBER(INDEX('NCO-2015 scores'!$C$2:$C$131,MATCH(E15,'NCO-2015 scores'!$A$2:$A$131,0))),1,0),0)</f>
        <v>1</v>
      </c>
    </row>
    <row r="16" customFormat="false" ht="15" hidden="false" customHeight="false" outlineLevel="0" collapsed="false">
      <c r="A16" s="2" t="n">
        <v>15</v>
      </c>
      <c r="B16" s="2" t="s">
        <v>511</v>
      </c>
      <c r="C16" s="2" t="s">
        <v>512</v>
      </c>
      <c r="D16" s="2" t="s">
        <v>513</v>
      </c>
      <c r="E16" s="2" t="str">
        <f aca="false">LEFT(C16,3)</f>
        <v>265</v>
      </c>
      <c r="F16" s="2" t="str">
        <f aca="false">IF(D16="","",LEFT(D16,3))</f>
        <v>245</v>
      </c>
      <c r="G16" s="2" t="str">
        <f aca="false">IF(F16="","",IF(E16=F16,"Yes","No"))</f>
        <v>No</v>
      </c>
      <c r="H16" s="2" t="n">
        <f aca="false">IF(D16="",0,1/COUNTIF($D$2:$D$3451,D16))</f>
        <v>1</v>
      </c>
      <c r="I16" s="13" t="n">
        <f aca="false">IFERROR(INDEX('NCO-2015 scores'!$C$2:$C$131,MATCH(E16,'NCO-2015 scores'!$A$2:$A$131,0)),0)</f>
        <v>0.28</v>
      </c>
      <c r="J16" s="13" t="n">
        <f aca="false">IF(ISNUMBER(MATCH(E16,'NCO-2015 scores'!$A$2:$A$131,0)),IF(ISNUMBER(INDEX('NCO-2015 scores'!$C$2:$C$131,MATCH(E16,'NCO-2015 scores'!$A$2:$A$131,0))),1,0),0)</f>
        <v>1</v>
      </c>
    </row>
    <row r="17" customFormat="false" ht="15" hidden="false" customHeight="false" outlineLevel="0" collapsed="false">
      <c r="A17" s="2" t="n">
        <v>16</v>
      </c>
      <c r="B17" s="2" t="s">
        <v>514</v>
      </c>
      <c r="C17" s="2" t="s">
        <v>515</v>
      </c>
      <c r="D17" s="2" t="s">
        <v>516</v>
      </c>
      <c r="E17" s="2" t="str">
        <f aca="false">LEFT(C17,3)</f>
        <v>265</v>
      </c>
      <c r="F17" s="2" t="str">
        <f aca="false">IF(D17="","",LEFT(D17,3))</f>
        <v>245</v>
      </c>
      <c r="G17" s="2" t="str">
        <f aca="false">IF(F17="","",IF(E17=F17,"Yes","No"))</f>
        <v>No</v>
      </c>
      <c r="H17" s="2" t="n">
        <f aca="false">IF(D17="",0,1/COUNTIF($D$2:$D$3451,D17))</f>
        <v>1</v>
      </c>
      <c r="I17" s="13" t="n">
        <f aca="false">IFERROR(INDEX('NCO-2015 scores'!$C$2:$C$131,MATCH(E17,'NCO-2015 scores'!$A$2:$A$131,0)),0)</f>
        <v>0.28</v>
      </c>
      <c r="J17" s="13" t="n">
        <f aca="false">IF(ISNUMBER(MATCH(E17,'NCO-2015 scores'!$A$2:$A$131,0)),IF(ISNUMBER(INDEX('NCO-2015 scores'!$C$2:$C$131,MATCH(E17,'NCO-2015 scores'!$A$2:$A$131,0))),1,0),0)</f>
        <v>1</v>
      </c>
    </row>
    <row r="18" customFormat="false" ht="15" hidden="false" customHeight="false" outlineLevel="0" collapsed="false">
      <c r="A18" s="2" t="n">
        <v>17</v>
      </c>
      <c r="B18" s="2" t="s">
        <v>517</v>
      </c>
      <c r="C18" s="2" t="s">
        <v>518</v>
      </c>
      <c r="D18" s="2"/>
      <c r="E18" s="2" t="str">
        <f aca="false">LEFT(C18,3)</f>
        <v>265</v>
      </c>
      <c r="F18" s="2" t="str">
        <f aca="false">IF(D18="","",LEFT(D18,3))</f>
        <v/>
      </c>
      <c r="G18" s="2" t="str">
        <f aca="false">IF(F18="","",IF(E18=F18,"Yes","No"))</f>
        <v/>
      </c>
      <c r="H18" s="2" t="n">
        <f aca="false">IF(D18="",0,1/COUNTIF($D$2:$D$3451,D18))</f>
        <v>0</v>
      </c>
      <c r="I18" s="13" t="n">
        <f aca="false">IFERROR(INDEX('NCO-2015 scores'!$C$2:$C$131,MATCH(E18,'NCO-2015 scores'!$A$2:$A$131,0)),0)</f>
        <v>0.28</v>
      </c>
      <c r="J18" s="13" t="n">
        <f aca="false">IF(ISNUMBER(MATCH(E18,'NCO-2015 scores'!$A$2:$A$131,0)),IF(ISNUMBER(INDEX('NCO-2015 scores'!$C$2:$C$131,MATCH(E18,'NCO-2015 scores'!$A$2:$A$131,0))),1,0),0)</f>
        <v>1</v>
      </c>
    </row>
    <row r="19" customFormat="false" ht="15" hidden="false" customHeight="false" outlineLevel="0" collapsed="false">
      <c r="A19" s="2" t="n">
        <v>18</v>
      </c>
      <c r="B19" s="2" t="s">
        <v>519</v>
      </c>
      <c r="C19" s="2" t="s">
        <v>520</v>
      </c>
      <c r="D19" s="2" t="s">
        <v>521</v>
      </c>
      <c r="E19" s="2" t="str">
        <f aca="false">LEFT(C19,3)</f>
        <v>243</v>
      </c>
      <c r="F19" s="2" t="str">
        <f aca="false">IF(D19="","",LEFT(D19,3))</f>
        <v>245</v>
      </c>
      <c r="G19" s="2" t="str">
        <f aca="false">IF(F19="","",IF(E19=F19,"Yes","No"))</f>
        <v>No</v>
      </c>
      <c r="H19" s="2" t="n">
        <f aca="false">IF(D19="",0,1/COUNTIF($D$2:$D$3451,D19))</f>
        <v>1</v>
      </c>
      <c r="I19" s="13" t="n">
        <f aca="false">IFERROR(INDEX('NCO-2015 scores'!$C$2:$C$131,MATCH(E19,'NCO-2015 scores'!$A$2:$A$131,0)),0)</f>
        <v>0.4975</v>
      </c>
      <c r="J19" s="13" t="n">
        <f aca="false">IF(ISNUMBER(MATCH(E19,'NCO-2015 scores'!$A$2:$A$131,0)),IF(ISNUMBER(INDEX('NCO-2015 scores'!$C$2:$C$131,MATCH(E19,'NCO-2015 scores'!$A$2:$A$131,0))),1,0),0)</f>
        <v>1</v>
      </c>
    </row>
    <row r="20" customFormat="false" ht="15" hidden="false" customHeight="false" outlineLevel="0" collapsed="false">
      <c r="A20" s="2" t="n">
        <v>19</v>
      </c>
      <c r="B20" s="2" t="s">
        <v>522</v>
      </c>
      <c r="C20" s="2" t="s">
        <v>523</v>
      </c>
      <c r="D20" s="2" t="s">
        <v>524</v>
      </c>
      <c r="E20" s="2" t="str">
        <f aca="false">LEFT(C20,3)</f>
        <v>243</v>
      </c>
      <c r="F20" s="2" t="str">
        <f aca="false">IF(D20="","",LEFT(D20,3))</f>
        <v>245</v>
      </c>
      <c r="G20" s="2" t="str">
        <f aca="false">IF(F20="","",IF(E20=F20,"Yes","No"))</f>
        <v>No</v>
      </c>
      <c r="H20" s="2" t="n">
        <f aca="false">IF(D20="",0,1/COUNTIF($D$2:$D$3451,D20))</f>
        <v>1</v>
      </c>
      <c r="I20" s="13" t="n">
        <f aca="false">IFERROR(INDEX('NCO-2015 scores'!$C$2:$C$131,MATCH(E20,'NCO-2015 scores'!$A$2:$A$131,0)),0)</f>
        <v>0.4975</v>
      </c>
      <c r="J20" s="13" t="n">
        <f aca="false">IF(ISNUMBER(MATCH(E20,'NCO-2015 scores'!$A$2:$A$131,0)),IF(ISNUMBER(INDEX('NCO-2015 scores'!$C$2:$C$131,MATCH(E20,'NCO-2015 scores'!$A$2:$A$131,0))),1,0),0)</f>
        <v>1</v>
      </c>
    </row>
    <row r="21" customFormat="false" ht="15" hidden="false" customHeight="false" outlineLevel="0" collapsed="false">
      <c r="A21" s="2" t="n">
        <v>20</v>
      </c>
      <c r="B21" s="2" t="s">
        <v>525</v>
      </c>
      <c r="C21" s="2" t="s">
        <v>526</v>
      </c>
      <c r="D21" s="2" t="s">
        <v>527</v>
      </c>
      <c r="E21" s="2" t="str">
        <f aca="false">LEFT(C21,3)</f>
        <v>243</v>
      </c>
      <c r="F21" s="2" t="str">
        <f aca="false">IF(D21="","",LEFT(D21,3))</f>
        <v>241</v>
      </c>
      <c r="G21" s="2" t="str">
        <f aca="false">IF(F21="","",IF(E21=F21,"Yes","No"))</f>
        <v>No</v>
      </c>
      <c r="H21" s="2" t="n">
        <f aca="false">IF(D21="",0,1/COUNTIF($D$2:$D$3451,D21))</f>
        <v>1</v>
      </c>
      <c r="I21" s="13" t="n">
        <f aca="false">IFERROR(INDEX('NCO-2015 scores'!$C$2:$C$131,MATCH(E21,'NCO-2015 scores'!$A$2:$A$131,0)),0)</f>
        <v>0.4975</v>
      </c>
      <c r="J21" s="13" t="n">
        <f aca="false">IF(ISNUMBER(MATCH(E21,'NCO-2015 scores'!$A$2:$A$131,0)),IF(ISNUMBER(INDEX('NCO-2015 scores'!$C$2:$C$131,MATCH(E21,'NCO-2015 scores'!$A$2:$A$131,0))),1,0),0)</f>
        <v>1</v>
      </c>
    </row>
    <row r="22" customFormat="false" ht="15" hidden="false" customHeight="false" outlineLevel="0" collapsed="false">
      <c r="A22" s="2" t="n">
        <v>21</v>
      </c>
      <c r="B22" s="2" t="s">
        <v>528</v>
      </c>
      <c r="C22" s="2" t="s">
        <v>529</v>
      </c>
      <c r="D22" s="2"/>
      <c r="E22" s="2" t="str">
        <f aca="false">LEFT(C22,3)</f>
        <v>243</v>
      </c>
      <c r="F22" s="2" t="str">
        <f aca="false">IF(D22="","",LEFT(D22,3))</f>
        <v/>
      </c>
      <c r="G22" s="2" t="str">
        <f aca="false">IF(F22="","",IF(E22=F22,"Yes","No"))</f>
        <v/>
      </c>
      <c r="H22" s="2" t="n">
        <f aca="false">IF(D22="",0,1/COUNTIF($D$2:$D$3451,D22))</f>
        <v>0</v>
      </c>
      <c r="I22" s="13" t="n">
        <f aca="false">IFERROR(INDEX('NCO-2015 scores'!$C$2:$C$131,MATCH(E22,'NCO-2015 scores'!$A$2:$A$131,0)),0)</f>
        <v>0.4975</v>
      </c>
      <c r="J22" s="13" t="n">
        <f aca="false">IF(ISNUMBER(MATCH(E22,'NCO-2015 scores'!$A$2:$A$131,0)),IF(ISNUMBER(INDEX('NCO-2015 scores'!$C$2:$C$131,MATCH(E22,'NCO-2015 scores'!$A$2:$A$131,0))),1,0),0)</f>
        <v>1</v>
      </c>
    </row>
    <row r="23" customFormat="false" ht="15" hidden="false" customHeight="false" outlineLevel="0" collapsed="false">
      <c r="A23" s="2" t="n">
        <v>22</v>
      </c>
      <c r="B23" s="2" t="s">
        <v>530</v>
      </c>
      <c r="C23" s="2" t="s">
        <v>531</v>
      </c>
      <c r="D23" s="2"/>
      <c r="E23" s="2" t="str">
        <f aca="false">LEFT(C23,3)</f>
        <v>243</v>
      </c>
      <c r="F23" s="2" t="str">
        <f aca="false">IF(D23="","",LEFT(D23,3))</f>
        <v/>
      </c>
      <c r="G23" s="2" t="str">
        <f aca="false">IF(F23="","",IF(E23=F23,"Yes","No"))</f>
        <v/>
      </c>
      <c r="H23" s="2" t="n">
        <f aca="false">IF(D23="",0,1/COUNTIF($D$2:$D$3451,D23))</f>
        <v>0</v>
      </c>
      <c r="I23" s="13" t="n">
        <f aca="false">IFERROR(INDEX('NCO-2015 scores'!$C$2:$C$131,MATCH(E23,'NCO-2015 scores'!$A$2:$A$131,0)),0)</f>
        <v>0.4975</v>
      </c>
      <c r="J23" s="13" t="n">
        <f aca="false">IF(ISNUMBER(MATCH(E23,'NCO-2015 scores'!$A$2:$A$131,0)),IF(ISNUMBER(INDEX('NCO-2015 scores'!$C$2:$C$131,MATCH(E23,'NCO-2015 scores'!$A$2:$A$131,0))),1,0),0)</f>
        <v>1</v>
      </c>
    </row>
    <row r="24" customFormat="false" ht="15" hidden="false" customHeight="false" outlineLevel="0" collapsed="false">
      <c r="A24" s="2" t="n">
        <v>23</v>
      </c>
      <c r="B24" s="2" t="s">
        <v>532</v>
      </c>
      <c r="C24" s="2" t="s">
        <v>533</v>
      </c>
      <c r="D24" s="2"/>
      <c r="E24" s="2" t="str">
        <f aca="false">LEFT(C24,3)</f>
        <v>243</v>
      </c>
      <c r="F24" s="2" t="str">
        <f aca="false">IF(D24="","",LEFT(D24,3))</f>
        <v/>
      </c>
      <c r="G24" s="2" t="str">
        <f aca="false">IF(F24="","",IF(E24=F24,"Yes","No"))</f>
        <v/>
      </c>
      <c r="H24" s="2" t="n">
        <f aca="false">IF(D24="",0,1/COUNTIF($D$2:$D$3451,D24))</f>
        <v>0</v>
      </c>
      <c r="I24" s="13" t="n">
        <f aca="false">IFERROR(INDEX('NCO-2015 scores'!$C$2:$C$131,MATCH(E24,'NCO-2015 scores'!$A$2:$A$131,0)),0)</f>
        <v>0.4975</v>
      </c>
      <c r="J24" s="13" t="n">
        <f aca="false">IF(ISNUMBER(MATCH(E24,'NCO-2015 scores'!$A$2:$A$131,0)),IF(ISNUMBER(INDEX('NCO-2015 scores'!$C$2:$C$131,MATCH(E24,'NCO-2015 scores'!$A$2:$A$131,0))),1,0),0)</f>
        <v>1</v>
      </c>
    </row>
    <row r="25" customFormat="false" ht="15" hidden="false" customHeight="false" outlineLevel="0" collapsed="false">
      <c r="A25" s="2" t="n">
        <v>24</v>
      </c>
      <c r="B25" s="2" t="s">
        <v>534</v>
      </c>
      <c r="C25" s="2" t="s">
        <v>535</v>
      </c>
      <c r="D25" s="2"/>
      <c r="E25" s="2" t="str">
        <f aca="false">LEFT(C25,3)</f>
        <v>243</v>
      </c>
      <c r="F25" s="2" t="str">
        <f aca="false">IF(D25="","",LEFT(D25,3))</f>
        <v/>
      </c>
      <c r="G25" s="2" t="str">
        <f aca="false">IF(F25="","",IF(E25=F25,"Yes","No"))</f>
        <v/>
      </c>
      <c r="H25" s="2" t="n">
        <f aca="false">IF(D25="",0,1/COUNTIF($D$2:$D$3451,D25))</f>
        <v>0</v>
      </c>
      <c r="I25" s="13" t="n">
        <f aca="false">IFERROR(INDEX('NCO-2015 scores'!$C$2:$C$131,MATCH(E25,'NCO-2015 scores'!$A$2:$A$131,0)),0)</f>
        <v>0.4975</v>
      </c>
      <c r="J25" s="13" t="n">
        <f aca="false">IF(ISNUMBER(MATCH(E25,'NCO-2015 scores'!$A$2:$A$131,0)),IF(ISNUMBER(INDEX('NCO-2015 scores'!$C$2:$C$131,MATCH(E25,'NCO-2015 scores'!$A$2:$A$131,0))),1,0),0)</f>
        <v>1</v>
      </c>
    </row>
    <row r="26" customFormat="false" ht="15" hidden="false" customHeight="false" outlineLevel="0" collapsed="false">
      <c r="A26" s="2" t="n">
        <v>25</v>
      </c>
      <c r="B26" s="2" t="s">
        <v>536</v>
      </c>
      <c r="C26" s="2" t="s">
        <v>537</v>
      </c>
      <c r="D26" s="2"/>
      <c r="E26" s="2" t="str">
        <f aca="false">LEFT(C26,3)</f>
        <v>243</v>
      </c>
      <c r="F26" s="2" t="str">
        <f aca="false">IF(D26="","",LEFT(D26,3))</f>
        <v/>
      </c>
      <c r="G26" s="2" t="str">
        <f aca="false">IF(F26="","",IF(E26=F26,"Yes","No"))</f>
        <v/>
      </c>
      <c r="H26" s="2" t="n">
        <f aca="false">IF(D26="",0,1/COUNTIF($D$2:$D$3451,D26))</f>
        <v>0</v>
      </c>
      <c r="I26" s="13" t="n">
        <f aca="false">IFERROR(INDEX('NCO-2015 scores'!$C$2:$C$131,MATCH(E26,'NCO-2015 scores'!$A$2:$A$131,0)),0)</f>
        <v>0.4975</v>
      </c>
      <c r="J26" s="13" t="n">
        <f aca="false">IF(ISNUMBER(MATCH(E26,'NCO-2015 scores'!$A$2:$A$131,0)),IF(ISNUMBER(INDEX('NCO-2015 scores'!$C$2:$C$131,MATCH(E26,'NCO-2015 scores'!$A$2:$A$131,0))),1,0),0)</f>
        <v>1</v>
      </c>
    </row>
    <row r="27" customFormat="false" ht="15" hidden="false" customHeight="false" outlineLevel="0" collapsed="false">
      <c r="A27" s="2" t="n">
        <v>26</v>
      </c>
      <c r="B27" s="2" t="s">
        <v>538</v>
      </c>
      <c r="C27" s="2" t="s">
        <v>539</v>
      </c>
      <c r="D27" s="2"/>
      <c r="E27" s="2" t="str">
        <f aca="false">LEFT(C27,3)</f>
        <v>243</v>
      </c>
      <c r="F27" s="2" t="str">
        <f aca="false">IF(D27="","",LEFT(D27,3))</f>
        <v/>
      </c>
      <c r="G27" s="2" t="str">
        <f aca="false">IF(F27="","",IF(E27=F27,"Yes","No"))</f>
        <v/>
      </c>
      <c r="H27" s="2" t="n">
        <f aca="false">IF(D27="",0,1/COUNTIF($D$2:$D$3451,D27))</f>
        <v>0</v>
      </c>
      <c r="I27" s="13" t="n">
        <f aca="false">IFERROR(INDEX('NCO-2015 scores'!$C$2:$C$131,MATCH(E27,'NCO-2015 scores'!$A$2:$A$131,0)),0)</f>
        <v>0.4975</v>
      </c>
      <c r="J27" s="13" t="n">
        <f aca="false">IF(ISNUMBER(MATCH(E27,'NCO-2015 scores'!$A$2:$A$131,0)),IF(ISNUMBER(INDEX('NCO-2015 scores'!$C$2:$C$131,MATCH(E27,'NCO-2015 scores'!$A$2:$A$131,0))),1,0),0)</f>
        <v>1</v>
      </c>
    </row>
    <row r="28" customFormat="false" ht="15" hidden="false" customHeight="false" outlineLevel="0" collapsed="false">
      <c r="A28" s="2" t="n">
        <v>27</v>
      </c>
      <c r="B28" s="2" t="s">
        <v>540</v>
      </c>
      <c r="C28" s="2" t="s">
        <v>541</v>
      </c>
      <c r="D28" s="2" t="s">
        <v>542</v>
      </c>
      <c r="E28" s="2" t="str">
        <f aca="false">LEFT(C28,3)</f>
        <v>243</v>
      </c>
      <c r="F28" s="2" t="str">
        <f aca="false">IF(D28="","",LEFT(D28,3))</f>
        <v>245</v>
      </c>
      <c r="G28" s="2" t="str">
        <f aca="false">IF(F28="","",IF(E28=F28,"Yes","No"))</f>
        <v>No</v>
      </c>
      <c r="H28" s="2" t="n">
        <f aca="false">IF(D28="",0,1/COUNTIF($D$2:$D$3451,D28))</f>
        <v>1</v>
      </c>
      <c r="I28" s="13" t="n">
        <f aca="false">IFERROR(INDEX('NCO-2015 scores'!$C$2:$C$131,MATCH(E28,'NCO-2015 scores'!$A$2:$A$131,0)),0)</f>
        <v>0.4975</v>
      </c>
      <c r="J28" s="13" t="n">
        <f aca="false">IF(ISNUMBER(MATCH(E28,'NCO-2015 scores'!$A$2:$A$131,0)),IF(ISNUMBER(INDEX('NCO-2015 scores'!$C$2:$C$131,MATCH(E28,'NCO-2015 scores'!$A$2:$A$131,0))),1,0),0)</f>
        <v>1</v>
      </c>
    </row>
    <row r="29" customFormat="false" ht="15" hidden="false" customHeight="false" outlineLevel="0" collapsed="false">
      <c r="A29" s="2" t="n">
        <v>28</v>
      </c>
      <c r="B29" s="2" t="s">
        <v>543</v>
      </c>
      <c r="C29" s="2" t="s">
        <v>544</v>
      </c>
      <c r="D29" s="2" t="s">
        <v>545</v>
      </c>
      <c r="E29" s="2" t="str">
        <f aca="false">LEFT(C29,3)</f>
        <v>243</v>
      </c>
      <c r="F29" s="2" t="str">
        <f aca="false">IF(D29="","",LEFT(D29,3))</f>
        <v>341</v>
      </c>
      <c r="G29" s="2" t="str">
        <f aca="false">IF(F29="","",IF(E29=F29,"Yes","No"))</f>
        <v>No</v>
      </c>
      <c r="H29" s="2" t="n">
        <f aca="false">IF(D29="",0,1/COUNTIF($D$2:$D$3451,D29))</f>
        <v>1</v>
      </c>
      <c r="I29" s="13" t="n">
        <f aca="false">IFERROR(INDEX('NCO-2015 scores'!$C$2:$C$131,MATCH(E29,'NCO-2015 scores'!$A$2:$A$131,0)),0)</f>
        <v>0.4975</v>
      </c>
      <c r="J29" s="13" t="n">
        <f aca="false">IF(ISNUMBER(MATCH(E29,'NCO-2015 scores'!$A$2:$A$131,0)),IF(ISNUMBER(INDEX('NCO-2015 scores'!$C$2:$C$131,MATCH(E29,'NCO-2015 scores'!$A$2:$A$131,0))),1,0),0)</f>
        <v>1</v>
      </c>
    </row>
    <row r="30" customFormat="false" ht="15" hidden="false" customHeight="false" outlineLevel="0" collapsed="false">
      <c r="A30" s="2" t="n">
        <v>29</v>
      </c>
      <c r="B30" s="2" t="s">
        <v>546</v>
      </c>
      <c r="C30" s="2" t="s">
        <v>547</v>
      </c>
      <c r="D30" s="2"/>
      <c r="E30" s="2" t="str">
        <f aca="false">LEFT(C30,3)</f>
        <v>243</v>
      </c>
      <c r="F30" s="2" t="str">
        <f aca="false">IF(D30="","",LEFT(D30,3))</f>
        <v/>
      </c>
      <c r="G30" s="2" t="str">
        <f aca="false">IF(F30="","",IF(E30=F30,"Yes","No"))</f>
        <v/>
      </c>
      <c r="H30" s="2" t="n">
        <f aca="false">IF(D30="",0,1/COUNTIF($D$2:$D$3451,D30))</f>
        <v>0</v>
      </c>
      <c r="I30" s="13" t="n">
        <f aca="false">IFERROR(INDEX('NCO-2015 scores'!$C$2:$C$131,MATCH(E30,'NCO-2015 scores'!$A$2:$A$131,0)),0)</f>
        <v>0.4975</v>
      </c>
      <c r="J30" s="13" t="n">
        <f aca="false">IF(ISNUMBER(MATCH(E30,'NCO-2015 scores'!$A$2:$A$131,0)),IF(ISNUMBER(INDEX('NCO-2015 scores'!$C$2:$C$131,MATCH(E30,'NCO-2015 scores'!$A$2:$A$131,0))),1,0),0)</f>
        <v>1</v>
      </c>
    </row>
    <row r="31" customFormat="false" ht="15" hidden="false" customHeight="false" outlineLevel="0" collapsed="false">
      <c r="A31" s="2" t="n">
        <v>30</v>
      </c>
      <c r="B31" s="2" t="s">
        <v>548</v>
      </c>
      <c r="C31" s="2" t="s">
        <v>549</v>
      </c>
      <c r="D31" s="2"/>
      <c r="E31" s="2" t="str">
        <f aca="false">LEFT(C31,3)</f>
        <v>243</v>
      </c>
      <c r="F31" s="2" t="str">
        <f aca="false">IF(D31="","",LEFT(D31,3))</f>
        <v/>
      </c>
      <c r="G31" s="2" t="str">
        <f aca="false">IF(F31="","",IF(E31=F31,"Yes","No"))</f>
        <v/>
      </c>
      <c r="H31" s="2" t="n">
        <f aca="false">IF(D31="",0,1/COUNTIF($D$2:$D$3451,D31))</f>
        <v>0</v>
      </c>
      <c r="I31" s="13" t="n">
        <f aca="false">IFERROR(INDEX('NCO-2015 scores'!$C$2:$C$131,MATCH(E31,'NCO-2015 scores'!$A$2:$A$131,0)),0)</f>
        <v>0.4975</v>
      </c>
      <c r="J31" s="13" t="n">
        <f aca="false">IF(ISNUMBER(MATCH(E31,'NCO-2015 scores'!$A$2:$A$131,0)),IF(ISNUMBER(INDEX('NCO-2015 scores'!$C$2:$C$131,MATCH(E31,'NCO-2015 scores'!$A$2:$A$131,0))),1,0),0)</f>
        <v>1</v>
      </c>
    </row>
    <row r="32" customFormat="false" ht="15" hidden="false" customHeight="false" outlineLevel="0" collapsed="false">
      <c r="A32" s="2" t="n">
        <v>31</v>
      </c>
      <c r="B32" s="2" t="s">
        <v>550</v>
      </c>
      <c r="C32" s="2" t="s">
        <v>551</v>
      </c>
      <c r="D32" s="2"/>
      <c r="E32" s="2" t="str">
        <f aca="false">LEFT(C32,3)</f>
        <v>243</v>
      </c>
      <c r="F32" s="2" t="str">
        <f aca="false">IF(D32="","",LEFT(D32,3))</f>
        <v/>
      </c>
      <c r="G32" s="2" t="str">
        <f aca="false">IF(F32="","",IF(E32=F32,"Yes","No"))</f>
        <v/>
      </c>
      <c r="H32" s="2" t="n">
        <f aca="false">IF(D32="",0,1/COUNTIF($D$2:$D$3451,D32))</f>
        <v>0</v>
      </c>
      <c r="I32" s="13" t="n">
        <f aca="false">IFERROR(INDEX('NCO-2015 scores'!$C$2:$C$131,MATCH(E32,'NCO-2015 scores'!$A$2:$A$131,0)),0)</f>
        <v>0.4975</v>
      </c>
      <c r="J32" s="13" t="n">
        <f aca="false">IF(ISNUMBER(MATCH(E32,'NCO-2015 scores'!$A$2:$A$131,0)),IF(ISNUMBER(INDEX('NCO-2015 scores'!$C$2:$C$131,MATCH(E32,'NCO-2015 scores'!$A$2:$A$131,0))),1,0),0)</f>
        <v>1</v>
      </c>
    </row>
    <row r="33" customFormat="false" ht="15" hidden="false" customHeight="false" outlineLevel="0" collapsed="false">
      <c r="A33" s="2" t="n">
        <v>32</v>
      </c>
      <c r="B33" s="2" t="s">
        <v>552</v>
      </c>
      <c r="C33" s="2" t="s">
        <v>553</v>
      </c>
      <c r="D33" s="2"/>
      <c r="E33" s="2" t="str">
        <f aca="false">LEFT(C33,3)</f>
        <v>243</v>
      </c>
      <c r="F33" s="2" t="str">
        <f aca="false">IF(D33="","",LEFT(D33,3))</f>
        <v/>
      </c>
      <c r="G33" s="2" t="str">
        <f aca="false">IF(F33="","",IF(E33=F33,"Yes","No"))</f>
        <v/>
      </c>
      <c r="H33" s="2" t="n">
        <f aca="false">IF(D33="",0,1/COUNTIF($D$2:$D$3451,D33))</f>
        <v>0</v>
      </c>
      <c r="I33" s="13" t="n">
        <f aca="false">IFERROR(INDEX('NCO-2015 scores'!$C$2:$C$131,MATCH(E33,'NCO-2015 scores'!$A$2:$A$131,0)),0)</f>
        <v>0.4975</v>
      </c>
      <c r="J33" s="13" t="n">
        <f aca="false">IF(ISNUMBER(MATCH(E33,'NCO-2015 scores'!$A$2:$A$131,0)),IF(ISNUMBER(INDEX('NCO-2015 scores'!$C$2:$C$131,MATCH(E33,'NCO-2015 scores'!$A$2:$A$131,0))),1,0),0)</f>
        <v>1</v>
      </c>
    </row>
    <row r="34" customFormat="false" ht="15" hidden="false" customHeight="false" outlineLevel="0" collapsed="false">
      <c r="A34" s="2" t="n">
        <v>33</v>
      </c>
      <c r="B34" s="2" t="s">
        <v>554</v>
      </c>
      <c r="C34" s="2" t="s">
        <v>555</v>
      </c>
      <c r="D34" s="2"/>
      <c r="E34" s="2" t="str">
        <f aca="false">LEFT(C34,3)</f>
        <v>243</v>
      </c>
      <c r="F34" s="2" t="str">
        <f aca="false">IF(D34="","",LEFT(D34,3))</f>
        <v/>
      </c>
      <c r="G34" s="2" t="str">
        <f aca="false">IF(F34="","",IF(E34=F34,"Yes","No"))</f>
        <v/>
      </c>
      <c r="H34" s="2" t="n">
        <f aca="false">IF(D34="",0,1/COUNTIF($D$2:$D$3451,D34))</f>
        <v>0</v>
      </c>
      <c r="I34" s="13" t="n">
        <f aca="false">IFERROR(INDEX('NCO-2015 scores'!$C$2:$C$131,MATCH(E34,'NCO-2015 scores'!$A$2:$A$131,0)),0)</f>
        <v>0.4975</v>
      </c>
      <c r="J34" s="13" t="n">
        <f aca="false">IF(ISNUMBER(MATCH(E34,'NCO-2015 scores'!$A$2:$A$131,0)),IF(ISNUMBER(INDEX('NCO-2015 scores'!$C$2:$C$131,MATCH(E34,'NCO-2015 scores'!$A$2:$A$131,0))),1,0),0)</f>
        <v>1</v>
      </c>
    </row>
    <row r="35" customFormat="false" ht="15" hidden="false" customHeight="false" outlineLevel="0" collapsed="false">
      <c r="A35" s="2" t="n">
        <v>34</v>
      </c>
      <c r="B35" s="2" t="s">
        <v>556</v>
      </c>
      <c r="C35" s="2" t="s">
        <v>557</v>
      </c>
      <c r="D35" s="2"/>
      <c r="E35" s="2" t="str">
        <f aca="false">LEFT(C35,3)</f>
        <v>243</v>
      </c>
      <c r="F35" s="2" t="str">
        <f aca="false">IF(D35="","",LEFT(D35,3))</f>
        <v/>
      </c>
      <c r="G35" s="2" t="str">
        <f aca="false">IF(F35="","",IF(E35=F35,"Yes","No"))</f>
        <v/>
      </c>
      <c r="H35" s="2" t="n">
        <f aca="false">IF(D35="",0,1/COUNTIF($D$2:$D$3451,D35))</f>
        <v>0</v>
      </c>
      <c r="I35" s="13" t="n">
        <f aca="false">IFERROR(INDEX('NCO-2015 scores'!$C$2:$C$131,MATCH(E35,'NCO-2015 scores'!$A$2:$A$131,0)),0)</f>
        <v>0.4975</v>
      </c>
      <c r="J35" s="13" t="n">
        <f aca="false">IF(ISNUMBER(MATCH(E35,'NCO-2015 scores'!$A$2:$A$131,0)),IF(ISNUMBER(INDEX('NCO-2015 scores'!$C$2:$C$131,MATCH(E35,'NCO-2015 scores'!$A$2:$A$131,0))),1,0),0)</f>
        <v>1</v>
      </c>
    </row>
    <row r="36" customFormat="false" ht="15" hidden="false" customHeight="false" outlineLevel="0" collapsed="false">
      <c r="A36" s="2" t="n">
        <v>35</v>
      </c>
      <c r="B36" s="2" t="s">
        <v>558</v>
      </c>
      <c r="C36" s="2" t="s">
        <v>559</v>
      </c>
      <c r="D36" s="2" t="s">
        <v>560</v>
      </c>
      <c r="E36" s="2" t="str">
        <f aca="false">LEFT(C36,3)</f>
        <v>122</v>
      </c>
      <c r="F36" s="2" t="str">
        <f aca="false">IF(D36="","",LEFT(D36,3))</f>
        <v>123</v>
      </c>
      <c r="G36" s="2" t="str">
        <f aca="false">IF(F36="","",IF(E36=F36,"Yes","No"))</f>
        <v>No</v>
      </c>
      <c r="H36" s="2" t="n">
        <f aca="false">IF(D36="",0,1/COUNTIF($D$2:$D$3451,D36))</f>
        <v>1</v>
      </c>
      <c r="I36" s="13" t="n">
        <f aca="false">IFERROR(INDEX('NCO-2015 scores'!$C$2:$C$131,MATCH(E36,'NCO-2015 scores'!$A$2:$A$131,0)),0)</f>
        <v>0.4</v>
      </c>
      <c r="J36" s="13" t="n">
        <f aca="false">IF(ISNUMBER(MATCH(E36,'NCO-2015 scores'!$A$2:$A$131,0)),IF(ISNUMBER(INDEX('NCO-2015 scores'!$C$2:$C$131,MATCH(E36,'NCO-2015 scores'!$A$2:$A$131,0))),1,0),0)</f>
        <v>1</v>
      </c>
    </row>
    <row r="37" customFormat="false" ht="15" hidden="false" customHeight="false" outlineLevel="0" collapsed="false">
      <c r="A37" s="2" t="n">
        <v>36</v>
      </c>
      <c r="B37" s="2" t="s">
        <v>561</v>
      </c>
      <c r="C37" s="2" t="s">
        <v>562</v>
      </c>
      <c r="D37" s="2"/>
      <c r="E37" s="2" t="str">
        <f aca="false">LEFT(C37,3)</f>
        <v>122</v>
      </c>
      <c r="F37" s="2" t="str">
        <f aca="false">IF(D37="","",LEFT(D37,3))</f>
        <v/>
      </c>
      <c r="G37" s="2" t="str">
        <f aca="false">IF(F37="","",IF(E37=F37,"Yes","No"))</f>
        <v/>
      </c>
      <c r="H37" s="2" t="n">
        <f aca="false">IF(D37="",0,1/COUNTIF($D$2:$D$3451,D37))</f>
        <v>0</v>
      </c>
      <c r="I37" s="13" t="n">
        <f aca="false">IFERROR(INDEX('NCO-2015 scores'!$C$2:$C$131,MATCH(E37,'NCO-2015 scores'!$A$2:$A$131,0)),0)</f>
        <v>0.4</v>
      </c>
      <c r="J37" s="13" t="n">
        <f aca="false">IF(ISNUMBER(MATCH(E37,'NCO-2015 scores'!$A$2:$A$131,0)),IF(ISNUMBER(INDEX('NCO-2015 scores'!$C$2:$C$131,MATCH(E37,'NCO-2015 scores'!$A$2:$A$131,0))),1,0),0)</f>
        <v>1</v>
      </c>
    </row>
    <row r="38" customFormat="false" ht="15" hidden="false" customHeight="false" outlineLevel="0" collapsed="false">
      <c r="A38" s="2" t="n">
        <v>37</v>
      </c>
      <c r="B38" s="2" t="s">
        <v>563</v>
      </c>
      <c r="C38" s="2" t="s">
        <v>564</v>
      </c>
      <c r="D38" s="2" t="s">
        <v>565</v>
      </c>
      <c r="E38" s="2" t="str">
        <f aca="false">LEFT(C38,3)</f>
        <v>122</v>
      </c>
      <c r="F38" s="2" t="str">
        <f aca="false">IF(D38="","",LEFT(D38,3))</f>
        <v>123</v>
      </c>
      <c r="G38" s="2" t="str">
        <f aca="false">IF(F38="","",IF(E38=F38,"Yes","No"))</f>
        <v>No</v>
      </c>
      <c r="H38" s="2" t="n">
        <f aca="false">IF(D38="",0,1/COUNTIF($D$2:$D$3451,D38))</f>
        <v>1</v>
      </c>
      <c r="I38" s="13" t="n">
        <f aca="false">IFERROR(INDEX('NCO-2015 scores'!$C$2:$C$131,MATCH(E38,'NCO-2015 scores'!$A$2:$A$131,0)),0)</f>
        <v>0.4</v>
      </c>
      <c r="J38" s="13" t="n">
        <f aca="false">IF(ISNUMBER(MATCH(E38,'NCO-2015 scores'!$A$2:$A$131,0)),IF(ISNUMBER(INDEX('NCO-2015 scores'!$C$2:$C$131,MATCH(E38,'NCO-2015 scores'!$A$2:$A$131,0))),1,0),0)</f>
        <v>1</v>
      </c>
    </row>
    <row r="39" customFormat="false" ht="15" hidden="false" customHeight="false" outlineLevel="0" collapsed="false">
      <c r="A39" s="2" t="n">
        <v>38</v>
      </c>
      <c r="B39" s="2" t="s">
        <v>566</v>
      </c>
      <c r="C39" s="2" t="s">
        <v>567</v>
      </c>
      <c r="D39" s="2" t="s">
        <v>568</v>
      </c>
      <c r="E39" s="2" t="str">
        <f aca="false">LEFT(C39,3)</f>
        <v>122</v>
      </c>
      <c r="F39" s="2" t="str">
        <f aca="false">IF(D39="","",LEFT(D39,3))</f>
        <v>123</v>
      </c>
      <c r="G39" s="2" t="str">
        <f aca="false">IF(F39="","",IF(E39=F39,"Yes","No"))</f>
        <v>No</v>
      </c>
      <c r="H39" s="2" t="n">
        <f aca="false">IF(D39="",0,1/COUNTIF($D$2:$D$3451,D39))</f>
        <v>1</v>
      </c>
      <c r="I39" s="13" t="n">
        <f aca="false">IFERROR(INDEX('NCO-2015 scores'!$C$2:$C$131,MATCH(E39,'NCO-2015 scores'!$A$2:$A$131,0)),0)</f>
        <v>0.4</v>
      </c>
      <c r="J39" s="13" t="n">
        <f aca="false">IF(ISNUMBER(MATCH(E39,'NCO-2015 scores'!$A$2:$A$131,0)),IF(ISNUMBER(INDEX('NCO-2015 scores'!$C$2:$C$131,MATCH(E39,'NCO-2015 scores'!$A$2:$A$131,0))),1,0),0)</f>
        <v>1</v>
      </c>
    </row>
    <row r="40" customFormat="false" ht="15" hidden="false" customHeight="false" outlineLevel="0" collapsed="false">
      <c r="A40" s="2" t="n">
        <v>39</v>
      </c>
      <c r="B40" s="2" t="s">
        <v>569</v>
      </c>
      <c r="C40" s="2" t="s">
        <v>570</v>
      </c>
      <c r="D40" s="2" t="s">
        <v>571</v>
      </c>
      <c r="E40" s="2" t="str">
        <f aca="false">LEFT(C40,3)</f>
        <v>131</v>
      </c>
      <c r="F40" s="2" t="str">
        <f aca="false">IF(D40="","",LEFT(D40,3))</f>
        <v>130</v>
      </c>
      <c r="G40" s="2" t="str">
        <f aca="false">IF(F40="","",IF(E40=F40,"Yes","No"))</f>
        <v>No</v>
      </c>
      <c r="H40" s="2" t="n">
        <f aca="false">IF(D40="",0,1/COUNTIF($D$2:$D$3451,D40))</f>
        <v>1</v>
      </c>
      <c r="I40" s="13" t="n">
        <f aca="false">IFERROR(INDEX('NCO-2015 scores'!$C$2:$C$131,MATCH(E40,'NCO-2015 scores'!$A$2:$A$131,0)),0)</f>
        <v>0.245</v>
      </c>
      <c r="J40" s="13" t="n">
        <f aca="false">IF(ISNUMBER(MATCH(E40,'NCO-2015 scores'!$A$2:$A$131,0)),IF(ISNUMBER(INDEX('NCO-2015 scores'!$C$2:$C$131,MATCH(E40,'NCO-2015 scores'!$A$2:$A$131,0))),1,0),0)</f>
        <v>1</v>
      </c>
    </row>
    <row r="41" customFormat="false" ht="15" hidden="false" customHeight="false" outlineLevel="0" collapsed="false">
      <c r="A41" s="2" t="n">
        <v>40</v>
      </c>
      <c r="B41" s="2" t="s">
        <v>572</v>
      </c>
      <c r="C41" s="2" t="s">
        <v>573</v>
      </c>
      <c r="D41" s="2" t="s">
        <v>574</v>
      </c>
      <c r="E41" s="2" t="str">
        <f aca="false">LEFT(C41,3)</f>
        <v>131</v>
      </c>
      <c r="F41" s="2" t="str">
        <f aca="false">IF(D41="","",LEFT(D41,3))</f>
        <v>130</v>
      </c>
      <c r="G41" s="2" t="str">
        <f aca="false">IF(F41="","",IF(E41=F41,"Yes","No"))</f>
        <v>No</v>
      </c>
      <c r="H41" s="2" t="n">
        <f aca="false">IF(D41="",0,1/COUNTIF($D$2:$D$3451,D41))</f>
        <v>1</v>
      </c>
      <c r="I41" s="13" t="n">
        <f aca="false">IFERROR(INDEX('NCO-2015 scores'!$C$2:$C$131,MATCH(E41,'NCO-2015 scores'!$A$2:$A$131,0)),0)</f>
        <v>0.245</v>
      </c>
      <c r="J41" s="13" t="n">
        <f aca="false">IF(ISNUMBER(MATCH(E41,'NCO-2015 scores'!$A$2:$A$131,0)),IF(ISNUMBER(INDEX('NCO-2015 scores'!$C$2:$C$131,MATCH(E41,'NCO-2015 scores'!$A$2:$A$131,0))),1,0),0)</f>
        <v>1</v>
      </c>
    </row>
    <row r="42" customFormat="false" ht="15" hidden="false" customHeight="false" outlineLevel="0" collapsed="false">
      <c r="A42" s="2" t="n">
        <v>41</v>
      </c>
      <c r="B42" s="2" t="s">
        <v>575</v>
      </c>
      <c r="C42" s="2" t="s">
        <v>576</v>
      </c>
      <c r="D42" s="2" t="s">
        <v>577</v>
      </c>
      <c r="E42" s="2" t="str">
        <f aca="false">LEFT(C42,3)</f>
        <v>131</v>
      </c>
      <c r="F42" s="2" t="str">
        <f aca="false">IF(D42="","",LEFT(D42,3))</f>
        <v>130</v>
      </c>
      <c r="G42" s="2" t="str">
        <f aca="false">IF(F42="","",IF(E42=F42,"Yes","No"))</f>
        <v>No</v>
      </c>
      <c r="H42" s="2" t="n">
        <f aca="false">IF(D42="",0,1/COUNTIF($D$2:$D$3451,D42))</f>
        <v>1</v>
      </c>
      <c r="I42" s="13" t="n">
        <f aca="false">IFERROR(INDEX('NCO-2015 scores'!$C$2:$C$131,MATCH(E42,'NCO-2015 scores'!$A$2:$A$131,0)),0)</f>
        <v>0.245</v>
      </c>
      <c r="J42" s="13" t="n">
        <f aca="false">IF(ISNUMBER(MATCH(E42,'NCO-2015 scores'!$A$2:$A$131,0)),IF(ISNUMBER(INDEX('NCO-2015 scores'!$C$2:$C$131,MATCH(E42,'NCO-2015 scores'!$A$2:$A$131,0))),1,0),0)</f>
        <v>1</v>
      </c>
    </row>
    <row r="43" customFormat="false" ht="15" hidden="false" customHeight="false" outlineLevel="0" collapsed="false">
      <c r="A43" s="2" t="n">
        <v>42</v>
      </c>
      <c r="B43" s="2" t="s">
        <v>578</v>
      </c>
      <c r="C43" s="2" t="s">
        <v>579</v>
      </c>
      <c r="D43" s="2" t="s">
        <v>580</v>
      </c>
      <c r="E43" s="2" t="str">
        <f aca="false">LEFT(C43,3)</f>
        <v>131</v>
      </c>
      <c r="F43" s="2" t="str">
        <f aca="false">IF(D43="","",LEFT(D43,3))</f>
        <v>130</v>
      </c>
      <c r="G43" s="2" t="str">
        <f aca="false">IF(F43="","",IF(E43=F43,"Yes","No"))</f>
        <v>No</v>
      </c>
      <c r="H43" s="2" t="n">
        <f aca="false">IF(D43="",0,1/COUNTIF($D$2:$D$3451,D43))</f>
        <v>1</v>
      </c>
      <c r="I43" s="13" t="n">
        <f aca="false">IFERROR(INDEX('NCO-2015 scores'!$C$2:$C$131,MATCH(E43,'NCO-2015 scores'!$A$2:$A$131,0)),0)</f>
        <v>0.245</v>
      </c>
      <c r="J43" s="13" t="n">
        <f aca="false">IF(ISNUMBER(MATCH(E43,'NCO-2015 scores'!$A$2:$A$131,0)),IF(ISNUMBER(INDEX('NCO-2015 scores'!$C$2:$C$131,MATCH(E43,'NCO-2015 scores'!$A$2:$A$131,0))),1,0),0)</f>
        <v>1</v>
      </c>
    </row>
    <row r="44" customFormat="false" ht="15" hidden="false" customHeight="false" outlineLevel="0" collapsed="false">
      <c r="A44" s="2" t="n">
        <v>43</v>
      </c>
      <c r="B44" s="2" t="s">
        <v>581</v>
      </c>
      <c r="C44" s="2" t="s">
        <v>582</v>
      </c>
      <c r="D44" s="2" t="s">
        <v>583</v>
      </c>
      <c r="E44" s="2" t="str">
        <f aca="false">LEFT(C44,3)</f>
        <v>131</v>
      </c>
      <c r="F44" s="2" t="str">
        <f aca="false">IF(D44="","",LEFT(D44,3))</f>
        <v>130</v>
      </c>
      <c r="G44" s="2" t="str">
        <f aca="false">IF(F44="","",IF(E44=F44,"Yes","No"))</f>
        <v>No</v>
      </c>
      <c r="H44" s="2" t="n">
        <f aca="false">IF(D44="",0,1/COUNTIF($D$2:$D$3451,D44))</f>
        <v>1</v>
      </c>
      <c r="I44" s="13" t="n">
        <f aca="false">IFERROR(INDEX('NCO-2015 scores'!$C$2:$C$131,MATCH(E44,'NCO-2015 scores'!$A$2:$A$131,0)),0)</f>
        <v>0.245</v>
      </c>
      <c r="J44" s="13" t="n">
        <f aca="false">IF(ISNUMBER(MATCH(E44,'NCO-2015 scores'!$A$2:$A$131,0)),IF(ISNUMBER(INDEX('NCO-2015 scores'!$C$2:$C$131,MATCH(E44,'NCO-2015 scores'!$A$2:$A$131,0))),1,0),0)</f>
        <v>1</v>
      </c>
    </row>
    <row r="45" customFormat="false" ht="15" hidden="false" customHeight="false" outlineLevel="0" collapsed="false">
      <c r="A45" s="2" t="n">
        <v>44</v>
      </c>
      <c r="B45" s="2" t="s">
        <v>584</v>
      </c>
      <c r="C45" s="2" t="s">
        <v>585</v>
      </c>
      <c r="D45" s="2" t="s">
        <v>586</v>
      </c>
      <c r="E45" s="2" t="str">
        <f aca="false">LEFT(C45,3)</f>
        <v>131</v>
      </c>
      <c r="F45" s="2" t="str">
        <f aca="false">IF(D45="","",LEFT(D45,3))</f>
        <v>130</v>
      </c>
      <c r="G45" s="2" t="str">
        <f aca="false">IF(F45="","",IF(E45=F45,"Yes","No"))</f>
        <v>No</v>
      </c>
      <c r="H45" s="2" t="n">
        <f aca="false">IF(D45="",0,1/COUNTIF($D$2:$D$3451,D45))</f>
        <v>1</v>
      </c>
      <c r="I45" s="13" t="n">
        <f aca="false">IFERROR(INDEX('NCO-2015 scores'!$C$2:$C$131,MATCH(E45,'NCO-2015 scores'!$A$2:$A$131,0)),0)</f>
        <v>0.245</v>
      </c>
      <c r="J45" s="13" t="n">
        <f aca="false">IF(ISNUMBER(MATCH(E45,'NCO-2015 scores'!$A$2:$A$131,0)),IF(ISNUMBER(INDEX('NCO-2015 scores'!$C$2:$C$131,MATCH(E45,'NCO-2015 scores'!$A$2:$A$131,0))),1,0),0)</f>
        <v>1</v>
      </c>
    </row>
    <row r="46" customFormat="false" ht="15" hidden="false" customHeight="false" outlineLevel="0" collapsed="false">
      <c r="A46" s="2" t="n">
        <v>45</v>
      </c>
      <c r="B46" s="2" t="s">
        <v>587</v>
      </c>
      <c r="C46" s="2" t="s">
        <v>588</v>
      </c>
      <c r="D46" s="2"/>
      <c r="E46" s="2" t="str">
        <f aca="false">LEFT(C46,3)</f>
        <v>131</v>
      </c>
      <c r="F46" s="2" t="str">
        <f aca="false">IF(D46="","",LEFT(D46,3))</f>
        <v/>
      </c>
      <c r="G46" s="2" t="str">
        <f aca="false">IF(F46="","",IF(E46=F46,"Yes","No"))</f>
        <v/>
      </c>
      <c r="H46" s="2" t="n">
        <f aca="false">IF(D46="",0,1/COUNTIF($D$2:$D$3451,D46))</f>
        <v>0</v>
      </c>
      <c r="I46" s="13" t="n">
        <f aca="false">IFERROR(INDEX('NCO-2015 scores'!$C$2:$C$131,MATCH(E46,'NCO-2015 scores'!$A$2:$A$131,0)),0)</f>
        <v>0.245</v>
      </c>
      <c r="J46" s="13" t="n">
        <f aca="false">IF(ISNUMBER(MATCH(E46,'NCO-2015 scores'!$A$2:$A$131,0)),IF(ISNUMBER(INDEX('NCO-2015 scores'!$C$2:$C$131,MATCH(E46,'NCO-2015 scores'!$A$2:$A$131,0))),1,0),0)</f>
        <v>1</v>
      </c>
    </row>
    <row r="47" customFormat="false" ht="15" hidden="false" customHeight="false" outlineLevel="0" collapsed="false">
      <c r="A47" s="2" t="n">
        <v>46</v>
      </c>
      <c r="B47" s="2" t="s">
        <v>589</v>
      </c>
      <c r="C47" s="2" t="s">
        <v>590</v>
      </c>
      <c r="D47" s="2" t="s">
        <v>591</v>
      </c>
      <c r="E47" s="2" t="str">
        <f aca="false">LEFT(C47,3)</f>
        <v>131</v>
      </c>
      <c r="F47" s="2" t="str">
        <f aca="false">IF(D47="","",LEFT(D47,3))</f>
        <v>122</v>
      </c>
      <c r="G47" s="2" t="str">
        <f aca="false">IF(F47="","",IF(E47=F47,"Yes","No"))</f>
        <v>No</v>
      </c>
      <c r="H47" s="2" t="n">
        <f aca="false">IF(D47="",0,1/COUNTIF($D$2:$D$3451,D47))</f>
        <v>1</v>
      </c>
      <c r="I47" s="13" t="n">
        <f aca="false">IFERROR(INDEX('NCO-2015 scores'!$C$2:$C$131,MATCH(E47,'NCO-2015 scores'!$A$2:$A$131,0)),0)</f>
        <v>0.245</v>
      </c>
      <c r="J47" s="13" t="n">
        <f aca="false">IF(ISNUMBER(MATCH(E47,'NCO-2015 scores'!$A$2:$A$131,0)),IF(ISNUMBER(INDEX('NCO-2015 scores'!$C$2:$C$131,MATCH(E47,'NCO-2015 scores'!$A$2:$A$131,0))),1,0),0)</f>
        <v>1</v>
      </c>
    </row>
    <row r="48" customFormat="false" ht="15" hidden="false" customHeight="false" outlineLevel="0" collapsed="false">
      <c r="A48" s="2" t="n">
        <v>47</v>
      </c>
      <c r="B48" s="2" t="s">
        <v>592</v>
      </c>
      <c r="C48" s="2" t="s">
        <v>593</v>
      </c>
      <c r="D48" s="2" t="s">
        <v>594</v>
      </c>
      <c r="E48" s="2" t="str">
        <f aca="false">LEFT(C48,3)</f>
        <v>131</v>
      </c>
      <c r="F48" s="2" t="str">
        <f aca="false">IF(D48="","",LEFT(D48,3))</f>
        <v>122</v>
      </c>
      <c r="G48" s="2" t="str">
        <f aca="false">IF(F48="","",IF(E48=F48,"Yes","No"))</f>
        <v>No</v>
      </c>
      <c r="H48" s="2" t="n">
        <f aca="false">IF(D48="",0,1/COUNTIF($D$2:$D$3451,D48))</f>
        <v>1</v>
      </c>
      <c r="I48" s="13" t="n">
        <f aca="false">IFERROR(INDEX('NCO-2015 scores'!$C$2:$C$131,MATCH(E48,'NCO-2015 scores'!$A$2:$A$131,0)),0)</f>
        <v>0.245</v>
      </c>
      <c r="J48" s="13" t="n">
        <f aca="false">IF(ISNUMBER(MATCH(E48,'NCO-2015 scores'!$A$2:$A$131,0)),IF(ISNUMBER(INDEX('NCO-2015 scores'!$C$2:$C$131,MATCH(E48,'NCO-2015 scores'!$A$2:$A$131,0))),1,0),0)</f>
        <v>1</v>
      </c>
    </row>
    <row r="49" customFormat="false" ht="15" hidden="false" customHeight="false" outlineLevel="0" collapsed="false">
      <c r="A49" s="2" t="n">
        <v>48</v>
      </c>
      <c r="B49" s="2" t="s">
        <v>595</v>
      </c>
      <c r="C49" s="2" t="s">
        <v>596</v>
      </c>
      <c r="D49" s="2" t="s">
        <v>597</v>
      </c>
      <c r="E49" s="2" t="str">
        <f aca="false">LEFT(C49,3)</f>
        <v>131</v>
      </c>
      <c r="F49" s="2" t="str">
        <f aca="false">IF(D49="","",LEFT(D49,3))</f>
        <v>122</v>
      </c>
      <c r="G49" s="2" t="str">
        <f aca="false">IF(F49="","",IF(E49=F49,"Yes","No"))</f>
        <v>No</v>
      </c>
      <c r="H49" s="2" t="n">
        <f aca="false">IF(D49="",0,1/COUNTIF($D$2:$D$3451,D49))</f>
        <v>1</v>
      </c>
      <c r="I49" s="13" t="n">
        <f aca="false">IFERROR(INDEX('NCO-2015 scores'!$C$2:$C$131,MATCH(E49,'NCO-2015 scores'!$A$2:$A$131,0)),0)</f>
        <v>0.245</v>
      </c>
      <c r="J49" s="13" t="n">
        <f aca="false">IF(ISNUMBER(MATCH(E49,'NCO-2015 scores'!$A$2:$A$131,0)),IF(ISNUMBER(INDEX('NCO-2015 scores'!$C$2:$C$131,MATCH(E49,'NCO-2015 scores'!$A$2:$A$131,0))),1,0),0)</f>
        <v>1</v>
      </c>
    </row>
    <row r="50" customFormat="false" ht="15" hidden="false" customHeight="false" outlineLevel="0" collapsed="false">
      <c r="A50" s="2" t="n">
        <v>49</v>
      </c>
      <c r="B50" s="2" t="s">
        <v>598</v>
      </c>
      <c r="C50" s="2" t="s">
        <v>599</v>
      </c>
      <c r="D50" s="2" t="s">
        <v>600</v>
      </c>
      <c r="E50" s="2" t="str">
        <f aca="false">LEFT(C50,3)</f>
        <v>131</v>
      </c>
      <c r="F50" s="2" t="str">
        <f aca="false">IF(D50="","",LEFT(D50,3))</f>
        <v>122</v>
      </c>
      <c r="G50" s="2" t="str">
        <f aca="false">IF(F50="","",IF(E50=F50,"Yes","No"))</f>
        <v>No</v>
      </c>
      <c r="H50" s="2" t="n">
        <f aca="false">IF(D50="",0,1/COUNTIF($D$2:$D$3451,D50))</f>
        <v>1</v>
      </c>
      <c r="I50" s="13" t="n">
        <f aca="false">IFERROR(INDEX('NCO-2015 scores'!$C$2:$C$131,MATCH(E50,'NCO-2015 scores'!$A$2:$A$131,0)),0)</f>
        <v>0.245</v>
      </c>
      <c r="J50" s="13" t="n">
        <f aca="false">IF(ISNUMBER(MATCH(E50,'NCO-2015 scores'!$A$2:$A$131,0)),IF(ISNUMBER(INDEX('NCO-2015 scores'!$C$2:$C$131,MATCH(E50,'NCO-2015 scores'!$A$2:$A$131,0))),1,0),0)</f>
        <v>1</v>
      </c>
    </row>
    <row r="51" customFormat="false" ht="15" hidden="false" customHeight="false" outlineLevel="0" collapsed="false">
      <c r="A51" s="2" t="n">
        <v>50</v>
      </c>
      <c r="B51" s="2" t="s">
        <v>601</v>
      </c>
      <c r="C51" s="2" t="s">
        <v>602</v>
      </c>
      <c r="D51" s="2" t="s">
        <v>603</v>
      </c>
      <c r="E51" s="2" t="str">
        <f aca="false">LEFT(C51,3)</f>
        <v>131</v>
      </c>
      <c r="F51" s="2" t="str">
        <f aca="false">IF(D51="","",LEFT(D51,3))</f>
        <v>122</v>
      </c>
      <c r="G51" s="2" t="str">
        <f aca="false">IF(F51="","",IF(E51=F51,"Yes","No"))</f>
        <v>No</v>
      </c>
      <c r="H51" s="2" t="n">
        <f aca="false">IF(D51="",0,1/COUNTIF($D$2:$D$3451,D51))</f>
        <v>1</v>
      </c>
      <c r="I51" s="13" t="n">
        <f aca="false">IFERROR(INDEX('NCO-2015 scores'!$C$2:$C$131,MATCH(E51,'NCO-2015 scores'!$A$2:$A$131,0)),0)</f>
        <v>0.245</v>
      </c>
      <c r="J51" s="13" t="n">
        <f aca="false">IF(ISNUMBER(MATCH(E51,'NCO-2015 scores'!$A$2:$A$131,0)),IF(ISNUMBER(INDEX('NCO-2015 scores'!$C$2:$C$131,MATCH(E51,'NCO-2015 scores'!$A$2:$A$131,0))),1,0),0)</f>
        <v>1</v>
      </c>
    </row>
    <row r="52" customFormat="false" ht="15" hidden="false" customHeight="false" outlineLevel="0" collapsed="false">
      <c r="A52" s="2" t="n">
        <v>51</v>
      </c>
      <c r="B52" s="2" t="s">
        <v>604</v>
      </c>
      <c r="C52" s="2" t="s">
        <v>605</v>
      </c>
      <c r="D52" s="2" t="s">
        <v>606</v>
      </c>
      <c r="E52" s="2" t="str">
        <f aca="false">LEFT(C52,3)</f>
        <v>131</v>
      </c>
      <c r="F52" s="2" t="str">
        <f aca="false">IF(D52="","",LEFT(D52,3))</f>
        <v>122</v>
      </c>
      <c r="G52" s="2" t="str">
        <f aca="false">IF(F52="","",IF(E52=F52,"Yes","No"))</f>
        <v>No</v>
      </c>
      <c r="H52" s="2" t="n">
        <f aca="false">IF(D52="",0,1/COUNTIF($D$2:$D$3451,D52))</f>
        <v>1</v>
      </c>
      <c r="I52" s="13" t="n">
        <f aca="false">IFERROR(INDEX('NCO-2015 scores'!$C$2:$C$131,MATCH(E52,'NCO-2015 scores'!$A$2:$A$131,0)),0)</f>
        <v>0.245</v>
      </c>
      <c r="J52" s="13" t="n">
        <f aca="false">IF(ISNUMBER(MATCH(E52,'NCO-2015 scores'!$A$2:$A$131,0)),IF(ISNUMBER(INDEX('NCO-2015 scores'!$C$2:$C$131,MATCH(E52,'NCO-2015 scores'!$A$2:$A$131,0))),1,0),0)</f>
        <v>1</v>
      </c>
    </row>
    <row r="53" customFormat="false" ht="15" hidden="false" customHeight="false" outlineLevel="0" collapsed="false">
      <c r="A53" s="2" t="n">
        <v>52</v>
      </c>
      <c r="B53" s="2" t="s">
        <v>607</v>
      </c>
      <c r="C53" s="2" t="s">
        <v>608</v>
      </c>
      <c r="D53" s="2" t="s">
        <v>609</v>
      </c>
      <c r="E53" s="2" t="str">
        <f aca="false">LEFT(C53,3)</f>
        <v>131</v>
      </c>
      <c r="F53" s="2" t="str">
        <f aca="false">IF(D53="","",LEFT(D53,3))</f>
        <v>122</v>
      </c>
      <c r="G53" s="2" t="str">
        <f aca="false">IF(F53="","",IF(E53=F53,"Yes","No"))</f>
        <v>No</v>
      </c>
      <c r="H53" s="2" t="n">
        <f aca="false">IF(D53="",0,1/COUNTIF($D$2:$D$3451,D53))</f>
        <v>1</v>
      </c>
      <c r="I53" s="13" t="n">
        <f aca="false">IFERROR(INDEX('NCO-2015 scores'!$C$2:$C$131,MATCH(E53,'NCO-2015 scores'!$A$2:$A$131,0)),0)</f>
        <v>0.245</v>
      </c>
      <c r="J53" s="13" t="n">
        <f aca="false">IF(ISNUMBER(MATCH(E53,'NCO-2015 scores'!$A$2:$A$131,0)),IF(ISNUMBER(INDEX('NCO-2015 scores'!$C$2:$C$131,MATCH(E53,'NCO-2015 scores'!$A$2:$A$131,0))),1,0),0)</f>
        <v>1</v>
      </c>
    </row>
    <row r="54" customFormat="false" ht="15" hidden="false" customHeight="false" outlineLevel="0" collapsed="false">
      <c r="A54" s="2" t="n">
        <v>53</v>
      </c>
      <c r="B54" s="2" t="s">
        <v>610</v>
      </c>
      <c r="C54" s="2" t="s">
        <v>611</v>
      </c>
      <c r="D54" s="2" t="s">
        <v>612</v>
      </c>
      <c r="E54" s="2" t="str">
        <f aca="false">LEFT(C54,3)</f>
        <v>131</v>
      </c>
      <c r="F54" s="2" t="str">
        <f aca="false">IF(D54="","",LEFT(D54,3))</f>
        <v>122</v>
      </c>
      <c r="G54" s="2" t="str">
        <f aca="false">IF(F54="","",IF(E54=F54,"Yes","No"))</f>
        <v>No</v>
      </c>
      <c r="H54" s="2" t="n">
        <f aca="false">IF(D54="",0,1/COUNTIF($D$2:$D$3451,D54))</f>
        <v>1</v>
      </c>
      <c r="I54" s="13" t="n">
        <f aca="false">IFERROR(INDEX('NCO-2015 scores'!$C$2:$C$131,MATCH(E54,'NCO-2015 scores'!$A$2:$A$131,0)),0)</f>
        <v>0.245</v>
      </c>
      <c r="J54" s="13" t="n">
        <f aca="false">IF(ISNUMBER(MATCH(E54,'NCO-2015 scores'!$A$2:$A$131,0)),IF(ISNUMBER(INDEX('NCO-2015 scores'!$C$2:$C$131,MATCH(E54,'NCO-2015 scores'!$A$2:$A$131,0))),1,0),0)</f>
        <v>1</v>
      </c>
    </row>
    <row r="55" customFormat="false" ht="15" hidden="false" customHeight="false" outlineLevel="0" collapsed="false">
      <c r="A55" s="2" t="n">
        <v>54</v>
      </c>
      <c r="B55" s="2" t="s">
        <v>613</v>
      </c>
      <c r="C55" s="2" t="s">
        <v>614</v>
      </c>
      <c r="D55" s="2" t="s">
        <v>615</v>
      </c>
      <c r="E55" s="2" t="str">
        <f aca="false">LEFT(C55,3)</f>
        <v>131</v>
      </c>
      <c r="F55" s="2" t="str">
        <f aca="false">IF(D55="","",LEFT(D55,3))</f>
        <v>122</v>
      </c>
      <c r="G55" s="2" t="str">
        <f aca="false">IF(F55="","",IF(E55=F55,"Yes","No"))</f>
        <v>No</v>
      </c>
      <c r="H55" s="2" t="n">
        <f aca="false">IF(D55="",0,1/COUNTIF($D$2:$D$3451,D55))</f>
        <v>1</v>
      </c>
      <c r="I55" s="13" t="n">
        <f aca="false">IFERROR(INDEX('NCO-2015 scores'!$C$2:$C$131,MATCH(E55,'NCO-2015 scores'!$A$2:$A$131,0)),0)</f>
        <v>0.245</v>
      </c>
      <c r="J55" s="13" t="n">
        <f aca="false">IF(ISNUMBER(MATCH(E55,'NCO-2015 scores'!$A$2:$A$131,0)),IF(ISNUMBER(INDEX('NCO-2015 scores'!$C$2:$C$131,MATCH(E55,'NCO-2015 scores'!$A$2:$A$131,0))),1,0),0)</f>
        <v>1</v>
      </c>
    </row>
    <row r="56" customFormat="false" ht="15" hidden="false" customHeight="false" outlineLevel="0" collapsed="false">
      <c r="A56" s="2" t="n">
        <v>55</v>
      </c>
      <c r="B56" s="2" t="s">
        <v>616</v>
      </c>
      <c r="C56" s="2" t="s">
        <v>617</v>
      </c>
      <c r="D56" s="2" t="s">
        <v>618</v>
      </c>
      <c r="E56" s="2" t="str">
        <f aca="false">LEFT(C56,3)</f>
        <v>131</v>
      </c>
      <c r="F56" s="2" t="str">
        <f aca="false">IF(D56="","",LEFT(D56,3))</f>
        <v>122</v>
      </c>
      <c r="G56" s="2" t="str">
        <f aca="false">IF(F56="","",IF(E56=F56,"Yes","No"))</f>
        <v>No</v>
      </c>
      <c r="H56" s="2" t="n">
        <f aca="false">IF(D56="",0,1/COUNTIF($D$2:$D$3451,D56))</f>
        <v>1</v>
      </c>
      <c r="I56" s="13" t="n">
        <f aca="false">IFERROR(INDEX('NCO-2015 scores'!$C$2:$C$131,MATCH(E56,'NCO-2015 scores'!$A$2:$A$131,0)),0)</f>
        <v>0.245</v>
      </c>
      <c r="J56" s="13" t="n">
        <f aca="false">IF(ISNUMBER(MATCH(E56,'NCO-2015 scores'!$A$2:$A$131,0)),IF(ISNUMBER(INDEX('NCO-2015 scores'!$C$2:$C$131,MATCH(E56,'NCO-2015 scores'!$A$2:$A$131,0))),1,0),0)</f>
        <v>1</v>
      </c>
    </row>
    <row r="57" customFormat="false" ht="15" hidden="false" customHeight="false" outlineLevel="0" collapsed="false">
      <c r="A57" s="2" t="n">
        <v>56</v>
      </c>
      <c r="B57" s="2" t="s">
        <v>619</v>
      </c>
      <c r="C57" s="2" t="s">
        <v>620</v>
      </c>
      <c r="D57" s="2" t="s">
        <v>621</v>
      </c>
      <c r="E57" s="2" t="str">
        <f aca="false">LEFT(C57,3)</f>
        <v>723</v>
      </c>
      <c r="F57" s="2" t="str">
        <f aca="false">IF(D57="","",LEFT(D57,3))</f>
        <v>723</v>
      </c>
      <c r="G57" s="2" t="str">
        <f aca="false">IF(F57="","",IF(E57=F57,"Yes","No"))</f>
        <v>Yes</v>
      </c>
      <c r="H57" s="2" t="n">
        <f aca="false">IF(D57="",0,1/COUNTIF($D$2:$D$3451,D57))</f>
        <v>1</v>
      </c>
      <c r="I57" s="13" t="n">
        <f aca="false">IFERROR(INDEX('NCO-2015 scores'!$C$2:$C$131,MATCH(E57,'NCO-2015 scores'!$A$2:$A$131,0)),0)</f>
        <v>0.1675</v>
      </c>
      <c r="J57" s="13" t="n">
        <f aca="false">IF(ISNUMBER(MATCH(E57,'NCO-2015 scores'!$A$2:$A$131,0)),IF(ISNUMBER(INDEX('NCO-2015 scores'!$C$2:$C$131,MATCH(E57,'NCO-2015 scores'!$A$2:$A$131,0))),1,0),0)</f>
        <v>1</v>
      </c>
    </row>
    <row r="58" customFormat="false" ht="15" hidden="false" customHeight="false" outlineLevel="0" collapsed="false">
      <c r="A58" s="2" t="n">
        <v>57</v>
      </c>
      <c r="B58" s="2" t="s">
        <v>622</v>
      </c>
      <c r="C58" s="2" t="s">
        <v>623</v>
      </c>
      <c r="D58" s="2"/>
      <c r="E58" s="2" t="str">
        <f aca="false">LEFT(C58,3)</f>
        <v>723</v>
      </c>
      <c r="F58" s="2" t="str">
        <f aca="false">IF(D58="","",LEFT(D58,3))</f>
        <v/>
      </c>
      <c r="G58" s="2" t="str">
        <f aca="false">IF(F58="","",IF(E58=F58,"Yes","No"))</f>
        <v/>
      </c>
      <c r="H58" s="2" t="n">
        <f aca="false">IF(D58="",0,1/COUNTIF($D$2:$D$3451,D58))</f>
        <v>0</v>
      </c>
      <c r="I58" s="13" t="n">
        <f aca="false">IFERROR(INDEX('NCO-2015 scores'!$C$2:$C$131,MATCH(E58,'NCO-2015 scores'!$A$2:$A$131,0)),0)</f>
        <v>0.1675</v>
      </c>
      <c r="J58" s="13" t="n">
        <f aca="false">IF(ISNUMBER(MATCH(E58,'NCO-2015 scores'!$A$2:$A$131,0)),IF(ISNUMBER(INDEX('NCO-2015 scores'!$C$2:$C$131,MATCH(E58,'NCO-2015 scores'!$A$2:$A$131,0))),1,0),0)</f>
        <v>1</v>
      </c>
    </row>
    <row r="59" customFormat="false" ht="15" hidden="false" customHeight="false" outlineLevel="0" collapsed="false">
      <c r="A59" s="2" t="n">
        <v>58</v>
      </c>
      <c r="B59" s="2" t="s">
        <v>624</v>
      </c>
      <c r="C59" s="2" t="s">
        <v>625</v>
      </c>
      <c r="D59" s="2"/>
      <c r="E59" s="2" t="str">
        <f aca="false">LEFT(C59,3)</f>
        <v>723</v>
      </c>
      <c r="F59" s="2" t="str">
        <f aca="false">IF(D59="","",LEFT(D59,3))</f>
        <v/>
      </c>
      <c r="G59" s="2" t="str">
        <f aca="false">IF(F59="","",IF(E59=F59,"Yes","No"))</f>
        <v/>
      </c>
      <c r="H59" s="2" t="n">
        <f aca="false">IF(D59="",0,1/COUNTIF($D$2:$D$3451,D59))</f>
        <v>0</v>
      </c>
      <c r="I59" s="13" t="n">
        <f aca="false">IFERROR(INDEX('NCO-2015 scores'!$C$2:$C$131,MATCH(E59,'NCO-2015 scores'!$A$2:$A$131,0)),0)</f>
        <v>0.1675</v>
      </c>
      <c r="J59" s="13" t="n">
        <f aca="false">IF(ISNUMBER(MATCH(E59,'NCO-2015 scores'!$A$2:$A$131,0)),IF(ISNUMBER(INDEX('NCO-2015 scores'!$C$2:$C$131,MATCH(E59,'NCO-2015 scores'!$A$2:$A$131,0))),1,0),0)</f>
        <v>1</v>
      </c>
    </row>
    <row r="60" customFormat="false" ht="15" hidden="false" customHeight="false" outlineLevel="0" collapsed="false">
      <c r="A60" s="2" t="n">
        <v>59</v>
      </c>
      <c r="B60" s="2" t="s">
        <v>626</v>
      </c>
      <c r="C60" s="2" t="s">
        <v>627</v>
      </c>
      <c r="D60" s="2" t="s">
        <v>628</v>
      </c>
      <c r="E60" s="2" t="str">
        <f aca="false">LEFT(C60,3)</f>
        <v>723</v>
      </c>
      <c r="F60" s="2" t="str">
        <f aca="false">IF(D60="","",LEFT(D60,3))</f>
        <v>723</v>
      </c>
      <c r="G60" s="2" t="str">
        <f aca="false">IF(F60="","",IF(E60=F60,"Yes","No"))</f>
        <v>Yes</v>
      </c>
      <c r="H60" s="2" t="n">
        <f aca="false">IF(D60="",0,1/COUNTIF($D$2:$D$3451,D60))</f>
        <v>1</v>
      </c>
      <c r="I60" s="13" t="n">
        <f aca="false">IFERROR(INDEX('NCO-2015 scores'!$C$2:$C$131,MATCH(E60,'NCO-2015 scores'!$A$2:$A$131,0)),0)</f>
        <v>0.1675</v>
      </c>
      <c r="J60" s="13" t="n">
        <f aca="false">IF(ISNUMBER(MATCH(E60,'NCO-2015 scores'!$A$2:$A$131,0)),IF(ISNUMBER(INDEX('NCO-2015 scores'!$C$2:$C$131,MATCH(E60,'NCO-2015 scores'!$A$2:$A$131,0))),1,0),0)</f>
        <v>1</v>
      </c>
    </row>
    <row r="61" customFormat="false" ht="15" hidden="false" customHeight="false" outlineLevel="0" collapsed="false">
      <c r="A61" s="2" t="n">
        <v>60</v>
      </c>
      <c r="B61" s="2" t="s">
        <v>629</v>
      </c>
      <c r="C61" s="2" t="s">
        <v>630</v>
      </c>
      <c r="D61" s="2" t="s">
        <v>631</v>
      </c>
      <c r="E61" s="2" t="str">
        <f aca="false">LEFT(C61,3)</f>
        <v>723</v>
      </c>
      <c r="F61" s="2" t="str">
        <f aca="false">IF(D61="","",LEFT(D61,3))</f>
        <v>723</v>
      </c>
      <c r="G61" s="2" t="str">
        <f aca="false">IF(F61="","",IF(E61=F61,"Yes","No"))</f>
        <v>Yes</v>
      </c>
      <c r="H61" s="2" t="n">
        <f aca="false">IF(D61="",0,1/COUNTIF($D$2:$D$3451,D61))</f>
        <v>1</v>
      </c>
      <c r="I61" s="13" t="n">
        <f aca="false">IFERROR(INDEX('NCO-2015 scores'!$C$2:$C$131,MATCH(E61,'NCO-2015 scores'!$A$2:$A$131,0)),0)</f>
        <v>0.1675</v>
      </c>
      <c r="J61" s="13" t="n">
        <f aca="false">IF(ISNUMBER(MATCH(E61,'NCO-2015 scores'!$A$2:$A$131,0)),IF(ISNUMBER(INDEX('NCO-2015 scores'!$C$2:$C$131,MATCH(E61,'NCO-2015 scores'!$A$2:$A$131,0))),1,0),0)</f>
        <v>1</v>
      </c>
    </row>
    <row r="62" customFormat="false" ht="15" hidden="false" customHeight="false" outlineLevel="0" collapsed="false">
      <c r="A62" s="2" t="n">
        <v>61</v>
      </c>
      <c r="B62" s="2" t="s">
        <v>632</v>
      </c>
      <c r="C62" s="2" t="s">
        <v>633</v>
      </c>
      <c r="D62" s="2" t="s">
        <v>634</v>
      </c>
      <c r="E62" s="2" t="str">
        <f aca="false">LEFT(C62,3)</f>
        <v>723</v>
      </c>
      <c r="F62" s="2" t="str">
        <f aca="false">IF(D62="","",LEFT(D62,3))</f>
        <v>723</v>
      </c>
      <c r="G62" s="2" t="str">
        <f aca="false">IF(F62="","",IF(E62=F62,"Yes","No"))</f>
        <v>Yes</v>
      </c>
      <c r="H62" s="2" t="n">
        <f aca="false">IF(D62="",0,1/COUNTIF($D$2:$D$3451,D62))</f>
        <v>1</v>
      </c>
      <c r="I62" s="13" t="n">
        <f aca="false">IFERROR(INDEX('NCO-2015 scores'!$C$2:$C$131,MATCH(E62,'NCO-2015 scores'!$A$2:$A$131,0)),0)</f>
        <v>0.1675</v>
      </c>
      <c r="J62" s="13" t="n">
        <f aca="false">IF(ISNUMBER(MATCH(E62,'NCO-2015 scores'!$A$2:$A$131,0)),IF(ISNUMBER(INDEX('NCO-2015 scores'!$C$2:$C$131,MATCH(E62,'NCO-2015 scores'!$A$2:$A$131,0))),1,0),0)</f>
        <v>1</v>
      </c>
    </row>
    <row r="63" customFormat="false" ht="15" hidden="false" customHeight="false" outlineLevel="0" collapsed="false">
      <c r="A63" s="2" t="n">
        <v>62</v>
      </c>
      <c r="B63" s="2" t="s">
        <v>635</v>
      </c>
      <c r="C63" s="2" t="s">
        <v>636</v>
      </c>
      <c r="D63" s="2" t="s">
        <v>637</v>
      </c>
      <c r="E63" s="2" t="str">
        <f aca="false">LEFT(C63,3)</f>
        <v>723</v>
      </c>
      <c r="F63" s="2" t="str">
        <f aca="false">IF(D63="","",LEFT(D63,3))</f>
        <v>723</v>
      </c>
      <c r="G63" s="2" t="str">
        <f aca="false">IF(F63="","",IF(E63=F63,"Yes","No"))</f>
        <v>Yes</v>
      </c>
      <c r="H63" s="2" t="n">
        <f aca="false">IF(D63="",0,1/COUNTIF($D$2:$D$3451,D63))</f>
        <v>1</v>
      </c>
      <c r="I63" s="13" t="n">
        <f aca="false">IFERROR(INDEX('NCO-2015 scores'!$C$2:$C$131,MATCH(E63,'NCO-2015 scores'!$A$2:$A$131,0)),0)</f>
        <v>0.1675</v>
      </c>
      <c r="J63" s="13" t="n">
        <f aca="false">IF(ISNUMBER(MATCH(E63,'NCO-2015 scores'!$A$2:$A$131,0)),IF(ISNUMBER(INDEX('NCO-2015 scores'!$C$2:$C$131,MATCH(E63,'NCO-2015 scores'!$A$2:$A$131,0))),1,0),0)</f>
        <v>1</v>
      </c>
    </row>
    <row r="64" customFormat="false" ht="15" hidden="false" customHeight="false" outlineLevel="0" collapsed="false">
      <c r="A64" s="2" t="n">
        <v>63</v>
      </c>
      <c r="B64" s="2" t="s">
        <v>638</v>
      </c>
      <c r="C64" s="2" t="s">
        <v>639</v>
      </c>
      <c r="D64" s="2" t="s">
        <v>640</v>
      </c>
      <c r="E64" s="2" t="str">
        <f aca="false">LEFT(C64,3)</f>
        <v>723</v>
      </c>
      <c r="F64" s="2" t="str">
        <f aca="false">IF(D64="","",LEFT(D64,3))</f>
        <v>723</v>
      </c>
      <c r="G64" s="2" t="str">
        <f aca="false">IF(F64="","",IF(E64=F64,"Yes","No"))</f>
        <v>Yes</v>
      </c>
      <c r="H64" s="2" t="n">
        <f aca="false">IF(D64="",0,1/COUNTIF($D$2:$D$3451,D64))</f>
        <v>1</v>
      </c>
      <c r="I64" s="13" t="n">
        <f aca="false">IFERROR(INDEX('NCO-2015 scores'!$C$2:$C$131,MATCH(E64,'NCO-2015 scores'!$A$2:$A$131,0)),0)</f>
        <v>0.1675</v>
      </c>
      <c r="J64" s="13" t="n">
        <f aca="false">IF(ISNUMBER(MATCH(E64,'NCO-2015 scores'!$A$2:$A$131,0)),IF(ISNUMBER(INDEX('NCO-2015 scores'!$C$2:$C$131,MATCH(E64,'NCO-2015 scores'!$A$2:$A$131,0))),1,0),0)</f>
        <v>1</v>
      </c>
    </row>
    <row r="65" customFormat="false" ht="15" hidden="false" customHeight="false" outlineLevel="0" collapsed="false">
      <c r="A65" s="2" t="n">
        <v>64</v>
      </c>
      <c r="B65" s="2" t="s">
        <v>641</v>
      </c>
      <c r="C65" s="2" t="s">
        <v>642</v>
      </c>
      <c r="D65" s="2"/>
      <c r="E65" s="2" t="str">
        <f aca="false">LEFT(C65,3)</f>
        <v>723</v>
      </c>
      <c r="F65" s="2" t="str">
        <f aca="false">IF(D65="","",LEFT(D65,3))</f>
        <v/>
      </c>
      <c r="G65" s="2" t="str">
        <f aca="false">IF(F65="","",IF(E65=F65,"Yes","No"))</f>
        <v/>
      </c>
      <c r="H65" s="2" t="n">
        <f aca="false">IF(D65="",0,1/COUNTIF($D$2:$D$3451,D65))</f>
        <v>0</v>
      </c>
      <c r="I65" s="13" t="n">
        <f aca="false">IFERROR(INDEX('NCO-2015 scores'!$C$2:$C$131,MATCH(E65,'NCO-2015 scores'!$A$2:$A$131,0)),0)</f>
        <v>0.1675</v>
      </c>
      <c r="J65" s="13" t="n">
        <f aca="false">IF(ISNUMBER(MATCH(E65,'NCO-2015 scores'!$A$2:$A$131,0)),IF(ISNUMBER(INDEX('NCO-2015 scores'!$C$2:$C$131,MATCH(E65,'NCO-2015 scores'!$A$2:$A$131,0))),1,0),0)</f>
        <v>1</v>
      </c>
    </row>
    <row r="66" customFormat="false" ht="15" hidden="false" customHeight="false" outlineLevel="0" collapsed="false">
      <c r="A66" s="2" t="n">
        <v>65</v>
      </c>
      <c r="B66" s="2" t="s">
        <v>643</v>
      </c>
      <c r="C66" s="2" t="s">
        <v>644</v>
      </c>
      <c r="D66" s="2"/>
      <c r="E66" s="2" t="str">
        <f aca="false">LEFT(C66,3)</f>
        <v>723</v>
      </c>
      <c r="F66" s="2" t="str">
        <f aca="false">IF(D66="","",LEFT(D66,3))</f>
        <v/>
      </c>
      <c r="G66" s="2" t="str">
        <f aca="false">IF(F66="","",IF(E66=F66,"Yes","No"))</f>
        <v/>
      </c>
      <c r="H66" s="2" t="n">
        <f aca="false">IF(D66="",0,1/COUNTIF($D$2:$D$3451,D66))</f>
        <v>0</v>
      </c>
      <c r="I66" s="13" t="n">
        <f aca="false">IFERROR(INDEX('NCO-2015 scores'!$C$2:$C$131,MATCH(E66,'NCO-2015 scores'!$A$2:$A$131,0)),0)</f>
        <v>0.1675</v>
      </c>
      <c r="J66" s="13" t="n">
        <f aca="false">IF(ISNUMBER(MATCH(E66,'NCO-2015 scores'!$A$2:$A$131,0)),IF(ISNUMBER(INDEX('NCO-2015 scores'!$C$2:$C$131,MATCH(E66,'NCO-2015 scores'!$A$2:$A$131,0))),1,0),0)</f>
        <v>1</v>
      </c>
    </row>
    <row r="67" customFormat="false" ht="15" hidden="false" customHeight="false" outlineLevel="0" collapsed="false">
      <c r="A67" s="2" t="n">
        <v>66</v>
      </c>
      <c r="B67" s="2" t="s">
        <v>645</v>
      </c>
      <c r="C67" s="2" t="s">
        <v>646</v>
      </c>
      <c r="D67" s="2"/>
      <c r="E67" s="2" t="str">
        <f aca="false">LEFT(C67,3)</f>
        <v>723</v>
      </c>
      <c r="F67" s="2" t="str">
        <f aca="false">IF(D67="","",LEFT(D67,3))</f>
        <v/>
      </c>
      <c r="G67" s="2" t="str">
        <f aca="false">IF(F67="","",IF(E67=F67,"Yes","No"))</f>
        <v/>
      </c>
      <c r="H67" s="2" t="n">
        <f aca="false">IF(D67="",0,1/COUNTIF($D$2:$D$3451,D67))</f>
        <v>0</v>
      </c>
      <c r="I67" s="13" t="n">
        <f aca="false">IFERROR(INDEX('NCO-2015 scores'!$C$2:$C$131,MATCH(E67,'NCO-2015 scores'!$A$2:$A$131,0)),0)</f>
        <v>0.1675</v>
      </c>
      <c r="J67" s="13" t="n">
        <f aca="false">IF(ISNUMBER(MATCH(E67,'NCO-2015 scores'!$A$2:$A$131,0)),IF(ISNUMBER(INDEX('NCO-2015 scores'!$C$2:$C$131,MATCH(E67,'NCO-2015 scores'!$A$2:$A$131,0))),1,0),0)</f>
        <v>1</v>
      </c>
    </row>
    <row r="68" customFormat="false" ht="15" hidden="false" customHeight="false" outlineLevel="0" collapsed="false">
      <c r="A68" s="2" t="n">
        <v>67</v>
      </c>
      <c r="B68" s="2" t="s">
        <v>647</v>
      </c>
      <c r="C68" s="2" t="s">
        <v>648</v>
      </c>
      <c r="D68" s="2" t="s">
        <v>649</v>
      </c>
      <c r="E68" s="2" t="str">
        <f aca="false">LEFT(C68,3)</f>
        <v>723</v>
      </c>
      <c r="F68" s="2" t="str">
        <f aca="false">IF(D68="","",LEFT(D68,3))</f>
        <v>723</v>
      </c>
      <c r="G68" s="2" t="str">
        <f aca="false">IF(F68="","",IF(E68=F68,"Yes","No"))</f>
        <v>Yes</v>
      </c>
      <c r="H68" s="2" t="n">
        <f aca="false">IF(D68="",0,1/COUNTIF($D$2:$D$3451,D68))</f>
        <v>1</v>
      </c>
      <c r="I68" s="13" t="n">
        <f aca="false">IFERROR(INDEX('NCO-2015 scores'!$C$2:$C$131,MATCH(E68,'NCO-2015 scores'!$A$2:$A$131,0)),0)</f>
        <v>0.1675</v>
      </c>
      <c r="J68" s="13" t="n">
        <f aca="false">IF(ISNUMBER(MATCH(E68,'NCO-2015 scores'!$A$2:$A$131,0)),IF(ISNUMBER(INDEX('NCO-2015 scores'!$C$2:$C$131,MATCH(E68,'NCO-2015 scores'!$A$2:$A$131,0))),1,0),0)</f>
        <v>1</v>
      </c>
    </row>
    <row r="69" customFormat="false" ht="15" hidden="false" customHeight="false" outlineLevel="0" collapsed="false">
      <c r="A69" s="2" t="n">
        <v>68</v>
      </c>
      <c r="B69" s="2" t="s">
        <v>650</v>
      </c>
      <c r="C69" s="2" t="s">
        <v>651</v>
      </c>
      <c r="D69" s="2" t="s">
        <v>652</v>
      </c>
      <c r="E69" s="2" t="str">
        <f aca="false">LEFT(C69,3)</f>
        <v>723</v>
      </c>
      <c r="F69" s="2" t="str">
        <f aca="false">IF(D69="","",LEFT(D69,3))</f>
        <v>723</v>
      </c>
      <c r="G69" s="2" t="str">
        <f aca="false">IF(F69="","",IF(E69=F69,"Yes","No"))</f>
        <v>Yes</v>
      </c>
      <c r="H69" s="2" t="n">
        <f aca="false">IF(D69="",0,1/COUNTIF($D$2:$D$3451,D69))</f>
        <v>1</v>
      </c>
      <c r="I69" s="13" t="n">
        <f aca="false">IFERROR(INDEX('NCO-2015 scores'!$C$2:$C$131,MATCH(E69,'NCO-2015 scores'!$A$2:$A$131,0)),0)</f>
        <v>0.1675</v>
      </c>
      <c r="J69" s="13" t="n">
        <f aca="false">IF(ISNUMBER(MATCH(E69,'NCO-2015 scores'!$A$2:$A$131,0)),IF(ISNUMBER(INDEX('NCO-2015 scores'!$C$2:$C$131,MATCH(E69,'NCO-2015 scores'!$A$2:$A$131,0))),1,0),0)</f>
        <v>1</v>
      </c>
    </row>
    <row r="70" customFormat="false" ht="15" hidden="false" customHeight="false" outlineLevel="0" collapsed="false">
      <c r="A70" s="2" t="n">
        <v>69</v>
      </c>
      <c r="B70" s="2" t="s">
        <v>653</v>
      </c>
      <c r="C70" s="2" t="s">
        <v>654</v>
      </c>
      <c r="D70" s="2" t="s">
        <v>655</v>
      </c>
      <c r="E70" s="2" t="str">
        <f aca="false">LEFT(C70,3)</f>
        <v>723</v>
      </c>
      <c r="F70" s="2" t="str">
        <f aca="false">IF(D70="","",LEFT(D70,3))</f>
        <v>723</v>
      </c>
      <c r="G70" s="2" t="str">
        <f aca="false">IF(F70="","",IF(E70=F70,"Yes","No"))</f>
        <v>Yes</v>
      </c>
      <c r="H70" s="2" t="n">
        <f aca="false">IF(D70="",0,1/COUNTIF($D$2:$D$3451,D70))</f>
        <v>1</v>
      </c>
      <c r="I70" s="13" t="n">
        <f aca="false">IFERROR(INDEX('NCO-2015 scores'!$C$2:$C$131,MATCH(E70,'NCO-2015 scores'!$A$2:$A$131,0)),0)</f>
        <v>0.1675</v>
      </c>
      <c r="J70" s="13" t="n">
        <f aca="false">IF(ISNUMBER(MATCH(E70,'NCO-2015 scores'!$A$2:$A$131,0)),IF(ISNUMBER(INDEX('NCO-2015 scores'!$C$2:$C$131,MATCH(E70,'NCO-2015 scores'!$A$2:$A$131,0))),1,0),0)</f>
        <v>1</v>
      </c>
    </row>
    <row r="71" customFormat="false" ht="15" hidden="false" customHeight="false" outlineLevel="0" collapsed="false">
      <c r="A71" s="2" t="n">
        <v>70</v>
      </c>
      <c r="B71" s="2" t="s">
        <v>656</v>
      </c>
      <c r="C71" s="2" t="s">
        <v>657</v>
      </c>
      <c r="D71" s="2"/>
      <c r="E71" s="2" t="str">
        <f aca="false">LEFT(C71,3)</f>
        <v>723</v>
      </c>
      <c r="F71" s="2" t="str">
        <f aca="false">IF(D71="","",LEFT(D71,3))</f>
        <v/>
      </c>
      <c r="G71" s="2" t="str">
        <f aca="false">IF(F71="","",IF(E71=F71,"Yes","No"))</f>
        <v/>
      </c>
      <c r="H71" s="2" t="n">
        <f aca="false">IF(D71="",0,1/COUNTIF($D$2:$D$3451,D71))</f>
        <v>0</v>
      </c>
      <c r="I71" s="13" t="n">
        <f aca="false">IFERROR(INDEX('NCO-2015 scores'!$C$2:$C$131,MATCH(E71,'NCO-2015 scores'!$A$2:$A$131,0)),0)</f>
        <v>0.1675</v>
      </c>
      <c r="J71" s="13" t="n">
        <f aca="false">IF(ISNUMBER(MATCH(E71,'NCO-2015 scores'!$A$2:$A$131,0)),IF(ISNUMBER(INDEX('NCO-2015 scores'!$C$2:$C$131,MATCH(E71,'NCO-2015 scores'!$A$2:$A$131,0))),1,0),0)</f>
        <v>1</v>
      </c>
    </row>
    <row r="72" customFormat="false" ht="15" hidden="false" customHeight="false" outlineLevel="0" collapsed="false">
      <c r="A72" s="2" t="n">
        <v>71</v>
      </c>
      <c r="B72" s="2" t="s">
        <v>658</v>
      </c>
      <c r="C72" s="2" t="s">
        <v>659</v>
      </c>
      <c r="D72" s="2" t="s">
        <v>660</v>
      </c>
      <c r="E72" s="2" t="str">
        <f aca="false">LEFT(C72,3)</f>
        <v>723</v>
      </c>
      <c r="F72" s="2" t="str">
        <f aca="false">IF(D72="","",LEFT(D72,3))</f>
        <v>723</v>
      </c>
      <c r="G72" s="2" t="str">
        <f aca="false">IF(F72="","",IF(E72=F72,"Yes","No"))</f>
        <v>Yes</v>
      </c>
      <c r="H72" s="2" t="n">
        <f aca="false">IF(D72="",0,1/COUNTIF($D$2:$D$3451,D72))</f>
        <v>1</v>
      </c>
      <c r="I72" s="13" t="n">
        <f aca="false">IFERROR(INDEX('NCO-2015 scores'!$C$2:$C$131,MATCH(E72,'NCO-2015 scores'!$A$2:$A$131,0)),0)</f>
        <v>0.1675</v>
      </c>
      <c r="J72" s="13" t="n">
        <f aca="false">IF(ISNUMBER(MATCH(E72,'NCO-2015 scores'!$A$2:$A$131,0)),IF(ISNUMBER(INDEX('NCO-2015 scores'!$C$2:$C$131,MATCH(E72,'NCO-2015 scores'!$A$2:$A$131,0))),1,0),0)</f>
        <v>1</v>
      </c>
    </row>
    <row r="73" customFormat="false" ht="15" hidden="false" customHeight="false" outlineLevel="0" collapsed="false">
      <c r="A73" s="2" t="n">
        <v>72</v>
      </c>
      <c r="B73" s="2" t="s">
        <v>661</v>
      </c>
      <c r="C73" s="2" t="s">
        <v>662</v>
      </c>
      <c r="D73" s="2" t="s">
        <v>663</v>
      </c>
      <c r="E73" s="2" t="str">
        <f aca="false">LEFT(C73,3)</f>
        <v>723</v>
      </c>
      <c r="F73" s="2" t="str">
        <f aca="false">IF(D73="","",LEFT(D73,3))</f>
        <v>723</v>
      </c>
      <c r="G73" s="2" t="str">
        <f aca="false">IF(F73="","",IF(E73=F73,"Yes","No"))</f>
        <v>Yes</v>
      </c>
      <c r="H73" s="2" t="n">
        <f aca="false">IF(D73="",0,1/COUNTIF($D$2:$D$3451,D73))</f>
        <v>1</v>
      </c>
      <c r="I73" s="13" t="n">
        <f aca="false">IFERROR(INDEX('NCO-2015 scores'!$C$2:$C$131,MATCH(E73,'NCO-2015 scores'!$A$2:$A$131,0)),0)</f>
        <v>0.1675</v>
      </c>
      <c r="J73" s="13" t="n">
        <f aca="false">IF(ISNUMBER(MATCH(E73,'NCO-2015 scores'!$A$2:$A$131,0)),IF(ISNUMBER(INDEX('NCO-2015 scores'!$C$2:$C$131,MATCH(E73,'NCO-2015 scores'!$A$2:$A$131,0))),1,0),0)</f>
        <v>1</v>
      </c>
    </row>
    <row r="74" customFormat="false" ht="15" hidden="false" customHeight="false" outlineLevel="0" collapsed="false">
      <c r="A74" s="2" t="n">
        <v>73</v>
      </c>
      <c r="B74" s="2" t="s">
        <v>664</v>
      </c>
      <c r="C74" s="2" t="s">
        <v>665</v>
      </c>
      <c r="D74" s="2" t="s">
        <v>666</v>
      </c>
      <c r="E74" s="2" t="str">
        <f aca="false">LEFT(C74,3)</f>
        <v>723</v>
      </c>
      <c r="F74" s="2" t="str">
        <f aca="false">IF(D74="","",LEFT(D74,3))</f>
        <v>723</v>
      </c>
      <c r="G74" s="2" t="str">
        <f aca="false">IF(F74="","",IF(E74=F74,"Yes","No"))</f>
        <v>Yes</v>
      </c>
      <c r="H74" s="2" t="n">
        <f aca="false">IF(D74="",0,1/COUNTIF($D$2:$D$3451,D74))</f>
        <v>1</v>
      </c>
      <c r="I74" s="13" t="n">
        <f aca="false">IFERROR(INDEX('NCO-2015 scores'!$C$2:$C$131,MATCH(E74,'NCO-2015 scores'!$A$2:$A$131,0)),0)</f>
        <v>0.1675</v>
      </c>
      <c r="J74" s="13" t="n">
        <f aca="false">IF(ISNUMBER(MATCH(E74,'NCO-2015 scores'!$A$2:$A$131,0)),IF(ISNUMBER(INDEX('NCO-2015 scores'!$C$2:$C$131,MATCH(E74,'NCO-2015 scores'!$A$2:$A$131,0))),1,0),0)</f>
        <v>1</v>
      </c>
    </row>
    <row r="75" customFormat="false" ht="15" hidden="false" customHeight="false" outlineLevel="0" collapsed="false">
      <c r="A75" s="2" t="n">
        <v>74</v>
      </c>
      <c r="B75" s="2" t="s">
        <v>667</v>
      </c>
      <c r="C75" s="2" t="s">
        <v>668</v>
      </c>
      <c r="D75" s="2" t="s">
        <v>669</v>
      </c>
      <c r="E75" s="2" t="str">
        <f aca="false">LEFT(C75,3)</f>
        <v>723</v>
      </c>
      <c r="F75" s="2" t="str">
        <f aca="false">IF(D75="","",LEFT(D75,3))</f>
        <v>723</v>
      </c>
      <c r="G75" s="2" t="str">
        <f aca="false">IF(F75="","",IF(E75=F75,"Yes","No"))</f>
        <v>Yes</v>
      </c>
      <c r="H75" s="2" t="n">
        <f aca="false">IF(D75="",0,1/COUNTIF($D$2:$D$3451,D75))</f>
        <v>1</v>
      </c>
      <c r="I75" s="13" t="n">
        <f aca="false">IFERROR(INDEX('NCO-2015 scores'!$C$2:$C$131,MATCH(E75,'NCO-2015 scores'!$A$2:$A$131,0)),0)</f>
        <v>0.1675</v>
      </c>
      <c r="J75" s="13" t="n">
        <f aca="false">IF(ISNUMBER(MATCH(E75,'NCO-2015 scores'!$A$2:$A$131,0)),IF(ISNUMBER(INDEX('NCO-2015 scores'!$C$2:$C$131,MATCH(E75,'NCO-2015 scores'!$A$2:$A$131,0))),1,0),0)</f>
        <v>1</v>
      </c>
    </row>
    <row r="76" customFormat="false" ht="15" hidden="false" customHeight="false" outlineLevel="0" collapsed="false">
      <c r="A76" s="2" t="n">
        <v>75</v>
      </c>
      <c r="B76" s="2" t="s">
        <v>670</v>
      </c>
      <c r="C76" s="2" t="s">
        <v>671</v>
      </c>
      <c r="D76" s="2"/>
      <c r="E76" s="2" t="str">
        <f aca="false">LEFT(C76,3)</f>
        <v>723</v>
      </c>
      <c r="F76" s="2" t="str">
        <f aca="false">IF(D76="","",LEFT(D76,3))</f>
        <v/>
      </c>
      <c r="G76" s="2" t="str">
        <f aca="false">IF(F76="","",IF(E76=F76,"Yes","No"))</f>
        <v/>
      </c>
      <c r="H76" s="2" t="n">
        <f aca="false">IF(D76="",0,1/COUNTIF($D$2:$D$3451,D76))</f>
        <v>0</v>
      </c>
      <c r="I76" s="13" t="n">
        <f aca="false">IFERROR(INDEX('NCO-2015 scores'!$C$2:$C$131,MATCH(E76,'NCO-2015 scores'!$A$2:$A$131,0)),0)</f>
        <v>0.1675</v>
      </c>
      <c r="J76" s="13" t="n">
        <f aca="false">IF(ISNUMBER(MATCH(E76,'NCO-2015 scores'!$A$2:$A$131,0)),IF(ISNUMBER(INDEX('NCO-2015 scores'!$C$2:$C$131,MATCH(E76,'NCO-2015 scores'!$A$2:$A$131,0))),1,0),0)</f>
        <v>1</v>
      </c>
    </row>
    <row r="77" customFormat="false" ht="15" hidden="false" customHeight="false" outlineLevel="0" collapsed="false">
      <c r="A77" s="2" t="n">
        <v>76</v>
      </c>
      <c r="B77" s="2" t="s">
        <v>672</v>
      </c>
      <c r="C77" s="2" t="s">
        <v>673</v>
      </c>
      <c r="D77" s="2" t="s">
        <v>674</v>
      </c>
      <c r="E77" s="2" t="str">
        <f aca="false">LEFT(C77,3)</f>
        <v>723</v>
      </c>
      <c r="F77" s="2" t="str">
        <f aca="false">IF(D77="","",LEFT(D77,3))</f>
        <v>723</v>
      </c>
      <c r="G77" s="2" t="str">
        <f aca="false">IF(F77="","",IF(E77=F77,"Yes","No"))</f>
        <v>Yes</v>
      </c>
      <c r="H77" s="2" t="n">
        <f aca="false">IF(D77="",0,1/COUNTIF($D$2:$D$3451,D77))</f>
        <v>1</v>
      </c>
      <c r="I77" s="13" t="n">
        <f aca="false">IFERROR(INDEX('NCO-2015 scores'!$C$2:$C$131,MATCH(E77,'NCO-2015 scores'!$A$2:$A$131,0)),0)</f>
        <v>0.1675</v>
      </c>
      <c r="J77" s="13" t="n">
        <f aca="false">IF(ISNUMBER(MATCH(E77,'NCO-2015 scores'!$A$2:$A$131,0)),IF(ISNUMBER(INDEX('NCO-2015 scores'!$C$2:$C$131,MATCH(E77,'NCO-2015 scores'!$A$2:$A$131,0))),1,0),0)</f>
        <v>1</v>
      </c>
    </row>
    <row r="78" customFormat="false" ht="15" hidden="false" customHeight="false" outlineLevel="0" collapsed="false">
      <c r="A78" s="2" t="n">
        <v>77</v>
      </c>
      <c r="B78" s="2" t="s">
        <v>675</v>
      </c>
      <c r="C78" s="2" t="s">
        <v>676</v>
      </c>
      <c r="D78" s="2" t="s">
        <v>677</v>
      </c>
      <c r="E78" s="2" t="str">
        <f aca="false">LEFT(C78,3)</f>
        <v>723</v>
      </c>
      <c r="F78" s="2" t="str">
        <f aca="false">IF(D78="","",LEFT(D78,3))</f>
        <v>723</v>
      </c>
      <c r="G78" s="2" t="str">
        <f aca="false">IF(F78="","",IF(E78=F78,"Yes","No"))</f>
        <v>Yes</v>
      </c>
      <c r="H78" s="2" t="n">
        <f aca="false">IF(D78="",0,1/COUNTIF($D$2:$D$3451,D78))</f>
        <v>1</v>
      </c>
      <c r="I78" s="13" t="n">
        <f aca="false">IFERROR(INDEX('NCO-2015 scores'!$C$2:$C$131,MATCH(E78,'NCO-2015 scores'!$A$2:$A$131,0)),0)</f>
        <v>0.1675</v>
      </c>
      <c r="J78" s="13" t="n">
        <f aca="false">IF(ISNUMBER(MATCH(E78,'NCO-2015 scores'!$A$2:$A$131,0)),IF(ISNUMBER(INDEX('NCO-2015 scores'!$C$2:$C$131,MATCH(E78,'NCO-2015 scores'!$A$2:$A$131,0))),1,0),0)</f>
        <v>1</v>
      </c>
    </row>
    <row r="79" customFormat="false" ht="15" hidden="false" customHeight="false" outlineLevel="0" collapsed="false">
      <c r="A79" s="2" t="n">
        <v>78</v>
      </c>
      <c r="B79" s="2" t="s">
        <v>678</v>
      </c>
      <c r="C79" s="2" t="s">
        <v>679</v>
      </c>
      <c r="D79" s="2" t="s">
        <v>680</v>
      </c>
      <c r="E79" s="2" t="str">
        <f aca="false">LEFT(C79,3)</f>
        <v>723</v>
      </c>
      <c r="F79" s="2" t="str">
        <f aca="false">IF(D79="","",LEFT(D79,3))</f>
        <v>723</v>
      </c>
      <c r="G79" s="2" t="str">
        <f aca="false">IF(F79="","",IF(E79=F79,"Yes","No"))</f>
        <v>Yes</v>
      </c>
      <c r="H79" s="2" t="n">
        <f aca="false">IF(D79="",0,1/COUNTIF($D$2:$D$3451,D79))</f>
        <v>1</v>
      </c>
      <c r="I79" s="13" t="n">
        <f aca="false">IFERROR(INDEX('NCO-2015 scores'!$C$2:$C$131,MATCH(E79,'NCO-2015 scores'!$A$2:$A$131,0)),0)</f>
        <v>0.1675</v>
      </c>
      <c r="J79" s="13" t="n">
        <f aca="false">IF(ISNUMBER(MATCH(E79,'NCO-2015 scores'!$A$2:$A$131,0)),IF(ISNUMBER(INDEX('NCO-2015 scores'!$C$2:$C$131,MATCH(E79,'NCO-2015 scores'!$A$2:$A$131,0))),1,0),0)</f>
        <v>1</v>
      </c>
    </row>
    <row r="80" customFormat="false" ht="15" hidden="false" customHeight="false" outlineLevel="0" collapsed="false">
      <c r="A80" s="2" t="n">
        <v>79</v>
      </c>
      <c r="B80" s="2" t="s">
        <v>681</v>
      </c>
      <c r="C80" s="2" t="s">
        <v>682</v>
      </c>
      <c r="D80" s="2" t="s">
        <v>683</v>
      </c>
      <c r="E80" s="2" t="str">
        <f aca="false">LEFT(C80,3)</f>
        <v>723</v>
      </c>
      <c r="F80" s="2" t="str">
        <f aca="false">IF(D80="","",LEFT(D80,3))</f>
        <v>723</v>
      </c>
      <c r="G80" s="2" t="str">
        <f aca="false">IF(F80="","",IF(E80=F80,"Yes","No"))</f>
        <v>Yes</v>
      </c>
      <c r="H80" s="2" t="n">
        <f aca="false">IF(D80="",0,1/COUNTIF($D$2:$D$3451,D80))</f>
        <v>1</v>
      </c>
      <c r="I80" s="13" t="n">
        <f aca="false">IFERROR(INDEX('NCO-2015 scores'!$C$2:$C$131,MATCH(E80,'NCO-2015 scores'!$A$2:$A$131,0)),0)</f>
        <v>0.1675</v>
      </c>
      <c r="J80" s="13" t="n">
        <f aca="false">IF(ISNUMBER(MATCH(E80,'NCO-2015 scores'!$A$2:$A$131,0)),IF(ISNUMBER(INDEX('NCO-2015 scores'!$C$2:$C$131,MATCH(E80,'NCO-2015 scores'!$A$2:$A$131,0))),1,0),0)</f>
        <v>1</v>
      </c>
    </row>
    <row r="81" customFormat="false" ht="15" hidden="false" customHeight="false" outlineLevel="0" collapsed="false">
      <c r="A81" s="2" t="n">
        <v>80</v>
      </c>
      <c r="B81" s="2" t="s">
        <v>684</v>
      </c>
      <c r="C81" s="2" t="s">
        <v>685</v>
      </c>
      <c r="D81" s="2" t="s">
        <v>686</v>
      </c>
      <c r="E81" s="2" t="str">
        <f aca="false">LEFT(C81,3)</f>
        <v>723</v>
      </c>
      <c r="F81" s="2" t="str">
        <f aca="false">IF(D81="","",LEFT(D81,3))</f>
        <v>723</v>
      </c>
      <c r="G81" s="2" t="str">
        <f aca="false">IF(F81="","",IF(E81=F81,"Yes","No"))</f>
        <v>Yes</v>
      </c>
      <c r="H81" s="2" t="n">
        <f aca="false">IF(D81="",0,1/COUNTIF($D$2:$D$3451,D81))</f>
        <v>1</v>
      </c>
      <c r="I81" s="13" t="n">
        <f aca="false">IFERROR(INDEX('NCO-2015 scores'!$C$2:$C$131,MATCH(E81,'NCO-2015 scores'!$A$2:$A$131,0)),0)</f>
        <v>0.1675</v>
      </c>
      <c r="J81" s="13" t="n">
        <f aca="false">IF(ISNUMBER(MATCH(E81,'NCO-2015 scores'!$A$2:$A$131,0)),IF(ISNUMBER(INDEX('NCO-2015 scores'!$C$2:$C$131,MATCH(E81,'NCO-2015 scores'!$A$2:$A$131,0))),1,0),0)</f>
        <v>1</v>
      </c>
    </row>
    <row r="82" customFormat="false" ht="15" hidden="false" customHeight="false" outlineLevel="0" collapsed="false">
      <c r="A82" s="2" t="n">
        <v>81</v>
      </c>
      <c r="B82" s="2" t="s">
        <v>687</v>
      </c>
      <c r="C82" s="2" t="s">
        <v>688</v>
      </c>
      <c r="D82" s="2" t="s">
        <v>689</v>
      </c>
      <c r="E82" s="2" t="str">
        <f aca="false">LEFT(C82,3)</f>
        <v>723</v>
      </c>
      <c r="F82" s="2" t="str">
        <f aca="false">IF(D82="","",LEFT(D82,3))</f>
        <v>723</v>
      </c>
      <c r="G82" s="2" t="str">
        <f aca="false">IF(F82="","",IF(E82=F82,"Yes","No"))</f>
        <v>Yes</v>
      </c>
      <c r="H82" s="2" t="n">
        <f aca="false">IF(D82="",0,1/COUNTIF($D$2:$D$3451,D82))</f>
        <v>1</v>
      </c>
      <c r="I82" s="13" t="n">
        <f aca="false">IFERROR(INDEX('NCO-2015 scores'!$C$2:$C$131,MATCH(E82,'NCO-2015 scores'!$A$2:$A$131,0)),0)</f>
        <v>0.1675</v>
      </c>
      <c r="J82" s="13" t="n">
        <f aca="false">IF(ISNUMBER(MATCH(E82,'NCO-2015 scores'!$A$2:$A$131,0)),IF(ISNUMBER(INDEX('NCO-2015 scores'!$C$2:$C$131,MATCH(E82,'NCO-2015 scores'!$A$2:$A$131,0))),1,0),0)</f>
        <v>1</v>
      </c>
    </row>
    <row r="83" customFormat="false" ht="15" hidden="false" customHeight="false" outlineLevel="0" collapsed="false">
      <c r="A83" s="2" t="n">
        <v>82</v>
      </c>
      <c r="B83" s="2" t="s">
        <v>690</v>
      </c>
      <c r="C83" s="2" t="s">
        <v>691</v>
      </c>
      <c r="D83" s="2" t="s">
        <v>692</v>
      </c>
      <c r="E83" s="2" t="str">
        <f aca="false">LEFT(C83,3)</f>
        <v>723</v>
      </c>
      <c r="F83" s="2" t="str">
        <f aca="false">IF(D83="","",LEFT(D83,3))</f>
        <v>723</v>
      </c>
      <c r="G83" s="2" t="str">
        <f aca="false">IF(F83="","",IF(E83=F83,"Yes","No"))</f>
        <v>Yes</v>
      </c>
      <c r="H83" s="2" t="n">
        <f aca="false">IF(D83="",0,1/COUNTIF($D$2:$D$3451,D83))</f>
        <v>1</v>
      </c>
      <c r="I83" s="13" t="n">
        <f aca="false">IFERROR(INDEX('NCO-2015 scores'!$C$2:$C$131,MATCH(E83,'NCO-2015 scores'!$A$2:$A$131,0)),0)</f>
        <v>0.1675</v>
      </c>
      <c r="J83" s="13" t="n">
        <f aca="false">IF(ISNUMBER(MATCH(E83,'NCO-2015 scores'!$A$2:$A$131,0)),IF(ISNUMBER(INDEX('NCO-2015 scores'!$C$2:$C$131,MATCH(E83,'NCO-2015 scores'!$A$2:$A$131,0))),1,0),0)</f>
        <v>1</v>
      </c>
    </row>
    <row r="84" customFormat="false" ht="15" hidden="false" customHeight="false" outlineLevel="0" collapsed="false">
      <c r="A84" s="2" t="n">
        <v>83</v>
      </c>
      <c r="B84" s="2" t="s">
        <v>693</v>
      </c>
      <c r="C84" s="2" t="s">
        <v>694</v>
      </c>
      <c r="D84" s="2" t="s">
        <v>695</v>
      </c>
      <c r="E84" s="2" t="str">
        <f aca="false">LEFT(C84,3)</f>
        <v>723</v>
      </c>
      <c r="F84" s="2" t="str">
        <f aca="false">IF(D84="","",LEFT(D84,3))</f>
        <v>723</v>
      </c>
      <c r="G84" s="2" t="str">
        <f aca="false">IF(F84="","",IF(E84=F84,"Yes","No"))</f>
        <v>Yes</v>
      </c>
      <c r="H84" s="2" t="n">
        <f aca="false">IF(D84="",0,1/COUNTIF($D$2:$D$3451,D84))</f>
        <v>1</v>
      </c>
      <c r="I84" s="13" t="n">
        <f aca="false">IFERROR(INDEX('NCO-2015 scores'!$C$2:$C$131,MATCH(E84,'NCO-2015 scores'!$A$2:$A$131,0)),0)</f>
        <v>0.1675</v>
      </c>
      <c r="J84" s="13" t="n">
        <f aca="false">IF(ISNUMBER(MATCH(E84,'NCO-2015 scores'!$A$2:$A$131,0)),IF(ISNUMBER(INDEX('NCO-2015 scores'!$C$2:$C$131,MATCH(E84,'NCO-2015 scores'!$A$2:$A$131,0))),1,0),0)</f>
        <v>1</v>
      </c>
    </row>
    <row r="85" customFormat="false" ht="15" hidden="false" customHeight="false" outlineLevel="0" collapsed="false">
      <c r="A85" s="2" t="n">
        <v>84</v>
      </c>
      <c r="B85" s="2" t="s">
        <v>696</v>
      </c>
      <c r="C85" s="2" t="s">
        <v>697</v>
      </c>
      <c r="D85" s="2" t="s">
        <v>698</v>
      </c>
      <c r="E85" s="2" t="str">
        <f aca="false">LEFT(C85,3)</f>
        <v>723</v>
      </c>
      <c r="F85" s="2" t="str">
        <f aca="false">IF(D85="","",LEFT(D85,3))</f>
        <v>723</v>
      </c>
      <c r="G85" s="2" t="str">
        <f aca="false">IF(F85="","",IF(E85=F85,"Yes","No"))</f>
        <v>Yes</v>
      </c>
      <c r="H85" s="2" t="n">
        <f aca="false">IF(D85="",0,1/COUNTIF($D$2:$D$3451,D85))</f>
        <v>1</v>
      </c>
      <c r="I85" s="13" t="n">
        <f aca="false">IFERROR(INDEX('NCO-2015 scores'!$C$2:$C$131,MATCH(E85,'NCO-2015 scores'!$A$2:$A$131,0)),0)</f>
        <v>0.1675</v>
      </c>
      <c r="J85" s="13" t="n">
        <f aca="false">IF(ISNUMBER(MATCH(E85,'NCO-2015 scores'!$A$2:$A$131,0)),IF(ISNUMBER(INDEX('NCO-2015 scores'!$C$2:$C$131,MATCH(E85,'NCO-2015 scores'!$A$2:$A$131,0))),1,0),0)</f>
        <v>1</v>
      </c>
    </row>
    <row r="86" customFormat="false" ht="15" hidden="false" customHeight="false" outlineLevel="0" collapsed="false">
      <c r="A86" s="2" t="n">
        <v>85</v>
      </c>
      <c r="B86" s="2" t="s">
        <v>699</v>
      </c>
      <c r="C86" s="2" t="s">
        <v>700</v>
      </c>
      <c r="D86" s="2" t="s">
        <v>701</v>
      </c>
      <c r="E86" s="2" t="str">
        <f aca="false">LEFT(C86,3)</f>
        <v>723</v>
      </c>
      <c r="F86" s="2" t="str">
        <f aca="false">IF(D86="","",LEFT(D86,3))</f>
        <v>723</v>
      </c>
      <c r="G86" s="2" t="str">
        <f aca="false">IF(F86="","",IF(E86=F86,"Yes","No"))</f>
        <v>Yes</v>
      </c>
      <c r="H86" s="2" t="n">
        <f aca="false">IF(D86="",0,1/COUNTIF($D$2:$D$3451,D86))</f>
        <v>1</v>
      </c>
      <c r="I86" s="13" t="n">
        <f aca="false">IFERROR(INDEX('NCO-2015 scores'!$C$2:$C$131,MATCH(E86,'NCO-2015 scores'!$A$2:$A$131,0)),0)</f>
        <v>0.1675</v>
      </c>
      <c r="J86" s="13" t="n">
        <f aca="false">IF(ISNUMBER(MATCH(E86,'NCO-2015 scores'!$A$2:$A$131,0)),IF(ISNUMBER(INDEX('NCO-2015 scores'!$C$2:$C$131,MATCH(E86,'NCO-2015 scores'!$A$2:$A$131,0))),1,0),0)</f>
        <v>1</v>
      </c>
    </row>
    <row r="87" customFormat="false" ht="15" hidden="false" customHeight="false" outlineLevel="0" collapsed="false">
      <c r="A87" s="2" t="n">
        <v>86</v>
      </c>
      <c r="B87" s="2" t="s">
        <v>702</v>
      </c>
      <c r="C87" s="2" t="s">
        <v>703</v>
      </c>
      <c r="D87" s="2" t="s">
        <v>704</v>
      </c>
      <c r="E87" s="2" t="str">
        <f aca="false">LEFT(C87,3)</f>
        <v>723</v>
      </c>
      <c r="F87" s="2" t="str">
        <f aca="false">IF(D87="","",LEFT(D87,3))</f>
        <v>723</v>
      </c>
      <c r="G87" s="2" t="str">
        <f aca="false">IF(F87="","",IF(E87=F87,"Yes","No"))</f>
        <v>Yes</v>
      </c>
      <c r="H87" s="2" t="n">
        <f aca="false">IF(D87="",0,1/COUNTIF($D$2:$D$3451,D87))</f>
        <v>1</v>
      </c>
      <c r="I87" s="13" t="n">
        <f aca="false">IFERROR(INDEX('NCO-2015 scores'!$C$2:$C$131,MATCH(E87,'NCO-2015 scores'!$A$2:$A$131,0)),0)</f>
        <v>0.1675</v>
      </c>
      <c r="J87" s="13" t="n">
        <f aca="false">IF(ISNUMBER(MATCH(E87,'NCO-2015 scores'!$A$2:$A$131,0)),IF(ISNUMBER(INDEX('NCO-2015 scores'!$C$2:$C$131,MATCH(E87,'NCO-2015 scores'!$A$2:$A$131,0))),1,0),0)</f>
        <v>1</v>
      </c>
    </row>
    <row r="88" customFormat="false" ht="15" hidden="false" customHeight="false" outlineLevel="0" collapsed="false">
      <c r="A88" s="2" t="n">
        <v>87</v>
      </c>
      <c r="B88" s="2" t="s">
        <v>705</v>
      </c>
      <c r="C88" s="2" t="s">
        <v>706</v>
      </c>
      <c r="D88" s="2" t="s">
        <v>707</v>
      </c>
      <c r="E88" s="2" t="str">
        <f aca="false">LEFT(C88,3)</f>
        <v>723</v>
      </c>
      <c r="F88" s="2" t="str">
        <f aca="false">IF(D88="","",LEFT(D88,3))</f>
        <v>723</v>
      </c>
      <c r="G88" s="2" t="str">
        <f aca="false">IF(F88="","",IF(E88=F88,"Yes","No"))</f>
        <v>Yes</v>
      </c>
      <c r="H88" s="2" t="n">
        <f aca="false">IF(D88="",0,1/COUNTIF($D$2:$D$3451,D88))</f>
        <v>1</v>
      </c>
      <c r="I88" s="13" t="n">
        <f aca="false">IFERROR(INDEX('NCO-2015 scores'!$C$2:$C$131,MATCH(E88,'NCO-2015 scores'!$A$2:$A$131,0)),0)</f>
        <v>0.1675</v>
      </c>
      <c r="J88" s="13" t="n">
        <f aca="false">IF(ISNUMBER(MATCH(E88,'NCO-2015 scores'!$A$2:$A$131,0)),IF(ISNUMBER(INDEX('NCO-2015 scores'!$C$2:$C$131,MATCH(E88,'NCO-2015 scores'!$A$2:$A$131,0))),1,0),0)</f>
        <v>1</v>
      </c>
    </row>
    <row r="89" customFormat="false" ht="15" hidden="false" customHeight="false" outlineLevel="0" collapsed="false">
      <c r="A89" s="2" t="n">
        <v>88</v>
      </c>
      <c r="B89" s="2" t="s">
        <v>708</v>
      </c>
      <c r="C89" s="2" t="s">
        <v>709</v>
      </c>
      <c r="D89" s="2" t="s">
        <v>710</v>
      </c>
      <c r="E89" s="2" t="str">
        <f aca="false">LEFT(C89,3)</f>
        <v>723</v>
      </c>
      <c r="F89" s="2" t="str">
        <f aca="false">IF(D89="","",LEFT(D89,3))</f>
        <v>723</v>
      </c>
      <c r="G89" s="2" t="str">
        <f aca="false">IF(F89="","",IF(E89=F89,"Yes","No"))</f>
        <v>Yes</v>
      </c>
      <c r="H89" s="2" t="n">
        <f aca="false">IF(D89="",0,1/COUNTIF($D$2:$D$3451,D89))</f>
        <v>1</v>
      </c>
      <c r="I89" s="13" t="n">
        <f aca="false">IFERROR(INDEX('NCO-2015 scores'!$C$2:$C$131,MATCH(E89,'NCO-2015 scores'!$A$2:$A$131,0)),0)</f>
        <v>0.1675</v>
      </c>
      <c r="J89" s="13" t="n">
        <f aca="false">IF(ISNUMBER(MATCH(E89,'NCO-2015 scores'!$A$2:$A$131,0)),IF(ISNUMBER(INDEX('NCO-2015 scores'!$C$2:$C$131,MATCH(E89,'NCO-2015 scores'!$A$2:$A$131,0))),1,0),0)</f>
        <v>1</v>
      </c>
    </row>
    <row r="90" customFormat="false" ht="15" hidden="false" customHeight="false" outlineLevel="0" collapsed="false">
      <c r="A90" s="2" t="n">
        <v>89</v>
      </c>
      <c r="B90" s="2" t="s">
        <v>711</v>
      </c>
      <c r="C90" s="2" t="s">
        <v>712</v>
      </c>
      <c r="D90" s="2" t="s">
        <v>713</v>
      </c>
      <c r="E90" s="2" t="str">
        <f aca="false">LEFT(C90,3)</f>
        <v>723</v>
      </c>
      <c r="F90" s="2" t="str">
        <f aca="false">IF(D90="","",LEFT(D90,3))</f>
        <v>723</v>
      </c>
      <c r="G90" s="2" t="str">
        <f aca="false">IF(F90="","",IF(E90=F90,"Yes","No"))</f>
        <v>Yes</v>
      </c>
      <c r="H90" s="2" t="n">
        <f aca="false">IF(D90="",0,1/COUNTIF($D$2:$D$3451,D90))</f>
        <v>1</v>
      </c>
      <c r="I90" s="13" t="n">
        <f aca="false">IFERROR(INDEX('NCO-2015 scores'!$C$2:$C$131,MATCH(E90,'NCO-2015 scores'!$A$2:$A$131,0)),0)</f>
        <v>0.1675</v>
      </c>
      <c r="J90" s="13" t="n">
        <f aca="false">IF(ISNUMBER(MATCH(E90,'NCO-2015 scores'!$A$2:$A$131,0)),IF(ISNUMBER(INDEX('NCO-2015 scores'!$C$2:$C$131,MATCH(E90,'NCO-2015 scores'!$A$2:$A$131,0))),1,0),0)</f>
        <v>1</v>
      </c>
    </row>
    <row r="91" customFormat="false" ht="15" hidden="false" customHeight="false" outlineLevel="0" collapsed="false">
      <c r="A91" s="2" t="n">
        <v>90</v>
      </c>
      <c r="B91" s="2" t="s">
        <v>714</v>
      </c>
      <c r="C91" s="2" t="s">
        <v>715</v>
      </c>
      <c r="D91" s="2"/>
      <c r="E91" s="2" t="str">
        <f aca="false">LEFT(C91,3)</f>
        <v>723</v>
      </c>
      <c r="F91" s="2" t="str">
        <f aca="false">IF(D91="","",LEFT(D91,3))</f>
        <v/>
      </c>
      <c r="G91" s="2" t="str">
        <f aca="false">IF(F91="","",IF(E91=F91,"Yes","No"))</f>
        <v/>
      </c>
      <c r="H91" s="2" t="n">
        <f aca="false">IF(D91="",0,1/COUNTIF($D$2:$D$3451,D91))</f>
        <v>0</v>
      </c>
      <c r="I91" s="13" t="n">
        <f aca="false">IFERROR(INDEX('NCO-2015 scores'!$C$2:$C$131,MATCH(E91,'NCO-2015 scores'!$A$2:$A$131,0)),0)</f>
        <v>0.1675</v>
      </c>
      <c r="J91" s="13" t="n">
        <f aca="false">IF(ISNUMBER(MATCH(E91,'NCO-2015 scores'!$A$2:$A$131,0)),IF(ISNUMBER(INDEX('NCO-2015 scores'!$C$2:$C$131,MATCH(E91,'NCO-2015 scores'!$A$2:$A$131,0))),1,0),0)</f>
        <v>1</v>
      </c>
    </row>
    <row r="92" customFormat="false" ht="15" hidden="false" customHeight="false" outlineLevel="0" collapsed="false">
      <c r="A92" s="2" t="n">
        <v>91</v>
      </c>
      <c r="B92" s="2" t="s">
        <v>716</v>
      </c>
      <c r="C92" s="2" t="s">
        <v>717</v>
      </c>
      <c r="D92" s="2" t="s">
        <v>718</v>
      </c>
      <c r="E92" s="2" t="str">
        <f aca="false">LEFT(C92,3)</f>
        <v>723</v>
      </c>
      <c r="F92" s="2" t="str">
        <f aca="false">IF(D92="","",LEFT(D92,3))</f>
        <v>723</v>
      </c>
      <c r="G92" s="2" t="str">
        <f aca="false">IF(F92="","",IF(E92=F92,"Yes","No"))</f>
        <v>Yes</v>
      </c>
      <c r="H92" s="2" t="n">
        <f aca="false">IF(D92="",0,1/COUNTIF($D$2:$D$3451,D92))</f>
        <v>1</v>
      </c>
      <c r="I92" s="13" t="n">
        <f aca="false">IFERROR(INDEX('NCO-2015 scores'!$C$2:$C$131,MATCH(E92,'NCO-2015 scores'!$A$2:$A$131,0)),0)</f>
        <v>0.1675</v>
      </c>
      <c r="J92" s="13" t="n">
        <f aca="false">IF(ISNUMBER(MATCH(E92,'NCO-2015 scores'!$A$2:$A$131,0)),IF(ISNUMBER(INDEX('NCO-2015 scores'!$C$2:$C$131,MATCH(E92,'NCO-2015 scores'!$A$2:$A$131,0))),1,0),0)</f>
        <v>1</v>
      </c>
    </row>
    <row r="93" customFormat="false" ht="15" hidden="false" customHeight="false" outlineLevel="0" collapsed="false">
      <c r="A93" s="2" t="n">
        <v>92</v>
      </c>
      <c r="B93" s="2" t="s">
        <v>719</v>
      </c>
      <c r="C93" s="2" t="s">
        <v>720</v>
      </c>
      <c r="D93" s="2"/>
      <c r="E93" s="2" t="str">
        <f aca="false">LEFT(C93,3)</f>
        <v>314</v>
      </c>
      <c r="F93" s="2" t="str">
        <f aca="false">IF(D93="","",LEFT(D93,3))</f>
        <v/>
      </c>
      <c r="G93" s="2" t="str">
        <f aca="false">IF(F93="","",IF(E93=F93,"Yes","No"))</f>
        <v/>
      </c>
      <c r="H93" s="2" t="n">
        <f aca="false">IF(D93="",0,1/COUNTIF($D$2:$D$3451,D93))</f>
        <v>0</v>
      </c>
      <c r="I93" s="13" t="n">
        <f aca="false">IFERROR(INDEX('NCO-2015 scores'!$C$2:$C$131,MATCH(E93,'NCO-2015 scores'!$A$2:$A$131,0)),0)</f>
        <v>0.2833</v>
      </c>
      <c r="J93" s="13" t="n">
        <f aca="false">IF(ISNUMBER(MATCH(E93,'NCO-2015 scores'!$A$2:$A$131,0)),IF(ISNUMBER(INDEX('NCO-2015 scores'!$C$2:$C$131,MATCH(E93,'NCO-2015 scores'!$A$2:$A$131,0))),1,0),0)</f>
        <v>1</v>
      </c>
    </row>
    <row r="94" customFormat="false" ht="15" hidden="false" customHeight="false" outlineLevel="0" collapsed="false">
      <c r="A94" s="2" t="n">
        <v>93</v>
      </c>
      <c r="B94" s="2" t="s">
        <v>721</v>
      </c>
      <c r="C94" s="2" t="s">
        <v>722</v>
      </c>
      <c r="D94" s="2"/>
      <c r="E94" s="2" t="str">
        <f aca="false">LEFT(C94,3)</f>
        <v>314</v>
      </c>
      <c r="F94" s="2" t="str">
        <f aca="false">IF(D94="","",LEFT(D94,3))</f>
        <v/>
      </c>
      <c r="G94" s="2" t="str">
        <f aca="false">IF(F94="","",IF(E94=F94,"Yes","No"))</f>
        <v/>
      </c>
      <c r="H94" s="2" t="n">
        <f aca="false">IF(D94="",0,1/COUNTIF($D$2:$D$3451,D94))</f>
        <v>0</v>
      </c>
      <c r="I94" s="13" t="n">
        <f aca="false">IFERROR(INDEX('NCO-2015 scores'!$C$2:$C$131,MATCH(E94,'NCO-2015 scores'!$A$2:$A$131,0)),0)</f>
        <v>0.2833</v>
      </c>
      <c r="J94" s="13" t="n">
        <f aca="false">IF(ISNUMBER(MATCH(E94,'NCO-2015 scores'!$A$2:$A$131,0)),IF(ISNUMBER(INDEX('NCO-2015 scores'!$C$2:$C$131,MATCH(E94,'NCO-2015 scores'!$A$2:$A$131,0))),1,0),0)</f>
        <v>1</v>
      </c>
    </row>
    <row r="95" customFormat="false" ht="15" hidden="false" customHeight="false" outlineLevel="0" collapsed="false">
      <c r="A95" s="2" t="n">
        <v>94</v>
      </c>
      <c r="B95" s="2" t="s">
        <v>723</v>
      </c>
      <c r="C95" s="2" t="s">
        <v>724</v>
      </c>
      <c r="D95" s="2"/>
      <c r="E95" s="2" t="str">
        <f aca="false">LEFT(C95,3)</f>
        <v>314</v>
      </c>
      <c r="F95" s="2" t="str">
        <f aca="false">IF(D95="","",LEFT(D95,3))</f>
        <v/>
      </c>
      <c r="G95" s="2" t="str">
        <f aca="false">IF(F95="","",IF(E95=F95,"Yes","No"))</f>
        <v/>
      </c>
      <c r="H95" s="2" t="n">
        <f aca="false">IF(D95="",0,1/COUNTIF($D$2:$D$3451,D95))</f>
        <v>0</v>
      </c>
      <c r="I95" s="13" t="n">
        <f aca="false">IFERROR(INDEX('NCO-2015 scores'!$C$2:$C$131,MATCH(E95,'NCO-2015 scores'!$A$2:$A$131,0)),0)</f>
        <v>0.2833</v>
      </c>
      <c r="J95" s="13" t="n">
        <f aca="false">IF(ISNUMBER(MATCH(E95,'NCO-2015 scores'!$A$2:$A$131,0)),IF(ISNUMBER(INDEX('NCO-2015 scores'!$C$2:$C$131,MATCH(E95,'NCO-2015 scores'!$A$2:$A$131,0))),1,0),0)</f>
        <v>1</v>
      </c>
    </row>
    <row r="96" customFormat="false" ht="15" hidden="false" customHeight="false" outlineLevel="0" collapsed="false">
      <c r="A96" s="2" t="n">
        <v>95</v>
      </c>
      <c r="B96" s="2" t="s">
        <v>725</v>
      </c>
      <c r="C96" s="2" t="s">
        <v>726</v>
      </c>
      <c r="D96" s="2"/>
      <c r="E96" s="2" t="str">
        <f aca="false">LEFT(C96,3)</f>
        <v>611</v>
      </c>
      <c r="F96" s="2" t="str">
        <f aca="false">IF(D96="","",LEFT(D96,3))</f>
        <v/>
      </c>
      <c r="G96" s="2" t="str">
        <f aca="false">IF(F96="","",IF(E96=F96,"Yes","No"))</f>
        <v/>
      </c>
      <c r="H96" s="2" t="n">
        <f aca="false">IF(D96="",0,1/COUNTIF($D$2:$D$3451,D96))</f>
        <v>0</v>
      </c>
      <c r="I96" s="13" t="n">
        <f aca="false">IFERROR(INDEX('NCO-2015 scores'!$C$2:$C$131,MATCH(E96,'NCO-2015 scores'!$A$2:$A$131,0)),0)</f>
        <v>0.175</v>
      </c>
      <c r="J96" s="13" t="n">
        <f aca="false">IF(ISNUMBER(MATCH(E96,'NCO-2015 scores'!$A$2:$A$131,0)),IF(ISNUMBER(INDEX('NCO-2015 scores'!$C$2:$C$131,MATCH(E96,'NCO-2015 scores'!$A$2:$A$131,0))),1,0),0)</f>
        <v>1</v>
      </c>
    </row>
    <row r="97" customFormat="false" ht="15" hidden="false" customHeight="false" outlineLevel="0" collapsed="false">
      <c r="A97" s="2" t="n">
        <v>96</v>
      </c>
      <c r="B97" s="2" t="s">
        <v>727</v>
      </c>
      <c r="C97" s="2" t="s">
        <v>728</v>
      </c>
      <c r="D97" s="2"/>
      <c r="E97" s="2" t="str">
        <f aca="false">LEFT(C97,3)</f>
        <v>611</v>
      </c>
      <c r="F97" s="2" t="str">
        <f aca="false">IF(D97="","",LEFT(D97,3))</f>
        <v/>
      </c>
      <c r="G97" s="2" t="str">
        <f aca="false">IF(F97="","",IF(E97=F97,"Yes","No"))</f>
        <v/>
      </c>
      <c r="H97" s="2" t="n">
        <f aca="false">IF(D97="",0,1/COUNTIF($D$2:$D$3451,D97))</f>
        <v>0</v>
      </c>
      <c r="I97" s="13" t="n">
        <f aca="false">IFERROR(INDEX('NCO-2015 scores'!$C$2:$C$131,MATCH(E97,'NCO-2015 scores'!$A$2:$A$131,0)),0)</f>
        <v>0.175</v>
      </c>
      <c r="J97" s="13" t="n">
        <f aca="false">IF(ISNUMBER(MATCH(E97,'NCO-2015 scores'!$A$2:$A$131,0)),IF(ISNUMBER(INDEX('NCO-2015 scores'!$C$2:$C$131,MATCH(E97,'NCO-2015 scores'!$A$2:$A$131,0))),1,0),0)</f>
        <v>1</v>
      </c>
    </row>
    <row r="98" customFormat="false" ht="15" hidden="false" customHeight="false" outlineLevel="0" collapsed="false">
      <c r="A98" s="2" t="n">
        <v>97</v>
      </c>
      <c r="B98" s="2" t="s">
        <v>729</v>
      </c>
      <c r="C98" s="2" t="s">
        <v>730</v>
      </c>
      <c r="D98" s="2"/>
      <c r="E98" s="2" t="str">
        <f aca="false">LEFT(C98,3)</f>
        <v>611</v>
      </c>
      <c r="F98" s="2" t="str">
        <f aca="false">IF(D98="","",LEFT(D98,3))</f>
        <v/>
      </c>
      <c r="G98" s="2" t="str">
        <f aca="false">IF(F98="","",IF(E98=F98,"Yes","No"))</f>
        <v/>
      </c>
      <c r="H98" s="2" t="n">
        <f aca="false">IF(D98="",0,1/COUNTIF($D$2:$D$3451,D98))</f>
        <v>0</v>
      </c>
      <c r="I98" s="13" t="n">
        <f aca="false">IFERROR(INDEX('NCO-2015 scores'!$C$2:$C$131,MATCH(E98,'NCO-2015 scores'!$A$2:$A$131,0)),0)</f>
        <v>0.175</v>
      </c>
      <c r="J98" s="13" t="n">
        <f aca="false">IF(ISNUMBER(MATCH(E98,'NCO-2015 scores'!$A$2:$A$131,0)),IF(ISNUMBER(INDEX('NCO-2015 scores'!$C$2:$C$131,MATCH(E98,'NCO-2015 scores'!$A$2:$A$131,0))),1,0),0)</f>
        <v>1</v>
      </c>
    </row>
    <row r="99" customFormat="false" ht="15" hidden="false" customHeight="false" outlineLevel="0" collapsed="false">
      <c r="A99" s="2" t="n">
        <v>98</v>
      </c>
      <c r="B99" s="2" t="s">
        <v>731</v>
      </c>
      <c r="C99" s="2" t="s">
        <v>732</v>
      </c>
      <c r="D99" s="2" t="s">
        <v>733</v>
      </c>
      <c r="E99" s="2" t="str">
        <f aca="false">LEFT(C99,3)</f>
        <v>315</v>
      </c>
      <c r="F99" s="2" t="str">
        <f aca="false">IF(D99="","",LEFT(D99,3))</f>
        <v>314</v>
      </c>
      <c r="G99" s="2" t="str">
        <f aca="false">IF(F99="","",IF(E99=F99,"Yes","No"))</f>
        <v>No</v>
      </c>
      <c r="H99" s="2" t="n">
        <f aca="false">IF(D99="",0,1/COUNTIF($D$2:$D$3451,D99))</f>
        <v>1</v>
      </c>
      <c r="I99" s="13" t="n">
        <f aca="false">IFERROR(INDEX('NCO-2015 scores'!$C$2:$C$131,MATCH(E99,'NCO-2015 scores'!$A$2:$A$131,0)),0)</f>
        <v>0.288</v>
      </c>
      <c r="J99" s="13" t="n">
        <f aca="false">IF(ISNUMBER(MATCH(E99,'NCO-2015 scores'!$A$2:$A$131,0)),IF(ISNUMBER(INDEX('NCO-2015 scores'!$C$2:$C$131,MATCH(E99,'NCO-2015 scores'!$A$2:$A$131,0))),1,0),0)</f>
        <v>1</v>
      </c>
    </row>
    <row r="100" customFormat="false" ht="15" hidden="false" customHeight="false" outlineLevel="0" collapsed="false">
      <c r="A100" s="2" t="n">
        <v>99</v>
      </c>
      <c r="B100" s="2" t="s">
        <v>734</v>
      </c>
      <c r="C100" s="2" t="s">
        <v>735</v>
      </c>
      <c r="D100" s="2" t="s">
        <v>736</v>
      </c>
      <c r="E100" s="2" t="str">
        <f aca="false">LEFT(C100,3)</f>
        <v>315</v>
      </c>
      <c r="F100" s="2" t="str">
        <f aca="false">IF(D100="","",LEFT(D100,3))</f>
        <v>314</v>
      </c>
      <c r="G100" s="2" t="str">
        <f aca="false">IF(F100="","",IF(E100=F100,"Yes","No"))</f>
        <v>No</v>
      </c>
      <c r="H100" s="2" t="n">
        <f aca="false">IF(D100="",0,1/COUNTIF($D$2:$D$3451,D100))</f>
        <v>1</v>
      </c>
      <c r="I100" s="13" t="n">
        <f aca="false">IFERROR(INDEX('NCO-2015 scores'!$C$2:$C$131,MATCH(E100,'NCO-2015 scores'!$A$2:$A$131,0)),0)</f>
        <v>0.288</v>
      </c>
      <c r="J100" s="13" t="n">
        <f aca="false">IF(ISNUMBER(MATCH(E100,'NCO-2015 scores'!$A$2:$A$131,0)),IF(ISNUMBER(INDEX('NCO-2015 scores'!$C$2:$C$131,MATCH(E100,'NCO-2015 scores'!$A$2:$A$131,0))),1,0),0)</f>
        <v>1</v>
      </c>
    </row>
    <row r="101" customFormat="false" ht="15" hidden="false" customHeight="false" outlineLevel="0" collapsed="false">
      <c r="A101" s="2" t="n">
        <v>100</v>
      </c>
      <c r="B101" s="2" t="s">
        <v>737</v>
      </c>
      <c r="C101" s="2" t="s">
        <v>738</v>
      </c>
      <c r="D101" s="2" t="s">
        <v>739</v>
      </c>
      <c r="E101" s="2" t="str">
        <f aca="false">LEFT(C101,3)</f>
        <v>315</v>
      </c>
      <c r="F101" s="2" t="str">
        <f aca="false">IF(D101="","",LEFT(D101,3))</f>
        <v>314</v>
      </c>
      <c r="G101" s="2" t="str">
        <f aca="false">IF(F101="","",IF(E101=F101,"Yes","No"))</f>
        <v>No</v>
      </c>
      <c r="H101" s="2" t="n">
        <f aca="false">IF(D101="",0,1/COUNTIF($D$2:$D$3451,D101))</f>
        <v>1</v>
      </c>
      <c r="I101" s="13" t="n">
        <f aca="false">IFERROR(INDEX('NCO-2015 scores'!$C$2:$C$131,MATCH(E101,'NCO-2015 scores'!$A$2:$A$131,0)),0)</f>
        <v>0.288</v>
      </c>
      <c r="J101" s="13" t="n">
        <f aca="false">IF(ISNUMBER(MATCH(E101,'NCO-2015 scores'!$A$2:$A$131,0)),IF(ISNUMBER(INDEX('NCO-2015 scores'!$C$2:$C$131,MATCH(E101,'NCO-2015 scores'!$A$2:$A$131,0))),1,0),0)</f>
        <v>1</v>
      </c>
    </row>
    <row r="102" customFormat="false" ht="15" hidden="false" customHeight="false" outlineLevel="0" collapsed="false">
      <c r="A102" s="2" t="n">
        <v>101</v>
      </c>
      <c r="B102" s="2" t="s">
        <v>740</v>
      </c>
      <c r="C102" s="2" t="s">
        <v>741</v>
      </c>
      <c r="D102" s="2" t="s">
        <v>742</v>
      </c>
      <c r="E102" s="2" t="str">
        <f aca="false">LEFT(C102,3)</f>
        <v>712</v>
      </c>
      <c r="F102" s="2" t="str">
        <f aca="false">IF(D102="","",LEFT(D102,3))</f>
        <v>723</v>
      </c>
      <c r="G102" s="2" t="str">
        <f aca="false">IF(F102="","",IF(E102=F102,"Yes","No"))</f>
        <v>No</v>
      </c>
      <c r="H102" s="2" t="n">
        <f aca="false">IF(D102="",0,1/COUNTIF($D$2:$D$3451,D102))</f>
        <v>1</v>
      </c>
      <c r="I102" s="13" t="n">
        <f aca="false">IFERROR(INDEX('NCO-2015 scores'!$C$2:$C$131,MATCH(E102,'NCO-2015 scores'!$A$2:$A$131,0)),0)</f>
        <v>0.1429</v>
      </c>
      <c r="J102" s="13" t="n">
        <f aca="false">IF(ISNUMBER(MATCH(E102,'NCO-2015 scores'!$A$2:$A$131,0)),IF(ISNUMBER(INDEX('NCO-2015 scores'!$C$2:$C$131,MATCH(E102,'NCO-2015 scores'!$A$2:$A$131,0))),1,0),0)</f>
        <v>1</v>
      </c>
    </row>
    <row r="103" customFormat="false" ht="15" hidden="false" customHeight="false" outlineLevel="0" collapsed="false">
      <c r="A103" s="2" t="n">
        <v>102</v>
      </c>
      <c r="B103" s="2" t="s">
        <v>743</v>
      </c>
      <c r="C103" s="2" t="s">
        <v>744</v>
      </c>
      <c r="D103" s="2" t="s">
        <v>745</v>
      </c>
      <c r="E103" s="2" t="str">
        <f aca="false">LEFT(C103,3)</f>
        <v>723</v>
      </c>
      <c r="F103" s="2" t="str">
        <f aca="false">IF(D103="","",LEFT(D103,3))</f>
        <v>723</v>
      </c>
      <c r="G103" s="2" t="str">
        <f aca="false">IF(F103="","",IF(E103=F103,"Yes","No"))</f>
        <v>Yes</v>
      </c>
      <c r="H103" s="2" t="n">
        <f aca="false">IF(D103="",0,1/COUNTIF($D$2:$D$3451,D103))</f>
        <v>1</v>
      </c>
      <c r="I103" s="13" t="n">
        <f aca="false">IFERROR(INDEX('NCO-2015 scores'!$C$2:$C$131,MATCH(E103,'NCO-2015 scores'!$A$2:$A$131,0)),0)</f>
        <v>0.1675</v>
      </c>
      <c r="J103" s="13" t="n">
        <f aca="false">IF(ISNUMBER(MATCH(E103,'NCO-2015 scores'!$A$2:$A$131,0)),IF(ISNUMBER(INDEX('NCO-2015 scores'!$C$2:$C$131,MATCH(E103,'NCO-2015 scores'!$A$2:$A$131,0))),1,0),0)</f>
        <v>1</v>
      </c>
    </row>
    <row r="104" customFormat="false" ht="15" hidden="false" customHeight="false" outlineLevel="0" collapsed="false">
      <c r="A104" s="2" t="n">
        <v>103</v>
      </c>
      <c r="B104" s="2" t="s">
        <v>746</v>
      </c>
      <c r="C104" s="2" t="s">
        <v>747</v>
      </c>
      <c r="D104" s="2" t="s">
        <v>748</v>
      </c>
      <c r="E104" s="2" t="str">
        <f aca="false">LEFT(C104,3)</f>
        <v>723</v>
      </c>
      <c r="F104" s="2" t="str">
        <f aca="false">IF(D104="","",LEFT(D104,3))</f>
        <v>723</v>
      </c>
      <c r="G104" s="2" t="str">
        <f aca="false">IF(F104="","",IF(E104=F104,"Yes","No"))</f>
        <v>Yes</v>
      </c>
      <c r="H104" s="2" t="n">
        <f aca="false">IF(D104="",0,1/COUNTIF($D$2:$D$3451,D104))</f>
        <v>1</v>
      </c>
      <c r="I104" s="13" t="n">
        <f aca="false">IFERROR(INDEX('NCO-2015 scores'!$C$2:$C$131,MATCH(E104,'NCO-2015 scores'!$A$2:$A$131,0)),0)</f>
        <v>0.1675</v>
      </c>
      <c r="J104" s="13" t="n">
        <f aca="false">IF(ISNUMBER(MATCH(E104,'NCO-2015 scores'!$A$2:$A$131,0)),IF(ISNUMBER(INDEX('NCO-2015 scores'!$C$2:$C$131,MATCH(E104,'NCO-2015 scores'!$A$2:$A$131,0))),1,0),0)</f>
        <v>1</v>
      </c>
    </row>
    <row r="105" customFormat="false" ht="15" hidden="false" customHeight="false" outlineLevel="0" collapsed="false">
      <c r="A105" s="2" t="n">
        <v>104</v>
      </c>
      <c r="B105" s="2" t="s">
        <v>749</v>
      </c>
      <c r="C105" s="2" t="s">
        <v>750</v>
      </c>
      <c r="D105" s="2" t="s">
        <v>751</v>
      </c>
      <c r="E105" s="2" t="str">
        <f aca="false">LEFT(C105,3)</f>
        <v>723</v>
      </c>
      <c r="F105" s="2" t="str">
        <f aca="false">IF(D105="","",LEFT(D105,3))</f>
        <v>723</v>
      </c>
      <c r="G105" s="2" t="str">
        <f aca="false">IF(F105="","",IF(E105=F105,"Yes","No"))</f>
        <v>Yes</v>
      </c>
      <c r="H105" s="2" t="n">
        <f aca="false">IF(D105="",0,1/COUNTIF($D$2:$D$3451,D105))</f>
        <v>1</v>
      </c>
      <c r="I105" s="13" t="n">
        <f aca="false">IFERROR(INDEX('NCO-2015 scores'!$C$2:$C$131,MATCH(E105,'NCO-2015 scores'!$A$2:$A$131,0)),0)</f>
        <v>0.1675</v>
      </c>
      <c r="J105" s="13" t="n">
        <f aca="false">IF(ISNUMBER(MATCH(E105,'NCO-2015 scores'!$A$2:$A$131,0)),IF(ISNUMBER(INDEX('NCO-2015 scores'!$C$2:$C$131,MATCH(E105,'NCO-2015 scores'!$A$2:$A$131,0))),1,0),0)</f>
        <v>1</v>
      </c>
    </row>
    <row r="106" customFormat="false" ht="15" hidden="false" customHeight="false" outlineLevel="0" collapsed="false">
      <c r="A106" s="2" t="n">
        <v>105</v>
      </c>
      <c r="B106" s="2" t="s">
        <v>752</v>
      </c>
      <c r="C106" s="2" t="s">
        <v>753</v>
      </c>
      <c r="D106" s="2" t="s">
        <v>754</v>
      </c>
      <c r="E106" s="2" t="str">
        <f aca="false">LEFT(C106,3)</f>
        <v>723</v>
      </c>
      <c r="F106" s="2" t="str">
        <f aca="false">IF(D106="","",LEFT(D106,3))</f>
        <v>723</v>
      </c>
      <c r="G106" s="2" t="str">
        <f aca="false">IF(F106="","",IF(E106=F106,"Yes","No"))</f>
        <v>Yes</v>
      </c>
      <c r="H106" s="2" t="n">
        <f aca="false">IF(D106="",0,1/COUNTIF($D$2:$D$3451,D106))</f>
        <v>1</v>
      </c>
      <c r="I106" s="13" t="n">
        <f aca="false">IFERROR(INDEX('NCO-2015 scores'!$C$2:$C$131,MATCH(E106,'NCO-2015 scores'!$A$2:$A$131,0)),0)</f>
        <v>0.1675</v>
      </c>
      <c r="J106" s="13" t="n">
        <f aca="false">IF(ISNUMBER(MATCH(E106,'NCO-2015 scores'!$A$2:$A$131,0)),IF(ISNUMBER(INDEX('NCO-2015 scores'!$C$2:$C$131,MATCH(E106,'NCO-2015 scores'!$A$2:$A$131,0))),1,0),0)</f>
        <v>1</v>
      </c>
    </row>
    <row r="107" customFormat="false" ht="15" hidden="false" customHeight="false" outlineLevel="0" collapsed="false">
      <c r="A107" s="2" t="n">
        <v>105</v>
      </c>
      <c r="B107" s="2" t="s">
        <v>752</v>
      </c>
      <c r="C107" s="2" t="s">
        <v>753</v>
      </c>
      <c r="D107" s="2" t="s">
        <v>755</v>
      </c>
      <c r="E107" s="2" t="str">
        <f aca="false">LEFT(C107,3)</f>
        <v>723</v>
      </c>
      <c r="F107" s="2" t="str">
        <f aca="false">IF(D107="","",LEFT(D107,3))</f>
        <v>723</v>
      </c>
      <c r="G107" s="2" t="str">
        <f aca="false">IF(F107="","",IF(E107=F107,"Yes","No"))</f>
        <v>Yes</v>
      </c>
      <c r="H107" s="2" t="n">
        <f aca="false">IF(D107="",0,1/COUNTIF($D$2:$D$3451,D107))</f>
        <v>1</v>
      </c>
      <c r="I107" s="13" t="n">
        <f aca="false">IFERROR(INDEX('NCO-2015 scores'!$C$2:$C$131,MATCH(E107,'NCO-2015 scores'!$A$2:$A$131,0)),0)</f>
        <v>0.1675</v>
      </c>
      <c r="J107" s="13" t="n">
        <f aca="false">IF(ISNUMBER(MATCH(E107,'NCO-2015 scores'!$A$2:$A$131,0)),IF(ISNUMBER(INDEX('NCO-2015 scores'!$C$2:$C$131,MATCH(E107,'NCO-2015 scores'!$A$2:$A$131,0))),1,0),0)</f>
        <v>1</v>
      </c>
    </row>
    <row r="108" customFormat="false" ht="15" hidden="false" customHeight="false" outlineLevel="0" collapsed="false">
      <c r="A108" s="2" t="n">
        <v>106</v>
      </c>
      <c r="B108" s="2" t="s">
        <v>756</v>
      </c>
      <c r="C108" s="2" t="s">
        <v>757</v>
      </c>
      <c r="D108" s="2" t="s">
        <v>758</v>
      </c>
      <c r="E108" s="2" t="str">
        <f aca="false">LEFT(C108,3)</f>
        <v>723</v>
      </c>
      <c r="F108" s="2" t="str">
        <f aca="false">IF(D108="","",LEFT(D108,3))</f>
        <v>723</v>
      </c>
      <c r="G108" s="2" t="str">
        <f aca="false">IF(F108="","",IF(E108=F108,"Yes","No"))</f>
        <v>Yes</v>
      </c>
      <c r="H108" s="2" t="n">
        <f aca="false">IF(D108="",0,1/COUNTIF($D$2:$D$3451,D108))</f>
        <v>1</v>
      </c>
      <c r="I108" s="13" t="n">
        <f aca="false">IFERROR(INDEX('NCO-2015 scores'!$C$2:$C$131,MATCH(E108,'NCO-2015 scores'!$A$2:$A$131,0)),0)</f>
        <v>0.1675</v>
      </c>
      <c r="J108" s="13" t="n">
        <f aca="false">IF(ISNUMBER(MATCH(E108,'NCO-2015 scores'!$A$2:$A$131,0)),IF(ISNUMBER(INDEX('NCO-2015 scores'!$C$2:$C$131,MATCH(E108,'NCO-2015 scores'!$A$2:$A$131,0))),1,0),0)</f>
        <v>1</v>
      </c>
    </row>
    <row r="109" customFormat="false" ht="15" hidden="false" customHeight="false" outlineLevel="0" collapsed="false">
      <c r="A109" s="2" t="n">
        <v>107</v>
      </c>
      <c r="B109" s="2" t="s">
        <v>759</v>
      </c>
      <c r="C109" s="2" t="s">
        <v>760</v>
      </c>
      <c r="D109" s="2" t="s">
        <v>761</v>
      </c>
      <c r="E109" s="2" t="str">
        <f aca="false">LEFT(C109,3)</f>
        <v>723</v>
      </c>
      <c r="F109" s="2" t="str">
        <f aca="false">IF(D109="","",LEFT(D109,3))</f>
        <v>723</v>
      </c>
      <c r="G109" s="2" t="str">
        <f aca="false">IF(F109="","",IF(E109=F109,"Yes","No"))</f>
        <v>Yes</v>
      </c>
      <c r="H109" s="2" t="n">
        <f aca="false">IF(D109="",0,1/COUNTIF($D$2:$D$3451,D109))</f>
        <v>1</v>
      </c>
      <c r="I109" s="13" t="n">
        <f aca="false">IFERROR(INDEX('NCO-2015 scores'!$C$2:$C$131,MATCH(E109,'NCO-2015 scores'!$A$2:$A$131,0)),0)</f>
        <v>0.1675</v>
      </c>
      <c r="J109" s="13" t="n">
        <f aca="false">IF(ISNUMBER(MATCH(E109,'NCO-2015 scores'!$A$2:$A$131,0)),IF(ISNUMBER(INDEX('NCO-2015 scores'!$C$2:$C$131,MATCH(E109,'NCO-2015 scores'!$A$2:$A$131,0))),1,0),0)</f>
        <v>1</v>
      </c>
    </row>
    <row r="110" customFormat="false" ht="15" hidden="false" customHeight="false" outlineLevel="0" collapsed="false">
      <c r="A110" s="2" t="n">
        <v>108</v>
      </c>
      <c r="B110" s="2" t="s">
        <v>762</v>
      </c>
      <c r="C110" s="2" t="s">
        <v>763</v>
      </c>
      <c r="D110" s="2" t="s">
        <v>764</v>
      </c>
      <c r="E110" s="2" t="str">
        <f aca="false">LEFT(C110,3)</f>
        <v>723</v>
      </c>
      <c r="F110" s="2" t="str">
        <f aca="false">IF(D110="","",LEFT(D110,3))</f>
        <v>723</v>
      </c>
      <c r="G110" s="2" t="str">
        <f aca="false">IF(F110="","",IF(E110=F110,"Yes","No"))</f>
        <v>Yes</v>
      </c>
      <c r="H110" s="2" t="n">
        <f aca="false">IF(D110="",0,1/COUNTIF($D$2:$D$3451,D110))</f>
        <v>1</v>
      </c>
      <c r="I110" s="13" t="n">
        <f aca="false">IFERROR(INDEX('NCO-2015 scores'!$C$2:$C$131,MATCH(E110,'NCO-2015 scores'!$A$2:$A$131,0)),0)</f>
        <v>0.1675</v>
      </c>
      <c r="J110" s="13" t="n">
        <f aca="false">IF(ISNUMBER(MATCH(E110,'NCO-2015 scores'!$A$2:$A$131,0)),IF(ISNUMBER(INDEX('NCO-2015 scores'!$C$2:$C$131,MATCH(E110,'NCO-2015 scores'!$A$2:$A$131,0))),1,0),0)</f>
        <v>1</v>
      </c>
    </row>
    <row r="111" customFormat="false" ht="15" hidden="false" customHeight="false" outlineLevel="0" collapsed="false">
      <c r="A111" s="2" t="n">
        <v>109</v>
      </c>
      <c r="B111" s="2" t="s">
        <v>765</v>
      </c>
      <c r="C111" s="2" t="s">
        <v>766</v>
      </c>
      <c r="D111" s="2" t="s">
        <v>767</v>
      </c>
      <c r="E111" s="2" t="str">
        <f aca="false">LEFT(C111,3)</f>
        <v>315</v>
      </c>
      <c r="F111" s="2" t="str">
        <f aca="false">IF(D111="","",LEFT(D111,3))</f>
        <v>314</v>
      </c>
      <c r="G111" s="2" t="str">
        <f aca="false">IF(F111="","",IF(E111=F111,"Yes","No"))</f>
        <v>No</v>
      </c>
      <c r="H111" s="2" t="n">
        <f aca="false">IF(D111="",0,1/COUNTIF($D$2:$D$3451,D111))</f>
        <v>1</v>
      </c>
      <c r="I111" s="13" t="n">
        <f aca="false">IFERROR(INDEX('NCO-2015 scores'!$C$2:$C$131,MATCH(E111,'NCO-2015 scores'!$A$2:$A$131,0)),0)</f>
        <v>0.288</v>
      </c>
      <c r="J111" s="13" t="n">
        <f aca="false">IF(ISNUMBER(MATCH(E111,'NCO-2015 scores'!$A$2:$A$131,0)),IF(ISNUMBER(INDEX('NCO-2015 scores'!$C$2:$C$131,MATCH(E111,'NCO-2015 scores'!$A$2:$A$131,0))),1,0),0)</f>
        <v>1</v>
      </c>
    </row>
    <row r="112" customFormat="false" ht="15" hidden="false" customHeight="false" outlineLevel="0" collapsed="false">
      <c r="A112" s="2" t="n">
        <v>110</v>
      </c>
      <c r="B112" s="2" t="s">
        <v>768</v>
      </c>
      <c r="C112" s="2" t="s">
        <v>769</v>
      </c>
      <c r="D112" s="2" t="s">
        <v>770</v>
      </c>
      <c r="E112" s="2" t="str">
        <f aca="false">LEFT(C112,3)</f>
        <v>315</v>
      </c>
      <c r="F112" s="2" t="str">
        <f aca="false">IF(D112="","",LEFT(D112,3))</f>
        <v>314</v>
      </c>
      <c r="G112" s="2" t="str">
        <f aca="false">IF(F112="","",IF(E112=F112,"Yes","No"))</f>
        <v>No</v>
      </c>
      <c r="H112" s="2" t="n">
        <f aca="false">IF(D112="",0,1/COUNTIF($D$2:$D$3451,D112))</f>
        <v>1</v>
      </c>
      <c r="I112" s="13" t="n">
        <f aca="false">IFERROR(INDEX('NCO-2015 scores'!$C$2:$C$131,MATCH(E112,'NCO-2015 scores'!$A$2:$A$131,0)),0)</f>
        <v>0.288</v>
      </c>
      <c r="J112" s="13" t="n">
        <f aca="false">IF(ISNUMBER(MATCH(E112,'NCO-2015 scores'!$A$2:$A$131,0)),IF(ISNUMBER(INDEX('NCO-2015 scores'!$C$2:$C$131,MATCH(E112,'NCO-2015 scores'!$A$2:$A$131,0))),1,0),0)</f>
        <v>1</v>
      </c>
    </row>
    <row r="113" customFormat="false" ht="15" hidden="false" customHeight="false" outlineLevel="0" collapsed="false">
      <c r="A113" s="2" t="n">
        <v>111</v>
      </c>
      <c r="B113" s="2" t="s">
        <v>771</v>
      </c>
      <c r="C113" s="2" t="s">
        <v>772</v>
      </c>
      <c r="D113" s="2" t="s">
        <v>773</v>
      </c>
      <c r="E113" s="2" t="str">
        <f aca="false">LEFT(C113,3)</f>
        <v>315</v>
      </c>
      <c r="F113" s="2" t="str">
        <f aca="false">IF(D113="","",LEFT(D113,3))</f>
        <v>314</v>
      </c>
      <c r="G113" s="2" t="str">
        <f aca="false">IF(F113="","",IF(E113=F113,"Yes","No"))</f>
        <v>No</v>
      </c>
      <c r="H113" s="2" t="n">
        <f aca="false">IF(D113="",0,1/COUNTIF($D$2:$D$3451,D113))</f>
        <v>1</v>
      </c>
      <c r="I113" s="13" t="n">
        <f aca="false">IFERROR(INDEX('NCO-2015 scores'!$C$2:$C$131,MATCH(E113,'NCO-2015 scores'!$A$2:$A$131,0)),0)</f>
        <v>0.288</v>
      </c>
      <c r="J113" s="13" t="n">
        <f aca="false">IF(ISNUMBER(MATCH(E113,'NCO-2015 scores'!$A$2:$A$131,0)),IF(ISNUMBER(INDEX('NCO-2015 scores'!$C$2:$C$131,MATCH(E113,'NCO-2015 scores'!$A$2:$A$131,0))),1,0),0)</f>
        <v>1</v>
      </c>
    </row>
    <row r="114" customFormat="false" ht="15" hidden="false" customHeight="false" outlineLevel="0" collapsed="false">
      <c r="A114" s="2" t="n">
        <v>112</v>
      </c>
      <c r="B114" s="2" t="s">
        <v>774</v>
      </c>
      <c r="C114" s="2" t="s">
        <v>775</v>
      </c>
      <c r="D114" s="2" t="s">
        <v>776</v>
      </c>
      <c r="E114" s="2" t="str">
        <f aca="false">LEFT(C114,3)</f>
        <v>315</v>
      </c>
      <c r="F114" s="2" t="str">
        <f aca="false">IF(D114="","",LEFT(D114,3))</f>
        <v>314</v>
      </c>
      <c r="G114" s="2" t="str">
        <f aca="false">IF(F114="","",IF(E114=F114,"Yes","No"))</f>
        <v>No</v>
      </c>
      <c r="H114" s="2" t="n">
        <f aca="false">IF(D114="",0,1/COUNTIF($D$2:$D$3451,D114))</f>
        <v>1</v>
      </c>
      <c r="I114" s="13" t="n">
        <f aca="false">IFERROR(INDEX('NCO-2015 scores'!$C$2:$C$131,MATCH(E114,'NCO-2015 scores'!$A$2:$A$131,0)),0)</f>
        <v>0.288</v>
      </c>
      <c r="J114" s="13" t="n">
        <f aca="false">IF(ISNUMBER(MATCH(E114,'NCO-2015 scores'!$A$2:$A$131,0)),IF(ISNUMBER(INDEX('NCO-2015 scores'!$C$2:$C$131,MATCH(E114,'NCO-2015 scores'!$A$2:$A$131,0))),1,0),0)</f>
        <v>1</v>
      </c>
    </row>
    <row r="115" customFormat="false" ht="15" hidden="false" customHeight="false" outlineLevel="0" collapsed="false">
      <c r="A115" s="2" t="n">
        <v>113</v>
      </c>
      <c r="B115" s="2" t="s">
        <v>777</v>
      </c>
      <c r="C115" s="2" t="s">
        <v>778</v>
      </c>
      <c r="D115" s="2" t="s">
        <v>779</v>
      </c>
      <c r="E115" s="2" t="str">
        <f aca="false">LEFT(C115,3)</f>
        <v>315</v>
      </c>
      <c r="F115" s="2" t="str">
        <f aca="false">IF(D115="","",LEFT(D115,3))</f>
        <v>314</v>
      </c>
      <c r="G115" s="2" t="str">
        <f aca="false">IF(F115="","",IF(E115=F115,"Yes","No"))</f>
        <v>No</v>
      </c>
      <c r="H115" s="2" t="n">
        <f aca="false">IF(D115="",0,1/COUNTIF($D$2:$D$3451,D115))</f>
        <v>1</v>
      </c>
      <c r="I115" s="13" t="n">
        <f aca="false">IFERROR(INDEX('NCO-2015 scores'!$C$2:$C$131,MATCH(E115,'NCO-2015 scores'!$A$2:$A$131,0)),0)</f>
        <v>0.288</v>
      </c>
      <c r="J115" s="13" t="n">
        <f aca="false">IF(ISNUMBER(MATCH(E115,'NCO-2015 scores'!$A$2:$A$131,0)),IF(ISNUMBER(INDEX('NCO-2015 scores'!$C$2:$C$131,MATCH(E115,'NCO-2015 scores'!$A$2:$A$131,0))),1,0),0)</f>
        <v>1</v>
      </c>
    </row>
    <row r="116" customFormat="false" ht="15" hidden="false" customHeight="false" outlineLevel="0" collapsed="false">
      <c r="A116" s="2" t="n">
        <v>114</v>
      </c>
      <c r="B116" s="2" t="s">
        <v>780</v>
      </c>
      <c r="C116" s="2" t="s">
        <v>781</v>
      </c>
      <c r="D116" s="2" t="s">
        <v>782</v>
      </c>
      <c r="E116" s="2" t="str">
        <f aca="false">LEFT(C116,3)</f>
        <v>315</v>
      </c>
      <c r="F116" s="2" t="str">
        <f aca="false">IF(D116="","",LEFT(D116,3))</f>
        <v>314</v>
      </c>
      <c r="G116" s="2" t="str">
        <f aca="false">IF(F116="","",IF(E116=F116,"Yes","No"))</f>
        <v>No</v>
      </c>
      <c r="H116" s="2" t="n">
        <f aca="false">IF(D116="",0,1/COUNTIF($D$2:$D$3451,D116))</f>
        <v>1</v>
      </c>
      <c r="I116" s="13" t="n">
        <f aca="false">IFERROR(INDEX('NCO-2015 scores'!$C$2:$C$131,MATCH(E116,'NCO-2015 scores'!$A$2:$A$131,0)),0)</f>
        <v>0.288</v>
      </c>
      <c r="J116" s="13" t="n">
        <f aca="false">IF(ISNUMBER(MATCH(E116,'NCO-2015 scores'!$A$2:$A$131,0)),IF(ISNUMBER(INDEX('NCO-2015 scores'!$C$2:$C$131,MATCH(E116,'NCO-2015 scores'!$A$2:$A$131,0))),1,0),0)</f>
        <v>1</v>
      </c>
    </row>
    <row r="117" customFormat="false" ht="15" hidden="false" customHeight="false" outlineLevel="0" collapsed="false">
      <c r="A117" s="2" t="n">
        <v>115</v>
      </c>
      <c r="B117" s="2" t="s">
        <v>783</v>
      </c>
      <c r="C117" s="2" t="s">
        <v>784</v>
      </c>
      <c r="D117" s="2" t="s">
        <v>785</v>
      </c>
      <c r="E117" s="2" t="str">
        <f aca="false">LEFT(C117,3)</f>
        <v>315</v>
      </c>
      <c r="F117" s="2" t="str">
        <f aca="false">IF(D117="","",LEFT(D117,3))</f>
        <v>314</v>
      </c>
      <c r="G117" s="2" t="str">
        <f aca="false">IF(F117="","",IF(E117=F117,"Yes","No"))</f>
        <v>No</v>
      </c>
      <c r="H117" s="2" t="n">
        <f aca="false">IF(D117="",0,1/COUNTIF($D$2:$D$3451,D117))</f>
        <v>1</v>
      </c>
      <c r="I117" s="13" t="n">
        <f aca="false">IFERROR(INDEX('NCO-2015 scores'!$C$2:$C$131,MATCH(E117,'NCO-2015 scores'!$A$2:$A$131,0)),0)</f>
        <v>0.288</v>
      </c>
      <c r="J117" s="13" t="n">
        <f aca="false">IF(ISNUMBER(MATCH(E117,'NCO-2015 scores'!$A$2:$A$131,0)),IF(ISNUMBER(INDEX('NCO-2015 scores'!$C$2:$C$131,MATCH(E117,'NCO-2015 scores'!$A$2:$A$131,0))),1,0),0)</f>
        <v>1</v>
      </c>
    </row>
    <row r="118" customFormat="false" ht="15" hidden="false" customHeight="false" outlineLevel="0" collapsed="false">
      <c r="A118" s="2" t="n">
        <v>116</v>
      </c>
      <c r="B118" s="2" t="s">
        <v>786</v>
      </c>
      <c r="C118" s="2" t="s">
        <v>787</v>
      </c>
      <c r="D118" s="2" t="s">
        <v>788</v>
      </c>
      <c r="E118" s="2" t="str">
        <f aca="false">LEFT(C118,3)</f>
        <v>315</v>
      </c>
      <c r="F118" s="2" t="str">
        <f aca="false">IF(D118="","",LEFT(D118,3))</f>
        <v>314</v>
      </c>
      <c r="G118" s="2" t="str">
        <f aca="false">IF(F118="","",IF(E118=F118,"Yes","No"))</f>
        <v>No</v>
      </c>
      <c r="H118" s="2" t="n">
        <f aca="false">IF(D118="",0,1/COUNTIF($D$2:$D$3451,D118))</f>
        <v>1</v>
      </c>
      <c r="I118" s="13" t="n">
        <f aca="false">IFERROR(INDEX('NCO-2015 scores'!$C$2:$C$131,MATCH(E118,'NCO-2015 scores'!$A$2:$A$131,0)),0)</f>
        <v>0.288</v>
      </c>
      <c r="J118" s="13" t="n">
        <f aca="false">IF(ISNUMBER(MATCH(E118,'NCO-2015 scores'!$A$2:$A$131,0)),IF(ISNUMBER(INDEX('NCO-2015 scores'!$C$2:$C$131,MATCH(E118,'NCO-2015 scores'!$A$2:$A$131,0))),1,0),0)</f>
        <v>1</v>
      </c>
    </row>
    <row r="119" customFormat="false" ht="15" hidden="false" customHeight="false" outlineLevel="0" collapsed="false">
      <c r="A119" s="2" t="n">
        <v>117</v>
      </c>
      <c r="B119" s="2" t="s">
        <v>789</v>
      </c>
      <c r="C119" s="2" t="s">
        <v>790</v>
      </c>
      <c r="D119" s="2" t="s">
        <v>791</v>
      </c>
      <c r="E119" s="2" t="str">
        <f aca="false">LEFT(C119,3)</f>
        <v>315</v>
      </c>
      <c r="F119" s="2" t="str">
        <f aca="false">IF(D119="","",LEFT(D119,3))</f>
        <v>314</v>
      </c>
      <c r="G119" s="2" t="str">
        <f aca="false">IF(F119="","",IF(E119=F119,"Yes","No"))</f>
        <v>No</v>
      </c>
      <c r="H119" s="2" t="n">
        <f aca="false">IF(D119="",0,1/COUNTIF($D$2:$D$3451,D119))</f>
        <v>1</v>
      </c>
      <c r="I119" s="13" t="n">
        <f aca="false">IFERROR(INDEX('NCO-2015 scores'!$C$2:$C$131,MATCH(E119,'NCO-2015 scores'!$A$2:$A$131,0)),0)</f>
        <v>0.288</v>
      </c>
      <c r="J119" s="13" t="n">
        <f aca="false">IF(ISNUMBER(MATCH(E119,'NCO-2015 scores'!$A$2:$A$131,0)),IF(ISNUMBER(INDEX('NCO-2015 scores'!$C$2:$C$131,MATCH(E119,'NCO-2015 scores'!$A$2:$A$131,0))),1,0),0)</f>
        <v>1</v>
      </c>
    </row>
    <row r="120" customFormat="false" ht="15" hidden="false" customHeight="false" outlineLevel="0" collapsed="false">
      <c r="A120" s="2" t="n">
        <v>118</v>
      </c>
      <c r="B120" s="2" t="s">
        <v>792</v>
      </c>
      <c r="C120" s="2" t="s">
        <v>793</v>
      </c>
      <c r="D120" s="2" t="s">
        <v>794</v>
      </c>
      <c r="E120" s="2" t="str">
        <f aca="false">LEFT(C120,3)</f>
        <v>315</v>
      </c>
      <c r="F120" s="2" t="str">
        <f aca="false">IF(D120="","",LEFT(D120,3))</f>
        <v>314</v>
      </c>
      <c r="G120" s="2" t="str">
        <f aca="false">IF(F120="","",IF(E120=F120,"Yes","No"))</f>
        <v>No</v>
      </c>
      <c r="H120" s="2" t="n">
        <f aca="false">IF(D120="",0,1/COUNTIF($D$2:$D$3451,D120))</f>
        <v>1</v>
      </c>
      <c r="I120" s="13" t="n">
        <f aca="false">IFERROR(INDEX('NCO-2015 scores'!$C$2:$C$131,MATCH(E120,'NCO-2015 scores'!$A$2:$A$131,0)),0)</f>
        <v>0.288</v>
      </c>
      <c r="J120" s="13" t="n">
        <f aca="false">IF(ISNUMBER(MATCH(E120,'NCO-2015 scores'!$A$2:$A$131,0)),IF(ISNUMBER(INDEX('NCO-2015 scores'!$C$2:$C$131,MATCH(E120,'NCO-2015 scores'!$A$2:$A$131,0))),1,0),0)</f>
        <v>1</v>
      </c>
    </row>
    <row r="121" customFormat="false" ht="15" hidden="false" customHeight="false" outlineLevel="0" collapsed="false">
      <c r="A121" s="2" t="n">
        <v>119</v>
      </c>
      <c r="B121" s="2" t="s">
        <v>795</v>
      </c>
      <c r="C121" s="2" t="s">
        <v>796</v>
      </c>
      <c r="D121" s="2" t="s">
        <v>797</v>
      </c>
      <c r="E121" s="2" t="str">
        <f aca="false">LEFT(C121,3)</f>
        <v>315</v>
      </c>
      <c r="F121" s="2" t="str">
        <f aca="false">IF(D121="","",LEFT(D121,3))</f>
        <v>314</v>
      </c>
      <c r="G121" s="2" t="str">
        <f aca="false">IF(F121="","",IF(E121=F121,"Yes","No"))</f>
        <v>No</v>
      </c>
      <c r="H121" s="2" t="n">
        <f aca="false">IF(D121="",0,1/COUNTIF($D$2:$D$3451,D121))</f>
        <v>1</v>
      </c>
      <c r="I121" s="13" t="n">
        <f aca="false">IFERROR(INDEX('NCO-2015 scores'!$C$2:$C$131,MATCH(E121,'NCO-2015 scores'!$A$2:$A$131,0)),0)</f>
        <v>0.288</v>
      </c>
      <c r="J121" s="13" t="n">
        <f aca="false">IF(ISNUMBER(MATCH(E121,'NCO-2015 scores'!$A$2:$A$131,0)),IF(ISNUMBER(INDEX('NCO-2015 scores'!$C$2:$C$131,MATCH(E121,'NCO-2015 scores'!$A$2:$A$131,0))),1,0),0)</f>
        <v>1</v>
      </c>
    </row>
    <row r="122" customFormat="false" ht="15" hidden="false" customHeight="false" outlineLevel="0" collapsed="false">
      <c r="A122" s="2" t="n">
        <v>120</v>
      </c>
      <c r="B122" s="2" t="s">
        <v>798</v>
      </c>
      <c r="C122" s="2" t="s">
        <v>799</v>
      </c>
      <c r="D122" s="2" t="s">
        <v>800</v>
      </c>
      <c r="E122" s="2" t="str">
        <f aca="false">LEFT(C122,3)</f>
        <v>315</v>
      </c>
      <c r="F122" s="2" t="str">
        <f aca="false">IF(D122="","",LEFT(D122,3))</f>
        <v>314</v>
      </c>
      <c r="G122" s="2" t="str">
        <f aca="false">IF(F122="","",IF(E122=F122,"Yes","No"))</f>
        <v>No</v>
      </c>
      <c r="H122" s="2" t="n">
        <f aca="false">IF(D122="",0,1/COUNTIF($D$2:$D$3451,D122))</f>
        <v>1</v>
      </c>
      <c r="I122" s="13" t="n">
        <f aca="false">IFERROR(INDEX('NCO-2015 scores'!$C$2:$C$131,MATCH(E122,'NCO-2015 scores'!$A$2:$A$131,0)),0)</f>
        <v>0.288</v>
      </c>
      <c r="J122" s="13" t="n">
        <f aca="false">IF(ISNUMBER(MATCH(E122,'NCO-2015 scores'!$A$2:$A$131,0)),IF(ISNUMBER(INDEX('NCO-2015 scores'!$C$2:$C$131,MATCH(E122,'NCO-2015 scores'!$A$2:$A$131,0))),1,0),0)</f>
        <v>1</v>
      </c>
    </row>
    <row r="123" customFormat="false" ht="15" hidden="false" customHeight="false" outlineLevel="0" collapsed="false">
      <c r="A123" s="2" t="n">
        <v>121</v>
      </c>
      <c r="B123" s="2" t="s">
        <v>801</v>
      </c>
      <c r="C123" s="2" t="s">
        <v>802</v>
      </c>
      <c r="D123" s="2" t="s">
        <v>803</v>
      </c>
      <c r="E123" s="2" t="str">
        <f aca="false">LEFT(C123,3)</f>
        <v>612</v>
      </c>
      <c r="F123" s="2" t="str">
        <f aca="false">IF(D123="","",LEFT(D123,3))</f>
        <v>612</v>
      </c>
      <c r="G123" s="2" t="str">
        <f aca="false">IF(F123="","",IF(E123=F123,"Yes","No"))</f>
        <v>Yes</v>
      </c>
      <c r="H123" s="2" t="n">
        <f aca="false">IF(D123="",0,1/COUNTIF($D$2:$D$3451,D123))</f>
        <v>1</v>
      </c>
      <c r="I123" s="13" t="n">
        <f aca="false">IFERROR(INDEX('NCO-2015 scores'!$C$2:$C$131,MATCH(E123,'NCO-2015 scores'!$A$2:$A$131,0)),0)</f>
        <v>0.195</v>
      </c>
      <c r="J123" s="13" t="n">
        <f aca="false">IF(ISNUMBER(MATCH(E123,'NCO-2015 scores'!$A$2:$A$131,0)),IF(ISNUMBER(INDEX('NCO-2015 scores'!$C$2:$C$131,MATCH(E123,'NCO-2015 scores'!$A$2:$A$131,0))),1,0),0)</f>
        <v>1</v>
      </c>
    </row>
    <row r="124" customFormat="false" ht="15" hidden="false" customHeight="false" outlineLevel="0" collapsed="false">
      <c r="A124" s="2" t="n">
        <v>122</v>
      </c>
      <c r="B124" s="2" t="s">
        <v>804</v>
      </c>
      <c r="C124" s="2" t="s">
        <v>805</v>
      </c>
      <c r="D124" s="2" t="s">
        <v>806</v>
      </c>
      <c r="E124" s="2" t="str">
        <f aca="false">LEFT(C124,3)</f>
        <v>612</v>
      </c>
      <c r="F124" s="2" t="str">
        <f aca="false">IF(D124="","",LEFT(D124,3))</f>
        <v>612</v>
      </c>
      <c r="G124" s="2" t="str">
        <f aca="false">IF(F124="","",IF(E124=F124,"Yes","No"))</f>
        <v>Yes</v>
      </c>
      <c r="H124" s="2" t="n">
        <f aca="false">IF(D124="",0,1/COUNTIF($D$2:$D$3451,D124))</f>
        <v>1</v>
      </c>
      <c r="I124" s="13" t="n">
        <f aca="false">IFERROR(INDEX('NCO-2015 scores'!$C$2:$C$131,MATCH(E124,'NCO-2015 scores'!$A$2:$A$131,0)),0)</f>
        <v>0.195</v>
      </c>
      <c r="J124" s="13" t="n">
        <f aca="false">IF(ISNUMBER(MATCH(E124,'NCO-2015 scores'!$A$2:$A$131,0)),IF(ISNUMBER(INDEX('NCO-2015 scores'!$C$2:$C$131,MATCH(E124,'NCO-2015 scores'!$A$2:$A$131,0))),1,0),0)</f>
        <v>1</v>
      </c>
    </row>
    <row r="125" customFormat="false" ht="15" hidden="false" customHeight="false" outlineLevel="0" collapsed="false">
      <c r="A125" s="2" t="n">
        <v>123</v>
      </c>
      <c r="B125" s="2" t="s">
        <v>807</v>
      </c>
      <c r="C125" s="2" t="s">
        <v>808</v>
      </c>
      <c r="D125" s="2" t="s">
        <v>809</v>
      </c>
      <c r="E125" s="2" t="str">
        <f aca="false">LEFT(C125,3)</f>
        <v>612</v>
      </c>
      <c r="F125" s="2" t="str">
        <f aca="false">IF(D125="","",LEFT(D125,3))</f>
        <v>612</v>
      </c>
      <c r="G125" s="2" t="str">
        <f aca="false">IF(F125="","",IF(E125=F125,"Yes","No"))</f>
        <v>Yes</v>
      </c>
      <c r="H125" s="2" t="n">
        <f aca="false">IF(D125="",0,1/COUNTIF($D$2:$D$3451,D125))</f>
        <v>1</v>
      </c>
      <c r="I125" s="13" t="n">
        <f aca="false">IFERROR(INDEX('NCO-2015 scores'!$C$2:$C$131,MATCH(E125,'NCO-2015 scores'!$A$2:$A$131,0)),0)</f>
        <v>0.195</v>
      </c>
      <c r="J125" s="13" t="n">
        <f aca="false">IF(ISNUMBER(MATCH(E125,'NCO-2015 scores'!$A$2:$A$131,0)),IF(ISNUMBER(INDEX('NCO-2015 scores'!$C$2:$C$131,MATCH(E125,'NCO-2015 scores'!$A$2:$A$131,0))),1,0),0)</f>
        <v>1</v>
      </c>
    </row>
    <row r="126" customFormat="false" ht="15" hidden="false" customHeight="false" outlineLevel="0" collapsed="false">
      <c r="A126" s="2" t="n">
        <v>124</v>
      </c>
      <c r="B126" s="2" t="s">
        <v>810</v>
      </c>
      <c r="C126" s="2" t="s">
        <v>811</v>
      </c>
      <c r="D126" s="2" t="s">
        <v>812</v>
      </c>
      <c r="E126" s="2" t="str">
        <f aca="false">LEFT(C126,3)</f>
        <v>265</v>
      </c>
      <c r="F126" s="2" t="str">
        <f aca="false">IF(D126="","",LEFT(D126,3))</f>
        <v>347</v>
      </c>
      <c r="G126" s="2" t="str">
        <f aca="false">IF(F126="","",IF(E126=F126,"Yes","No"))</f>
        <v>No</v>
      </c>
      <c r="H126" s="2" t="n">
        <f aca="false">IF(D126="",0,1/COUNTIF($D$2:$D$3451,D126))</f>
        <v>1</v>
      </c>
      <c r="I126" s="13" t="n">
        <f aca="false">IFERROR(INDEX('NCO-2015 scores'!$C$2:$C$131,MATCH(E126,'NCO-2015 scores'!$A$2:$A$131,0)),0)</f>
        <v>0.28</v>
      </c>
      <c r="J126" s="13" t="n">
        <f aca="false">IF(ISNUMBER(MATCH(E126,'NCO-2015 scores'!$A$2:$A$131,0)),IF(ISNUMBER(INDEX('NCO-2015 scores'!$C$2:$C$131,MATCH(E126,'NCO-2015 scores'!$A$2:$A$131,0))),1,0),0)</f>
        <v>1</v>
      </c>
    </row>
    <row r="127" customFormat="false" ht="15" hidden="false" customHeight="false" outlineLevel="0" collapsed="false">
      <c r="A127" s="2" t="n">
        <v>125</v>
      </c>
      <c r="B127" s="2" t="s">
        <v>813</v>
      </c>
      <c r="C127" s="2" t="s">
        <v>814</v>
      </c>
      <c r="D127" s="2" t="s">
        <v>815</v>
      </c>
      <c r="E127" s="2" t="str">
        <f aca="false">LEFT(C127,3)</f>
        <v>265</v>
      </c>
      <c r="F127" s="2" t="str">
        <f aca="false">IF(D127="","",LEFT(D127,3))</f>
        <v>347</v>
      </c>
      <c r="G127" s="2" t="str">
        <f aca="false">IF(F127="","",IF(E127=F127,"Yes","No"))</f>
        <v>No</v>
      </c>
      <c r="H127" s="2" t="n">
        <f aca="false">IF(D127="",0,1/COUNTIF($D$2:$D$3451,D127))</f>
        <v>1</v>
      </c>
      <c r="I127" s="13" t="n">
        <f aca="false">IFERROR(INDEX('NCO-2015 scores'!$C$2:$C$131,MATCH(E127,'NCO-2015 scores'!$A$2:$A$131,0)),0)</f>
        <v>0.28</v>
      </c>
      <c r="J127" s="13" t="n">
        <f aca="false">IF(ISNUMBER(MATCH(E127,'NCO-2015 scores'!$A$2:$A$131,0)),IF(ISNUMBER(INDEX('NCO-2015 scores'!$C$2:$C$131,MATCH(E127,'NCO-2015 scores'!$A$2:$A$131,0))),1,0),0)</f>
        <v>1</v>
      </c>
    </row>
    <row r="128" customFormat="false" ht="15" hidden="false" customHeight="false" outlineLevel="0" collapsed="false">
      <c r="A128" s="2" t="n">
        <v>126</v>
      </c>
      <c r="B128" s="2" t="s">
        <v>816</v>
      </c>
      <c r="C128" s="2" t="s">
        <v>817</v>
      </c>
      <c r="D128" s="2" t="s">
        <v>818</v>
      </c>
      <c r="E128" s="2" t="str">
        <f aca="false">LEFT(C128,3)</f>
        <v>265</v>
      </c>
      <c r="F128" s="2" t="str">
        <f aca="false">IF(D128="","",LEFT(D128,3))</f>
        <v>347</v>
      </c>
      <c r="G128" s="2" t="str">
        <f aca="false">IF(F128="","",IF(E128=F128,"Yes","No"))</f>
        <v>No</v>
      </c>
      <c r="H128" s="2" t="n">
        <f aca="false">IF(D128="",0,1/COUNTIF($D$2:$D$3451,D128))</f>
        <v>1</v>
      </c>
      <c r="I128" s="13" t="n">
        <f aca="false">IFERROR(INDEX('NCO-2015 scores'!$C$2:$C$131,MATCH(E128,'NCO-2015 scores'!$A$2:$A$131,0)),0)</f>
        <v>0.28</v>
      </c>
      <c r="J128" s="13" t="n">
        <f aca="false">IF(ISNUMBER(MATCH(E128,'NCO-2015 scores'!$A$2:$A$131,0)),IF(ISNUMBER(INDEX('NCO-2015 scores'!$C$2:$C$131,MATCH(E128,'NCO-2015 scores'!$A$2:$A$131,0))),1,0),0)</f>
        <v>1</v>
      </c>
    </row>
    <row r="129" customFormat="false" ht="15" hidden="false" customHeight="false" outlineLevel="0" collapsed="false">
      <c r="A129" s="2" t="n">
        <v>127</v>
      </c>
      <c r="B129" s="2" t="s">
        <v>819</v>
      </c>
      <c r="C129" s="2" t="s">
        <v>820</v>
      </c>
      <c r="D129" s="2" t="s">
        <v>821</v>
      </c>
      <c r="E129" s="2" t="str">
        <f aca="false">LEFT(C129,3)</f>
        <v>612</v>
      </c>
      <c r="F129" s="2" t="str">
        <f aca="false">IF(D129="","",LEFT(D129,3))</f>
        <v>612</v>
      </c>
      <c r="G129" s="2" t="str">
        <f aca="false">IF(F129="","",IF(E129=F129,"Yes","No"))</f>
        <v>Yes</v>
      </c>
      <c r="H129" s="2" t="n">
        <f aca="false">IF(D129="",0,1/COUNTIF($D$2:$D$3451,D129))</f>
        <v>1</v>
      </c>
      <c r="I129" s="13" t="n">
        <f aca="false">IFERROR(INDEX('NCO-2015 scores'!$C$2:$C$131,MATCH(E129,'NCO-2015 scores'!$A$2:$A$131,0)),0)</f>
        <v>0.195</v>
      </c>
      <c r="J129" s="13" t="n">
        <f aca="false">IF(ISNUMBER(MATCH(E129,'NCO-2015 scores'!$A$2:$A$131,0)),IF(ISNUMBER(INDEX('NCO-2015 scores'!$C$2:$C$131,MATCH(E129,'NCO-2015 scores'!$A$2:$A$131,0))),1,0),0)</f>
        <v>1</v>
      </c>
    </row>
    <row r="130" customFormat="false" ht="15" hidden="false" customHeight="false" outlineLevel="0" collapsed="false">
      <c r="A130" s="2" t="n">
        <v>128</v>
      </c>
      <c r="B130" s="2" t="s">
        <v>822</v>
      </c>
      <c r="C130" s="2" t="s">
        <v>823</v>
      </c>
      <c r="D130" s="2" t="s">
        <v>824</v>
      </c>
      <c r="E130" s="2" t="str">
        <f aca="false">LEFT(C130,3)</f>
        <v>612</v>
      </c>
      <c r="F130" s="2" t="str">
        <f aca="false">IF(D130="","",LEFT(D130,3))</f>
        <v>612</v>
      </c>
      <c r="G130" s="2" t="str">
        <f aca="false">IF(F130="","",IF(E130=F130,"Yes","No"))</f>
        <v>Yes</v>
      </c>
      <c r="H130" s="2" t="n">
        <f aca="false">IF(D130="",0,1/COUNTIF($D$2:$D$3451,D130))</f>
        <v>1</v>
      </c>
      <c r="I130" s="13" t="n">
        <f aca="false">IFERROR(INDEX('NCO-2015 scores'!$C$2:$C$131,MATCH(E130,'NCO-2015 scores'!$A$2:$A$131,0)),0)</f>
        <v>0.195</v>
      </c>
      <c r="J130" s="13" t="n">
        <f aca="false">IF(ISNUMBER(MATCH(E130,'NCO-2015 scores'!$A$2:$A$131,0)),IF(ISNUMBER(INDEX('NCO-2015 scores'!$C$2:$C$131,MATCH(E130,'NCO-2015 scores'!$A$2:$A$131,0))),1,0),0)</f>
        <v>1</v>
      </c>
    </row>
    <row r="131" customFormat="false" ht="15" hidden="false" customHeight="false" outlineLevel="0" collapsed="false">
      <c r="A131" s="2" t="n">
        <v>129</v>
      </c>
      <c r="B131" s="2" t="s">
        <v>825</v>
      </c>
      <c r="C131" s="2" t="s">
        <v>826</v>
      </c>
      <c r="D131" s="2" t="s">
        <v>827</v>
      </c>
      <c r="E131" s="2" t="str">
        <f aca="false">LEFT(C131,3)</f>
        <v>612</v>
      </c>
      <c r="F131" s="2" t="str">
        <f aca="false">IF(D131="","",LEFT(D131,3))</f>
        <v>612</v>
      </c>
      <c r="G131" s="2" t="str">
        <f aca="false">IF(F131="","",IF(E131=F131,"Yes","No"))</f>
        <v>Yes</v>
      </c>
      <c r="H131" s="2" t="n">
        <f aca="false">IF(D131="",0,1/COUNTIF($D$2:$D$3451,D131))</f>
        <v>1</v>
      </c>
      <c r="I131" s="13" t="n">
        <f aca="false">IFERROR(INDEX('NCO-2015 scores'!$C$2:$C$131,MATCH(E131,'NCO-2015 scores'!$A$2:$A$131,0)),0)</f>
        <v>0.195</v>
      </c>
      <c r="J131" s="13" t="n">
        <f aca="false">IF(ISNUMBER(MATCH(E131,'NCO-2015 scores'!$A$2:$A$131,0)),IF(ISNUMBER(INDEX('NCO-2015 scores'!$C$2:$C$131,MATCH(E131,'NCO-2015 scores'!$A$2:$A$131,0))),1,0),0)</f>
        <v>1</v>
      </c>
    </row>
    <row r="132" customFormat="false" ht="15" hidden="false" customHeight="false" outlineLevel="0" collapsed="false">
      <c r="A132" s="2" t="n">
        <v>130</v>
      </c>
      <c r="B132" s="2" t="s">
        <v>828</v>
      </c>
      <c r="C132" s="2" t="s">
        <v>829</v>
      </c>
      <c r="D132" s="2" t="s">
        <v>830</v>
      </c>
      <c r="E132" s="2" t="str">
        <f aca="false">LEFT(C132,3)</f>
        <v>251</v>
      </c>
      <c r="F132" s="2" t="str">
        <f aca="false">IF(D132="","",LEFT(D132,3))</f>
        <v>213</v>
      </c>
      <c r="G132" s="2" t="str">
        <f aca="false">IF(F132="","",IF(E132=F132,"Yes","No"))</f>
        <v>No</v>
      </c>
      <c r="H132" s="2" t="n">
        <f aca="false">IF(D132="",0,1/COUNTIF($D$2:$D$3451,D132))</f>
        <v>1</v>
      </c>
      <c r="I132" s="13" t="n">
        <f aca="false">IFERROR(INDEX('NCO-2015 scores'!$C$2:$C$131,MATCH(E132,'NCO-2015 scores'!$A$2:$A$131,0)),0)</f>
        <v>0.548</v>
      </c>
      <c r="J132" s="13" t="n">
        <f aca="false">IF(ISNUMBER(MATCH(E132,'NCO-2015 scores'!$A$2:$A$131,0)),IF(ISNUMBER(INDEX('NCO-2015 scores'!$C$2:$C$131,MATCH(E132,'NCO-2015 scores'!$A$2:$A$131,0))),1,0),0)</f>
        <v>1</v>
      </c>
    </row>
    <row r="133" customFormat="false" ht="15" hidden="false" customHeight="false" outlineLevel="0" collapsed="false">
      <c r="A133" s="2" t="n">
        <v>131</v>
      </c>
      <c r="B133" s="2" t="s">
        <v>831</v>
      </c>
      <c r="C133" s="2" t="s">
        <v>832</v>
      </c>
      <c r="D133" s="2"/>
      <c r="E133" s="2" t="str">
        <f aca="false">LEFT(C133,3)</f>
        <v>622</v>
      </c>
      <c r="F133" s="2" t="str">
        <f aca="false">IF(D133="","",LEFT(D133,3))</f>
        <v/>
      </c>
      <c r="G133" s="2" t="str">
        <f aca="false">IF(F133="","",IF(E133=F133,"Yes","No"))</f>
        <v/>
      </c>
      <c r="H133" s="2" t="n">
        <f aca="false">IF(D133="",0,1/COUNTIF($D$2:$D$3451,D133))</f>
        <v>0</v>
      </c>
      <c r="I133" s="13" t="n">
        <f aca="false">IFERROR(INDEX('NCO-2015 scores'!$C$2:$C$131,MATCH(E133,'NCO-2015 scores'!$A$2:$A$131,0)),0)</f>
        <v>0.165</v>
      </c>
      <c r="J133" s="13" t="n">
        <f aca="false">IF(ISNUMBER(MATCH(E133,'NCO-2015 scores'!$A$2:$A$131,0)),IF(ISNUMBER(INDEX('NCO-2015 scores'!$C$2:$C$131,MATCH(E133,'NCO-2015 scores'!$A$2:$A$131,0))),1,0),0)</f>
        <v>1</v>
      </c>
    </row>
    <row r="134" customFormat="false" ht="15" hidden="false" customHeight="false" outlineLevel="0" collapsed="false">
      <c r="A134" s="2" t="n">
        <v>132</v>
      </c>
      <c r="B134" s="2" t="s">
        <v>833</v>
      </c>
      <c r="C134" s="2" t="s">
        <v>834</v>
      </c>
      <c r="D134" s="2"/>
      <c r="E134" s="2" t="str">
        <f aca="false">LEFT(C134,3)</f>
        <v>622</v>
      </c>
      <c r="F134" s="2" t="str">
        <f aca="false">IF(D134="","",LEFT(D134,3))</f>
        <v/>
      </c>
      <c r="G134" s="2" t="str">
        <f aca="false">IF(F134="","",IF(E134=F134,"Yes","No"))</f>
        <v/>
      </c>
      <c r="H134" s="2" t="n">
        <f aca="false">IF(D134="",0,1/COUNTIF($D$2:$D$3451,D134))</f>
        <v>0</v>
      </c>
      <c r="I134" s="13" t="n">
        <f aca="false">IFERROR(INDEX('NCO-2015 scores'!$C$2:$C$131,MATCH(E134,'NCO-2015 scores'!$A$2:$A$131,0)),0)</f>
        <v>0.165</v>
      </c>
      <c r="J134" s="13" t="n">
        <f aca="false">IF(ISNUMBER(MATCH(E134,'NCO-2015 scores'!$A$2:$A$131,0)),IF(ISNUMBER(INDEX('NCO-2015 scores'!$C$2:$C$131,MATCH(E134,'NCO-2015 scores'!$A$2:$A$131,0))),1,0),0)</f>
        <v>1</v>
      </c>
    </row>
    <row r="135" customFormat="false" ht="15" hidden="false" customHeight="false" outlineLevel="0" collapsed="false">
      <c r="A135" s="2" t="n">
        <v>133</v>
      </c>
      <c r="B135" s="2" t="s">
        <v>835</v>
      </c>
      <c r="C135" s="2" t="s">
        <v>836</v>
      </c>
      <c r="D135" s="2" t="s">
        <v>837</v>
      </c>
      <c r="E135" s="2" t="str">
        <f aca="false">LEFT(C135,3)</f>
        <v>262</v>
      </c>
      <c r="F135" s="2" t="str">
        <f aca="false">IF(D135="","",LEFT(D135,3))</f>
        <v>243</v>
      </c>
      <c r="G135" s="2" t="str">
        <f aca="false">IF(F135="","",IF(E135=F135,"Yes","No"))</f>
        <v>No</v>
      </c>
      <c r="H135" s="2" t="n">
        <f aca="false">IF(D135="",0,1/COUNTIF($D$2:$D$3451,D135))</f>
        <v>1</v>
      </c>
      <c r="I135" s="13" t="n">
        <f aca="false">IFERROR(INDEX('NCO-2015 scores'!$C$2:$C$131,MATCH(E135,'NCO-2015 scores'!$A$2:$A$131,0)),0)</f>
        <v>0.51</v>
      </c>
      <c r="J135" s="13" t="n">
        <f aca="false">IF(ISNUMBER(MATCH(E135,'NCO-2015 scores'!$A$2:$A$131,0)),IF(ISNUMBER(INDEX('NCO-2015 scores'!$C$2:$C$131,MATCH(E135,'NCO-2015 scores'!$A$2:$A$131,0))),1,0),0)</f>
        <v>1</v>
      </c>
    </row>
    <row r="136" customFormat="false" ht="15" hidden="false" customHeight="false" outlineLevel="0" collapsed="false">
      <c r="A136" s="2" t="n">
        <v>134</v>
      </c>
      <c r="B136" s="2" t="s">
        <v>838</v>
      </c>
      <c r="C136" s="2" t="s">
        <v>839</v>
      </c>
      <c r="D136" s="2" t="s">
        <v>840</v>
      </c>
      <c r="E136" s="2" t="str">
        <f aca="false">LEFT(C136,3)</f>
        <v>262</v>
      </c>
      <c r="F136" s="2" t="str">
        <f aca="false">IF(D136="","",LEFT(D136,3))</f>
        <v>243</v>
      </c>
      <c r="G136" s="2" t="str">
        <f aca="false">IF(F136="","",IF(E136=F136,"Yes","No"))</f>
        <v>No</v>
      </c>
      <c r="H136" s="2" t="n">
        <f aca="false">IF(D136="",0,1/COUNTIF($D$2:$D$3451,D136))</f>
        <v>1</v>
      </c>
      <c r="I136" s="13" t="n">
        <f aca="false">IFERROR(INDEX('NCO-2015 scores'!$C$2:$C$131,MATCH(E136,'NCO-2015 scores'!$A$2:$A$131,0)),0)</f>
        <v>0.51</v>
      </c>
      <c r="J136" s="13" t="n">
        <f aca="false">IF(ISNUMBER(MATCH(E136,'NCO-2015 scores'!$A$2:$A$131,0)),IF(ISNUMBER(INDEX('NCO-2015 scores'!$C$2:$C$131,MATCH(E136,'NCO-2015 scores'!$A$2:$A$131,0))),1,0),0)</f>
        <v>1</v>
      </c>
    </row>
    <row r="137" customFormat="false" ht="15" hidden="false" customHeight="false" outlineLevel="0" collapsed="false">
      <c r="A137" s="2" t="n">
        <v>135</v>
      </c>
      <c r="B137" s="2" t="s">
        <v>841</v>
      </c>
      <c r="C137" s="2" t="s">
        <v>842</v>
      </c>
      <c r="D137" s="2" t="s">
        <v>843</v>
      </c>
      <c r="E137" s="2" t="str">
        <f aca="false">LEFT(C137,3)</f>
        <v>262</v>
      </c>
      <c r="F137" s="2" t="str">
        <f aca="false">IF(D137="","",LEFT(D137,3))</f>
        <v>243</v>
      </c>
      <c r="G137" s="2" t="str">
        <f aca="false">IF(F137="","",IF(E137=F137,"Yes","No"))</f>
        <v>No</v>
      </c>
      <c r="H137" s="2" t="n">
        <f aca="false">IF(D137="",0,1/COUNTIF($D$2:$D$3451,D137))</f>
        <v>1</v>
      </c>
      <c r="I137" s="13" t="n">
        <f aca="false">IFERROR(INDEX('NCO-2015 scores'!$C$2:$C$131,MATCH(E137,'NCO-2015 scores'!$A$2:$A$131,0)),0)</f>
        <v>0.51</v>
      </c>
      <c r="J137" s="13" t="n">
        <f aca="false">IF(ISNUMBER(MATCH(E137,'NCO-2015 scores'!$A$2:$A$131,0)),IF(ISNUMBER(INDEX('NCO-2015 scores'!$C$2:$C$131,MATCH(E137,'NCO-2015 scores'!$A$2:$A$131,0))),1,0),0)</f>
        <v>1</v>
      </c>
    </row>
    <row r="138" customFormat="false" ht="15" hidden="false" customHeight="false" outlineLevel="0" collapsed="false">
      <c r="A138" s="2" t="n">
        <v>136</v>
      </c>
      <c r="B138" s="2" t="s">
        <v>844</v>
      </c>
      <c r="C138" s="2" t="s">
        <v>845</v>
      </c>
      <c r="D138" s="2" t="s">
        <v>846</v>
      </c>
      <c r="E138" s="2" t="str">
        <f aca="false">LEFT(C138,3)</f>
        <v>262</v>
      </c>
      <c r="F138" s="2" t="str">
        <f aca="false">IF(D138="","",LEFT(D138,3))</f>
        <v>243</v>
      </c>
      <c r="G138" s="2" t="str">
        <f aca="false">IF(F138="","",IF(E138=F138,"Yes","No"))</f>
        <v>No</v>
      </c>
      <c r="H138" s="2" t="n">
        <f aca="false">IF(D138="",0,1/COUNTIF($D$2:$D$3451,D138))</f>
        <v>1</v>
      </c>
      <c r="I138" s="13" t="n">
        <f aca="false">IFERROR(INDEX('NCO-2015 scores'!$C$2:$C$131,MATCH(E138,'NCO-2015 scores'!$A$2:$A$131,0)),0)</f>
        <v>0.51</v>
      </c>
      <c r="J138" s="13" t="n">
        <f aca="false">IF(ISNUMBER(MATCH(E138,'NCO-2015 scores'!$A$2:$A$131,0)),IF(ISNUMBER(INDEX('NCO-2015 scores'!$C$2:$C$131,MATCH(E138,'NCO-2015 scores'!$A$2:$A$131,0))),1,0),0)</f>
        <v>1</v>
      </c>
    </row>
    <row r="139" customFormat="false" ht="15" hidden="false" customHeight="false" outlineLevel="0" collapsed="false">
      <c r="A139" s="2" t="n">
        <v>137</v>
      </c>
      <c r="B139" s="2" t="s">
        <v>847</v>
      </c>
      <c r="C139" s="2" t="s">
        <v>848</v>
      </c>
      <c r="D139" s="2" t="s">
        <v>849</v>
      </c>
      <c r="E139" s="2" t="str">
        <f aca="false">LEFT(C139,3)</f>
        <v>262</v>
      </c>
      <c r="F139" s="2" t="str">
        <f aca="false">IF(D139="","",LEFT(D139,3))</f>
        <v>243</v>
      </c>
      <c r="G139" s="2" t="str">
        <f aca="false">IF(F139="","",IF(E139=F139,"Yes","No"))</f>
        <v>No</v>
      </c>
      <c r="H139" s="2" t="n">
        <f aca="false">IF(D139="",0,1/COUNTIF($D$2:$D$3451,D139))</f>
        <v>1</v>
      </c>
      <c r="I139" s="13" t="n">
        <f aca="false">IFERROR(INDEX('NCO-2015 scores'!$C$2:$C$131,MATCH(E139,'NCO-2015 scores'!$A$2:$A$131,0)),0)</f>
        <v>0.51</v>
      </c>
      <c r="J139" s="13" t="n">
        <f aca="false">IF(ISNUMBER(MATCH(E139,'NCO-2015 scores'!$A$2:$A$131,0)),IF(ISNUMBER(INDEX('NCO-2015 scores'!$C$2:$C$131,MATCH(E139,'NCO-2015 scores'!$A$2:$A$131,0))),1,0),0)</f>
        <v>1</v>
      </c>
    </row>
    <row r="140" customFormat="false" ht="15" hidden="false" customHeight="false" outlineLevel="0" collapsed="false">
      <c r="A140" s="2" t="n">
        <v>138</v>
      </c>
      <c r="B140" s="2" t="s">
        <v>850</v>
      </c>
      <c r="C140" s="2" t="s">
        <v>851</v>
      </c>
      <c r="D140" s="2" t="s">
        <v>852</v>
      </c>
      <c r="E140" s="2" t="str">
        <f aca="false">LEFT(C140,3)</f>
        <v>262</v>
      </c>
      <c r="F140" s="2" t="str">
        <f aca="false">IF(D140="","",LEFT(D140,3))</f>
        <v>243</v>
      </c>
      <c r="G140" s="2" t="str">
        <f aca="false">IF(F140="","",IF(E140=F140,"Yes","No"))</f>
        <v>No</v>
      </c>
      <c r="H140" s="2" t="n">
        <f aca="false">IF(D140="",0,1/COUNTIF($D$2:$D$3451,D140))</f>
        <v>1</v>
      </c>
      <c r="I140" s="13" t="n">
        <f aca="false">IFERROR(INDEX('NCO-2015 scores'!$C$2:$C$131,MATCH(E140,'NCO-2015 scores'!$A$2:$A$131,0)),0)</f>
        <v>0.51</v>
      </c>
      <c r="J140" s="13" t="n">
        <f aca="false">IF(ISNUMBER(MATCH(E140,'NCO-2015 scores'!$A$2:$A$131,0)),IF(ISNUMBER(INDEX('NCO-2015 scores'!$C$2:$C$131,MATCH(E140,'NCO-2015 scores'!$A$2:$A$131,0))),1,0),0)</f>
        <v>1</v>
      </c>
    </row>
    <row r="141" customFormat="false" ht="15" hidden="false" customHeight="false" outlineLevel="0" collapsed="false">
      <c r="A141" s="2" t="n">
        <v>139</v>
      </c>
      <c r="B141" s="2" t="s">
        <v>853</v>
      </c>
      <c r="C141" s="2" t="s">
        <v>854</v>
      </c>
      <c r="D141" s="2" t="s">
        <v>855</v>
      </c>
      <c r="E141" s="2" t="str">
        <f aca="false">LEFT(C141,3)</f>
        <v>262</v>
      </c>
      <c r="F141" s="2" t="str">
        <f aca="false">IF(D141="","",LEFT(D141,3))</f>
        <v>243</v>
      </c>
      <c r="G141" s="2" t="str">
        <f aca="false">IF(F141="","",IF(E141=F141,"Yes","No"))</f>
        <v>No</v>
      </c>
      <c r="H141" s="2" t="n">
        <f aca="false">IF(D141="",0,1/COUNTIF($D$2:$D$3451,D141))</f>
        <v>1</v>
      </c>
      <c r="I141" s="13" t="n">
        <f aca="false">IFERROR(INDEX('NCO-2015 scores'!$C$2:$C$131,MATCH(E141,'NCO-2015 scores'!$A$2:$A$131,0)),0)</f>
        <v>0.51</v>
      </c>
      <c r="J141" s="13" t="n">
        <f aca="false">IF(ISNUMBER(MATCH(E141,'NCO-2015 scores'!$A$2:$A$131,0)),IF(ISNUMBER(INDEX('NCO-2015 scores'!$C$2:$C$131,MATCH(E141,'NCO-2015 scores'!$A$2:$A$131,0))),1,0),0)</f>
        <v>1</v>
      </c>
    </row>
    <row r="142" customFormat="false" ht="15" hidden="false" customHeight="false" outlineLevel="0" collapsed="false">
      <c r="A142" s="2" t="n">
        <v>140</v>
      </c>
      <c r="B142" s="2" t="s">
        <v>856</v>
      </c>
      <c r="C142" s="2" t="s">
        <v>857</v>
      </c>
      <c r="D142" s="2" t="s">
        <v>858</v>
      </c>
      <c r="E142" s="2" t="str">
        <f aca="false">LEFT(C142,3)</f>
        <v>262</v>
      </c>
      <c r="F142" s="2" t="str">
        <f aca="false">IF(D142="","",LEFT(D142,3))</f>
        <v>243</v>
      </c>
      <c r="G142" s="2" t="str">
        <f aca="false">IF(F142="","",IF(E142=F142,"Yes","No"))</f>
        <v>No</v>
      </c>
      <c r="H142" s="2" t="n">
        <f aca="false">IF(D142="",0,1/COUNTIF($D$2:$D$3451,D142))</f>
        <v>1</v>
      </c>
      <c r="I142" s="13" t="n">
        <f aca="false">IFERROR(INDEX('NCO-2015 scores'!$C$2:$C$131,MATCH(E142,'NCO-2015 scores'!$A$2:$A$131,0)),0)</f>
        <v>0.51</v>
      </c>
      <c r="J142" s="13" t="n">
        <f aca="false">IF(ISNUMBER(MATCH(E142,'NCO-2015 scores'!$A$2:$A$131,0)),IF(ISNUMBER(INDEX('NCO-2015 scores'!$C$2:$C$131,MATCH(E142,'NCO-2015 scores'!$A$2:$A$131,0))),1,0),0)</f>
        <v>1</v>
      </c>
    </row>
    <row r="143" customFormat="false" ht="15" hidden="false" customHeight="false" outlineLevel="0" collapsed="false">
      <c r="A143" s="2" t="n">
        <v>141</v>
      </c>
      <c r="B143" s="2" t="s">
        <v>859</v>
      </c>
      <c r="C143" s="2" t="s">
        <v>860</v>
      </c>
      <c r="D143" s="2" t="s">
        <v>861</v>
      </c>
      <c r="E143" s="2" t="str">
        <f aca="false">LEFT(C143,3)</f>
        <v>821</v>
      </c>
      <c r="F143" s="2" t="str">
        <f aca="false">IF(D143="","",LEFT(D143,3))</f>
        <v>828</v>
      </c>
      <c r="G143" s="2" t="str">
        <f aca="false">IF(F143="","",IF(E143=F143,"Yes","No"))</f>
        <v>No</v>
      </c>
      <c r="H143" s="2" t="n">
        <f aca="false">IF(D143="",0,1/COUNTIF($D$2:$D$3451,D143))</f>
        <v>1</v>
      </c>
      <c r="I143" s="13" t="n">
        <f aca="false">IFERROR(INDEX('NCO-2015 scores'!$C$2:$C$131,MATCH(E143,'NCO-2015 scores'!$A$2:$A$131,0)),0)</f>
        <v>0.29</v>
      </c>
      <c r="J143" s="13" t="n">
        <f aca="false">IF(ISNUMBER(MATCH(E143,'NCO-2015 scores'!$A$2:$A$131,0)),IF(ISNUMBER(INDEX('NCO-2015 scores'!$C$2:$C$131,MATCH(E143,'NCO-2015 scores'!$A$2:$A$131,0))),1,0),0)</f>
        <v>1</v>
      </c>
    </row>
    <row r="144" customFormat="false" ht="15" hidden="false" customHeight="false" outlineLevel="0" collapsed="false">
      <c r="A144" s="2" t="n">
        <v>142</v>
      </c>
      <c r="B144" s="2" t="s">
        <v>862</v>
      </c>
      <c r="C144" s="2" t="s">
        <v>863</v>
      </c>
      <c r="D144" s="2" t="s">
        <v>864</v>
      </c>
      <c r="E144" s="2" t="str">
        <f aca="false">LEFT(C144,3)</f>
        <v>821</v>
      </c>
      <c r="F144" s="2" t="str">
        <f aca="false">IF(D144="","",LEFT(D144,3))</f>
        <v>828</v>
      </c>
      <c r="G144" s="2" t="str">
        <f aca="false">IF(F144="","",IF(E144=F144,"Yes","No"))</f>
        <v>No</v>
      </c>
      <c r="H144" s="2" t="n">
        <f aca="false">IF(D144="",0,1/COUNTIF($D$2:$D$3451,D144))</f>
        <v>1</v>
      </c>
      <c r="I144" s="13" t="n">
        <f aca="false">IFERROR(INDEX('NCO-2015 scores'!$C$2:$C$131,MATCH(E144,'NCO-2015 scores'!$A$2:$A$131,0)),0)</f>
        <v>0.29</v>
      </c>
      <c r="J144" s="13" t="n">
        <f aca="false">IF(ISNUMBER(MATCH(E144,'NCO-2015 scores'!$A$2:$A$131,0)),IF(ISNUMBER(INDEX('NCO-2015 scores'!$C$2:$C$131,MATCH(E144,'NCO-2015 scores'!$A$2:$A$131,0))),1,0),0)</f>
        <v>1</v>
      </c>
    </row>
    <row r="145" customFormat="false" ht="15" hidden="false" customHeight="false" outlineLevel="0" collapsed="false">
      <c r="A145" s="2" t="n">
        <v>143</v>
      </c>
      <c r="B145" s="2" t="s">
        <v>865</v>
      </c>
      <c r="C145" s="2" t="s">
        <v>866</v>
      </c>
      <c r="D145" s="2" t="s">
        <v>867</v>
      </c>
      <c r="E145" s="2" t="str">
        <f aca="false">LEFT(C145,3)</f>
        <v>821</v>
      </c>
      <c r="F145" s="2" t="str">
        <f aca="false">IF(D145="","",LEFT(D145,3))</f>
        <v>828</v>
      </c>
      <c r="G145" s="2" t="str">
        <f aca="false">IF(F145="","",IF(E145=F145,"Yes","No"))</f>
        <v>No</v>
      </c>
      <c r="H145" s="2" t="n">
        <f aca="false">IF(D145="",0,1/COUNTIF($D$2:$D$3451,D145))</f>
        <v>1</v>
      </c>
      <c r="I145" s="13" t="n">
        <f aca="false">IFERROR(INDEX('NCO-2015 scores'!$C$2:$C$131,MATCH(E145,'NCO-2015 scores'!$A$2:$A$131,0)),0)</f>
        <v>0.29</v>
      </c>
      <c r="J145" s="13" t="n">
        <f aca="false">IF(ISNUMBER(MATCH(E145,'NCO-2015 scores'!$A$2:$A$131,0)),IF(ISNUMBER(INDEX('NCO-2015 scores'!$C$2:$C$131,MATCH(E145,'NCO-2015 scores'!$A$2:$A$131,0))),1,0),0)</f>
        <v>1</v>
      </c>
    </row>
    <row r="146" customFormat="false" ht="15" hidden="false" customHeight="false" outlineLevel="0" collapsed="false">
      <c r="A146" s="2" t="n">
        <v>144</v>
      </c>
      <c r="B146" s="2" t="s">
        <v>868</v>
      </c>
      <c r="C146" s="2" t="s">
        <v>869</v>
      </c>
      <c r="D146" s="2" t="s">
        <v>870</v>
      </c>
      <c r="E146" s="2" t="str">
        <f aca="false">LEFT(C146,3)</f>
        <v>821</v>
      </c>
      <c r="F146" s="2" t="str">
        <f aca="false">IF(D146="","",LEFT(D146,3))</f>
        <v>828</v>
      </c>
      <c r="G146" s="2" t="str">
        <f aca="false">IF(F146="","",IF(E146=F146,"Yes","No"))</f>
        <v>No</v>
      </c>
      <c r="H146" s="2" t="n">
        <f aca="false">IF(D146="",0,1/COUNTIF($D$2:$D$3451,D146))</f>
        <v>1</v>
      </c>
      <c r="I146" s="13" t="n">
        <f aca="false">IFERROR(INDEX('NCO-2015 scores'!$C$2:$C$131,MATCH(E146,'NCO-2015 scores'!$A$2:$A$131,0)),0)</f>
        <v>0.29</v>
      </c>
      <c r="J146" s="13" t="n">
        <f aca="false">IF(ISNUMBER(MATCH(E146,'NCO-2015 scores'!$A$2:$A$131,0)),IF(ISNUMBER(INDEX('NCO-2015 scores'!$C$2:$C$131,MATCH(E146,'NCO-2015 scores'!$A$2:$A$131,0))),1,0),0)</f>
        <v>1</v>
      </c>
    </row>
    <row r="147" customFormat="false" ht="15" hidden="false" customHeight="false" outlineLevel="0" collapsed="false">
      <c r="A147" s="2" t="n">
        <v>145</v>
      </c>
      <c r="B147" s="2" t="s">
        <v>871</v>
      </c>
      <c r="C147" s="2" t="s">
        <v>872</v>
      </c>
      <c r="D147" s="2" t="s">
        <v>873</v>
      </c>
      <c r="E147" s="2" t="str">
        <f aca="false">LEFT(C147,3)</f>
        <v>821</v>
      </c>
      <c r="F147" s="2" t="str">
        <f aca="false">IF(D147="","",LEFT(D147,3))</f>
        <v>828</v>
      </c>
      <c r="G147" s="2" t="str">
        <f aca="false">IF(F147="","",IF(E147=F147,"Yes","No"))</f>
        <v>No</v>
      </c>
      <c r="H147" s="2" t="n">
        <f aca="false">IF(D147="",0,1/COUNTIF($D$2:$D$3451,D147))</f>
        <v>1</v>
      </c>
      <c r="I147" s="13" t="n">
        <f aca="false">IFERROR(INDEX('NCO-2015 scores'!$C$2:$C$131,MATCH(E147,'NCO-2015 scores'!$A$2:$A$131,0)),0)</f>
        <v>0.29</v>
      </c>
      <c r="J147" s="13" t="n">
        <f aca="false">IF(ISNUMBER(MATCH(E147,'NCO-2015 scores'!$A$2:$A$131,0)),IF(ISNUMBER(INDEX('NCO-2015 scores'!$C$2:$C$131,MATCH(E147,'NCO-2015 scores'!$A$2:$A$131,0))),1,0),0)</f>
        <v>1</v>
      </c>
    </row>
    <row r="148" customFormat="false" ht="15" hidden="false" customHeight="false" outlineLevel="0" collapsed="false">
      <c r="A148" s="2" t="n">
        <v>146</v>
      </c>
      <c r="B148" s="2" t="s">
        <v>874</v>
      </c>
      <c r="C148" s="2" t="s">
        <v>875</v>
      </c>
      <c r="D148" s="2" t="s">
        <v>876</v>
      </c>
      <c r="E148" s="2" t="str">
        <f aca="false">LEFT(C148,3)</f>
        <v>516</v>
      </c>
      <c r="F148" s="2" t="str">
        <f aca="false">IF(D148="","",LEFT(D148,3))</f>
        <v>515</v>
      </c>
      <c r="G148" s="2" t="str">
        <f aca="false">IF(F148="","",IF(E148=F148,"Yes","No"))</f>
        <v>No</v>
      </c>
      <c r="H148" s="2" t="n">
        <f aca="false">IF(D148="",0,1/COUNTIF($D$2:$D$3451,D148))</f>
        <v>1</v>
      </c>
      <c r="I148" s="13" t="n">
        <f aca="false">IFERROR(INDEX('NCO-2015 scores'!$C$2:$C$131,MATCH(E148,'NCO-2015 scores'!$A$2:$A$131,0)),0)</f>
        <v>0.2067</v>
      </c>
      <c r="J148" s="13" t="n">
        <f aca="false">IF(ISNUMBER(MATCH(E148,'NCO-2015 scores'!$A$2:$A$131,0)),IF(ISNUMBER(INDEX('NCO-2015 scores'!$C$2:$C$131,MATCH(E148,'NCO-2015 scores'!$A$2:$A$131,0))),1,0),0)</f>
        <v>1</v>
      </c>
    </row>
    <row r="149" customFormat="false" ht="15" hidden="false" customHeight="false" outlineLevel="0" collapsed="false">
      <c r="A149" s="2" t="n">
        <v>147</v>
      </c>
      <c r="B149" s="2" t="s">
        <v>877</v>
      </c>
      <c r="C149" s="2" t="s">
        <v>878</v>
      </c>
      <c r="D149" s="2" t="s">
        <v>879</v>
      </c>
      <c r="E149" s="2" t="str">
        <f aca="false">LEFT(C149,3)</f>
        <v>516</v>
      </c>
      <c r="F149" s="2" t="str">
        <f aca="false">IF(D149="","",LEFT(D149,3))</f>
        <v>515</v>
      </c>
      <c r="G149" s="2" t="str">
        <f aca="false">IF(F149="","",IF(E149=F149,"Yes","No"))</f>
        <v>No</v>
      </c>
      <c r="H149" s="2" t="n">
        <f aca="false">IF(D149="",0,1/COUNTIF($D$2:$D$3451,D149))</f>
        <v>1</v>
      </c>
      <c r="I149" s="13" t="n">
        <f aca="false">IFERROR(INDEX('NCO-2015 scores'!$C$2:$C$131,MATCH(E149,'NCO-2015 scores'!$A$2:$A$131,0)),0)</f>
        <v>0.2067</v>
      </c>
      <c r="J149" s="13" t="n">
        <f aca="false">IF(ISNUMBER(MATCH(E149,'NCO-2015 scores'!$A$2:$A$131,0)),IF(ISNUMBER(INDEX('NCO-2015 scores'!$C$2:$C$131,MATCH(E149,'NCO-2015 scores'!$A$2:$A$131,0))),1,0),0)</f>
        <v>1</v>
      </c>
    </row>
    <row r="150" customFormat="false" ht="15" hidden="false" customHeight="false" outlineLevel="0" collapsed="false">
      <c r="A150" s="2" t="n">
        <v>148</v>
      </c>
      <c r="B150" s="2" t="s">
        <v>880</v>
      </c>
      <c r="C150" s="2" t="s">
        <v>881</v>
      </c>
      <c r="D150" s="2" t="s">
        <v>882</v>
      </c>
      <c r="E150" s="2" t="str">
        <f aca="false">LEFT(C150,3)</f>
        <v>516</v>
      </c>
      <c r="F150" s="2" t="str">
        <f aca="false">IF(D150="","",LEFT(D150,3))</f>
        <v>515</v>
      </c>
      <c r="G150" s="2" t="str">
        <f aca="false">IF(F150="","",IF(E150=F150,"Yes","No"))</f>
        <v>No</v>
      </c>
      <c r="H150" s="2" t="n">
        <f aca="false">IF(D150="",0,1/COUNTIF($D$2:$D$3451,D150))</f>
        <v>1</v>
      </c>
      <c r="I150" s="13" t="n">
        <f aca="false">IFERROR(INDEX('NCO-2015 scores'!$C$2:$C$131,MATCH(E150,'NCO-2015 scores'!$A$2:$A$131,0)),0)</f>
        <v>0.2067</v>
      </c>
      <c r="J150" s="13" t="n">
        <f aca="false">IF(ISNUMBER(MATCH(E150,'NCO-2015 scores'!$A$2:$A$131,0)),IF(ISNUMBER(INDEX('NCO-2015 scores'!$C$2:$C$131,MATCH(E150,'NCO-2015 scores'!$A$2:$A$131,0))),1,0),0)</f>
        <v>1</v>
      </c>
    </row>
    <row r="151" customFormat="false" ht="15" hidden="false" customHeight="false" outlineLevel="0" collapsed="false">
      <c r="A151" s="2" t="n">
        <v>149</v>
      </c>
      <c r="B151" s="2" t="s">
        <v>883</v>
      </c>
      <c r="C151" s="2" t="s">
        <v>884</v>
      </c>
      <c r="D151" s="2" t="s">
        <v>885</v>
      </c>
      <c r="E151" s="2" t="str">
        <f aca="false">LEFT(C151,3)</f>
        <v>342</v>
      </c>
      <c r="F151" s="2" t="str">
        <f aca="false">IF(D151="","",LEFT(D151,3))</f>
        <v>347</v>
      </c>
      <c r="G151" s="2" t="str">
        <f aca="false">IF(F151="","",IF(E151=F151,"Yes","No"))</f>
        <v>No</v>
      </c>
      <c r="H151" s="2" t="n">
        <f aca="false">IF(D151="",0,1/COUNTIF($D$2:$D$3451,D151))</f>
        <v>1</v>
      </c>
      <c r="I151" s="13" t="n">
        <f aca="false">IFERROR(INDEX('NCO-2015 scores'!$C$2:$C$131,MATCH(E151,'NCO-2015 scores'!$A$2:$A$131,0)),0)</f>
        <v>0.2833</v>
      </c>
      <c r="J151" s="13" t="n">
        <f aca="false">IF(ISNUMBER(MATCH(E151,'NCO-2015 scores'!$A$2:$A$131,0)),IF(ISNUMBER(INDEX('NCO-2015 scores'!$C$2:$C$131,MATCH(E151,'NCO-2015 scores'!$A$2:$A$131,0))),1,0),0)</f>
        <v>1</v>
      </c>
    </row>
    <row r="152" customFormat="false" ht="15" hidden="false" customHeight="false" outlineLevel="0" collapsed="false">
      <c r="A152" s="2" t="n">
        <v>150</v>
      </c>
      <c r="B152" s="2" t="s">
        <v>886</v>
      </c>
      <c r="C152" s="2" t="s">
        <v>887</v>
      </c>
      <c r="D152" s="2" t="s">
        <v>888</v>
      </c>
      <c r="E152" s="2" t="str">
        <f aca="false">LEFT(C152,3)</f>
        <v>342</v>
      </c>
      <c r="F152" s="2" t="str">
        <f aca="false">IF(D152="","",LEFT(D152,3))</f>
        <v>347</v>
      </c>
      <c r="G152" s="2" t="str">
        <f aca="false">IF(F152="","",IF(E152=F152,"Yes","No"))</f>
        <v>No</v>
      </c>
      <c r="H152" s="2" t="n">
        <f aca="false">IF(D152="",0,1/COUNTIF($D$2:$D$3451,D152))</f>
        <v>1</v>
      </c>
      <c r="I152" s="13" t="n">
        <f aca="false">IFERROR(INDEX('NCO-2015 scores'!$C$2:$C$131,MATCH(E152,'NCO-2015 scores'!$A$2:$A$131,0)),0)</f>
        <v>0.2833</v>
      </c>
      <c r="J152" s="13" t="n">
        <f aca="false">IF(ISNUMBER(MATCH(E152,'NCO-2015 scores'!$A$2:$A$131,0)),IF(ISNUMBER(INDEX('NCO-2015 scores'!$C$2:$C$131,MATCH(E152,'NCO-2015 scores'!$A$2:$A$131,0))),1,0),0)</f>
        <v>1</v>
      </c>
    </row>
    <row r="153" customFormat="false" ht="15" hidden="false" customHeight="false" outlineLevel="0" collapsed="false">
      <c r="A153" s="2" t="n">
        <v>151</v>
      </c>
      <c r="B153" s="2" t="s">
        <v>889</v>
      </c>
      <c r="C153" s="2" t="s">
        <v>890</v>
      </c>
      <c r="D153" s="2" t="s">
        <v>891</v>
      </c>
      <c r="E153" s="2" t="str">
        <f aca="false">LEFT(C153,3)</f>
        <v>226</v>
      </c>
      <c r="F153" s="2" t="str">
        <f aca="false">IF(D153="","",LEFT(D153,3))</f>
        <v>322</v>
      </c>
      <c r="G153" s="2" t="str">
        <f aca="false">IF(F153="","",IF(E153=F153,"Yes","No"))</f>
        <v>No</v>
      </c>
      <c r="H153" s="2" t="n">
        <f aca="false">IF(D153="",0,1/COUNTIF($D$2:$D$3451,D153))</f>
        <v>1</v>
      </c>
      <c r="I153" s="13" t="n">
        <f aca="false">IFERROR(INDEX('NCO-2015 scores'!$C$2:$C$131,MATCH(E153,'NCO-2015 scores'!$A$2:$A$131,0)),0)</f>
        <v>0.2662</v>
      </c>
      <c r="J153" s="13" t="n">
        <f aca="false">IF(ISNUMBER(MATCH(E153,'NCO-2015 scores'!$A$2:$A$131,0)),IF(ISNUMBER(INDEX('NCO-2015 scores'!$C$2:$C$131,MATCH(E153,'NCO-2015 scores'!$A$2:$A$131,0))),1,0),0)</f>
        <v>1</v>
      </c>
    </row>
    <row r="154" customFormat="false" ht="15" hidden="false" customHeight="false" outlineLevel="0" collapsed="false">
      <c r="A154" s="2" t="n">
        <v>152</v>
      </c>
      <c r="B154" s="2" t="s">
        <v>892</v>
      </c>
      <c r="C154" s="2" t="s">
        <v>893</v>
      </c>
      <c r="D154" s="2" t="s">
        <v>894</v>
      </c>
      <c r="E154" s="2" t="str">
        <f aca="false">LEFT(C154,3)</f>
        <v>226</v>
      </c>
      <c r="F154" s="2" t="str">
        <f aca="false">IF(D154="","",LEFT(D154,3))</f>
        <v>322</v>
      </c>
      <c r="G154" s="2" t="str">
        <f aca="false">IF(F154="","",IF(E154=F154,"Yes","No"))</f>
        <v>No</v>
      </c>
      <c r="H154" s="2" t="n">
        <f aca="false">IF(D154="",0,1/COUNTIF($D$2:$D$3451,D154))</f>
        <v>1</v>
      </c>
      <c r="I154" s="13" t="n">
        <f aca="false">IFERROR(INDEX('NCO-2015 scores'!$C$2:$C$131,MATCH(E154,'NCO-2015 scores'!$A$2:$A$131,0)),0)</f>
        <v>0.2662</v>
      </c>
      <c r="J154" s="13" t="n">
        <f aca="false">IF(ISNUMBER(MATCH(E154,'NCO-2015 scores'!$A$2:$A$131,0)),IF(ISNUMBER(INDEX('NCO-2015 scores'!$C$2:$C$131,MATCH(E154,'NCO-2015 scores'!$A$2:$A$131,0))),1,0),0)</f>
        <v>1</v>
      </c>
    </row>
    <row r="155" customFormat="false" ht="15" hidden="false" customHeight="false" outlineLevel="0" collapsed="false">
      <c r="A155" s="2" t="n">
        <v>153</v>
      </c>
      <c r="B155" s="2" t="s">
        <v>895</v>
      </c>
      <c r="C155" s="2" t="s">
        <v>896</v>
      </c>
      <c r="D155" s="2"/>
      <c r="E155" s="2" t="str">
        <f aca="false">LEFT(C155,3)</f>
        <v>226</v>
      </c>
      <c r="F155" s="2" t="str">
        <f aca="false">IF(D155="","",LEFT(D155,3))</f>
        <v/>
      </c>
      <c r="G155" s="2" t="str">
        <f aca="false">IF(F155="","",IF(E155=F155,"Yes","No"))</f>
        <v/>
      </c>
      <c r="H155" s="2" t="n">
        <f aca="false">IF(D155="",0,1/COUNTIF($D$2:$D$3451,D155))</f>
        <v>0</v>
      </c>
      <c r="I155" s="13" t="n">
        <f aca="false">IFERROR(INDEX('NCO-2015 scores'!$C$2:$C$131,MATCH(E155,'NCO-2015 scores'!$A$2:$A$131,0)),0)</f>
        <v>0.2662</v>
      </c>
      <c r="J155" s="13" t="n">
        <f aca="false">IF(ISNUMBER(MATCH(E155,'NCO-2015 scores'!$A$2:$A$131,0)),IF(ISNUMBER(INDEX('NCO-2015 scores'!$C$2:$C$131,MATCH(E155,'NCO-2015 scores'!$A$2:$A$131,0))),1,0),0)</f>
        <v>1</v>
      </c>
    </row>
    <row r="156" customFormat="false" ht="15" hidden="false" customHeight="false" outlineLevel="0" collapsed="false">
      <c r="A156" s="2" t="n">
        <v>154</v>
      </c>
      <c r="B156" s="2" t="s">
        <v>897</v>
      </c>
      <c r="C156" s="2" t="s">
        <v>898</v>
      </c>
      <c r="D156" s="2" t="s">
        <v>899</v>
      </c>
      <c r="E156" s="2" t="str">
        <f aca="false">LEFT(C156,3)</f>
        <v>226</v>
      </c>
      <c r="F156" s="2" t="str">
        <f aca="false">IF(D156="","",LEFT(D156,3))</f>
        <v>322</v>
      </c>
      <c r="G156" s="2" t="str">
        <f aca="false">IF(F156="","",IF(E156=F156,"Yes","No"))</f>
        <v>No</v>
      </c>
      <c r="H156" s="2" t="n">
        <f aca="false">IF(D156="",0,1/COUNTIF($D$2:$D$3451,D156))</f>
        <v>1</v>
      </c>
      <c r="I156" s="13" t="n">
        <f aca="false">IFERROR(INDEX('NCO-2015 scores'!$C$2:$C$131,MATCH(E156,'NCO-2015 scores'!$A$2:$A$131,0)),0)</f>
        <v>0.2662</v>
      </c>
      <c r="J156" s="13" t="n">
        <f aca="false">IF(ISNUMBER(MATCH(E156,'NCO-2015 scores'!$A$2:$A$131,0)),IF(ISNUMBER(INDEX('NCO-2015 scores'!$C$2:$C$131,MATCH(E156,'NCO-2015 scores'!$A$2:$A$131,0))),1,0),0)</f>
        <v>1</v>
      </c>
    </row>
    <row r="157" customFormat="false" ht="15" hidden="false" customHeight="false" outlineLevel="0" collapsed="false">
      <c r="A157" s="2" t="n">
        <v>155</v>
      </c>
      <c r="B157" s="2" t="s">
        <v>900</v>
      </c>
      <c r="C157" s="2" t="s">
        <v>901</v>
      </c>
      <c r="D157" s="2" t="s">
        <v>902</v>
      </c>
      <c r="E157" s="2" t="str">
        <f aca="false">LEFT(C157,3)</f>
        <v>264</v>
      </c>
      <c r="F157" s="2" t="str">
        <f aca="false">IF(D157="","",LEFT(D157,3))</f>
        <v>245</v>
      </c>
      <c r="G157" s="2" t="str">
        <f aca="false">IF(F157="","",IF(E157=F157,"Yes","No"))</f>
        <v>No</v>
      </c>
      <c r="H157" s="2" t="n">
        <f aca="false">IF(D157="",0,1/COUNTIF($D$2:$D$3451,D157))</f>
        <v>1</v>
      </c>
      <c r="I157" s="13" t="n">
        <f aca="false">IFERROR(INDEX('NCO-2015 scores'!$C$2:$C$131,MATCH(E157,'NCO-2015 scores'!$A$2:$A$131,0)),0)</f>
        <v>0.56</v>
      </c>
      <c r="J157" s="13" t="n">
        <f aca="false">IF(ISNUMBER(MATCH(E157,'NCO-2015 scores'!$A$2:$A$131,0)),IF(ISNUMBER(INDEX('NCO-2015 scores'!$C$2:$C$131,MATCH(E157,'NCO-2015 scores'!$A$2:$A$131,0))),1,0),0)</f>
        <v>1</v>
      </c>
    </row>
    <row r="158" customFormat="false" ht="15" hidden="false" customHeight="false" outlineLevel="0" collapsed="false">
      <c r="A158" s="2" t="n">
        <v>156</v>
      </c>
      <c r="B158" s="2" t="s">
        <v>903</v>
      </c>
      <c r="C158" s="2" t="s">
        <v>904</v>
      </c>
      <c r="D158" s="2" t="s">
        <v>905</v>
      </c>
      <c r="E158" s="2" t="str">
        <f aca="false">LEFT(C158,3)</f>
        <v>264</v>
      </c>
      <c r="F158" s="2" t="str">
        <f aca="false">IF(D158="","",LEFT(D158,3))</f>
        <v>245</v>
      </c>
      <c r="G158" s="2" t="str">
        <f aca="false">IF(F158="","",IF(E158=F158,"Yes","No"))</f>
        <v>No</v>
      </c>
      <c r="H158" s="2" t="n">
        <f aca="false">IF(D158="",0,1/COUNTIF($D$2:$D$3451,D158))</f>
        <v>1</v>
      </c>
      <c r="I158" s="13" t="n">
        <f aca="false">IFERROR(INDEX('NCO-2015 scores'!$C$2:$C$131,MATCH(E158,'NCO-2015 scores'!$A$2:$A$131,0)),0)</f>
        <v>0.56</v>
      </c>
      <c r="J158" s="13" t="n">
        <f aca="false">IF(ISNUMBER(MATCH(E158,'NCO-2015 scores'!$A$2:$A$131,0)),IF(ISNUMBER(INDEX('NCO-2015 scores'!$C$2:$C$131,MATCH(E158,'NCO-2015 scores'!$A$2:$A$131,0))),1,0),0)</f>
        <v>1</v>
      </c>
    </row>
    <row r="159" customFormat="false" ht="15" hidden="false" customHeight="false" outlineLevel="0" collapsed="false">
      <c r="A159" s="2" t="n">
        <v>157</v>
      </c>
      <c r="B159" s="2" t="s">
        <v>906</v>
      </c>
      <c r="C159" s="2" t="s">
        <v>907</v>
      </c>
      <c r="D159" s="2" t="s">
        <v>908</v>
      </c>
      <c r="E159" s="2" t="str">
        <f aca="false">LEFT(C159,3)</f>
        <v>264</v>
      </c>
      <c r="F159" s="2" t="str">
        <f aca="false">IF(D159="","",LEFT(D159,3))</f>
        <v>245</v>
      </c>
      <c r="G159" s="2" t="str">
        <f aca="false">IF(F159="","",IF(E159=F159,"Yes","No"))</f>
        <v>No</v>
      </c>
      <c r="H159" s="2" t="n">
        <f aca="false">IF(D159="",0,1/COUNTIF($D$2:$D$3451,D159))</f>
        <v>1</v>
      </c>
      <c r="I159" s="13" t="n">
        <f aca="false">IFERROR(INDEX('NCO-2015 scores'!$C$2:$C$131,MATCH(E159,'NCO-2015 scores'!$A$2:$A$131,0)),0)</f>
        <v>0.56</v>
      </c>
      <c r="J159" s="13" t="n">
        <f aca="false">IF(ISNUMBER(MATCH(E159,'NCO-2015 scores'!$A$2:$A$131,0)),IF(ISNUMBER(INDEX('NCO-2015 scores'!$C$2:$C$131,MATCH(E159,'NCO-2015 scores'!$A$2:$A$131,0))),1,0),0)</f>
        <v>1</v>
      </c>
    </row>
    <row r="160" customFormat="false" ht="15" hidden="false" customHeight="false" outlineLevel="0" collapsed="false">
      <c r="A160" s="2" t="n">
        <v>158</v>
      </c>
      <c r="B160" s="2" t="s">
        <v>909</v>
      </c>
      <c r="C160" s="2" t="s">
        <v>910</v>
      </c>
      <c r="D160" s="2" t="s">
        <v>911</v>
      </c>
      <c r="E160" s="2" t="str">
        <f aca="false">LEFT(C160,3)</f>
        <v>264</v>
      </c>
      <c r="F160" s="2" t="str">
        <f aca="false">IF(D160="","",LEFT(D160,3))</f>
        <v>245</v>
      </c>
      <c r="G160" s="2" t="str">
        <f aca="false">IF(F160="","",IF(E160=F160,"Yes","No"))</f>
        <v>No</v>
      </c>
      <c r="H160" s="2" t="n">
        <f aca="false">IF(D160="",0,1/COUNTIF($D$2:$D$3451,D160))</f>
        <v>1</v>
      </c>
      <c r="I160" s="13" t="n">
        <f aca="false">IFERROR(INDEX('NCO-2015 scores'!$C$2:$C$131,MATCH(E160,'NCO-2015 scores'!$A$2:$A$131,0)),0)</f>
        <v>0.56</v>
      </c>
      <c r="J160" s="13" t="n">
        <f aca="false">IF(ISNUMBER(MATCH(E160,'NCO-2015 scores'!$A$2:$A$131,0)),IF(ISNUMBER(INDEX('NCO-2015 scores'!$C$2:$C$131,MATCH(E160,'NCO-2015 scores'!$A$2:$A$131,0))),1,0),0)</f>
        <v>1</v>
      </c>
    </row>
    <row r="161" customFormat="false" ht="15" hidden="false" customHeight="false" outlineLevel="0" collapsed="false">
      <c r="A161" s="2" t="n">
        <v>159</v>
      </c>
      <c r="B161" s="2" t="s">
        <v>912</v>
      </c>
      <c r="C161" s="2" t="s">
        <v>913</v>
      </c>
      <c r="D161" s="2"/>
      <c r="E161" s="2" t="str">
        <f aca="false">LEFT(C161,3)</f>
        <v>264</v>
      </c>
      <c r="F161" s="2" t="str">
        <f aca="false">IF(D161="","",LEFT(D161,3))</f>
        <v/>
      </c>
      <c r="G161" s="2" t="str">
        <f aca="false">IF(F161="","",IF(E161=F161,"Yes","No"))</f>
        <v/>
      </c>
      <c r="H161" s="2" t="n">
        <f aca="false">IF(D161="",0,1/COUNTIF($D$2:$D$3451,D161))</f>
        <v>0</v>
      </c>
      <c r="I161" s="13" t="n">
        <f aca="false">IFERROR(INDEX('NCO-2015 scores'!$C$2:$C$131,MATCH(E161,'NCO-2015 scores'!$A$2:$A$131,0)),0)</f>
        <v>0.56</v>
      </c>
      <c r="J161" s="13" t="n">
        <f aca="false">IF(ISNUMBER(MATCH(E161,'NCO-2015 scores'!$A$2:$A$131,0)),IF(ISNUMBER(INDEX('NCO-2015 scores'!$C$2:$C$131,MATCH(E161,'NCO-2015 scores'!$A$2:$A$131,0))),1,0),0)</f>
        <v>1</v>
      </c>
    </row>
    <row r="162" customFormat="false" ht="15" hidden="false" customHeight="false" outlineLevel="0" collapsed="false">
      <c r="A162" s="2" t="n">
        <v>160</v>
      </c>
      <c r="B162" s="2" t="s">
        <v>914</v>
      </c>
      <c r="C162" s="2" t="s">
        <v>915</v>
      </c>
      <c r="D162" s="2" t="s">
        <v>916</v>
      </c>
      <c r="E162" s="2" t="str">
        <f aca="false">LEFT(C162,3)</f>
        <v>264</v>
      </c>
      <c r="F162" s="2" t="str">
        <f aca="false">IF(D162="","",LEFT(D162,3))</f>
        <v>245</v>
      </c>
      <c r="G162" s="2" t="str">
        <f aca="false">IF(F162="","",IF(E162=F162,"Yes","No"))</f>
        <v>No</v>
      </c>
      <c r="H162" s="2" t="n">
        <f aca="false">IF(D162="",0,1/COUNTIF($D$2:$D$3451,D162))</f>
        <v>1</v>
      </c>
      <c r="I162" s="13" t="n">
        <f aca="false">IFERROR(INDEX('NCO-2015 scores'!$C$2:$C$131,MATCH(E162,'NCO-2015 scores'!$A$2:$A$131,0)),0)</f>
        <v>0.56</v>
      </c>
      <c r="J162" s="13" t="n">
        <f aca="false">IF(ISNUMBER(MATCH(E162,'NCO-2015 scores'!$A$2:$A$131,0)),IF(ISNUMBER(INDEX('NCO-2015 scores'!$C$2:$C$131,MATCH(E162,'NCO-2015 scores'!$A$2:$A$131,0))),1,0),0)</f>
        <v>1</v>
      </c>
    </row>
    <row r="163" customFormat="false" ht="15" hidden="false" customHeight="false" outlineLevel="0" collapsed="false">
      <c r="A163" s="2" t="n">
        <v>161</v>
      </c>
      <c r="B163" s="2" t="s">
        <v>917</v>
      </c>
      <c r="C163" s="2" t="s">
        <v>918</v>
      </c>
      <c r="D163" s="2" t="s">
        <v>919</v>
      </c>
      <c r="E163" s="2" t="str">
        <f aca="false">LEFT(C163,3)</f>
        <v>264</v>
      </c>
      <c r="F163" s="2" t="str">
        <f aca="false">IF(D163="","",LEFT(D163,3))</f>
        <v>245</v>
      </c>
      <c r="G163" s="2" t="str">
        <f aca="false">IF(F163="","",IF(E163=F163,"Yes","No"))</f>
        <v>No</v>
      </c>
      <c r="H163" s="2" t="n">
        <f aca="false">IF(D163="",0,1/COUNTIF($D$2:$D$3451,D163))</f>
        <v>1</v>
      </c>
      <c r="I163" s="13" t="n">
        <f aca="false">IFERROR(INDEX('NCO-2015 scores'!$C$2:$C$131,MATCH(E163,'NCO-2015 scores'!$A$2:$A$131,0)),0)</f>
        <v>0.56</v>
      </c>
      <c r="J163" s="13" t="n">
        <f aca="false">IF(ISNUMBER(MATCH(E163,'NCO-2015 scores'!$A$2:$A$131,0)),IF(ISNUMBER(INDEX('NCO-2015 scores'!$C$2:$C$131,MATCH(E163,'NCO-2015 scores'!$A$2:$A$131,0))),1,0),0)</f>
        <v>1</v>
      </c>
    </row>
    <row r="164" customFormat="false" ht="15" hidden="false" customHeight="false" outlineLevel="0" collapsed="false">
      <c r="A164" s="2" t="n">
        <v>162</v>
      </c>
      <c r="B164" s="2" t="s">
        <v>920</v>
      </c>
      <c r="C164" s="2" t="s">
        <v>921</v>
      </c>
      <c r="D164" s="2"/>
      <c r="E164" s="2" t="str">
        <f aca="false">LEFT(C164,3)</f>
        <v>264</v>
      </c>
      <c r="F164" s="2" t="str">
        <f aca="false">IF(D164="","",LEFT(D164,3))</f>
        <v/>
      </c>
      <c r="G164" s="2" t="str">
        <f aca="false">IF(F164="","",IF(E164=F164,"Yes","No"))</f>
        <v/>
      </c>
      <c r="H164" s="2" t="n">
        <f aca="false">IF(D164="",0,1/COUNTIF($D$2:$D$3451,D164))</f>
        <v>0</v>
      </c>
      <c r="I164" s="13" t="n">
        <f aca="false">IFERROR(INDEX('NCO-2015 scores'!$C$2:$C$131,MATCH(E164,'NCO-2015 scores'!$A$2:$A$131,0)),0)</f>
        <v>0.56</v>
      </c>
      <c r="J164" s="13" t="n">
        <f aca="false">IF(ISNUMBER(MATCH(E164,'NCO-2015 scores'!$A$2:$A$131,0)),IF(ISNUMBER(INDEX('NCO-2015 scores'!$C$2:$C$131,MATCH(E164,'NCO-2015 scores'!$A$2:$A$131,0))),1,0),0)</f>
        <v>1</v>
      </c>
    </row>
    <row r="165" customFormat="false" ht="15" hidden="false" customHeight="false" outlineLevel="0" collapsed="false">
      <c r="A165" s="2" t="n">
        <v>163</v>
      </c>
      <c r="B165" s="2" t="s">
        <v>922</v>
      </c>
      <c r="C165" s="2" t="s">
        <v>923</v>
      </c>
      <c r="D165" s="2" t="s">
        <v>924</v>
      </c>
      <c r="E165" s="2" t="str">
        <f aca="false">LEFT(C165,3)</f>
        <v>264</v>
      </c>
      <c r="F165" s="2" t="str">
        <f aca="false">IF(D165="","",LEFT(D165,3))</f>
        <v>245</v>
      </c>
      <c r="G165" s="2" t="str">
        <f aca="false">IF(F165="","",IF(E165=F165,"Yes","No"))</f>
        <v>No</v>
      </c>
      <c r="H165" s="2" t="n">
        <f aca="false">IF(D165="",0,1/COUNTIF($D$2:$D$3451,D165))</f>
        <v>1</v>
      </c>
      <c r="I165" s="13" t="n">
        <f aca="false">IFERROR(INDEX('NCO-2015 scores'!$C$2:$C$131,MATCH(E165,'NCO-2015 scores'!$A$2:$A$131,0)),0)</f>
        <v>0.56</v>
      </c>
      <c r="J165" s="13" t="n">
        <f aca="false">IF(ISNUMBER(MATCH(E165,'NCO-2015 scores'!$A$2:$A$131,0)),IF(ISNUMBER(INDEX('NCO-2015 scores'!$C$2:$C$131,MATCH(E165,'NCO-2015 scores'!$A$2:$A$131,0))),1,0),0)</f>
        <v>1</v>
      </c>
    </row>
    <row r="166" customFormat="false" ht="15" hidden="false" customHeight="false" outlineLevel="0" collapsed="false">
      <c r="A166" s="2" t="n">
        <v>164</v>
      </c>
      <c r="B166" s="2" t="s">
        <v>925</v>
      </c>
      <c r="C166" s="2" t="s">
        <v>926</v>
      </c>
      <c r="D166" s="2"/>
      <c r="E166" s="2" t="str">
        <f aca="false">LEFT(C166,3)</f>
        <v>264</v>
      </c>
      <c r="F166" s="2" t="str">
        <f aca="false">IF(D166="","",LEFT(D166,3))</f>
        <v/>
      </c>
      <c r="G166" s="2" t="str">
        <f aca="false">IF(F166="","",IF(E166=F166,"Yes","No"))</f>
        <v/>
      </c>
      <c r="H166" s="2" t="n">
        <f aca="false">IF(D166="",0,1/COUNTIF($D$2:$D$3451,D166))</f>
        <v>0</v>
      </c>
      <c r="I166" s="13" t="n">
        <f aca="false">IFERROR(INDEX('NCO-2015 scores'!$C$2:$C$131,MATCH(E166,'NCO-2015 scores'!$A$2:$A$131,0)),0)</f>
        <v>0.56</v>
      </c>
      <c r="J166" s="13" t="n">
        <f aca="false">IF(ISNUMBER(MATCH(E166,'NCO-2015 scores'!$A$2:$A$131,0)),IF(ISNUMBER(INDEX('NCO-2015 scores'!$C$2:$C$131,MATCH(E166,'NCO-2015 scores'!$A$2:$A$131,0))),1,0),0)</f>
        <v>1</v>
      </c>
    </row>
    <row r="167" customFormat="false" ht="15" hidden="false" customHeight="false" outlineLevel="0" collapsed="false">
      <c r="A167" s="2" t="n">
        <v>165</v>
      </c>
      <c r="B167" s="2" t="s">
        <v>927</v>
      </c>
      <c r="C167" s="2" t="s">
        <v>928</v>
      </c>
      <c r="D167" s="2"/>
      <c r="E167" s="2" t="str">
        <f aca="false">LEFT(C167,3)</f>
        <v>264</v>
      </c>
      <c r="F167" s="2" t="str">
        <f aca="false">IF(D167="","",LEFT(D167,3))</f>
        <v/>
      </c>
      <c r="G167" s="2" t="str">
        <f aca="false">IF(F167="","",IF(E167=F167,"Yes","No"))</f>
        <v/>
      </c>
      <c r="H167" s="2" t="n">
        <f aca="false">IF(D167="",0,1/COUNTIF($D$2:$D$3451,D167))</f>
        <v>0</v>
      </c>
      <c r="I167" s="13" t="n">
        <f aca="false">IFERROR(INDEX('NCO-2015 scores'!$C$2:$C$131,MATCH(E167,'NCO-2015 scores'!$A$2:$A$131,0)),0)</f>
        <v>0.56</v>
      </c>
      <c r="J167" s="13" t="n">
        <f aca="false">IF(ISNUMBER(MATCH(E167,'NCO-2015 scores'!$A$2:$A$131,0)),IF(ISNUMBER(INDEX('NCO-2015 scores'!$C$2:$C$131,MATCH(E167,'NCO-2015 scores'!$A$2:$A$131,0))),1,0),0)</f>
        <v>1</v>
      </c>
    </row>
    <row r="168" customFormat="false" ht="15" hidden="false" customHeight="false" outlineLevel="0" collapsed="false">
      <c r="A168" s="2" t="n">
        <v>166</v>
      </c>
      <c r="B168" s="2" t="s">
        <v>929</v>
      </c>
      <c r="C168" s="2" t="s">
        <v>930</v>
      </c>
      <c r="D168" s="2"/>
      <c r="E168" s="2" t="str">
        <f aca="false">LEFT(C168,3)</f>
        <v>264</v>
      </c>
      <c r="F168" s="2" t="str">
        <f aca="false">IF(D168="","",LEFT(D168,3))</f>
        <v/>
      </c>
      <c r="G168" s="2" t="str">
        <f aca="false">IF(F168="","",IF(E168=F168,"Yes","No"))</f>
        <v/>
      </c>
      <c r="H168" s="2" t="n">
        <f aca="false">IF(D168="",0,1/COUNTIF($D$2:$D$3451,D168))</f>
        <v>0</v>
      </c>
      <c r="I168" s="13" t="n">
        <f aca="false">IFERROR(INDEX('NCO-2015 scores'!$C$2:$C$131,MATCH(E168,'NCO-2015 scores'!$A$2:$A$131,0)),0)</f>
        <v>0.56</v>
      </c>
      <c r="J168" s="13" t="n">
        <f aca="false">IF(ISNUMBER(MATCH(E168,'NCO-2015 scores'!$A$2:$A$131,0)),IF(ISNUMBER(INDEX('NCO-2015 scores'!$C$2:$C$131,MATCH(E168,'NCO-2015 scores'!$A$2:$A$131,0))),1,0),0)</f>
        <v>1</v>
      </c>
    </row>
    <row r="169" customFormat="false" ht="15" hidden="false" customHeight="false" outlineLevel="0" collapsed="false">
      <c r="A169" s="2" t="n">
        <v>167</v>
      </c>
      <c r="B169" s="2" t="s">
        <v>931</v>
      </c>
      <c r="C169" s="2" t="s">
        <v>932</v>
      </c>
      <c r="D169" s="2"/>
      <c r="E169" s="2" t="str">
        <f aca="false">LEFT(C169,3)</f>
        <v>264</v>
      </c>
      <c r="F169" s="2" t="str">
        <f aca="false">IF(D169="","",LEFT(D169,3))</f>
        <v/>
      </c>
      <c r="G169" s="2" t="str">
        <f aca="false">IF(F169="","",IF(E169=F169,"Yes","No"))</f>
        <v/>
      </c>
      <c r="H169" s="2" t="n">
        <f aca="false">IF(D169="",0,1/COUNTIF($D$2:$D$3451,D169))</f>
        <v>0</v>
      </c>
      <c r="I169" s="13" t="n">
        <f aca="false">IFERROR(INDEX('NCO-2015 scores'!$C$2:$C$131,MATCH(E169,'NCO-2015 scores'!$A$2:$A$131,0)),0)</f>
        <v>0.56</v>
      </c>
      <c r="J169" s="13" t="n">
        <f aca="false">IF(ISNUMBER(MATCH(E169,'NCO-2015 scores'!$A$2:$A$131,0)),IF(ISNUMBER(INDEX('NCO-2015 scores'!$C$2:$C$131,MATCH(E169,'NCO-2015 scores'!$A$2:$A$131,0))),1,0),0)</f>
        <v>1</v>
      </c>
    </row>
    <row r="170" customFormat="false" ht="15" hidden="false" customHeight="false" outlineLevel="0" collapsed="false">
      <c r="A170" s="2" t="n">
        <v>168</v>
      </c>
      <c r="B170" s="2" t="s">
        <v>933</v>
      </c>
      <c r="C170" s="2" t="s">
        <v>934</v>
      </c>
      <c r="D170" s="2"/>
      <c r="E170" s="2" t="str">
        <f aca="false">LEFT(C170,3)</f>
        <v>264</v>
      </c>
      <c r="F170" s="2" t="str">
        <f aca="false">IF(D170="","",LEFT(D170,3))</f>
        <v/>
      </c>
      <c r="G170" s="2" t="str">
        <f aca="false">IF(F170="","",IF(E170=F170,"Yes","No"))</f>
        <v/>
      </c>
      <c r="H170" s="2" t="n">
        <f aca="false">IF(D170="",0,1/COUNTIF($D$2:$D$3451,D170))</f>
        <v>0</v>
      </c>
      <c r="I170" s="13" t="n">
        <f aca="false">IFERROR(INDEX('NCO-2015 scores'!$C$2:$C$131,MATCH(E170,'NCO-2015 scores'!$A$2:$A$131,0)),0)</f>
        <v>0.56</v>
      </c>
      <c r="J170" s="13" t="n">
        <f aca="false">IF(ISNUMBER(MATCH(E170,'NCO-2015 scores'!$A$2:$A$131,0)),IF(ISNUMBER(INDEX('NCO-2015 scores'!$C$2:$C$131,MATCH(E170,'NCO-2015 scores'!$A$2:$A$131,0))),1,0),0)</f>
        <v>1</v>
      </c>
    </row>
    <row r="171" customFormat="false" ht="15" hidden="false" customHeight="false" outlineLevel="0" collapsed="false">
      <c r="A171" s="2" t="n">
        <v>169</v>
      </c>
      <c r="B171" s="2" t="s">
        <v>935</v>
      </c>
      <c r="C171" s="2" t="s">
        <v>936</v>
      </c>
      <c r="D171" s="2" t="s">
        <v>937</v>
      </c>
      <c r="E171" s="2" t="str">
        <f aca="false">LEFT(C171,3)</f>
        <v>751</v>
      </c>
      <c r="F171" s="2" t="str">
        <f aca="false">IF(D171="","",LEFT(D171,3))</f>
        <v>741</v>
      </c>
      <c r="G171" s="2" t="str">
        <f aca="false">IF(F171="","",IF(E171=F171,"Yes","No"))</f>
        <v>No</v>
      </c>
      <c r="H171" s="2" t="n">
        <f aca="false">IF(D171="",0,1/COUNTIF($D$2:$D$3451,D171))</f>
        <v>1</v>
      </c>
      <c r="I171" s="13" t="n">
        <f aca="false">IFERROR(INDEX('NCO-2015 scores'!$C$2:$C$131,MATCH(E171,'NCO-2015 scores'!$A$2:$A$131,0)),0)</f>
        <v>0.1867</v>
      </c>
      <c r="J171" s="13" t="n">
        <f aca="false">IF(ISNUMBER(MATCH(E171,'NCO-2015 scores'!$A$2:$A$131,0)),IF(ISNUMBER(INDEX('NCO-2015 scores'!$C$2:$C$131,MATCH(E171,'NCO-2015 scores'!$A$2:$A$131,0))),1,0),0)</f>
        <v>1</v>
      </c>
    </row>
    <row r="172" customFormat="false" ht="15" hidden="false" customHeight="false" outlineLevel="0" collapsed="false">
      <c r="A172" s="2" t="n">
        <v>170</v>
      </c>
      <c r="B172" s="2" t="s">
        <v>938</v>
      </c>
      <c r="C172" s="2" t="s">
        <v>939</v>
      </c>
      <c r="D172" s="2" t="s">
        <v>940</v>
      </c>
      <c r="E172" s="2" t="str">
        <f aca="false">LEFT(C172,3)</f>
        <v>751</v>
      </c>
      <c r="F172" s="2" t="str">
        <f aca="false">IF(D172="","",LEFT(D172,3))</f>
        <v>741</v>
      </c>
      <c r="G172" s="2" t="str">
        <f aca="false">IF(F172="","",IF(E172=F172,"Yes","No"))</f>
        <v>No</v>
      </c>
      <c r="H172" s="2" t="n">
        <f aca="false">IF(D172="",0,1/COUNTIF($D$2:$D$3451,D172))</f>
        <v>1</v>
      </c>
      <c r="I172" s="13" t="n">
        <f aca="false">IFERROR(INDEX('NCO-2015 scores'!$C$2:$C$131,MATCH(E172,'NCO-2015 scores'!$A$2:$A$131,0)),0)</f>
        <v>0.1867</v>
      </c>
      <c r="J172" s="13" t="n">
        <f aca="false">IF(ISNUMBER(MATCH(E172,'NCO-2015 scores'!$A$2:$A$131,0)),IF(ISNUMBER(INDEX('NCO-2015 scores'!$C$2:$C$131,MATCH(E172,'NCO-2015 scores'!$A$2:$A$131,0))),1,0),0)</f>
        <v>1</v>
      </c>
    </row>
    <row r="173" customFormat="false" ht="15" hidden="false" customHeight="false" outlineLevel="0" collapsed="false">
      <c r="A173" s="2" t="n">
        <v>171</v>
      </c>
      <c r="B173" s="2" t="s">
        <v>941</v>
      </c>
      <c r="C173" s="2" t="s">
        <v>942</v>
      </c>
      <c r="D173" s="2" t="s">
        <v>943</v>
      </c>
      <c r="E173" s="2" t="str">
        <f aca="false">LEFT(C173,3)</f>
        <v>751</v>
      </c>
      <c r="F173" s="2" t="str">
        <f aca="false">IF(D173="","",LEFT(D173,3))</f>
        <v>741</v>
      </c>
      <c r="G173" s="2" t="str">
        <f aca="false">IF(F173="","",IF(E173=F173,"Yes","No"))</f>
        <v>No</v>
      </c>
      <c r="H173" s="2" t="n">
        <f aca="false">IF(D173="",0,1/COUNTIF($D$2:$D$3451,D173))</f>
        <v>1</v>
      </c>
      <c r="I173" s="13" t="n">
        <f aca="false">IFERROR(INDEX('NCO-2015 scores'!$C$2:$C$131,MATCH(E173,'NCO-2015 scores'!$A$2:$A$131,0)),0)</f>
        <v>0.1867</v>
      </c>
      <c r="J173" s="13" t="n">
        <f aca="false">IF(ISNUMBER(MATCH(E173,'NCO-2015 scores'!$A$2:$A$131,0)),IF(ISNUMBER(INDEX('NCO-2015 scores'!$C$2:$C$131,MATCH(E173,'NCO-2015 scores'!$A$2:$A$131,0))),1,0),0)</f>
        <v>1</v>
      </c>
    </row>
    <row r="174" customFormat="false" ht="15" hidden="false" customHeight="false" outlineLevel="0" collapsed="false">
      <c r="A174" s="2" t="n">
        <v>172</v>
      </c>
      <c r="B174" s="2" t="s">
        <v>944</v>
      </c>
      <c r="C174" s="2" t="s">
        <v>945</v>
      </c>
      <c r="D174" s="2" t="s">
        <v>946</v>
      </c>
      <c r="E174" s="2" t="str">
        <f aca="false">LEFT(C174,3)</f>
        <v>751</v>
      </c>
      <c r="F174" s="2" t="str">
        <f aca="false">IF(D174="","",LEFT(D174,3))</f>
        <v>741</v>
      </c>
      <c r="G174" s="2" t="str">
        <f aca="false">IF(F174="","",IF(E174=F174,"Yes","No"))</f>
        <v>No</v>
      </c>
      <c r="H174" s="2" t="n">
        <f aca="false">IF(D174="",0,1/COUNTIF($D$2:$D$3451,D174))</f>
        <v>1</v>
      </c>
      <c r="I174" s="13" t="n">
        <f aca="false">IFERROR(INDEX('NCO-2015 scores'!$C$2:$C$131,MATCH(E174,'NCO-2015 scores'!$A$2:$A$131,0)),0)</f>
        <v>0.1867</v>
      </c>
      <c r="J174" s="13" t="n">
        <f aca="false">IF(ISNUMBER(MATCH(E174,'NCO-2015 scores'!$A$2:$A$131,0)),IF(ISNUMBER(INDEX('NCO-2015 scores'!$C$2:$C$131,MATCH(E174,'NCO-2015 scores'!$A$2:$A$131,0))),1,0),0)</f>
        <v>1</v>
      </c>
    </row>
    <row r="175" customFormat="false" ht="15" hidden="false" customHeight="false" outlineLevel="0" collapsed="false">
      <c r="A175" s="2" t="n">
        <v>173</v>
      </c>
      <c r="B175" s="2" t="s">
        <v>947</v>
      </c>
      <c r="C175" s="2" t="s">
        <v>948</v>
      </c>
      <c r="D175" s="2" t="s">
        <v>949</v>
      </c>
      <c r="E175" s="2" t="str">
        <f aca="false">LEFT(C175,3)</f>
        <v>751</v>
      </c>
      <c r="F175" s="2" t="str">
        <f aca="false">IF(D175="","",LEFT(D175,3))</f>
        <v>741</v>
      </c>
      <c r="G175" s="2" t="str">
        <f aca="false">IF(F175="","",IF(E175=F175,"Yes","No"))</f>
        <v>No</v>
      </c>
      <c r="H175" s="2" t="n">
        <f aca="false">IF(D175="",0,1/COUNTIF($D$2:$D$3451,D175))</f>
        <v>1</v>
      </c>
      <c r="I175" s="13" t="n">
        <f aca="false">IFERROR(INDEX('NCO-2015 scores'!$C$2:$C$131,MATCH(E175,'NCO-2015 scores'!$A$2:$A$131,0)),0)</f>
        <v>0.1867</v>
      </c>
      <c r="J175" s="13" t="n">
        <f aca="false">IF(ISNUMBER(MATCH(E175,'NCO-2015 scores'!$A$2:$A$131,0)),IF(ISNUMBER(INDEX('NCO-2015 scores'!$C$2:$C$131,MATCH(E175,'NCO-2015 scores'!$A$2:$A$131,0))),1,0),0)</f>
        <v>1</v>
      </c>
    </row>
    <row r="176" customFormat="false" ht="15" hidden="false" customHeight="false" outlineLevel="0" collapsed="false">
      <c r="A176" s="2" t="n">
        <v>174</v>
      </c>
      <c r="B176" s="2" t="s">
        <v>950</v>
      </c>
      <c r="C176" s="2" t="s">
        <v>951</v>
      </c>
      <c r="D176" s="2" t="s">
        <v>952</v>
      </c>
      <c r="E176" s="2" t="str">
        <f aca="false">LEFT(C176,3)</f>
        <v>751</v>
      </c>
      <c r="F176" s="2" t="str">
        <f aca="false">IF(D176="","",LEFT(D176,3))</f>
        <v>741</v>
      </c>
      <c r="G176" s="2" t="str">
        <f aca="false">IF(F176="","",IF(E176=F176,"Yes","No"))</f>
        <v>No</v>
      </c>
      <c r="H176" s="2" t="n">
        <f aca="false">IF(D176="",0,1/COUNTIF($D$2:$D$3451,D176))</f>
        <v>1</v>
      </c>
      <c r="I176" s="13" t="n">
        <f aca="false">IFERROR(INDEX('NCO-2015 scores'!$C$2:$C$131,MATCH(E176,'NCO-2015 scores'!$A$2:$A$131,0)),0)</f>
        <v>0.1867</v>
      </c>
      <c r="J176" s="13" t="n">
        <f aca="false">IF(ISNUMBER(MATCH(E176,'NCO-2015 scores'!$A$2:$A$131,0)),IF(ISNUMBER(INDEX('NCO-2015 scores'!$C$2:$C$131,MATCH(E176,'NCO-2015 scores'!$A$2:$A$131,0))),1,0),0)</f>
        <v>1</v>
      </c>
    </row>
    <row r="177" customFormat="false" ht="15" hidden="false" customHeight="false" outlineLevel="0" collapsed="false">
      <c r="A177" s="2" t="n">
        <v>175</v>
      </c>
      <c r="B177" s="2" t="s">
        <v>953</v>
      </c>
      <c r="C177" s="2" t="s">
        <v>954</v>
      </c>
      <c r="D177" s="2" t="s">
        <v>955</v>
      </c>
      <c r="E177" s="2" t="str">
        <f aca="false">LEFT(C177,3)</f>
        <v>751</v>
      </c>
      <c r="F177" s="2" t="str">
        <f aca="false">IF(D177="","",LEFT(D177,3))</f>
        <v>741</v>
      </c>
      <c r="G177" s="2" t="str">
        <f aca="false">IF(F177="","",IF(E177=F177,"Yes","No"))</f>
        <v>No</v>
      </c>
      <c r="H177" s="2" t="n">
        <f aca="false">IF(D177="",0,1/COUNTIF($D$2:$D$3451,D177))</f>
        <v>1</v>
      </c>
      <c r="I177" s="13" t="n">
        <f aca="false">IFERROR(INDEX('NCO-2015 scores'!$C$2:$C$131,MATCH(E177,'NCO-2015 scores'!$A$2:$A$131,0)),0)</f>
        <v>0.1867</v>
      </c>
      <c r="J177" s="13" t="n">
        <f aca="false">IF(ISNUMBER(MATCH(E177,'NCO-2015 scores'!$A$2:$A$131,0)),IF(ISNUMBER(INDEX('NCO-2015 scores'!$C$2:$C$131,MATCH(E177,'NCO-2015 scores'!$A$2:$A$131,0))),1,0),0)</f>
        <v>1</v>
      </c>
    </row>
    <row r="178" customFormat="false" ht="15" hidden="false" customHeight="false" outlineLevel="0" collapsed="false">
      <c r="A178" s="2" t="n">
        <v>176</v>
      </c>
      <c r="B178" s="2" t="s">
        <v>956</v>
      </c>
      <c r="C178" s="2" t="s">
        <v>957</v>
      </c>
      <c r="D178" s="2" t="s">
        <v>958</v>
      </c>
      <c r="E178" s="2" t="str">
        <f aca="false">LEFT(C178,3)</f>
        <v>751</v>
      </c>
      <c r="F178" s="2" t="str">
        <f aca="false">IF(D178="","",LEFT(D178,3))</f>
        <v>741</v>
      </c>
      <c r="G178" s="2" t="str">
        <f aca="false">IF(F178="","",IF(E178=F178,"Yes","No"))</f>
        <v>No</v>
      </c>
      <c r="H178" s="2" t="n">
        <f aca="false">IF(D178="",0,1/COUNTIF($D$2:$D$3451,D178))</f>
        <v>1</v>
      </c>
      <c r="I178" s="13" t="n">
        <f aca="false">IFERROR(INDEX('NCO-2015 scores'!$C$2:$C$131,MATCH(E178,'NCO-2015 scores'!$A$2:$A$131,0)),0)</f>
        <v>0.1867</v>
      </c>
      <c r="J178" s="13" t="n">
        <f aca="false">IF(ISNUMBER(MATCH(E178,'NCO-2015 scores'!$A$2:$A$131,0)),IF(ISNUMBER(INDEX('NCO-2015 scores'!$C$2:$C$131,MATCH(E178,'NCO-2015 scores'!$A$2:$A$131,0))),1,0),0)</f>
        <v>1</v>
      </c>
    </row>
    <row r="179" customFormat="false" ht="15" hidden="false" customHeight="false" outlineLevel="0" collapsed="false">
      <c r="A179" s="2" t="n">
        <v>177</v>
      </c>
      <c r="B179" s="2" t="s">
        <v>959</v>
      </c>
      <c r="C179" s="2" t="s">
        <v>960</v>
      </c>
      <c r="D179" s="2" t="s">
        <v>961</v>
      </c>
      <c r="E179" s="2" t="str">
        <f aca="false">LEFT(C179,3)</f>
        <v>751</v>
      </c>
      <c r="F179" s="2" t="str">
        <f aca="false">IF(D179="","",LEFT(D179,3))</f>
        <v>741</v>
      </c>
      <c r="G179" s="2" t="str">
        <f aca="false">IF(F179="","",IF(E179=F179,"Yes","No"))</f>
        <v>No</v>
      </c>
      <c r="H179" s="2" t="n">
        <f aca="false">IF(D179="",0,1/COUNTIF($D$2:$D$3451,D179))</f>
        <v>1</v>
      </c>
      <c r="I179" s="13" t="n">
        <f aca="false">IFERROR(INDEX('NCO-2015 scores'!$C$2:$C$131,MATCH(E179,'NCO-2015 scores'!$A$2:$A$131,0)),0)</f>
        <v>0.1867</v>
      </c>
      <c r="J179" s="13" t="n">
        <f aca="false">IF(ISNUMBER(MATCH(E179,'NCO-2015 scores'!$A$2:$A$131,0)),IF(ISNUMBER(INDEX('NCO-2015 scores'!$C$2:$C$131,MATCH(E179,'NCO-2015 scores'!$A$2:$A$131,0))),1,0),0)</f>
        <v>1</v>
      </c>
    </row>
    <row r="180" customFormat="false" ht="15" hidden="false" customHeight="false" outlineLevel="0" collapsed="false">
      <c r="A180" s="2" t="n">
        <v>178</v>
      </c>
      <c r="B180" s="2" t="s">
        <v>962</v>
      </c>
      <c r="C180" s="2" t="s">
        <v>963</v>
      </c>
      <c r="D180" s="2" t="s">
        <v>964</v>
      </c>
      <c r="E180" s="2" t="str">
        <f aca="false">LEFT(C180,3)</f>
        <v>751</v>
      </c>
      <c r="F180" s="2" t="str">
        <f aca="false">IF(D180="","",LEFT(D180,3))</f>
        <v>741</v>
      </c>
      <c r="G180" s="2" t="str">
        <f aca="false">IF(F180="","",IF(E180=F180,"Yes","No"))</f>
        <v>No</v>
      </c>
      <c r="H180" s="2" t="n">
        <f aca="false">IF(D180="",0,1/COUNTIF($D$2:$D$3451,D180))</f>
        <v>1</v>
      </c>
      <c r="I180" s="13" t="n">
        <f aca="false">IFERROR(INDEX('NCO-2015 scores'!$C$2:$C$131,MATCH(E180,'NCO-2015 scores'!$A$2:$A$131,0)),0)</f>
        <v>0.1867</v>
      </c>
      <c r="J180" s="13" t="n">
        <f aca="false">IF(ISNUMBER(MATCH(E180,'NCO-2015 scores'!$A$2:$A$131,0)),IF(ISNUMBER(INDEX('NCO-2015 scores'!$C$2:$C$131,MATCH(E180,'NCO-2015 scores'!$A$2:$A$131,0))),1,0),0)</f>
        <v>1</v>
      </c>
    </row>
    <row r="181" customFormat="false" ht="15" hidden="false" customHeight="false" outlineLevel="0" collapsed="false">
      <c r="A181" s="2" t="n">
        <v>179</v>
      </c>
      <c r="B181" s="2" t="s">
        <v>965</v>
      </c>
      <c r="C181" s="2" t="s">
        <v>966</v>
      </c>
      <c r="D181" s="2" t="s">
        <v>967</v>
      </c>
      <c r="E181" s="2" t="str">
        <f aca="false">LEFT(C181,3)</f>
        <v>751</v>
      </c>
      <c r="F181" s="2" t="str">
        <f aca="false">IF(D181="","",LEFT(D181,3))</f>
        <v>741</v>
      </c>
      <c r="G181" s="2" t="str">
        <f aca="false">IF(F181="","",IF(E181=F181,"Yes","No"))</f>
        <v>No</v>
      </c>
      <c r="H181" s="2" t="n">
        <f aca="false">IF(D181="",0,1/COUNTIF($D$2:$D$3451,D181))</f>
        <v>1</v>
      </c>
      <c r="I181" s="13" t="n">
        <f aca="false">IFERROR(INDEX('NCO-2015 scores'!$C$2:$C$131,MATCH(E181,'NCO-2015 scores'!$A$2:$A$131,0)),0)</f>
        <v>0.1867</v>
      </c>
      <c r="J181" s="13" t="n">
        <f aca="false">IF(ISNUMBER(MATCH(E181,'NCO-2015 scores'!$A$2:$A$131,0)),IF(ISNUMBER(INDEX('NCO-2015 scores'!$C$2:$C$131,MATCH(E181,'NCO-2015 scores'!$A$2:$A$131,0))),1,0),0)</f>
        <v>1</v>
      </c>
    </row>
    <row r="182" customFormat="false" ht="15" hidden="false" customHeight="false" outlineLevel="0" collapsed="false">
      <c r="A182" s="2" t="n">
        <v>180</v>
      </c>
      <c r="B182" s="2" t="s">
        <v>968</v>
      </c>
      <c r="C182" s="2" t="s">
        <v>969</v>
      </c>
      <c r="D182" s="2" t="s">
        <v>970</v>
      </c>
      <c r="E182" s="2" t="str">
        <f aca="false">LEFT(C182,3)</f>
        <v>421</v>
      </c>
      <c r="F182" s="2" t="str">
        <f aca="false">IF(D182="","",LEFT(D182,3))</f>
        <v>421</v>
      </c>
      <c r="G182" s="2" t="str">
        <f aca="false">IF(F182="","",IF(E182=F182,"Yes","No"))</f>
        <v>Yes</v>
      </c>
      <c r="H182" s="2" t="n">
        <f aca="false">IF(D182="",0,1/COUNTIF($D$2:$D$3451,D182))</f>
        <v>1</v>
      </c>
      <c r="I182" s="13" t="n">
        <f aca="false">IFERROR(INDEX('NCO-2015 scores'!$C$2:$C$131,MATCH(E182,'NCO-2015 scores'!$A$2:$A$131,0)),0)</f>
        <v>0.485</v>
      </c>
      <c r="J182" s="13" t="n">
        <f aca="false">IF(ISNUMBER(MATCH(E182,'NCO-2015 scores'!$A$2:$A$131,0)),IF(ISNUMBER(INDEX('NCO-2015 scores'!$C$2:$C$131,MATCH(E182,'NCO-2015 scores'!$A$2:$A$131,0))),1,0),0)</f>
        <v>1</v>
      </c>
    </row>
    <row r="183" customFormat="false" ht="15" hidden="false" customHeight="false" outlineLevel="0" collapsed="false">
      <c r="A183" s="2" t="n">
        <v>181</v>
      </c>
      <c r="B183" s="2" t="s">
        <v>971</v>
      </c>
      <c r="C183" s="2" t="s">
        <v>972</v>
      </c>
      <c r="D183" s="2" t="s">
        <v>973</v>
      </c>
      <c r="E183" s="2" t="str">
        <f aca="false">LEFT(C183,3)</f>
        <v>421</v>
      </c>
      <c r="F183" s="2" t="str">
        <f aca="false">IF(D183="","",LEFT(D183,3))</f>
        <v>421</v>
      </c>
      <c r="G183" s="2" t="str">
        <f aca="false">IF(F183="","",IF(E183=F183,"Yes","No"))</f>
        <v>Yes</v>
      </c>
      <c r="H183" s="2" t="n">
        <f aca="false">IF(D183="",0,1/COUNTIF($D$2:$D$3451,D183))</f>
        <v>1</v>
      </c>
      <c r="I183" s="13" t="n">
        <f aca="false">IFERROR(INDEX('NCO-2015 scores'!$C$2:$C$131,MATCH(E183,'NCO-2015 scores'!$A$2:$A$131,0)),0)</f>
        <v>0.485</v>
      </c>
      <c r="J183" s="13" t="n">
        <f aca="false">IF(ISNUMBER(MATCH(E183,'NCO-2015 scores'!$A$2:$A$131,0)),IF(ISNUMBER(INDEX('NCO-2015 scores'!$C$2:$C$131,MATCH(E183,'NCO-2015 scores'!$A$2:$A$131,0))),1,0),0)</f>
        <v>1</v>
      </c>
    </row>
    <row r="184" customFormat="false" ht="15" hidden="false" customHeight="false" outlineLevel="0" collapsed="false">
      <c r="A184" s="2" t="n">
        <v>182</v>
      </c>
      <c r="B184" s="2" t="s">
        <v>974</v>
      </c>
      <c r="C184" s="2" t="s">
        <v>975</v>
      </c>
      <c r="D184" s="2" t="s">
        <v>976</v>
      </c>
      <c r="E184" s="2" t="str">
        <f aca="false">LEFT(C184,3)</f>
        <v>421</v>
      </c>
      <c r="F184" s="2" t="str">
        <f aca="false">IF(D184="","",LEFT(D184,3))</f>
        <v>421</v>
      </c>
      <c r="G184" s="2" t="str">
        <f aca="false">IF(F184="","",IF(E184=F184,"Yes","No"))</f>
        <v>Yes</v>
      </c>
      <c r="H184" s="2" t="n">
        <f aca="false">IF(D184="",0,1/COUNTIF($D$2:$D$3451,D184))</f>
        <v>1</v>
      </c>
      <c r="I184" s="13" t="n">
        <f aca="false">IFERROR(INDEX('NCO-2015 scores'!$C$2:$C$131,MATCH(E184,'NCO-2015 scores'!$A$2:$A$131,0)),0)</f>
        <v>0.485</v>
      </c>
      <c r="J184" s="13" t="n">
        <f aca="false">IF(ISNUMBER(MATCH(E184,'NCO-2015 scores'!$A$2:$A$131,0)),IF(ISNUMBER(INDEX('NCO-2015 scores'!$C$2:$C$131,MATCH(E184,'NCO-2015 scores'!$A$2:$A$131,0))),1,0),0)</f>
        <v>1</v>
      </c>
    </row>
    <row r="185" customFormat="false" ht="15" hidden="false" customHeight="false" outlineLevel="0" collapsed="false">
      <c r="A185" s="2" t="n">
        <v>183</v>
      </c>
      <c r="B185" s="2" t="s">
        <v>977</v>
      </c>
      <c r="C185" s="2" t="s">
        <v>978</v>
      </c>
      <c r="D185" s="2"/>
      <c r="E185" s="2" t="str">
        <f aca="false">LEFT(C185,3)</f>
        <v>421</v>
      </c>
      <c r="F185" s="2" t="str">
        <f aca="false">IF(D185="","",LEFT(D185,3))</f>
        <v/>
      </c>
      <c r="G185" s="2" t="str">
        <f aca="false">IF(F185="","",IF(E185=F185,"Yes","No"))</f>
        <v/>
      </c>
      <c r="H185" s="2" t="n">
        <f aca="false">IF(D185="",0,1/COUNTIF($D$2:$D$3451,D185))</f>
        <v>0</v>
      </c>
      <c r="I185" s="13" t="n">
        <f aca="false">IFERROR(INDEX('NCO-2015 scores'!$C$2:$C$131,MATCH(E185,'NCO-2015 scores'!$A$2:$A$131,0)),0)</f>
        <v>0.485</v>
      </c>
      <c r="J185" s="13" t="n">
        <f aca="false">IF(ISNUMBER(MATCH(E185,'NCO-2015 scores'!$A$2:$A$131,0)),IF(ISNUMBER(INDEX('NCO-2015 scores'!$C$2:$C$131,MATCH(E185,'NCO-2015 scores'!$A$2:$A$131,0))),1,0),0)</f>
        <v>1</v>
      </c>
    </row>
    <row r="186" customFormat="false" ht="15" hidden="false" customHeight="false" outlineLevel="0" collapsed="false">
      <c r="A186" s="2" t="n">
        <v>184</v>
      </c>
      <c r="B186" s="2" t="s">
        <v>979</v>
      </c>
      <c r="C186" s="2" t="s">
        <v>980</v>
      </c>
      <c r="D186" s="2" t="s">
        <v>981</v>
      </c>
      <c r="E186" s="2" t="str">
        <f aca="false">LEFT(C186,3)</f>
        <v>421</v>
      </c>
      <c r="F186" s="2" t="str">
        <f aca="false">IF(D186="","",LEFT(D186,3))</f>
        <v>421</v>
      </c>
      <c r="G186" s="2" t="str">
        <f aca="false">IF(F186="","",IF(E186=F186,"Yes","No"))</f>
        <v>Yes</v>
      </c>
      <c r="H186" s="2" t="n">
        <f aca="false">IF(D186="",0,1/COUNTIF($D$2:$D$3451,D186))</f>
        <v>1</v>
      </c>
      <c r="I186" s="13" t="n">
        <f aca="false">IFERROR(INDEX('NCO-2015 scores'!$C$2:$C$131,MATCH(E186,'NCO-2015 scores'!$A$2:$A$131,0)),0)</f>
        <v>0.485</v>
      </c>
      <c r="J186" s="13" t="n">
        <f aca="false">IF(ISNUMBER(MATCH(E186,'NCO-2015 scores'!$A$2:$A$131,0)),IF(ISNUMBER(INDEX('NCO-2015 scores'!$C$2:$C$131,MATCH(E186,'NCO-2015 scores'!$A$2:$A$131,0))),1,0),0)</f>
        <v>1</v>
      </c>
    </row>
    <row r="187" customFormat="false" ht="15" hidden="false" customHeight="false" outlineLevel="0" collapsed="false">
      <c r="A187" s="2" t="n">
        <v>185</v>
      </c>
      <c r="B187" s="2" t="s">
        <v>982</v>
      </c>
      <c r="C187" s="2" t="s">
        <v>983</v>
      </c>
      <c r="D187" s="2" t="s">
        <v>984</v>
      </c>
      <c r="E187" s="2" t="str">
        <f aca="false">LEFT(C187,3)</f>
        <v>421</v>
      </c>
      <c r="F187" s="2" t="str">
        <f aca="false">IF(D187="","",LEFT(D187,3))</f>
        <v>421</v>
      </c>
      <c r="G187" s="2" t="str">
        <f aca="false">IF(F187="","",IF(E187=F187,"Yes","No"))</f>
        <v>Yes</v>
      </c>
      <c r="H187" s="2" t="n">
        <f aca="false">IF(D187="",0,1/COUNTIF($D$2:$D$3451,D187))</f>
        <v>1</v>
      </c>
      <c r="I187" s="13" t="n">
        <f aca="false">IFERROR(INDEX('NCO-2015 scores'!$C$2:$C$131,MATCH(E187,'NCO-2015 scores'!$A$2:$A$131,0)),0)</f>
        <v>0.485</v>
      </c>
      <c r="J187" s="13" t="n">
        <f aca="false">IF(ISNUMBER(MATCH(E187,'NCO-2015 scores'!$A$2:$A$131,0)),IF(ISNUMBER(INDEX('NCO-2015 scores'!$C$2:$C$131,MATCH(E187,'NCO-2015 scores'!$A$2:$A$131,0))),1,0),0)</f>
        <v>1</v>
      </c>
    </row>
    <row r="188" customFormat="false" ht="15" hidden="false" customHeight="false" outlineLevel="0" collapsed="false">
      <c r="A188" s="2" t="n">
        <v>186</v>
      </c>
      <c r="B188" s="2" t="s">
        <v>985</v>
      </c>
      <c r="C188" s="2" t="s">
        <v>986</v>
      </c>
      <c r="D188" s="2" t="s">
        <v>987</v>
      </c>
      <c r="E188" s="2" t="str">
        <f aca="false">LEFT(C188,3)</f>
        <v>513</v>
      </c>
      <c r="F188" s="2" t="str">
        <f aca="false">IF(D188="","",LEFT(D188,3))</f>
        <v>512</v>
      </c>
      <c r="G188" s="2" t="str">
        <f aca="false">IF(F188="","",IF(E188=F188,"Yes","No"))</f>
        <v>No</v>
      </c>
      <c r="H188" s="2" t="n">
        <f aca="false">IF(D188="",0,1/COUNTIF($D$2:$D$3451,D188))</f>
        <v>1</v>
      </c>
      <c r="I188" s="13" t="n">
        <f aca="false">IFERROR(INDEX('NCO-2015 scores'!$C$2:$C$131,MATCH(E188,'NCO-2015 scores'!$A$2:$A$131,0)),0)</f>
        <v>0.27</v>
      </c>
      <c r="J188" s="13" t="n">
        <f aca="false">IF(ISNUMBER(MATCH(E188,'NCO-2015 scores'!$A$2:$A$131,0)),IF(ISNUMBER(INDEX('NCO-2015 scores'!$C$2:$C$131,MATCH(E188,'NCO-2015 scores'!$A$2:$A$131,0))),1,0),0)</f>
        <v>1</v>
      </c>
    </row>
    <row r="189" customFormat="false" ht="15" hidden="false" customHeight="false" outlineLevel="0" collapsed="false">
      <c r="A189" s="2" t="n">
        <v>187</v>
      </c>
      <c r="B189" s="2" t="s">
        <v>988</v>
      </c>
      <c r="C189" s="2" t="s">
        <v>989</v>
      </c>
      <c r="D189" s="2"/>
      <c r="E189" s="2" t="str">
        <f aca="false">LEFT(C189,3)</f>
        <v>513</v>
      </c>
      <c r="F189" s="2" t="str">
        <f aca="false">IF(D189="","",LEFT(D189,3))</f>
        <v/>
      </c>
      <c r="G189" s="2" t="str">
        <f aca="false">IF(F189="","",IF(E189=F189,"Yes","No"))</f>
        <v/>
      </c>
      <c r="H189" s="2" t="n">
        <f aca="false">IF(D189="",0,1/COUNTIF($D$2:$D$3451,D189))</f>
        <v>0</v>
      </c>
      <c r="I189" s="13" t="n">
        <f aca="false">IFERROR(INDEX('NCO-2015 scores'!$C$2:$C$131,MATCH(E189,'NCO-2015 scores'!$A$2:$A$131,0)),0)</f>
        <v>0.27</v>
      </c>
      <c r="J189" s="13" t="n">
        <f aca="false">IF(ISNUMBER(MATCH(E189,'NCO-2015 scores'!$A$2:$A$131,0)),IF(ISNUMBER(INDEX('NCO-2015 scores'!$C$2:$C$131,MATCH(E189,'NCO-2015 scores'!$A$2:$A$131,0))),1,0),0)</f>
        <v>1</v>
      </c>
    </row>
    <row r="190" customFormat="false" ht="15" hidden="false" customHeight="false" outlineLevel="0" collapsed="false">
      <c r="A190" s="2" t="n">
        <v>188</v>
      </c>
      <c r="B190" s="2" t="s">
        <v>990</v>
      </c>
      <c r="C190" s="2" t="s">
        <v>991</v>
      </c>
      <c r="D190" s="2" t="s">
        <v>992</v>
      </c>
      <c r="E190" s="2" t="str">
        <f aca="false">LEFT(C190,3)</f>
        <v>514</v>
      </c>
      <c r="F190" s="2" t="str">
        <f aca="false">IF(D190="","",LEFT(D190,3))</f>
        <v>514</v>
      </c>
      <c r="G190" s="2" t="str">
        <f aca="false">IF(F190="","",IF(E190=F190,"Yes","No"))</f>
        <v>Yes</v>
      </c>
      <c r="H190" s="2" t="n">
        <f aca="false">IF(D190="",0,1/COUNTIF($D$2:$D$3451,D190))</f>
        <v>1</v>
      </c>
      <c r="I190" s="13" t="n">
        <f aca="false">IFERROR(INDEX('NCO-2015 scores'!$C$2:$C$131,MATCH(E190,'NCO-2015 scores'!$A$2:$A$131,0)),0)</f>
        <v>0.175</v>
      </c>
      <c r="J190" s="13" t="n">
        <f aca="false">IF(ISNUMBER(MATCH(E190,'NCO-2015 scores'!$A$2:$A$131,0)),IF(ISNUMBER(INDEX('NCO-2015 scores'!$C$2:$C$131,MATCH(E190,'NCO-2015 scores'!$A$2:$A$131,0))),1,0),0)</f>
        <v>1</v>
      </c>
    </row>
    <row r="191" customFormat="false" ht="15" hidden="false" customHeight="false" outlineLevel="0" collapsed="false">
      <c r="A191" s="2" t="n">
        <v>189</v>
      </c>
      <c r="B191" s="2" t="s">
        <v>993</v>
      </c>
      <c r="C191" s="2" t="s">
        <v>994</v>
      </c>
      <c r="D191" s="2" t="s">
        <v>995</v>
      </c>
      <c r="E191" s="2" t="str">
        <f aca="false">LEFT(C191,3)</f>
        <v>514</v>
      </c>
      <c r="F191" s="2" t="str">
        <f aca="false">IF(D191="","",LEFT(D191,3))</f>
        <v>514</v>
      </c>
      <c r="G191" s="2" t="str">
        <f aca="false">IF(F191="","",IF(E191=F191,"Yes","No"))</f>
        <v>Yes</v>
      </c>
      <c r="H191" s="2" t="n">
        <f aca="false">IF(D191="",0,1/COUNTIF($D$2:$D$3451,D191))</f>
        <v>1</v>
      </c>
      <c r="I191" s="13" t="n">
        <f aca="false">IFERROR(INDEX('NCO-2015 scores'!$C$2:$C$131,MATCH(E191,'NCO-2015 scores'!$A$2:$A$131,0)),0)</f>
        <v>0.175</v>
      </c>
      <c r="J191" s="13" t="n">
        <f aca="false">IF(ISNUMBER(MATCH(E191,'NCO-2015 scores'!$A$2:$A$131,0)),IF(ISNUMBER(INDEX('NCO-2015 scores'!$C$2:$C$131,MATCH(E191,'NCO-2015 scores'!$A$2:$A$131,0))),1,0),0)</f>
        <v>1</v>
      </c>
    </row>
    <row r="192" customFormat="false" ht="15" hidden="false" customHeight="false" outlineLevel="0" collapsed="false">
      <c r="A192" s="2" t="n">
        <v>190</v>
      </c>
      <c r="B192" s="2" t="s">
        <v>996</v>
      </c>
      <c r="C192" s="2" t="s">
        <v>997</v>
      </c>
      <c r="D192" s="2" t="s">
        <v>998</v>
      </c>
      <c r="E192" s="2" t="str">
        <f aca="false">LEFT(C192,3)</f>
        <v>514</v>
      </c>
      <c r="F192" s="2" t="str">
        <f aca="false">IF(D192="","",LEFT(D192,3))</f>
        <v>514</v>
      </c>
      <c r="G192" s="2" t="str">
        <f aca="false">IF(F192="","",IF(E192=F192,"Yes","No"))</f>
        <v>Yes</v>
      </c>
      <c r="H192" s="2" t="n">
        <f aca="false">IF(D192="",0,1/COUNTIF($D$2:$D$3451,D192))</f>
        <v>1</v>
      </c>
      <c r="I192" s="13" t="n">
        <f aca="false">IFERROR(INDEX('NCO-2015 scores'!$C$2:$C$131,MATCH(E192,'NCO-2015 scores'!$A$2:$A$131,0)),0)</f>
        <v>0.175</v>
      </c>
      <c r="J192" s="13" t="n">
        <f aca="false">IF(ISNUMBER(MATCH(E192,'NCO-2015 scores'!$A$2:$A$131,0)),IF(ISNUMBER(INDEX('NCO-2015 scores'!$C$2:$C$131,MATCH(E192,'NCO-2015 scores'!$A$2:$A$131,0))),1,0),0)</f>
        <v>1</v>
      </c>
    </row>
    <row r="193" customFormat="false" ht="15" hidden="false" customHeight="false" outlineLevel="0" collapsed="false">
      <c r="A193" s="2" t="n">
        <v>191</v>
      </c>
      <c r="B193" s="2" t="s">
        <v>999</v>
      </c>
      <c r="C193" s="2" t="s">
        <v>1000</v>
      </c>
      <c r="D193" s="2" t="s">
        <v>1001</v>
      </c>
      <c r="E193" s="2" t="str">
        <f aca="false">LEFT(C193,3)</f>
        <v>514</v>
      </c>
      <c r="F193" s="2" t="str">
        <f aca="false">IF(D193="","",LEFT(D193,3))</f>
        <v>514</v>
      </c>
      <c r="G193" s="2" t="str">
        <f aca="false">IF(F193="","",IF(E193=F193,"Yes","No"))</f>
        <v>Yes</v>
      </c>
      <c r="H193" s="2" t="n">
        <f aca="false">IF(D193="",0,1/COUNTIF($D$2:$D$3451,D193))</f>
        <v>1</v>
      </c>
      <c r="I193" s="13" t="n">
        <f aca="false">IFERROR(INDEX('NCO-2015 scores'!$C$2:$C$131,MATCH(E193,'NCO-2015 scores'!$A$2:$A$131,0)),0)</f>
        <v>0.175</v>
      </c>
      <c r="J193" s="13" t="n">
        <f aca="false">IF(ISNUMBER(MATCH(E193,'NCO-2015 scores'!$A$2:$A$131,0)),IF(ISNUMBER(INDEX('NCO-2015 scores'!$C$2:$C$131,MATCH(E193,'NCO-2015 scores'!$A$2:$A$131,0))),1,0),0)</f>
        <v>1</v>
      </c>
    </row>
    <row r="194" customFormat="false" ht="15" hidden="false" customHeight="false" outlineLevel="0" collapsed="false">
      <c r="A194" s="2" t="n">
        <v>192</v>
      </c>
      <c r="B194" s="2" t="s">
        <v>1002</v>
      </c>
      <c r="C194" s="2" t="s">
        <v>1003</v>
      </c>
      <c r="D194" s="2"/>
      <c r="E194" s="2" t="str">
        <f aca="false">LEFT(C194,3)</f>
        <v>514</v>
      </c>
      <c r="F194" s="2" t="str">
        <f aca="false">IF(D194="","",LEFT(D194,3))</f>
        <v/>
      </c>
      <c r="G194" s="2" t="str">
        <f aca="false">IF(F194="","",IF(E194=F194,"Yes","No"))</f>
        <v/>
      </c>
      <c r="H194" s="2" t="n">
        <f aca="false">IF(D194="",0,1/COUNTIF($D$2:$D$3451,D194))</f>
        <v>0</v>
      </c>
      <c r="I194" s="13" t="n">
        <f aca="false">IFERROR(INDEX('NCO-2015 scores'!$C$2:$C$131,MATCH(E194,'NCO-2015 scores'!$A$2:$A$131,0)),0)</f>
        <v>0.175</v>
      </c>
      <c r="J194" s="13" t="n">
        <f aca="false">IF(ISNUMBER(MATCH(E194,'NCO-2015 scores'!$A$2:$A$131,0)),IF(ISNUMBER(INDEX('NCO-2015 scores'!$C$2:$C$131,MATCH(E194,'NCO-2015 scores'!$A$2:$A$131,0))),1,0),0)</f>
        <v>1</v>
      </c>
    </row>
    <row r="195" customFormat="false" ht="15" hidden="false" customHeight="false" outlineLevel="0" collapsed="false">
      <c r="A195" s="2" t="n">
        <v>193</v>
      </c>
      <c r="B195" s="2" t="s">
        <v>1004</v>
      </c>
      <c r="C195" s="2" t="s">
        <v>1005</v>
      </c>
      <c r="D195" s="2" t="s">
        <v>1006</v>
      </c>
      <c r="E195" s="2" t="str">
        <f aca="false">LEFT(C195,3)</f>
        <v>514</v>
      </c>
      <c r="F195" s="2" t="str">
        <f aca="false">IF(D195="","",LEFT(D195,3))</f>
        <v>514</v>
      </c>
      <c r="G195" s="2" t="str">
        <f aca="false">IF(F195="","",IF(E195=F195,"Yes","No"))</f>
        <v>Yes</v>
      </c>
      <c r="H195" s="2" t="n">
        <f aca="false">IF(D195="",0,1/COUNTIF($D$2:$D$3451,D195))</f>
        <v>1</v>
      </c>
      <c r="I195" s="13" t="n">
        <f aca="false">IFERROR(INDEX('NCO-2015 scores'!$C$2:$C$131,MATCH(E195,'NCO-2015 scores'!$A$2:$A$131,0)),0)</f>
        <v>0.175</v>
      </c>
      <c r="J195" s="13" t="n">
        <f aca="false">IF(ISNUMBER(MATCH(E195,'NCO-2015 scores'!$A$2:$A$131,0)),IF(ISNUMBER(INDEX('NCO-2015 scores'!$C$2:$C$131,MATCH(E195,'NCO-2015 scores'!$A$2:$A$131,0))),1,0),0)</f>
        <v>1</v>
      </c>
    </row>
    <row r="196" customFormat="false" ht="15" hidden="false" customHeight="false" outlineLevel="0" collapsed="false">
      <c r="A196" s="2" t="n">
        <v>194</v>
      </c>
      <c r="B196" s="2" t="s">
        <v>1007</v>
      </c>
      <c r="C196" s="2" t="s">
        <v>1008</v>
      </c>
      <c r="D196" s="2"/>
      <c r="E196" s="2" t="str">
        <f aca="false">LEFT(C196,3)</f>
        <v>514</v>
      </c>
      <c r="F196" s="2" t="str">
        <f aca="false">IF(D196="","",LEFT(D196,3))</f>
        <v/>
      </c>
      <c r="G196" s="2" t="str">
        <f aca="false">IF(F196="","",IF(E196=F196,"Yes","No"))</f>
        <v/>
      </c>
      <c r="H196" s="2" t="n">
        <f aca="false">IF(D196="",0,1/COUNTIF($D$2:$D$3451,D196))</f>
        <v>0</v>
      </c>
      <c r="I196" s="13" t="n">
        <f aca="false">IFERROR(INDEX('NCO-2015 scores'!$C$2:$C$131,MATCH(E196,'NCO-2015 scores'!$A$2:$A$131,0)),0)</f>
        <v>0.175</v>
      </c>
      <c r="J196" s="13" t="n">
        <f aca="false">IF(ISNUMBER(MATCH(E196,'NCO-2015 scores'!$A$2:$A$131,0)),IF(ISNUMBER(INDEX('NCO-2015 scores'!$C$2:$C$131,MATCH(E196,'NCO-2015 scores'!$A$2:$A$131,0))),1,0),0)</f>
        <v>1</v>
      </c>
    </row>
    <row r="197" customFormat="false" ht="15" hidden="false" customHeight="false" outlineLevel="0" collapsed="false">
      <c r="A197" s="2" t="n">
        <v>195</v>
      </c>
      <c r="B197" s="2" t="s">
        <v>1009</v>
      </c>
      <c r="C197" s="2" t="s">
        <v>1010</v>
      </c>
      <c r="D197" s="2" t="s">
        <v>1011</v>
      </c>
      <c r="E197" s="2" t="str">
        <f aca="false">LEFT(C197,3)</f>
        <v>514</v>
      </c>
      <c r="F197" s="2" t="str">
        <f aca="false">IF(D197="","",LEFT(D197,3))</f>
        <v>514</v>
      </c>
      <c r="G197" s="2" t="str">
        <f aca="false">IF(F197="","",IF(E197=F197,"Yes","No"))</f>
        <v>Yes</v>
      </c>
      <c r="H197" s="2" t="n">
        <f aca="false">IF(D197="",0,1/COUNTIF($D$2:$D$3451,D197))</f>
        <v>1</v>
      </c>
      <c r="I197" s="13" t="n">
        <f aca="false">IFERROR(INDEX('NCO-2015 scores'!$C$2:$C$131,MATCH(E197,'NCO-2015 scores'!$A$2:$A$131,0)),0)</f>
        <v>0.175</v>
      </c>
      <c r="J197" s="13" t="n">
        <f aca="false">IF(ISNUMBER(MATCH(E197,'NCO-2015 scores'!$A$2:$A$131,0)),IF(ISNUMBER(INDEX('NCO-2015 scores'!$C$2:$C$131,MATCH(E197,'NCO-2015 scores'!$A$2:$A$131,0))),1,0),0)</f>
        <v>1</v>
      </c>
    </row>
    <row r="198" customFormat="false" ht="15" hidden="false" customHeight="false" outlineLevel="0" collapsed="false">
      <c r="A198" s="2" t="n">
        <v>196</v>
      </c>
      <c r="B198" s="2" t="s">
        <v>1012</v>
      </c>
      <c r="C198" s="2" t="s">
        <v>1013</v>
      </c>
      <c r="D198" s="2" t="s">
        <v>1014</v>
      </c>
      <c r="E198" s="2" t="str">
        <f aca="false">LEFT(C198,3)</f>
        <v>514</v>
      </c>
      <c r="F198" s="2" t="str">
        <f aca="false">IF(D198="","",LEFT(D198,3))</f>
        <v>514</v>
      </c>
      <c r="G198" s="2" t="str">
        <f aca="false">IF(F198="","",IF(E198=F198,"Yes","No"))</f>
        <v>Yes</v>
      </c>
      <c r="H198" s="2" t="n">
        <f aca="false">IF(D198="",0,1/COUNTIF($D$2:$D$3451,D198))</f>
        <v>1</v>
      </c>
      <c r="I198" s="13" t="n">
        <f aca="false">IFERROR(INDEX('NCO-2015 scores'!$C$2:$C$131,MATCH(E198,'NCO-2015 scores'!$A$2:$A$131,0)),0)</f>
        <v>0.175</v>
      </c>
      <c r="J198" s="13" t="n">
        <f aca="false">IF(ISNUMBER(MATCH(E198,'NCO-2015 scores'!$A$2:$A$131,0)),IF(ISNUMBER(INDEX('NCO-2015 scores'!$C$2:$C$131,MATCH(E198,'NCO-2015 scores'!$A$2:$A$131,0))),1,0),0)</f>
        <v>1</v>
      </c>
    </row>
    <row r="199" customFormat="false" ht="15" hidden="false" customHeight="false" outlineLevel="0" collapsed="false">
      <c r="A199" s="2" t="n">
        <v>197</v>
      </c>
      <c r="B199" s="2" t="s">
        <v>1015</v>
      </c>
      <c r="C199" s="2" t="s">
        <v>1016</v>
      </c>
      <c r="D199" s="2" t="s">
        <v>1017</v>
      </c>
      <c r="E199" s="2" t="str">
        <f aca="false">LEFT(C199,3)</f>
        <v>514</v>
      </c>
      <c r="F199" s="2" t="str">
        <f aca="false">IF(D199="","",LEFT(D199,3))</f>
        <v>514</v>
      </c>
      <c r="G199" s="2" t="str">
        <f aca="false">IF(F199="","",IF(E199=F199,"Yes","No"))</f>
        <v>Yes</v>
      </c>
      <c r="H199" s="2" t="n">
        <f aca="false">IF(D199="",0,1/COUNTIF($D$2:$D$3451,D199))</f>
        <v>1</v>
      </c>
      <c r="I199" s="13" t="n">
        <f aca="false">IFERROR(INDEX('NCO-2015 scores'!$C$2:$C$131,MATCH(E199,'NCO-2015 scores'!$A$2:$A$131,0)),0)</f>
        <v>0.175</v>
      </c>
      <c r="J199" s="13" t="n">
        <f aca="false">IF(ISNUMBER(MATCH(E199,'NCO-2015 scores'!$A$2:$A$131,0)),IF(ISNUMBER(INDEX('NCO-2015 scores'!$C$2:$C$131,MATCH(E199,'NCO-2015 scores'!$A$2:$A$131,0))),1,0),0)</f>
        <v>1</v>
      </c>
    </row>
    <row r="200" customFormat="false" ht="15" hidden="false" customHeight="false" outlineLevel="0" collapsed="false">
      <c r="A200" s="2" t="n">
        <v>198</v>
      </c>
      <c r="B200" s="2" t="s">
        <v>1018</v>
      </c>
      <c r="C200" s="2" t="s">
        <v>1019</v>
      </c>
      <c r="D200" s="2" t="s">
        <v>1020</v>
      </c>
      <c r="E200" s="2" t="str">
        <f aca="false">LEFT(C200,3)</f>
        <v>213</v>
      </c>
      <c r="F200" s="2" t="str">
        <f aca="false">IF(D200="","",LEFT(D200,3))</f>
        <v>221</v>
      </c>
      <c r="G200" s="2" t="str">
        <f aca="false">IF(F200="","",IF(E200=F200,"Yes","No"))</f>
        <v>No</v>
      </c>
      <c r="H200" s="2" t="n">
        <f aca="false">IF(D200="",0,1/COUNTIF($D$2:$D$3451,D200))</f>
        <v>1</v>
      </c>
      <c r="I200" s="13" t="n">
        <f aca="false">IFERROR(INDEX('NCO-2015 scores'!$C$2:$C$131,MATCH(E200,'NCO-2015 scores'!$A$2:$A$131,0)),0)</f>
        <v>0.3567</v>
      </c>
      <c r="J200" s="13" t="n">
        <f aca="false">IF(ISNUMBER(MATCH(E200,'NCO-2015 scores'!$A$2:$A$131,0)),IF(ISNUMBER(INDEX('NCO-2015 scores'!$C$2:$C$131,MATCH(E200,'NCO-2015 scores'!$A$2:$A$131,0))),1,0),0)</f>
        <v>1</v>
      </c>
    </row>
    <row r="201" customFormat="false" ht="15" hidden="false" customHeight="false" outlineLevel="0" collapsed="false">
      <c r="A201" s="2" t="n">
        <v>199</v>
      </c>
      <c r="B201" s="2" t="s">
        <v>1021</v>
      </c>
      <c r="C201" s="2" t="s">
        <v>1022</v>
      </c>
      <c r="D201" s="2" t="s">
        <v>1023</v>
      </c>
      <c r="E201" s="2" t="str">
        <f aca="false">LEFT(C201,3)</f>
        <v>213</v>
      </c>
      <c r="F201" s="2" t="str">
        <f aca="false">IF(D201="","",LEFT(D201,3))</f>
        <v>221</v>
      </c>
      <c r="G201" s="2" t="str">
        <f aca="false">IF(F201="","",IF(E201=F201,"Yes","No"))</f>
        <v>No</v>
      </c>
      <c r="H201" s="2" t="n">
        <f aca="false">IF(D201="",0,1/COUNTIF($D$2:$D$3451,D201))</f>
        <v>1</v>
      </c>
      <c r="I201" s="13" t="n">
        <f aca="false">IFERROR(INDEX('NCO-2015 scores'!$C$2:$C$131,MATCH(E201,'NCO-2015 scores'!$A$2:$A$131,0)),0)</f>
        <v>0.3567</v>
      </c>
      <c r="J201" s="13" t="n">
        <f aca="false">IF(ISNUMBER(MATCH(E201,'NCO-2015 scores'!$A$2:$A$131,0)),IF(ISNUMBER(INDEX('NCO-2015 scores'!$C$2:$C$131,MATCH(E201,'NCO-2015 scores'!$A$2:$A$131,0))),1,0),0)</f>
        <v>1</v>
      </c>
    </row>
    <row r="202" customFormat="false" ht="15" hidden="false" customHeight="false" outlineLevel="0" collapsed="false">
      <c r="A202" s="2" t="n">
        <v>200</v>
      </c>
      <c r="B202" s="2" t="s">
        <v>1024</v>
      </c>
      <c r="C202" s="2" t="s">
        <v>1025</v>
      </c>
      <c r="D202" s="2" t="s">
        <v>1026</v>
      </c>
      <c r="E202" s="2" t="str">
        <f aca="false">LEFT(C202,3)</f>
        <v>213</v>
      </c>
      <c r="F202" s="2" t="str">
        <f aca="false">IF(D202="","",LEFT(D202,3))</f>
        <v>221</v>
      </c>
      <c r="G202" s="2" t="str">
        <f aca="false">IF(F202="","",IF(E202=F202,"Yes","No"))</f>
        <v>No</v>
      </c>
      <c r="H202" s="2" t="n">
        <f aca="false">IF(D202="",0,1/COUNTIF($D$2:$D$3451,D202))</f>
        <v>1</v>
      </c>
      <c r="I202" s="13" t="n">
        <f aca="false">IFERROR(INDEX('NCO-2015 scores'!$C$2:$C$131,MATCH(E202,'NCO-2015 scores'!$A$2:$A$131,0)),0)</f>
        <v>0.3567</v>
      </c>
      <c r="J202" s="13" t="n">
        <f aca="false">IF(ISNUMBER(MATCH(E202,'NCO-2015 scores'!$A$2:$A$131,0)),IF(ISNUMBER(INDEX('NCO-2015 scores'!$C$2:$C$131,MATCH(E202,'NCO-2015 scores'!$A$2:$A$131,0))),1,0),0)</f>
        <v>1</v>
      </c>
    </row>
    <row r="203" customFormat="false" ht="15" hidden="false" customHeight="false" outlineLevel="0" collapsed="false">
      <c r="A203" s="2" t="n">
        <v>201</v>
      </c>
      <c r="B203" s="2" t="s">
        <v>1027</v>
      </c>
      <c r="C203" s="2" t="s">
        <v>1028</v>
      </c>
      <c r="D203" s="2" t="s">
        <v>1029</v>
      </c>
      <c r="E203" s="2" t="str">
        <f aca="false">LEFT(C203,3)</f>
        <v>213</v>
      </c>
      <c r="F203" s="2" t="str">
        <f aca="false">IF(D203="","",LEFT(D203,3))</f>
        <v>221</v>
      </c>
      <c r="G203" s="2" t="str">
        <f aca="false">IF(F203="","",IF(E203=F203,"Yes","No"))</f>
        <v>No</v>
      </c>
      <c r="H203" s="2" t="n">
        <f aca="false">IF(D203="",0,1/COUNTIF($D$2:$D$3451,D203))</f>
        <v>1</v>
      </c>
      <c r="I203" s="13" t="n">
        <f aca="false">IFERROR(INDEX('NCO-2015 scores'!$C$2:$C$131,MATCH(E203,'NCO-2015 scores'!$A$2:$A$131,0)),0)</f>
        <v>0.3567</v>
      </c>
      <c r="J203" s="13" t="n">
        <f aca="false">IF(ISNUMBER(MATCH(E203,'NCO-2015 scores'!$A$2:$A$131,0)),IF(ISNUMBER(INDEX('NCO-2015 scores'!$C$2:$C$131,MATCH(E203,'NCO-2015 scores'!$A$2:$A$131,0))),1,0),0)</f>
        <v>1</v>
      </c>
    </row>
    <row r="204" customFormat="false" ht="15" hidden="false" customHeight="false" outlineLevel="0" collapsed="false">
      <c r="A204" s="2" t="n">
        <v>202</v>
      </c>
      <c r="B204" s="2" t="s">
        <v>1030</v>
      </c>
      <c r="C204" s="2" t="s">
        <v>1031</v>
      </c>
      <c r="D204" s="2" t="s">
        <v>1032</v>
      </c>
      <c r="E204" s="2" t="str">
        <f aca="false">LEFT(C204,3)</f>
        <v>213</v>
      </c>
      <c r="F204" s="2" t="str">
        <f aca="false">IF(D204="","",LEFT(D204,3))</f>
        <v>221</v>
      </c>
      <c r="G204" s="2" t="str">
        <f aca="false">IF(F204="","",IF(E204=F204,"Yes","No"))</f>
        <v>No</v>
      </c>
      <c r="H204" s="2" t="n">
        <f aca="false">IF(D204="",0,1/COUNTIF($D$2:$D$3451,D204))</f>
        <v>1</v>
      </c>
      <c r="I204" s="13" t="n">
        <f aca="false">IFERROR(INDEX('NCO-2015 scores'!$C$2:$C$131,MATCH(E204,'NCO-2015 scores'!$A$2:$A$131,0)),0)</f>
        <v>0.3567</v>
      </c>
      <c r="J204" s="13" t="n">
        <f aca="false">IF(ISNUMBER(MATCH(E204,'NCO-2015 scores'!$A$2:$A$131,0)),IF(ISNUMBER(INDEX('NCO-2015 scores'!$C$2:$C$131,MATCH(E204,'NCO-2015 scores'!$A$2:$A$131,0))),1,0),0)</f>
        <v>1</v>
      </c>
    </row>
    <row r="205" customFormat="false" ht="15" hidden="false" customHeight="false" outlineLevel="0" collapsed="false">
      <c r="A205" s="2" t="n">
        <v>203</v>
      </c>
      <c r="B205" s="2" t="s">
        <v>1033</v>
      </c>
      <c r="C205" s="2" t="s">
        <v>1034</v>
      </c>
      <c r="D205" s="2" t="s">
        <v>1035</v>
      </c>
      <c r="E205" s="2" t="str">
        <f aca="false">LEFT(C205,3)</f>
        <v>213</v>
      </c>
      <c r="F205" s="2" t="str">
        <f aca="false">IF(D205="","",LEFT(D205,3))</f>
        <v>221</v>
      </c>
      <c r="G205" s="2" t="str">
        <f aca="false">IF(F205="","",IF(E205=F205,"Yes","No"))</f>
        <v>No</v>
      </c>
      <c r="H205" s="2" t="n">
        <f aca="false">IF(D205="",0,1/COUNTIF($D$2:$D$3451,D205))</f>
        <v>1</v>
      </c>
      <c r="I205" s="13" t="n">
        <f aca="false">IFERROR(INDEX('NCO-2015 scores'!$C$2:$C$131,MATCH(E205,'NCO-2015 scores'!$A$2:$A$131,0)),0)</f>
        <v>0.3567</v>
      </c>
      <c r="J205" s="13" t="n">
        <f aca="false">IF(ISNUMBER(MATCH(E205,'NCO-2015 scores'!$A$2:$A$131,0)),IF(ISNUMBER(INDEX('NCO-2015 scores'!$C$2:$C$131,MATCH(E205,'NCO-2015 scores'!$A$2:$A$131,0))),1,0),0)</f>
        <v>1</v>
      </c>
    </row>
    <row r="206" customFormat="false" ht="15" hidden="false" customHeight="false" outlineLevel="0" collapsed="false">
      <c r="A206" s="2" t="n">
        <v>204</v>
      </c>
      <c r="B206" s="2" t="s">
        <v>1036</v>
      </c>
      <c r="C206" s="2" t="s">
        <v>1037</v>
      </c>
      <c r="D206" s="2" t="s">
        <v>1038</v>
      </c>
      <c r="E206" s="2" t="str">
        <f aca="false">LEFT(C206,3)</f>
        <v>213</v>
      </c>
      <c r="F206" s="2" t="str">
        <f aca="false">IF(D206="","",LEFT(D206,3))</f>
        <v>221</v>
      </c>
      <c r="G206" s="2" t="str">
        <f aca="false">IF(F206="","",IF(E206=F206,"Yes","No"))</f>
        <v>No</v>
      </c>
      <c r="H206" s="2" t="n">
        <f aca="false">IF(D206="",0,1/COUNTIF($D$2:$D$3451,D206))</f>
        <v>1</v>
      </c>
      <c r="I206" s="13" t="n">
        <f aca="false">IFERROR(INDEX('NCO-2015 scores'!$C$2:$C$131,MATCH(E206,'NCO-2015 scores'!$A$2:$A$131,0)),0)</f>
        <v>0.3567</v>
      </c>
      <c r="J206" s="13" t="n">
        <f aca="false">IF(ISNUMBER(MATCH(E206,'NCO-2015 scores'!$A$2:$A$131,0)),IF(ISNUMBER(INDEX('NCO-2015 scores'!$C$2:$C$131,MATCH(E206,'NCO-2015 scores'!$A$2:$A$131,0))),1,0),0)</f>
        <v>1</v>
      </c>
    </row>
    <row r="207" customFormat="false" ht="15" hidden="false" customHeight="false" outlineLevel="0" collapsed="false">
      <c r="A207" s="2" t="n">
        <v>205</v>
      </c>
      <c r="B207" s="2" t="s">
        <v>1039</v>
      </c>
      <c r="C207" s="2" t="s">
        <v>1040</v>
      </c>
      <c r="D207" s="2" t="s">
        <v>1041</v>
      </c>
      <c r="E207" s="2" t="str">
        <f aca="false">LEFT(C207,3)</f>
        <v>213</v>
      </c>
      <c r="F207" s="2" t="str">
        <f aca="false">IF(D207="","",LEFT(D207,3))</f>
        <v>221</v>
      </c>
      <c r="G207" s="2" t="str">
        <f aca="false">IF(F207="","",IF(E207=F207,"Yes","No"))</f>
        <v>No</v>
      </c>
      <c r="H207" s="2" t="n">
        <f aca="false">IF(D207="",0,1/COUNTIF($D$2:$D$3451,D207))</f>
        <v>1</v>
      </c>
      <c r="I207" s="13" t="n">
        <f aca="false">IFERROR(INDEX('NCO-2015 scores'!$C$2:$C$131,MATCH(E207,'NCO-2015 scores'!$A$2:$A$131,0)),0)</f>
        <v>0.3567</v>
      </c>
      <c r="J207" s="13" t="n">
        <f aca="false">IF(ISNUMBER(MATCH(E207,'NCO-2015 scores'!$A$2:$A$131,0)),IF(ISNUMBER(INDEX('NCO-2015 scores'!$C$2:$C$131,MATCH(E207,'NCO-2015 scores'!$A$2:$A$131,0))),1,0),0)</f>
        <v>1</v>
      </c>
    </row>
    <row r="208" customFormat="false" ht="15" hidden="false" customHeight="false" outlineLevel="0" collapsed="false">
      <c r="A208" s="2" t="n">
        <v>206</v>
      </c>
      <c r="B208" s="2" t="s">
        <v>1042</v>
      </c>
      <c r="C208" s="2" t="s">
        <v>1043</v>
      </c>
      <c r="D208" s="2" t="s">
        <v>1044</v>
      </c>
      <c r="E208" s="2" t="str">
        <f aca="false">LEFT(C208,3)</f>
        <v>213</v>
      </c>
      <c r="F208" s="2" t="str">
        <f aca="false">IF(D208="","",LEFT(D208,3))</f>
        <v>221</v>
      </c>
      <c r="G208" s="2" t="str">
        <f aca="false">IF(F208="","",IF(E208=F208,"Yes","No"))</f>
        <v>No</v>
      </c>
      <c r="H208" s="2" t="n">
        <f aca="false">IF(D208="",0,1/COUNTIF($D$2:$D$3451,D208))</f>
        <v>1</v>
      </c>
      <c r="I208" s="13" t="n">
        <f aca="false">IFERROR(INDEX('NCO-2015 scores'!$C$2:$C$131,MATCH(E208,'NCO-2015 scores'!$A$2:$A$131,0)),0)</f>
        <v>0.3567</v>
      </c>
      <c r="J208" s="13" t="n">
        <f aca="false">IF(ISNUMBER(MATCH(E208,'NCO-2015 scores'!$A$2:$A$131,0)),IF(ISNUMBER(INDEX('NCO-2015 scores'!$C$2:$C$131,MATCH(E208,'NCO-2015 scores'!$A$2:$A$131,0))),1,0),0)</f>
        <v>1</v>
      </c>
    </row>
    <row r="209" customFormat="false" ht="15" hidden="false" customHeight="false" outlineLevel="0" collapsed="false">
      <c r="A209" s="2" t="n">
        <v>207</v>
      </c>
      <c r="B209" s="2" t="s">
        <v>1045</v>
      </c>
      <c r="C209" s="2" t="s">
        <v>1046</v>
      </c>
      <c r="D209" s="2" t="s">
        <v>1047</v>
      </c>
      <c r="E209" s="2" t="str">
        <f aca="false">LEFT(C209,3)</f>
        <v>213</v>
      </c>
      <c r="F209" s="2" t="str">
        <f aca="false">IF(D209="","",LEFT(D209,3))</f>
        <v>221</v>
      </c>
      <c r="G209" s="2" t="str">
        <f aca="false">IF(F209="","",IF(E209=F209,"Yes","No"))</f>
        <v>No</v>
      </c>
      <c r="H209" s="2" t="n">
        <f aca="false">IF(D209="",0,1/COUNTIF($D$2:$D$3451,D209))</f>
        <v>1</v>
      </c>
      <c r="I209" s="13" t="n">
        <f aca="false">IFERROR(INDEX('NCO-2015 scores'!$C$2:$C$131,MATCH(E209,'NCO-2015 scores'!$A$2:$A$131,0)),0)</f>
        <v>0.3567</v>
      </c>
      <c r="J209" s="13" t="n">
        <f aca="false">IF(ISNUMBER(MATCH(E209,'NCO-2015 scores'!$A$2:$A$131,0)),IF(ISNUMBER(INDEX('NCO-2015 scores'!$C$2:$C$131,MATCH(E209,'NCO-2015 scores'!$A$2:$A$131,0))),1,0),0)</f>
        <v>1</v>
      </c>
    </row>
    <row r="210" customFormat="false" ht="15" hidden="false" customHeight="false" outlineLevel="0" collapsed="false">
      <c r="A210" s="2" t="n">
        <v>208</v>
      </c>
      <c r="B210" s="2" t="s">
        <v>1048</v>
      </c>
      <c r="C210" s="2" t="s">
        <v>1049</v>
      </c>
      <c r="D210" s="2" t="s">
        <v>1050</v>
      </c>
      <c r="E210" s="2" t="str">
        <f aca="false">LEFT(C210,3)</f>
        <v>213</v>
      </c>
      <c r="F210" s="2" t="str">
        <f aca="false">IF(D210="","",LEFT(D210,3))</f>
        <v>221</v>
      </c>
      <c r="G210" s="2" t="str">
        <f aca="false">IF(F210="","",IF(E210=F210,"Yes","No"))</f>
        <v>No</v>
      </c>
      <c r="H210" s="2" t="n">
        <f aca="false">IF(D210="",0,1/COUNTIF($D$2:$D$3451,D210))</f>
        <v>1</v>
      </c>
      <c r="I210" s="13" t="n">
        <f aca="false">IFERROR(INDEX('NCO-2015 scores'!$C$2:$C$131,MATCH(E210,'NCO-2015 scores'!$A$2:$A$131,0)),0)</f>
        <v>0.3567</v>
      </c>
      <c r="J210" s="13" t="n">
        <f aca="false">IF(ISNUMBER(MATCH(E210,'NCO-2015 scores'!$A$2:$A$131,0)),IF(ISNUMBER(INDEX('NCO-2015 scores'!$C$2:$C$131,MATCH(E210,'NCO-2015 scores'!$A$2:$A$131,0))),1,0),0)</f>
        <v>1</v>
      </c>
    </row>
    <row r="211" customFormat="false" ht="15" hidden="false" customHeight="false" outlineLevel="0" collapsed="false">
      <c r="A211" s="2" t="n">
        <v>209</v>
      </c>
      <c r="B211" s="2" t="s">
        <v>1051</v>
      </c>
      <c r="C211" s="2" t="s">
        <v>1052</v>
      </c>
      <c r="D211" s="2" t="s">
        <v>1053</v>
      </c>
      <c r="E211" s="2" t="str">
        <f aca="false">LEFT(C211,3)</f>
        <v>213</v>
      </c>
      <c r="F211" s="2" t="str">
        <f aca="false">IF(D211="","",LEFT(D211,3))</f>
        <v>221</v>
      </c>
      <c r="G211" s="2" t="str">
        <f aca="false">IF(F211="","",IF(E211=F211,"Yes","No"))</f>
        <v>No</v>
      </c>
      <c r="H211" s="2" t="n">
        <f aca="false">IF(D211="",0,1/COUNTIF($D$2:$D$3451,D211))</f>
        <v>1</v>
      </c>
      <c r="I211" s="13" t="n">
        <f aca="false">IFERROR(INDEX('NCO-2015 scores'!$C$2:$C$131,MATCH(E211,'NCO-2015 scores'!$A$2:$A$131,0)),0)</f>
        <v>0.3567</v>
      </c>
      <c r="J211" s="13" t="n">
        <f aca="false">IF(ISNUMBER(MATCH(E211,'NCO-2015 scores'!$A$2:$A$131,0)),IF(ISNUMBER(INDEX('NCO-2015 scores'!$C$2:$C$131,MATCH(E211,'NCO-2015 scores'!$A$2:$A$131,0))),1,0),0)</f>
        <v>1</v>
      </c>
    </row>
    <row r="212" customFormat="false" ht="15" hidden="false" customHeight="false" outlineLevel="0" collapsed="false">
      <c r="A212" s="2" t="n">
        <v>210</v>
      </c>
      <c r="B212" s="2" t="s">
        <v>1054</v>
      </c>
      <c r="C212" s="2" t="s">
        <v>1055</v>
      </c>
      <c r="D212" s="2" t="s">
        <v>1056</v>
      </c>
      <c r="E212" s="2" t="str">
        <f aca="false">LEFT(C212,3)</f>
        <v>213</v>
      </c>
      <c r="F212" s="2" t="str">
        <f aca="false">IF(D212="","",LEFT(D212,3))</f>
        <v>221</v>
      </c>
      <c r="G212" s="2" t="str">
        <f aca="false">IF(F212="","",IF(E212=F212,"Yes","No"))</f>
        <v>No</v>
      </c>
      <c r="H212" s="2" t="n">
        <f aca="false">IF(D212="",0,1/COUNTIF($D$2:$D$3451,D212))</f>
        <v>1</v>
      </c>
      <c r="I212" s="13" t="n">
        <f aca="false">IFERROR(INDEX('NCO-2015 scores'!$C$2:$C$131,MATCH(E212,'NCO-2015 scores'!$A$2:$A$131,0)),0)</f>
        <v>0.3567</v>
      </c>
      <c r="J212" s="13" t="n">
        <f aca="false">IF(ISNUMBER(MATCH(E212,'NCO-2015 scores'!$A$2:$A$131,0)),IF(ISNUMBER(INDEX('NCO-2015 scores'!$C$2:$C$131,MATCH(E212,'NCO-2015 scores'!$A$2:$A$131,0))),1,0),0)</f>
        <v>1</v>
      </c>
    </row>
    <row r="213" customFormat="false" ht="15" hidden="false" customHeight="false" outlineLevel="0" collapsed="false">
      <c r="A213" s="2" t="n">
        <v>211</v>
      </c>
      <c r="B213" s="2" t="s">
        <v>1057</v>
      </c>
      <c r="C213" s="2" t="s">
        <v>1058</v>
      </c>
      <c r="D213" s="2" t="s">
        <v>1059</v>
      </c>
      <c r="E213" s="2" t="str">
        <f aca="false">LEFT(C213,3)</f>
        <v>213</v>
      </c>
      <c r="F213" s="2" t="str">
        <f aca="false">IF(D213="","",LEFT(D213,3))</f>
        <v>221</v>
      </c>
      <c r="G213" s="2" t="str">
        <f aca="false">IF(F213="","",IF(E213=F213,"Yes","No"))</f>
        <v>No</v>
      </c>
      <c r="H213" s="2" t="n">
        <f aca="false">IF(D213="",0,1/COUNTIF($D$2:$D$3451,D213))</f>
        <v>1</v>
      </c>
      <c r="I213" s="13" t="n">
        <f aca="false">IFERROR(INDEX('NCO-2015 scores'!$C$2:$C$131,MATCH(E213,'NCO-2015 scores'!$A$2:$A$131,0)),0)</f>
        <v>0.3567</v>
      </c>
      <c r="J213" s="13" t="n">
        <f aca="false">IF(ISNUMBER(MATCH(E213,'NCO-2015 scores'!$A$2:$A$131,0)),IF(ISNUMBER(INDEX('NCO-2015 scores'!$C$2:$C$131,MATCH(E213,'NCO-2015 scores'!$A$2:$A$131,0))),1,0),0)</f>
        <v>1</v>
      </c>
    </row>
    <row r="214" customFormat="false" ht="15" hidden="false" customHeight="false" outlineLevel="0" collapsed="false">
      <c r="A214" s="2" t="n">
        <v>212</v>
      </c>
      <c r="B214" s="2" t="s">
        <v>1060</v>
      </c>
      <c r="C214" s="2" t="s">
        <v>1061</v>
      </c>
      <c r="D214" s="2" t="s">
        <v>1062</v>
      </c>
      <c r="E214" s="2" t="str">
        <f aca="false">LEFT(C214,3)</f>
        <v>213</v>
      </c>
      <c r="F214" s="2" t="str">
        <f aca="false">IF(D214="","",LEFT(D214,3))</f>
        <v>221</v>
      </c>
      <c r="G214" s="2" t="str">
        <f aca="false">IF(F214="","",IF(E214=F214,"Yes","No"))</f>
        <v>No</v>
      </c>
      <c r="H214" s="2" t="n">
        <f aca="false">IF(D214="",0,1/COUNTIF($D$2:$D$3451,D214))</f>
        <v>1</v>
      </c>
      <c r="I214" s="13" t="n">
        <f aca="false">IFERROR(INDEX('NCO-2015 scores'!$C$2:$C$131,MATCH(E214,'NCO-2015 scores'!$A$2:$A$131,0)),0)</f>
        <v>0.3567</v>
      </c>
      <c r="J214" s="13" t="n">
        <f aca="false">IF(ISNUMBER(MATCH(E214,'NCO-2015 scores'!$A$2:$A$131,0)),IF(ISNUMBER(INDEX('NCO-2015 scores'!$C$2:$C$131,MATCH(E214,'NCO-2015 scores'!$A$2:$A$131,0))),1,0),0)</f>
        <v>1</v>
      </c>
    </row>
    <row r="215" customFormat="false" ht="15" hidden="false" customHeight="false" outlineLevel="0" collapsed="false">
      <c r="A215" s="2" t="n">
        <v>213</v>
      </c>
      <c r="B215" s="2" t="s">
        <v>1063</v>
      </c>
      <c r="C215" s="2" t="s">
        <v>1064</v>
      </c>
      <c r="D215" s="2" t="s">
        <v>1065</v>
      </c>
      <c r="E215" s="2" t="str">
        <f aca="false">LEFT(C215,3)</f>
        <v>213</v>
      </c>
      <c r="F215" s="2" t="str">
        <f aca="false">IF(D215="","",LEFT(D215,3))</f>
        <v>221</v>
      </c>
      <c r="G215" s="2" t="str">
        <f aca="false">IF(F215="","",IF(E215=F215,"Yes","No"))</f>
        <v>No</v>
      </c>
      <c r="H215" s="2" t="n">
        <f aca="false">IF(D215="",0,1/COUNTIF($D$2:$D$3451,D215))</f>
        <v>1</v>
      </c>
      <c r="I215" s="13" t="n">
        <f aca="false">IFERROR(INDEX('NCO-2015 scores'!$C$2:$C$131,MATCH(E215,'NCO-2015 scores'!$A$2:$A$131,0)),0)</f>
        <v>0.3567</v>
      </c>
      <c r="J215" s="13" t="n">
        <f aca="false">IF(ISNUMBER(MATCH(E215,'NCO-2015 scores'!$A$2:$A$131,0)),IF(ISNUMBER(INDEX('NCO-2015 scores'!$C$2:$C$131,MATCH(E215,'NCO-2015 scores'!$A$2:$A$131,0))),1,0),0)</f>
        <v>1</v>
      </c>
    </row>
    <row r="216" customFormat="false" ht="15" hidden="false" customHeight="false" outlineLevel="0" collapsed="false">
      <c r="A216" s="2" t="n">
        <v>214</v>
      </c>
      <c r="B216" s="2" t="s">
        <v>1066</v>
      </c>
      <c r="C216" s="2" t="s">
        <v>1067</v>
      </c>
      <c r="D216" s="2" t="s">
        <v>1068</v>
      </c>
      <c r="E216" s="2" t="str">
        <f aca="false">LEFT(C216,3)</f>
        <v>213</v>
      </c>
      <c r="F216" s="2" t="str">
        <f aca="false">IF(D216="","",LEFT(D216,3))</f>
        <v>221</v>
      </c>
      <c r="G216" s="2" t="str">
        <f aca="false">IF(F216="","",IF(E216=F216,"Yes","No"))</f>
        <v>No</v>
      </c>
      <c r="H216" s="2" t="n">
        <f aca="false">IF(D216="",0,1/COUNTIF($D$2:$D$3451,D216))</f>
        <v>1</v>
      </c>
      <c r="I216" s="13" t="n">
        <f aca="false">IFERROR(INDEX('NCO-2015 scores'!$C$2:$C$131,MATCH(E216,'NCO-2015 scores'!$A$2:$A$131,0)),0)</f>
        <v>0.3567</v>
      </c>
      <c r="J216" s="13" t="n">
        <f aca="false">IF(ISNUMBER(MATCH(E216,'NCO-2015 scores'!$A$2:$A$131,0)),IF(ISNUMBER(INDEX('NCO-2015 scores'!$C$2:$C$131,MATCH(E216,'NCO-2015 scores'!$A$2:$A$131,0))),1,0),0)</f>
        <v>1</v>
      </c>
    </row>
    <row r="217" customFormat="false" ht="15" hidden="false" customHeight="false" outlineLevel="0" collapsed="false">
      <c r="A217" s="2" t="n">
        <v>215</v>
      </c>
      <c r="B217" s="2" t="s">
        <v>1069</v>
      </c>
      <c r="C217" s="2" t="s">
        <v>1070</v>
      </c>
      <c r="D217" s="2" t="s">
        <v>1071</v>
      </c>
      <c r="E217" s="2" t="str">
        <f aca="false">LEFT(C217,3)</f>
        <v>722</v>
      </c>
      <c r="F217" s="2" t="str">
        <f aca="false">IF(D217="","",LEFT(D217,3))</f>
        <v>722</v>
      </c>
      <c r="G217" s="2" t="str">
        <f aca="false">IF(F217="","",IF(E217=F217,"Yes","No"))</f>
        <v>Yes</v>
      </c>
      <c r="H217" s="2" t="n">
        <f aca="false">IF(D217="",0,1/COUNTIF($D$2:$D$3451,D217))</f>
        <v>1</v>
      </c>
      <c r="I217" s="13" t="n">
        <f aca="false">IFERROR(INDEX('NCO-2015 scores'!$C$2:$C$131,MATCH(E217,'NCO-2015 scores'!$A$2:$A$131,0)),0)</f>
        <v>0.18</v>
      </c>
      <c r="J217" s="13" t="n">
        <f aca="false">IF(ISNUMBER(MATCH(E217,'NCO-2015 scores'!$A$2:$A$131,0)),IF(ISNUMBER(INDEX('NCO-2015 scores'!$C$2:$C$131,MATCH(E217,'NCO-2015 scores'!$A$2:$A$131,0))),1,0),0)</f>
        <v>1</v>
      </c>
    </row>
    <row r="218" customFormat="false" ht="15" hidden="false" customHeight="false" outlineLevel="0" collapsed="false">
      <c r="A218" s="2" t="n">
        <v>216</v>
      </c>
      <c r="B218" s="2" t="s">
        <v>1072</v>
      </c>
      <c r="C218" s="2" t="s">
        <v>1073</v>
      </c>
      <c r="D218" s="2"/>
      <c r="E218" s="2" t="str">
        <f aca="false">LEFT(C218,3)</f>
        <v>722</v>
      </c>
      <c r="F218" s="2" t="str">
        <f aca="false">IF(D218="","",LEFT(D218,3))</f>
        <v/>
      </c>
      <c r="G218" s="2" t="str">
        <f aca="false">IF(F218="","",IF(E218=F218,"Yes","No"))</f>
        <v/>
      </c>
      <c r="H218" s="2" t="n">
        <f aca="false">IF(D218="",0,1/COUNTIF($D$2:$D$3451,D218))</f>
        <v>0</v>
      </c>
      <c r="I218" s="13" t="n">
        <f aca="false">IFERROR(INDEX('NCO-2015 scores'!$C$2:$C$131,MATCH(E218,'NCO-2015 scores'!$A$2:$A$131,0)),0)</f>
        <v>0.18</v>
      </c>
      <c r="J218" s="13" t="n">
        <f aca="false">IF(ISNUMBER(MATCH(E218,'NCO-2015 scores'!$A$2:$A$131,0)),IF(ISNUMBER(INDEX('NCO-2015 scores'!$C$2:$C$131,MATCH(E218,'NCO-2015 scores'!$A$2:$A$131,0))),1,0),0)</f>
        <v>1</v>
      </c>
    </row>
    <row r="219" customFormat="false" ht="15" hidden="false" customHeight="false" outlineLevel="0" collapsed="false">
      <c r="A219" s="2" t="n">
        <v>217</v>
      </c>
      <c r="B219" s="2" t="s">
        <v>1074</v>
      </c>
      <c r="C219" s="2" t="s">
        <v>1075</v>
      </c>
      <c r="D219" s="2" t="s">
        <v>1076</v>
      </c>
      <c r="E219" s="2" t="str">
        <f aca="false">LEFT(C219,3)</f>
        <v>722</v>
      </c>
      <c r="F219" s="2" t="str">
        <f aca="false">IF(D219="","",LEFT(D219,3))</f>
        <v>722</v>
      </c>
      <c r="G219" s="2" t="str">
        <f aca="false">IF(F219="","",IF(E219=F219,"Yes","No"))</f>
        <v>Yes</v>
      </c>
      <c r="H219" s="2" t="n">
        <f aca="false">IF(D219="",0,1/COUNTIF($D$2:$D$3451,D219))</f>
        <v>1</v>
      </c>
      <c r="I219" s="13" t="n">
        <f aca="false">IFERROR(INDEX('NCO-2015 scores'!$C$2:$C$131,MATCH(E219,'NCO-2015 scores'!$A$2:$A$131,0)),0)</f>
        <v>0.18</v>
      </c>
      <c r="J219" s="13" t="n">
        <f aca="false">IF(ISNUMBER(MATCH(E219,'NCO-2015 scores'!$A$2:$A$131,0)),IF(ISNUMBER(INDEX('NCO-2015 scores'!$C$2:$C$131,MATCH(E219,'NCO-2015 scores'!$A$2:$A$131,0))),1,0),0)</f>
        <v>1</v>
      </c>
    </row>
    <row r="220" customFormat="false" ht="15" hidden="false" customHeight="false" outlineLevel="0" collapsed="false">
      <c r="A220" s="2" t="n">
        <v>218</v>
      </c>
      <c r="B220" s="2" t="s">
        <v>1077</v>
      </c>
      <c r="C220" s="2" t="s">
        <v>1078</v>
      </c>
      <c r="D220" s="2" t="s">
        <v>1079</v>
      </c>
      <c r="E220" s="2" t="str">
        <f aca="false">LEFT(C220,3)</f>
        <v>722</v>
      </c>
      <c r="F220" s="2" t="str">
        <f aca="false">IF(D220="","",LEFT(D220,3))</f>
        <v>722</v>
      </c>
      <c r="G220" s="2" t="str">
        <f aca="false">IF(F220="","",IF(E220=F220,"Yes","No"))</f>
        <v>Yes</v>
      </c>
      <c r="H220" s="2" t="n">
        <f aca="false">IF(D220="",0,1/COUNTIF($D$2:$D$3451,D220))</f>
        <v>1</v>
      </c>
      <c r="I220" s="13" t="n">
        <f aca="false">IFERROR(INDEX('NCO-2015 scores'!$C$2:$C$131,MATCH(E220,'NCO-2015 scores'!$A$2:$A$131,0)),0)</f>
        <v>0.18</v>
      </c>
      <c r="J220" s="13" t="n">
        <f aca="false">IF(ISNUMBER(MATCH(E220,'NCO-2015 scores'!$A$2:$A$131,0)),IF(ISNUMBER(INDEX('NCO-2015 scores'!$C$2:$C$131,MATCH(E220,'NCO-2015 scores'!$A$2:$A$131,0))),1,0),0)</f>
        <v>1</v>
      </c>
    </row>
    <row r="221" customFormat="false" ht="15" hidden="false" customHeight="false" outlineLevel="0" collapsed="false">
      <c r="A221" s="2" t="n">
        <v>219</v>
      </c>
      <c r="B221" s="2" t="s">
        <v>1080</v>
      </c>
      <c r="C221" s="2" t="s">
        <v>1081</v>
      </c>
      <c r="D221" s="2" t="s">
        <v>1082</v>
      </c>
      <c r="E221" s="2" t="str">
        <f aca="false">LEFT(C221,3)</f>
        <v>722</v>
      </c>
      <c r="F221" s="2" t="str">
        <f aca="false">IF(D221="","",LEFT(D221,3))</f>
        <v>722</v>
      </c>
      <c r="G221" s="2" t="str">
        <f aca="false">IF(F221="","",IF(E221=F221,"Yes","No"))</f>
        <v>Yes</v>
      </c>
      <c r="H221" s="2" t="n">
        <f aca="false">IF(D221="",0,1/COUNTIF($D$2:$D$3451,D221))</f>
        <v>1</v>
      </c>
      <c r="I221" s="13" t="n">
        <f aca="false">IFERROR(INDEX('NCO-2015 scores'!$C$2:$C$131,MATCH(E221,'NCO-2015 scores'!$A$2:$A$131,0)),0)</f>
        <v>0.18</v>
      </c>
      <c r="J221" s="13" t="n">
        <f aca="false">IF(ISNUMBER(MATCH(E221,'NCO-2015 scores'!$A$2:$A$131,0)),IF(ISNUMBER(INDEX('NCO-2015 scores'!$C$2:$C$131,MATCH(E221,'NCO-2015 scores'!$A$2:$A$131,0))),1,0),0)</f>
        <v>1</v>
      </c>
    </row>
    <row r="222" customFormat="false" ht="15" hidden="false" customHeight="false" outlineLevel="0" collapsed="false">
      <c r="A222" s="2" t="n">
        <v>220</v>
      </c>
      <c r="B222" s="2" t="s">
        <v>1083</v>
      </c>
      <c r="C222" s="2" t="s">
        <v>1084</v>
      </c>
      <c r="D222" s="2" t="s">
        <v>1085</v>
      </c>
      <c r="E222" s="2" t="str">
        <f aca="false">LEFT(C222,3)</f>
        <v>722</v>
      </c>
      <c r="F222" s="2" t="str">
        <f aca="false">IF(D222="","",LEFT(D222,3))</f>
        <v>722</v>
      </c>
      <c r="G222" s="2" t="str">
        <f aca="false">IF(F222="","",IF(E222=F222,"Yes","No"))</f>
        <v>Yes</v>
      </c>
      <c r="H222" s="2" t="n">
        <f aca="false">IF(D222="",0,1/COUNTIF($D$2:$D$3451,D222))</f>
        <v>1</v>
      </c>
      <c r="I222" s="13" t="n">
        <f aca="false">IFERROR(INDEX('NCO-2015 scores'!$C$2:$C$131,MATCH(E222,'NCO-2015 scores'!$A$2:$A$131,0)),0)</f>
        <v>0.18</v>
      </c>
      <c r="J222" s="13" t="n">
        <f aca="false">IF(ISNUMBER(MATCH(E222,'NCO-2015 scores'!$A$2:$A$131,0)),IF(ISNUMBER(INDEX('NCO-2015 scores'!$C$2:$C$131,MATCH(E222,'NCO-2015 scores'!$A$2:$A$131,0))),1,0),0)</f>
        <v>1</v>
      </c>
    </row>
    <row r="223" customFormat="false" ht="15" hidden="false" customHeight="false" outlineLevel="0" collapsed="false">
      <c r="A223" s="2" t="n">
        <v>221</v>
      </c>
      <c r="B223" s="2" t="s">
        <v>1086</v>
      </c>
      <c r="C223" s="2" t="s">
        <v>1087</v>
      </c>
      <c r="D223" s="2" t="s">
        <v>1088</v>
      </c>
      <c r="E223" s="2" t="str">
        <f aca="false">LEFT(C223,3)</f>
        <v>722</v>
      </c>
      <c r="F223" s="2" t="str">
        <f aca="false">IF(D223="","",LEFT(D223,3))</f>
        <v>722</v>
      </c>
      <c r="G223" s="2" t="str">
        <f aca="false">IF(F223="","",IF(E223=F223,"Yes","No"))</f>
        <v>Yes</v>
      </c>
      <c r="H223" s="2" t="n">
        <f aca="false">IF(D223="",0,1/COUNTIF($D$2:$D$3451,D223))</f>
        <v>1</v>
      </c>
      <c r="I223" s="13" t="n">
        <f aca="false">IFERROR(INDEX('NCO-2015 scores'!$C$2:$C$131,MATCH(E223,'NCO-2015 scores'!$A$2:$A$131,0)),0)</f>
        <v>0.18</v>
      </c>
      <c r="J223" s="13" t="n">
        <f aca="false">IF(ISNUMBER(MATCH(E223,'NCO-2015 scores'!$A$2:$A$131,0)),IF(ISNUMBER(INDEX('NCO-2015 scores'!$C$2:$C$131,MATCH(E223,'NCO-2015 scores'!$A$2:$A$131,0))),1,0),0)</f>
        <v>1</v>
      </c>
    </row>
    <row r="224" customFormat="false" ht="15" hidden="false" customHeight="false" outlineLevel="0" collapsed="false">
      <c r="A224" s="2" t="n">
        <v>222</v>
      </c>
      <c r="B224" s="2" t="s">
        <v>1089</v>
      </c>
      <c r="C224" s="2" t="s">
        <v>1090</v>
      </c>
      <c r="D224" s="2" t="s">
        <v>1091</v>
      </c>
      <c r="E224" s="2" t="str">
        <f aca="false">LEFT(C224,3)</f>
        <v>722</v>
      </c>
      <c r="F224" s="2" t="str">
        <f aca="false">IF(D224="","",LEFT(D224,3))</f>
        <v>722</v>
      </c>
      <c r="G224" s="2" t="str">
        <f aca="false">IF(F224="","",IF(E224=F224,"Yes","No"))</f>
        <v>Yes</v>
      </c>
      <c r="H224" s="2" t="n">
        <f aca="false">IF(D224="",0,1/COUNTIF($D$2:$D$3451,D224))</f>
        <v>1</v>
      </c>
      <c r="I224" s="13" t="n">
        <f aca="false">IFERROR(INDEX('NCO-2015 scores'!$C$2:$C$131,MATCH(E224,'NCO-2015 scores'!$A$2:$A$131,0)),0)</f>
        <v>0.18</v>
      </c>
      <c r="J224" s="13" t="n">
        <f aca="false">IF(ISNUMBER(MATCH(E224,'NCO-2015 scores'!$A$2:$A$131,0)),IF(ISNUMBER(INDEX('NCO-2015 scores'!$C$2:$C$131,MATCH(E224,'NCO-2015 scores'!$A$2:$A$131,0))),1,0),0)</f>
        <v>1</v>
      </c>
    </row>
    <row r="225" customFormat="false" ht="15" hidden="false" customHeight="false" outlineLevel="0" collapsed="false">
      <c r="A225" s="2" t="n">
        <v>223</v>
      </c>
      <c r="B225" s="2" t="s">
        <v>1092</v>
      </c>
      <c r="C225" s="2" t="s">
        <v>1093</v>
      </c>
      <c r="D225" s="2" t="s">
        <v>1094</v>
      </c>
      <c r="E225" s="2" t="str">
        <f aca="false">LEFT(C225,3)</f>
        <v>722</v>
      </c>
      <c r="F225" s="2" t="str">
        <f aca="false">IF(D225="","",LEFT(D225,3))</f>
        <v>722</v>
      </c>
      <c r="G225" s="2" t="str">
        <f aca="false">IF(F225="","",IF(E225=F225,"Yes","No"))</f>
        <v>Yes</v>
      </c>
      <c r="H225" s="2" t="n">
        <f aca="false">IF(D225="",0,1/COUNTIF($D$2:$D$3451,D225))</f>
        <v>1</v>
      </c>
      <c r="I225" s="13" t="n">
        <f aca="false">IFERROR(INDEX('NCO-2015 scores'!$C$2:$C$131,MATCH(E225,'NCO-2015 scores'!$A$2:$A$131,0)),0)</f>
        <v>0.18</v>
      </c>
      <c r="J225" s="13" t="n">
        <f aca="false">IF(ISNUMBER(MATCH(E225,'NCO-2015 scores'!$A$2:$A$131,0)),IF(ISNUMBER(INDEX('NCO-2015 scores'!$C$2:$C$131,MATCH(E225,'NCO-2015 scores'!$A$2:$A$131,0))),1,0),0)</f>
        <v>1</v>
      </c>
    </row>
    <row r="226" customFormat="false" ht="15" hidden="false" customHeight="false" outlineLevel="0" collapsed="false">
      <c r="A226" s="2" t="n">
        <v>224</v>
      </c>
      <c r="B226" s="2" t="s">
        <v>1095</v>
      </c>
      <c r="C226" s="2" t="s">
        <v>1096</v>
      </c>
      <c r="D226" s="2" t="s">
        <v>1097</v>
      </c>
      <c r="E226" s="2" t="str">
        <f aca="false">LEFT(C226,3)</f>
        <v>722</v>
      </c>
      <c r="F226" s="2" t="str">
        <f aca="false">IF(D226="","",LEFT(D226,3))</f>
        <v>722</v>
      </c>
      <c r="G226" s="2" t="str">
        <f aca="false">IF(F226="","",IF(E226=F226,"Yes","No"))</f>
        <v>Yes</v>
      </c>
      <c r="H226" s="2" t="n">
        <f aca="false">IF(D226="",0,1/COUNTIF($D$2:$D$3451,D226))</f>
        <v>1</v>
      </c>
      <c r="I226" s="13" t="n">
        <f aca="false">IFERROR(INDEX('NCO-2015 scores'!$C$2:$C$131,MATCH(E226,'NCO-2015 scores'!$A$2:$A$131,0)),0)</f>
        <v>0.18</v>
      </c>
      <c r="J226" s="13" t="n">
        <f aca="false">IF(ISNUMBER(MATCH(E226,'NCO-2015 scores'!$A$2:$A$131,0)),IF(ISNUMBER(INDEX('NCO-2015 scores'!$C$2:$C$131,MATCH(E226,'NCO-2015 scores'!$A$2:$A$131,0))),1,0),0)</f>
        <v>1</v>
      </c>
    </row>
    <row r="227" customFormat="false" ht="15" hidden="false" customHeight="false" outlineLevel="0" collapsed="false">
      <c r="A227" s="2" t="n">
        <v>225</v>
      </c>
      <c r="B227" s="2" t="s">
        <v>1098</v>
      </c>
      <c r="C227" s="2" t="s">
        <v>1099</v>
      </c>
      <c r="D227" s="2"/>
      <c r="E227" s="2" t="str">
        <f aca="false">LEFT(C227,3)</f>
        <v>722</v>
      </c>
      <c r="F227" s="2" t="str">
        <f aca="false">IF(D227="","",LEFT(D227,3))</f>
        <v/>
      </c>
      <c r="G227" s="2" t="str">
        <f aca="false">IF(F227="","",IF(E227=F227,"Yes","No"))</f>
        <v/>
      </c>
      <c r="H227" s="2" t="n">
        <f aca="false">IF(D227="",0,1/COUNTIF($D$2:$D$3451,D227))</f>
        <v>0</v>
      </c>
      <c r="I227" s="13" t="n">
        <f aca="false">IFERROR(INDEX('NCO-2015 scores'!$C$2:$C$131,MATCH(E227,'NCO-2015 scores'!$A$2:$A$131,0)),0)</f>
        <v>0.18</v>
      </c>
      <c r="J227" s="13" t="n">
        <f aca="false">IF(ISNUMBER(MATCH(E227,'NCO-2015 scores'!$A$2:$A$131,0)),IF(ISNUMBER(INDEX('NCO-2015 scores'!$C$2:$C$131,MATCH(E227,'NCO-2015 scores'!$A$2:$A$131,0))),1,0),0)</f>
        <v>1</v>
      </c>
    </row>
    <row r="228" customFormat="false" ht="15" hidden="false" customHeight="false" outlineLevel="0" collapsed="false">
      <c r="A228" s="2" t="n">
        <v>226</v>
      </c>
      <c r="B228" s="2" t="s">
        <v>1100</v>
      </c>
      <c r="C228" s="2" t="s">
        <v>1101</v>
      </c>
      <c r="D228" s="2" t="s">
        <v>1102</v>
      </c>
      <c r="E228" s="2" t="str">
        <f aca="false">LEFT(C228,3)</f>
        <v>815</v>
      </c>
      <c r="F228" s="2" t="str">
        <f aca="false">IF(D228="","",LEFT(D228,3))</f>
        <v>826</v>
      </c>
      <c r="G228" s="2" t="str">
        <f aca="false">IF(F228="","",IF(E228=F228,"Yes","No"))</f>
        <v>No</v>
      </c>
      <c r="H228" s="2" t="n">
        <f aca="false">IF(D228="",0,1/COUNTIF($D$2:$D$3451,D228))</f>
        <v>1</v>
      </c>
      <c r="I228" s="13" t="n">
        <f aca="false">IFERROR(INDEX('NCO-2015 scores'!$C$2:$C$131,MATCH(E228,'NCO-2015 scores'!$A$2:$A$131,0)),0)</f>
        <v>0.1625</v>
      </c>
      <c r="J228" s="13" t="n">
        <f aca="false">IF(ISNUMBER(MATCH(E228,'NCO-2015 scores'!$A$2:$A$131,0)),IF(ISNUMBER(INDEX('NCO-2015 scores'!$C$2:$C$131,MATCH(E228,'NCO-2015 scores'!$A$2:$A$131,0))),1,0),0)</f>
        <v>1</v>
      </c>
    </row>
    <row r="229" customFormat="false" ht="15" hidden="false" customHeight="false" outlineLevel="0" collapsed="false">
      <c r="A229" s="2" t="n">
        <v>227</v>
      </c>
      <c r="B229" s="2" t="s">
        <v>1103</v>
      </c>
      <c r="C229" s="2" t="s">
        <v>1104</v>
      </c>
      <c r="D229" s="2" t="s">
        <v>1105</v>
      </c>
      <c r="E229" s="2" t="str">
        <f aca="false">LEFT(C229,3)</f>
        <v>815</v>
      </c>
      <c r="F229" s="2" t="str">
        <f aca="false">IF(D229="","",LEFT(D229,3))</f>
        <v>826</v>
      </c>
      <c r="G229" s="2" t="str">
        <f aca="false">IF(F229="","",IF(E229=F229,"Yes","No"))</f>
        <v>No</v>
      </c>
      <c r="H229" s="2" t="n">
        <f aca="false">IF(D229="",0,1/COUNTIF($D$2:$D$3451,D229))</f>
        <v>1</v>
      </c>
      <c r="I229" s="13" t="n">
        <f aca="false">IFERROR(INDEX('NCO-2015 scores'!$C$2:$C$131,MATCH(E229,'NCO-2015 scores'!$A$2:$A$131,0)),0)</f>
        <v>0.1625</v>
      </c>
      <c r="J229" s="13" t="n">
        <f aca="false">IF(ISNUMBER(MATCH(E229,'NCO-2015 scores'!$A$2:$A$131,0)),IF(ISNUMBER(INDEX('NCO-2015 scores'!$C$2:$C$131,MATCH(E229,'NCO-2015 scores'!$A$2:$A$131,0))),1,0),0)</f>
        <v>1</v>
      </c>
    </row>
    <row r="230" customFormat="false" ht="15" hidden="false" customHeight="false" outlineLevel="0" collapsed="false">
      <c r="A230" s="2" t="n">
        <v>228</v>
      </c>
      <c r="B230" s="2" t="s">
        <v>1106</v>
      </c>
      <c r="C230" s="2" t="s">
        <v>1107</v>
      </c>
      <c r="D230" s="2" t="s">
        <v>1108</v>
      </c>
      <c r="E230" s="2" t="str">
        <f aca="false">LEFT(C230,3)</f>
        <v>815</v>
      </c>
      <c r="F230" s="2" t="str">
        <f aca="false">IF(D230="","",LEFT(D230,3))</f>
        <v>826</v>
      </c>
      <c r="G230" s="2" t="str">
        <f aca="false">IF(F230="","",IF(E230=F230,"Yes","No"))</f>
        <v>No</v>
      </c>
      <c r="H230" s="2" t="n">
        <f aca="false">IF(D230="",0,1/COUNTIF($D$2:$D$3451,D230))</f>
        <v>1</v>
      </c>
      <c r="I230" s="13" t="n">
        <f aca="false">IFERROR(INDEX('NCO-2015 scores'!$C$2:$C$131,MATCH(E230,'NCO-2015 scores'!$A$2:$A$131,0)),0)</f>
        <v>0.1625</v>
      </c>
      <c r="J230" s="13" t="n">
        <f aca="false">IF(ISNUMBER(MATCH(E230,'NCO-2015 scores'!$A$2:$A$131,0)),IF(ISNUMBER(INDEX('NCO-2015 scores'!$C$2:$C$131,MATCH(E230,'NCO-2015 scores'!$A$2:$A$131,0))),1,0),0)</f>
        <v>1</v>
      </c>
    </row>
    <row r="231" customFormat="false" ht="15" hidden="false" customHeight="false" outlineLevel="0" collapsed="false">
      <c r="A231" s="2" t="n">
        <v>229</v>
      </c>
      <c r="B231" s="2" t="s">
        <v>1109</v>
      </c>
      <c r="C231" s="2" t="s">
        <v>1110</v>
      </c>
      <c r="D231" s="2" t="s">
        <v>1111</v>
      </c>
      <c r="E231" s="2" t="str">
        <f aca="false">LEFT(C231,3)</f>
        <v>815</v>
      </c>
      <c r="F231" s="2" t="str">
        <f aca="false">IF(D231="","",LEFT(D231,3))</f>
        <v>826</v>
      </c>
      <c r="G231" s="2" t="str">
        <f aca="false">IF(F231="","",IF(E231=F231,"Yes","No"))</f>
        <v>No</v>
      </c>
      <c r="H231" s="2" t="n">
        <f aca="false">IF(D231="",0,1/COUNTIF($D$2:$D$3451,D231))</f>
        <v>1</v>
      </c>
      <c r="I231" s="13" t="n">
        <f aca="false">IFERROR(INDEX('NCO-2015 scores'!$C$2:$C$131,MATCH(E231,'NCO-2015 scores'!$A$2:$A$131,0)),0)</f>
        <v>0.1625</v>
      </c>
      <c r="J231" s="13" t="n">
        <f aca="false">IF(ISNUMBER(MATCH(E231,'NCO-2015 scores'!$A$2:$A$131,0)),IF(ISNUMBER(INDEX('NCO-2015 scores'!$C$2:$C$131,MATCH(E231,'NCO-2015 scores'!$A$2:$A$131,0))),1,0),0)</f>
        <v>1</v>
      </c>
    </row>
    <row r="232" customFormat="false" ht="15" hidden="false" customHeight="false" outlineLevel="0" collapsed="false">
      <c r="A232" s="2" t="n">
        <v>230</v>
      </c>
      <c r="B232" s="2" t="s">
        <v>1112</v>
      </c>
      <c r="C232" s="2" t="s">
        <v>1113</v>
      </c>
      <c r="D232" s="2" t="s">
        <v>1114</v>
      </c>
      <c r="E232" s="2" t="str">
        <f aca="false">LEFT(C232,3)</f>
        <v>815</v>
      </c>
      <c r="F232" s="2" t="str">
        <f aca="false">IF(D232="","",LEFT(D232,3))</f>
        <v>826</v>
      </c>
      <c r="G232" s="2" t="str">
        <f aca="false">IF(F232="","",IF(E232=F232,"Yes","No"))</f>
        <v>No</v>
      </c>
      <c r="H232" s="2" t="n">
        <f aca="false">IF(D232="",0,1/COUNTIF($D$2:$D$3451,D232))</f>
        <v>1</v>
      </c>
      <c r="I232" s="13" t="n">
        <f aca="false">IFERROR(INDEX('NCO-2015 scores'!$C$2:$C$131,MATCH(E232,'NCO-2015 scores'!$A$2:$A$131,0)),0)</f>
        <v>0.1625</v>
      </c>
      <c r="J232" s="13" t="n">
        <f aca="false">IF(ISNUMBER(MATCH(E232,'NCO-2015 scores'!$A$2:$A$131,0)),IF(ISNUMBER(INDEX('NCO-2015 scores'!$C$2:$C$131,MATCH(E232,'NCO-2015 scores'!$A$2:$A$131,0))),1,0),0)</f>
        <v>1</v>
      </c>
    </row>
    <row r="233" customFormat="false" ht="15" hidden="false" customHeight="false" outlineLevel="0" collapsed="false">
      <c r="A233" s="2" t="n">
        <v>231</v>
      </c>
      <c r="B233" s="2" t="s">
        <v>1115</v>
      </c>
      <c r="C233" s="2" t="s">
        <v>1116</v>
      </c>
      <c r="D233" s="2" t="s">
        <v>1117</v>
      </c>
      <c r="E233" s="2" t="str">
        <f aca="false">LEFT(C233,3)</f>
        <v>815</v>
      </c>
      <c r="F233" s="2" t="str">
        <f aca="false">IF(D233="","",LEFT(D233,3))</f>
        <v>826</v>
      </c>
      <c r="G233" s="2" t="str">
        <f aca="false">IF(F233="","",IF(E233=F233,"Yes","No"))</f>
        <v>No</v>
      </c>
      <c r="H233" s="2" t="n">
        <f aca="false">IF(D233="",0,1/COUNTIF($D$2:$D$3451,D233))</f>
        <v>1</v>
      </c>
      <c r="I233" s="13" t="n">
        <f aca="false">IFERROR(INDEX('NCO-2015 scores'!$C$2:$C$131,MATCH(E233,'NCO-2015 scores'!$A$2:$A$131,0)),0)</f>
        <v>0.1625</v>
      </c>
      <c r="J233" s="13" t="n">
        <f aca="false">IF(ISNUMBER(MATCH(E233,'NCO-2015 scores'!$A$2:$A$131,0)),IF(ISNUMBER(INDEX('NCO-2015 scores'!$C$2:$C$131,MATCH(E233,'NCO-2015 scores'!$A$2:$A$131,0))),1,0),0)</f>
        <v>1</v>
      </c>
    </row>
    <row r="234" customFormat="false" ht="15" hidden="false" customHeight="false" outlineLevel="0" collapsed="false">
      <c r="A234" s="2" t="n">
        <v>232</v>
      </c>
      <c r="B234" s="2" t="s">
        <v>1118</v>
      </c>
      <c r="C234" s="2" t="s">
        <v>1119</v>
      </c>
      <c r="D234" s="2" t="s">
        <v>1120</v>
      </c>
      <c r="E234" s="2" t="str">
        <f aca="false">LEFT(C234,3)</f>
        <v>815</v>
      </c>
      <c r="F234" s="2" t="str">
        <f aca="false">IF(D234="","",LEFT(D234,3))</f>
        <v>826</v>
      </c>
      <c r="G234" s="2" t="str">
        <f aca="false">IF(F234="","",IF(E234=F234,"Yes","No"))</f>
        <v>No</v>
      </c>
      <c r="H234" s="2" t="n">
        <f aca="false">IF(D234="",0,1/COUNTIF($D$2:$D$3451,D234))</f>
        <v>1</v>
      </c>
      <c r="I234" s="13" t="n">
        <f aca="false">IFERROR(INDEX('NCO-2015 scores'!$C$2:$C$131,MATCH(E234,'NCO-2015 scores'!$A$2:$A$131,0)),0)</f>
        <v>0.1625</v>
      </c>
      <c r="J234" s="13" t="n">
        <f aca="false">IF(ISNUMBER(MATCH(E234,'NCO-2015 scores'!$A$2:$A$131,0)),IF(ISNUMBER(INDEX('NCO-2015 scores'!$C$2:$C$131,MATCH(E234,'NCO-2015 scores'!$A$2:$A$131,0))),1,0),0)</f>
        <v>1</v>
      </c>
    </row>
    <row r="235" customFormat="false" ht="15" hidden="false" customHeight="false" outlineLevel="0" collapsed="false">
      <c r="A235" s="2" t="n">
        <v>233</v>
      </c>
      <c r="B235" s="2" t="s">
        <v>1121</v>
      </c>
      <c r="C235" s="2" t="s">
        <v>1122</v>
      </c>
      <c r="D235" s="2" t="s">
        <v>1123</v>
      </c>
      <c r="E235" s="2" t="str">
        <f aca="false">LEFT(C235,3)</f>
        <v>815</v>
      </c>
      <c r="F235" s="2" t="str">
        <f aca="false">IF(D235="","",LEFT(D235,3))</f>
        <v>826</v>
      </c>
      <c r="G235" s="2" t="str">
        <f aca="false">IF(F235="","",IF(E235=F235,"Yes","No"))</f>
        <v>No</v>
      </c>
      <c r="H235" s="2" t="n">
        <f aca="false">IF(D235="",0,1/COUNTIF($D$2:$D$3451,D235))</f>
        <v>1</v>
      </c>
      <c r="I235" s="13" t="n">
        <f aca="false">IFERROR(INDEX('NCO-2015 scores'!$C$2:$C$131,MATCH(E235,'NCO-2015 scores'!$A$2:$A$131,0)),0)</f>
        <v>0.1625</v>
      </c>
      <c r="J235" s="13" t="n">
        <f aca="false">IF(ISNUMBER(MATCH(E235,'NCO-2015 scores'!$A$2:$A$131,0)),IF(ISNUMBER(INDEX('NCO-2015 scores'!$C$2:$C$131,MATCH(E235,'NCO-2015 scores'!$A$2:$A$131,0))),1,0),0)</f>
        <v>1</v>
      </c>
    </row>
    <row r="236" customFormat="false" ht="15" hidden="false" customHeight="false" outlineLevel="0" collapsed="false">
      <c r="A236" s="2" t="n">
        <v>234</v>
      </c>
      <c r="B236" s="2" t="s">
        <v>1124</v>
      </c>
      <c r="C236" s="2" t="s">
        <v>1125</v>
      </c>
      <c r="D236" s="2" t="s">
        <v>1126</v>
      </c>
      <c r="E236" s="2" t="str">
        <f aca="false">LEFT(C236,3)</f>
        <v>815</v>
      </c>
      <c r="F236" s="2" t="str">
        <f aca="false">IF(D236="","",LEFT(D236,3))</f>
        <v>826</v>
      </c>
      <c r="G236" s="2" t="str">
        <f aca="false">IF(F236="","",IF(E236=F236,"Yes","No"))</f>
        <v>No</v>
      </c>
      <c r="H236" s="2" t="n">
        <f aca="false">IF(D236="",0,1/COUNTIF($D$2:$D$3451,D236))</f>
        <v>1</v>
      </c>
      <c r="I236" s="13" t="n">
        <f aca="false">IFERROR(INDEX('NCO-2015 scores'!$C$2:$C$131,MATCH(E236,'NCO-2015 scores'!$A$2:$A$131,0)),0)</f>
        <v>0.1625</v>
      </c>
      <c r="J236" s="13" t="n">
        <f aca="false">IF(ISNUMBER(MATCH(E236,'NCO-2015 scores'!$A$2:$A$131,0)),IF(ISNUMBER(INDEX('NCO-2015 scores'!$C$2:$C$131,MATCH(E236,'NCO-2015 scores'!$A$2:$A$131,0))),1,0),0)</f>
        <v>1</v>
      </c>
    </row>
    <row r="237" customFormat="false" ht="15" hidden="false" customHeight="false" outlineLevel="0" collapsed="false">
      <c r="A237" s="2" t="n">
        <v>235</v>
      </c>
      <c r="B237" s="2" t="s">
        <v>1127</v>
      </c>
      <c r="C237" s="2" t="s">
        <v>1128</v>
      </c>
      <c r="D237" s="2" t="s">
        <v>1129</v>
      </c>
      <c r="E237" s="2" t="str">
        <f aca="false">LEFT(C237,3)</f>
        <v>815</v>
      </c>
      <c r="F237" s="2" t="str">
        <f aca="false">IF(D237="","",LEFT(D237,3))</f>
        <v>826</v>
      </c>
      <c r="G237" s="2" t="str">
        <f aca="false">IF(F237="","",IF(E237=F237,"Yes","No"))</f>
        <v>No</v>
      </c>
      <c r="H237" s="2" t="n">
        <f aca="false">IF(D237="",0,1/COUNTIF($D$2:$D$3451,D237))</f>
        <v>1</v>
      </c>
      <c r="I237" s="13" t="n">
        <f aca="false">IFERROR(INDEX('NCO-2015 scores'!$C$2:$C$131,MATCH(E237,'NCO-2015 scores'!$A$2:$A$131,0)),0)</f>
        <v>0.1625</v>
      </c>
      <c r="J237" s="13" t="n">
        <f aca="false">IF(ISNUMBER(MATCH(E237,'NCO-2015 scores'!$A$2:$A$131,0)),IF(ISNUMBER(INDEX('NCO-2015 scores'!$C$2:$C$131,MATCH(E237,'NCO-2015 scores'!$A$2:$A$131,0))),1,0),0)</f>
        <v>1</v>
      </c>
    </row>
    <row r="238" customFormat="false" ht="15" hidden="false" customHeight="false" outlineLevel="0" collapsed="false">
      <c r="A238" s="2" t="n">
        <v>236</v>
      </c>
      <c r="B238" s="2" t="s">
        <v>1130</v>
      </c>
      <c r="C238" s="2" t="s">
        <v>1131</v>
      </c>
      <c r="D238" s="2" t="s">
        <v>1132</v>
      </c>
      <c r="E238" s="2" t="str">
        <f aca="false">LEFT(C238,3)</f>
        <v>815</v>
      </c>
      <c r="F238" s="2" t="str">
        <f aca="false">IF(D238="","",LEFT(D238,3))</f>
        <v>826</v>
      </c>
      <c r="G238" s="2" t="str">
        <f aca="false">IF(F238="","",IF(E238=F238,"Yes","No"))</f>
        <v>No</v>
      </c>
      <c r="H238" s="2" t="n">
        <f aca="false">IF(D238="",0,1/COUNTIF($D$2:$D$3451,D238))</f>
        <v>1</v>
      </c>
      <c r="I238" s="13" t="n">
        <f aca="false">IFERROR(INDEX('NCO-2015 scores'!$C$2:$C$131,MATCH(E238,'NCO-2015 scores'!$A$2:$A$131,0)),0)</f>
        <v>0.1625</v>
      </c>
      <c r="J238" s="13" t="n">
        <f aca="false">IF(ISNUMBER(MATCH(E238,'NCO-2015 scores'!$A$2:$A$131,0)),IF(ISNUMBER(INDEX('NCO-2015 scores'!$C$2:$C$131,MATCH(E238,'NCO-2015 scores'!$A$2:$A$131,0))),1,0),0)</f>
        <v>1</v>
      </c>
    </row>
    <row r="239" customFormat="false" ht="15" hidden="false" customHeight="false" outlineLevel="0" collapsed="false">
      <c r="A239" s="2" t="n">
        <v>237</v>
      </c>
      <c r="B239" s="2" t="s">
        <v>1133</v>
      </c>
      <c r="C239" s="2" t="s">
        <v>1134</v>
      </c>
      <c r="D239" s="2" t="s">
        <v>1135</v>
      </c>
      <c r="E239" s="2" t="str">
        <f aca="false">LEFT(C239,3)</f>
        <v>815</v>
      </c>
      <c r="F239" s="2" t="str">
        <f aca="false">IF(D239="","",LEFT(D239,3))</f>
        <v>826</v>
      </c>
      <c r="G239" s="2" t="str">
        <f aca="false">IF(F239="","",IF(E239=F239,"Yes","No"))</f>
        <v>No</v>
      </c>
      <c r="H239" s="2" t="n">
        <f aca="false">IF(D239="",0,1/COUNTIF($D$2:$D$3451,D239))</f>
        <v>1</v>
      </c>
      <c r="I239" s="13" t="n">
        <f aca="false">IFERROR(INDEX('NCO-2015 scores'!$C$2:$C$131,MATCH(E239,'NCO-2015 scores'!$A$2:$A$131,0)),0)</f>
        <v>0.1625</v>
      </c>
      <c r="J239" s="13" t="n">
        <f aca="false">IF(ISNUMBER(MATCH(E239,'NCO-2015 scores'!$A$2:$A$131,0)),IF(ISNUMBER(INDEX('NCO-2015 scores'!$C$2:$C$131,MATCH(E239,'NCO-2015 scores'!$A$2:$A$131,0))),1,0),0)</f>
        <v>1</v>
      </c>
    </row>
    <row r="240" customFormat="false" ht="15" hidden="false" customHeight="false" outlineLevel="0" collapsed="false">
      <c r="A240" s="2" t="n">
        <v>238</v>
      </c>
      <c r="B240" s="2" t="s">
        <v>1136</v>
      </c>
      <c r="C240" s="2" t="s">
        <v>1137</v>
      </c>
      <c r="D240" s="2" t="s">
        <v>1138</v>
      </c>
      <c r="E240" s="2" t="str">
        <f aca="false">LEFT(C240,3)</f>
        <v>815</v>
      </c>
      <c r="F240" s="2" t="str">
        <f aca="false">IF(D240="","",LEFT(D240,3))</f>
        <v>826</v>
      </c>
      <c r="G240" s="2" t="str">
        <f aca="false">IF(F240="","",IF(E240=F240,"Yes","No"))</f>
        <v>No</v>
      </c>
      <c r="H240" s="2" t="n">
        <f aca="false">IF(D240="",0,1/COUNTIF($D$2:$D$3451,D240))</f>
        <v>1</v>
      </c>
      <c r="I240" s="13" t="n">
        <f aca="false">IFERROR(INDEX('NCO-2015 scores'!$C$2:$C$131,MATCH(E240,'NCO-2015 scores'!$A$2:$A$131,0)),0)</f>
        <v>0.1625</v>
      </c>
      <c r="J240" s="13" t="n">
        <f aca="false">IF(ISNUMBER(MATCH(E240,'NCO-2015 scores'!$A$2:$A$131,0)),IF(ISNUMBER(INDEX('NCO-2015 scores'!$C$2:$C$131,MATCH(E240,'NCO-2015 scores'!$A$2:$A$131,0))),1,0),0)</f>
        <v>1</v>
      </c>
    </row>
    <row r="241" customFormat="false" ht="15" hidden="false" customHeight="false" outlineLevel="0" collapsed="false">
      <c r="A241" s="2" t="n">
        <v>239</v>
      </c>
      <c r="B241" s="2" t="s">
        <v>1139</v>
      </c>
      <c r="C241" s="2" t="s">
        <v>1140</v>
      </c>
      <c r="D241" s="2" t="s">
        <v>1141</v>
      </c>
      <c r="E241" s="2" t="str">
        <f aca="false">LEFT(C241,3)</f>
        <v>815</v>
      </c>
      <c r="F241" s="2" t="str">
        <f aca="false">IF(D241="","",LEFT(D241,3))</f>
        <v>826</v>
      </c>
      <c r="G241" s="2" t="str">
        <f aca="false">IF(F241="","",IF(E241=F241,"Yes","No"))</f>
        <v>No</v>
      </c>
      <c r="H241" s="2" t="n">
        <f aca="false">IF(D241="",0,1/COUNTIF($D$2:$D$3451,D241))</f>
        <v>1</v>
      </c>
      <c r="I241" s="13" t="n">
        <f aca="false">IFERROR(INDEX('NCO-2015 scores'!$C$2:$C$131,MATCH(E241,'NCO-2015 scores'!$A$2:$A$131,0)),0)</f>
        <v>0.1625</v>
      </c>
      <c r="J241" s="13" t="n">
        <f aca="false">IF(ISNUMBER(MATCH(E241,'NCO-2015 scores'!$A$2:$A$131,0)),IF(ISNUMBER(INDEX('NCO-2015 scores'!$C$2:$C$131,MATCH(E241,'NCO-2015 scores'!$A$2:$A$131,0))),1,0),0)</f>
        <v>1</v>
      </c>
    </row>
    <row r="242" customFormat="false" ht="15" hidden="false" customHeight="false" outlineLevel="0" collapsed="false">
      <c r="A242" s="2" t="n">
        <v>240</v>
      </c>
      <c r="B242" s="2" t="s">
        <v>1142</v>
      </c>
      <c r="C242" s="2" t="s">
        <v>1143</v>
      </c>
      <c r="D242" s="2" t="s">
        <v>1144</v>
      </c>
      <c r="E242" s="2" t="str">
        <f aca="false">LEFT(C242,3)</f>
        <v>815</v>
      </c>
      <c r="F242" s="2" t="str">
        <f aca="false">IF(D242="","",LEFT(D242,3))</f>
        <v>826</v>
      </c>
      <c r="G242" s="2" t="str">
        <f aca="false">IF(F242="","",IF(E242=F242,"Yes","No"))</f>
        <v>No</v>
      </c>
      <c r="H242" s="2" t="n">
        <f aca="false">IF(D242="",0,1/COUNTIF($D$2:$D$3451,D242))</f>
        <v>1</v>
      </c>
      <c r="I242" s="13" t="n">
        <f aca="false">IFERROR(INDEX('NCO-2015 scores'!$C$2:$C$131,MATCH(E242,'NCO-2015 scores'!$A$2:$A$131,0)),0)</f>
        <v>0.1625</v>
      </c>
      <c r="J242" s="13" t="n">
        <f aca="false">IF(ISNUMBER(MATCH(E242,'NCO-2015 scores'!$A$2:$A$131,0)),IF(ISNUMBER(INDEX('NCO-2015 scores'!$C$2:$C$131,MATCH(E242,'NCO-2015 scores'!$A$2:$A$131,0))),1,0),0)</f>
        <v>1</v>
      </c>
    </row>
    <row r="243" customFormat="false" ht="15" hidden="false" customHeight="false" outlineLevel="0" collapsed="false">
      <c r="A243" s="2" t="n">
        <v>241</v>
      </c>
      <c r="B243" s="2" t="s">
        <v>1145</v>
      </c>
      <c r="C243" s="2" t="s">
        <v>1146</v>
      </c>
      <c r="D243" s="2" t="s">
        <v>1147</v>
      </c>
      <c r="E243" s="2" t="str">
        <f aca="false">LEFT(C243,3)</f>
        <v>815</v>
      </c>
      <c r="F243" s="2" t="str">
        <f aca="false">IF(D243="","",LEFT(D243,3))</f>
        <v>826</v>
      </c>
      <c r="G243" s="2" t="str">
        <f aca="false">IF(F243="","",IF(E243=F243,"Yes","No"))</f>
        <v>No</v>
      </c>
      <c r="H243" s="2" t="n">
        <f aca="false">IF(D243="",0,1/COUNTIF($D$2:$D$3451,D243))</f>
        <v>1</v>
      </c>
      <c r="I243" s="13" t="n">
        <f aca="false">IFERROR(INDEX('NCO-2015 scores'!$C$2:$C$131,MATCH(E243,'NCO-2015 scores'!$A$2:$A$131,0)),0)</f>
        <v>0.1625</v>
      </c>
      <c r="J243" s="13" t="n">
        <f aca="false">IF(ISNUMBER(MATCH(E243,'NCO-2015 scores'!$A$2:$A$131,0)),IF(ISNUMBER(INDEX('NCO-2015 scores'!$C$2:$C$131,MATCH(E243,'NCO-2015 scores'!$A$2:$A$131,0))),1,0),0)</f>
        <v>1</v>
      </c>
    </row>
    <row r="244" customFormat="false" ht="15" hidden="false" customHeight="false" outlineLevel="0" collapsed="false">
      <c r="A244" s="2" t="n">
        <v>242</v>
      </c>
      <c r="B244" s="2" t="s">
        <v>1148</v>
      </c>
      <c r="C244" s="2" t="s">
        <v>1149</v>
      </c>
      <c r="D244" s="2" t="s">
        <v>1150</v>
      </c>
      <c r="E244" s="2" t="str">
        <f aca="false">LEFT(C244,3)</f>
        <v>815</v>
      </c>
      <c r="F244" s="2" t="str">
        <f aca="false">IF(D244="","",LEFT(D244,3))</f>
        <v>826</v>
      </c>
      <c r="G244" s="2" t="str">
        <f aca="false">IF(F244="","",IF(E244=F244,"Yes","No"))</f>
        <v>No</v>
      </c>
      <c r="H244" s="2" t="n">
        <f aca="false">IF(D244="",0,1/COUNTIF($D$2:$D$3451,D244))</f>
        <v>1</v>
      </c>
      <c r="I244" s="13" t="n">
        <f aca="false">IFERROR(INDEX('NCO-2015 scores'!$C$2:$C$131,MATCH(E244,'NCO-2015 scores'!$A$2:$A$131,0)),0)</f>
        <v>0.1625</v>
      </c>
      <c r="J244" s="13" t="n">
        <f aca="false">IF(ISNUMBER(MATCH(E244,'NCO-2015 scores'!$A$2:$A$131,0)),IF(ISNUMBER(INDEX('NCO-2015 scores'!$C$2:$C$131,MATCH(E244,'NCO-2015 scores'!$A$2:$A$131,0))),1,0),0)</f>
        <v>1</v>
      </c>
    </row>
    <row r="245" customFormat="false" ht="15" hidden="false" customHeight="false" outlineLevel="0" collapsed="false">
      <c r="A245" s="2" t="n">
        <v>243</v>
      </c>
      <c r="B245" s="2" t="s">
        <v>1151</v>
      </c>
      <c r="C245" s="2" t="s">
        <v>1152</v>
      </c>
      <c r="D245" s="2" t="s">
        <v>1153</v>
      </c>
      <c r="E245" s="2" t="str">
        <f aca="false">LEFT(C245,3)</f>
        <v>815</v>
      </c>
      <c r="F245" s="2" t="str">
        <f aca="false">IF(D245="","",LEFT(D245,3))</f>
        <v>826</v>
      </c>
      <c r="G245" s="2" t="str">
        <f aca="false">IF(F245="","",IF(E245=F245,"Yes","No"))</f>
        <v>No</v>
      </c>
      <c r="H245" s="2" t="n">
        <f aca="false">IF(D245="",0,1/COUNTIF($D$2:$D$3451,D245))</f>
        <v>1</v>
      </c>
      <c r="I245" s="13" t="n">
        <f aca="false">IFERROR(INDEX('NCO-2015 scores'!$C$2:$C$131,MATCH(E245,'NCO-2015 scores'!$A$2:$A$131,0)),0)</f>
        <v>0.1625</v>
      </c>
      <c r="J245" s="13" t="n">
        <f aca="false">IF(ISNUMBER(MATCH(E245,'NCO-2015 scores'!$A$2:$A$131,0)),IF(ISNUMBER(INDEX('NCO-2015 scores'!$C$2:$C$131,MATCH(E245,'NCO-2015 scores'!$A$2:$A$131,0))),1,0),0)</f>
        <v>1</v>
      </c>
    </row>
    <row r="246" customFormat="false" ht="15" hidden="false" customHeight="false" outlineLevel="0" collapsed="false">
      <c r="A246" s="2" t="n">
        <v>244</v>
      </c>
      <c r="B246" s="2" t="s">
        <v>1154</v>
      </c>
      <c r="C246" s="2" t="s">
        <v>1155</v>
      </c>
      <c r="D246" s="2" t="s">
        <v>1156</v>
      </c>
      <c r="E246" s="2" t="str">
        <f aca="false">LEFT(C246,3)</f>
        <v>815</v>
      </c>
      <c r="F246" s="2" t="str">
        <f aca="false">IF(D246="","",LEFT(D246,3))</f>
        <v>826</v>
      </c>
      <c r="G246" s="2" t="str">
        <f aca="false">IF(F246="","",IF(E246=F246,"Yes","No"))</f>
        <v>No</v>
      </c>
      <c r="H246" s="2" t="n">
        <f aca="false">IF(D246="",0,1/COUNTIF($D$2:$D$3451,D246))</f>
        <v>1</v>
      </c>
      <c r="I246" s="13" t="n">
        <f aca="false">IFERROR(INDEX('NCO-2015 scores'!$C$2:$C$131,MATCH(E246,'NCO-2015 scores'!$A$2:$A$131,0)),0)</f>
        <v>0.1625</v>
      </c>
      <c r="J246" s="13" t="n">
        <f aca="false">IF(ISNUMBER(MATCH(E246,'NCO-2015 scores'!$A$2:$A$131,0)),IF(ISNUMBER(INDEX('NCO-2015 scores'!$C$2:$C$131,MATCH(E246,'NCO-2015 scores'!$A$2:$A$131,0))),1,0),0)</f>
        <v>1</v>
      </c>
    </row>
    <row r="247" customFormat="false" ht="15" hidden="false" customHeight="false" outlineLevel="0" collapsed="false">
      <c r="A247" s="2" t="n">
        <v>245</v>
      </c>
      <c r="B247" s="2" t="s">
        <v>1157</v>
      </c>
      <c r="C247" s="2" t="s">
        <v>1158</v>
      </c>
      <c r="D247" s="2" t="s">
        <v>1159</v>
      </c>
      <c r="E247" s="2" t="str">
        <f aca="false">LEFT(C247,3)</f>
        <v>815</v>
      </c>
      <c r="F247" s="2" t="str">
        <f aca="false">IF(D247="","",LEFT(D247,3))</f>
        <v>826</v>
      </c>
      <c r="G247" s="2" t="str">
        <f aca="false">IF(F247="","",IF(E247=F247,"Yes","No"))</f>
        <v>No</v>
      </c>
      <c r="H247" s="2" t="n">
        <f aca="false">IF(D247="",0,1/COUNTIF($D$2:$D$3451,D247))</f>
        <v>1</v>
      </c>
      <c r="I247" s="13" t="n">
        <f aca="false">IFERROR(INDEX('NCO-2015 scores'!$C$2:$C$131,MATCH(E247,'NCO-2015 scores'!$A$2:$A$131,0)),0)</f>
        <v>0.1625</v>
      </c>
      <c r="J247" s="13" t="n">
        <f aca="false">IF(ISNUMBER(MATCH(E247,'NCO-2015 scores'!$A$2:$A$131,0)),IF(ISNUMBER(INDEX('NCO-2015 scores'!$C$2:$C$131,MATCH(E247,'NCO-2015 scores'!$A$2:$A$131,0))),1,0),0)</f>
        <v>1</v>
      </c>
    </row>
    <row r="248" customFormat="false" ht="15" hidden="false" customHeight="false" outlineLevel="0" collapsed="false">
      <c r="A248" s="2" t="n">
        <v>246</v>
      </c>
      <c r="B248" s="2" t="s">
        <v>1160</v>
      </c>
      <c r="C248" s="2" t="s">
        <v>1161</v>
      </c>
      <c r="D248" s="2" t="s">
        <v>1162</v>
      </c>
      <c r="E248" s="2" t="str">
        <f aca="false">LEFT(C248,3)</f>
        <v>815</v>
      </c>
      <c r="F248" s="2" t="str">
        <f aca="false">IF(D248="","",LEFT(D248,3))</f>
        <v>826</v>
      </c>
      <c r="G248" s="2" t="str">
        <f aca="false">IF(F248="","",IF(E248=F248,"Yes","No"))</f>
        <v>No</v>
      </c>
      <c r="H248" s="2" t="n">
        <f aca="false">IF(D248="",0,1/COUNTIF($D$2:$D$3451,D248))</f>
        <v>1</v>
      </c>
      <c r="I248" s="13" t="n">
        <f aca="false">IFERROR(INDEX('NCO-2015 scores'!$C$2:$C$131,MATCH(E248,'NCO-2015 scores'!$A$2:$A$131,0)),0)</f>
        <v>0.1625</v>
      </c>
      <c r="J248" s="13" t="n">
        <f aca="false">IF(ISNUMBER(MATCH(E248,'NCO-2015 scores'!$A$2:$A$131,0)),IF(ISNUMBER(INDEX('NCO-2015 scores'!$C$2:$C$131,MATCH(E248,'NCO-2015 scores'!$A$2:$A$131,0))),1,0),0)</f>
        <v>1</v>
      </c>
    </row>
    <row r="249" customFormat="false" ht="15" hidden="false" customHeight="false" outlineLevel="0" collapsed="false">
      <c r="A249" s="2" t="n">
        <v>247</v>
      </c>
      <c r="B249" s="2" t="s">
        <v>1163</v>
      </c>
      <c r="C249" s="2" t="s">
        <v>1164</v>
      </c>
      <c r="D249" s="2" t="s">
        <v>1165</v>
      </c>
      <c r="E249" s="2" t="str">
        <f aca="false">LEFT(C249,3)</f>
        <v>815</v>
      </c>
      <c r="F249" s="2" t="str">
        <f aca="false">IF(D249="","",LEFT(D249,3))</f>
        <v>826</v>
      </c>
      <c r="G249" s="2" t="str">
        <f aca="false">IF(F249="","",IF(E249=F249,"Yes","No"))</f>
        <v>No</v>
      </c>
      <c r="H249" s="2" t="n">
        <f aca="false">IF(D249="",0,1/COUNTIF($D$2:$D$3451,D249))</f>
        <v>1</v>
      </c>
      <c r="I249" s="13" t="n">
        <f aca="false">IFERROR(INDEX('NCO-2015 scores'!$C$2:$C$131,MATCH(E249,'NCO-2015 scores'!$A$2:$A$131,0)),0)</f>
        <v>0.1625</v>
      </c>
      <c r="J249" s="13" t="n">
        <f aca="false">IF(ISNUMBER(MATCH(E249,'NCO-2015 scores'!$A$2:$A$131,0)),IF(ISNUMBER(INDEX('NCO-2015 scores'!$C$2:$C$131,MATCH(E249,'NCO-2015 scores'!$A$2:$A$131,0))),1,0),0)</f>
        <v>1</v>
      </c>
    </row>
    <row r="250" customFormat="false" ht="15" hidden="false" customHeight="false" outlineLevel="0" collapsed="false">
      <c r="A250" s="2" t="n">
        <v>248</v>
      </c>
      <c r="B250" s="2" t="s">
        <v>1166</v>
      </c>
      <c r="C250" s="2" t="s">
        <v>1167</v>
      </c>
      <c r="D250" s="2" t="s">
        <v>1168</v>
      </c>
      <c r="E250" s="2" t="str">
        <f aca="false">LEFT(C250,3)</f>
        <v>815</v>
      </c>
      <c r="F250" s="2" t="str">
        <f aca="false">IF(D250="","",LEFT(D250,3))</f>
        <v>826</v>
      </c>
      <c r="G250" s="2" t="str">
        <f aca="false">IF(F250="","",IF(E250=F250,"Yes","No"))</f>
        <v>No</v>
      </c>
      <c r="H250" s="2" t="n">
        <f aca="false">IF(D250="",0,1/COUNTIF($D$2:$D$3451,D250))</f>
        <v>1</v>
      </c>
      <c r="I250" s="13" t="n">
        <f aca="false">IFERROR(INDEX('NCO-2015 scores'!$C$2:$C$131,MATCH(E250,'NCO-2015 scores'!$A$2:$A$131,0)),0)</f>
        <v>0.1625</v>
      </c>
      <c r="J250" s="13" t="n">
        <f aca="false">IF(ISNUMBER(MATCH(E250,'NCO-2015 scores'!$A$2:$A$131,0)),IF(ISNUMBER(INDEX('NCO-2015 scores'!$C$2:$C$131,MATCH(E250,'NCO-2015 scores'!$A$2:$A$131,0))),1,0),0)</f>
        <v>1</v>
      </c>
    </row>
    <row r="251" customFormat="false" ht="15" hidden="false" customHeight="false" outlineLevel="0" collapsed="false">
      <c r="A251" s="2" t="n">
        <v>249</v>
      </c>
      <c r="B251" s="2" t="s">
        <v>1169</v>
      </c>
      <c r="C251" s="2" t="s">
        <v>1170</v>
      </c>
      <c r="D251" s="2" t="s">
        <v>1171</v>
      </c>
      <c r="E251" s="2" t="str">
        <f aca="false">LEFT(C251,3)</f>
        <v>421</v>
      </c>
      <c r="F251" s="2" t="str">
        <f aca="false">IF(D251="","",LEFT(D251,3))</f>
        <v>421</v>
      </c>
      <c r="G251" s="2" t="str">
        <f aca="false">IF(F251="","",IF(E251=F251,"Yes","No"))</f>
        <v>Yes</v>
      </c>
      <c r="H251" s="2" t="n">
        <f aca="false">IF(D251="",0,1/COUNTIF($D$2:$D$3451,D251))</f>
        <v>1</v>
      </c>
      <c r="I251" s="13" t="n">
        <f aca="false">IFERROR(INDEX('NCO-2015 scores'!$C$2:$C$131,MATCH(E251,'NCO-2015 scores'!$A$2:$A$131,0)),0)</f>
        <v>0.485</v>
      </c>
      <c r="J251" s="13" t="n">
        <f aca="false">IF(ISNUMBER(MATCH(E251,'NCO-2015 scores'!$A$2:$A$131,0)),IF(ISNUMBER(INDEX('NCO-2015 scores'!$C$2:$C$131,MATCH(E251,'NCO-2015 scores'!$A$2:$A$131,0))),1,0),0)</f>
        <v>1</v>
      </c>
    </row>
    <row r="252" customFormat="false" ht="15" hidden="false" customHeight="false" outlineLevel="0" collapsed="false">
      <c r="A252" s="2" t="n">
        <v>250</v>
      </c>
      <c r="B252" s="2" t="s">
        <v>1172</v>
      </c>
      <c r="C252" s="2" t="s">
        <v>1173</v>
      </c>
      <c r="D252" s="2" t="s">
        <v>1174</v>
      </c>
      <c r="E252" s="2" t="str">
        <f aca="false">LEFT(C252,3)</f>
        <v>421</v>
      </c>
      <c r="F252" s="2" t="str">
        <f aca="false">IF(D252="","",LEFT(D252,3))</f>
        <v>421</v>
      </c>
      <c r="G252" s="2" t="str">
        <f aca="false">IF(F252="","",IF(E252=F252,"Yes","No"))</f>
        <v>Yes</v>
      </c>
      <c r="H252" s="2" t="n">
        <f aca="false">IF(D252="",0,1/COUNTIF($D$2:$D$3451,D252))</f>
        <v>1</v>
      </c>
      <c r="I252" s="13" t="n">
        <f aca="false">IFERROR(INDEX('NCO-2015 scores'!$C$2:$C$131,MATCH(E252,'NCO-2015 scores'!$A$2:$A$131,0)),0)</f>
        <v>0.485</v>
      </c>
      <c r="J252" s="13" t="n">
        <f aca="false">IF(ISNUMBER(MATCH(E252,'NCO-2015 scores'!$A$2:$A$131,0)),IF(ISNUMBER(INDEX('NCO-2015 scores'!$C$2:$C$131,MATCH(E252,'NCO-2015 scores'!$A$2:$A$131,0))),1,0),0)</f>
        <v>1</v>
      </c>
    </row>
    <row r="253" customFormat="false" ht="15" hidden="false" customHeight="false" outlineLevel="0" collapsed="false">
      <c r="A253" s="2" t="n">
        <v>251</v>
      </c>
      <c r="B253" s="2" t="s">
        <v>1175</v>
      </c>
      <c r="C253" s="2" t="s">
        <v>1176</v>
      </c>
      <c r="D253" s="2" t="s">
        <v>1177</v>
      </c>
      <c r="E253" s="2" t="str">
        <f aca="false">LEFT(C253,3)</f>
        <v>421</v>
      </c>
      <c r="F253" s="2" t="str">
        <f aca="false">IF(D253="","",LEFT(D253,3))</f>
        <v>421</v>
      </c>
      <c r="G253" s="2" t="str">
        <f aca="false">IF(F253="","",IF(E253=F253,"Yes","No"))</f>
        <v>Yes</v>
      </c>
      <c r="H253" s="2" t="n">
        <f aca="false">IF(D253="",0,1/COUNTIF($D$2:$D$3451,D253))</f>
        <v>1</v>
      </c>
      <c r="I253" s="13" t="n">
        <f aca="false">IFERROR(INDEX('NCO-2015 scores'!$C$2:$C$131,MATCH(E253,'NCO-2015 scores'!$A$2:$A$131,0)),0)</f>
        <v>0.485</v>
      </c>
      <c r="J253" s="13" t="n">
        <f aca="false">IF(ISNUMBER(MATCH(E253,'NCO-2015 scores'!$A$2:$A$131,0)),IF(ISNUMBER(INDEX('NCO-2015 scores'!$C$2:$C$131,MATCH(E253,'NCO-2015 scores'!$A$2:$A$131,0))),1,0),0)</f>
        <v>1</v>
      </c>
    </row>
    <row r="254" customFormat="false" ht="15" hidden="false" customHeight="false" outlineLevel="0" collapsed="false">
      <c r="A254" s="2" t="n">
        <v>252</v>
      </c>
      <c r="B254" s="2" t="s">
        <v>1178</v>
      </c>
      <c r="C254" s="2" t="s">
        <v>1179</v>
      </c>
      <c r="D254" s="2" t="s">
        <v>1180</v>
      </c>
      <c r="E254" s="2" t="str">
        <f aca="false">LEFT(C254,3)</f>
        <v>711</v>
      </c>
      <c r="F254" s="2" t="str">
        <f aca="false">IF(D254="","",LEFT(D254,3))</f>
        <v>712</v>
      </c>
      <c r="G254" s="2" t="str">
        <f aca="false">IF(F254="","",IF(E254=F254,"Yes","No"))</f>
        <v>No</v>
      </c>
      <c r="H254" s="2" t="n">
        <f aca="false">IF(D254="",0,1/COUNTIF($D$2:$D$3451,D254))</f>
        <v>1</v>
      </c>
      <c r="I254" s="13" t="n">
        <f aca="false">IFERROR(INDEX('NCO-2015 scores'!$C$2:$C$131,MATCH(E254,'NCO-2015 scores'!$A$2:$A$131,0)),0)</f>
        <v>0.11</v>
      </c>
      <c r="J254" s="13" t="n">
        <f aca="false">IF(ISNUMBER(MATCH(E254,'NCO-2015 scores'!$A$2:$A$131,0)),IF(ISNUMBER(INDEX('NCO-2015 scores'!$C$2:$C$131,MATCH(E254,'NCO-2015 scores'!$A$2:$A$131,0))),1,0),0)</f>
        <v>1</v>
      </c>
    </row>
    <row r="255" customFormat="false" ht="15" hidden="false" customHeight="false" outlineLevel="0" collapsed="false">
      <c r="A255" s="2" t="n">
        <v>253</v>
      </c>
      <c r="B255" s="2" t="s">
        <v>1181</v>
      </c>
      <c r="C255" s="2" t="s">
        <v>1182</v>
      </c>
      <c r="D255" s="2" t="s">
        <v>1183</v>
      </c>
      <c r="E255" s="2" t="str">
        <f aca="false">LEFT(C255,3)</f>
        <v>711</v>
      </c>
      <c r="F255" s="2" t="str">
        <f aca="false">IF(D255="","",LEFT(D255,3))</f>
        <v>712</v>
      </c>
      <c r="G255" s="2" t="str">
        <f aca="false">IF(F255="","",IF(E255=F255,"Yes","No"))</f>
        <v>No</v>
      </c>
      <c r="H255" s="2" t="n">
        <f aca="false">IF(D255="",0,1/COUNTIF($D$2:$D$3451,D255))</f>
        <v>1</v>
      </c>
      <c r="I255" s="13" t="n">
        <f aca="false">IFERROR(INDEX('NCO-2015 scores'!$C$2:$C$131,MATCH(E255,'NCO-2015 scores'!$A$2:$A$131,0)),0)</f>
        <v>0.11</v>
      </c>
      <c r="J255" s="13" t="n">
        <f aca="false">IF(ISNUMBER(MATCH(E255,'NCO-2015 scores'!$A$2:$A$131,0)),IF(ISNUMBER(INDEX('NCO-2015 scores'!$C$2:$C$131,MATCH(E255,'NCO-2015 scores'!$A$2:$A$131,0))),1,0),0)</f>
        <v>1</v>
      </c>
    </row>
    <row r="256" customFormat="false" ht="15" hidden="false" customHeight="false" outlineLevel="0" collapsed="false">
      <c r="A256" s="2" t="n">
        <v>254</v>
      </c>
      <c r="B256" s="2" t="s">
        <v>1184</v>
      </c>
      <c r="C256" s="2" t="s">
        <v>1185</v>
      </c>
      <c r="D256" s="2"/>
      <c r="E256" s="2" t="str">
        <f aca="false">LEFT(C256,3)</f>
        <v>711</v>
      </c>
      <c r="F256" s="2" t="str">
        <f aca="false">IF(D256="","",LEFT(D256,3))</f>
        <v/>
      </c>
      <c r="G256" s="2" t="str">
        <f aca="false">IF(F256="","",IF(E256=F256,"Yes","No"))</f>
        <v/>
      </c>
      <c r="H256" s="2" t="n">
        <f aca="false">IF(D256="",0,1/COUNTIF($D$2:$D$3451,D256))</f>
        <v>0</v>
      </c>
      <c r="I256" s="13" t="n">
        <f aca="false">IFERROR(INDEX('NCO-2015 scores'!$C$2:$C$131,MATCH(E256,'NCO-2015 scores'!$A$2:$A$131,0)),0)</f>
        <v>0.11</v>
      </c>
      <c r="J256" s="13" t="n">
        <f aca="false">IF(ISNUMBER(MATCH(E256,'NCO-2015 scores'!$A$2:$A$131,0)),IF(ISNUMBER(INDEX('NCO-2015 scores'!$C$2:$C$131,MATCH(E256,'NCO-2015 scores'!$A$2:$A$131,0))),1,0),0)</f>
        <v>1</v>
      </c>
    </row>
    <row r="257" customFormat="false" ht="15" hidden="false" customHeight="false" outlineLevel="0" collapsed="false">
      <c r="A257" s="2" t="n">
        <v>255</v>
      </c>
      <c r="B257" s="2" t="s">
        <v>1186</v>
      </c>
      <c r="C257" s="2" t="s">
        <v>1187</v>
      </c>
      <c r="D257" s="2" t="s">
        <v>1188</v>
      </c>
      <c r="E257" s="2" t="str">
        <f aca="false">LEFT(C257,3)</f>
        <v>711</v>
      </c>
      <c r="F257" s="2" t="str">
        <f aca="false">IF(D257="","",LEFT(D257,3))</f>
        <v>712</v>
      </c>
      <c r="G257" s="2" t="str">
        <f aca="false">IF(F257="","",IF(E257=F257,"Yes","No"))</f>
        <v>No</v>
      </c>
      <c r="H257" s="2" t="n">
        <f aca="false">IF(D257="",0,1/COUNTIF($D$2:$D$3451,D257))</f>
        <v>1</v>
      </c>
      <c r="I257" s="13" t="n">
        <f aca="false">IFERROR(INDEX('NCO-2015 scores'!$C$2:$C$131,MATCH(E257,'NCO-2015 scores'!$A$2:$A$131,0)),0)</f>
        <v>0.11</v>
      </c>
      <c r="J257" s="13" t="n">
        <f aca="false">IF(ISNUMBER(MATCH(E257,'NCO-2015 scores'!$A$2:$A$131,0)),IF(ISNUMBER(INDEX('NCO-2015 scores'!$C$2:$C$131,MATCH(E257,'NCO-2015 scores'!$A$2:$A$131,0))),1,0),0)</f>
        <v>1</v>
      </c>
    </row>
    <row r="258" customFormat="false" ht="15" hidden="false" customHeight="false" outlineLevel="0" collapsed="false">
      <c r="A258" s="2" t="n">
        <v>256</v>
      </c>
      <c r="B258" s="2" t="s">
        <v>1189</v>
      </c>
      <c r="C258" s="2" t="s">
        <v>1190</v>
      </c>
      <c r="D258" s="2" t="s">
        <v>1191</v>
      </c>
      <c r="E258" s="2" t="str">
        <f aca="false">LEFT(C258,3)</f>
        <v>711</v>
      </c>
      <c r="F258" s="2" t="str">
        <f aca="false">IF(D258="","",LEFT(D258,3))</f>
        <v>712</v>
      </c>
      <c r="G258" s="2" t="str">
        <f aca="false">IF(F258="","",IF(E258=F258,"Yes","No"))</f>
        <v>No</v>
      </c>
      <c r="H258" s="2" t="n">
        <f aca="false">IF(D258="",0,1/COUNTIF($D$2:$D$3451,D258))</f>
        <v>1</v>
      </c>
      <c r="I258" s="13" t="n">
        <f aca="false">IFERROR(INDEX('NCO-2015 scores'!$C$2:$C$131,MATCH(E258,'NCO-2015 scores'!$A$2:$A$131,0)),0)</f>
        <v>0.11</v>
      </c>
      <c r="J258" s="13" t="n">
        <f aca="false">IF(ISNUMBER(MATCH(E258,'NCO-2015 scores'!$A$2:$A$131,0)),IF(ISNUMBER(INDEX('NCO-2015 scores'!$C$2:$C$131,MATCH(E258,'NCO-2015 scores'!$A$2:$A$131,0))),1,0),0)</f>
        <v>1</v>
      </c>
    </row>
    <row r="259" customFormat="false" ht="15" hidden="false" customHeight="false" outlineLevel="0" collapsed="false">
      <c r="A259" s="2" t="n">
        <v>257</v>
      </c>
      <c r="B259" s="2" t="s">
        <v>1192</v>
      </c>
      <c r="C259" s="2" t="s">
        <v>1193</v>
      </c>
      <c r="D259" s="2" t="s">
        <v>1194</v>
      </c>
      <c r="E259" s="2" t="str">
        <f aca="false">LEFT(C259,3)</f>
        <v>711</v>
      </c>
      <c r="F259" s="2" t="str">
        <f aca="false">IF(D259="","",LEFT(D259,3))</f>
        <v>712</v>
      </c>
      <c r="G259" s="2" t="str">
        <f aca="false">IF(F259="","",IF(E259=F259,"Yes","No"))</f>
        <v>No</v>
      </c>
      <c r="H259" s="2" t="n">
        <f aca="false">IF(D259="",0,1/COUNTIF($D$2:$D$3451,D259))</f>
        <v>1</v>
      </c>
      <c r="I259" s="13" t="n">
        <f aca="false">IFERROR(INDEX('NCO-2015 scores'!$C$2:$C$131,MATCH(E259,'NCO-2015 scores'!$A$2:$A$131,0)),0)</f>
        <v>0.11</v>
      </c>
      <c r="J259" s="13" t="n">
        <f aca="false">IF(ISNUMBER(MATCH(E259,'NCO-2015 scores'!$A$2:$A$131,0)),IF(ISNUMBER(INDEX('NCO-2015 scores'!$C$2:$C$131,MATCH(E259,'NCO-2015 scores'!$A$2:$A$131,0))),1,0),0)</f>
        <v>1</v>
      </c>
    </row>
    <row r="260" customFormat="false" ht="15" hidden="false" customHeight="false" outlineLevel="0" collapsed="false">
      <c r="A260" s="2" t="n">
        <v>258</v>
      </c>
      <c r="B260" s="2" t="s">
        <v>1195</v>
      </c>
      <c r="C260" s="2" t="s">
        <v>1196</v>
      </c>
      <c r="D260" s="2"/>
      <c r="E260" s="2" t="str">
        <f aca="false">LEFT(C260,3)</f>
        <v>711</v>
      </c>
      <c r="F260" s="2" t="str">
        <f aca="false">IF(D260="","",LEFT(D260,3))</f>
        <v/>
      </c>
      <c r="G260" s="2" t="str">
        <f aca="false">IF(F260="","",IF(E260=F260,"Yes","No"))</f>
        <v/>
      </c>
      <c r="H260" s="2" t="n">
        <f aca="false">IF(D260="",0,1/COUNTIF($D$2:$D$3451,D260))</f>
        <v>0</v>
      </c>
      <c r="I260" s="13" t="n">
        <f aca="false">IFERROR(INDEX('NCO-2015 scores'!$C$2:$C$131,MATCH(E260,'NCO-2015 scores'!$A$2:$A$131,0)),0)</f>
        <v>0.11</v>
      </c>
      <c r="J260" s="13" t="n">
        <f aca="false">IF(ISNUMBER(MATCH(E260,'NCO-2015 scores'!$A$2:$A$131,0)),IF(ISNUMBER(INDEX('NCO-2015 scores'!$C$2:$C$131,MATCH(E260,'NCO-2015 scores'!$A$2:$A$131,0))),1,0),0)</f>
        <v>1</v>
      </c>
    </row>
    <row r="261" customFormat="false" ht="15" hidden="false" customHeight="false" outlineLevel="0" collapsed="false">
      <c r="A261" s="2" t="n">
        <v>259</v>
      </c>
      <c r="B261" s="2" t="s">
        <v>1197</v>
      </c>
      <c r="C261" s="2" t="s">
        <v>1198</v>
      </c>
      <c r="D261" s="2" t="s">
        <v>1199</v>
      </c>
      <c r="E261" s="2" t="str">
        <f aca="false">LEFT(C261,3)</f>
        <v>711</v>
      </c>
      <c r="F261" s="2" t="str">
        <f aca="false">IF(D261="","",LEFT(D261,3))</f>
        <v>712</v>
      </c>
      <c r="G261" s="2" t="str">
        <f aca="false">IF(F261="","",IF(E261=F261,"Yes","No"))</f>
        <v>No</v>
      </c>
      <c r="H261" s="2" t="n">
        <f aca="false">IF(D261="",0,1/COUNTIF($D$2:$D$3451,D261))</f>
        <v>1</v>
      </c>
      <c r="I261" s="13" t="n">
        <f aca="false">IFERROR(INDEX('NCO-2015 scores'!$C$2:$C$131,MATCH(E261,'NCO-2015 scores'!$A$2:$A$131,0)),0)</f>
        <v>0.11</v>
      </c>
      <c r="J261" s="13" t="n">
        <f aca="false">IF(ISNUMBER(MATCH(E261,'NCO-2015 scores'!$A$2:$A$131,0)),IF(ISNUMBER(INDEX('NCO-2015 scores'!$C$2:$C$131,MATCH(E261,'NCO-2015 scores'!$A$2:$A$131,0))),1,0),0)</f>
        <v>1</v>
      </c>
    </row>
    <row r="262" customFormat="false" ht="15" hidden="false" customHeight="false" outlineLevel="0" collapsed="false">
      <c r="A262" s="2" t="n">
        <v>260</v>
      </c>
      <c r="B262" s="2" t="s">
        <v>1200</v>
      </c>
      <c r="C262" s="2" t="s">
        <v>1201</v>
      </c>
      <c r="D262" s="2" t="s">
        <v>1202</v>
      </c>
      <c r="E262" s="2" t="str">
        <f aca="false">LEFT(C262,3)</f>
        <v>352</v>
      </c>
      <c r="F262" s="2" t="str">
        <f aca="false">IF(D262="","",LEFT(D262,3))</f>
        <v>313</v>
      </c>
      <c r="G262" s="2" t="str">
        <f aca="false">IF(F262="","",IF(E262=F262,"Yes","No"))</f>
        <v>No</v>
      </c>
      <c r="H262" s="2" t="n">
        <f aca="false">IF(D262="",0,1/COUNTIF($D$2:$D$3451,D262))</f>
        <v>1</v>
      </c>
      <c r="I262" s="13" t="n">
        <f aca="false">IFERROR(INDEX('NCO-2015 scores'!$C$2:$C$131,MATCH(E262,'NCO-2015 scores'!$A$2:$A$131,0)),0)</f>
        <v>0.4</v>
      </c>
      <c r="J262" s="13" t="n">
        <f aca="false">IF(ISNUMBER(MATCH(E262,'NCO-2015 scores'!$A$2:$A$131,0)),IF(ISNUMBER(INDEX('NCO-2015 scores'!$C$2:$C$131,MATCH(E262,'NCO-2015 scores'!$A$2:$A$131,0))),1,0),0)</f>
        <v>1</v>
      </c>
    </row>
    <row r="263" customFormat="false" ht="15" hidden="false" customHeight="false" outlineLevel="0" collapsed="false">
      <c r="A263" s="2" t="n">
        <v>261</v>
      </c>
      <c r="B263" s="2" t="s">
        <v>1203</v>
      </c>
      <c r="C263" s="2" t="s">
        <v>1204</v>
      </c>
      <c r="D263" s="2" t="s">
        <v>1205</v>
      </c>
      <c r="E263" s="2" t="str">
        <f aca="false">LEFT(C263,3)</f>
        <v>352</v>
      </c>
      <c r="F263" s="2" t="str">
        <f aca="false">IF(D263="","",LEFT(D263,3))</f>
        <v>313</v>
      </c>
      <c r="G263" s="2" t="str">
        <f aca="false">IF(F263="","",IF(E263=F263,"Yes","No"))</f>
        <v>No</v>
      </c>
      <c r="H263" s="2" t="n">
        <f aca="false">IF(D263="",0,1/COUNTIF($D$2:$D$3451,D263))</f>
        <v>1</v>
      </c>
      <c r="I263" s="13" t="n">
        <f aca="false">IFERROR(INDEX('NCO-2015 scores'!$C$2:$C$131,MATCH(E263,'NCO-2015 scores'!$A$2:$A$131,0)),0)</f>
        <v>0.4</v>
      </c>
      <c r="J263" s="13" t="n">
        <f aca="false">IF(ISNUMBER(MATCH(E263,'NCO-2015 scores'!$A$2:$A$131,0)),IF(ISNUMBER(INDEX('NCO-2015 scores'!$C$2:$C$131,MATCH(E263,'NCO-2015 scores'!$A$2:$A$131,0))),1,0),0)</f>
        <v>1</v>
      </c>
    </row>
    <row r="264" customFormat="false" ht="15" hidden="false" customHeight="false" outlineLevel="0" collapsed="false">
      <c r="A264" s="2" t="n">
        <v>262</v>
      </c>
      <c r="B264" s="2" t="s">
        <v>1206</v>
      </c>
      <c r="C264" s="2" t="s">
        <v>1207</v>
      </c>
      <c r="D264" s="2" t="s">
        <v>1208</v>
      </c>
      <c r="E264" s="2" t="str">
        <f aca="false">LEFT(C264,3)</f>
        <v>352</v>
      </c>
      <c r="F264" s="2" t="str">
        <f aca="false">IF(D264="","",LEFT(D264,3))</f>
        <v>313</v>
      </c>
      <c r="G264" s="2" t="str">
        <f aca="false">IF(F264="","",IF(E264=F264,"Yes","No"))</f>
        <v>No</v>
      </c>
      <c r="H264" s="2" t="n">
        <f aca="false">IF(D264="",0,1/COUNTIF($D$2:$D$3451,D264))</f>
        <v>1</v>
      </c>
      <c r="I264" s="13" t="n">
        <f aca="false">IFERROR(INDEX('NCO-2015 scores'!$C$2:$C$131,MATCH(E264,'NCO-2015 scores'!$A$2:$A$131,0)),0)</f>
        <v>0.4</v>
      </c>
      <c r="J264" s="13" t="n">
        <f aca="false">IF(ISNUMBER(MATCH(E264,'NCO-2015 scores'!$A$2:$A$131,0)),IF(ISNUMBER(INDEX('NCO-2015 scores'!$C$2:$C$131,MATCH(E264,'NCO-2015 scores'!$A$2:$A$131,0))),1,0),0)</f>
        <v>1</v>
      </c>
    </row>
    <row r="265" customFormat="false" ht="15" hidden="false" customHeight="false" outlineLevel="0" collapsed="false">
      <c r="A265" s="2" t="n">
        <v>263</v>
      </c>
      <c r="B265" s="2" t="s">
        <v>1209</v>
      </c>
      <c r="C265" s="2" t="s">
        <v>1210</v>
      </c>
      <c r="D265" s="2" t="s">
        <v>1211</v>
      </c>
      <c r="E265" s="2" t="str">
        <f aca="false">LEFT(C265,3)</f>
        <v>352</v>
      </c>
      <c r="F265" s="2" t="str">
        <f aca="false">IF(D265="","",LEFT(D265,3))</f>
        <v>313</v>
      </c>
      <c r="G265" s="2" t="str">
        <f aca="false">IF(F265="","",IF(E265=F265,"Yes","No"))</f>
        <v>No</v>
      </c>
      <c r="H265" s="2" t="n">
        <f aca="false">IF(D265="",0,1/COUNTIF($D$2:$D$3451,D265))</f>
        <v>1</v>
      </c>
      <c r="I265" s="13" t="n">
        <f aca="false">IFERROR(INDEX('NCO-2015 scores'!$C$2:$C$131,MATCH(E265,'NCO-2015 scores'!$A$2:$A$131,0)),0)</f>
        <v>0.4</v>
      </c>
      <c r="J265" s="13" t="n">
        <f aca="false">IF(ISNUMBER(MATCH(E265,'NCO-2015 scores'!$A$2:$A$131,0)),IF(ISNUMBER(INDEX('NCO-2015 scores'!$C$2:$C$131,MATCH(E265,'NCO-2015 scores'!$A$2:$A$131,0))),1,0),0)</f>
        <v>1</v>
      </c>
    </row>
    <row r="266" customFormat="false" ht="15" hidden="false" customHeight="false" outlineLevel="0" collapsed="false">
      <c r="A266" s="2" t="n">
        <v>264</v>
      </c>
      <c r="B266" s="2" t="s">
        <v>1212</v>
      </c>
      <c r="C266" s="2" t="s">
        <v>1213</v>
      </c>
      <c r="D266" s="2"/>
      <c r="E266" s="2" t="str">
        <f aca="false">LEFT(C266,3)</f>
        <v>352</v>
      </c>
      <c r="F266" s="2" t="str">
        <f aca="false">IF(D266="","",LEFT(D266,3))</f>
        <v/>
      </c>
      <c r="G266" s="2" t="str">
        <f aca="false">IF(F266="","",IF(E266=F266,"Yes","No"))</f>
        <v/>
      </c>
      <c r="H266" s="2" t="n">
        <f aca="false">IF(D266="",0,1/COUNTIF($D$2:$D$3451,D266))</f>
        <v>0</v>
      </c>
      <c r="I266" s="13" t="n">
        <f aca="false">IFERROR(INDEX('NCO-2015 scores'!$C$2:$C$131,MATCH(E266,'NCO-2015 scores'!$A$2:$A$131,0)),0)</f>
        <v>0.4</v>
      </c>
      <c r="J266" s="13" t="n">
        <f aca="false">IF(ISNUMBER(MATCH(E266,'NCO-2015 scores'!$A$2:$A$131,0)),IF(ISNUMBER(INDEX('NCO-2015 scores'!$C$2:$C$131,MATCH(E266,'NCO-2015 scores'!$A$2:$A$131,0))),1,0),0)</f>
        <v>1</v>
      </c>
    </row>
    <row r="267" customFormat="false" ht="15" hidden="false" customHeight="false" outlineLevel="0" collapsed="false">
      <c r="A267" s="2" t="n">
        <v>265</v>
      </c>
      <c r="B267" s="2" t="s">
        <v>1214</v>
      </c>
      <c r="C267" s="2" t="s">
        <v>1215</v>
      </c>
      <c r="D267" s="2" t="s">
        <v>1216</v>
      </c>
      <c r="E267" s="2" t="str">
        <f aca="false">LEFT(C267,3)</f>
        <v>352</v>
      </c>
      <c r="F267" s="2" t="str">
        <f aca="false">IF(D267="","",LEFT(D267,3))</f>
        <v>313</v>
      </c>
      <c r="G267" s="2" t="str">
        <f aca="false">IF(F267="","",IF(E267=F267,"Yes","No"))</f>
        <v>No</v>
      </c>
      <c r="H267" s="2" t="n">
        <f aca="false">IF(D267="",0,1/COUNTIF($D$2:$D$3451,D267))</f>
        <v>1</v>
      </c>
      <c r="I267" s="13" t="n">
        <f aca="false">IFERROR(INDEX('NCO-2015 scores'!$C$2:$C$131,MATCH(E267,'NCO-2015 scores'!$A$2:$A$131,0)),0)</f>
        <v>0.4</v>
      </c>
      <c r="J267" s="13" t="n">
        <f aca="false">IF(ISNUMBER(MATCH(E267,'NCO-2015 scores'!$A$2:$A$131,0)),IF(ISNUMBER(INDEX('NCO-2015 scores'!$C$2:$C$131,MATCH(E267,'NCO-2015 scores'!$A$2:$A$131,0))),1,0),0)</f>
        <v>1</v>
      </c>
    </row>
    <row r="268" customFormat="false" ht="15" hidden="false" customHeight="false" outlineLevel="0" collapsed="false">
      <c r="A268" s="2" t="n">
        <v>266</v>
      </c>
      <c r="B268" s="2" t="s">
        <v>1217</v>
      </c>
      <c r="C268" s="2" t="s">
        <v>1218</v>
      </c>
      <c r="D268" s="2" t="s">
        <v>1219</v>
      </c>
      <c r="E268" s="2" t="str">
        <f aca="false">LEFT(C268,3)</f>
        <v>352</v>
      </c>
      <c r="F268" s="2" t="str">
        <f aca="false">IF(D268="","",LEFT(D268,3))</f>
        <v>313</v>
      </c>
      <c r="G268" s="2" t="str">
        <f aca="false">IF(F268="","",IF(E268=F268,"Yes","No"))</f>
        <v>No</v>
      </c>
      <c r="H268" s="2" t="n">
        <f aca="false">IF(D268="",0,1/COUNTIF($D$2:$D$3451,D268))</f>
        <v>1</v>
      </c>
      <c r="I268" s="13" t="n">
        <f aca="false">IFERROR(INDEX('NCO-2015 scores'!$C$2:$C$131,MATCH(E268,'NCO-2015 scores'!$A$2:$A$131,0)),0)</f>
        <v>0.4</v>
      </c>
      <c r="J268" s="13" t="n">
        <f aca="false">IF(ISNUMBER(MATCH(E268,'NCO-2015 scores'!$A$2:$A$131,0)),IF(ISNUMBER(INDEX('NCO-2015 scores'!$C$2:$C$131,MATCH(E268,'NCO-2015 scores'!$A$2:$A$131,0))),1,0),0)</f>
        <v>1</v>
      </c>
    </row>
    <row r="269" customFormat="false" ht="15" hidden="false" customHeight="false" outlineLevel="0" collapsed="false">
      <c r="A269" s="2" t="n">
        <v>267</v>
      </c>
      <c r="B269" s="2" t="s">
        <v>1220</v>
      </c>
      <c r="C269" s="2" t="s">
        <v>1221</v>
      </c>
      <c r="D269" s="2" t="s">
        <v>1222</v>
      </c>
      <c r="E269" s="2" t="str">
        <f aca="false">LEFT(C269,3)</f>
        <v>352</v>
      </c>
      <c r="F269" s="2" t="str">
        <f aca="false">IF(D269="","",LEFT(D269,3))</f>
        <v>313</v>
      </c>
      <c r="G269" s="2" t="str">
        <f aca="false">IF(F269="","",IF(E269=F269,"Yes","No"))</f>
        <v>No</v>
      </c>
      <c r="H269" s="2" t="n">
        <f aca="false">IF(D269="",0,1/COUNTIF($D$2:$D$3451,D269))</f>
        <v>1</v>
      </c>
      <c r="I269" s="13" t="n">
        <f aca="false">IFERROR(INDEX('NCO-2015 scores'!$C$2:$C$131,MATCH(E269,'NCO-2015 scores'!$A$2:$A$131,0)),0)</f>
        <v>0.4</v>
      </c>
      <c r="J269" s="13" t="n">
        <f aca="false">IF(ISNUMBER(MATCH(E269,'NCO-2015 scores'!$A$2:$A$131,0)),IF(ISNUMBER(INDEX('NCO-2015 scores'!$C$2:$C$131,MATCH(E269,'NCO-2015 scores'!$A$2:$A$131,0))),1,0),0)</f>
        <v>1</v>
      </c>
    </row>
    <row r="270" customFormat="false" ht="15" hidden="false" customHeight="false" outlineLevel="0" collapsed="false">
      <c r="A270" s="2" t="n">
        <v>268</v>
      </c>
      <c r="B270" s="2" t="s">
        <v>1223</v>
      </c>
      <c r="C270" s="2" t="s">
        <v>1224</v>
      </c>
      <c r="D270" s="2" t="s">
        <v>1225</v>
      </c>
      <c r="E270" s="2" t="str">
        <f aca="false">LEFT(C270,3)</f>
        <v>352</v>
      </c>
      <c r="F270" s="2" t="str">
        <f aca="false">IF(D270="","",LEFT(D270,3))</f>
        <v>313</v>
      </c>
      <c r="G270" s="2" t="str">
        <f aca="false">IF(F270="","",IF(E270=F270,"Yes","No"))</f>
        <v>No</v>
      </c>
      <c r="H270" s="2" t="n">
        <f aca="false">IF(D270="",0,1/COUNTIF($D$2:$D$3451,D270))</f>
        <v>1</v>
      </c>
      <c r="I270" s="13" t="n">
        <f aca="false">IFERROR(INDEX('NCO-2015 scores'!$C$2:$C$131,MATCH(E270,'NCO-2015 scores'!$A$2:$A$131,0)),0)</f>
        <v>0.4</v>
      </c>
      <c r="J270" s="13" t="n">
        <f aca="false">IF(ISNUMBER(MATCH(E270,'NCO-2015 scores'!$A$2:$A$131,0)),IF(ISNUMBER(INDEX('NCO-2015 scores'!$C$2:$C$131,MATCH(E270,'NCO-2015 scores'!$A$2:$A$131,0))),1,0),0)</f>
        <v>1</v>
      </c>
    </row>
    <row r="271" customFormat="false" ht="15" hidden="false" customHeight="false" outlineLevel="0" collapsed="false">
      <c r="A271" s="2" t="n">
        <v>269</v>
      </c>
      <c r="B271" s="2" t="s">
        <v>1226</v>
      </c>
      <c r="C271" s="2" t="s">
        <v>1227</v>
      </c>
      <c r="D271" s="2" t="s">
        <v>1228</v>
      </c>
      <c r="E271" s="2" t="str">
        <f aca="false">LEFT(C271,3)</f>
        <v>352</v>
      </c>
      <c r="F271" s="2" t="str">
        <f aca="false">IF(D271="","",LEFT(D271,3))</f>
        <v>313</v>
      </c>
      <c r="G271" s="2" t="str">
        <f aca="false">IF(F271="","",IF(E271=F271,"Yes","No"))</f>
        <v>No</v>
      </c>
      <c r="H271" s="2" t="n">
        <f aca="false">IF(D271="",0,1/COUNTIF($D$2:$D$3451,D271))</f>
        <v>1</v>
      </c>
      <c r="I271" s="13" t="n">
        <f aca="false">IFERROR(INDEX('NCO-2015 scores'!$C$2:$C$131,MATCH(E271,'NCO-2015 scores'!$A$2:$A$131,0)),0)</f>
        <v>0.4</v>
      </c>
      <c r="J271" s="13" t="n">
        <f aca="false">IF(ISNUMBER(MATCH(E271,'NCO-2015 scores'!$A$2:$A$131,0)),IF(ISNUMBER(INDEX('NCO-2015 scores'!$C$2:$C$131,MATCH(E271,'NCO-2015 scores'!$A$2:$A$131,0))),1,0),0)</f>
        <v>1</v>
      </c>
    </row>
    <row r="272" customFormat="false" ht="15" hidden="false" customHeight="false" outlineLevel="0" collapsed="false">
      <c r="A272" s="2" t="n">
        <v>270</v>
      </c>
      <c r="B272" s="2" t="s">
        <v>1229</v>
      </c>
      <c r="C272" s="2" t="s">
        <v>1230</v>
      </c>
      <c r="D272" s="2" t="s">
        <v>1231</v>
      </c>
      <c r="E272" s="2" t="str">
        <f aca="false">LEFT(C272,3)</f>
        <v>352</v>
      </c>
      <c r="F272" s="2" t="str">
        <f aca="false">IF(D272="","",LEFT(D272,3))</f>
        <v>313</v>
      </c>
      <c r="G272" s="2" t="str">
        <f aca="false">IF(F272="","",IF(E272=F272,"Yes","No"))</f>
        <v>No</v>
      </c>
      <c r="H272" s="2" t="n">
        <f aca="false">IF(D272="",0,1/COUNTIF($D$2:$D$3451,D272))</f>
        <v>1</v>
      </c>
      <c r="I272" s="13" t="n">
        <f aca="false">IFERROR(INDEX('NCO-2015 scores'!$C$2:$C$131,MATCH(E272,'NCO-2015 scores'!$A$2:$A$131,0)),0)</f>
        <v>0.4</v>
      </c>
      <c r="J272" s="13" t="n">
        <f aca="false">IF(ISNUMBER(MATCH(E272,'NCO-2015 scores'!$A$2:$A$131,0)),IF(ISNUMBER(INDEX('NCO-2015 scores'!$C$2:$C$131,MATCH(E272,'NCO-2015 scores'!$A$2:$A$131,0))),1,0),0)</f>
        <v>1</v>
      </c>
    </row>
    <row r="273" customFormat="false" ht="15" hidden="false" customHeight="false" outlineLevel="0" collapsed="false">
      <c r="A273" s="2" t="n">
        <v>271</v>
      </c>
      <c r="B273" s="2" t="s">
        <v>1232</v>
      </c>
      <c r="C273" s="2" t="s">
        <v>1233</v>
      </c>
      <c r="D273" s="2" t="s">
        <v>1234</v>
      </c>
      <c r="E273" s="2" t="str">
        <f aca="false">LEFT(C273,3)</f>
        <v>352</v>
      </c>
      <c r="F273" s="2" t="str">
        <f aca="false">IF(D273="","",LEFT(D273,3))</f>
        <v>313</v>
      </c>
      <c r="G273" s="2" t="str">
        <f aca="false">IF(F273="","",IF(E273=F273,"Yes","No"))</f>
        <v>No</v>
      </c>
      <c r="H273" s="2" t="n">
        <f aca="false">IF(D273="",0,1/COUNTIF($D$2:$D$3451,D273))</f>
        <v>1</v>
      </c>
      <c r="I273" s="13" t="n">
        <f aca="false">IFERROR(INDEX('NCO-2015 scores'!$C$2:$C$131,MATCH(E273,'NCO-2015 scores'!$A$2:$A$131,0)),0)</f>
        <v>0.4</v>
      </c>
      <c r="J273" s="13" t="n">
        <f aca="false">IF(ISNUMBER(MATCH(E273,'NCO-2015 scores'!$A$2:$A$131,0)),IF(ISNUMBER(INDEX('NCO-2015 scores'!$C$2:$C$131,MATCH(E273,'NCO-2015 scores'!$A$2:$A$131,0))),1,0),0)</f>
        <v>1</v>
      </c>
    </row>
    <row r="274" customFormat="false" ht="15" hidden="false" customHeight="false" outlineLevel="0" collapsed="false">
      <c r="A274" s="2" t="n">
        <v>272</v>
      </c>
      <c r="B274" s="2" t="s">
        <v>1235</v>
      </c>
      <c r="C274" s="2" t="s">
        <v>1236</v>
      </c>
      <c r="D274" s="2" t="s">
        <v>1237</v>
      </c>
      <c r="E274" s="2" t="str">
        <f aca="false">LEFT(C274,3)</f>
        <v>352</v>
      </c>
      <c r="F274" s="2" t="str">
        <f aca="false">IF(D274="","",LEFT(D274,3))</f>
        <v>313</v>
      </c>
      <c r="G274" s="2" t="str">
        <f aca="false">IF(F274="","",IF(E274=F274,"Yes","No"))</f>
        <v>No</v>
      </c>
      <c r="H274" s="2" t="n">
        <f aca="false">IF(D274="",0,1/COUNTIF($D$2:$D$3451,D274))</f>
        <v>1</v>
      </c>
      <c r="I274" s="13" t="n">
        <f aca="false">IFERROR(INDEX('NCO-2015 scores'!$C$2:$C$131,MATCH(E274,'NCO-2015 scores'!$A$2:$A$131,0)),0)</f>
        <v>0.4</v>
      </c>
      <c r="J274" s="13" t="n">
        <f aca="false">IF(ISNUMBER(MATCH(E274,'NCO-2015 scores'!$A$2:$A$131,0)),IF(ISNUMBER(INDEX('NCO-2015 scores'!$C$2:$C$131,MATCH(E274,'NCO-2015 scores'!$A$2:$A$131,0))),1,0),0)</f>
        <v>1</v>
      </c>
    </row>
    <row r="275" customFormat="false" ht="15" hidden="false" customHeight="false" outlineLevel="0" collapsed="false">
      <c r="A275" s="2" t="n">
        <v>273</v>
      </c>
      <c r="B275" s="2" t="s">
        <v>1238</v>
      </c>
      <c r="C275" s="2" t="s">
        <v>1239</v>
      </c>
      <c r="D275" s="2" t="s">
        <v>1240</v>
      </c>
      <c r="E275" s="2" t="str">
        <f aca="false">LEFT(C275,3)</f>
        <v>352</v>
      </c>
      <c r="F275" s="2" t="str">
        <f aca="false">IF(D275="","",LEFT(D275,3))</f>
        <v>313</v>
      </c>
      <c r="G275" s="2" t="str">
        <f aca="false">IF(F275="","",IF(E275=F275,"Yes","No"))</f>
        <v>No</v>
      </c>
      <c r="H275" s="2" t="n">
        <f aca="false">IF(D275="",0,1/COUNTIF($D$2:$D$3451,D275))</f>
        <v>1</v>
      </c>
      <c r="I275" s="13" t="n">
        <f aca="false">IFERROR(INDEX('NCO-2015 scores'!$C$2:$C$131,MATCH(E275,'NCO-2015 scores'!$A$2:$A$131,0)),0)</f>
        <v>0.4</v>
      </c>
      <c r="J275" s="13" t="n">
        <f aca="false">IF(ISNUMBER(MATCH(E275,'NCO-2015 scores'!$A$2:$A$131,0)),IF(ISNUMBER(INDEX('NCO-2015 scores'!$C$2:$C$131,MATCH(E275,'NCO-2015 scores'!$A$2:$A$131,0))),1,0),0)</f>
        <v>1</v>
      </c>
    </row>
    <row r="276" customFormat="false" ht="15" hidden="false" customHeight="false" outlineLevel="0" collapsed="false">
      <c r="A276" s="2" t="n">
        <v>274</v>
      </c>
      <c r="B276" s="2" t="s">
        <v>1241</v>
      </c>
      <c r="C276" s="2" t="s">
        <v>1242</v>
      </c>
      <c r="D276" s="2" t="s">
        <v>1243</v>
      </c>
      <c r="E276" s="2" t="str">
        <f aca="false">LEFT(C276,3)</f>
        <v>352</v>
      </c>
      <c r="F276" s="2" t="str">
        <f aca="false">IF(D276="","",LEFT(D276,3))</f>
        <v>313</v>
      </c>
      <c r="G276" s="2" t="str">
        <f aca="false">IF(F276="","",IF(E276=F276,"Yes","No"))</f>
        <v>No</v>
      </c>
      <c r="H276" s="2" t="n">
        <f aca="false">IF(D276="",0,1/COUNTIF($D$2:$D$3451,D276))</f>
        <v>1</v>
      </c>
      <c r="I276" s="13" t="n">
        <f aca="false">IFERROR(INDEX('NCO-2015 scores'!$C$2:$C$131,MATCH(E276,'NCO-2015 scores'!$A$2:$A$131,0)),0)</f>
        <v>0.4</v>
      </c>
      <c r="J276" s="13" t="n">
        <f aca="false">IF(ISNUMBER(MATCH(E276,'NCO-2015 scores'!$A$2:$A$131,0)),IF(ISNUMBER(INDEX('NCO-2015 scores'!$C$2:$C$131,MATCH(E276,'NCO-2015 scores'!$A$2:$A$131,0))),1,0),0)</f>
        <v>1</v>
      </c>
    </row>
    <row r="277" customFormat="false" ht="15" hidden="false" customHeight="false" outlineLevel="0" collapsed="false">
      <c r="A277" s="2" t="n">
        <v>275</v>
      </c>
      <c r="B277" s="2" t="s">
        <v>1244</v>
      </c>
      <c r="C277" s="2" t="s">
        <v>1245</v>
      </c>
      <c r="D277" s="2" t="s">
        <v>1246</v>
      </c>
      <c r="E277" s="2" t="str">
        <f aca="false">LEFT(C277,3)</f>
        <v>352</v>
      </c>
      <c r="F277" s="2" t="str">
        <f aca="false">IF(D277="","",LEFT(D277,3))</f>
        <v>313</v>
      </c>
      <c r="G277" s="2" t="str">
        <f aca="false">IF(F277="","",IF(E277=F277,"Yes","No"))</f>
        <v>No</v>
      </c>
      <c r="H277" s="2" t="n">
        <f aca="false">IF(D277="",0,1/COUNTIF($D$2:$D$3451,D277))</f>
        <v>1</v>
      </c>
      <c r="I277" s="13" t="n">
        <f aca="false">IFERROR(INDEX('NCO-2015 scores'!$C$2:$C$131,MATCH(E277,'NCO-2015 scores'!$A$2:$A$131,0)),0)</f>
        <v>0.4</v>
      </c>
      <c r="J277" s="13" t="n">
        <f aca="false">IF(ISNUMBER(MATCH(E277,'NCO-2015 scores'!$A$2:$A$131,0)),IF(ISNUMBER(INDEX('NCO-2015 scores'!$C$2:$C$131,MATCH(E277,'NCO-2015 scores'!$A$2:$A$131,0))),1,0),0)</f>
        <v>1</v>
      </c>
    </row>
    <row r="278" customFormat="false" ht="15" hidden="false" customHeight="false" outlineLevel="0" collapsed="false">
      <c r="A278" s="2" t="n">
        <v>276</v>
      </c>
      <c r="B278" s="2" t="s">
        <v>1247</v>
      </c>
      <c r="C278" s="2" t="s">
        <v>1248</v>
      </c>
      <c r="D278" s="2" t="s">
        <v>1249</v>
      </c>
      <c r="E278" s="2" t="str">
        <f aca="false">LEFT(C278,3)</f>
        <v>352</v>
      </c>
      <c r="F278" s="2" t="str">
        <f aca="false">IF(D278="","",LEFT(D278,3))</f>
        <v>313</v>
      </c>
      <c r="G278" s="2" t="str">
        <f aca="false">IF(F278="","",IF(E278=F278,"Yes","No"))</f>
        <v>No</v>
      </c>
      <c r="H278" s="2" t="n">
        <f aca="false">IF(D278="",0,1/COUNTIF($D$2:$D$3451,D278))</f>
        <v>1</v>
      </c>
      <c r="I278" s="13" t="n">
        <f aca="false">IFERROR(INDEX('NCO-2015 scores'!$C$2:$C$131,MATCH(E278,'NCO-2015 scores'!$A$2:$A$131,0)),0)</f>
        <v>0.4</v>
      </c>
      <c r="J278" s="13" t="n">
        <f aca="false">IF(ISNUMBER(MATCH(E278,'NCO-2015 scores'!$A$2:$A$131,0)),IF(ISNUMBER(INDEX('NCO-2015 scores'!$C$2:$C$131,MATCH(E278,'NCO-2015 scores'!$A$2:$A$131,0))),1,0),0)</f>
        <v>1</v>
      </c>
    </row>
    <row r="279" customFormat="false" ht="15" hidden="false" customHeight="false" outlineLevel="0" collapsed="false">
      <c r="A279" s="2" t="n">
        <v>277</v>
      </c>
      <c r="B279" s="2" t="s">
        <v>1250</v>
      </c>
      <c r="C279" s="2" t="s">
        <v>1251</v>
      </c>
      <c r="D279" s="2" t="s">
        <v>1252</v>
      </c>
      <c r="E279" s="2" t="str">
        <f aca="false">LEFT(C279,3)</f>
        <v>352</v>
      </c>
      <c r="F279" s="2" t="str">
        <f aca="false">IF(D279="","",LEFT(D279,3))</f>
        <v>313</v>
      </c>
      <c r="G279" s="2" t="str">
        <f aca="false">IF(F279="","",IF(E279=F279,"Yes","No"))</f>
        <v>No</v>
      </c>
      <c r="H279" s="2" t="n">
        <f aca="false">IF(D279="",0,1/COUNTIF($D$2:$D$3451,D279))</f>
        <v>1</v>
      </c>
      <c r="I279" s="13" t="n">
        <f aca="false">IFERROR(INDEX('NCO-2015 scores'!$C$2:$C$131,MATCH(E279,'NCO-2015 scores'!$A$2:$A$131,0)),0)</f>
        <v>0.4</v>
      </c>
      <c r="J279" s="13" t="n">
        <f aca="false">IF(ISNUMBER(MATCH(E279,'NCO-2015 scores'!$A$2:$A$131,0)),IF(ISNUMBER(INDEX('NCO-2015 scores'!$C$2:$C$131,MATCH(E279,'NCO-2015 scores'!$A$2:$A$131,0))),1,0),0)</f>
        <v>1</v>
      </c>
    </row>
    <row r="280" customFormat="false" ht="15" hidden="false" customHeight="false" outlineLevel="0" collapsed="false">
      <c r="A280" s="2" t="n">
        <v>278</v>
      </c>
      <c r="B280" s="2" t="s">
        <v>1253</v>
      </c>
      <c r="C280" s="2" t="s">
        <v>1254</v>
      </c>
      <c r="D280" s="2" t="s">
        <v>1255</v>
      </c>
      <c r="E280" s="2" t="str">
        <f aca="false">LEFT(C280,3)</f>
        <v>352</v>
      </c>
      <c r="F280" s="2" t="str">
        <f aca="false">IF(D280="","",LEFT(D280,3))</f>
        <v>313</v>
      </c>
      <c r="G280" s="2" t="str">
        <f aca="false">IF(F280="","",IF(E280=F280,"Yes","No"))</f>
        <v>No</v>
      </c>
      <c r="H280" s="2" t="n">
        <f aca="false">IF(D280="",0,1/COUNTIF($D$2:$D$3451,D280))</f>
        <v>1</v>
      </c>
      <c r="I280" s="13" t="n">
        <f aca="false">IFERROR(INDEX('NCO-2015 scores'!$C$2:$C$131,MATCH(E280,'NCO-2015 scores'!$A$2:$A$131,0)),0)</f>
        <v>0.4</v>
      </c>
      <c r="J280" s="13" t="n">
        <f aca="false">IF(ISNUMBER(MATCH(E280,'NCO-2015 scores'!$A$2:$A$131,0)),IF(ISNUMBER(INDEX('NCO-2015 scores'!$C$2:$C$131,MATCH(E280,'NCO-2015 scores'!$A$2:$A$131,0))),1,0),0)</f>
        <v>1</v>
      </c>
    </row>
    <row r="281" customFormat="false" ht="15" hidden="false" customHeight="false" outlineLevel="0" collapsed="false">
      <c r="A281" s="2" t="n">
        <v>279</v>
      </c>
      <c r="B281" s="2" t="s">
        <v>1256</v>
      </c>
      <c r="C281" s="2" t="s">
        <v>1257</v>
      </c>
      <c r="D281" s="2" t="s">
        <v>1258</v>
      </c>
      <c r="E281" s="2" t="str">
        <f aca="false">LEFT(C281,3)</f>
        <v>352</v>
      </c>
      <c r="F281" s="2" t="str">
        <f aca="false">IF(D281="","",LEFT(D281,3))</f>
        <v>313</v>
      </c>
      <c r="G281" s="2" t="str">
        <f aca="false">IF(F281="","",IF(E281=F281,"Yes","No"))</f>
        <v>No</v>
      </c>
      <c r="H281" s="2" t="n">
        <f aca="false">IF(D281="",0,1/COUNTIF($D$2:$D$3451,D281))</f>
        <v>1</v>
      </c>
      <c r="I281" s="13" t="n">
        <f aca="false">IFERROR(INDEX('NCO-2015 scores'!$C$2:$C$131,MATCH(E281,'NCO-2015 scores'!$A$2:$A$131,0)),0)</f>
        <v>0.4</v>
      </c>
      <c r="J281" s="13" t="n">
        <f aca="false">IF(ISNUMBER(MATCH(E281,'NCO-2015 scores'!$A$2:$A$131,0)),IF(ISNUMBER(INDEX('NCO-2015 scores'!$C$2:$C$131,MATCH(E281,'NCO-2015 scores'!$A$2:$A$131,0))),1,0),0)</f>
        <v>1</v>
      </c>
    </row>
    <row r="282" customFormat="false" ht="15" hidden="false" customHeight="false" outlineLevel="0" collapsed="false">
      <c r="A282" s="2" t="n">
        <v>280</v>
      </c>
      <c r="B282" s="2" t="s">
        <v>1259</v>
      </c>
      <c r="C282" s="2" t="s">
        <v>1260</v>
      </c>
      <c r="D282" s="2" t="s">
        <v>1261</v>
      </c>
      <c r="E282" s="2" t="str">
        <f aca="false">LEFT(C282,3)</f>
        <v>352</v>
      </c>
      <c r="F282" s="2" t="str">
        <f aca="false">IF(D282="","",LEFT(D282,3))</f>
        <v>313</v>
      </c>
      <c r="G282" s="2" t="str">
        <f aca="false">IF(F282="","",IF(E282=F282,"Yes","No"))</f>
        <v>No</v>
      </c>
      <c r="H282" s="2" t="n">
        <f aca="false">IF(D282="",0,1/COUNTIF($D$2:$D$3451,D282))</f>
        <v>1</v>
      </c>
      <c r="I282" s="13" t="n">
        <f aca="false">IFERROR(INDEX('NCO-2015 scores'!$C$2:$C$131,MATCH(E282,'NCO-2015 scores'!$A$2:$A$131,0)),0)</f>
        <v>0.4</v>
      </c>
      <c r="J282" s="13" t="n">
        <f aca="false">IF(ISNUMBER(MATCH(E282,'NCO-2015 scores'!$A$2:$A$131,0)),IF(ISNUMBER(INDEX('NCO-2015 scores'!$C$2:$C$131,MATCH(E282,'NCO-2015 scores'!$A$2:$A$131,0))),1,0),0)</f>
        <v>1</v>
      </c>
    </row>
    <row r="283" customFormat="false" ht="15" hidden="false" customHeight="false" outlineLevel="0" collapsed="false">
      <c r="A283" s="2" t="n">
        <v>281</v>
      </c>
      <c r="B283" s="2" t="s">
        <v>1262</v>
      </c>
      <c r="C283" s="2" t="s">
        <v>1263</v>
      </c>
      <c r="D283" s="2" t="s">
        <v>1264</v>
      </c>
      <c r="E283" s="2" t="str">
        <f aca="false">LEFT(C283,3)</f>
        <v>741</v>
      </c>
      <c r="F283" s="2" t="str">
        <f aca="false">IF(D283="","",LEFT(D283,3))</f>
        <v>713</v>
      </c>
      <c r="G283" s="2" t="str">
        <f aca="false">IF(F283="","",IF(E283=F283,"Yes","No"))</f>
        <v>No</v>
      </c>
      <c r="H283" s="2" t="n">
        <f aca="false">IF(D283="",0,1/COUNTIF($D$2:$D$3451,D283))</f>
        <v>1</v>
      </c>
      <c r="I283" s="13" t="n">
        <f aca="false">IFERROR(INDEX('NCO-2015 scores'!$C$2:$C$131,MATCH(E283,'NCO-2015 scores'!$A$2:$A$131,0)),0)</f>
        <v>0.17</v>
      </c>
      <c r="J283" s="13" t="n">
        <f aca="false">IF(ISNUMBER(MATCH(E283,'NCO-2015 scores'!$A$2:$A$131,0)),IF(ISNUMBER(INDEX('NCO-2015 scores'!$C$2:$C$131,MATCH(E283,'NCO-2015 scores'!$A$2:$A$131,0))),1,0),0)</f>
        <v>1</v>
      </c>
    </row>
    <row r="284" customFormat="false" ht="15" hidden="false" customHeight="false" outlineLevel="0" collapsed="false">
      <c r="A284" s="2" t="n">
        <v>282</v>
      </c>
      <c r="B284" s="2" t="s">
        <v>1265</v>
      </c>
      <c r="C284" s="2" t="s">
        <v>1266</v>
      </c>
      <c r="D284" s="2"/>
      <c r="E284" s="2" t="str">
        <f aca="false">LEFT(C284,3)</f>
        <v>741</v>
      </c>
      <c r="F284" s="2" t="str">
        <f aca="false">IF(D284="","",LEFT(D284,3))</f>
        <v/>
      </c>
      <c r="G284" s="2" t="str">
        <f aca="false">IF(F284="","",IF(E284=F284,"Yes","No"))</f>
        <v/>
      </c>
      <c r="H284" s="2" t="n">
        <f aca="false">IF(D284="",0,1/COUNTIF($D$2:$D$3451,D284))</f>
        <v>0</v>
      </c>
      <c r="I284" s="13" t="n">
        <f aca="false">IFERROR(INDEX('NCO-2015 scores'!$C$2:$C$131,MATCH(E284,'NCO-2015 scores'!$A$2:$A$131,0)),0)</f>
        <v>0.17</v>
      </c>
      <c r="J284" s="13" t="n">
        <f aca="false">IF(ISNUMBER(MATCH(E284,'NCO-2015 scores'!$A$2:$A$131,0)),IF(ISNUMBER(INDEX('NCO-2015 scores'!$C$2:$C$131,MATCH(E284,'NCO-2015 scores'!$A$2:$A$131,0))),1,0),0)</f>
        <v>1</v>
      </c>
    </row>
    <row r="285" customFormat="false" ht="15" hidden="false" customHeight="false" outlineLevel="0" collapsed="false">
      <c r="A285" s="2" t="n">
        <v>283</v>
      </c>
      <c r="B285" s="2" t="s">
        <v>1267</v>
      </c>
      <c r="C285" s="2" t="s">
        <v>1268</v>
      </c>
      <c r="D285" s="2"/>
      <c r="E285" s="2" t="str">
        <f aca="false">LEFT(C285,3)</f>
        <v>741</v>
      </c>
      <c r="F285" s="2" t="str">
        <f aca="false">IF(D285="","",LEFT(D285,3))</f>
        <v/>
      </c>
      <c r="G285" s="2" t="str">
        <f aca="false">IF(F285="","",IF(E285=F285,"Yes","No"))</f>
        <v/>
      </c>
      <c r="H285" s="2" t="n">
        <f aca="false">IF(D285="",0,1/COUNTIF($D$2:$D$3451,D285))</f>
        <v>0</v>
      </c>
      <c r="I285" s="13" t="n">
        <f aca="false">IFERROR(INDEX('NCO-2015 scores'!$C$2:$C$131,MATCH(E285,'NCO-2015 scores'!$A$2:$A$131,0)),0)</f>
        <v>0.17</v>
      </c>
      <c r="J285" s="13" t="n">
        <f aca="false">IF(ISNUMBER(MATCH(E285,'NCO-2015 scores'!$A$2:$A$131,0)),IF(ISNUMBER(INDEX('NCO-2015 scores'!$C$2:$C$131,MATCH(E285,'NCO-2015 scores'!$A$2:$A$131,0))),1,0),0)</f>
        <v>1</v>
      </c>
    </row>
    <row r="286" customFormat="false" ht="15" hidden="false" customHeight="false" outlineLevel="0" collapsed="false">
      <c r="A286" s="2" t="n">
        <v>284</v>
      </c>
      <c r="B286" s="2" t="s">
        <v>1269</v>
      </c>
      <c r="C286" s="2" t="s">
        <v>1270</v>
      </c>
      <c r="D286" s="2" t="s">
        <v>1271</v>
      </c>
      <c r="E286" s="2" t="str">
        <f aca="false">LEFT(C286,3)</f>
        <v>741</v>
      </c>
      <c r="F286" s="2" t="str">
        <f aca="false">IF(D286="","",LEFT(D286,3))</f>
        <v>713</v>
      </c>
      <c r="G286" s="2" t="str">
        <f aca="false">IF(F286="","",IF(E286=F286,"Yes","No"))</f>
        <v>No</v>
      </c>
      <c r="H286" s="2" t="n">
        <f aca="false">IF(D286="",0,1/COUNTIF($D$2:$D$3451,D286))</f>
        <v>1</v>
      </c>
      <c r="I286" s="13" t="n">
        <f aca="false">IFERROR(INDEX('NCO-2015 scores'!$C$2:$C$131,MATCH(E286,'NCO-2015 scores'!$A$2:$A$131,0)),0)</f>
        <v>0.17</v>
      </c>
      <c r="J286" s="13" t="n">
        <f aca="false">IF(ISNUMBER(MATCH(E286,'NCO-2015 scores'!$A$2:$A$131,0)),IF(ISNUMBER(INDEX('NCO-2015 scores'!$C$2:$C$131,MATCH(E286,'NCO-2015 scores'!$A$2:$A$131,0))),1,0),0)</f>
        <v>1</v>
      </c>
    </row>
    <row r="287" customFormat="false" ht="15" hidden="false" customHeight="false" outlineLevel="0" collapsed="false">
      <c r="A287" s="2" t="n">
        <v>285</v>
      </c>
      <c r="B287" s="2" t="s">
        <v>1272</v>
      </c>
      <c r="C287" s="2" t="s">
        <v>1273</v>
      </c>
      <c r="D287" s="2" t="s">
        <v>1274</v>
      </c>
      <c r="E287" s="2" t="str">
        <f aca="false">LEFT(C287,3)</f>
        <v>741</v>
      </c>
      <c r="F287" s="2" t="str">
        <f aca="false">IF(D287="","",LEFT(D287,3))</f>
        <v>713</v>
      </c>
      <c r="G287" s="2" t="str">
        <f aca="false">IF(F287="","",IF(E287=F287,"Yes","No"))</f>
        <v>No</v>
      </c>
      <c r="H287" s="2" t="n">
        <f aca="false">IF(D287="",0,1/COUNTIF($D$2:$D$3451,D287))</f>
        <v>1</v>
      </c>
      <c r="I287" s="13" t="n">
        <f aca="false">IFERROR(INDEX('NCO-2015 scores'!$C$2:$C$131,MATCH(E287,'NCO-2015 scores'!$A$2:$A$131,0)),0)</f>
        <v>0.17</v>
      </c>
      <c r="J287" s="13" t="n">
        <f aca="false">IF(ISNUMBER(MATCH(E287,'NCO-2015 scores'!$A$2:$A$131,0)),IF(ISNUMBER(INDEX('NCO-2015 scores'!$C$2:$C$131,MATCH(E287,'NCO-2015 scores'!$A$2:$A$131,0))),1,0),0)</f>
        <v>1</v>
      </c>
    </row>
    <row r="288" customFormat="false" ht="15" hidden="false" customHeight="false" outlineLevel="0" collapsed="false">
      <c r="A288" s="2" t="n">
        <v>286</v>
      </c>
      <c r="B288" s="2" t="s">
        <v>1275</v>
      </c>
      <c r="C288" s="2" t="s">
        <v>1276</v>
      </c>
      <c r="D288" s="2" t="s">
        <v>1277</v>
      </c>
      <c r="E288" s="2" t="str">
        <f aca="false">LEFT(C288,3)</f>
        <v>741</v>
      </c>
      <c r="F288" s="2" t="str">
        <f aca="false">IF(D288="","",LEFT(D288,3))</f>
        <v>713</v>
      </c>
      <c r="G288" s="2" t="str">
        <f aca="false">IF(F288="","",IF(E288=F288,"Yes","No"))</f>
        <v>No</v>
      </c>
      <c r="H288" s="2" t="n">
        <f aca="false">IF(D288="",0,1/COUNTIF($D$2:$D$3451,D288))</f>
        <v>1</v>
      </c>
      <c r="I288" s="13" t="n">
        <f aca="false">IFERROR(INDEX('NCO-2015 scores'!$C$2:$C$131,MATCH(E288,'NCO-2015 scores'!$A$2:$A$131,0)),0)</f>
        <v>0.17</v>
      </c>
      <c r="J288" s="13" t="n">
        <f aca="false">IF(ISNUMBER(MATCH(E288,'NCO-2015 scores'!$A$2:$A$131,0)),IF(ISNUMBER(INDEX('NCO-2015 scores'!$C$2:$C$131,MATCH(E288,'NCO-2015 scores'!$A$2:$A$131,0))),1,0),0)</f>
        <v>1</v>
      </c>
    </row>
    <row r="289" customFormat="false" ht="15" hidden="false" customHeight="false" outlineLevel="0" collapsed="false">
      <c r="A289" s="2" t="n">
        <v>287</v>
      </c>
      <c r="B289" s="2" t="s">
        <v>1278</v>
      </c>
      <c r="C289" s="2" t="s">
        <v>1279</v>
      </c>
      <c r="D289" s="2" t="s">
        <v>1280</v>
      </c>
      <c r="E289" s="2" t="str">
        <f aca="false">LEFT(C289,3)</f>
        <v>741</v>
      </c>
      <c r="F289" s="2" t="str">
        <f aca="false">IF(D289="","",LEFT(D289,3))</f>
        <v>713</v>
      </c>
      <c r="G289" s="2" t="str">
        <f aca="false">IF(F289="","",IF(E289=F289,"Yes","No"))</f>
        <v>No</v>
      </c>
      <c r="H289" s="2" t="n">
        <f aca="false">IF(D289="",0,1/COUNTIF($D$2:$D$3451,D289))</f>
        <v>1</v>
      </c>
      <c r="I289" s="13" t="n">
        <f aca="false">IFERROR(INDEX('NCO-2015 scores'!$C$2:$C$131,MATCH(E289,'NCO-2015 scores'!$A$2:$A$131,0)),0)</f>
        <v>0.17</v>
      </c>
      <c r="J289" s="13" t="n">
        <f aca="false">IF(ISNUMBER(MATCH(E289,'NCO-2015 scores'!$A$2:$A$131,0)),IF(ISNUMBER(INDEX('NCO-2015 scores'!$C$2:$C$131,MATCH(E289,'NCO-2015 scores'!$A$2:$A$131,0))),1,0),0)</f>
        <v>1</v>
      </c>
    </row>
    <row r="290" customFormat="false" ht="15" hidden="false" customHeight="false" outlineLevel="0" collapsed="false">
      <c r="A290" s="2" t="n">
        <v>288</v>
      </c>
      <c r="B290" s="2" t="s">
        <v>1281</v>
      </c>
      <c r="C290" s="2" t="s">
        <v>1282</v>
      </c>
      <c r="D290" s="2" t="s">
        <v>1283</v>
      </c>
      <c r="E290" s="2" t="str">
        <f aca="false">LEFT(C290,3)</f>
        <v>741</v>
      </c>
      <c r="F290" s="2" t="str">
        <f aca="false">IF(D290="","",LEFT(D290,3))</f>
        <v>713</v>
      </c>
      <c r="G290" s="2" t="str">
        <f aca="false">IF(F290="","",IF(E290=F290,"Yes","No"))</f>
        <v>No</v>
      </c>
      <c r="H290" s="2" t="n">
        <f aca="false">IF(D290="",0,1/COUNTIF($D$2:$D$3451,D290))</f>
        <v>1</v>
      </c>
      <c r="I290" s="13" t="n">
        <f aca="false">IFERROR(INDEX('NCO-2015 scores'!$C$2:$C$131,MATCH(E290,'NCO-2015 scores'!$A$2:$A$131,0)),0)</f>
        <v>0.17</v>
      </c>
      <c r="J290" s="13" t="n">
        <f aca="false">IF(ISNUMBER(MATCH(E290,'NCO-2015 scores'!$A$2:$A$131,0)),IF(ISNUMBER(INDEX('NCO-2015 scores'!$C$2:$C$131,MATCH(E290,'NCO-2015 scores'!$A$2:$A$131,0))),1,0),0)</f>
        <v>1</v>
      </c>
    </row>
    <row r="291" customFormat="false" ht="15" hidden="false" customHeight="false" outlineLevel="0" collapsed="false">
      <c r="A291" s="2" t="n">
        <v>289</v>
      </c>
      <c r="B291" s="2" t="s">
        <v>1284</v>
      </c>
      <c r="C291" s="2" t="s">
        <v>1285</v>
      </c>
      <c r="D291" s="2" t="s">
        <v>1286</v>
      </c>
      <c r="E291" s="2" t="str">
        <f aca="false">LEFT(C291,3)</f>
        <v>216</v>
      </c>
      <c r="F291" s="2" t="str">
        <f aca="false">IF(D291="","",LEFT(D291,3))</f>
        <v>214</v>
      </c>
      <c r="G291" s="2" t="str">
        <f aca="false">IF(F291="","",IF(E291=F291,"Yes","No"))</f>
        <v>No</v>
      </c>
      <c r="H291" s="2" t="n">
        <f aca="false">IF(D291="",0,1/COUNTIF($D$2:$D$3451,D291))</f>
        <v>1</v>
      </c>
      <c r="I291" s="13" t="n">
        <f aca="false">IFERROR(INDEX('NCO-2015 scores'!$C$2:$C$131,MATCH(E291,'NCO-2015 scores'!$A$2:$A$131,0)),0)</f>
        <v>0.405</v>
      </c>
      <c r="J291" s="13" t="n">
        <f aca="false">IF(ISNUMBER(MATCH(E291,'NCO-2015 scores'!$A$2:$A$131,0)),IF(ISNUMBER(INDEX('NCO-2015 scores'!$C$2:$C$131,MATCH(E291,'NCO-2015 scores'!$A$2:$A$131,0))),1,0),0)</f>
        <v>1</v>
      </c>
    </row>
    <row r="292" customFormat="false" ht="15" hidden="false" customHeight="false" outlineLevel="0" collapsed="false">
      <c r="A292" s="2" t="n">
        <v>290</v>
      </c>
      <c r="B292" s="2" t="s">
        <v>1287</v>
      </c>
      <c r="C292" s="2" t="s">
        <v>1288</v>
      </c>
      <c r="D292" s="2" t="s">
        <v>1289</v>
      </c>
      <c r="E292" s="2" t="str">
        <f aca="false">LEFT(C292,3)</f>
        <v>216</v>
      </c>
      <c r="F292" s="2" t="str">
        <f aca="false">IF(D292="","",LEFT(D292,3))</f>
        <v>214</v>
      </c>
      <c r="G292" s="2" t="str">
        <f aca="false">IF(F292="","",IF(E292=F292,"Yes","No"))</f>
        <v>No</v>
      </c>
      <c r="H292" s="2" t="n">
        <f aca="false">IF(D292="",0,1/COUNTIF($D$2:$D$3451,D292))</f>
        <v>1</v>
      </c>
      <c r="I292" s="13" t="n">
        <f aca="false">IFERROR(INDEX('NCO-2015 scores'!$C$2:$C$131,MATCH(E292,'NCO-2015 scores'!$A$2:$A$131,0)),0)</f>
        <v>0.405</v>
      </c>
      <c r="J292" s="13" t="n">
        <f aca="false">IF(ISNUMBER(MATCH(E292,'NCO-2015 scores'!$A$2:$A$131,0)),IF(ISNUMBER(INDEX('NCO-2015 scores'!$C$2:$C$131,MATCH(E292,'NCO-2015 scores'!$A$2:$A$131,0))),1,0),0)</f>
        <v>1</v>
      </c>
    </row>
    <row r="293" customFormat="false" ht="15" hidden="false" customHeight="false" outlineLevel="0" collapsed="false">
      <c r="A293" s="2" t="n">
        <v>291</v>
      </c>
      <c r="B293" s="2" t="s">
        <v>1290</v>
      </c>
      <c r="C293" s="2" t="s">
        <v>1291</v>
      </c>
      <c r="D293" s="2" t="s">
        <v>1292</v>
      </c>
      <c r="E293" s="2" t="str">
        <f aca="false">LEFT(C293,3)</f>
        <v>515</v>
      </c>
      <c r="F293" s="2" t="str">
        <f aca="false">IF(D293="","",LEFT(D293,3))</f>
        <v>914</v>
      </c>
      <c r="G293" s="2" t="str">
        <f aca="false">IF(F293="","",IF(E293=F293,"Yes","No"))</f>
        <v>No</v>
      </c>
      <c r="H293" s="2" t="n">
        <f aca="false">IF(D293="",0,1/COUNTIF($D$2:$D$3451,D293))</f>
        <v>1</v>
      </c>
      <c r="I293" s="13" t="n">
        <f aca="false">IFERROR(INDEX('NCO-2015 scores'!$C$2:$C$131,MATCH(E293,'NCO-2015 scores'!$A$2:$A$131,0)),0)</f>
        <v>0.23</v>
      </c>
      <c r="J293" s="13" t="n">
        <f aca="false">IF(ISNUMBER(MATCH(E293,'NCO-2015 scores'!$A$2:$A$131,0)),IF(ISNUMBER(INDEX('NCO-2015 scores'!$C$2:$C$131,MATCH(E293,'NCO-2015 scores'!$A$2:$A$131,0))),1,0),0)</f>
        <v>1</v>
      </c>
    </row>
    <row r="294" customFormat="false" ht="15" hidden="false" customHeight="false" outlineLevel="0" collapsed="false">
      <c r="A294" s="2" t="n">
        <v>292</v>
      </c>
      <c r="B294" s="2" t="s">
        <v>1293</v>
      </c>
      <c r="C294" s="2" t="s">
        <v>1294</v>
      </c>
      <c r="D294" s="2" t="s">
        <v>1295</v>
      </c>
      <c r="E294" s="2" t="str">
        <f aca="false">LEFT(C294,3)</f>
        <v>515</v>
      </c>
      <c r="F294" s="2" t="str">
        <f aca="false">IF(D294="","",LEFT(D294,3))</f>
        <v>914</v>
      </c>
      <c r="G294" s="2" t="str">
        <f aca="false">IF(F294="","",IF(E294=F294,"Yes","No"))</f>
        <v>No</v>
      </c>
      <c r="H294" s="2" t="n">
        <f aca="false">IF(D294="",0,1/COUNTIF($D$2:$D$3451,D294))</f>
        <v>1</v>
      </c>
      <c r="I294" s="13" t="n">
        <f aca="false">IFERROR(INDEX('NCO-2015 scores'!$C$2:$C$131,MATCH(E294,'NCO-2015 scores'!$A$2:$A$131,0)),0)</f>
        <v>0.23</v>
      </c>
      <c r="J294" s="13" t="n">
        <f aca="false">IF(ISNUMBER(MATCH(E294,'NCO-2015 scores'!$A$2:$A$131,0)),IF(ISNUMBER(INDEX('NCO-2015 scores'!$C$2:$C$131,MATCH(E294,'NCO-2015 scores'!$A$2:$A$131,0))),1,0),0)</f>
        <v>1</v>
      </c>
    </row>
    <row r="295" customFormat="false" ht="15" hidden="false" customHeight="false" outlineLevel="0" collapsed="false">
      <c r="A295" s="2" t="n">
        <v>293</v>
      </c>
      <c r="B295" s="2" t="s">
        <v>1296</v>
      </c>
      <c r="C295" s="2" t="s">
        <v>1297</v>
      </c>
      <c r="D295" s="2" t="s">
        <v>1298</v>
      </c>
      <c r="E295" s="2" t="str">
        <f aca="false">LEFT(C295,3)</f>
        <v>515</v>
      </c>
      <c r="F295" s="2" t="str">
        <f aca="false">IF(D295="","",LEFT(D295,3))</f>
        <v>914</v>
      </c>
      <c r="G295" s="2" t="str">
        <f aca="false">IF(F295="","",IF(E295=F295,"Yes","No"))</f>
        <v>No</v>
      </c>
      <c r="H295" s="2" t="n">
        <f aca="false">IF(D295="",0,1/COUNTIF($D$2:$D$3451,D295))</f>
        <v>1</v>
      </c>
      <c r="I295" s="13" t="n">
        <f aca="false">IFERROR(INDEX('NCO-2015 scores'!$C$2:$C$131,MATCH(E295,'NCO-2015 scores'!$A$2:$A$131,0)),0)</f>
        <v>0.23</v>
      </c>
      <c r="J295" s="13" t="n">
        <f aca="false">IF(ISNUMBER(MATCH(E295,'NCO-2015 scores'!$A$2:$A$131,0)),IF(ISNUMBER(INDEX('NCO-2015 scores'!$C$2:$C$131,MATCH(E295,'NCO-2015 scores'!$A$2:$A$131,0))),1,0),0)</f>
        <v>1</v>
      </c>
    </row>
    <row r="296" customFormat="false" ht="15" hidden="false" customHeight="false" outlineLevel="0" collapsed="false">
      <c r="A296" s="2" t="n">
        <v>294</v>
      </c>
      <c r="B296" s="2" t="s">
        <v>1299</v>
      </c>
      <c r="C296" s="2" t="s">
        <v>1300</v>
      </c>
      <c r="D296" s="2" t="s">
        <v>1301</v>
      </c>
      <c r="E296" s="2" t="str">
        <f aca="false">LEFT(C296,3)</f>
        <v>515</v>
      </c>
      <c r="F296" s="2" t="str">
        <f aca="false">IF(D296="","",LEFT(D296,3))</f>
        <v>914</v>
      </c>
      <c r="G296" s="2" t="str">
        <f aca="false">IF(F296="","",IF(E296=F296,"Yes","No"))</f>
        <v>No</v>
      </c>
      <c r="H296" s="2" t="n">
        <f aca="false">IF(D296="",0,1/COUNTIF($D$2:$D$3451,D296))</f>
        <v>1</v>
      </c>
      <c r="I296" s="13" t="n">
        <f aca="false">IFERROR(INDEX('NCO-2015 scores'!$C$2:$C$131,MATCH(E296,'NCO-2015 scores'!$A$2:$A$131,0)),0)</f>
        <v>0.23</v>
      </c>
      <c r="J296" s="13" t="n">
        <f aca="false">IF(ISNUMBER(MATCH(E296,'NCO-2015 scores'!$A$2:$A$131,0)),IF(ISNUMBER(INDEX('NCO-2015 scores'!$C$2:$C$131,MATCH(E296,'NCO-2015 scores'!$A$2:$A$131,0))),1,0),0)</f>
        <v>1</v>
      </c>
    </row>
    <row r="297" customFormat="false" ht="15" hidden="false" customHeight="false" outlineLevel="0" collapsed="false">
      <c r="A297" s="2" t="n">
        <v>295</v>
      </c>
      <c r="B297" s="2" t="s">
        <v>1302</v>
      </c>
      <c r="C297" s="2" t="s">
        <v>1303</v>
      </c>
      <c r="D297" s="2" t="s">
        <v>1304</v>
      </c>
      <c r="E297" s="2" t="str">
        <f aca="false">LEFT(C297,3)</f>
        <v>931</v>
      </c>
      <c r="F297" s="2" t="str">
        <f aca="false">IF(D297="","",LEFT(D297,3))</f>
        <v>931</v>
      </c>
      <c r="G297" s="2" t="str">
        <f aca="false">IF(F297="","",IF(E297=F297,"Yes","No"))</f>
        <v>Yes</v>
      </c>
      <c r="H297" s="2" t="n">
        <f aca="false">IF(D297="",0,1/COUNTIF($D$2:$D$3451,D297))</f>
        <v>1</v>
      </c>
      <c r="I297" s="13" t="n">
        <f aca="false">IFERROR(INDEX('NCO-2015 scores'!$C$2:$C$131,MATCH(E297,'NCO-2015 scores'!$A$2:$A$131,0)),0)</f>
        <v>0.0967</v>
      </c>
      <c r="J297" s="13" t="n">
        <f aca="false">IF(ISNUMBER(MATCH(E297,'NCO-2015 scores'!$A$2:$A$131,0)),IF(ISNUMBER(INDEX('NCO-2015 scores'!$C$2:$C$131,MATCH(E297,'NCO-2015 scores'!$A$2:$A$131,0))),1,0),0)</f>
        <v>1</v>
      </c>
    </row>
    <row r="298" customFormat="false" ht="15" hidden="false" customHeight="false" outlineLevel="0" collapsed="false">
      <c r="A298" s="2" t="n">
        <v>296</v>
      </c>
      <c r="B298" s="2" t="s">
        <v>1305</v>
      </c>
      <c r="C298" s="2" t="s">
        <v>1306</v>
      </c>
      <c r="D298" s="2"/>
      <c r="E298" s="2" t="str">
        <f aca="false">LEFT(C298,3)</f>
        <v>931</v>
      </c>
      <c r="F298" s="2" t="str">
        <f aca="false">IF(D298="","",LEFT(D298,3))</f>
        <v/>
      </c>
      <c r="G298" s="2" t="str">
        <f aca="false">IF(F298="","",IF(E298=F298,"Yes","No"))</f>
        <v/>
      </c>
      <c r="H298" s="2" t="n">
        <f aca="false">IF(D298="",0,1/COUNTIF($D$2:$D$3451,D298))</f>
        <v>0</v>
      </c>
      <c r="I298" s="13" t="n">
        <f aca="false">IFERROR(INDEX('NCO-2015 scores'!$C$2:$C$131,MATCH(E298,'NCO-2015 scores'!$A$2:$A$131,0)),0)</f>
        <v>0.0967</v>
      </c>
      <c r="J298" s="13" t="n">
        <f aca="false">IF(ISNUMBER(MATCH(E298,'NCO-2015 scores'!$A$2:$A$131,0)),IF(ISNUMBER(INDEX('NCO-2015 scores'!$C$2:$C$131,MATCH(E298,'NCO-2015 scores'!$A$2:$A$131,0))),1,0),0)</f>
        <v>1</v>
      </c>
    </row>
    <row r="299" customFormat="false" ht="15" hidden="false" customHeight="false" outlineLevel="0" collapsed="false">
      <c r="A299" s="2" t="n">
        <v>297</v>
      </c>
      <c r="B299" s="2" t="s">
        <v>1307</v>
      </c>
      <c r="C299" s="2" t="s">
        <v>1308</v>
      </c>
      <c r="D299" s="2"/>
      <c r="E299" s="2" t="str">
        <f aca="false">LEFT(C299,3)</f>
        <v>931</v>
      </c>
      <c r="F299" s="2" t="str">
        <f aca="false">IF(D299="","",LEFT(D299,3))</f>
        <v/>
      </c>
      <c r="G299" s="2" t="str">
        <f aca="false">IF(F299="","",IF(E299=F299,"Yes","No"))</f>
        <v/>
      </c>
      <c r="H299" s="2" t="n">
        <f aca="false">IF(D299="",0,1/COUNTIF($D$2:$D$3451,D299))</f>
        <v>0</v>
      </c>
      <c r="I299" s="13" t="n">
        <f aca="false">IFERROR(INDEX('NCO-2015 scores'!$C$2:$C$131,MATCH(E299,'NCO-2015 scores'!$A$2:$A$131,0)),0)</f>
        <v>0.0967</v>
      </c>
      <c r="J299" s="13" t="n">
        <f aca="false">IF(ISNUMBER(MATCH(E299,'NCO-2015 scores'!$A$2:$A$131,0)),IF(ISNUMBER(INDEX('NCO-2015 scores'!$C$2:$C$131,MATCH(E299,'NCO-2015 scores'!$A$2:$A$131,0))),1,0),0)</f>
        <v>1</v>
      </c>
    </row>
    <row r="300" customFormat="false" ht="15" hidden="false" customHeight="false" outlineLevel="0" collapsed="false">
      <c r="A300" s="2" t="n">
        <v>298</v>
      </c>
      <c r="B300" s="2" t="s">
        <v>1309</v>
      </c>
      <c r="C300" s="2" t="s">
        <v>1310</v>
      </c>
      <c r="D300" s="2"/>
      <c r="E300" s="2" t="str">
        <f aca="false">LEFT(C300,3)</f>
        <v>931</v>
      </c>
      <c r="F300" s="2" t="str">
        <f aca="false">IF(D300="","",LEFT(D300,3))</f>
        <v/>
      </c>
      <c r="G300" s="2" t="str">
        <f aca="false">IF(F300="","",IF(E300=F300,"Yes","No"))</f>
        <v/>
      </c>
      <c r="H300" s="2" t="n">
        <f aca="false">IF(D300="",0,1/COUNTIF($D$2:$D$3451,D300))</f>
        <v>0</v>
      </c>
      <c r="I300" s="13" t="n">
        <f aca="false">IFERROR(INDEX('NCO-2015 scores'!$C$2:$C$131,MATCH(E300,'NCO-2015 scores'!$A$2:$A$131,0)),0)</f>
        <v>0.0967</v>
      </c>
      <c r="J300" s="13" t="n">
        <f aca="false">IF(ISNUMBER(MATCH(E300,'NCO-2015 scores'!$A$2:$A$131,0)),IF(ISNUMBER(INDEX('NCO-2015 scores'!$C$2:$C$131,MATCH(E300,'NCO-2015 scores'!$A$2:$A$131,0))),1,0),0)</f>
        <v>1</v>
      </c>
    </row>
    <row r="301" customFormat="false" ht="15" hidden="false" customHeight="false" outlineLevel="0" collapsed="false">
      <c r="A301" s="2" t="n">
        <v>299</v>
      </c>
      <c r="B301" s="2" t="s">
        <v>1311</v>
      </c>
      <c r="C301" s="2" t="s">
        <v>1312</v>
      </c>
      <c r="D301" s="2"/>
      <c r="E301" s="2" t="str">
        <f aca="false">LEFT(C301,3)</f>
        <v>931</v>
      </c>
      <c r="F301" s="2" t="str">
        <f aca="false">IF(D301="","",LEFT(D301,3))</f>
        <v/>
      </c>
      <c r="G301" s="2" t="str">
        <f aca="false">IF(F301="","",IF(E301=F301,"Yes","No"))</f>
        <v/>
      </c>
      <c r="H301" s="2" t="n">
        <f aca="false">IF(D301="",0,1/COUNTIF($D$2:$D$3451,D301))</f>
        <v>0</v>
      </c>
      <c r="I301" s="13" t="n">
        <f aca="false">IFERROR(INDEX('NCO-2015 scores'!$C$2:$C$131,MATCH(E301,'NCO-2015 scores'!$A$2:$A$131,0)),0)</f>
        <v>0.0967</v>
      </c>
      <c r="J301" s="13" t="n">
        <f aca="false">IF(ISNUMBER(MATCH(E301,'NCO-2015 scores'!$A$2:$A$131,0)),IF(ISNUMBER(INDEX('NCO-2015 scores'!$C$2:$C$131,MATCH(E301,'NCO-2015 scores'!$A$2:$A$131,0))),1,0),0)</f>
        <v>1</v>
      </c>
    </row>
    <row r="302" customFormat="false" ht="15" hidden="false" customHeight="false" outlineLevel="0" collapsed="false">
      <c r="A302" s="2" t="n">
        <v>300</v>
      </c>
      <c r="B302" s="2" t="s">
        <v>1313</v>
      </c>
      <c r="C302" s="2" t="s">
        <v>1314</v>
      </c>
      <c r="D302" s="2"/>
      <c r="E302" s="2" t="str">
        <f aca="false">LEFT(C302,3)</f>
        <v>931</v>
      </c>
      <c r="F302" s="2" t="str">
        <f aca="false">IF(D302="","",LEFT(D302,3))</f>
        <v/>
      </c>
      <c r="G302" s="2" t="str">
        <f aca="false">IF(F302="","",IF(E302=F302,"Yes","No"))</f>
        <v/>
      </c>
      <c r="H302" s="2" t="n">
        <f aca="false">IF(D302="",0,1/COUNTIF($D$2:$D$3451,D302))</f>
        <v>0</v>
      </c>
      <c r="I302" s="13" t="n">
        <f aca="false">IFERROR(INDEX('NCO-2015 scores'!$C$2:$C$131,MATCH(E302,'NCO-2015 scores'!$A$2:$A$131,0)),0)</f>
        <v>0.0967</v>
      </c>
      <c r="J302" s="13" t="n">
        <f aca="false">IF(ISNUMBER(MATCH(E302,'NCO-2015 scores'!$A$2:$A$131,0)),IF(ISNUMBER(INDEX('NCO-2015 scores'!$C$2:$C$131,MATCH(E302,'NCO-2015 scores'!$A$2:$A$131,0))),1,0),0)</f>
        <v>1</v>
      </c>
    </row>
    <row r="303" customFormat="false" ht="15" hidden="false" customHeight="false" outlineLevel="0" collapsed="false">
      <c r="A303" s="2" t="n">
        <v>301</v>
      </c>
      <c r="B303" s="2" t="s">
        <v>1315</v>
      </c>
      <c r="C303" s="2" t="s">
        <v>1316</v>
      </c>
      <c r="D303" s="2" t="s">
        <v>1317</v>
      </c>
      <c r="E303" s="2" t="str">
        <f aca="false">LEFT(C303,3)</f>
        <v>931</v>
      </c>
      <c r="F303" s="2" t="str">
        <f aca="false">IF(D303="","",LEFT(D303,3))</f>
        <v>931</v>
      </c>
      <c r="G303" s="2" t="str">
        <f aca="false">IF(F303="","",IF(E303=F303,"Yes","No"))</f>
        <v>Yes</v>
      </c>
      <c r="H303" s="2" t="n">
        <f aca="false">IF(D303="",0,1/COUNTIF($D$2:$D$3451,D303))</f>
        <v>1</v>
      </c>
      <c r="I303" s="13" t="n">
        <f aca="false">IFERROR(INDEX('NCO-2015 scores'!$C$2:$C$131,MATCH(E303,'NCO-2015 scores'!$A$2:$A$131,0)),0)</f>
        <v>0.0967</v>
      </c>
      <c r="J303" s="13" t="n">
        <f aca="false">IF(ISNUMBER(MATCH(E303,'NCO-2015 scores'!$A$2:$A$131,0)),IF(ISNUMBER(INDEX('NCO-2015 scores'!$C$2:$C$131,MATCH(E303,'NCO-2015 scores'!$A$2:$A$131,0))),1,0),0)</f>
        <v>1</v>
      </c>
    </row>
    <row r="304" customFormat="false" ht="15" hidden="false" customHeight="false" outlineLevel="0" collapsed="false">
      <c r="A304" s="2" t="n">
        <v>302</v>
      </c>
      <c r="B304" s="2" t="s">
        <v>1318</v>
      </c>
      <c r="C304" s="2" t="s">
        <v>1319</v>
      </c>
      <c r="D304" s="2"/>
      <c r="E304" s="2" t="str">
        <f aca="false">LEFT(C304,3)</f>
        <v>931</v>
      </c>
      <c r="F304" s="2" t="str">
        <f aca="false">IF(D304="","",LEFT(D304,3))</f>
        <v/>
      </c>
      <c r="G304" s="2" t="str">
        <f aca="false">IF(F304="","",IF(E304=F304,"Yes","No"))</f>
        <v/>
      </c>
      <c r="H304" s="2" t="n">
        <f aca="false">IF(D304="",0,1/COUNTIF($D$2:$D$3451,D304))</f>
        <v>0</v>
      </c>
      <c r="I304" s="13" t="n">
        <f aca="false">IFERROR(INDEX('NCO-2015 scores'!$C$2:$C$131,MATCH(E304,'NCO-2015 scores'!$A$2:$A$131,0)),0)</f>
        <v>0.0967</v>
      </c>
      <c r="J304" s="13" t="n">
        <f aca="false">IF(ISNUMBER(MATCH(E304,'NCO-2015 scores'!$A$2:$A$131,0)),IF(ISNUMBER(INDEX('NCO-2015 scores'!$C$2:$C$131,MATCH(E304,'NCO-2015 scores'!$A$2:$A$131,0))),1,0),0)</f>
        <v>1</v>
      </c>
    </row>
    <row r="305" customFormat="false" ht="15" hidden="false" customHeight="false" outlineLevel="0" collapsed="false">
      <c r="A305" s="2" t="n">
        <v>303</v>
      </c>
      <c r="B305" s="2" t="s">
        <v>1320</v>
      </c>
      <c r="C305" s="2" t="s">
        <v>1321</v>
      </c>
      <c r="D305" s="2"/>
      <c r="E305" s="2" t="str">
        <f aca="false">LEFT(C305,3)</f>
        <v>711</v>
      </c>
      <c r="F305" s="2" t="str">
        <f aca="false">IF(D305="","",LEFT(D305,3))</f>
        <v/>
      </c>
      <c r="G305" s="2" t="str">
        <f aca="false">IF(F305="","",IF(E305=F305,"Yes","No"))</f>
        <v/>
      </c>
      <c r="H305" s="2" t="n">
        <f aca="false">IF(D305="",0,1/COUNTIF($D$2:$D$3451,D305))</f>
        <v>0</v>
      </c>
      <c r="I305" s="13" t="n">
        <f aca="false">IFERROR(INDEX('NCO-2015 scores'!$C$2:$C$131,MATCH(E305,'NCO-2015 scores'!$A$2:$A$131,0)),0)</f>
        <v>0.11</v>
      </c>
      <c r="J305" s="13" t="n">
        <f aca="false">IF(ISNUMBER(MATCH(E305,'NCO-2015 scores'!$A$2:$A$131,0)),IF(ISNUMBER(INDEX('NCO-2015 scores'!$C$2:$C$131,MATCH(E305,'NCO-2015 scores'!$A$2:$A$131,0))),1,0),0)</f>
        <v>1</v>
      </c>
    </row>
    <row r="306" customFormat="false" ht="15" hidden="false" customHeight="false" outlineLevel="0" collapsed="false">
      <c r="A306" s="2" t="n">
        <v>304</v>
      </c>
      <c r="B306" s="2" t="s">
        <v>1322</v>
      </c>
      <c r="C306" s="2" t="s">
        <v>1323</v>
      </c>
      <c r="D306" s="2" t="s">
        <v>1324</v>
      </c>
      <c r="E306" s="2" t="str">
        <f aca="false">LEFT(C306,3)</f>
        <v>711</v>
      </c>
      <c r="F306" s="2" t="str">
        <f aca="false">IF(D306="","",LEFT(D306,3))</f>
        <v>712</v>
      </c>
      <c r="G306" s="2" t="str">
        <f aca="false">IF(F306="","",IF(E306=F306,"Yes","No"))</f>
        <v>No</v>
      </c>
      <c r="H306" s="2" t="n">
        <f aca="false">IF(D306="",0,1/COUNTIF($D$2:$D$3451,D306))</f>
        <v>1</v>
      </c>
      <c r="I306" s="13" t="n">
        <f aca="false">IFERROR(INDEX('NCO-2015 scores'!$C$2:$C$131,MATCH(E306,'NCO-2015 scores'!$A$2:$A$131,0)),0)</f>
        <v>0.11</v>
      </c>
      <c r="J306" s="13" t="n">
        <f aca="false">IF(ISNUMBER(MATCH(E306,'NCO-2015 scores'!$A$2:$A$131,0)),IF(ISNUMBER(INDEX('NCO-2015 scores'!$C$2:$C$131,MATCH(E306,'NCO-2015 scores'!$A$2:$A$131,0))),1,0),0)</f>
        <v>1</v>
      </c>
    </row>
    <row r="307" customFormat="false" ht="15" hidden="false" customHeight="false" outlineLevel="0" collapsed="false">
      <c r="A307" s="2" t="n">
        <v>305</v>
      </c>
      <c r="B307" s="2" t="s">
        <v>1325</v>
      </c>
      <c r="C307" s="2" t="s">
        <v>1326</v>
      </c>
      <c r="D307" s="2" t="s">
        <v>1327</v>
      </c>
      <c r="E307" s="2" t="str">
        <f aca="false">LEFT(C307,3)</f>
        <v>711</v>
      </c>
      <c r="F307" s="2" t="str">
        <f aca="false">IF(D307="","",LEFT(D307,3))</f>
        <v>712</v>
      </c>
      <c r="G307" s="2" t="str">
        <f aca="false">IF(F307="","",IF(E307=F307,"Yes","No"))</f>
        <v>No</v>
      </c>
      <c r="H307" s="2" t="n">
        <f aca="false">IF(D307="",0,1/COUNTIF($D$2:$D$3451,D307))</f>
        <v>1</v>
      </c>
      <c r="I307" s="13" t="n">
        <f aca="false">IFERROR(INDEX('NCO-2015 scores'!$C$2:$C$131,MATCH(E307,'NCO-2015 scores'!$A$2:$A$131,0)),0)</f>
        <v>0.11</v>
      </c>
      <c r="J307" s="13" t="n">
        <f aca="false">IF(ISNUMBER(MATCH(E307,'NCO-2015 scores'!$A$2:$A$131,0)),IF(ISNUMBER(INDEX('NCO-2015 scores'!$C$2:$C$131,MATCH(E307,'NCO-2015 scores'!$A$2:$A$131,0))),1,0),0)</f>
        <v>1</v>
      </c>
    </row>
    <row r="308" customFormat="false" ht="15" hidden="false" customHeight="false" outlineLevel="0" collapsed="false">
      <c r="A308" s="2" t="n">
        <v>306</v>
      </c>
      <c r="B308" s="2" t="s">
        <v>1328</v>
      </c>
      <c r="C308" s="2" t="s">
        <v>1329</v>
      </c>
      <c r="D308" s="2" t="s">
        <v>1330</v>
      </c>
      <c r="E308" s="2" t="str">
        <f aca="false">LEFT(C308,3)</f>
        <v>711</v>
      </c>
      <c r="F308" s="2" t="str">
        <f aca="false">IF(D308="","",LEFT(D308,3))</f>
        <v>712</v>
      </c>
      <c r="G308" s="2" t="str">
        <f aca="false">IF(F308="","",IF(E308=F308,"Yes","No"))</f>
        <v>No</v>
      </c>
      <c r="H308" s="2" t="n">
        <f aca="false">IF(D308="",0,1/COUNTIF($D$2:$D$3451,D308))</f>
        <v>1</v>
      </c>
      <c r="I308" s="13" t="n">
        <f aca="false">IFERROR(INDEX('NCO-2015 scores'!$C$2:$C$131,MATCH(E308,'NCO-2015 scores'!$A$2:$A$131,0)),0)</f>
        <v>0.11</v>
      </c>
      <c r="J308" s="13" t="n">
        <f aca="false">IF(ISNUMBER(MATCH(E308,'NCO-2015 scores'!$A$2:$A$131,0)),IF(ISNUMBER(INDEX('NCO-2015 scores'!$C$2:$C$131,MATCH(E308,'NCO-2015 scores'!$A$2:$A$131,0))),1,0),0)</f>
        <v>1</v>
      </c>
    </row>
    <row r="309" customFormat="false" ht="15" hidden="false" customHeight="false" outlineLevel="0" collapsed="false">
      <c r="A309" s="2" t="n">
        <v>307</v>
      </c>
      <c r="B309" s="2" t="s">
        <v>1331</v>
      </c>
      <c r="C309" s="2" t="s">
        <v>1332</v>
      </c>
      <c r="D309" s="2" t="s">
        <v>1333</v>
      </c>
      <c r="E309" s="2" t="str">
        <f aca="false">LEFT(C309,3)</f>
        <v>833</v>
      </c>
      <c r="F309" s="2" t="str">
        <f aca="false">IF(D309="","",LEFT(D309,3))</f>
        <v>832</v>
      </c>
      <c r="G309" s="2" t="str">
        <f aca="false">IF(F309="","",IF(E309=F309,"Yes","No"))</f>
        <v>No</v>
      </c>
      <c r="H309" s="2" t="n">
        <f aca="false">IF(D309="",0,1/COUNTIF($D$2:$D$3451,D309))</f>
        <v>1</v>
      </c>
      <c r="I309" s="13" t="n">
        <f aca="false">IFERROR(INDEX('NCO-2015 scores'!$C$2:$C$131,MATCH(E309,'NCO-2015 scores'!$A$2:$A$131,0)),0)</f>
        <v>0.21</v>
      </c>
      <c r="J309" s="13" t="n">
        <f aca="false">IF(ISNUMBER(MATCH(E309,'NCO-2015 scores'!$A$2:$A$131,0)),IF(ISNUMBER(INDEX('NCO-2015 scores'!$C$2:$C$131,MATCH(E309,'NCO-2015 scores'!$A$2:$A$131,0))),1,0),0)</f>
        <v>1</v>
      </c>
    </row>
    <row r="310" customFormat="false" ht="15" hidden="false" customHeight="false" outlineLevel="0" collapsed="false">
      <c r="A310" s="2" t="n">
        <v>308</v>
      </c>
      <c r="B310" s="2" t="s">
        <v>1334</v>
      </c>
      <c r="C310" s="2" t="s">
        <v>1335</v>
      </c>
      <c r="D310" s="2" t="s">
        <v>1336</v>
      </c>
      <c r="E310" s="2" t="str">
        <f aca="false">LEFT(C310,3)</f>
        <v>833</v>
      </c>
      <c r="F310" s="2" t="str">
        <f aca="false">IF(D310="","",LEFT(D310,3))</f>
        <v>832</v>
      </c>
      <c r="G310" s="2" t="str">
        <f aca="false">IF(F310="","",IF(E310=F310,"Yes","No"))</f>
        <v>No</v>
      </c>
      <c r="H310" s="2" t="n">
        <f aca="false">IF(D310="",0,1/COUNTIF($D$2:$D$3451,D310))</f>
        <v>1</v>
      </c>
      <c r="I310" s="13" t="n">
        <f aca="false">IFERROR(INDEX('NCO-2015 scores'!$C$2:$C$131,MATCH(E310,'NCO-2015 scores'!$A$2:$A$131,0)),0)</f>
        <v>0.21</v>
      </c>
      <c r="J310" s="13" t="n">
        <f aca="false">IF(ISNUMBER(MATCH(E310,'NCO-2015 scores'!$A$2:$A$131,0)),IF(ISNUMBER(INDEX('NCO-2015 scores'!$C$2:$C$131,MATCH(E310,'NCO-2015 scores'!$A$2:$A$131,0))),1,0),0)</f>
        <v>1</v>
      </c>
    </row>
    <row r="311" customFormat="false" ht="15" hidden="false" customHeight="false" outlineLevel="0" collapsed="false">
      <c r="A311" s="2" t="n">
        <v>309</v>
      </c>
      <c r="B311" s="2" t="s">
        <v>1337</v>
      </c>
      <c r="C311" s="2" t="s">
        <v>1338</v>
      </c>
      <c r="D311" s="2"/>
      <c r="E311" s="2" t="str">
        <f aca="false">LEFT(C311,3)</f>
        <v>833</v>
      </c>
      <c r="F311" s="2" t="str">
        <f aca="false">IF(D311="","",LEFT(D311,3))</f>
        <v/>
      </c>
      <c r="G311" s="2" t="str">
        <f aca="false">IF(F311="","",IF(E311=F311,"Yes","No"))</f>
        <v/>
      </c>
      <c r="H311" s="2" t="n">
        <f aca="false">IF(D311="",0,1/COUNTIF($D$2:$D$3451,D311))</f>
        <v>0</v>
      </c>
      <c r="I311" s="13" t="n">
        <f aca="false">IFERROR(INDEX('NCO-2015 scores'!$C$2:$C$131,MATCH(E311,'NCO-2015 scores'!$A$2:$A$131,0)),0)</f>
        <v>0.21</v>
      </c>
      <c r="J311" s="13" t="n">
        <f aca="false">IF(ISNUMBER(MATCH(E311,'NCO-2015 scores'!$A$2:$A$131,0)),IF(ISNUMBER(INDEX('NCO-2015 scores'!$C$2:$C$131,MATCH(E311,'NCO-2015 scores'!$A$2:$A$131,0))),1,0),0)</f>
        <v>1</v>
      </c>
    </row>
    <row r="312" customFormat="false" ht="15" hidden="false" customHeight="false" outlineLevel="0" collapsed="false">
      <c r="A312" s="2" t="n">
        <v>310</v>
      </c>
      <c r="B312" s="2" t="s">
        <v>1339</v>
      </c>
      <c r="C312" s="2" t="s">
        <v>1340</v>
      </c>
      <c r="D312" s="2" t="s">
        <v>1341</v>
      </c>
      <c r="E312" s="2" t="str">
        <f aca="false">LEFT(C312,3)</f>
        <v>833</v>
      </c>
      <c r="F312" s="2" t="str">
        <f aca="false">IF(D312="","",LEFT(D312,3))</f>
        <v>832</v>
      </c>
      <c r="G312" s="2" t="str">
        <f aca="false">IF(F312="","",IF(E312=F312,"Yes","No"))</f>
        <v>No</v>
      </c>
      <c r="H312" s="2" t="n">
        <f aca="false">IF(D312="",0,1/COUNTIF($D$2:$D$3451,D312))</f>
        <v>1</v>
      </c>
      <c r="I312" s="13" t="n">
        <f aca="false">IFERROR(INDEX('NCO-2015 scores'!$C$2:$C$131,MATCH(E312,'NCO-2015 scores'!$A$2:$A$131,0)),0)</f>
        <v>0.21</v>
      </c>
      <c r="J312" s="13" t="n">
        <f aca="false">IF(ISNUMBER(MATCH(E312,'NCO-2015 scores'!$A$2:$A$131,0)),IF(ISNUMBER(INDEX('NCO-2015 scores'!$C$2:$C$131,MATCH(E312,'NCO-2015 scores'!$A$2:$A$131,0))),1,0),0)</f>
        <v>1</v>
      </c>
    </row>
    <row r="313" customFormat="false" ht="15" hidden="false" customHeight="false" outlineLevel="0" collapsed="false">
      <c r="A313" s="2" t="n">
        <v>311</v>
      </c>
      <c r="B313" s="2" t="s">
        <v>1342</v>
      </c>
      <c r="C313" s="2" t="s">
        <v>1343</v>
      </c>
      <c r="D313" s="2" t="s">
        <v>1344</v>
      </c>
      <c r="E313" s="2" t="str">
        <f aca="false">LEFT(C313,3)</f>
        <v>833</v>
      </c>
      <c r="F313" s="2" t="str">
        <f aca="false">IF(D313="","",LEFT(D313,3))</f>
        <v>832</v>
      </c>
      <c r="G313" s="2" t="str">
        <f aca="false">IF(F313="","",IF(E313=F313,"Yes","No"))</f>
        <v>No</v>
      </c>
      <c r="H313" s="2" t="n">
        <f aca="false">IF(D313="",0,1/COUNTIF($D$2:$D$3451,D313))</f>
        <v>1</v>
      </c>
      <c r="I313" s="13" t="n">
        <f aca="false">IFERROR(INDEX('NCO-2015 scores'!$C$2:$C$131,MATCH(E313,'NCO-2015 scores'!$A$2:$A$131,0)),0)</f>
        <v>0.21</v>
      </c>
      <c r="J313" s="13" t="n">
        <f aca="false">IF(ISNUMBER(MATCH(E313,'NCO-2015 scores'!$A$2:$A$131,0)),IF(ISNUMBER(INDEX('NCO-2015 scores'!$C$2:$C$131,MATCH(E313,'NCO-2015 scores'!$A$2:$A$131,0))),1,0),0)</f>
        <v>1</v>
      </c>
    </row>
    <row r="314" customFormat="false" ht="15" hidden="false" customHeight="false" outlineLevel="0" collapsed="false">
      <c r="A314" s="2" t="n">
        <v>312</v>
      </c>
      <c r="B314" s="2" t="s">
        <v>1345</v>
      </c>
      <c r="C314" s="2" t="s">
        <v>1346</v>
      </c>
      <c r="D314" s="2" t="s">
        <v>1347</v>
      </c>
      <c r="E314" s="2" t="str">
        <f aca="false">LEFT(C314,3)</f>
        <v>833</v>
      </c>
      <c r="F314" s="2" t="str">
        <f aca="false">IF(D314="","",LEFT(D314,3))</f>
        <v>832</v>
      </c>
      <c r="G314" s="2" t="str">
        <f aca="false">IF(F314="","",IF(E314=F314,"Yes","No"))</f>
        <v>No</v>
      </c>
      <c r="H314" s="2" t="n">
        <f aca="false">IF(D314="",0,1/COUNTIF($D$2:$D$3451,D314))</f>
        <v>1</v>
      </c>
      <c r="I314" s="13" t="n">
        <f aca="false">IFERROR(INDEX('NCO-2015 scores'!$C$2:$C$131,MATCH(E314,'NCO-2015 scores'!$A$2:$A$131,0)),0)</f>
        <v>0.21</v>
      </c>
      <c r="J314" s="13" t="n">
        <f aca="false">IF(ISNUMBER(MATCH(E314,'NCO-2015 scores'!$A$2:$A$131,0)),IF(ISNUMBER(INDEX('NCO-2015 scores'!$C$2:$C$131,MATCH(E314,'NCO-2015 scores'!$A$2:$A$131,0))),1,0),0)</f>
        <v>1</v>
      </c>
    </row>
    <row r="315" customFormat="false" ht="15" hidden="false" customHeight="false" outlineLevel="0" collapsed="false">
      <c r="A315" s="2" t="n">
        <v>313</v>
      </c>
      <c r="B315" s="2" t="s">
        <v>1348</v>
      </c>
      <c r="C315" s="2" t="s">
        <v>1349</v>
      </c>
      <c r="D315" s="2" t="s">
        <v>1350</v>
      </c>
      <c r="E315" s="2" t="str">
        <f aca="false">LEFT(C315,3)</f>
        <v>833</v>
      </c>
      <c r="F315" s="2" t="str">
        <f aca="false">IF(D315="","",LEFT(D315,3))</f>
        <v>832</v>
      </c>
      <c r="G315" s="2" t="str">
        <f aca="false">IF(F315="","",IF(E315=F315,"Yes","No"))</f>
        <v>No</v>
      </c>
      <c r="H315" s="2" t="n">
        <f aca="false">IF(D315="",0,1/COUNTIF($D$2:$D$3451,D315))</f>
        <v>1</v>
      </c>
      <c r="I315" s="13" t="n">
        <f aca="false">IFERROR(INDEX('NCO-2015 scores'!$C$2:$C$131,MATCH(E315,'NCO-2015 scores'!$A$2:$A$131,0)),0)</f>
        <v>0.21</v>
      </c>
      <c r="J315" s="13" t="n">
        <f aca="false">IF(ISNUMBER(MATCH(E315,'NCO-2015 scores'!$A$2:$A$131,0)),IF(ISNUMBER(INDEX('NCO-2015 scores'!$C$2:$C$131,MATCH(E315,'NCO-2015 scores'!$A$2:$A$131,0))),1,0),0)</f>
        <v>1</v>
      </c>
    </row>
    <row r="316" customFormat="false" ht="15" hidden="false" customHeight="false" outlineLevel="0" collapsed="false">
      <c r="A316" s="2" t="n">
        <v>314</v>
      </c>
      <c r="B316" s="2" t="s">
        <v>1351</v>
      </c>
      <c r="C316" s="2" t="s">
        <v>1352</v>
      </c>
      <c r="D316" s="2" t="s">
        <v>1353</v>
      </c>
      <c r="E316" s="2" t="str">
        <f aca="false">LEFT(C316,3)</f>
        <v>833</v>
      </c>
      <c r="F316" s="2" t="str">
        <f aca="false">IF(D316="","",LEFT(D316,3))</f>
        <v>832</v>
      </c>
      <c r="G316" s="2" t="str">
        <f aca="false">IF(F316="","",IF(E316=F316,"Yes","No"))</f>
        <v>No</v>
      </c>
      <c r="H316" s="2" t="n">
        <f aca="false">IF(D316="",0,1/COUNTIF($D$2:$D$3451,D316))</f>
        <v>1</v>
      </c>
      <c r="I316" s="13" t="n">
        <f aca="false">IFERROR(INDEX('NCO-2015 scores'!$C$2:$C$131,MATCH(E316,'NCO-2015 scores'!$A$2:$A$131,0)),0)</f>
        <v>0.21</v>
      </c>
      <c r="J316" s="13" t="n">
        <f aca="false">IF(ISNUMBER(MATCH(E316,'NCO-2015 scores'!$A$2:$A$131,0)),IF(ISNUMBER(INDEX('NCO-2015 scores'!$C$2:$C$131,MATCH(E316,'NCO-2015 scores'!$A$2:$A$131,0))),1,0),0)</f>
        <v>1</v>
      </c>
    </row>
    <row r="317" customFormat="false" ht="15" hidden="false" customHeight="false" outlineLevel="0" collapsed="false">
      <c r="A317" s="2" t="n">
        <v>315</v>
      </c>
      <c r="B317" s="2" t="s">
        <v>1354</v>
      </c>
      <c r="C317" s="2" t="s">
        <v>1355</v>
      </c>
      <c r="D317" s="2"/>
      <c r="E317" s="2" t="str">
        <f aca="false">LEFT(C317,3)</f>
        <v>833</v>
      </c>
      <c r="F317" s="2" t="str">
        <f aca="false">IF(D317="","",LEFT(D317,3))</f>
        <v/>
      </c>
      <c r="G317" s="2" t="str">
        <f aca="false">IF(F317="","",IF(E317=F317,"Yes","No"))</f>
        <v/>
      </c>
      <c r="H317" s="2" t="n">
        <f aca="false">IF(D317="",0,1/COUNTIF($D$2:$D$3451,D317))</f>
        <v>0</v>
      </c>
      <c r="I317" s="13" t="n">
        <f aca="false">IFERROR(INDEX('NCO-2015 scores'!$C$2:$C$131,MATCH(E317,'NCO-2015 scores'!$A$2:$A$131,0)),0)</f>
        <v>0.21</v>
      </c>
      <c r="J317" s="13" t="n">
        <f aca="false">IF(ISNUMBER(MATCH(E317,'NCO-2015 scores'!$A$2:$A$131,0)),IF(ISNUMBER(INDEX('NCO-2015 scores'!$C$2:$C$131,MATCH(E317,'NCO-2015 scores'!$A$2:$A$131,0))),1,0),0)</f>
        <v>1</v>
      </c>
    </row>
    <row r="318" customFormat="false" ht="15" hidden="false" customHeight="false" outlineLevel="0" collapsed="false">
      <c r="A318" s="2" t="n">
        <v>316</v>
      </c>
      <c r="B318" s="2" t="s">
        <v>1356</v>
      </c>
      <c r="C318" s="2" t="s">
        <v>1357</v>
      </c>
      <c r="D318" s="2"/>
      <c r="E318" s="2" t="str">
        <f aca="false">LEFT(C318,3)</f>
        <v>833</v>
      </c>
      <c r="F318" s="2" t="str">
        <f aca="false">IF(D318="","",LEFT(D318,3))</f>
        <v/>
      </c>
      <c r="G318" s="2" t="str">
        <f aca="false">IF(F318="","",IF(E318=F318,"Yes","No"))</f>
        <v/>
      </c>
      <c r="H318" s="2" t="n">
        <f aca="false">IF(D318="",0,1/COUNTIF($D$2:$D$3451,D318))</f>
        <v>0</v>
      </c>
      <c r="I318" s="13" t="n">
        <f aca="false">IFERROR(INDEX('NCO-2015 scores'!$C$2:$C$131,MATCH(E318,'NCO-2015 scores'!$A$2:$A$131,0)),0)</f>
        <v>0.21</v>
      </c>
      <c r="J318" s="13" t="n">
        <f aca="false">IF(ISNUMBER(MATCH(E318,'NCO-2015 scores'!$A$2:$A$131,0)),IF(ISNUMBER(INDEX('NCO-2015 scores'!$C$2:$C$131,MATCH(E318,'NCO-2015 scores'!$A$2:$A$131,0))),1,0),0)</f>
        <v>1</v>
      </c>
    </row>
    <row r="319" customFormat="false" ht="15" hidden="false" customHeight="false" outlineLevel="0" collapsed="false">
      <c r="A319" s="2" t="n">
        <v>317</v>
      </c>
      <c r="B319" s="2" t="s">
        <v>1358</v>
      </c>
      <c r="C319" s="2" t="s">
        <v>1359</v>
      </c>
      <c r="D319" s="2" t="s">
        <v>1360</v>
      </c>
      <c r="E319" s="2" t="str">
        <f aca="false">LEFT(C319,3)</f>
        <v>333</v>
      </c>
      <c r="F319" s="2" t="str">
        <f aca="false">IF(D319="","",LEFT(D319,3))</f>
        <v>241</v>
      </c>
      <c r="G319" s="2" t="str">
        <f aca="false">IF(F319="","",IF(E319=F319,"Yes","No"))</f>
        <v>No</v>
      </c>
      <c r="H319" s="2" t="n">
        <f aca="false">IF(D319="",0,1/COUNTIF($D$2:$D$3451,D319))</f>
        <v>1</v>
      </c>
      <c r="I319" s="13" t="n">
        <f aca="false">IFERROR(INDEX('NCO-2015 scores'!$C$2:$C$131,MATCH(E319,'NCO-2015 scores'!$A$2:$A$131,0)),0)</f>
        <v>0.446</v>
      </c>
      <c r="J319" s="13" t="n">
        <f aca="false">IF(ISNUMBER(MATCH(E319,'NCO-2015 scores'!$A$2:$A$131,0)),IF(ISNUMBER(INDEX('NCO-2015 scores'!$C$2:$C$131,MATCH(E319,'NCO-2015 scores'!$A$2:$A$131,0))),1,0),0)</f>
        <v>1</v>
      </c>
    </row>
    <row r="320" customFormat="false" ht="15" hidden="false" customHeight="false" outlineLevel="0" collapsed="false">
      <c r="A320" s="2" t="n">
        <v>318</v>
      </c>
      <c r="B320" s="2" t="s">
        <v>1361</v>
      </c>
      <c r="C320" s="2" t="s">
        <v>1362</v>
      </c>
      <c r="D320" s="2" t="s">
        <v>1363</v>
      </c>
      <c r="E320" s="2" t="str">
        <f aca="false">LEFT(C320,3)</f>
        <v>333</v>
      </c>
      <c r="F320" s="2" t="str">
        <f aca="false">IF(D320="","",LEFT(D320,3))</f>
        <v>341</v>
      </c>
      <c r="G320" s="2" t="str">
        <f aca="false">IF(F320="","",IF(E320=F320,"Yes","No"))</f>
        <v>No</v>
      </c>
      <c r="H320" s="2" t="n">
        <f aca="false">IF(D320="",0,1/COUNTIF($D$2:$D$3451,D320))</f>
        <v>1</v>
      </c>
      <c r="I320" s="13" t="n">
        <f aca="false">IFERROR(INDEX('NCO-2015 scores'!$C$2:$C$131,MATCH(E320,'NCO-2015 scores'!$A$2:$A$131,0)),0)</f>
        <v>0.446</v>
      </c>
      <c r="J320" s="13" t="n">
        <f aca="false">IF(ISNUMBER(MATCH(E320,'NCO-2015 scores'!$A$2:$A$131,0)),IF(ISNUMBER(INDEX('NCO-2015 scores'!$C$2:$C$131,MATCH(E320,'NCO-2015 scores'!$A$2:$A$131,0))),1,0),0)</f>
        <v>1</v>
      </c>
    </row>
    <row r="321" customFormat="false" ht="15" hidden="false" customHeight="false" outlineLevel="0" collapsed="false">
      <c r="A321" s="2" t="n">
        <v>319</v>
      </c>
      <c r="B321" s="2" t="s">
        <v>1364</v>
      </c>
      <c r="C321" s="2" t="s">
        <v>1365</v>
      </c>
      <c r="D321" s="2" t="s">
        <v>1366</v>
      </c>
      <c r="E321" s="2" t="str">
        <f aca="false">LEFT(C321,3)</f>
        <v>333</v>
      </c>
      <c r="F321" s="2" t="str">
        <f aca="false">IF(D321="","",LEFT(D321,3))</f>
        <v>341</v>
      </c>
      <c r="G321" s="2" t="str">
        <f aca="false">IF(F321="","",IF(E321=F321,"Yes","No"))</f>
        <v>No</v>
      </c>
      <c r="H321" s="2" t="n">
        <f aca="false">IF(D321="",0,1/COUNTIF($D$2:$D$3451,D321))</f>
        <v>1</v>
      </c>
      <c r="I321" s="13" t="n">
        <f aca="false">IFERROR(INDEX('NCO-2015 scores'!$C$2:$C$131,MATCH(E321,'NCO-2015 scores'!$A$2:$A$131,0)),0)</f>
        <v>0.446</v>
      </c>
      <c r="J321" s="13" t="n">
        <f aca="false">IF(ISNUMBER(MATCH(E321,'NCO-2015 scores'!$A$2:$A$131,0)),IF(ISNUMBER(INDEX('NCO-2015 scores'!$C$2:$C$131,MATCH(E321,'NCO-2015 scores'!$A$2:$A$131,0))),1,0),0)</f>
        <v>1</v>
      </c>
    </row>
    <row r="322" customFormat="false" ht="15" hidden="false" customHeight="false" outlineLevel="0" collapsed="false">
      <c r="A322" s="2" t="n">
        <v>320</v>
      </c>
      <c r="B322" s="2" t="s">
        <v>1367</v>
      </c>
      <c r="C322" s="2" t="s">
        <v>1368</v>
      </c>
      <c r="D322" s="2" t="s">
        <v>1369</v>
      </c>
      <c r="E322" s="2" t="str">
        <f aca="false">LEFT(C322,3)</f>
        <v>333</v>
      </c>
      <c r="F322" s="2" t="str">
        <f aca="false">IF(D322="","",LEFT(D322,3))</f>
        <v>341</v>
      </c>
      <c r="G322" s="2" t="str">
        <f aca="false">IF(F322="","",IF(E322=F322,"Yes","No"))</f>
        <v>No</v>
      </c>
      <c r="H322" s="2" t="n">
        <f aca="false">IF(D322="",0,1/COUNTIF($D$2:$D$3451,D322))</f>
        <v>1</v>
      </c>
      <c r="I322" s="13" t="n">
        <f aca="false">IFERROR(INDEX('NCO-2015 scores'!$C$2:$C$131,MATCH(E322,'NCO-2015 scores'!$A$2:$A$131,0)),0)</f>
        <v>0.446</v>
      </c>
      <c r="J322" s="13" t="n">
        <f aca="false">IF(ISNUMBER(MATCH(E322,'NCO-2015 scores'!$A$2:$A$131,0)),IF(ISNUMBER(INDEX('NCO-2015 scores'!$C$2:$C$131,MATCH(E322,'NCO-2015 scores'!$A$2:$A$131,0))),1,0),0)</f>
        <v>1</v>
      </c>
    </row>
    <row r="323" customFormat="false" ht="15" hidden="false" customHeight="false" outlineLevel="0" collapsed="false">
      <c r="A323" s="2" t="n">
        <v>321</v>
      </c>
      <c r="B323" s="2" t="s">
        <v>1370</v>
      </c>
      <c r="C323" s="2" t="s">
        <v>1371</v>
      </c>
      <c r="D323" s="2" t="s">
        <v>1372</v>
      </c>
      <c r="E323" s="2" t="str">
        <f aca="false">LEFT(C323,3)</f>
        <v>333</v>
      </c>
      <c r="F323" s="2" t="str">
        <f aca="false">IF(D323="","",LEFT(D323,3))</f>
        <v>342</v>
      </c>
      <c r="G323" s="2" t="str">
        <f aca="false">IF(F323="","",IF(E323=F323,"Yes","No"))</f>
        <v>No</v>
      </c>
      <c r="H323" s="2" t="n">
        <f aca="false">IF(D323="",0,1/COUNTIF($D$2:$D$3451,D323))</f>
        <v>1</v>
      </c>
      <c r="I323" s="13" t="n">
        <f aca="false">IFERROR(INDEX('NCO-2015 scores'!$C$2:$C$131,MATCH(E323,'NCO-2015 scores'!$A$2:$A$131,0)),0)</f>
        <v>0.446</v>
      </c>
      <c r="J323" s="13" t="n">
        <f aca="false">IF(ISNUMBER(MATCH(E323,'NCO-2015 scores'!$A$2:$A$131,0)),IF(ISNUMBER(INDEX('NCO-2015 scores'!$C$2:$C$131,MATCH(E323,'NCO-2015 scores'!$A$2:$A$131,0))),1,0),0)</f>
        <v>1</v>
      </c>
    </row>
    <row r="324" customFormat="false" ht="15" hidden="false" customHeight="false" outlineLevel="0" collapsed="false">
      <c r="A324" s="2" t="n">
        <v>322</v>
      </c>
      <c r="B324" s="2" t="s">
        <v>1373</v>
      </c>
      <c r="C324" s="2" t="s">
        <v>1374</v>
      </c>
      <c r="D324" s="2" t="s">
        <v>1375</v>
      </c>
      <c r="E324" s="2" t="str">
        <f aca="false">LEFT(C324,3)</f>
        <v>121</v>
      </c>
      <c r="F324" s="2" t="str">
        <f aca="false">IF(D324="","",LEFT(D324,3))</f>
        <v>122</v>
      </c>
      <c r="G324" s="2" t="str">
        <f aca="false">IF(F324="","",IF(E324=F324,"Yes","No"))</f>
        <v>No</v>
      </c>
      <c r="H324" s="2" t="n">
        <f aca="false">IF(D324="",0,1/COUNTIF($D$2:$D$3451,D324))</f>
        <v>1</v>
      </c>
      <c r="I324" s="13" t="n">
        <f aca="false">IFERROR(INDEX('NCO-2015 scores'!$C$2:$C$131,MATCH(E324,'NCO-2015 scores'!$A$2:$A$131,0)),0)</f>
        <v>0.3775</v>
      </c>
      <c r="J324" s="13" t="n">
        <f aca="false">IF(ISNUMBER(MATCH(E324,'NCO-2015 scores'!$A$2:$A$131,0)),IF(ISNUMBER(INDEX('NCO-2015 scores'!$C$2:$C$131,MATCH(E324,'NCO-2015 scores'!$A$2:$A$131,0))),1,0),0)</f>
        <v>1</v>
      </c>
    </row>
    <row r="325" customFormat="false" ht="15" hidden="false" customHeight="false" outlineLevel="0" collapsed="false">
      <c r="A325" s="2" t="n">
        <v>323</v>
      </c>
      <c r="B325" s="2" t="s">
        <v>1376</v>
      </c>
      <c r="C325" s="2" t="s">
        <v>1377</v>
      </c>
      <c r="D325" s="2"/>
      <c r="E325" s="2" t="str">
        <f aca="false">LEFT(C325,3)</f>
        <v>121</v>
      </c>
      <c r="F325" s="2" t="str">
        <f aca="false">IF(D325="","",LEFT(D325,3))</f>
        <v/>
      </c>
      <c r="G325" s="2" t="str">
        <f aca="false">IF(F325="","",IF(E325=F325,"Yes","No"))</f>
        <v/>
      </c>
      <c r="H325" s="2" t="n">
        <f aca="false">IF(D325="",0,1/COUNTIF($D$2:$D$3451,D325))</f>
        <v>0</v>
      </c>
      <c r="I325" s="13" t="n">
        <f aca="false">IFERROR(INDEX('NCO-2015 scores'!$C$2:$C$131,MATCH(E325,'NCO-2015 scores'!$A$2:$A$131,0)),0)</f>
        <v>0.3775</v>
      </c>
      <c r="J325" s="13" t="n">
        <f aca="false">IF(ISNUMBER(MATCH(E325,'NCO-2015 scores'!$A$2:$A$131,0)),IF(ISNUMBER(INDEX('NCO-2015 scores'!$C$2:$C$131,MATCH(E325,'NCO-2015 scores'!$A$2:$A$131,0))),1,0),0)</f>
        <v>1</v>
      </c>
    </row>
    <row r="326" customFormat="false" ht="15" hidden="false" customHeight="false" outlineLevel="0" collapsed="false">
      <c r="A326" s="2" t="n">
        <v>324</v>
      </c>
      <c r="B326" s="2" t="s">
        <v>1378</v>
      </c>
      <c r="C326" s="2" t="s">
        <v>1379</v>
      </c>
      <c r="D326" s="2" t="s">
        <v>1380</v>
      </c>
      <c r="E326" s="2" t="str">
        <f aca="false">LEFT(C326,3)</f>
        <v>121</v>
      </c>
      <c r="F326" s="2" t="str">
        <f aca="false">IF(D326="","",LEFT(D326,3))</f>
        <v>122</v>
      </c>
      <c r="G326" s="2" t="str">
        <f aca="false">IF(F326="","",IF(E326=F326,"Yes","No"))</f>
        <v>No</v>
      </c>
      <c r="H326" s="2" t="n">
        <f aca="false">IF(D326="",0,1/COUNTIF($D$2:$D$3451,D326))</f>
        <v>1</v>
      </c>
      <c r="I326" s="13" t="n">
        <f aca="false">IFERROR(INDEX('NCO-2015 scores'!$C$2:$C$131,MATCH(E326,'NCO-2015 scores'!$A$2:$A$131,0)),0)</f>
        <v>0.3775</v>
      </c>
      <c r="J326" s="13" t="n">
        <f aca="false">IF(ISNUMBER(MATCH(E326,'NCO-2015 scores'!$A$2:$A$131,0)),IF(ISNUMBER(INDEX('NCO-2015 scores'!$C$2:$C$131,MATCH(E326,'NCO-2015 scores'!$A$2:$A$131,0))),1,0),0)</f>
        <v>1</v>
      </c>
    </row>
    <row r="327" customFormat="false" ht="15" hidden="false" customHeight="false" outlineLevel="0" collapsed="false">
      <c r="A327" s="2" t="n">
        <v>325</v>
      </c>
      <c r="B327" s="2" t="s">
        <v>1381</v>
      </c>
      <c r="C327" s="2" t="s">
        <v>1382</v>
      </c>
      <c r="D327" s="2" t="s">
        <v>1383</v>
      </c>
      <c r="E327" s="2" t="str">
        <f aca="false">LEFT(C327,3)</f>
        <v>751</v>
      </c>
      <c r="F327" s="2" t="str">
        <f aca="false">IF(D327="","",LEFT(D327,3))</f>
        <v>741</v>
      </c>
      <c r="G327" s="2" t="str">
        <f aca="false">IF(F327="","",IF(E327=F327,"Yes","No"))</f>
        <v>No</v>
      </c>
      <c r="H327" s="2" t="n">
        <f aca="false">IF(D327="",0,1/COUNTIF($D$2:$D$3451,D327))</f>
        <v>1</v>
      </c>
      <c r="I327" s="13" t="n">
        <f aca="false">IFERROR(INDEX('NCO-2015 scores'!$C$2:$C$131,MATCH(E327,'NCO-2015 scores'!$A$2:$A$131,0)),0)</f>
        <v>0.1867</v>
      </c>
      <c r="J327" s="13" t="n">
        <f aca="false">IF(ISNUMBER(MATCH(E327,'NCO-2015 scores'!$A$2:$A$131,0)),IF(ISNUMBER(INDEX('NCO-2015 scores'!$C$2:$C$131,MATCH(E327,'NCO-2015 scores'!$A$2:$A$131,0))),1,0),0)</f>
        <v>1</v>
      </c>
    </row>
    <row r="328" customFormat="false" ht="15" hidden="false" customHeight="false" outlineLevel="0" collapsed="false">
      <c r="A328" s="2" t="n">
        <v>326</v>
      </c>
      <c r="B328" s="2" t="s">
        <v>1384</v>
      </c>
      <c r="C328" s="2" t="s">
        <v>1385</v>
      </c>
      <c r="D328" s="2" t="s">
        <v>1386</v>
      </c>
      <c r="E328" s="2" t="str">
        <f aca="false">LEFT(C328,3)</f>
        <v>751</v>
      </c>
      <c r="F328" s="2" t="str">
        <f aca="false">IF(D328="","",LEFT(D328,3))</f>
        <v>741</v>
      </c>
      <c r="G328" s="2" t="str">
        <f aca="false">IF(F328="","",IF(E328=F328,"Yes","No"))</f>
        <v>No</v>
      </c>
      <c r="H328" s="2" t="n">
        <f aca="false">IF(D328="",0,1/COUNTIF($D$2:$D$3451,D328))</f>
        <v>1</v>
      </c>
      <c r="I328" s="13" t="n">
        <f aca="false">IFERROR(INDEX('NCO-2015 scores'!$C$2:$C$131,MATCH(E328,'NCO-2015 scores'!$A$2:$A$131,0)),0)</f>
        <v>0.1867</v>
      </c>
      <c r="J328" s="13" t="n">
        <f aca="false">IF(ISNUMBER(MATCH(E328,'NCO-2015 scores'!$A$2:$A$131,0)),IF(ISNUMBER(INDEX('NCO-2015 scores'!$C$2:$C$131,MATCH(E328,'NCO-2015 scores'!$A$2:$A$131,0))),1,0),0)</f>
        <v>1</v>
      </c>
    </row>
    <row r="329" customFormat="false" ht="15" hidden="false" customHeight="false" outlineLevel="0" collapsed="false">
      <c r="A329" s="2" t="n">
        <v>327</v>
      </c>
      <c r="B329" s="2" t="s">
        <v>1387</v>
      </c>
      <c r="C329" s="2" t="s">
        <v>1388</v>
      </c>
      <c r="D329" s="2" t="s">
        <v>1389</v>
      </c>
      <c r="E329" s="2" t="str">
        <f aca="false">LEFT(C329,3)</f>
        <v>751</v>
      </c>
      <c r="F329" s="2" t="str">
        <f aca="false">IF(D329="","",LEFT(D329,3))</f>
        <v>741</v>
      </c>
      <c r="G329" s="2" t="str">
        <f aca="false">IF(F329="","",IF(E329=F329,"Yes","No"))</f>
        <v>No</v>
      </c>
      <c r="H329" s="2" t="n">
        <f aca="false">IF(D329="",0,1/COUNTIF($D$2:$D$3451,D329))</f>
        <v>1</v>
      </c>
      <c r="I329" s="13" t="n">
        <f aca="false">IFERROR(INDEX('NCO-2015 scores'!$C$2:$C$131,MATCH(E329,'NCO-2015 scores'!$A$2:$A$131,0)),0)</f>
        <v>0.1867</v>
      </c>
      <c r="J329" s="13" t="n">
        <f aca="false">IF(ISNUMBER(MATCH(E329,'NCO-2015 scores'!$A$2:$A$131,0)),IF(ISNUMBER(INDEX('NCO-2015 scores'!$C$2:$C$131,MATCH(E329,'NCO-2015 scores'!$A$2:$A$131,0))),1,0),0)</f>
        <v>1</v>
      </c>
    </row>
    <row r="330" customFormat="false" ht="15" hidden="false" customHeight="false" outlineLevel="0" collapsed="false">
      <c r="A330" s="2" t="n">
        <v>328</v>
      </c>
      <c r="B330" s="2" t="s">
        <v>1390</v>
      </c>
      <c r="C330" s="2" t="s">
        <v>1391</v>
      </c>
      <c r="D330" s="2" t="s">
        <v>1392</v>
      </c>
      <c r="E330" s="2" t="str">
        <f aca="false">LEFT(C330,3)</f>
        <v>751</v>
      </c>
      <c r="F330" s="2" t="str">
        <f aca="false">IF(D330="","",LEFT(D330,3))</f>
        <v>741</v>
      </c>
      <c r="G330" s="2" t="str">
        <f aca="false">IF(F330="","",IF(E330=F330,"Yes","No"))</f>
        <v>No</v>
      </c>
      <c r="H330" s="2" t="n">
        <f aca="false">IF(D330="",0,1/COUNTIF($D$2:$D$3451,D330))</f>
        <v>1</v>
      </c>
      <c r="I330" s="13" t="n">
        <f aca="false">IFERROR(INDEX('NCO-2015 scores'!$C$2:$C$131,MATCH(E330,'NCO-2015 scores'!$A$2:$A$131,0)),0)</f>
        <v>0.1867</v>
      </c>
      <c r="J330" s="13" t="n">
        <f aca="false">IF(ISNUMBER(MATCH(E330,'NCO-2015 scores'!$A$2:$A$131,0)),IF(ISNUMBER(INDEX('NCO-2015 scores'!$C$2:$C$131,MATCH(E330,'NCO-2015 scores'!$A$2:$A$131,0))),1,0),0)</f>
        <v>1</v>
      </c>
    </row>
    <row r="331" customFormat="false" ht="15" hidden="false" customHeight="false" outlineLevel="0" collapsed="false">
      <c r="A331" s="2" t="n">
        <v>329</v>
      </c>
      <c r="B331" s="2" t="s">
        <v>1393</v>
      </c>
      <c r="C331" s="2" t="s">
        <v>1394</v>
      </c>
      <c r="D331" s="2" t="s">
        <v>1395</v>
      </c>
      <c r="E331" s="2" t="str">
        <f aca="false">LEFT(C331,3)</f>
        <v>751</v>
      </c>
      <c r="F331" s="2" t="str">
        <f aca="false">IF(D331="","",LEFT(D331,3))</f>
        <v>741</v>
      </c>
      <c r="G331" s="2" t="str">
        <f aca="false">IF(F331="","",IF(E331=F331,"Yes","No"))</f>
        <v>No</v>
      </c>
      <c r="H331" s="2" t="n">
        <f aca="false">IF(D331="",0,1/COUNTIF($D$2:$D$3451,D331))</f>
        <v>1</v>
      </c>
      <c r="I331" s="13" t="n">
        <f aca="false">IFERROR(INDEX('NCO-2015 scores'!$C$2:$C$131,MATCH(E331,'NCO-2015 scores'!$A$2:$A$131,0)),0)</f>
        <v>0.1867</v>
      </c>
      <c r="J331" s="13" t="n">
        <f aca="false">IF(ISNUMBER(MATCH(E331,'NCO-2015 scores'!$A$2:$A$131,0)),IF(ISNUMBER(INDEX('NCO-2015 scores'!$C$2:$C$131,MATCH(E331,'NCO-2015 scores'!$A$2:$A$131,0))),1,0),0)</f>
        <v>1</v>
      </c>
    </row>
    <row r="332" customFormat="false" ht="15" hidden="false" customHeight="false" outlineLevel="0" collapsed="false">
      <c r="A332" s="2" t="n">
        <v>330</v>
      </c>
      <c r="B332" s="2" t="s">
        <v>1396</v>
      </c>
      <c r="C332" s="2" t="s">
        <v>1397</v>
      </c>
      <c r="D332" s="2" t="s">
        <v>1398</v>
      </c>
      <c r="E332" s="2" t="str">
        <f aca="false">LEFT(C332,3)</f>
        <v>751</v>
      </c>
      <c r="F332" s="2" t="str">
        <f aca="false">IF(D332="","",LEFT(D332,3))</f>
        <v>741</v>
      </c>
      <c r="G332" s="2" t="str">
        <f aca="false">IF(F332="","",IF(E332=F332,"Yes","No"))</f>
        <v>No</v>
      </c>
      <c r="H332" s="2" t="n">
        <f aca="false">IF(D332="",0,1/COUNTIF($D$2:$D$3451,D332))</f>
        <v>1</v>
      </c>
      <c r="I332" s="13" t="n">
        <f aca="false">IFERROR(INDEX('NCO-2015 scores'!$C$2:$C$131,MATCH(E332,'NCO-2015 scores'!$A$2:$A$131,0)),0)</f>
        <v>0.1867</v>
      </c>
      <c r="J332" s="13" t="n">
        <f aca="false">IF(ISNUMBER(MATCH(E332,'NCO-2015 scores'!$A$2:$A$131,0)),IF(ISNUMBER(INDEX('NCO-2015 scores'!$C$2:$C$131,MATCH(E332,'NCO-2015 scores'!$A$2:$A$131,0))),1,0),0)</f>
        <v>1</v>
      </c>
    </row>
    <row r="333" customFormat="false" ht="15" hidden="false" customHeight="false" outlineLevel="0" collapsed="false">
      <c r="A333" s="2" t="n">
        <v>331</v>
      </c>
      <c r="B333" s="2" t="s">
        <v>1399</v>
      </c>
      <c r="C333" s="2" t="s">
        <v>1400</v>
      </c>
      <c r="D333" s="2" t="s">
        <v>1401</v>
      </c>
      <c r="E333" s="2" t="str">
        <f aca="false">LEFT(C333,3)</f>
        <v>751</v>
      </c>
      <c r="F333" s="2" t="str">
        <f aca="false">IF(D333="","",LEFT(D333,3))</f>
        <v>741</v>
      </c>
      <c r="G333" s="2" t="str">
        <f aca="false">IF(F333="","",IF(E333=F333,"Yes","No"))</f>
        <v>No</v>
      </c>
      <c r="H333" s="2" t="n">
        <f aca="false">IF(D333="",0,1/COUNTIF($D$2:$D$3451,D333))</f>
        <v>1</v>
      </c>
      <c r="I333" s="13" t="n">
        <f aca="false">IFERROR(INDEX('NCO-2015 scores'!$C$2:$C$131,MATCH(E333,'NCO-2015 scores'!$A$2:$A$131,0)),0)</f>
        <v>0.1867</v>
      </c>
      <c r="J333" s="13" t="n">
        <f aca="false">IF(ISNUMBER(MATCH(E333,'NCO-2015 scores'!$A$2:$A$131,0)),IF(ISNUMBER(INDEX('NCO-2015 scores'!$C$2:$C$131,MATCH(E333,'NCO-2015 scores'!$A$2:$A$131,0))),1,0),0)</f>
        <v>1</v>
      </c>
    </row>
    <row r="334" customFormat="false" ht="15" hidden="false" customHeight="false" outlineLevel="0" collapsed="false">
      <c r="A334" s="2" t="n">
        <v>332</v>
      </c>
      <c r="B334" s="2" t="s">
        <v>1402</v>
      </c>
      <c r="C334" s="2" t="s">
        <v>1403</v>
      </c>
      <c r="D334" s="2" t="s">
        <v>1404</v>
      </c>
      <c r="E334" s="2" t="str">
        <f aca="false">LEFT(C334,3)</f>
        <v>332</v>
      </c>
      <c r="F334" s="2" t="str">
        <f aca="false">IF(D334="","",LEFT(D334,3))</f>
        <v>341</v>
      </c>
      <c r="G334" s="2" t="str">
        <f aca="false">IF(F334="","",IF(E334=F334,"Yes","No"))</f>
        <v>No</v>
      </c>
      <c r="H334" s="2" t="n">
        <f aca="false">IF(D334="",0,1/COUNTIF($D$2:$D$3451,D334))</f>
        <v>1</v>
      </c>
      <c r="I334" s="13" t="n">
        <f aca="false">IFERROR(INDEX('NCO-2015 scores'!$C$2:$C$131,MATCH(E334,'NCO-2015 scores'!$A$2:$A$131,0)),0)</f>
        <v>0.4625</v>
      </c>
      <c r="J334" s="13" t="n">
        <f aca="false">IF(ISNUMBER(MATCH(E334,'NCO-2015 scores'!$A$2:$A$131,0)),IF(ISNUMBER(INDEX('NCO-2015 scores'!$C$2:$C$131,MATCH(E334,'NCO-2015 scores'!$A$2:$A$131,0))),1,0),0)</f>
        <v>1</v>
      </c>
    </row>
    <row r="335" customFormat="false" ht="15" hidden="false" customHeight="false" outlineLevel="0" collapsed="false">
      <c r="A335" s="2" t="n">
        <v>333</v>
      </c>
      <c r="B335" s="2" t="s">
        <v>1405</v>
      </c>
      <c r="C335" s="2" t="s">
        <v>1406</v>
      </c>
      <c r="D335" s="2"/>
      <c r="E335" s="2" t="str">
        <f aca="false">LEFT(C335,3)</f>
        <v>332</v>
      </c>
      <c r="F335" s="2" t="str">
        <f aca="false">IF(D335="","",LEFT(D335,3))</f>
        <v/>
      </c>
      <c r="G335" s="2" t="str">
        <f aca="false">IF(F335="","",IF(E335=F335,"Yes","No"))</f>
        <v/>
      </c>
      <c r="H335" s="2" t="n">
        <f aca="false">IF(D335="",0,1/COUNTIF($D$2:$D$3451,D335))</f>
        <v>0</v>
      </c>
      <c r="I335" s="13" t="n">
        <f aca="false">IFERROR(INDEX('NCO-2015 scores'!$C$2:$C$131,MATCH(E335,'NCO-2015 scores'!$A$2:$A$131,0)),0)</f>
        <v>0.4625</v>
      </c>
      <c r="J335" s="13" t="n">
        <f aca="false">IF(ISNUMBER(MATCH(E335,'NCO-2015 scores'!$A$2:$A$131,0)),IF(ISNUMBER(INDEX('NCO-2015 scores'!$C$2:$C$131,MATCH(E335,'NCO-2015 scores'!$A$2:$A$131,0))),1,0),0)</f>
        <v>1</v>
      </c>
    </row>
    <row r="336" customFormat="false" ht="15" hidden="false" customHeight="false" outlineLevel="0" collapsed="false">
      <c r="A336" s="2" t="n">
        <v>334</v>
      </c>
      <c r="B336" s="2" t="s">
        <v>1407</v>
      </c>
      <c r="C336" s="2" t="s">
        <v>1408</v>
      </c>
      <c r="D336" s="2"/>
      <c r="E336" s="2" t="str">
        <f aca="false">LEFT(C336,3)</f>
        <v>332</v>
      </c>
      <c r="F336" s="2" t="str">
        <f aca="false">IF(D336="","",LEFT(D336,3))</f>
        <v/>
      </c>
      <c r="G336" s="2" t="str">
        <f aca="false">IF(F336="","",IF(E336=F336,"Yes","No"))</f>
        <v/>
      </c>
      <c r="H336" s="2" t="n">
        <f aca="false">IF(D336="",0,1/COUNTIF($D$2:$D$3451,D336))</f>
        <v>0</v>
      </c>
      <c r="I336" s="13" t="n">
        <f aca="false">IFERROR(INDEX('NCO-2015 scores'!$C$2:$C$131,MATCH(E336,'NCO-2015 scores'!$A$2:$A$131,0)),0)</f>
        <v>0.4625</v>
      </c>
      <c r="J336" s="13" t="n">
        <f aca="false">IF(ISNUMBER(MATCH(E336,'NCO-2015 scores'!$A$2:$A$131,0)),IF(ISNUMBER(INDEX('NCO-2015 scores'!$C$2:$C$131,MATCH(E336,'NCO-2015 scores'!$A$2:$A$131,0))),1,0),0)</f>
        <v>1</v>
      </c>
    </row>
    <row r="337" customFormat="false" ht="15" hidden="false" customHeight="false" outlineLevel="0" collapsed="false">
      <c r="A337" s="2" t="n">
        <v>335</v>
      </c>
      <c r="B337" s="2" t="s">
        <v>1409</v>
      </c>
      <c r="C337" s="2" t="s">
        <v>1410</v>
      </c>
      <c r="D337" s="2" t="s">
        <v>1411</v>
      </c>
      <c r="E337" s="2" t="str">
        <f aca="false">LEFT(C337,3)</f>
        <v>332</v>
      </c>
      <c r="F337" s="2" t="str">
        <f aca="false">IF(D337="","",LEFT(D337,3))</f>
        <v>341</v>
      </c>
      <c r="G337" s="2" t="str">
        <f aca="false">IF(F337="","",IF(E337=F337,"Yes","No"))</f>
        <v>No</v>
      </c>
      <c r="H337" s="2" t="n">
        <f aca="false">IF(D337="",0,1/COUNTIF($D$2:$D$3451,D337))</f>
        <v>1</v>
      </c>
      <c r="I337" s="13" t="n">
        <f aca="false">IFERROR(INDEX('NCO-2015 scores'!$C$2:$C$131,MATCH(E337,'NCO-2015 scores'!$A$2:$A$131,0)),0)</f>
        <v>0.4625</v>
      </c>
      <c r="J337" s="13" t="n">
        <f aca="false">IF(ISNUMBER(MATCH(E337,'NCO-2015 scores'!$A$2:$A$131,0)),IF(ISNUMBER(INDEX('NCO-2015 scores'!$C$2:$C$131,MATCH(E337,'NCO-2015 scores'!$A$2:$A$131,0))),1,0),0)</f>
        <v>1</v>
      </c>
    </row>
    <row r="338" customFormat="false" ht="15" hidden="false" customHeight="false" outlineLevel="0" collapsed="false">
      <c r="A338" s="2" t="n">
        <v>336</v>
      </c>
      <c r="B338" s="2" t="s">
        <v>1412</v>
      </c>
      <c r="C338" s="2" t="s">
        <v>1413</v>
      </c>
      <c r="D338" s="2" t="s">
        <v>1414</v>
      </c>
      <c r="E338" s="2" t="str">
        <f aca="false">LEFT(C338,3)</f>
        <v>332</v>
      </c>
      <c r="F338" s="2" t="str">
        <f aca="false">IF(D338="","",LEFT(D338,3))</f>
        <v>341</v>
      </c>
      <c r="G338" s="2" t="str">
        <f aca="false">IF(F338="","",IF(E338=F338,"Yes","No"))</f>
        <v>No</v>
      </c>
      <c r="H338" s="2" t="n">
        <f aca="false">IF(D338="",0,1/COUNTIF($D$2:$D$3451,D338))</f>
        <v>1</v>
      </c>
      <c r="I338" s="13" t="n">
        <f aca="false">IFERROR(INDEX('NCO-2015 scores'!$C$2:$C$131,MATCH(E338,'NCO-2015 scores'!$A$2:$A$131,0)),0)</f>
        <v>0.4625</v>
      </c>
      <c r="J338" s="13" t="n">
        <f aca="false">IF(ISNUMBER(MATCH(E338,'NCO-2015 scores'!$A$2:$A$131,0)),IF(ISNUMBER(INDEX('NCO-2015 scores'!$C$2:$C$131,MATCH(E338,'NCO-2015 scores'!$A$2:$A$131,0))),1,0),0)</f>
        <v>1</v>
      </c>
    </row>
    <row r="339" customFormat="false" ht="15" hidden="false" customHeight="false" outlineLevel="0" collapsed="false">
      <c r="A339" s="2" t="n">
        <v>337</v>
      </c>
      <c r="B339" s="2" t="s">
        <v>1415</v>
      </c>
      <c r="C339" s="2" t="s">
        <v>1416</v>
      </c>
      <c r="D339" s="2"/>
      <c r="E339" s="2" t="str">
        <f aca="false">LEFT(C339,3)</f>
        <v>332</v>
      </c>
      <c r="F339" s="2" t="str">
        <f aca="false">IF(D339="","",LEFT(D339,3))</f>
        <v/>
      </c>
      <c r="G339" s="2" t="str">
        <f aca="false">IF(F339="","",IF(E339=F339,"Yes","No"))</f>
        <v/>
      </c>
      <c r="H339" s="2" t="n">
        <f aca="false">IF(D339="",0,1/COUNTIF($D$2:$D$3451,D339))</f>
        <v>0</v>
      </c>
      <c r="I339" s="13" t="n">
        <f aca="false">IFERROR(INDEX('NCO-2015 scores'!$C$2:$C$131,MATCH(E339,'NCO-2015 scores'!$A$2:$A$131,0)),0)</f>
        <v>0.4625</v>
      </c>
      <c r="J339" s="13" t="n">
        <f aca="false">IF(ISNUMBER(MATCH(E339,'NCO-2015 scores'!$A$2:$A$131,0)),IF(ISNUMBER(INDEX('NCO-2015 scores'!$C$2:$C$131,MATCH(E339,'NCO-2015 scores'!$A$2:$A$131,0))),1,0),0)</f>
        <v>1</v>
      </c>
    </row>
    <row r="340" customFormat="false" ht="15" hidden="false" customHeight="false" outlineLevel="0" collapsed="false">
      <c r="A340" s="2" t="n">
        <v>338</v>
      </c>
      <c r="B340" s="2" t="s">
        <v>1417</v>
      </c>
      <c r="C340" s="2" t="s">
        <v>1418</v>
      </c>
      <c r="D340" s="2"/>
      <c r="E340" s="2" t="str">
        <f aca="false">LEFT(C340,3)</f>
        <v>332</v>
      </c>
      <c r="F340" s="2" t="str">
        <f aca="false">IF(D340="","",LEFT(D340,3))</f>
        <v/>
      </c>
      <c r="G340" s="2" t="str">
        <f aca="false">IF(F340="","",IF(E340=F340,"Yes","No"))</f>
        <v/>
      </c>
      <c r="H340" s="2" t="n">
        <f aca="false">IF(D340="",0,1/COUNTIF($D$2:$D$3451,D340))</f>
        <v>0</v>
      </c>
      <c r="I340" s="13" t="n">
        <f aca="false">IFERROR(INDEX('NCO-2015 scores'!$C$2:$C$131,MATCH(E340,'NCO-2015 scores'!$A$2:$A$131,0)),0)</f>
        <v>0.4625</v>
      </c>
      <c r="J340" s="13" t="n">
        <f aca="false">IF(ISNUMBER(MATCH(E340,'NCO-2015 scores'!$A$2:$A$131,0)),IF(ISNUMBER(INDEX('NCO-2015 scores'!$C$2:$C$131,MATCH(E340,'NCO-2015 scores'!$A$2:$A$131,0))),1,0),0)</f>
        <v>1</v>
      </c>
    </row>
    <row r="341" customFormat="false" ht="15" hidden="false" customHeight="false" outlineLevel="0" collapsed="false">
      <c r="A341" s="2" t="n">
        <v>339</v>
      </c>
      <c r="B341" s="2" t="s">
        <v>1419</v>
      </c>
      <c r="C341" s="2" t="s">
        <v>1420</v>
      </c>
      <c r="D341" s="2"/>
      <c r="E341" s="2" t="str">
        <f aca="false">LEFT(C341,3)</f>
        <v>332</v>
      </c>
      <c r="F341" s="2" t="str">
        <f aca="false">IF(D341="","",LEFT(D341,3))</f>
        <v/>
      </c>
      <c r="G341" s="2" t="str">
        <f aca="false">IF(F341="","",IF(E341=F341,"Yes","No"))</f>
        <v/>
      </c>
      <c r="H341" s="2" t="n">
        <f aca="false">IF(D341="",0,1/COUNTIF($D$2:$D$3451,D341))</f>
        <v>0</v>
      </c>
      <c r="I341" s="13" t="n">
        <f aca="false">IFERROR(INDEX('NCO-2015 scores'!$C$2:$C$131,MATCH(E341,'NCO-2015 scores'!$A$2:$A$131,0)),0)</f>
        <v>0.4625</v>
      </c>
      <c r="J341" s="13" t="n">
        <f aca="false">IF(ISNUMBER(MATCH(E341,'NCO-2015 scores'!$A$2:$A$131,0)),IF(ISNUMBER(INDEX('NCO-2015 scores'!$C$2:$C$131,MATCH(E341,'NCO-2015 scores'!$A$2:$A$131,0))),1,0),0)</f>
        <v>1</v>
      </c>
    </row>
    <row r="342" customFormat="false" ht="15" hidden="false" customHeight="false" outlineLevel="0" collapsed="false">
      <c r="A342" s="2" t="n">
        <v>340</v>
      </c>
      <c r="B342" s="2" t="s">
        <v>1421</v>
      </c>
      <c r="C342" s="2" t="s">
        <v>1422</v>
      </c>
      <c r="D342" s="2"/>
      <c r="E342" s="2" t="str">
        <f aca="false">LEFT(C342,3)</f>
        <v>332</v>
      </c>
      <c r="F342" s="2" t="str">
        <f aca="false">IF(D342="","",LEFT(D342,3))</f>
        <v/>
      </c>
      <c r="G342" s="2" t="str">
        <f aca="false">IF(F342="","",IF(E342=F342,"Yes","No"))</f>
        <v/>
      </c>
      <c r="H342" s="2" t="n">
        <f aca="false">IF(D342="",0,1/COUNTIF($D$2:$D$3451,D342))</f>
        <v>0</v>
      </c>
      <c r="I342" s="13" t="n">
        <f aca="false">IFERROR(INDEX('NCO-2015 scores'!$C$2:$C$131,MATCH(E342,'NCO-2015 scores'!$A$2:$A$131,0)),0)</f>
        <v>0.4625</v>
      </c>
      <c r="J342" s="13" t="n">
        <f aca="false">IF(ISNUMBER(MATCH(E342,'NCO-2015 scores'!$A$2:$A$131,0)),IF(ISNUMBER(INDEX('NCO-2015 scores'!$C$2:$C$131,MATCH(E342,'NCO-2015 scores'!$A$2:$A$131,0))),1,0),0)</f>
        <v>1</v>
      </c>
    </row>
    <row r="343" customFormat="false" ht="15" hidden="false" customHeight="false" outlineLevel="0" collapsed="false">
      <c r="A343" s="2" t="n">
        <v>341</v>
      </c>
      <c r="B343" s="2" t="s">
        <v>1423</v>
      </c>
      <c r="C343" s="2" t="s">
        <v>1424</v>
      </c>
      <c r="D343" s="2"/>
      <c r="E343" s="2" t="str">
        <f aca="false">LEFT(C343,3)</f>
        <v>332</v>
      </c>
      <c r="F343" s="2" t="str">
        <f aca="false">IF(D343="","",LEFT(D343,3))</f>
        <v/>
      </c>
      <c r="G343" s="2" t="str">
        <f aca="false">IF(F343="","",IF(E343=F343,"Yes","No"))</f>
        <v/>
      </c>
      <c r="H343" s="2" t="n">
        <f aca="false">IF(D343="",0,1/COUNTIF($D$2:$D$3451,D343))</f>
        <v>0</v>
      </c>
      <c r="I343" s="13" t="n">
        <f aca="false">IFERROR(INDEX('NCO-2015 scores'!$C$2:$C$131,MATCH(E343,'NCO-2015 scores'!$A$2:$A$131,0)),0)</f>
        <v>0.4625</v>
      </c>
      <c r="J343" s="13" t="n">
        <f aca="false">IF(ISNUMBER(MATCH(E343,'NCO-2015 scores'!$A$2:$A$131,0)),IF(ISNUMBER(INDEX('NCO-2015 scores'!$C$2:$C$131,MATCH(E343,'NCO-2015 scores'!$A$2:$A$131,0))),1,0),0)</f>
        <v>1</v>
      </c>
    </row>
    <row r="344" customFormat="false" ht="15" hidden="false" customHeight="false" outlineLevel="0" collapsed="false">
      <c r="A344" s="2" t="n">
        <v>342</v>
      </c>
      <c r="B344" s="2" t="s">
        <v>1425</v>
      </c>
      <c r="C344" s="2" t="s">
        <v>1426</v>
      </c>
      <c r="D344" s="2" t="s">
        <v>1427</v>
      </c>
      <c r="E344" s="2" t="str">
        <f aca="false">LEFT(C344,3)</f>
        <v>752</v>
      </c>
      <c r="F344" s="2" t="str">
        <f aca="false">IF(D344="","",LEFT(D344,3))</f>
        <v>742</v>
      </c>
      <c r="G344" s="2" t="str">
        <f aca="false">IF(F344="","",IF(E344=F344,"Yes","No"))</f>
        <v>No</v>
      </c>
      <c r="H344" s="2" t="n">
        <f aca="false">IF(D344="",0,1/COUNTIF($D$2:$D$3451,D344))</f>
        <v>1</v>
      </c>
      <c r="I344" s="13" t="n">
        <f aca="false">IFERROR(INDEX('NCO-2015 scores'!$C$2:$C$131,MATCH(E344,'NCO-2015 scores'!$A$2:$A$131,0)),0)</f>
        <v>0.2</v>
      </c>
      <c r="J344" s="13" t="n">
        <f aca="false">IF(ISNUMBER(MATCH(E344,'NCO-2015 scores'!$A$2:$A$131,0)),IF(ISNUMBER(INDEX('NCO-2015 scores'!$C$2:$C$131,MATCH(E344,'NCO-2015 scores'!$A$2:$A$131,0))),1,0),0)</f>
        <v>1</v>
      </c>
    </row>
    <row r="345" customFormat="false" ht="15" hidden="false" customHeight="false" outlineLevel="0" collapsed="false">
      <c r="A345" s="2" t="n">
        <v>343</v>
      </c>
      <c r="B345" s="2" t="s">
        <v>1428</v>
      </c>
      <c r="C345" s="2" t="s">
        <v>1429</v>
      </c>
      <c r="D345" s="2" t="s">
        <v>1430</v>
      </c>
      <c r="E345" s="2" t="str">
        <f aca="false">LEFT(C345,3)</f>
        <v>752</v>
      </c>
      <c r="F345" s="2" t="str">
        <f aca="false">IF(D345="","",LEFT(D345,3))</f>
        <v>742</v>
      </c>
      <c r="G345" s="2" t="str">
        <f aca="false">IF(F345="","",IF(E345=F345,"Yes","No"))</f>
        <v>No</v>
      </c>
      <c r="H345" s="2" t="n">
        <f aca="false">IF(D345="",0,1/COUNTIF($D$2:$D$3451,D345))</f>
        <v>1</v>
      </c>
      <c r="I345" s="13" t="n">
        <f aca="false">IFERROR(INDEX('NCO-2015 scores'!$C$2:$C$131,MATCH(E345,'NCO-2015 scores'!$A$2:$A$131,0)),0)</f>
        <v>0.2</v>
      </c>
      <c r="J345" s="13" t="n">
        <f aca="false">IF(ISNUMBER(MATCH(E345,'NCO-2015 scores'!$A$2:$A$131,0)),IF(ISNUMBER(INDEX('NCO-2015 scores'!$C$2:$C$131,MATCH(E345,'NCO-2015 scores'!$A$2:$A$131,0))),1,0),0)</f>
        <v>1</v>
      </c>
    </row>
    <row r="346" customFormat="false" ht="15" hidden="false" customHeight="false" outlineLevel="0" collapsed="false">
      <c r="A346" s="2" t="n">
        <v>344</v>
      </c>
      <c r="B346" s="2" t="s">
        <v>1431</v>
      </c>
      <c r="C346" s="2" t="s">
        <v>1432</v>
      </c>
      <c r="D346" s="2" t="s">
        <v>1433</v>
      </c>
      <c r="E346" s="2" t="str">
        <f aca="false">LEFT(C346,3)</f>
        <v>752</v>
      </c>
      <c r="F346" s="2" t="str">
        <f aca="false">IF(D346="","",LEFT(D346,3))</f>
        <v>742</v>
      </c>
      <c r="G346" s="2" t="str">
        <f aca="false">IF(F346="","",IF(E346=F346,"Yes","No"))</f>
        <v>No</v>
      </c>
      <c r="H346" s="2" t="n">
        <f aca="false">IF(D346="",0,1/COUNTIF($D$2:$D$3451,D346))</f>
        <v>1</v>
      </c>
      <c r="I346" s="13" t="n">
        <f aca="false">IFERROR(INDEX('NCO-2015 scores'!$C$2:$C$131,MATCH(E346,'NCO-2015 scores'!$A$2:$A$131,0)),0)</f>
        <v>0.2</v>
      </c>
      <c r="J346" s="13" t="n">
        <f aca="false">IF(ISNUMBER(MATCH(E346,'NCO-2015 scores'!$A$2:$A$131,0)),IF(ISNUMBER(INDEX('NCO-2015 scores'!$C$2:$C$131,MATCH(E346,'NCO-2015 scores'!$A$2:$A$131,0))),1,0),0)</f>
        <v>1</v>
      </c>
    </row>
    <row r="347" customFormat="false" ht="15" hidden="false" customHeight="false" outlineLevel="0" collapsed="false">
      <c r="A347" s="2" t="n">
        <v>345</v>
      </c>
      <c r="B347" s="2" t="s">
        <v>1434</v>
      </c>
      <c r="C347" s="2" t="s">
        <v>1435</v>
      </c>
      <c r="D347" s="2" t="s">
        <v>1436</v>
      </c>
      <c r="E347" s="2" t="str">
        <f aca="false">LEFT(C347,3)</f>
        <v>752</v>
      </c>
      <c r="F347" s="2" t="str">
        <f aca="false">IF(D347="","",LEFT(D347,3))</f>
        <v>742</v>
      </c>
      <c r="G347" s="2" t="str">
        <f aca="false">IF(F347="","",IF(E347=F347,"Yes","No"))</f>
        <v>No</v>
      </c>
      <c r="H347" s="2" t="n">
        <f aca="false">IF(D347="",0,1/COUNTIF($D$2:$D$3451,D347))</f>
        <v>1</v>
      </c>
      <c r="I347" s="13" t="n">
        <f aca="false">IFERROR(INDEX('NCO-2015 scores'!$C$2:$C$131,MATCH(E347,'NCO-2015 scores'!$A$2:$A$131,0)),0)</f>
        <v>0.2</v>
      </c>
      <c r="J347" s="13" t="n">
        <f aca="false">IF(ISNUMBER(MATCH(E347,'NCO-2015 scores'!$A$2:$A$131,0)),IF(ISNUMBER(INDEX('NCO-2015 scores'!$C$2:$C$131,MATCH(E347,'NCO-2015 scores'!$A$2:$A$131,0))),1,0),0)</f>
        <v>1</v>
      </c>
    </row>
    <row r="348" customFormat="false" ht="15" hidden="false" customHeight="false" outlineLevel="0" collapsed="false">
      <c r="A348" s="2" t="n">
        <v>346</v>
      </c>
      <c r="B348" s="2" t="s">
        <v>1437</v>
      </c>
      <c r="C348" s="2" t="s">
        <v>1438</v>
      </c>
      <c r="D348" s="2" t="s">
        <v>1439</v>
      </c>
      <c r="E348" s="2" t="str">
        <f aca="false">LEFT(C348,3)</f>
        <v>752</v>
      </c>
      <c r="F348" s="2" t="str">
        <f aca="false">IF(D348="","",LEFT(D348,3))</f>
        <v>742</v>
      </c>
      <c r="G348" s="2" t="str">
        <f aca="false">IF(F348="","",IF(E348=F348,"Yes","No"))</f>
        <v>No</v>
      </c>
      <c r="H348" s="2" t="n">
        <f aca="false">IF(D348="",0,1/COUNTIF($D$2:$D$3451,D348))</f>
        <v>1</v>
      </c>
      <c r="I348" s="13" t="n">
        <f aca="false">IFERROR(INDEX('NCO-2015 scores'!$C$2:$C$131,MATCH(E348,'NCO-2015 scores'!$A$2:$A$131,0)),0)</f>
        <v>0.2</v>
      </c>
      <c r="J348" s="13" t="n">
        <f aca="false">IF(ISNUMBER(MATCH(E348,'NCO-2015 scores'!$A$2:$A$131,0)),IF(ISNUMBER(INDEX('NCO-2015 scores'!$C$2:$C$131,MATCH(E348,'NCO-2015 scores'!$A$2:$A$131,0))),1,0),0)</f>
        <v>1</v>
      </c>
    </row>
    <row r="349" customFormat="false" ht="15" hidden="false" customHeight="false" outlineLevel="0" collapsed="false">
      <c r="A349" s="2" t="n">
        <v>347</v>
      </c>
      <c r="B349" s="2" t="s">
        <v>1440</v>
      </c>
      <c r="C349" s="2" t="s">
        <v>1441</v>
      </c>
      <c r="D349" s="2" t="s">
        <v>1442</v>
      </c>
      <c r="E349" s="2" t="str">
        <f aca="false">LEFT(C349,3)</f>
        <v>752</v>
      </c>
      <c r="F349" s="2" t="str">
        <f aca="false">IF(D349="","",LEFT(D349,3))</f>
        <v>742</v>
      </c>
      <c r="G349" s="2" t="str">
        <f aca="false">IF(F349="","",IF(E349=F349,"Yes","No"))</f>
        <v>No</v>
      </c>
      <c r="H349" s="2" t="n">
        <f aca="false">IF(D349="",0,1/COUNTIF($D$2:$D$3451,D349))</f>
        <v>1</v>
      </c>
      <c r="I349" s="13" t="n">
        <f aca="false">IFERROR(INDEX('NCO-2015 scores'!$C$2:$C$131,MATCH(E349,'NCO-2015 scores'!$A$2:$A$131,0)),0)</f>
        <v>0.2</v>
      </c>
      <c r="J349" s="13" t="n">
        <f aca="false">IF(ISNUMBER(MATCH(E349,'NCO-2015 scores'!$A$2:$A$131,0)),IF(ISNUMBER(INDEX('NCO-2015 scores'!$C$2:$C$131,MATCH(E349,'NCO-2015 scores'!$A$2:$A$131,0))),1,0),0)</f>
        <v>1</v>
      </c>
    </row>
    <row r="350" customFormat="false" ht="15" hidden="false" customHeight="false" outlineLevel="0" collapsed="false">
      <c r="A350" s="2" t="n">
        <v>348</v>
      </c>
      <c r="B350" s="2" t="s">
        <v>1443</v>
      </c>
      <c r="C350" s="2" t="s">
        <v>1444</v>
      </c>
      <c r="D350" s="2" t="s">
        <v>1445</v>
      </c>
      <c r="E350" s="2" t="str">
        <f aca="false">LEFT(C350,3)</f>
        <v>752</v>
      </c>
      <c r="F350" s="2" t="str">
        <f aca="false">IF(D350="","",LEFT(D350,3))</f>
        <v>742</v>
      </c>
      <c r="G350" s="2" t="str">
        <f aca="false">IF(F350="","",IF(E350=F350,"Yes","No"))</f>
        <v>No</v>
      </c>
      <c r="H350" s="2" t="n">
        <f aca="false">IF(D350="",0,1/COUNTIF($D$2:$D$3451,D350))</f>
        <v>1</v>
      </c>
      <c r="I350" s="13" t="n">
        <f aca="false">IFERROR(INDEX('NCO-2015 scores'!$C$2:$C$131,MATCH(E350,'NCO-2015 scores'!$A$2:$A$131,0)),0)</f>
        <v>0.2</v>
      </c>
      <c r="J350" s="13" t="n">
        <f aca="false">IF(ISNUMBER(MATCH(E350,'NCO-2015 scores'!$A$2:$A$131,0)),IF(ISNUMBER(INDEX('NCO-2015 scores'!$C$2:$C$131,MATCH(E350,'NCO-2015 scores'!$A$2:$A$131,0))),1,0),0)</f>
        <v>1</v>
      </c>
    </row>
    <row r="351" customFormat="false" ht="15" hidden="false" customHeight="false" outlineLevel="0" collapsed="false">
      <c r="A351" s="2" t="n">
        <v>349</v>
      </c>
      <c r="B351" s="2" t="s">
        <v>1446</v>
      </c>
      <c r="C351" s="2" t="s">
        <v>1447</v>
      </c>
      <c r="D351" s="2" t="s">
        <v>1448</v>
      </c>
      <c r="E351" s="2" t="str">
        <f aca="false">LEFT(C351,3)</f>
        <v>752</v>
      </c>
      <c r="F351" s="2" t="str">
        <f aca="false">IF(D351="","",LEFT(D351,3))</f>
        <v>742</v>
      </c>
      <c r="G351" s="2" t="str">
        <f aca="false">IF(F351="","",IF(E351=F351,"Yes","No"))</f>
        <v>No</v>
      </c>
      <c r="H351" s="2" t="n">
        <f aca="false">IF(D351="",0,1/COUNTIF($D$2:$D$3451,D351))</f>
        <v>1</v>
      </c>
      <c r="I351" s="13" t="n">
        <f aca="false">IFERROR(INDEX('NCO-2015 scores'!$C$2:$C$131,MATCH(E351,'NCO-2015 scores'!$A$2:$A$131,0)),0)</f>
        <v>0.2</v>
      </c>
      <c r="J351" s="13" t="n">
        <f aca="false">IF(ISNUMBER(MATCH(E351,'NCO-2015 scores'!$A$2:$A$131,0)),IF(ISNUMBER(INDEX('NCO-2015 scores'!$C$2:$C$131,MATCH(E351,'NCO-2015 scores'!$A$2:$A$131,0))),1,0),0)</f>
        <v>1</v>
      </c>
    </row>
    <row r="352" customFormat="false" ht="15" hidden="false" customHeight="false" outlineLevel="0" collapsed="false">
      <c r="A352" s="2" t="n">
        <v>350</v>
      </c>
      <c r="B352" s="2" t="s">
        <v>1449</v>
      </c>
      <c r="C352" s="2" t="s">
        <v>1450</v>
      </c>
      <c r="D352" s="2" t="s">
        <v>1451</v>
      </c>
      <c r="E352" s="2" t="str">
        <f aca="false">LEFT(C352,3)</f>
        <v>752</v>
      </c>
      <c r="F352" s="2" t="str">
        <f aca="false">IF(D352="","",LEFT(D352,3))</f>
        <v>742</v>
      </c>
      <c r="G352" s="2" t="str">
        <f aca="false">IF(F352="","",IF(E352=F352,"Yes","No"))</f>
        <v>No</v>
      </c>
      <c r="H352" s="2" t="n">
        <f aca="false">IF(D352="",0,1/COUNTIF($D$2:$D$3451,D352))</f>
        <v>1</v>
      </c>
      <c r="I352" s="13" t="n">
        <f aca="false">IFERROR(INDEX('NCO-2015 scores'!$C$2:$C$131,MATCH(E352,'NCO-2015 scores'!$A$2:$A$131,0)),0)</f>
        <v>0.2</v>
      </c>
      <c r="J352" s="13" t="n">
        <f aca="false">IF(ISNUMBER(MATCH(E352,'NCO-2015 scores'!$A$2:$A$131,0)),IF(ISNUMBER(INDEX('NCO-2015 scores'!$C$2:$C$131,MATCH(E352,'NCO-2015 scores'!$A$2:$A$131,0))),1,0),0)</f>
        <v>1</v>
      </c>
    </row>
    <row r="353" customFormat="false" ht="15" hidden="false" customHeight="false" outlineLevel="0" collapsed="false">
      <c r="A353" s="2" t="n">
        <v>351</v>
      </c>
      <c r="B353" s="2" t="s">
        <v>1452</v>
      </c>
      <c r="C353" s="2" t="s">
        <v>1453</v>
      </c>
      <c r="D353" s="2" t="s">
        <v>1454</v>
      </c>
      <c r="E353" s="2" t="str">
        <f aca="false">LEFT(C353,3)</f>
        <v>752</v>
      </c>
      <c r="F353" s="2" t="str">
        <f aca="false">IF(D353="","",LEFT(D353,3))</f>
        <v>742</v>
      </c>
      <c r="G353" s="2" t="str">
        <f aca="false">IF(F353="","",IF(E353=F353,"Yes","No"))</f>
        <v>No</v>
      </c>
      <c r="H353" s="2" t="n">
        <f aca="false">IF(D353="",0,1/COUNTIF($D$2:$D$3451,D353))</f>
        <v>1</v>
      </c>
      <c r="I353" s="13" t="n">
        <f aca="false">IFERROR(INDEX('NCO-2015 scores'!$C$2:$C$131,MATCH(E353,'NCO-2015 scores'!$A$2:$A$131,0)),0)</f>
        <v>0.2</v>
      </c>
      <c r="J353" s="13" t="n">
        <f aca="false">IF(ISNUMBER(MATCH(E353,'NCO-2015 scores'!$A$2:$A$131,0)),IF(ISNUMBER(INDEX('NCO-2015 scores'!$C$2:$C$131,MATCH(E353,'NCO-2015 scores'!$A$2:$A$131,0))),1,0),0)</f>
        <v>1</v>
      </c>
    </row>
    <row r="354" customFormat="false" ht="15" hidden="false" customHeight="false" outlineLevel="0" collapsed="false">
      <c r="A354" s="2" t="n">
        <v>352</v>
      </c>
      <c r="B354" s="2" t="s">
        <v>1455</v>
      </c>
      <c r="C354" s="2" t="s">
        <v>1456</v>
      </c>
      <c r="D354" s="2" t="s">
        <v>1457</v>
      </c>
      <c r="E354" s="2" t="str">
        <f aca="false">LEFT(C354,3)</f>
        <v>752</v>
      </c>
      <c r="F354" s="2" t="str">
        <f aca="false">IF(D354="","",LEFT(D354,3))</f>
        <v>742</v>
      </c>
      <c r="G354" s="2" t="str">
        <f aca="false">IF(F354="","",IF(E354=F354,"Yes","No"))</f>
        <v>No</v>
      </c>
      <c r="H354" s="2" t="n">
        <f aca="false">IF(D354="",0,1/COUNTIF($D$2:$D$3451,D354))</f>
        <v>1</v>
      </c>
      <c r="I354" s="13" t="n">
        <f aca="false">IFERROR(INDEX('NCO-2015 scores'!$C$2:$C$131,MATCH(E354,'NCO-2015 scores'!$A$2:$A$131,0)),0)</f>
        <v>0.2</v>
      </c>
      <c r="J354" s="13" t="n">
        <f aca="false">IF(ISNUMBER(MATCH(E354,'NCO-2015 scores'!$A$2:$A$131,0)),IF(ISNUMBER(INDEX('NCO-2015 scores'!$C$2:$C$131,MATCH(E354,'NCO-2015 scores'!$A$2:$A$131,0))),1,0),0)</f>
        <v>1</v>
      </c>
    </row>
    <row r="355" customFormat="false" ht="15" hidden="false" customHeight="false" outlineLevel="0" collapsed="false">
      <c r="A355" s="2" t="n">
        <v>353</v>
      </c>
      <c r="B355" s="2" t="s">
        <v>1458</v>
      </c>
      <c r="C355" s="2" t="s">
        <v>1459</v>
      </c>
      <c r="D355" s="2" t="s">
        <v>1460</v>
      </c>
      <c r="E355" s="2" t="str">
        <f aca="false">LEFT(C355,3)</f>
        <v>752</v>
      </c>
      <c r="F355" s="2" t="str">
        <f aca="false">IF(D355="","",LEFT(D355,3))</f>
        <v>742</v>
      </c>
      <c r="G355" s="2" t="str">
        <f aca="false">IF(F355="","",IF(E355=F355,"Yes","No"))</f>
        <v>No</v>
      </c>
      <c r="H355" s="2" t="n">
        <f aca="false">IF(D355="",0,1/COUNTIF($D$2:$D$3451,D355))</f>
        <v>1</v>
      </c>
      <c r="I355" s="13" t="n">
        <f aca="false">IFERROR(INDEX('NCO-2015 scores'!$C$2:$C$131,MATCH(E355,'NCO-2015 scores'!$A$2:$A$131,0)),0)</f>
        <v>0.2</v>
      </c>
      <c r="J355" s="13" t="n">
        <f aca="false">IF(ISNUMBER(MATCH(E355,'NCO-2015 scores'!$A$2:$A$131,0)),IF(ISNUMBER(INDEX('NCO-2015 scores'!$C$2:$C$131,MATCH(E355,'NCO-2015 scores'!$A$2:$A$131,0))),1,0),0)</f>
        <v>1</v>
      </c>
    </row>
    <row r="356" customFormat="false" ht="15" hidden="false" customHeight="false" outlineLevel="0" collapsed="false">
      <c r="A356" s="2" t="n">
        <v>354</v>
      </c>
      <c r="B356" s="2" t="s">
        <v>1461</v>
      </c>
      <c r="C356" s="2" t="s">
        <v>1462</v>
      </c>
      <c r="D356" s="2" t="s">
        <v>1463</v>
      </c>
      <c r="E356" s="2" t="str">
        <f aca="false">LEFT(C356,3)</f>
        <v>752</v>
      </c>
      <c r="F356" s="2" t="str">
        <f aca="false">IF(D356="","",LEFT(D356,3))</f>
        <v>742</v>
      </c>
      <c r="G356" s="2" t="str">
        <f aca="false">IF(F356="","",IF(E356=F356,"Yes","No"))</f>
        <v>No</v>
      </c>
      <c r="H356" s="2" t="n">
        <f aca="false">IF(D356="",0,1/COUNTIF($D$2:$D$3451,D356))</f>
        <v>1</v>
      </c>
      <c r="I356" s="13" t="n">
        <f aca="false">IFERROR(INDEX('NCO-2015 scores'!$C$2:$C$131,MATCH(E356,'NCO-2015 scores'!$A$2:$A$131,0)),0)</f>
        <v>0.2</v>
      </c>
      <c r="J356" s="13" t="n">
        <f aca="false">IF(ISNUMBER(MATCH(E356,'NCO-2015 scores'!$A$2:$A$131,0)),IF(ISNUMBER(INDEX('NCO-2015 scores'!$C$2:$C$131,MATCH(E356,'NCO-2015 scores'!$A$2:$A$131,0))),1,0),0)</f>
        <v>1</v>
      </c>
    </row>
    <row r="357" customFormat="false" ht="15" hidden="false" customHeight="false" outlineLevel="0" collapsed="false">
      <c r="A357" s="2" t="n">
        <v>355</v>
      </c>
      <c r="B357" s="2" t="s">
        <v>1464</v>
      </c>
      <c r="C357" s="2" t="s">
        <v>1465</v>
      </c>
      <c r="D357" s="2" t="s">
        <v>1466</v>
      </c>
      <c r="E357" s="2" t="str">
        <f aca="false">LEFT(C357,3)</f>
        <v>752</v>
      </c>
      <c r="F357" s="2" t="str">
        <f aca="false">IF(D357="","",LEFT(D357,3))</f>
        <v>742</v>
      </c>
      <c r="G357" s="2" t="str">
        <f aca="false">IF(F357="","",IF(E357=F357,"Yes","No"))</f>
        <v>No</v>
      </c>
      <c r="H357" s="2" t="n">
        <f aca="false">IF(D357="",0,1/COUNTIF($D$2:$D$3451,D357))</f>
        <v>1</v>
      </c>
      <c r="I357" s="13" t="n">
        <f aca="false">IFERROR(INDEX('NCO-2015 scores'!$C$2:$C$131,MATCH(E357,'NCO-2015 scores'!$A$2:$A$131,0)),0)</f>
        <v>0.2</v>
      </c>
      <c r="J357" s="13" t="n">
        <f aca="false">IF(ISNUMBER(MATCH(E357,'NCO-2015 scores'!$A$2:$A$131,0)),IF(ISNUMBER(INDEX('NCO-2015 scores'!$C$2:$C$131,MATCH(E357,'NCO-2015 scores'!$A$2:$A$131,0))),1,0),0)</f>
        <v>1</v>
      </c>
    </row>
    <row r="358" customFormat="false" ht="15" hidden="false" customHeight="false" outlineLevel="0" collapsed="false">
      <c r="A358" s="2" t="n">
        <v>356</v>
      </c>
      <c r="B358" s="2" t="s">
        <v>1467</v>
      </c>
      <c r="C358" s="2" t="s">
        <v>1468</v>
      </c>
      <c r="D358" s="2" t="s">
        <v>1469</v>
      </c>
      <c r="E358" s="2" t="str">
        <f aca="false">LEFT(C358,3)</f>
        <v>752</v>
      </c>
      <c r="F358" s="2" t="str">
        <f aca="false">IF(D358="","",LEFT(D358,3))</f>
        <v>742</v>
      </c>
      <c r="G358" s="2" t="str">
        <f aca="false">IF(F358="","",IF(E358=F358,"Yes","No"))</f>
        <v>No</v>
      </c>
      <c r="H358" s="2" t="n">
        <f aca="false">IF(D358="",0,1/COUNTIF($D$2:$D$3451,D358))</f>
        <v>1</v>
      </c>
      <c r="I358" s="13" t="n">
        <f aca="false">IFERROR(INDEX('NCO-2015 scores'!$C$2:$C$131,MATCH(E358,'NCO-2015 scores'!$A$2:$A$131,0)),0)</f>
        <v>0.2</v>
      </c>
      <c r="J358" s="13" t="n">
        <f aca="false">IF(ISNUMBER(MATCH(E358,'NCO-2015 scores'!$A$2:$A$131,0)),IF(ISNUMBER(INDEX('NCO-2015 scores'!$C$2:$C$131,MATCH(E358,'NCO-2015 scores'!$A$2:$A$131,0))),1,0),0)</f>
        <v>1</v>
      </c>
    </row>
    <row r="359" customFormat="false" ht="15" hidden="false" customHeight="false" outlineLevel="0" collapsed="false">
      <c r="A359" s="2" t="n">
        <v>357</v>
      </c>
      <c r="B359" s="2" t="s">
        <v>1470</v>
      </c>
      <c r="C359" s="2" t="s">
        <v>1471</v>
      </c>
      <c r="D359" s="2" t="s">
        <v>1472</v>
      </c>
      <c r="E359" s="2" t="str">
        <f aca="false">LEFT(C359,3)</f>
        <v>752</v>
      </c>
      <c r="F359" s="2" t="str">
        <f aca="false">IF(D359="","",LEFT(D359,3))</f>
        <v>742</v>
      </c>
      <c r="G359" s="2" t="str">
        <f aca="false">IF(F359="","",IF(E359=F359,"Yes","No"))</f>
        <v>No</v>
      </c>
      <c r="H359" s="2" t="n">
        <f aca="false">IF(D359="",0,1/COUNTIF($D$2:$D$3451,D359))</f>
        <v>1</v>
      </c>
      <c r="I359" s="13" t="n">
        <f aca="false">IFERROR(INDEX('NCO-2015 scores'!$C$2:$C$131,MATCH(E359,'NCO-2015 scores'!$A$2:$A$131,0)),0)</f>
        <v>0.2</v>
      </c>
      <c r="J359" s="13" t="n">
        <f aca="false">IF(ISNUMBER(MATCH(E359,'NCO-2015 scores'!$A$2:$A$131,0)),IF(ISNUMBER(INDEX('NCO-2015 scores'!$C$2:$C$131,MATCH(E359,'NCO-2015 scores'!$A$2:$A$131,0))),1,0),0)</f>
        <v>1</v>
      </c>
    </row>
    <row r="360" customFormat="false" ht="15" hidden="false" customHeight="false" outlineLevel="0" collapsed="false">
      <c r="A360" s="2" t="n">
        <v>358</v>
      </c>
      <c r="B360" s="2" t="s">
        <v>1473</v>
      </c>
      <c r="C360" s="2" t="s">
        <v>1474</v>
      </c>
      <c r="D360" s="2" t="s">
        <v>1475</v>
      </c>
      <c r="E360" s="2" t="str">
        <f aca="false">LEFT(C360,3)</f>
        <v>752</v>
      </c>
      <c r="F360" s="2" t="str">
        <f aca="false">IF(D360="","",LEFT(D360,3))</f>
        <v>742</v>
      </c>
      <c r="G360" s="2" t="str">
        <f aca="false">IF(F360="","",IF(E360=F360,"Yes","No"))</f>
        <v>No</v>
      </c>
      <c r="H360" s="2" t="n">
        <f aca="false">IF(D360="",0,1/COUNTIF($D$2:$D$3451,D360))</f>
        <v>1</v>
      </c>
      <c r="I360" s="13" t="n">
        <f aca="false">IFERROR(INDEX('NCO-2015 scores'!$C$2:$C$131,MATCH(E360,'NCO-2015 scores'!$A$2:$A$131,0)),0)</f>
        <v>0.2</v>
      </c>
      <c r="J360" s="13" t="n">
        <f aca="false">IF(ISNUMBER(MATCH(E360,'NCO-2015 scores'!$A$2:$A$131,0)),IF(ISNUMBER(INDEX('NCO-2015 scores'!$C$2:$C$131,MATCH(E360,'NCO-2015 scores'!$A$2:$A$131,0))),1,0),0)</f>
        <v>1</v>
      </c>
    </row>
    <row r="361" customFormat="false" ht="15" hidden="false" customHeight="false" outlineLevel="0" collapsed="false">
      <c r="A361" s="2" t="n">
        <v>359</v>
      </c>
      <c r="B361" s="2" t="s">
        <v>1476</v>
      </c>
      <c r="C361" s="2" t="s">
        <v>1477</v>
      </c>
      <c r="D361" s="2" t="s">
        <v>1478</v>
      </c>
      <c r="E361" s="2" t="str">
        <f aca="false">LEFT(C361,3)</f>
        <v>752</v>
      </c>
      <c r="F361" s="2" t="str">
        <f aca="false">IF(D361="","",LEFT(D361,3))</f>
        <v>742</v>
      </c>
      <c r="G361" s="2" t="str">
        <f aca="false">IF(F361="","",IF(E361=F361,"Yes","No"))</f>
        <v>No</v>
      </c>
      <c r="H361" s="2" t="n">
        <f aca="false">IF(D361="",0,1/COUNTIF($D$2:$D$3451,D361))</f>
        <v>1</v>
      </c>
      <c r="I361" s="13" t="n">
        <f aca="false">IFERROR(INDEX('NCO-2015 scores'!$C$2:$C$131,MATCH(E361,'NCO-2015 scores'!$A$2:$A$131,0)),0)</f>
        <v>0.2</v>
      </c>
      <c r="J361" s="13" t="n">
        <f aca="false">IF(ISNUMBER(MATCH(E361,'NCO-2015 scores'!$A$2:$A$131,0)),IF(ISNUMBER(INDEX('NCO-2015 scores'!$C$2:$C$131,MATCH(E361,'NCO-2015 scores'!$A$2:$A$131,0))),1,0),0)</f>
        <v>1</v>
      </c>
    </row>
    <row r="362" customFormat="false" ht="15" hidden="false" customHeight="false" outlineLevel="0" collapsed="false">
      <c r="A362" s="2" t="n">
        <v>360</v>
      </c>
      <c r="B362" s="2" t="s">
        <v>1479</v>
      </c>
      <c r="C362" s="2" t="s">
        <v>1480</v>
      </c>
      <c r="D362" s="2" t="s">
        <v>1481</v>
      </c>
      <c r="E362" s="2" t="str">
        <f aca="false">LEFT(C362,3)</f>
        <v>832</v>
      </c>
      <c r="F362" s="2" t="str">
        <f aca="false">IF(D362="","",LEFT(D362,3))</f>
        <v>832</v>
      </c>
      <c r="G362" s="2" t="str">
        <f aca="false">IF(F362="","",IF(E362=F362,"Yes","No"))</f>
        <v>Yes</v>
      </c>
      <c r="H362" s="2" t="n">
        <f aca="false">IF(D362="",0,1/COUNTIF($D$2:$D$3451,D362))</f>
        <v>1</v>
      </c>
      <c r="I362" s="13" t="n">
        <f aca="false">IFERROR(INDEX('NCO-2015 scores'!$C$2:$C$131,MATCH(E362,'NCO-2015 scores'!$A$2:$A$131,0)),0)</f>
        <v>0.265</v>
      </c>
      <c r="J362" s="13" t="n">
        <f aca="false">IF(ISNUMBER(MATCH(E362,'NCO-2015 scores'!$A$2:$A$131,0)),IF(ISNUMBER(INDEX('NCO-2015 scores'!$C$2:$C$131,MATCH(E362,'NCO-2015 scores'!$A$2:$A$131,0))),1,0),0)</f>
        <v>1</v>
      </c>
    </row>
    <row r="363" customFormat="false" ht="15" hidden="false" customHeight="false" outlineLevel="0" collapsed="false">
      <c r="A363" s="2" t="n">
        <v>361</v>
      </c>
      <c r="B363" s="2" t="s">
        <v>1482</v>
      </c>
      <c r="C363" s="2" t="s">
        <v>1483</v>
      </c>
      <c r="D363" s="2"/>
      <c r="E363" s="2" t="str">
        <f aca="false">LEFT(C363,3)</f>
        <v>832</v>
      </c>
      <c r="F363" s="2" t="str">
        <f aca="false">IF(D363="","",LEFT(D363,3))</f>
        <v/>
      </c>
      <c r="G363" s="2" t="str">
        <f aca="false">IF(F363="","",IF(E363=F363,"Yes","No"))</f>
        <v/>
      </c>
      <c r="H363" s="2" t="n">
        <f aca="false">IF(D363="",0,1/COUNTIF($D$2:$D$3451,D363))</f>
        <v>0</v>
      </c>
      <c r="I363" s="13" t="n">
        <f aca="false">IFERROR(INDEX('NCO-2015 scores'!$C$2:$C$131,MATCH(E363,'NCO-2015 scores'!$A$2:$A$131,0)),0)</f>
        <v>0.265</v>
      </c>
      <c r="J363" s="13" t="n">
        <f aca="false">IF(ISNUMBER(MATCH(E363,'NCO-2015 scores'!$A$2:$A$131,0)),IF(ISNUMBER(INDEX('NCO-2015 scores'!$C$2:$C$131,MATCH(E363,'NCO-2015 scores'!$A$2:$A$131,0))),1,0),0)</f>
        <v>1</v>
      </c>
    </row>
    <row r="364" customFormat="false" ht="15" hidden="false" customHeight="false" outlineLevel="0" collapsed="false">
      <c r="A364" s="2" t="n">
        <v>362</v>
      </c>
      <c r="B364" s="2" t="s">
        <v>1484</v>
      </c>
      <c r="C364" s="2" t="s">
        <v>1485</v>
      </c>
      <c r="D364" s="2"/>
      <c r="E364" s="2" t="str">
        <f aca="false">LEFT(C364,3)</f>
        <v>832</v>
      </c>
      <c r="F364" s="2" t="str">
        <f aca="false">IF(D364="","",LEFT(D364,3))</f>
        <v/>
      </c>
      <c r="G364" s="2" t="str">
        <f aca="false">IF(F364="","",IF(E364=F364,"Yes","No"))</f>
        <v/>
      </c>
      <c r="H364" s="2" t="n">
        <f aca="false">IF(D364="",0,1/COUNTIF($D$2:$D$3451,D364))</f>
        <v>0</v>
      </c>
      <c r="I364" s="13" t="n">
        <f aca="false">IFERROR(INDEX('NCO-2015 scores'!$C$2:$C$131,MATCH(E364,'NCO-2015 scores'!$A$2:$A$131,0)),0)</f>
        <v>0.265</v>
      </c>
      <c r="J364" s="13" t="n">
        <f aca="false">IF(ISNUMBER(MATCH(E364,'NCO-2015 scores'!$A$2:$A$131,0)),IF(ISNUMBER(INDEX('NCO-2015 scores'!$C$2:$C$131,MATCH(E364,'NCO-2015 scores'!$A$2:$A$131,0))),1,0),0)</f>
        <v>1</v>
      </c>
    </row>
    <row r="365" customFormat="false" ht="15" hidden="false" customHeight="false" outlineLevel="0" collapsed="false">
      <c r="A365" s="2" t="n">
        <v>363</v>
      </c>
      <c r="B365" s="2" t="s">
        <v>1486</v>
      </c>
      <c r="C365" s="2" t="s">
        <v>1487</v>
      </c>
      <c r="D365" s="2" t="s">
        <v>1488</v>
      </c>
      <c r="E365" s="2" t="str">
        <f aca="false">LEFT(C365,3)</f>
        <v>832</v>
      </c>
      <c r="F365" s="2" t="str">
        <f aca="false">IF(D365="","",LEFT(D365,3))</f>
        <v>832</v>
      </c>
      <c r="G365" s="2" t="str">
        <f aca="false">IF(F365="","",IF(E365=F365,"Yes","No"))</f>
        <v>Yes</v>
      </c>
      <c r="H365" s="2" t="n">
        <f aca="false">IF(D365="",0,1/COUNTIF($D$2:$D$3451,D365))</f>
        <v>1</v>
      </c>
      <c r="I365" s="13" t="n">
        <f aca="false">IFERROR(INDEX('NCO-2015 scores'!$C$2:$C$131,MATCH(E365,'NCO-2015 scores'!$A$2:$A$131,0)),0)</f>
        <v>0.265</v>
      </c>
      <c r="J365" s="13" t="n">
        <f aca="false">IF(ISNUMBER(MATCH(E365,'NCO-2015 scores'!$A$2:$A$131,0)),IF(ISNUMBER(INDEX('NCO-2015 scores'!$C$2:$C$131,MATCH(E365,'NCO-2015 scores'!$A$2:$A$131,0))),1,0),0)</f>
        <v>1</v>
      </c>
    </row>
    <row r="366" customFormat="false" ht="15" hidden="false" customHeight="false" outlineLevel="0" collapsed="false">
      <c r="A366" s="2" t="n">
        <v>364</v>
      </c>
      <c r="B366" s="2" t="s">
        <v>1489</v>
      </c>
      <c r="C366" s="2" t="s">
        <v>1490</v>
      </c>
      <c r="D366" s="2" t="s">
        <v>1491</v>
      </c>
      <c r="E366" s="2" t="str">
        <f aca="false">LEFT(C366,3)</f>
        <v>832</v>
      </c>
      <c r="F366" s="2" t="str">
        <f aca="false">IF(D366="","",LEFT(D366,3))</f>
        <v>832</v>
      </c>
      <c r="G366" s="2" t="str">
        <f aca="false">IF(F366="","",IF(E366=F366,"Yes","No"))</f>
        <v>Yes</v>
      </c>
      <c r="H366" s="2" t="n">
        <f aca="false">IF(D366="",0,1/COUNTIF($D$2:$D$3451,D366))</f>
        <v>1</v>
      </c>
      <c r="I366" s="13" t="n">
        <f aca="false">IFERROR(INDEX('NCO-2015 scores'!$C$2:$C$131,MATCH(E366,'NCO-2015 scores'!$A$2:$A$131,0)),0)</f>
        <v>0.265</v>
      </c>
      <c r="J366" s="13" t="n">
        <f aca="false">IF(ISNUMBER(MATCH(E366,'NCO-2015 scores'!$A$2:$A$131,0)),IF(ISNUMBER(INDEX('NCO-2015 scores'!$C$2:$C$131,MATCH(E366,'NCO-2015 scores'!$A$2:$A$131,0))),1,0),0)</f>
        <v>1</v>
      </c>
    </row>
    <row r="367" customFormat="false" ht="15" hidden="false" customHeight="false" outlineLevel="0" collapsed="false">
      <c r="A367" s="2" t="n">
        <v>365</v>
      </c>
      <c r="B367" s="2" t="s">
        <v>1492</v>
      </c>
      <c r="C367" s="2" t="s">
        <v>1493</v>
      </c>
      <c r="D367" s="2"/>
      <c r="E367" s="2" t="str">
        <f aca="false">LEFT(C367,3)</f>
        <v>832</v>
      </c>
      <c r="F367" s="2" t="str">
        <f aca="false">IF(D367="","",LEFT(D367,3))</f>
        <v/>
      </c>
      <c r="G367" s="2" t="str">
        <f aca="false">IF(F367="","",IF(E367=F367,"Yes","No"))</f>
        <v/>
      </c>
      <c r="H367" s="2" t="n">
        <f aca="false">IF(D367="",0,1/COUNTIF($D$2:$D$3451,D367))</f>
        <v>0</v>
      </c>
      <c r="I367" s="13" t="n">
        <f aca="false">IFERROR(INDEX('NCO-2015 scores'!$C$2:$C$131,MATCH(E367,'NCO-2015 scores'!$A$2:$A$131,0)),0)</f>
        <v>0.265</v>
      </c>
      <c r="J367" s="13" t="n">
        <f aca="false">IF(ISNUMBER(MATCH(E367,'NCO-2015 scores'!$A$2:$A$131,0)),IF(ISNUMBER(INDEX('NCO-2015 scores'!$C$2:$C$131,MATCH(E367,'NCO-2015 scores'!$A$2:$A$131,0))),1,0),0)</f>
        <v>1</v>
      </c>
    </row>
    <row r="368" customFormat="false" ht="15" hidden="false" customHeight="false" outlineLevel="0" collapsed="false">
      <c r="A368" s="2" t="n">
        <v>366</v>
      </c>
      <c r="B368" s="2" t="s">
        <v>1494</v>
      </c>
      <c r="C368" s="2" t="s">
        <v>1495</v>
      </c>
      <c r="D368" s="2" t="s">
        <v>1496</v>
      </c>
      <c r="E368" s="2" t="str">
        <f aca="false">LEFT(C368,3)</f>
        <v>832</v>
      </c>
      <c r="F368" s="2" t="str">
        <f aca="false">IF(D368="","",LEFT(D368,3))</f>
        <v>832</v>
      </c>
      <c r="G368" s="2" t="str">
        <f aca="false">IF(F368="","",IF(E368=F368,"Yes","No"))</f>
        <v>Yes</v>
      </c>
      <c r="H368" s="2" t="n">
        <f aca="false">IF(D368="",0,1/COUNTIF($D$2:$D$3451,D368))</f>
        <v>1</v>
      </c>
      <c r="I368" s="13" t="n">
        <f aca="false">IFERROR(INDEX('NCO-2015 scores'!$C$2:$C$131,MATCH(E368,'NCO-2015 scores'!$A$2:$A$131,0)),0)</f>
        <v>0.265</v>
      </c>
      <c r="J368" s="13" t="n">
        <f aca="false">IF(ISNUMBER(MATCH(E368,'NCO-2015 scores'!$A$2:$A$131,0)),IF(ISNUMBER(INDEX('NCO-2015 scores'!$C$2:$C$131,MATCH(E368,'NCO-2015 scores'!$A$2:$A$131,0))),1,0),0)</f>
        <v>1</v>
      </c>
    </row>
    <row r="369" customFormat="false" ht="15" hidden="false" customHeight="false" outlineLevel="0" collapsed="false">
      <c r="A369" s="2" t="n">
        <v>367</v>
      </c>
      <c r="B369" s="2" t="s">
        <v>1497</v>
      </c>
      <c r="C369" s="2" t="s">
        <v>1498</v>
      </c>
      <c r="D369" s="2" t="s">
        <v>1499</v>
      </c>
      <c r="E369" s="2" t="str">
        <f aca="false">LEFT(C369,3)</f>
        <v>711</v>
      </c>
      <c r="F369" s="2" t="str">
        <f aca="false">IF(D369="","",LEFT(D369,3))</f>
        <v>712</v>
      </c>
      <c r="G369" s="2" t="str">
        <f aca="false">IF(F369="","",IF(E369=F369,"Yes","No"))</f>
        <v>No</v>
      </c>
      <c r="H369" s="2" t="n">
        <f aca="false">IF(D369="",0,1/COUNTIF($D$2:$D$3451,D369))</f>
        <v>1</v>
      </c>
      <c r="I369" s="13" t="n">
        <f aca="false">IFERROR(INDEX('NCO-2015 scores'!$C$2:$C$131,MATCH(E369,'NCO-2015 scores'!$A$2:$A$131,0)),0)</f>
        <v>0.11</v>
      </c>
      <c r="J369" s="13" t="n">
        <f aca="false">IF(ISNUMBER(MATCH(E369,'NCO-2015 scores'!$A$2:$A$131,0)),IF(ISNUMBER(INDEX('NCO-2015 scores'!$C$2:$C$131,MATCH(E369,'NCO-2015 scores'!$A$2:$A$131,0))),1,0),0)</f>
        <v>1</v>
      </c>
    </row>
    <row r="370" customFormat="false" ht="15" hidden="false" customHeight="false" outlineLevel="0" collapsed="false">
      <c r="A370" s="2" t="n">
        <v>368</v>
      </c>
      <c r="B370" s="2" t="s">
        <v>1500</v>
      </c>
      <c r="C370" s="2" t="s">
        <v>1501</v>
      </c>
      <c r="D370" s="2" t="s">
        <v>1502</v>
      </c>
      <c r="E370" s="2" t="str">
        <f aca="false">LEFT(C370,3)</f>
        <v>711</v>
      </c>
      <c r="F370" s="2" t="str">
        <f aca="false">IF(D370="","",LEFT(D370,3))</f>
        <v>712</v>
      </c>
      <c r="G370" s="2" t="str">
        <f aca="false">IF(F370="","",IF(E370=F370,"Yes","No"))</f>
        <v>No</v>
      </c>
      <c r="H370" s="2" t="n">
        <f aca="false">IF(D370="",0,1/COUNTIF($D$2:$D$3451,D370))</f>
        <v>1</v>
      </c>
      <c r="I370" s="13" t="n">
        <f aca="false">IFERROR(INDEX('NCO-2015 scores'!$C$2:$C$131,MATCH(E370,'NCO-2015 scores'!$A$2:$A$131,0)),0)</f>
        <v>0.11</v>
      </c>
      <c r="J370" s="13" t="n">
        <f aca="false">IF(ISNUMBER(MATCH(E370,'NCO-2015 scores'!$A$2:$A$131,0)),IF(ISNUMBER(INDEX('NCO-2015 scores'!$C$2:$C$131,MATCH(E370,'NCO-2015 scores'!$A$2:$A$131,0))),1,0),0)</f>
        <v>1</v>
      </c>
    </row>
    <row r="371" customFormat="false" ht="15" hidden="false" customHeight="false" outlineLevel="0" collapsed="false">
      <c r="A371" s="2" t="n">
        <v>369</v>
      </c>
      <c r="B371" s="2" t="s">
        <v>1503</v>
      </c>
      <c r="C371" s="2" t="s">
        <v>1504</v>
      </c>
      <c r="D371" s="2" t="s">
        <v>1505</v>
      </c>
      <c r="E371" s="2" t="str">
        <f aca="false">LEFT(C371,3)</f>
        <v>711</v>
      </c>
      <c r="F371" s="2" t="str">
        <f aca="false">IF(D371="","",LEFT(D371,3))</f>
        <v>712</v>
      </c>
      <c r="G371" s="2" t="str">
        <f aca="false">IF(F371="","",IF(E371=F371,"Yes","No"))</f>
        <v>No</v>
      </c>
      <c r="H371" s="2" t="n">
        <f aca="false">IF(D371="",0,1/COUNTIF($D$2:$D$3451,D371))</f>
        <v>1</v>
      </c>
      <c r="I371" s="13" t="n">
        <f aca="false">IFERROR(INDEX('NCO-2015 scores'!$C$2:$C$131,MATCH(E371,'NCO-2015 scores'!$A$2:$A$131,0)),0)</f>
        <v>0.11</v>
      </c>
      <c r="J371" s="13" t="n">
        <f aca="false">IF(ISNUMBER(MATCH(E371,'NCO-2015 scores'!$A$2:$A$131,0)),IF(ISNUMBER(INDEX('NCO-2015 scores'!$C$2:$C$131,MATCH(E371,'NCO-2015 scores'!$A$2:$A$131,0))),1,0),0)</f>
        <v>1</v>
      </c>
    </row>
    <row r="372" customFormat="false" ht="15" hidden="false" customHeight="false" outlineLevel="0" collapsed="false">
      <c r="A372" s="2" t="n">
        <v>370</v>
      </c>
      <c r="B372" s="2" t="s">
        <v>1506</v>
      </c>
      <c r="C372" s="2" t="s">
        <v>1507</v>
      </c>
      <c r="D372" s="2" t="s">
        <v>1508</v>
      </c>
      <c r="E372" s="2" t="str">
        <f aca="false">LEFT(C372,3)</f>
        <v>711</v>
      </c>
      <c r="F372" s="2" t="str">
        <f aca="false">IF(D372="","",LEFT(D372,3))</f>
        <v>712</v>
      </c>
      <c r="G372" s="2" t="str">
        <f aca="false">IF(F372="","",IF(E372=F372,"Yes","No"))</f>
        <v>No</v>
      </c>
      <c r="H372" s="2" t="n">
        <f aca="false">IF(D372="",0,1/COUNTIF($D$2:$D$3451,D372))</f>
        <v>1</v>
      </c>
      <c r="I372" s="13" t="n">
        <f aca="false">IFERROR(INDEX('NCO-2015 scores'!$C$2:$C$131,MATCH(E372,'NCO-2015 scores'!$A$2:$A$131,0)),0)</f>
        <v>0.11</v>
      </c>
      <c r="J372" s="13" t="n">
        <f aca="false">IF(ISNUMBER(MATCH(E372,'NCO-2015 scores'!$A$2:$A$131,0)),IF(ISNUMBER(INDEX('NCO-2015 scores'!$C$2:$C$131,MATCH(E372,'NCO-2015 scores'!$A$2:$A$131,0))),1,0),0)</f>
        <v>1</v>
      </c>
    </row>
    <row r="373" customFormat="false" ht="15" hidden="false" customHeight="false" outlineLevel="0" collapsed="false">
      <c r="A373" s="2" t="n">
        <v>371</v>
      </c>
      <c r="B373" s="2" t="s">
        <v>1509</v>
      </c>
      <c r="C373" s="2" t="s">
        <v>1510</v>
      </c>
      <c r="D373" s="2" t="s">
        <v>1511</v>
      </c>
      <c r="E373" s="2" t="str">
        <f aca="false">LEFT(C373,3)</f>
        <v>711</v>
      </c>
      <c r="F373" s="2" t="str">
        <f aca="false">IF(D373="","",LEFT(D373,3))</f>
        <v>712</v>
      </c>
      <c r="G373" s="2" t="str">
        <f aca="false">IF(F373="","",IF(E373=F373,"Yes","No"))</f>
        <v>No</v>
      </c>
      <c r="H373" s="2" t="n">
        <f aca="false">IF(D373="",0,1/COUNTIF($D$2:$D$3451,D373))</f>
        <v>1</v>
      </c>
      <c r="I373" s="13" t="n">
        <f aca="false">IFERROR(INDEX('NCO-2015 scores'!$C$2:$C$131,MATCH(E373,'NCO-2015 scores'!$A$2:$A$131,0)),0)</f>
        <v>0.11</v>
      </c>
      <c r="J373" s="13" t="n">
        <f aca="false">IF(ISNUMBER(MATCH(E373,'NCO-2015 scores'!$A$2:$A$131,0)),IF(ISNUMBER(INDEX('NCO-2015 scores'!$C$2:$C$131,MATCH(E373,'NCO-2015 scores'!$A$2:$A$131,0))),1,0),0)</f>
        <v>1</v>
      </c>
    </row>
    <row r="374" customFormat="false" ht="15" hidden="false" customHeight="false" outlineLevel="0" collapsed="false">
      <c r="A374" s="2" t="n">
        <v>372</v>
      </c>
      <c r="B374" s="2" t="s">
        <v>1512</v>
      </c>
      <c r="C374" s="2" t="s">
        <v>1513</v>
      </c>
      <c r="D374" s="2" t="s">
        <v>1514</v>
      </c>
      <c r="E374" s="2" t="str">
        <f aca="false">LEFT(C374,3)</f>
        <v>711</v>
      </c>
      <c r="F374" s="2" t="str">
        <f aca="false">IF(D374="","",LEFT(D374,3))</f>
        <v>712</v>
      </c>
      <c r="G374" s="2" t="str">
        <f aca="false">IF(F374="","",IF(E374=F374,"Yes","No"))</f>
        <v>No</v>
      </c>
      <c r="H374" s="2" t="n">
        <f aca="false">IF(D374="",0,1/COUNTIF($D$2:$D$3451,D374))</f>
        <v>1</v>
      </c>
      <c r="I374" s="13" t="n">
        <f aca="false">IFERROR(INDEX('NCO-2015 scores'!$C$2:$C$131,MATCH(E374,'NCO-2015 scores'!$A$2:$A$131,0)),0)</f>
        <v>0.11</v>
      </c>
      <c r="J374" s="13" t="n">
        <f aca="false">IF(ISNUMBER(MATCH(E374,'NCO-2015 scores'!$A$2:$A$131,0)),IF(ISNUMBER(INDEX('NCO-2015 scores'!$C$2:$C$131,MATCH(E374,'NCO-2015 scores'!$A$2:$A$131,0))),1,0),0)</f>
        <v>1</v>
      </c>
    </row>
    <row r="375" customFormat="false" ht="15" hidden="false" customHeight="false" outlineLevel="0" collapsed="false">
      <c r="A375" s="2" t="n">
        <v>373</v>
      </c>
      <c r="B375" s="2" t="s">
        <v>1515</v>
      </c>
      <c r="C375" s="2" t="s">
        <v>1516</v>
      </c>
      <c r="D375" s="2" t="s">
        <v>1517</v>
      </c>
      <c r="E375" s="2" t="str">
        <f aca="false">LEFT(C375,3)</f>
        <v>711</v>
      </c>
      <c r="F375" s="2" t="str">
        <f aca="false">IF(D375="","",LEFT(D375,3))</f>
        <v>712</v>
      </c>
      <c r="G375" s="2" t="str">
        <f aca="false">IF(F375="","",IF(E375=F375,"Yes","No"))</f>
        <v>No</v>
      </c>
      <c r="H375" s="2" t="n">
        <f aca="false">IF(D375="",0,1/COUNTIF($D$2:$D$3451,D375))</f>
        <v>1</v>
      </c>
      <c r="I375" s="13" t="n">
        <f aca="false">IFERROR(INDEX('NCO-2015 scores'!$C$2:$C$131,MATCH(E375,'NCO-2015 scores'!$A$2:$A$131,0)),0)</f>
        <v>0.11</v>
      </c>
      <c r="J375" s="13" t="n">
        <f aca="false">IF(ISNUMBER(MATCH(E375,'NCO-2015 scores'!$A$2:$A$131,0)),IF(ISNUMBER(INDEX('NCO-2015 scores'!$C$2:$C$131,MATCH(E375,'NCO-2015 scores'!$A$2:$A$131,0))),1,0),0)</f>
        <v>1</v>
      </c>
    </row>
    <row r="376" customFormat="false" ht="15" hidden="false" customHeight="false" outlineLevel="0" collapsed="false">
      <c r="A376" s="2" t="n">
        <v>374</v>
      </c>
      <c r="B376" s="2" t="s">
        <v>1518</v>
      </c>
      <c r="C376" s="2" t="s">
        <v>1519</v>
      </c>
      <c r="D376" s="2" t="s">
        <v>1520</v>
      </c>
      <c r="E376" s="2" t="str">
        <f aca="false">LEFT(C376,3)</f>
        <v>711</v>
      </c>
      <c r="F376" s="2" t="str">
        <f aca="false">IF(D376="","",LEFT(D376,3))</f>
        <v>712</v>
      </c>
      <c r="G376" s="2" t="str">
        <f aca="false">IF(F376="","",IF(E376=F376,"Yes","No"))</f>
        <v>No</v>
      </c>
      <c r="H376" s="2" t="n">
        <f aca="false">IF(D376="",0,1/COUNTIF($D$2:$D$3451,D376))</f>
        <v>1</v>
      </c>
      <c r="I376" s="13" t="n">
        <f aca="false">IFERROR(INDEX('NCO-2015 scores'!$C$2:$C$131,MATCH(E376,'NCO-2015 scores'!$A$2:$A$131,0)),0)</f>
        <v>0.11</v>
      </c>
      <c r="J376" s="13" t="n">
        <f aca="false">IF(ISNUMBER(MATCH(E376,'NCO-2015 scores'!$A$2:$A$131,0)),IF(ISNUMBER(INDEX('NCO-2015 scores'!$C$2:$C$131,MATCH(E376,'NCO-2015 scores'!$A$2:$A$131,0))),1,0),0)</f>
        <v>1</v>
      </c>
    </row>
    <row r="377" customFormat="false" ht="15" hidden="false" customHeight="false" outlineLevel="0" collapsed="false">
      <c r="A377" s="2" t="n">
        <v>375</v>
      </c>
      <c r="B377" s="2" t="s">
        <v>1521</v>
      </c>
      <c r="C377" s="2" t="s">
        <v>1522</v>
      </c>
      <c r="D377" s="2" t="s">
        <v>1523</v>
      </c>
      <c r="E377" s="2" t="str">
        <f aca="false">LEFT(C377,3)</f>
        <v>711</v>
      </c>
      <c r="F377" s="2" t="str">
        <f aca="false">IF(D377="","",LEFT(D377,3))</f>
        <v>712</v>
      </c>
      <c r="G377" s="2" t="str">
        <f aca="false">IF(F377="","",IF(E377=F377,"Yes","No"))</f>
        <v>No</v>
      </c>
      <c r="H377" s="2" t="n">
        <f aca="false">IF(D377="",0,1/COUNTIF($D$2:$D$3451,D377))</f>
        <v>1</v>
      </c>
      <c r="I377" s="13" t="n">
        <f aca="false">IFERROR(INDEX('NCO-2015 scores'!$C$2:$C$131,MATCH(E377,'NCO-2015 scores'!$A$2:$A$131,0)),0)</f>
        <v>0.11</v>
      </c>
      <c r="J377" s="13" t="n">
        <f aca="false">IF(ISNUMBER(MATCH(E377,'NCO-2015 scores'!$A$2:$A$131,0)),IF(ISNUMBER(INDEX('NCO-2015 scores'!$C$2:$C$131,MATCH(E377,'NCO-2015 scores'!$A$2:$A$131,0))),1,0),0)</f>
        <v>1</v>
      </c>
    </row>
    <row r="378" customFormat="false" ht="15" hidden="false" customHeight="false" outlineLevel="0" collapsed="false">
      <c r="A378" s="2" t="n">
        <v>376</v>
      </c>
      <c r="B378" s="2" t="s">
        <v>1524</v>
      </c>
      <c r="C378" s="2" t="s">
        <v>1525</v>
      </c>
      <c r="D378" s="2" t="s">
        <v>1526</v>
      </c>
      <c r="E378" s="2" t="str">
        <f aca="false">LEFT(C378,3)</f>
        <v>711</v>
      </c>
      <c r="F378" s="2" t="str">
        <f aca="false">IF(D378="","",LEFT(D378,3))</f>
        <v>712</v>
      </c>
      <c r="G378" s="2" t="str">
        <f aca="false">IF(F378="","",IF(E378=F378,"Yes","No"))</f>
        <v>No</v>
      </c>
      <c r="H378" s="2" t="n">
        <f aca="false">IF(D378="",0,1/COUNTIF($D$2:$D$3451,D378))</f>
        <v>1</v>
      </c>
      <c r="I378" s="13" t="n">
        <f aca="false">IFERROR(INDEX('NCO-2015 scores'!$C$2:$C$131,MATCH(E378,'NCO-2015 scores'!$A$2:$A$131,0)),0)</f>
        <v>0.11</v>
      </c>
      <c r="J378" s="13" t="n">
        <f aca="false">IF(ISNUMBER(MATCH(E378,'NCO-2015 scores'!$A$2:$A$131,0)),IF(ISNUMBER(INDEX('NCO-2015 scores'!$C$2:$C$131,MATCH(E378,'NCO-2015 scores'!$A$2:$A$131,0))),1,0),0)</f>
        <v>1</v>
      </c>
    </row>
    <row r="379" customFormat="false" ht="15" hidden="false" customHeight="false" outlineLevel="0" collapsed="false">
      <c r="A379" s="2" t="n">
        <v>377</v>
      </c>
      <c r="B379" s="2" t="s">
        <v>1527</v>
      </c>
      <c r="C379" s="2" t="s">
        <v>1528</v>
      </c>
      <c r="D379" s="2" t="s">
        <v>1529</v>
      </c>
      <c r="E379" s="2" t="str">
        <f aca="false">LEFT(C379,3)</f>
        <v>711</v>
      </c>
      <c r="F379" s="2" t="str">
        <f aca="false">IF(D379="","",LEFT(D379,3))</f>
        <v>712</v>
      </c>
      <c r="G379" s="2" t="str">
        <f aca="false">IF(F379="","",IF(E379=F379,"Yes","No"))</f>
        <v>No</v>
      </c>
      <c r="H379" s="2" t="n">
        <f aca="false">IF(D379="",0,1/COUNTIF($D$2:$D$3451,D379))</f>
        <v>1</v>
      </c>
      <c r="I379" s="13" t="n">
        <f aca="false">IFERROR(INDEX('NCO-2015 scores'!$C$2:$C$131,MATCH(E379,'NCO-2015 scores'!$A$2:$A$131,0)),0)</f>
        <v>0.11</v>
      </c>
      <c r="J379" s="13" t="n">
        <f aca="false">IF(ISNUMBER(MATCH(E379,'NCO-2015 scores'!$A$2:$A$131,0)),IF(ISNUMBER(INDEX('NCO-2015 scores'!$C$2:$C$131,MATCH(E379,'NCO-2015 scores'!$A$2:$A$131,0))),1,0),0)</f>
        <v>1</v>
      </c>
    </row>
    <row r="380" customFormat="false" ht="15" hidden="false" customHeight="false" outlineLevel="0" collapsed="false">
      <c r="A380" s="2" t="n">
        <v>378</v>
      </c>
      <c r="B380" s="2" t="s">
        <v>1530</v>
      </c>
      <c r="C380" s="2" t="s">
        <v>1531</v>
      </c>
      <c r="D380" s="2"/>
      <c r="E380" s="2" t="str">
        <f aca="false">LEFT(C380,3)</f>
        <v>711</v>
      </c>
      <c r="F380" s="2" t="str">
        <f aca="false">IF(D380="","",LEFT(D380,3))</f>
        <v/>
      </c>
      <c r="G380" s="2" t="str">
        <f aca="false">IF(F380="","",IF(E380=F380,"Yes","No"))</f>
        <v/>
      </c>
      <c r="H380" s="2" t="n">
        <f aca="false">IF(D380="",0,1/COUNTIF($D$2:$D$3451,D380))</f>
        <v>0</v>
      </c>
      <c r="I380" s="13" t="n">
        <f aca="false">IFERROR(INDEX('NCO-2015 scores'!$C$2:$C$131,MATCH(E380,'NCO-2015 scores'!$A$2:$A$131,0)),0)</f>
        <v>0.11</v>
      </c>
      <c r="J380" s="13" t="n">
        <f aca="false">IF(ISNUMBER(MATCH(E380,'NCO-2015 scores'!$A$2:$A$131,0)),IF(ISNUMBER(INDEX('NCO-2015 scores'!$C$2:$C$131,MATCH(E380,'NCO-2015 scores'!$A$2:$A$131,0))),1,0),0)</f>
        <v>1</v>
      </c>
    </row>
    <row r="381" customFormat="false" ht="15" hidden="false" customHeight="false" outlineLevel="0" collapsed="false">
      <c r="A381" s="2" t="n">
        <v>379</v>
      </c>
      <c r="B381" s="2" t="s">
        <v>1532</v>
      </c>
      <c r="C381" s="2" t="s">
        <v>1533</v>
      </c>
      <c r="D381" s="2" t="s">
        <v>1534</v>
      </c>
      <c r="E381" s="2" t="str">
        <f aca="false">LEFT(C381,3)</f>
        <v>711</v>
      </c>
      <c r="F381" s="2" t="str">
        <f aca="false">IF(D381="","",LEFT(D381,3))</f>
        <v>712</v>
      </c>
      <c r="G381" s="2" t="str">
        <f aca="false">IF(F381="","",IF(E381=F381,"Yes","No"))</f>
        <v>No</v>
      </c>
      <c r="H381" s="2" t="n">
        <f aca="false">IF(D381="",0,1/COUNTIF($D$2:$D$3451,D381))</f>
        <v>1</v>
      </c>
      <c r="I381" s="13" t="n">
        <f aca="false">IFERROR(INDEX('NCO-2015 scores'!$C$2:$C$131,MATCH(E381,'NCO-2015 scores'!$A$2:$A$131,0)),0)</f>
        <v>0.11</v>
      </c>
      <c r="J381" s="13" t="n">
        <f aca="false">IF(ISNUMBER(MATCH(E381,'NCO-2015 scores'!$A$2:$A$131,0)),IF(ISNUMBER(INDEX('NCO-2015 scores'!$C$2:$C$131,MATCH(E381,'NCO-2015 scores'!$A$2:$A$131,0))),1,0),0)</f>
        <v>1</v>
      </c>
    </row>
    <row r="382" customFormat="false" ht="15" hidden="false" customHeight="false" outlineLevel="0" collapsed="false">
      <c r="A382" s="2" t="n">
        <v>380</v>
      </c>
      <c r="B382" s="2" t="s">
        <v>1535</v>
      </c>
      <c r="C382" s="2" t="s">
        <v>1536</v>
      </c>
      <c r="D382" s="2" t="s">
        <v>1537</v>
      </c>
      <c r="E382" s="2" t="str">
        <f aca="false">LEFT(C382,3)</f>
        <v>216</v>
      </c>
      <c r="F382" s="2" t="str">
        <f aca="false">IF(D382="","",LEFT(D382,3))</f>
        <v>214</v>
      </c>
      <c r="G382" s="2" t="str">
        <f aca="false">IF(F382="","",IF(E382=F382,"Yes","No"))</f>
        <v>No</v>
      </c>
      <c r="H382" s="2" t="n">
        <f aca="false">IF(D382="",0,1/COUNTIF($D$2:$D$3451,D382))</f>
        <v>1</v>
      </c>
      <c r="I382" s="13" t="n">
        <f aca="false">IFERROR(INDEX('NCO-2015 scores'!$C$2:$C$131,MATCH(E382,'NCO-2015 scores'!$A$2:$A$131,0)),0)</f>
        <v>0.405</v>
      </c>
      <c r="J382" s="13" t="n">
        <f aca="false">IF(ISNUMBER(MATCH(E382,'NCO-2015 scores'!$A$2:$A$131,0)),IF(ISNUMBER(INDEX('NCO-2015 scores'!$C$2:$C$131,MATCH(E382,'NCO-2015 scores'!$A$2:$A$131,0))),1,0),0)</f>
        <v>1</v>
      </c>
    </row>
    <row r="383" customFormat="false" ht="15" hidden="false" customHeight="false" outlineLevel="0" collapsed="false">
      <c r="A383" s="2" t="n">
        <v>381</v>
      </c>
      <c r="B383" s="2" t="s">
        <v>1538</v>
      </c>
      <c r="C383" s="2" t="s">
        <v>1539</v>
      </c>
      <c r="D383" s="2" t="s">
        <v>1540</v>
      </c>
      <c r="E383" s="2" t="str">
        <f aca="false">LEFT(C383,3)</f>
        <v>216</v>
      </c>
      <c r="F383" s="2" t="str">
        <f aca="false">IF(D383="","",LEFT(D383,3))</f>
        <v>214</v>
      </c>
      <c r="G383" s="2" t="str">
        <f aca="false">IF(F383="","",IF(E383=F383,"Yes","No"))</f>
        <v>No</v>
      </c>
      <c r="H383" s="2" t="n">
        <f aca="false">IF(D383="",0,1/COUNTIF($D$2:$D$3451,D383))</f>
        <v>1</v>
      </c>
      <c r="I383" s="13" t="n">
        <f aca="false">IFERROR(INDEX('NCO-2015 scores'!$C$2:$C$131,MATCH(E383,'NCO-2015 scores'!$A$2:$A$131,0)),0)</f>
        <v>0.405</v>
      </c>
      <c r="J383" s="13" t="n">
        <f aca="false">IF(ISNUMBER(MATCH(E383,'NCO-2015 scores'!$A$2:$A$131,0)),IF(ISNUMBER(INDEX('NCO-2015 scores'!$C$2:$C$131,MATCH(E383,'NCO-2015 scores'!$A$2:$A$131,0))),1,0),0)</f>
        <v>1</v>
      </c>
    </row>
    <row r="384" customFormat="false" ht="15" hidden="false" customHeight="false" outlineLevel="0" collapsed="false">
      <c r="A384" s="2" t="n">
        <v>382</v>
      </c>
      <c r="B384" s="2" t="s">
        <v>1541</v>
      </c>
      <c r="C384" s="2" t="s">
        <v>1542</v>
      </c>
      <c r="D384" s="2" t="s">
        <v>1543</v>
      </c>
      <c r="E384" s="2" t="str">
        <f aca="false">LEFT(C384,3)</f>
        <v>216</v>
      </c>
      <c r="F384" s="2" t="str">
        <f aca="false">IF(D384="","",LEFT(D384,3))</f>
        <v>214</v>
      </c>
      <c r="G384" s="2" t="str">
        <f aca="false">IF(F384="","",IF(E384=F384,"Yes","No"))</f>
        <v>No</v>
      </c>
      <c r="H384" s="2" t="n">
        <f aca="false">IF(D384="",0,1/COUNTIF($D$2:$D$3451,D384))</f>
        <v>1</v>
      </c>
      <c r="I384" s="13" t="n">
        <f aca="false">IFERROR(INDEX('NCO-2015 scores'!$C$2:$C$131,MATCH(E384,'NCO-2015 scores'!$A$2:$A$131,0)),0)</f>
        <v>0.405</v>
      </c>
      <c r="J384" s="13" t="n">
        <f aca="false">IF(ISNUMBER(MATCH(E384,'NCO-2015 scores'!$A$2:$A$131,0)),IF(ISNUMBER(INDEX('NCO-2015 scores'!$C$2:$C$131,MATCH(E384,'NCO-2015 scores'!$A$2:$A$131,0))),1,0),0)</f>
        <v>1</v>
      </c>
    </row>
    <row r="385" customFormat="false" ht="15" hidden="false" customHeight="false" outlineLevel="0" collapsed="false">
      <c r="A385" s="2" t="n">
        <v>383</v>
      </c>
      <c r="B385" s="2" t="s">
        <v>1544</v>
      </c>
      <c r="C385" s="2" t="s">
        <v>1545</v>
      </c>
      <c r="D385" s="2" t="s">
        <v>1546</v>
      </c>
      <c r="E385" s="2" t="str">
        <f aca="false">LEFT(C385,3)</f>
        <v>216</v>
      </c>
      <c r="F385" s="2" t="str">
        <f aca="false">IF(D385="","",LEFT(D385,3))</f>
        <v>214</v>
      </c>
      <c r="G385" s="2" t="str">
        <f aca="false">IF(F385="","",IF(E385=F385,"Yes","No"))</f>
        <v>No</v>
      </c>
      <c r="H385" s="2" t="n">
        <f aca="false">IF(D385="",0,1/COUNTIF($D$2:$D$3451,D385))</f>
        <v>1</v>
      </c>
      <c r="I385" s="13" t="n">
        <f aca="false">IFERROR(INDEX('NCO-2015 scores'!$C$2:$C$131,MATCH(E385,'NCO-2015 scores'!$A$2:$A$131,0)),0)</f>
        <v>0.405</v>
      </c>
      <c r="J385" s="13" t="n">
        <f aca="false">IF(ISNUMBER(MATCH(E385,'NCO-2015 scores'!$A$2:$A$131,0)),IF(ISNUMBER(INDEX('NCO-2015 scores'!$C$2:$C$131,MATCH(E385,'NCO-2015 scores'!$A$2:$A$131,0))),1,0),0)</f>
        <v>1</v>
      </c>
    </row>
    <row r="386" customFormat="false" ht="15" hidden="false" customHeight="false" outlineLevel="0" collapsed="false">
      <c r="A386" s="2" t="n">
        <v>384</v>
      </c>
      <c r="B386" s="2" t="s">
        <v>1547</v>
      </c>
      <c r="C386" s="2" t="s">
        <v>1548</v>
      </c>
      <c r="D386" s="2" t="s">
        <v>1549</v>
      </c>
      <c r="E386" s="2" t="str">
        <f aca="false">LEFT(C386,3)</f>
        <v>216</v>
      </c>
      <c r="F386" s="2" t="str">
        <f aca="false">IF(D386="","",LEFT(D386,3))</f>
        <v>214</v>
      </c>
      <c r="G386" s="2" t="str">
        <f aca="false">IF(F386="","",IF(E386=F386,"Yes","No"))</f>
        <v>No</v>
      </c>
      <c r="H386" s="2" t="n">
        <f aca="false">IF(D386="",0,1/COUNTIF($D$2:$D$3451,D386))</f>
        <v>1</v>
      </c>
      <c r="I386" s="13" t="n">
        <f aca="false">IFERROR(INDEX('NCO-2015 scores'!$C$2:$C$131,MATCH(E386,'NCO-2015 scores'!$A$2:$A$131,0)),0)</f>
        <v>0.405</v>
      </c>
      <c r="J386" s="13" t="n">
        <f aca="false">IF(ISNUMBER(MATCH(E386,'NCO-2015 scores'!$A$2:$A$131,0)),IF(ISNUMBER(INDEX('NCO-2015 scores'!$C$2:$C$131,MATCH(E386,'NCO-2015 scores'!$A$2:$A$131,0))),1,0),0)</f>
        <v>1</v>
      </c>
    </row>
    <row r="387" customFormat="false" ht="15" hidden="false" customHeight="false" outlineLevel="0" collapsed="false">
      <c r="A387" s="2" t="n">
        <v>385</v>
      </c>
      <c r="B387" s="2" t="s">
        <v>1550</v>
      </c>
      <c r="C387" s="2" t="s">
        <v>1551</v>
      </c>
      <c r="D387" s="2" t="s">
        <v>1552</v>
      </c>
      <c r="E387" s="2" t="str">
        <f aca="false">LEFT(C387,3)</f>
        <v>216</v>
      </c>
      <c r="F387" s="2" t="str">
        <f aca="false">IF(D387="","",LEFT(D387,3))</f>
        <v>214</v>
      </c>
      <c r="G387" s="2" t="str">
        <f aca="false">IF(F387="","",IF(E387=F387,"Yes","No"))</f>
        <v>No</v>
      </c>
      <c r="H387" s="2" t="n">
        <f aca="false">IF(D387="",0,1/COUNTIF($D$2:$D$3451,D387))</f>
        <v>1</v>
      </c>
      <c r="I387" s="13" t="n">
        <f aca="false">IFERROR(INDEX('NCO-2015 scores'!$C$2:$C$131,MATCH(E387,'NCO-2015 scores'!$A$2:$A$131,0)),0)</f>
        <v>0.405</v>
      </c>
      <c r="J387" s="13" t="n">
        <f aca="false">IF(ISNUMBER(MATCH(E387,'NCO-2015 scores'!$A$2:$A$131,0)),IF(ISNUMBER(INDEX('NCO-2015 scores'!$C$2:$C$131,MATCH(E387,'NCO-2015 scores'!$A$2:$A$131,0))),1,0),0)</f>
        <v>1</v>
      </c>
    </row>
    <row r="388" customFormat="false" ht="15" hidden="false" customHeight="false" outlineLevel="0" collapsed="false">
      <c r="A388" s="2" t="n">
        <v>386</v>
      </c>
      <c r="B388" s="2" t="s">
        <v>1553</v>
      </c>
      <c r="C388" s="2" t="s">
        <v>1554</v>
      </c>
      <c r="D388" s="2" t="s">
        <v>1555</v>
      </c>
      <c r="E388" s="2" t="str">
        <f aca="false">LEFT(C388,3)</f>
        <v>216</v>
      </c>
      <c r="F388" s="2" t="str">
        <f aca="false">IF(D388="","",LEFT(D388,3))</f>
        <v>214</v>
      </c>
      <c r="G388" s="2" t="str">
        <f aca="false">IF(F388="","",IF(E388=F388,"Yes","No"))</f>
        <v>No</v>
      </c>
      <c r="H388" s="2" t="n">
        <f aca="false">IF(D388="",0,1/COUNTIF($D$2:$D$3451,D388))</f>
        <v>1</v>
      </c>
      <c r="I388" s="13" t="n">
        <f aca="false">IFERROR(INDEX('NCO-2015 scores'!$C$2:$C$131,MATCH(E388,'NCO-2015 scores'!$A$2:$A$131,0)),0)</f>
        <v>0.405</v>
      </c>
      <c r="J388" s="13" t="n">
        <f aca="false">IF(ISNUMBER(MATCH(E388,'NCO-2015 scores'!$A$2:$A$131,0)),IF(ISNUMBER(INDEX('NCO-2015 scores'!$C$2:$C$131,MATCH(E388,'NCO-2015 scores'!$A$2:$A$131,0))),1,0),0)</f>
        <v>1</v>
      </c>
    </row>
    <row r="389" customFormat="false" ht="15" hidden="false" customHeight="false" outlineLevel="0" collapsed="false">
      <c r="A389" s="2" t="n">
        <v>387</v>
      </c>
      <c r="B389" s="2" t="s">
        <v>1556</v>
      </c>
      <c r="C389" s="2" t="s">
        <v>1557</v>
      </c>
      <c r="D389" s="2" t="s">
        <v>1558</v>
      </c>
      <c r="E389" s="2" t="str">
        <f aca="false">LEFT(C389,3)</f>
        <v>811</v>
      </c>
      <c r="F389" s="2" t="str">
        <f aca="false">IF(D389="","",LEFT(D389,3))</f>
        <v>821</v>
      </c>
      <c r="G389" s="2" t="str">
        <f aca="false">IF(F389="","",IF(E389=F389,"Yes","No"))</f>
        <v>No</v>
      </c>
      <c r="H389" s="2" t="n">
        <f aca="false">IF(D389="",0,1/COUNTIF($D$2:$D$3451,D389))</f>
        <v>1</v>
      </c>
      <c r="I389" s="13" t="n">
        <f aca="false">IFERROR(INDEX('NCO-2015 scores'!$C$2:$C$131,MATCH(E389,'NCO-2015 scores'!$A$2:$A$131,0)),0)</f>
        <v>0.2</v>
      </c>
      <c r="J389" s="13" t="n">
        <f aca="false">IF(ISNUMBER(MATCH(E389,'NCO-2015 scores'!$A$2:$A$131,0)),IF(ISNUMBER(INDEX('NCO-2015 scores'!$C$2:$C$131,MATCH(E389,'NCO-2015 scores'!$A$2:$A$131,0))),1,0),0)</f>
        <v>1</v>
      </c>
    </row>
    <row r="390" customFormat="false" ht="15" hidden="false" customHeight="false" outlineLevel="0" collapsed="false">
      <c r="A390" s="2" t="n">
        <v>388</v>
      </c>
      <c r="B390" s="2" t="s">
        <v>1559</v>
      </c>
      <c r="C390" s="2" t="s">
        <v>1560</v>
      </c>
      <c r="D390" s="2" t="s">
        <v>1561</v>
      </c>
      <c r="E390" s="2" t="str">
        <f aca="false">LEFT(C390,3)</f>
        <v>811</v>
      </c>
      <c r="F390" s="2" t="str">
        <f aca="false">IF(D390="","",LEFT(D390,3))</f>
        <v>821</v>
      </c>
      <c r="G390" s="2" t="str">
        <f aca="false">IF(F390="","",IF(E390=F390,"Yes","No"))</f>
        <v>No</v>
      </c>
      <c r="H390" s="2" t="n">
        <f aca="false">IF(D390="",0,1/COUNTIF($D$2:$D$3451,D390))</f>
        <v>1</v>
      </c>
      <c r="I390" s="13" t="n">
        <f aca="false">IFERROR(INDEX('NCO-2015 scores'!$C$2:$C$131,MATCH(E390,'NCO-2015 scores'!$A$2:$A$131,0)),0)</f>
        <v>0.2</v>
      </c>
      <c r="J390" s="13" t="n">
        <f aca="false">IF(ISNUMBER(MATCH(E390,'NCO-2015 scores'!$A$2:$A$131,0)),IF(ISNUMBER(INDEX('NCO-2015 scores'!$C$2:$C$131,MATCH(E390,'NCO-2015 scores'!$A$2:$A$131,0))),1,0),0)</f>
        <v>1</v>
      </c>
    </row>
    <row r="391" customFormat="false" ht="15" hidden="false" customHeight="false" outlineLevel="0" collapsed="false">
      <c r="A391" s="2" t="n">
        <v>389</v>
      </c>
      <c r="B391" s="2" t="s">
        <v>1562</v>
      </c>
      <c r="C391" s="2" t="s">
        <v>1563</v>
      </c>
      <c r="D391" s="2" t="s">
        <v>1564</v>
      </c>
      <c r="E391" s="2" t="str">
        <f aca="false">LEFT(C391,3)</f>
        <v>811</v>
      </c>
      <c r="F391" s="2" t="str">
        <f aca="false">IF(D391="","",LEFT(D391,3))</f>
        <v>821</v>
      </c>
      <c r="G391" s="2" t="str">
        <f aca="false">IF(F391="","",IF(E391=F391,"Yes","No"))</f>
        <v>No</v>
      </c>
      <c r="H391" s="2" t="n">
        <f aca="false">IF(D391="",0,1/COUNTIF($D$2:$D$3451,D391))</f>
        <v>1</v>
      </c>
      <c r="I391" s="13" t="n">
        <f aca="false">IFERROR(INDEX('NCO-2015 scores'!$C$2:$C$131,MATCH(E391,'NCO-2015 scores'!$A$2:$A$131,0)),0)</f>
        <v>0.2</v>
      </c>
      <c r="J391" s="13" t="n">
        <f aca="false">IF(ISNUMBER(MATCH(E391,'NCO-2015 scores'!$A$2:$A$131,0)),IF(ISNUMBER(INDEX('NCO-2015 scores'!$C$2:$C$131,MATCH(E391,'NCO-2015 scores'!$A$2:$A$131,0))),1,0),0)</f>
        <v>1</v>
      </c>
    </row>
    <row r="392" customFormat="false" ht="15" hidden="false" customHeight="false" outlineLevel="0" collapsed="false">
      <c r="A392" s="2" t="n">
        <v>390</v>
      </c>
      <c r="B392" s="2" t="s">
        <v>1565</v>
      </c>
      <c r="C392" s="2" t="s">
        <v>1566</v>
      </c>
      <c r="D392" s="2" t="s">
        <v>1567</v>
      </c>
      <c r="E392" s="2" t="str">
        <f aca="false">LEFT(C392,3)</f>
        <v>811</v>
      </c>
      <c r="F392" s="2" t="str">
        <f aca="false">IF(D392="","",LEFT(D392,3))</f>
        <v>821</v>
      </c>
      <c r="G392" s="2" t="str">
        <f aca="false">IF(F392="","",IF(E392=F392,"Yes","No"))</f>
        <v>No</v>
      </c>
      <c r="H392" s="2" t="n">
        <f aca="false">IF(D392="",0,1/COUNTIF($D$2:$D$3451,D392))</f>
        <v>1</v>
      </c>
      <c r="I392" s="13" t="n">
        <f aca="false">IFERROR(INDEX('NCO-2015 scores'!$C$2:$C$131,MATCH(E392,'NCO-2015 scores'!$A$2:$A$131,0)),0)</f>
        <v>0.2</v>
      </c>
      <c r="J392" s="13" t="n">
        <f aca="false">IF(ISNUMBER(MATCH(E392,'NCO-2015 scores'!$A$2:$A$131,0)),IF(ISNUMBER(INDEX('NCO-2015 scores'!$C$2:$C$131,MATCH(E392,'NCO-2015 scores'!$A$2:$A$131,0))),1,0),0)</f>
        <v>1</v>
      </c>
    </row>
    <row r="393" customFormat="false" ht="15" hidden="false" customHeight="false" outlineLevel="0" collapsed="false">
      <c r="A393" s="2" t="n">
        <v>391</v>
      </c>
      <c r="B393" s="2" t="s">
        <v>1568</v>
      </c>
      <c r="C393" s="2" t="s">
        <v>1569</v>
      </c>
      <c r="D393" s="2" t="s">
        <v>1570</v>
      </c>
      <c r="E393" s="2" t="str">
        <f aca="false">LEFT(C393,3)</f>
        <v>811</v>
      </c>
      <c r="F393" s="2" t="str">
        <f aca="false">IF(D393="","",LEFT(D393,3))</f>
        <v>821</v>
      </c>
      <c r="G393" s="2" t="str">
        <f aca="false">IF(F393="","",IF(E393=F393,"Yes","No"))</f>
        <v>No</v>
      </c>
      <c r="H393" s="2" t="n">
        <f aca="false">IF(D393="",0,1/COUNTIF($D$2:$D$3451,D393))</f>
        <v>1</v>
      </c>
      <c r="I393" s="13" t="n">
        <f aca="false">IFERROR(INDEX('NCO-2015 scores'!$C$2:$C$131,MATCH(E393,'NCO-2015 scores'!$A$2:$A$131,0)),0)</f>
        <v>0.2</v>
      </c>
      <c r="J393" s="13" t="n">
        <f aca="false">IF(ISNUMBER(MATCH(E393,'NCO-2015 scores'!$A$2:$A$131,0)),IF(ISNUMBER(INDEX('NCO-2015 scores'!$C$2:$C$131,MATCH(E393,'NCO-2015 scores'!$A$2:$A$131,0))),1,0),0)</f>
        <v>1</v>
      </c>
    </row>
    <row r="394" customFormat="false" ht="15" hidden="false" customHeight="false" outlineLevel="0" collapsed="false">
      <c r="A394" s="2" t="n">
        <v>392</v>
      </c>
      <c r="B394" s="2" t="s">
        <v>1571</v>
      </c>
      <c r="C394" s="2" t="s">
        <v>1572</v>
      </c>
      <c r="D394" s="2" t="s">
        <v>1573</v>
      </c>
      <c r="E394" s="2" t="str">
        <f aca="false">LEFT(C394,3)</f>
        <v>811</v>
      </c>
      <c r="F394" s="2" t="str">
        <f aca="false">IF(D394="","",LEFT(D394,3))</f>
        <v>821</v>
      </c>
      <c r="G394" s="2" t="str">
        <f aca="false">IF(F394="","",IF(E394=F394,"Yes","No"))</f>
        <v>No</v>
      </c>
      <c r="H394" s="2" t="n">
        <f aca="false">IF(D394="",0,1/COUNTIF($D$2:$D$3451,D394))</f>
        <v>1</v>
      </c>
      <c r="I394" s="13" t="n">
        <f aca="false">IFERROR(INDEX('NCO-2015 scores'!$C$2:$C$131,MATCH(E394,'NCO-2015 scores'!$A$2:$A$131,0)),0)</f>
        <v>0.2</v>
      </c>
      <c r="J394" s="13" t="n">
        <f aca="false">IF(ISNUMBER(MATCH(E394,'NCO-2015 scores'!$A$2:$A$131,0)),IF(ISNUMBER(INDEX('NCO-2015 scores'!$C$2:$C$131,MATCH(E394,'NCO-2015 scores'!$A$2:$A$131,0))),1,0),0)</f>
        <v>1</v>
      </c>
    </row>
    <row r="395" customFormat="false" ht="15" hidden="false" customHeight="false" outlineLevel="0" collapsed="false">
      <c r="A395" s="2" t="n">
        <v>393</v>
      </c>
      <c r="B395" s="2" t="s">
        <v>1574</v>
      </c>
      <c r="C395" s="2" t="s">
        <v>1575</v>
      </c>
      <c r="D395" s="2" t="s">
        <v>1576</v>
      </c>
      <c r="E395" s="2" t="str">
        <f aca="false">LEFT(C395,3)</f>
        <v>811</v>
      </c>
      <c r="F395" s="2" t="str">
        <f aca="false">IF(D395="","",LEFT(D395,3))</f>
        <v>821</v>
      </c>
      <c r="G395" s="2" t="str">
        <f aca="false">IF(F395="","",IF(E395=F395,"Yes","No"))</f>
        <v>No</v>
      </c>
      <c r="H395" s="2" t="n">
        <f aca="false">IF(D395="",0,1/COUNTIF($D$2:$D$3451,D395))</f>
        <v>1</v>
      </c>
      <c r="I395" s="13" t="n">
        <f aca="false">IFERROR(INDEX('NCO-2015 scores'!$C$2:$C$131,MATCH(E395,'NCO-2015 scores'!$A$2:$A$131,0)),0)</f>
        <v>0.2</v>
      </c>
      <c r="J395" s="13" t="n">
        <f aca="false">IF(ISNUMBER(MATCH(E395,'NCO-2015 scores'!$A$2:$A$131,0)),IF(ISNUMBER(INDEX('NCO-2015 scores'!$C$2:$C$131,MATCH(E395,'NCO-2015 scores'!$A$2:$A$131,0))),1,0),0)</f>
        <v>1</v>
      </c>
    </row>
    <row r="396" customFormat="false" ht="15" hidden="false" customHeight="false" outlineLevel="0" collapsed="false">
      <c r="A396" s="2" t="n">
        <v>394</v>
      </c>
      <c r="B396" s="2" t="s">
        <v>1577</v>
      </c>
      <c r="C396" s="2" t="s">
        <v>1578</v>
      </c>
      <c r="D396" s="2" t="s">
        <v>1579</v>
      </c>
      <c r="E396" s="2" t="str">
        <f aca="false">LEFT(C396,3)</f>
        <v>343</v>
      </c>
      <c r="F396" s="2" t="str">
        <f aca="false">IF(D396="","",LEFT(D396,3))</f>
        <v>512</v>
      </c>
      <c r="G396" s="2" t="str">
        <f aca="false">IF(F396="","",IF(E396=F396,"Yes","No"))</f>
        <v>No</v>
      </c>
      <c r="H396" s="2" t="n">
        <f aca="false">IF(D396="",0,1/COUNTIF($D$2:$D$3451,D396))</f>
        <v>1</v>
      </c>
      <c r="I396" s="13" t="n">
        <f aca="false">IFERROR(INDEX('NCO-2015 scores'!$C$2:$C$131,MATCH(E396,'NCO-2015 scores'!$A$2:$A$131,0)),0)</f>
        <v>0.345</v>
      </c>
      <c r="J396" s="13" t="n">
        <f aca="false">IF(ISNUMBER(MATCH(E396,'NCO-2015 scores'!$A$2:$A$131,0)),IF(ISNUMBER(INDEX('NCO-2015 scores'!$C$2:$C$131,MATCH(E396,'NCO-2015 scores'!$A$2:$A$131,0))),1,0),0)</f>
        <v>1</v>
      </c>
    </row>
    <row r="397" customFormat="false" ht="15" hidden="false" customHeight="false" outlineLevel="0" collapsed="false">
      <c r="A397" s="2" t="n">
        <v>395</v>
      </c>
      <c r="B397" s="2" t="s">
        <v>1580</v>
      </c>
      <c r="C397" s="2" t="s">
        <v>1581</v>
      </c>
      <c r="D397" s="2" t="s">
        <v>1582</v>
      </c>
      <c r="E397" s="2" t="str">
        <f aca="false">LEFT(C397,3)</f>
        <v>311</v>
      </c>
      <c r="F397" s="2" t="str">
        <f aca="false">IF(D397="","",LEFT(D397,3))</f>
        <v>311</v>
      </c>
      <c r="G397" s="2" t="str">
        <f aca="false">IF(F397="","",IF(E397=F397,"Yes","No"))</f>
        <v>Yes</v>
      </c>
      <c r="H397" s="2" t="n">
        <f aca="false">IF(D397="",0,1/COUNTIF($D$2:$D$3451,D397))</f>
        <v>1</v>
      </c>
      <c r="I397" s="13" t="n">
        <f aca="false">IFERROR(INDEX('NCO-2015 scores'!$C$2:$C$131,MATCH(E397,'NCO-2015 scores'!$A$2:$A$131,0)),0)</f>
        <v>0.2956</v>
      </c>
      <c r="J397" s="13" t="n">
        <f aca="false">IF(ISNUMBER(MATCH(E397,'NCO-2015 scores'!$A$2:$A$131,0)),IF(ISNUMBER(INDEX('NCO-2015 scores'!$C$2:$C$131,MATCH(E397,'NCO-2015 scores'!$A$2:$A$131,0))),1,0),0)</f>
        <v>1</v>
      </c>
    </row>
    <row r="398" customFormat="false" ht="15" hidden="false" customHeight="false" outlineLevel="0" collapsed="false">
      <c r="A398" s="2" t="n">
        <v>396</v>
      </c>
      <c r="B398" s="2" t="s">
        <v>1583</v>
      </c>
      <c r="C398" s="2" t="s">
        <v>1584</v>
      </c>
      <c r="D398" s="2" t="s">
        <v>1585</v>
      </c>
      <c r="E398" s="2" t="str">
        <f aca="false">LEFT(C398,3)</f>
        <v>311</v>
      </c>
      <c r="F398" s="2" t="str">
        <f aca="false">IF(D398="","",LEFT(D398,3))</f>
        <v>311</v>
      </c>
      <c r="G398" s="2" t="str">
        <f aca="false">IF(F398="","",IF(E398=F398,"Yes","No"))</f>
        <v>Yes</v>
      </c>
      <c r="H398" s="2" t="n">
        <f aca="false">IF(D398="",0,1/COUNTIF($D$2:$D$3451,D398))</f>
        <v>1</v>
      </c>
      <c r="I398" s="13" t="n">
        <f aca="false">IFERROR(INDEX('NCO-2015 scores'!$C$2:$C$131,MATCH(E398,'NCO-2015 scores'!$A$2:$A$131,0)),0)</f>
        <v>0.2956</v>
      </c>
      <c r="J398" s="13" t="n">
        <f aca="false">IF(ISNUMBER(MATCH(E398,'NCO-2015 scores'!$A$2:$A$131,0)),IF(ISNUMBER(INDEX('NCO-2015 scores'!$C$2:$C$131,MATCH(E398,'NCO-2015 scores'!$A$2:$A$131,0))),1,0),0)</f>
        <v>1</v>
      </c>
    </row>
    <row r="399" customFormat="false" ht="15" hidden="false" customHeight="false" outlineLevel="0" collapsed="false">
      <c r="A399" s="2" t="n">
        <v>397</v>
      </c>
      <c r="B399" s="2" t="s">
        <v>1586</v>
      </c>
      <c r="C399" s="2" t="s">
        <v>1587</v>
      </c>
      <c r="D399" s="2" t="s">
        <v>1588</v>
      </c>
      <c r="E399" s="2" t="str">
        <f aca="false">LEFT(C399,3)</f>
        <v>311</v>
      </c>
      <c r="F399" s="2" t="str">
        <f aca="false">IF(D399="","",LEFT(D399,3))</f>
        <v>311</v>
      </c>
      <c r="G399" s="2" t="str">
        <f aca="false">IF(F399="","",IF(E399=F399,"Yes","No"))</f>
        <v>Yes</v>
      </c>
      <c r="H399" s="2" t="n">
        <f aca="false">IF(D399="",0,1/COUNTIF($D$2:$D$3451,D399))</f>
        <v>1</v>
      </c>
      <c r="I399" s="13" t="n">
        <f aca="false">IFERROR(INDEX('NCO-2015 scores'!$C$2:$C$131,MATCH(E399,'NCO-2015 scores'!$A$2:$A$131,0)),0)</f>
        <v>0.2956</v>
      </c>
      <c r="J399" s="13" t="n">
        <f aca="false">IF(ISNUMBER(MATCH(E399,'NCO-2015 scores'!$A$2:$A$131,0)),IF(ISNUMBER(INDEX('NCO-2015 scores'!$C$2:$C$131,MATCH(E399,'NCO-2015 scores'!$A$2:$A$131,0))),1,0),0)</f>
        <v>1</v>
      </c>
    </row>
    <row r="400" customFormat="false" ht="15" hidden="false" customHeight="false" outlineLevel="0" collapsed="false">
      <c r="A400" s="2" t="n">
        <v>398</v>
      </c>
      <c r="B400" s="2" t="s">
        <v>1589</v>
      </c>
      <c r="C400" s="2" t="s">
        <v>1590</v>
      </c>
      <c r="D400" s="2" t="s">
        <v>1591</v>
      </c>
      <c r="E400" s="2" t="str">
        <f aca="false">LEFT(C400,3)</f>
        <v>311</v>
      </c>
      <c r="F400" s="2" t="str">
        <f aca="false">IF(D400="","",LEFT(D400,3))</f>
        <v>311</v>
      </c>
      <c r="G400" s="2" t="str">
        <f aca="false">IF(F400="","",IF(E400=F400,"Yes","No"))</f>
        <v>Yes</v>
      </c>
      <c r="H400" s="2" t="n">
        <f aca="false">IF(D400="",0,1/COUNTIF($D$2:$D$3451,D400))</f>
        <v>1</v>
      </c>
      <c r="I400" s="13" t="n">
        <f aca="false">IFERROR(INDEX('NCO-2015 scores'!$C$2:$C$131,MATCH(E400,'NCO-2015 scores'!$A$2:$A$131,0)),0)</f>
        <v>0.2956</v>
      </c>
      <c r="J400" s="13" t="n">
        <f aca="false">IF(ISNUMBER(MATCH(E400,'NCO-2015 scores'!$A$2:$A$131,0)),IF(ISNUMBER(INDEX('NCO-2015 scores'!$C$2:$C$131,MATCH(E400,'NCO-2015 scores'!$A$2:$A$131,0))),1,0),0)</f>
        <v>1</v>
      </c>
    </row>
    <row r="401" customFormat="false" ht="15" hidden="false" customHeight="false" outlineLevel="0" collapsed="false">
      <c r="A401" s="2" t="n">
        <v>399</v>
      </c>
      <c r="B401" s="2" t="s">
        <v>1592</v>
      </c>
      <c r="C401" s="2" t="s">
        <v>1593</v>
      </c>
      <c r="D401" s="2" t="s">
        <v>1594</v>
      </c>
      <c r="E401" s="2" t="str">
        <f aca="false">LEFT(C401,3)</f>
        <v>311</v>
      </c>
      <c r="F401" s="2" t="str">
        <f aca="false">IF(D401="","",LEFT(D401,3))</f>
        <v>311</v>
      </c>
      <c r="G401" s="2" t="str">
        <f aca="false">IF(F401="","",IF(E401=F401,"Yes","No"))</f>
        <v>Yes</v>
      </c>
      <c r="H401" s="2" t="n">
        <f aca="false">IF(D401="",0,1/COUNTIF($D$2:$D$3451,D401))</f>
        <v>1</v>
      </c>
      <c r="I401" s="13" t="n">
        <f aca="false">IFERROR(INDEX('NCO-2015 scores'!$C$2:$C$131,MATCH(E401,'NCO-2015 scores'!$A$2:$A$131,0)),0)</f>
        <v>0.2956</v>
      </c>
      <c r="J401" s="13" t="n">
        <f aca="false">IF(ISNUMBER(MATCH(E401,'NCO-2015 scores'!$A$2:$A$131,0)),IF(ISNUMBER(INDEX('NCO-2015 scores'!$C$2:$C$131,MATCH(E401,'NCO-2015 scores'!$A$2:$A$131,0))),1,0),0)</f>
        <v>1</v>
      </c>
    </row>
    <row r="402" customFormat="false" ht="15" hidden="false" customHeight="false" outlineLevel="0" collapsed="false">
      <c r="A402" s="2" t="n">
        <v>400</v>
      </c>
      <c r="B402" s="2" t="s">
        <v>1595</v>
      </c>
      <c r="C402" s="2" t="s">
        <v>1596</v>
      </c>
      <c r="D402" s="2" t="s">
        <v>1597</v>
      </c>
      <c r="E402" s="2" t="str">
        <f aca="false">LEFT(C402,3)</f>
        <v>311</v>
      </c>
      <c r="F402" s="2" t="str">
        <f aca="false">IF(D402="","",LEFT(D402,3))</f>
        <v>311</v>
      </c>
      <c r="G402" s="2" t="str">
        <f aca="false">IF(F402="","",IF(E402=F402,"Yes","No"))</f>
        <v>Yes</v>
      </c>
      <c r="H402" s="2" t="n">
        <f aca="false">IF(D402="",0,1/COUNTIF($D$2:$D$3451,D402))</f>
        <v>1</v>
      </c>
      <c r="I402" s="13" t="n">
        <f aca="false">IFERROR(INDEX('NCO-2015 scores'!$C$2:$C$131,MATCH(E402,'NCO-2015 scores'!$A$2:$A$131,0)),0)</f>
        <v>0.2956</v>
      </c>
      <c r="J402" s="13" t="n">
        <f aca="false">IF(ISNUMBER(MATCH(E402,'NCO-2015 scores'!$A$2:$A$131,0)),IF(ISNUMBER(INDEX('NCO-2015 scores'!$C$2:$C$131,MATCH(E402,'NCO-2015 scores'!$A$2:$A$131,0))),1,0),0)</f>
        <v>1</v>
      </c>
    </row>
    <row r="403" customFormat="false" ht="15" hidden="false" customHeight="false" outlineLevel="0" collapsed="false">
      <c r="A403" s="2" t="n">
        <v>401</v>
      </c>
      <c r="B403" s="2" t="s">
        <v>1598</v>
      </c>
      <c r="C403" s="2" t="s">
        <v>1599</v>
      </c>
      <c r="D403" s="2" t="s">
        <v>1600</v>
      </c>
      <c r="E403" s="2" t="str">
        <f aca="false">LEFT(C403,3)</f>
        <v>311</v>
      </c>
      <c r="F403" s="2" t="str">
        <f aca="false">IF(D403="","",LEFT(D403,3))</f>
        <v>311</v>
      </c>
      <c r="G403" s="2" t="str">
        <f aca="false">IF(F403="","",IF(E403=F403,"Yes","No"))</f>
        <v>Yes</v>
      </c>
      <c r="H403" s="2" t="n">
        <f aca="false">IF(D403="",0,1/COUNTIF($D$2:$D$3451,D403))</f>
        <v>1</v>
      </c>
      <c r="I403" s="13" t="n">
        <f aca="false">IFERROR(INDEX('NCO-2015 scores'!$C$2:$C$131,MATCH(E403,'NCO-2015 scores'!$A$2:$A$131,0)),0)</f>
        <v>0.2956</v>
      </c>
      <c r="J403" s="13" t="n">
        <f aca="false">IF(ISNUMBER(MATCH(E403,'NCO-2015 scores'!$A$2:$A$131,0)),IF(ISNUMBER(INDEX('NCO-2015 scores'!$C$2:$C$131,MATCH(E403,'NCO-2015 scores'!$A$2:$A$131,0))),1,0),0)</f>
        <v>1</v>
      </c>
    </row>
    <row r="404" customFormat="false" ht="15" hidden="false" customHeight="false" outlineLevel="0" collapsed="false">
      <c r="A404" s="2" t="n">
        <v>402</v>
      </c>
      <c r="B404" s="2" t="s">
        <v>1601</v>
      </c>
      <c r="C404" s="2" t="s">
        <v>1602</v>
      </c>
      <c r="D404" s="2" t="s">
        <v>1603</v>
      </c>
      <c r="E404" s="2" t="str">
        <f aca="false">LEFT(C404,3)</f>
        <v>311</v>
      </c>
      <c r="F404" s="2" t="str">
        <f aca="false">IF(D404="","",LEFT(D404,3))</f>
        <v>311</v>
      </c>
      <c r="G404" s="2" t="str">
        <f aca="false">IF(F404="","",IF(E404=F404,"Yes","No"))</f>
        <v>Yes</v>
      </c>
      <c r="H404" s="2" t="n">
        <f aca="false">IF(D404="",0,1/COUNTIF($D$2:$D$3451,D404))</f>
        <v>1</v>
      </c>
      <c r="I404" s="13" t="n">
        <f aca="false">IFERROR(INDEX('NCO-2015 scores'!$C$2:$C$131,MATCH(E404,'NCO-2015 scores'!$A$2:$A$131,0)),0)</f>
        <v>0.2956</v>
      </c>
      <c r="J404" s="13" t="n">
        <f aca="false">IF(ISNUMBER(MATCH(E404,'NCO-2015 scores'!$A$2:$A$131,0)),IF(ISNUMBER(INDEX('NCO-2015 scores'!$C$2:$C$131,MATCH(E404,'NCO-2015 scores'!$A$2:$A$131,0))),1,0),0)</f>
        <v>1</v>
      </c>
    </row>
    <row r="405" customFormat="false" ht="15" hidden="false" customHeight="false" outlineLevel="0" collapsed="false">
      <c r="A405" s="2" t="n">
        <v>403</v>
      </c>
      <c r="B405" s="2" t="s">
        <v>1604</v>
      </c>
      <c r="C405" s="2" t="s">
        <v>1605</v>
      </c>
      <c r="D405" s="2" t="s">
        <v>1606</v>
      </c>
      <c r="E405" s="2" t="str">
        <f aca="false">LEFT(C405,3)</f>
        <v>311</v>
      </c>
      <c r="F405" s="2" t="str">
        <f aca="false">IF(D405="","",LEFT(D405,3))</f>
        <v>311</v>
      </c>
      <c r="G405" s="2" t="str">
        <f aca="false">IF(F405="","",IF(E405=F405,"Yes","No"))</f>
        <v>Yes</v>
      </c>
      <c r="H405" s="2" t="n">
        <f aca="false">IF(D405="",0,1/COUNTIF($D$2:$D$3451,D405))</f>
        <v>1</v>
      </c>
      <c r="I405" s="13" t="n">
        <f aca="false">IFERROR(INDEX('NCO-2015 scores'!$C$2:$C$131,MATCH(E405,'NCO-2015 scores'!$A$2:$A$131,0)),0)</f>
        <v>0.2956</v>
      </c>
      <c r="J405" s="13" t="n">
        <f aca="false">IF(ISNUMBER(MATCH(E405,'NCO-2015 scores'!$A$2:$A$131,0)),IF(ISNUMBER(INDEX('NCO-2015 scores'!$C$2:$C$131,MATCH(E405,'NCO-2015 scores'!$A$2:$A$131,0))),1,0),0)</f>
        <v>1</v>
      </c>
    </row>
    <row r="406" customFormat="false" ht="15" hidden="false" customHeight="false" outlineLevel="0" collapsed="false">
      <c r="A406" s="2" t="n">
        <v>404</v>
      </c>
      <c r="B406" s="2" t="s">
        <v>1607</v>
      </c>
      <c r="C406" s="2" t="s">
        <v>1608</v>
      </c>
      <c r="D406" s="2" t="s">
        <v>1609</v>
      </c>
      <c r="E406" s="2" t="str">
        <f aca="false">LEFT(C406,3)</f>
        <v>311</v>
      </c>
      <c r="F406" s="2" t="str">
        <f aca="false">IF(D406="","",LEFT(D406,3))</f>
        <v>311</v>
      </c>
      <c r="G406" s="2" t="str">
        <f aca="false">IF(F406="","",IF(E406=F406,"Yes","No"))</f>
        <v>Yes</v>
      </c>
      <c r="H406" s="2" t="n">
        <f aca="false">IF(D406="",0,1/COUNTIF($D$2:$D$3451,D406))</f>
        <v>1</v>
      </c>
      <c r="I406" s="13" t="n">
        <f aca="false">IFERROR(INDEX('NCO-2015 scores'!$C$2:$C$131,MATCH(E406,'NCO-2015 scores'!$A$2:$A$131,0)),0)</f>
        <v>0.2956</v>
      </c>
      <c r="J406" s="13" t="n">
        <f aca="false">IF(ISNUMBER(MATCH(E406,'NCO-2015 scores'!$A$2:$A$131,0)),IF(ISNUMBER(INDEX('NCO-2015 scores'!$C$2:$C$131,MATCH(E406,'NCO-2015 scores'!$A$2:$A$131,0))),1,0),0)</f>
        <v>1</v>
      </c>
    </row>
    <row r="407" customFormat="false" ht="15" hidden="false" customHeight="false" outlineLevel="0" collapsed="false">
      <c r="A407" s="2" t="n">
        <v>405</v>
      </c>
      <c r="B407" s="2" t="s">
        <v>1610</v>
      </c>
      <c r="C407" s="2" t="s">
        <v>1611</v>
      </c>
      <c r="D407" s="2" t="s">
        <v>1612</v>
      </c>
      <c r="E407" s="2" t="str">
        <f aca="false">LEFT(C407,3)</f>
        <v>311</v>
      </c>
      <c r="F407" s="2" t="str">
        <f aca="false">IF(D407="","",LEFT(D407,3))</f>
        <v>311</v>
      </c>
      <c r="G407" s="2" t="str">
        <f aca="false">IF(F407="","",IF(E407=F407,"Yes","No"))</f>
        <v>Yes</v>
      </c>
      <c r="H407" s="2" t="n">
        <f aca="false">IF(D407="",0,1/COUNTIF($D$2:$D$3451,D407))</f>
        <v>1</v>
      </c>
      <c r="I407" s="13" t="n">
        <f aca="false">IFERROR(INDEX('NCO-2015 scores'!$C$2:$C$131,MATCH(E407,'NCO-2015 scores'!$A$2:$A$131,0)),0)</f>
        <v>0.2956</v>
      </c>
      <c r="J407" s="13" t="n">
        <f aca="false">IF(ISNUMBER(MATCH(E407,'NCO-2015 scores'!$A$2:$A$131,0)),IF(ISNUMBER(INDEX('NCO-2015 scores'!$C$2:$C$131,MATCH(E407,'NCO-2015 scores'!$A$2:$A$131,0))),1,0),0)</f>
        <v>1</v>
      </c>
    </row>
    <row r="408" customFormat="false" ht="15" hidden="false" customHeight="false" outlineLevel="0" collapsed="false">
      <c r="A408" s="2" t="n">
        <v>406</v>
      </c>
      <c r="B408" s="2" t="s">
        <v>1613</v>
      </c>
      <c r="C408" s="2" t="s">
        <v>1614</v>
      </c>
      <c r="D408" s="2" t="s">
        <v>1615</v>
      </c>
      <c r="E408" s="2" t="str">
        <f aca="false">LEFT(C408,3)</f>
        <v>311</v>
      </c>
      <c r="F408" s="2" t="str">
        <f aca="false">IF(D408="","",LEFT(D408,3))</f>
        <v>311</v>
      </c>
      <c r="G408" s="2" t="str">
        <f aca="false">IF(F408="","",IF(E408=F408,"Yes","No"))</f>
        <v>Yes</v>
      </c>
      <c r="H408" s="2" t="n">
        <f aca="false">IF(D408="",0,1/COUNTIF($D$2:$D$3451,D408))</f>
        <v>1</v>
      </c>
      <c r="I408" s="13" t="n">
        <f aca="false">IFERROR(INDEX('NCO-2015 scores'!$C$2:$C$131,MATCH(E408,'NCO-2015 scores'!$A$2:$A$131,0)),0)</f>
        <v>0.2956</v>
      </c>
      <c r="J408" s="13" t="n">
        <f aca="false">IF(ISNUMBER(MATCH(E408,'NCO-2015 scores'!$A$2:$A$131,0)),IF(ISNUMBER(INDEX('NCO-2015 scores'!$C$2:$C$131,MATCH(E408,'NCO-2015 scores'!$A$2:$A$131,0))),1,0),0)</f>
        <v>1</v>
      </c>
    </row>
    <row r="409" customFormat="false" ht="15" hidden="false" customHeight="false" outlineLevel="0" collapsed="false">
      <c r="A409" s="2" t="n">
        <v>407</v>
      </c>
      <c r="B409" s="2" t="s">
        <v>1616</v>
      </c>
      <c r="C409" s="2" t="s">
        <v>1617</v>
      </c>
      <c r="D409" s="2" t="s">
        <v>1618</v>
      </c>
      <c r="E409" s="2" t="str">
        <f aca="false">LEFT(C409,3)</f>
        <v>311</v>
      </c>
      <c r="F409" s="2" t="str">
        <f aca="false">IF(D409="","",LEFT(D409,3))</f>
        <v>311</v>
      </c>
      <c r="G409" s="2" t="str">
        <f aca="false">IF(F409="","",IF(E409=F409,"Yes","No"))</f>
        <v>Yes</v>
      </c>
      <c r="H409" s="2" t="n">
        <f aca="false">IF(D409="",0,1/COUNTIF($D$2:$D$3451,D409))</f>
        <v>1</v>
      </c>
      <c r="I409" s="13" t="n">
        <f aca="false">IFERROR(INDEX('NCO-2015 scores'!$C$2:$C$131,MATCH(E409,'NCO-2015 scores'!$A$2:$A$131,0)),0)</f>
        <v>0.2956</v>
      </c>
      <c r="J409" s="13" t="n">
        <f aca="false">IF(ISNUMBER(MATCH(E409,'NCO-2015 scores'!$A$2:$A$131,0)),IF(ISNUMBER(INDEX('NCO-2015 scores'!$C$2:$C$131,MATCH(E409,'NCO-2015 scores'!$A$2:$A$131,0))),1,0),0)</f>
        <v>1</v>
      </c>
    </row>
    <row r="410" customFormat="false" ht="15" hidden="false" customHeight="false" outlineLevel="0" collapsed="false">
      <c r="A410" s="2" t="n">
        <v>408</v>
      </c>
      <c r="B410" s="2" t="s">
        <v>1619</v>
      </c>
      <c r="C410" s="2" t="s">
        <v>1620</v>
      </c>
      <c r="D410" s="2" t="s">
        <v>1621</v>
      </c>
      <c r="E410" s="2" t="str">
        <f aca="false">LEFT(C410,3)</f>
        <v>311</v>
      </c>
      <c r="F410" s="2" t="str">
        <f aca="false">IF(D410="","",LEFT(D410,3))</f>
        <v>311</v>
      </c>
      <c r="G410" s="2" t="str">
        <f aca="false">IF(F410="","",IF(E410=F410,"Yes","No"))</f>
        <v>Yes</v>
      </c>
      <c r="H410" s="2" t="n">
        <f aca="false">IF(D410="",0,1/COUNTIF($D$2:$D$3451,D410))</f>
        <v>1</v>
      </c>
      <c r="I410" s="13" t="n">
        <f aca="false">IFERROR(INDEX('NCO-2015 scores'!$C$2:$C$131,MATCH(E410,'NCO-2015 scores'!$A$2:$A$131,0)),0)</f>
        <v>0.2956</v>
      </c>
      <c r="J410" s="13" t="n">
        <f aca="false">IF(ISNUMBER(MATCH(E410,'NCO-2015 scores'!$A$2:$A$131,0)),IF(ISNUMBER(INDEX('NCO-2015 scores'!$C$2:$C$131,MATCH(E410,'NCO-2015 scores'!$A$2:$A$131,0))),1,0),0)</f>
        <v>1</v>
      </c>
    </row>
    <row r="411" customFormat="false" ht="15" hidden="false" customHeight="false" outlineLevel="0" collapsed="false">
      <c r="A411" s="2" t="n">
        <v>409</v>
      </c>
      <c r="B411" s="2" t="s">
        <v>1622</v>
      </c>
      <c r="C411" s="2" t="s">
        <v>1623</v>
      </c>
      <c r="D411" s="2" t="s">
        <v>1624</v>
      </c>
      <c r="E411" s="2" t="str">
        <f aca="false">LEFT(C411,3)</f>
        <v>311</v>
      </c>
      <c r="F411" s="2" t="str">
        <f aca="false">IF(D411="","",LEFT(D411,3))</f>
        <v>311</v>
      </c>
      <c r="G411" s="2" t="str">
        <f aca="false">IF(F411="","",IF(E411=F411,"Yes","No"))</f>
        <v>Yes</v>
      </c>
      <c r="H411" s="2" t="n">
        <f aca="false">IF(D411="",0,1/COUNTIF($D$2:$D$3451,D411))</f>
        <v>1</v>
      </c>
      <c r="I411" s="13" t="n">
        <f aca="false">IFERROR(INDEX('NCO-2015 scores'!$C$2:$C$131,MATCH(E411,'NCO-2015 scores'!$A$2:$A$131,0)),0)</f>
        <v>0.2956</v>
      </c>
      <c r="J411" s="13" t="n">
        <f aca="false">IF(ISNUMBER(MATCH(E411,'NCO-2015 scores'!$A$2:$A$131,0)),IF(ISNUMBER(INDEX('NCO-2015 scores'!$C$2:$C$131,MATCH(E411,'NCO-2015 scores'!$A$2:$A$131,0))),1,0),0)</f>
        <v>1</v>
      </c>
    </row>
    <row r="412" customFormat="false" ht="15" hidden="false" customHeight="false" outlineLevel="0" collapsed="false">
      <c r="A412" s="2" t="n">
        <v>410</v>
      </c>
      <c r="B412" s="2" t="s">
        <v>1625</v>
      </c>
      <c r="C412" s="2" t="s">
        <v>1626</v>
      </c>
      <c r="D412" s="2" t="s">
        <v>1627</v>
      </c>
      <c r="E412" s="2" t="str">
        <f aca="false">LEFT(C412,3)</f>
        <v>214</v>
      </c>
      <c r="F412" s="2" t="str">
        <f aca="false">IF(D412="","",LEFT(D412,3))</f>
        <v>214</v>
      </c>
      <c r="G412" s="2" t="str">
        <f aca="false">IF(F412="","",IF(E412=F412,"Yes","No"))</f>
        <v>Yes</v>
      </c>
      <c r="H412" s="2" t="n">
        <f aca="false">IF(D412="",0,1/COUNTIF($D$2:$D$3451,D412))</f>
        <v>1</v>
      </c>
      <c r="I412" s="13" t="n">
        <f aca="false">IFERROR(INDEX('NCO-2015 scores'!$C$2:$C$131,MATCH(E412,'NCO-2015 scores'!$A$2:$A$131,0)),0)</f>
        <v>0.33</v>
      </c>
      <c r="J412" s="13" t="n">
        <f aca="false">IF(ISNUMBER(MATCH(E412,'NCO-2015 scores'!$A$2:$A$131,0)),IF(ISNUMBER(INDEX('NCO-2015 scores'!$C$2:$C$131,MATCH(E412,'NCO-2015 scores'!$A$2:$A$131,0))),1,0),0)</f>
        <v>1</v>
      </c>
    </row>
    <row r="413" customFormat="false" ht="15" hidden="false" customHeight="false" outlineLevel="0" collapsed="false">
      <c r="A413" s="2" t="n">
        <v>411</v>
      </c>
      <c r="B413" s="2" t="s">
        <v>1628</v>
      </c>
      <c r="C413" s="2" t="s">
        <v>1629</v>
      </c>
      <c r="D413" s="2" t="s">
        <v>1630</v>
      </c>
      <c r="E413" s="2" t="str">
        <f aca="false">LEFT(C413,3)</f>
        <v>214</v>
      </c>
      <c r="F413" s="2" t="str">
        <f aca="false">IF(D413="","",LEFT(D413,3))</f>
        <v>214</v>
      </c>
      <c r="G413" s="2" t="str">
        <f aca="false">IF(F413="","",IF(E413=F413,"Yes","No"))</f>
        <v>Yes</v>
      </c>
      <c r="H413" s="2" t="n">
        <f aca="false">IF(D413="",0,1/COUNTIF($D$2:$D$3451,D413))</f>
        <v>1</v>
      </c>
      <c r="I413" s="13" t="n">
        <f aca="false">IFERROR(INDEX('NCO-2015 scores'!$C$2:$C$131,MATCH(E413,'NCO-2015 scores'!$A$2:$A$131,0)),0)</f>
        <v>0.33</v>
      </c>
      <c r="J413" s="13" t="n">
        <f aca="false">IF(ISNUMBER(MATCH(E413,'NCO-2015 scores'!$A$2:$A$131,0)),IF(ISNUMBER(INDEX('NCO-2015 scores'!$C$2:$C$131,MATCH(E413,'NCO-2015 scores'!$A$2:$A$131,0))),1,0),0)</f>
        <v>1</v>
      </c>
    </row>
    <row r="414" customFormat="false" ht="15" hidden="false" customHeight="false" outlineLevel="0" collapsed="false">
      <c r="A414" s="2" t="n">
        <v>412</v>
      </c>
      <c r="B414" s="2" t="s">
        <v>1631</v>
      </c>
      <c r="C414" s="2" t="s">
        <v>1632</v>
      </c>
      <c r="D414" s="2" t="s">
        <v>1633</v>
      </c>
      <c r="E414" s="2" t="str">
        <f aca="false">LEFT(C414,3)</f>
        <v>214</v>
      </c>
      <c r="F414" s="2" t="str">
        <f aca="false">IF(D414="","",LEFT(D414,3))</f>
        <v>214</v>
      </c>
      <c r="G414" s="2" t="str">
        <f aca="false">IF(F414="","",IF(E414=F414,"Yes","No"))</f>
        <v>Yes</v>
      </c>
      <c r="H414" s="2" t="n">
        <f aca="false">IF(D414="",0,1/COUNTIF($D$2:$D$3451,D414))</f>
        <v>1</v>
      </c>
      <c r="I414" s="13" t="n">
        <f aca="false">IFERROR(INDEX('NCO-2015 scores'!$C$2:$C$131,MATCH(E414,'NCO-2015 scores'!$A$2:$A$131,0)),0)</f>
        <v>0.33</v>
      </c>
      <c r="J414" s="13" t="n">
        <f aca="false">IF(ISNUMBER(MATCH(E414,'NCO-2015 scores'!$A$2:$A$131,0)),IF(ISNUMBER(INDEX('NCO-2015 scores'!$C$2:$C$131,MATCH(E414,'NCO-2015 scores'!$A$2:$A$131,0))),1,0),0)</f>
        <v>1</v>
      </c>
    </row>
    <row r="415" customFormat="false" ht="15" hidden="false" customHeight="false" outlineLevel="0" collapsed="false">
      <c r="A415" s="2" t="n">
        <v>413</v>
      </c>
      <c r="B415" s="2" t="s">
        <v>1634</v>
      </c>
      <c r="C415" s="2" t="s">
        <v>1635</v>
      </c>
      <c r="D415" s="2" t="s">
        <v>1636</v>
      </c>
      <c r="E415" s="2" t="str">
        <f aca="false">LEFT(C415,3)</f>
        <v>214</v>
      </c>
      <c r="F415" s="2" t="str">
        <f aca="false">IF(D415="","",LEFT(D415,3))</f>
        <v>214</v>
      </c>
      <c r="G415" s="2" t="str">
        <f aca="false">IF(F415="","",IF(E415=F415,"Yes","No"))</f>
        <v>Yes</v>
      </c>
      <c r="H415" s="2" t="n">
        <f aca="false">IF(D415="",0,1/COUNTIF($D$2:$D$3451,D415))</f>
        <v>1</v>
      </c>
      <c r="I415" s="13" t="n">
        <f aca="false">IFERROR(INDEX('NCO-2015 scores'!$C$2:$C$131,MATCH(E415,'NCO-2015 scores'!$A$2:$A$131,0)),0)</f>
        <v>0.33</v>
      </c>
      <c r="J415" s="13" t="n">
        <f aca="false">IF(ISNUMBER(MATCH(E415,'NCO-2015 scores'!$A$2:$A$131,0)),IF(ISNUMBER(INDEX('NCO-2015 scores'!$C$2:$C$131,MATCH(E415,'NCO-2015 scores'!$A$2:$A$131,0))),1,0),0)</f>
        <v>1</v>
      </c>
    </row>
    <row r="416" customFormat="false" ht="15" hidden="false" customHeight="false" outlineLevel="0" collapsed="false">
      <c r="A416" s="2" t="n">
        <v>414</v>
      </c>
      <c r="B416" s="2" t="s">
        <v>1637</v>
      </c>
      <c r="C416" s="2" t="s">
        <v>1638</v>
      </c>
      <c r="D416" s="2" t="s">
        <v>1639</v>
      </c>
      <c r="E416" s="2" t="str">
        <f aca="false">LEFT(C416,3)</f>
        <v>214</v>
      </c>
      <c r="F416" s="2" t="str">
        <f aca="false">IF(D416="","",LEFT(D416,3))</f>
        <v>214</v>
      </c>
      <c r="G416" s="2" t="str">
        <f aca="false">IF(F416="","",IF(E416=F416,"Yes","No"))</f>
        <v>Yes</v>
      </c>
      <c r="H416" s="2" t="n">
        <f aca="false">IF(D416="",0,1/COUNTIF($D$2:$D$3451,D416))</f>
        <v>1</v>
      </c>
      <c r="I416" s="13" t="n">
        <f aca="false">IFERROR(INDEX('NCO-2015 scores'!$C$2:$C$131,MATCH(E416,'NCO-2015 scores'!$A$2:$A$131,0)),0)</f>
        <v>0.33</v>
      </c>
      <c r="J416" s="13" t="n">
        <f aca="false">IF(ISNUMBER(MATCH(E416,'NCO-2015 scores'!$A$2:$A$131,0)),IF(ISNUMBER(INDEX('NCO-2015 scores'!$C$2:$C$131,MATCH(E416,'NCO-2015 scores'!$A$2:$A$131,0))),1,0),0)</f>
        <v>1</v>
      </c>
    </row>
    <row r="417" customFormat="false" ht="15" hidden="false" customHeight="false" outlineLevel="0" collapsed="false">
      <c r="A417" s="2" t="n">
        <v>415</v>
      </c>
      <c r="B417" s="2" t="s">
        <v>1640</v>
      </c>
      <c r="C417" s="2" t="s">
        <v>1641</v>
      </c>
      <c r="D417" s="2" t="s">
        <v>1642</v>
      </c>
      <c r="E417" s="2" t="str">
        <f aca="false">LEFT(C417,3)</f>
        <v>214</v>
      </c>
      <c r="F417" s="2" t="str">
        <f aca="false">IF(D417="","",LEFT(D417,3))</f>
        <v>214</v>
      </c>
      <c r="G417" s="2" t="str">
        <f aca="false">IF(F417="","",IF(E417=F417,"Yes","No"))</f>
        <v>Yes</v>
      </c>
      <c r="H417" s="2" t="n">
        <f aca="false">IF(D417="",0,1/COUNTIF($D$2:$D$3451,D417))</f>
        <v>1</v>
      </c>
      <c r="I417" s="13" t="n">
        <f aca="false">IFERROR(INDEX('NCO-2015 scores'!$C$2:$C$131,MATCH(E417,'NCO-2015 scores'!$A$2:$A$131,0)),0)</f>
        <v>0.33</v>
      </c>
      <c r="J417" s="13" t="n">
        <f aca="false">IF(ISNUMBER(MATCH(E417,'NCO-2015 scores'!$A$2:$A$131,0)),IF(ISNUMBER(INDEX('NCO-2015 scores'!$C$2:$C$131,MATCH(E417,'NCO-2015 scores'!$A$2:$A$131,0))),1,0),0)</f>
        <v>1</v>
      </c>
    </row>
    <row r="418" customFormat="false" ht="15" hidden="false" customHeight="false" outlineLevel="0" collapsed="false">
      <c r="A418" s="2" t="n">
        <v>416</v>
      </c>
      <c r="B418" s="2" t="s">
        <v>1643</v>
      </c>
      <c r="C418" s="2" t="s">
        <v>1644</v>
      </c>
      <c r="D418" s="2" t="s">
        <v>1645</v>
      </c>
      <c r="E418" s="2" t="str">
        <f aca="false">LEFT(C418,3)</f>
        <v>214</v>
      </c>
      <c r="F418" s="2" t="str">
        <f aca="false">IF(D418="","",LEFT(D418,3))</f>
        <v>214</v>
      </c>
      <c r="G418" s="2" t="str">
        <f aca="false">IF(F418="","",IF(E418=F418,"Yes","No"))</f>
        <v>Yes</v>
      </c>
      <c r="H418" s="2" t="n">
        <f aca="false">IF(D418="",0,1/COUNTIF($D$2:$D$3451,D418))</f>
        <v>1</v>
      </c>
      <c r="I418" s="13" t="n">
        <f aca="false">IFERROR(INDEX('NCO-2015 scores'!$C$2:$C$131,MATCH(E418,'NCO-2015 scores'!$A$2:$A$131,0)),0)</f>
        <v>0.33</v>
      </c>
      <c r="J418" s="13" t="n">
        <f aca="false">IF(ISNUMBER(MATCH(E418,'NCO-2015 scores'!$A$2:$A$131,0)),IF(ISNUMBER(INDEX('NCO-2015 scores'!$C$2:$C$131,MATCH(E418,'NCO-2015 scores'!$A$2:$A$131,0))),1,0),0)</f>
        <v>1</v>
      </c>
    </row>
    <row r="419" customFormat="false" ht="15" hidden="false" customHeight="false" outlineLevel="0" collapsed="false">
      <c r="A419" s="2" t="n">
        <v>417</v>
      </c>
      <c r="B419" s="2" t="s">
        <v>1646</v>
      </c>
      <c r="C419" s="2" t="s">
        <v>1647</v>
      </c>
      <c r="D419" s="2" t="s">
        <v>1648</v>
      </c>
      <c r="E419" s="2" t="str">
        <f aca="false">LEFT(C419,3)</f>
        <v>214</v>
      </c>
      <c r="F419" s="2" t="str">
        <f aca="false">IF(D419="","",LEFT(D419,3))</f>
        <v>214</v>
      </c>
      <c r="G419" s="2" t="str">
        <f aca="false">IF(F419="","",IF(E419=F419,"Yes","No"))</f>
        <v>Yes</v>
      </c>
      <c r="H419" s="2" t="n">
        <f aca="false">IF(D419="",0,1/COUNTIF($D$2:$D$3451,D419))</f>
        <v>1</v>
      </c>
      <c r="I419" s="13" t="n">
        <f aca="false">IFERROR(INDEX('NCO-2015 scores'!$C$2:$C$131,MATCH(E419,'NCO-2015 scores'!$A$2:$A$131,0)),0)</f>
        <v>0.33</v>
      </c>
      <c r="J419" s="13" t="n">
        <f aca="false">IF(ISNUMBER(MATCH(E419,'NCO-2015 scores'!$A$2:$A$131,0)),IF(ISNUMBER(INDEX('NCO-2015 scores'!$C$2:$C$131,MATCH(E419,'NCO-2015 scores'!$A$2:$A$131,0))),1,0),0)</f>
        <v>1</v>
      </c>
    </row>
    <row r="420" customFormat="false" ht="15" hidden="false" customHeight="false" outlineLevel="0" collapsed="false">
      <c r="A420" s="2" t="n">
        <v>418</v>
      </c>
      <c r="B420" s="2" t="s">
        <v>1649</v>
      </c>
      <c r="C420" s="2" t="s">
        <v>1650</v>
      </c>
      <c r="D420" s="2" t="s">
        <v>1651</v>
      </c>
      <c r="E420" s="2" t="str">
        <f aca="false">LEFT(C420,3)</f>
        <v>214</v>
      </c>
      <c r="F420" s="2" t="str">
        <f aca="false">IF(D420="","",LEFT(D420,3))</f>
        <v>214</v>
      </c>
      <c r="G420" s="2" t="str">
        <f aca="false">IF(F420="","",IF(E420=F420,"Yes","No"))</f>
        <v>Yes</v>
      </c>
      <c r="H420" s="2" t="n">
        <f aca="false">IF(D420="",0,1/COUNTIF($D$2:$D$3451,D420))</f>
        <v>1</v>
      </c>
      <c r="I420" s="13" t="n">
        <f aca="false">IFERROR(INDEX('NCO-2015 scores'!$C$2:$C$131,MATCH(E420,'NCO-2015 scores'!$A$2:$A$131,0)),0)</f>
        <v>0.33</v>
      </c>
      <c r="J420" s="13" t="n">
        <f aca="false">IF(ISNUMBER(MATCH(E420,'NCO-2015 scores'!$A$2:$A$131,0)),IF(ISNUMBER(INDEX('NCO-2015 scores'!$C$2:$C$131,MATCH(E420,'NCO-2015 scores'!$A$2:$A$131,0))),1,0),0)</f>
        <v>1</v>
      </c>
    </row>
    <row r="421" customFormat="false" ht="15" hidden="false" customHeight="false" outlineLevel="0" collapsed="false">
      <c r="A421" s="2" t="n">
        <v>419</v>
      </c>
      <c r="B421" s="2" t="s">
        <v>1652</v>
      </c>
      <c r="C421" s="2" t="s">
        <v>1653</v>
      </c>
      <c r="D421" s="2" t="s">
        <v>1654</v>
      </c>
      <c r="E421" s="2" t="str">
        <f aca="false">LEFT(C421,3)</f>
        <v>214</v>
      </c>
      <c r="F421" s="2" t="str">
        <f aca="false">IF(D421="","",LEFT(D421,3))</f>
        <v>214</v>
      </c>
      <c r="G421" s="2" t="str">
        <f aca="false">IF(F421="","",IF(E421=F421,"Yes","No"))</f>
        <v>Yes</v>
      </c>
      <c r="H421" s="2" t="n">
        <f aca="false">IF(D421="",0,1/COUNTIF($D$2:$D$3451,D421))</f>
        <v>1</v>
      </c>
      <c r="I421" s="13" t="n">
        <f aca="false">IFERROR(INDEX('NCO-2015 scores'!$C$2:$C$131,MATCH(E421,'NCO-2015 scores'!$A$2:$A$131,0)),0)</f>
        <v>0.33</v>
      </c>
      <c r="J421" s="13" t="n">
        <f aca="false">IF(ISNUMBER(MATCH(E421,'NCO-2015 scores'!$A$2:$A$131,0)),IF(ISNUMBER(INDEX('NCO-2015 scores'!$C$2:$C$131,MATCH(E421,'NCO-2015 scores'!$A$2:$A$131,0))),1,0),0)</f>
        <v>1</v>
      </c>
    </row>
    <row r="422" customFormat="false" ht="15" hidden="false" customHeight="false" outlineLevel="0" collapsed="false">
      <c r="A422" s="2" t="n">
        <v>420</v>
      </c>
      <c r="B422" s="2" t="s">
        <v>1655</v>
      </c>
      <c r="C422" s="2" t="s">
        <v>1656</v>
      </c>
      <c r="D422" s="2" t="s">
        <v>1657</v>
      </c>
      <c r="E422" s="2" t="str">
        <f aca="false">LEFT(C422,3)</f>
        <v>214</v>
      </c>
      <c r="F422" s="2" t="str">
        <f aca="false">IF(D422="","",LEFT(D422,3))</f>
        <v>214</v>
      </c>
      <c r="G422" s="2" t="str">
        <f aca="false">IF(F422="","",IF(E422=F422,"Yes","No"))</f>
        <v>Yes</v>
      </c>
      <c r="H422" s="2" t="n">
        <f aca="false">IF(D422="",0,1/COUNTIF($D$2:$D$3451,D422))</f>
        <v>1</v>
      </c>
      <c r="I422" s="13" t="n">
        <f aca="false">IFERROR(INDEX('NCO-2015 scores'!$C$2:$C$131,MATCH(E422,'NCO-2015 scores'!$A$2:$A$131,0)),0)</f>
        <v>0.33</v>
      </c>
      <c r="J422" s="13" t="n">
        <f aca="false">IF(ISNUMBER(MATCH(E422,'NCO-2015 scores'!$A$2:$A$131,0)),IF(ISNUMBER(INDEX('NCO-2015 scores'!$C$2:$C$131,MATCH(E422,'NCO-2015 scores'!$A$2:$A$131,0))),1,0),0)</f>
        <v>1</v>
      </c>
    </row>
    <row r="423" customFormat="false" ht="15" hidden="false" customHeight="false" outlineLevel="0" collapsed="false">
      <c r="A423" s="2" t="n">
        <v>421</v>
      </c>
      <c r="B423" s="2" t="s">
        <v>1658</v>
      </c>
      <c r="C423" s="2" t="s">
        <v>1659</v>
      </c>
      <c r="D423" s="2" t="s">
        <v>1660</v>
      </c>
      <c r="E423" s="2" t="str">
        <f aca="false">LEFT(C423,3)</f>
        <v>214</v>
      </c>
      <c r="F423" s="2" t="str">
        <f aca="false">IF(D423="","",LEFT(D423,3))</f>
        <v>214</v>
      </c>
      <c r="G423" s="2" t="str">
        <f aca="false">IF(F423="","",IF(E423=F423,"Yes","No"))</f>
        <v>Yes</v>
      </c>
      <c r="H423" s="2" t="n">
        <f aca="false">IF(D423="",0,1/COUNTIF($D$2:$D$3451,D423))</f>
        <v>1</v>
      </c>
      <c r="I423" s="13" t="n">
        <f aca="false">IFERROR(INDEX('NCO-2015 scores'!$C$2:$C$131,MATCH(E423,'NCO-2015 scores'!$A$2:$A$131,0)),0)</f>
        <v>0.33</v>
      </c>
      <c r="J423" s="13" t="n">
        <f aca="false">IF(ISNUMBER(MATCH(E423,'NCO-2015 scores'!$A$2:$A$131,0)),IF(ISNUMBER(INDEX('NCO-2015 scores'!$C$2:$C$131,MATCH(E423,'NCO-2015 scores'!$A$2:$A$131,0))),1,0),0)</f>
        <v>1</v>
      </c>
    </row>
    <row r="424" customFormat="false" ht="15" hidden="false" customHeight="false" outlineLevel="0" collapsed="false">
      <c r="A424" s="2" t="n">
        <v>422</v>
      </c>
      <c r="B424" s="2" t="s">
        <v>1661</v>
      </c>
      <c r="C424" s="2" t="s">
        <v>1662</v>
      </c>
      <c r="D424" s="2" t="s">
        <v>1663</v>
      </c>
      <c r="E424" s="2" t="str">
        <f aca="false">LEFT(C424,3)</f>
        <v>214</v>
      </c>
      <c r="F424" s="2" t="str">
        <f aca="false">IF(D424="","",LEFT(D424,3))</f>
        <v>214</v>
      </c>
      <c r="G424" s="2" t="str">
        <f aca="false">IF(F424="","",IF(E424=F424,"Yes","No"))</f>
        <v>Yes</v>
      </c>
      <c r="H424" s="2" t="n">
        <f aca="false">IF(D424="",0,1/COUNTIF($D$2:$D$3451,D424))</f>
        <v>1</v>
      </c>
      <c r="I424" s="13" t="n">
        <f aca="false">IFERROR(INDEX('NCO-2015 scores'!$C$2:$C$131,MATCH(E424,'NCO-2015 scores'!$A$2:$A$131,0)),0)</f>
        <v>0.33</v>
      </c>
      <c r="J424" s="13" t="n">
        <f aca="false">IF(ISNUMBER(MATCH(E424,'NCO-2015 scores'!$A$2:$A$131,0)),IF(ISNUMBER(INDEX('NCO-2015 scores'!$C$2:$C$131,MATCH(E424,'NCO-2015 scores'!$A$2:$A$131,0))),1,0),0)</f>
        <v>1</v>
      </c>
    </row>
    <row r="425" customFormat="false" ht="15" hidden="false" customHeight="false" outlineLevel="0" collapsed="false">
      <c r="A425" s="2" t="n">
        <v>423</v>
      </c>
      <c r="B425" s="2" t="s">
        <v>1664</v>
      </c>
      <c r="C425" s="2" t="s">
        <v>1665</v>
      </c>
      <c r="D425" s="2" t="s">
        <v>1666</v>
      </c>
      <c r="E425" s="2" t="str">
        <f aca="false">LEFT(C425,3)</f>
        <v>214</v>
      </c>
      <c r="F425" s="2" t="str">
        <f aca="false">IF(D425="","",LEFT(D425,3))</f>
        <v>214</v>
      </c>
      <c r="G425" s="2" t="str">
        <f aca="false">IF(F425="","",IF(E425=F425,"Yes","No"))</f>
        <v>Yes</v>
      </c>
      <c r="H425" s="2" t="n">
        <f aca="false">IF(D425="",0,1/COUNTIF($D$2:$D$3451,D425))</f>
        <v>1</v>
      </c>
      <c r="I425" s="13" t="n">
        <f aca="false">IFERROR(INDEX('NCO-2015 scores'!$C$2:$C$131,MATCH(E425,'NCO-2015 scores'!$A$2:$A$131,0)),0)</f>
        <v>0.33</v>
      </c>
      <c r="J425" s="13" t="n">
        <f aca="false">IF(ISNUMBER(MATCH(E425,'NCO-2015 scores'!$A$2:$A$131,0)),IF(ISNUMBER(INDEX('NCO-2015 scores'!$C$2:$C$131,MATCH(E425,'NCO-2015 scores'!$A$2:$A$131,0))),1,0),0)</f>
        <v>1</v>
      </c>
    </row>
    <row r="426" customFormat="false" ht="15" hidden="false" customHeight="false" outlineLevel="0" collapsed="false">
      <c r="A426" s="2" t="n">
        <v>424</v>
      </c>
      <c r="B426" s="2" t="s">
        <v>1667</v>
      </c>
      <c r="C426" s="2" t="s">
        <v>1668</v>
      </c>
      <c r="D426" s="2" t="s">
        <v>1669</v>
      </c>
      <c r="E426" s="2" t="str">
        <f aca="false">LEFT(C426,3)</f>
        <v>214</v>
      </c>
      <c r="F426" s="2" t="str">
        <f aca="false">IF(D426="","",LEFT(D426,3))</f>
        <v>214</v>
      </c>
      <c r="G426" s="2" t="str">
        <f aca="false">IF(F426="","",IF(E426=F426,"Yes","No"))</f>
        <v>Yes</v>
      </c>
      <c r="H426" s="2" t="n">
        <f aca="false">IF(D426="",0,1/COUNTIF($D$2:$D$3451,D426))</f>
        <v>1</v>
      </c>
      <c r="I426" s="13" t="n">
        <f aca="false">IFERROR(INDEX('NCO-2015 scores'!$C$2:$C$131,MATCH(E426,'NCO-2015 scores'!$A$2:$A$131,0)),0)</f>
        <v>0.33</v>
      </c>
      <c r="J426" s="13" t="n">
        <f aca="false">IF(ISNUMBER(MATCH(E426,'NCO-2015 scores'!$A$2:$A$131,0)),IF(ISNUMBER(INDEX('NCO-2015 scores'!$C$2:$C$131,MATCH(E426,'NCO-2015 scores'!$A$2:$A$131,0))),1,0),0)</f>
        <v>1</v>
      </c>
    </row>
    <row r="427" customFormat="false" ht="15" hidden="false" customHeight="false" outlineLevel="0" collapsed="false">
      <c r="A427" s="2" t="n">
        <v>425</v>
      </c>
      <c r="B427" s="2" t="s">
        <v>1670</v>
      </c>
      <c r="C427" s="2" t="s">
        <v>1671</v>
      </c>
      <c r="D427" s="2" t="s">
        <v>1672</v>
      </c>
      <c r="E427" s="2" t="str">
        <f aca="false">LEFT(C427,3)</f>
        <v>313</v>
      </c>
      <c r="F427" s="2" t="str">
        <f aca="false">IF(D427="","",LEFT(D427,3))</f>
        <v>815</v>
      </c>
      <c r="G427" s="2" t="str">
        <f aca="false">IF(F427="","",IF(E427=F427,"Yes","No"))</f>
        <v>No</v>
      </c>
      <c r="H427" s="2" t="n">
        <f aca="false">IF(D427="",0,1/COUNTIF($D$2:$D$3451,D427))</f>
        <v>1</v>
      </c>
      <c r="I427" s="13" t="n">
        <f aca="false">IFERROR(INDEX('NCO-2015 scores'!$C$2:$C$131,MATCH(E427,'NCO-2015 scores'!$A$2:$A$131,0)),0)</f>
        <v>0.288</v>
      </c>
      <c r="J427" s="13" t="n">
        <f aca="false">IF(ISNUMBER(MATCH(E427,'NCO-2015 scores'!$A$2:$A$131,0)),IF(ISNUMBER(INDEX('NCO-2015 scores'!$C$2:$C$131,MATCH(E427,'NCO-2015 scores'!$A$2:$A$131,0))),1,0),0)</f>
        <v>1</v>
      </c>
    </row>
    <row r="428" customFormat="false" ht="15" hidden="false" customHeight="false" outlineLevel="0" collapsed="false">
      <c r="A428" s="2" t="n">
        <v>426</v>
      </c>
      <c r="B428" s="2" t="s">
        <v>1673</v>
      </c>
      <c r="C428" s="2" t="s">
        <v>1674</v>
      </c>
      <c r="D428" s="2" t="s">
        <v>1675</v>
      </c>
      <c r="E428" s="2" t="str">
        <f aca="false">LEFT(C428,3)</f>
        <v>313</v>
      </c>
      <c r="F428" s="2" t="str">
        <f aca="false">IF(D428="","",LEFT(D428,3))</f>
        <v>815</v>
      </c>
      <c r="G428" s="2" t="str">
        <f aca="false">IF(F428="","",IF(E428=F428,"Yes","No"))</f>
        <v>No</v>
      </c>
      <c r="H428" s="2" t="n">
        <f aca="false">IF(D428="",0,1/COUNTIF($D$2:$D$3451,D428))</f>
        <v>1</v>
      </c>
      <c r="I428" s="13" t="n">
        <f aca="false">IFERROR(INDEX('NCO-2015 scores'!$C$2:$C$131,MATCH(E428,'NCO-2015 scores'!$A$2:$A$131,0)),0)</f>
        <v>0.288</v>
      </c>
      <c r="J428" s="13" t="n">
        <f aca="false">IF(ISNUMBER(MATCH(E428,'NCO-2015 scores'!$A$2:$A$131,0)),IF(ISNUMBER(INDEX('NCO-2015 scores'!$C$2:$C$131,MATCH(E428,'NCO-2015 scores'!$A$2:$A$131,0))),1,0),0)</f>
        <v>1</v>
      </c>
    </row>
    <row r="429" customFormat="false" ht="15" hidden="false" customHeight="false" outlineLevel="0" collapsed="false">
      <c r="A429" s="2" t="n">
        <v>427</v>
      </c>
      <c r="B429" s="2" t="s">
        <v>1676</v>
      </c>
      <c r="C429" s="2" t="s">
        <v>1677</v>
      </c>
      <c r="D429" s="2" t="s">
        <v>1678</v>
      </c>
      <c r="E429" s="2" t="str">
        <f aca="false">LEFT(C429,3)</f>
        <v>313</v>
      </c>
      <c r="F429" s="2" t="str">
        <f aca="false">IF(D429="","",LEFT(D429,3))</f>
        <v>815</v>
      </c>
      <c r="G429" s="2" t="str">
        <f aca="false">IF(F429="","",IF(E429=F429,"Yes","No"))</f>
        <v>No</v>
      </c>
      <c r="H429" s="2" t="n">
        <f aca="false">IF(D429="",0,1/COUNTIF($D$2:$D$3451,D429))</f>
        <v>1</v>
      </c>
      <c r="I429" s="13" t="n">
        <f aca="false">IFERROR(INDEX('NCO-2015 scores'!$C$2:$C$131,MATCH(E429,'NCO-2015 scores'!$A$2:$A$131,0)),0)</f>
        <v>0.288</v>
      </c>
      <c r="J429" s="13" t="n">
        <f aca="false">IF(ISNUMBER(MATCH(E429,'NCO-2015 scores'!$A$2:$A$131,0)),IF(ISNUMBER(INDEX('NCO-2015 scores'!$C$2:$C$131,MATCH(E429,'NCO-2015 scores'!$A$2:$A$131,0))),1,0),0)</f>
        <v>1</v>
      </c>
    </row>
    <row r="430" customFormat="false" ht="15" hidden="false" customHeight="false" outlineLevel="0" collapsed="false">
      <c r="A430" s="2" t="n">
        <v>428</v>
      </c>
      <c r="B430" s="2" t="s">
        <v>1679</v>
      </c>
      <c r="C430" s="2" t="s">
        <v>1680</v>
      </c>
      <c r="D430" s="2" t="s">
        <v>1681</v>
      </c>
      <c r="E430" s="2" t="str">
        <f aca="false">LEFT(C430,3)</f>
        <v>313</v>
      </c>
      <c r="F430" s="2" t="str">
        <f aca="false">IF(D430="","",LEFT(D430,3))</f>
        <v>815</v>
      </c>
      <c r="G430" s="2" t="str">
        <f aca="false">IF(F430="","",IF(E430=F430,"Yes","No"))</f>
        <v>No</v>
      </c>
      <c r="H430" s="2" t="n">
        <f aca="false">IF(D430="",0,1/COUNTIF($D$2:$D$3451,D430))</f>
        <v>1</v>
      </c>
      <c r="I430" s="13" t="n">
        <f aca="false">IFERROR(INDEX('NCO-2015 scores'!$C$2:$C$131,MATCH(E430,'NCO-2015 scores'!$A$2:$A$131,0)),0)</f>
        <v>0.288</v>
      </c>
      <c r="J430" s="13" t="n">
        <f aca="false">IF(ISNUMBER(MATCH(E430,'NCO-2015 scores'!$A$2:$A$131,0)),IF(ISNUMBER(INDEX('NCO-2015 scores'!$C$2:$C$131,MATCH(E430,'NCO-2015 scores'!$A$2:$A$131,0))),1,0),0)</f>
        <v>1</v>
      </c>
    </row>
    <row r="431" customFormat="false" ht="15" hidden="false" customHeight="false" outlineLevel="0" collapsed="false">
      <c r="A431" s="2" t="n">
        <v>429</v>
      </c>
      <c r="B431" s="2" t="s">
        <v>1682</v>
      </c>
      <c r="C431" s="2" t="s">
        <v>1683</v>
      </c>
      <c r="D431" s="2" t="s">
        <v>1684</v>
      </c>
      <c r="E431" s="2" t="str">
        <f aca="false">LEFT(C431,3)</f>
        <v>313</v>
      </c>
      <c r="F431" s="2" t="str">
        <f aca="false">IF(D431="","",LEFT(D431,3))</f>
        <v>815</v>
      </c>
      <c r="G431" s="2" t="str">
        <f aca="false">IF(F431="","",IF(E431=F431,"Yes","No"))</f>
        <v>No</v>
      </c>
      <c r="H431" s="2" t="n">
        <f aca="false">IF(D431="",0,1/COUNTIF($D$2:$D$3451,D431))</f>
        <v>1</v>
      </c>
      <c r="I431" s="13" t="n">
        <f aca="false">IFERROR(INDEX('NCO-2015 scores'!$C$2:$C$131,MATCH(E431,'NCO-2015 scores'!$A$2:$A$131,0)),0)</f>
        <v>0.288</v>
      </c>
      <c r="J431" s="13" t="n">
        <f aca="false">IF(ISNUMBER(MATCH(E431,'NCO-2015 scores'!$A$2:$A$131,0)),IF(ISNUMBER(INDEX('NCO-2015 scores'!$C$2:$C$131,MATCH(E431,'NCO-2015 scores'!$A$2:$A$131,0))),1,0),0)</f>
        <v>1</v>
      </c>
    </row>
    <row r="432" customFormat="false" ht="15" hidden="false" customHeight="false" outlineLevel="0" collapsed="false">
      <c r="A432" s="2" t="n">
        <v>430</v>
      </c>
      <c r="B432" s="2" t="s">
        <v>1685</v>
      </c>
      <c r="C432" s="2" t="s">
        <v>1686</v>
      </c>
      <c r="D432" s="2" t="s">
        <v>1687</v>
      </c>
      <c r="E432" s="2" t="str">
        <f aca="false">LEFT(C432,3)</f>
        <v>313</v>
      </c>
      <c r="F432" s="2" t="str">
        <f aca="false">IF(D432="","",LEFT(D432,3))</f>
        <v>815</v>
      </c>
      <c r="G432" s="2" t="str">
        <f aca="false">IF(F432="","",IF(E432=F432,"Yes","No"))</f>
        <v>No</v>
      </c>
      <c r="H432" s="2" t="n">
        <f aca="false">IF(D432="",0,1/COUNTIF($D$2:$D$3451,D432))</f>
        <v>1</v>
      </c>
      <c r="I432" s="13" t="n">
        <f aca="false">IFERROR(INDEX('NCO-2015 scores'!$C$2:$C$131,MATCH(E432,'NCO-2015 scores'!$A$2:$A$131,0)),0)</f>
        <v>0.288</v>
      </c>
      <c r="J432" s="13" t="n">
        <f aca="false">IF(ISNUMBER(MATCH(E432,'NCO-2015 scores'!$A$2:$A$131,0)),IF(ISNUMBER(INDEX('NCO-2015 scores'!$C$2:$C$131,MATCH(E432,'NCO-2015 scores'!$A$2:$A$131,0))),1,0),0)</f>
        <v>1</v>
      </c>
    </row>
    <row r="433" customFormat="false" ht="15" hidden="false" customHeight="false" outlineLevel="0" collapsed="false">
      <c r="A433" s="2" t="n">
        <v>431</v>
      </c>
      <c r="B433" s="2" t="s">
        <v>1688</v>
      </c>
      <c r="C433" s="2" t="s">
        <v>1689</v>
      </c>
      <c r="D433" s="2" t="s">
        <v>1690</v>
      </c>
      <c r="E433" s="2" t="str">
        <f aca="false">LEFT(C433,3)</f>
        <v>313</v>
      </c>
      <c r="F433" s="2" t="str">
        <f aca="false">IF(D433="","",LEFT(D433,3))</f>
        <v>815</v>
      </c>
      <c r="G433" s="2" t="str">
        <f aca="false">IF(F433="","",IF(E433=F433,"Yes","No"))</f>
        <v>No</v>
      </c>
      <c r="H433" s="2" t="n">
        <f aca="false">IF(D433="",0,1/COUNTIF($D$2:$D$3451,D433))</f>
        <v>1</v>
      </c>
      <c r="I433" s="13" t="n">
        <f aca="false">IFERROR(INDEX('NCO-2015 scores'!$C$2:$C$131,MATCH(E433,'NCO-2015 scores'!$A$2:$A$131,0)),0)</f>
        <v>0.288</v>
      </c>
      <c r="J433" s="13" t="n">
        <f aca="false">IF(ISNUMBER(MATCH(E433,'NCO-2015 scores'!$A$2:$A$131,0)),IF(ISNUMBER(INDEX('NCO-2015 scores'!$C$2:$C$131,MATCH(E433,'NCO-2015 scores'!$A$2:$A$131,0))),1,0),0)</f>
        <v>1</v>
      </c>
    </row>
    <row r="434" customFormat="false" ht="15" hidden="false" customHeight="false" outlineLevel="0" collapsed="false">
      <c r="A434" s="2" t="n">
        <v>432</v>
      </c>
      <c r="B434" s="2" t="s">
        <v>1691</v>
      </c>
      <c r="C434" s="2" t="s">
        <v>1692</v>
      </c>
      <c r="D434" s="2" t="s">
        <v>1693</v>
      </c>
      <c r="E434" s="2" t="str">
        <f aca="false">LEFT(C434,3)</f>
        <v>313</v>
      </c>
      <c r="F434" s="2" t="str">
        <f aca="false">IF(D434="","",LEFT(D434,3))</f>
        <v>815</v>
      </c>
      <c r="G434" s="2" t="str">
        <f aca="false">IF(F434="","",IF(E434=F434,"Yes","No"))</f>
        <v>No</v>
      </c>
      <c r="H434" s="2" t="n">
        <f aca="false">IF(D434="",0,1/COUNTIF($D$2:$D$3451,D434))</f>
        <v>1</v>
      </c>
      <c r="I434" s="13" t="n">
        <f aca="false">IFERROR(INDEX('NCO-2015 scores'!$C$2:$C$131,MATCH(E434,'NCO-2015 scores'!$A$2:$A$131,0)),0)</f>
        <v>0.288</v>
      </c>
      <c r="J434" s="13" t="n">
        <f aca="false">IF(ISNUMBER(MATCH(E434,'NCO-2015 scores'!$A$2:$A$131,0)),IF(ISNUMBER(INDEX('NCO-2015 scores'!$C$2:$C$131,MATCH(E434,'NCO-2015 scores'!$A$2:$A$131,0))),1,0),0)</f>
        <v>1</v>
      </c>
    </row>
    <row r="435" customFormat="false" ht="15" hidden="false" customHeight="false" outlineLevel="0" collapsed="false">
      <c r="A435" s="2" t="n">
        <v>433</v>
      </c>
      <c r="B435" s="2" t="s">
        <v>1694</v>
      </c>
      <c r="C435" s="2" t="s">
        <v>1695</v>
      </c>
      <c r="D435" s="2"/>
      <c r="E435" s="2" t="str">
        <f aca="false">LEFT(C435,3)</f>
        <v>313</v>
      </c>
      <c r="F435" s="2" t="str">
        <f aca="false">IF(D435="","",LEFT(D435,3))</f>
        <v/>
      </c>
      <c r="G435" s="2" t="str">
        <f aca="false">IF(F435="","",IF(E435=F435,"Yes","No"))</f>
        <v/>
      </c>
      <c r="H435" s="2" t="n">
        <f aca="false">IF(D435="",0,1/COUNTIF($D$2:$D$3451,D435))</f>
        <v>0</v>
      </c>
      <c r="I435" s="13" t="n">
        <f aca="false">IFERROR(INDEX('NCO-2015 scores'!$C$2:$C$131,MATCH(E435,'NCO-2015 scores'!$A$2:$A$131,0)),0)</f>
        <v>0.288</v>
      </c>
      <c r="J435" s="13" t="n">
        <f aca="false">IF(ISNUMBER(MATCH(E435,'NCO-2015 scores'!$A$2:$A$131,0)),IF(ISNUMBER(INDEX('NCO-2015 scores'!$C$2:$C$131,MATCH(E435,'NCO-2015 scores'!$A$2:$A$131,0))),1,0),0)</f>
        <v>1</v>
      </c>
    </row>
    <row r="436" customFormat="false" ht="15" hidden="false" customHeight="false" outlineLevel="0" collapsed="false">
      <c r="A436" s="2" t="n">
        <v>434</v>
      </c>
      <c r="B436" s="2" t="s">
        <v>1696</v>
      </c>
      <c r="C436" s="2" t="s">
        <v>1697</v>
      </c>
      <c r="D436" s="2" t="s">
        <v>1698</v>
      </c>
      <c r="E436" s="2" t="str">
        <f aca="false">LEFT(C436,3)</f>
        <v>813</v>
      </c>
      <c r="F436" s="2" t="str">
        <f aca="false">IF(D436="","",LEFT(D436,3))</f>
        <v>815</v>
      </c>
      <c r="G436" s="2" t="str">
        <f aca="false">IF(F436="","",IF(E436=F436,"Yes","No"))</f>
        <v>No</v>
      </c>
      <c r="H436" s="2" t="n">
        <f aca="false">IF(D436="",0,1/COUNTIF($D$2:$D$3451,D436))</f>
        <v>1</v>
      </c>
      <c r="I436" s="13" t="n">
        <f aca="false">IFERROR(INDEX('NCO-2015 scores'!$C$2:$C$131,MATCH(E436,'NCO-2015 scores'!$A$2:$A$131,0)),0)</f>
        <v>0.255</v>
      </c>
      <c r="J436" s="13" t="n">
        <f aca="false">IF(ISNUMBER(MATCH(E436,'NCO-2015 scores'!$A$2:$A$131,0)),IF(ISNUMBER(INDEX('NCO-2015 scores'!$C$2:$C$131,MATCH(E436,'NCO-2015 scores'!$A$2:$A$131,0))),1,0),0)</f>
        <v>1</v>
      </c>
    </row>
    <row r="437" customFormat="false" ht="15" hidden="false" customHeight="false" outlineLevel="0" collapsed="false">
      <c r="A437" s="2" t="n">
        <v>435</v>
      </c>
      <c r="B437" s="2" t="s">
        <v>1699</v>
      </c>
      <c r="C437" s="2" t="s">
        <v>1700</v>
      </c>
      <c r="D437" s="2" t="s">
        <v>1701</v>
      </c>
      <c r="E437" s="2" t="str">
        <f aca="false">LEFT(C437,3)</f>
        <v>813</v>
      </c>
      <c r="F437" s="2" t="str">
        <f aca="false">IF(D437="","",LEFT(D437,3))</f>
        <v>815</v>
      </c>
      <c r="G437" s="2" t="str">
        <f aca="false">IF(F437="","",IF(E437=F437,"Yes","No"))</f>
        <v>No</v>
      </c>
      <c r="H437" s="2" t="n">
        <f aca="false">IF(D437="",0,1/COUNTIF($D$2:$D$3451,D437))</f>
        <v>1</v>
      </c>
      <c r="I437" s="13" t="n">
        <f aca="false">IFERROR(INDEX('NCO-2015 scores'!$C$2:$C$131,MATCH(E437,'NCO-2015 scores'!$A$2:$A$131,0)),0)</f>
        <v>0.255</v>
      </c>
      <c r="J437" s="13" t="n">
        <f aca="false">IF(ISNUMBER(MATCH(E437,'NCO-2015 scores'!$A$2:$A$131,0)),IF(ISNUMBER(INDEX('NCO-2015 scores'!$C$2:$C$131,MATCH(E437,'NCO-2015 scores'!$A$2:$A$131,0))),1,0),0)</f>
        <v>1</v>
      </c>
    </row>
    <row r="438" customFormat="false" ht="15" hidden="false" customHeight="false" outlineLevel="0" collapsed="false">
      <c r="A438" s="2" t="n">
        <v>436</v>
      </c>
      <c r="B438" s="2" t="s">
        <v>1702</v>
      </c>
      <c r="C438" s="2" t="s">
        <v>1703</v>
      </c>
      <c r="D438" s="2" t="s">
        <v>1704</v>
      </c>
      <c r="E438" s="2" t="str">
        <f aca="false">LEFT(C438,3)</f>
        <v>813</v>
      </c>
      <c r="F438" s="2" t="str">
        <f aca="false">IF(D438="","",LEFT(D438,3))</f>
        <v>815</v>
      </c>
      <c r="G438" s="2" t="str">
        <f aca="false">IF(F438="","",IF(E438=F438,"Yes","No"))</f>
        <v>No</v>
      </c>
      <c r="H438" s="2" t="n">
        <f aca="false">IF(D438="",0,1/COUNTIF($D$2:$D$3451,D438))</f>
        <v>1</v>
      </c>
      <c r="I438" s="13" t="n">
        <f aca="false">IFERROR(INDEX('NCO-2015 scores'!$C$2:$C$131,MATCH(E438,'NCO-2015 scores'!$A$2:$A$131,0)),0)</f>
        <v>0.255</v>
      </c>
      <c r="J438" s="13" t="n">
        <f aca="false">IF(ISNUMBER(MATCH(E438,'NCO-2015 scores'!$A$2:$A$131,0)),IF(ISNUMBER(INDEX('NCO-2015 scores'!$C$2:$C$131,MATCH(E438,'NCO-2015 scores'!$A$2:$A$131,0))),1,0),0)</f>
        <v>1</v>
      </c>
    </row>
    <row r="439" customFormat="false" ht="15" hidden="false" customHeight="false" outlineLevel="0" collapsed="false">
      <c r="A439" s="2" t="n">
        <v>437</v>
      </c>
      <c r="B439" s="2" t="s">
        <v>1705</v>
      </c>
      <c r="C439" s="2" t="s">
        <v>1706</v>
      </c>
      <c r="D439" s="2" t="s">
        <v>1707</v>
      </c>
      <c r="E439" s="2" t="str">
        <f aca="false">LEFT(C439,3)</f>
        <v>813</v>
      </c>
      <c r="F439" s="2" t="str">
        <f aca="false">IF(D439="","",LEFT(D439,3))</f>
        <v>815</v>
      </c>
      <c r="G439" s="2" t="str">
        <f aca="false">IF(F439="","",IF(E439=F439,"Yes","No"))</f>
        <v>No</v>
      </c>
      <c r="H439" s="2" t="n">
        <f aca="false">IF(D439="",0,1/COUNTIF($D$2:$D$3451,D439))</f>
        <v>1</v>
      </c>
      <c r="I439" s="13" t="n">
        <f aca="false">IFERROR(INDEX('NCO-2015 scores'!$C$2:$C$131,MATCH(E439,'NCO-2015 scores'!$A$2:$A$131,0)),0)</f>
        <v>0.255</v>
      </c>
      <c r="J439" s="13" t="n">
        <f aca="false">IF(ISNUMBER(MATCH(E439,'NCO-2015 scores'!$A$2:$A$131,0)),IF(ISNUMBER(INDEX('NCO-2015 scores'!$C$2:$C$131,MATCH(E439,'NCO-2015 scores'!$A$2:$A$131,0))),1,0),0)</f>
        <v>1</v>
      </c>
    </row>
    <row r="440" customFormat="false" ht="15" hidden="false" customHeight="false" outlineLevel="0" collapsed="false">
      <c r="A440" s="2" t="n">
        <v>438</v>
      </c>
      <c r="B440" s="2" t="s">
        <v>1708</v>
      </c>
      <c r="C440" s="2" t="s">
        <v>1709</v>
      </c>
      <c r="D440" s="2" t="s">
        <v>1710</v>
      </c>
      <c r="E440" s="2" t="str">
        <f aca="false">LEFT(C440,3)</f>
        <v>813</v>
      </c>
      <c r="F440" s="2" t="str">
        <f aca="false">IF(D440="","",LEFT(D440,3))</f>
        <v>815</v>
      </c>
      <c r="G440" s="2" t="str">
        <f aca="false">IF(F440="","",IF(E440=F440,"Yes","No"))</f>
        <v>No</v>
      </c>
      <c r="H440" s="2" t="n">
        <f aca="false">IF(D440="",0,1/COUNTIF($D$2:$D$3451,D440))</f>
        <v>1</v>
      </c>
      <c r="I440" s="13" t="n">
        <f aca="false">IFERROR(INDEX('NCO-2015 scores'!$C$2:$C$131,MATCH(E440,'NCO-2015 scores'!$A$2:$A$131,0)),0)</f>
        <v>0.255</v>
      </c>
      <c r="J440" s="13" t="n">
        <f aca="false">IF(ISNUMBER(MATCH(E440,'NCO-2015 scores'!$A$2:$A$131,0)),IF(ISNUMBER(INDEX('NCO-2015 scores'!$C$2:$C$131,MATCH(E440,'NCO-2015 scores'!$A$2:$A$131,0))),1,0),0)</f>
        <v>1</v>
      </c>
    </row>
    <row r="441" customFormat="false" ht="15" hidden="false" customHeight="false" outlineLevel="0" collapsed="false">
      <c r="A441" s="2" t="n">
        <v>439</v>
      </c>
      <c r="B441" s="2" t="s">
        <v>1711</v>
      </c>
      <c r="C441" s="2" t="s">
        <v>1712</v>
      </c>
      <c r="D441" s="2" t="s">
        <v>1713</v>
      </c>
      <c r="E441" s="2" t="str">
        <f aca="false">LEFT(C441,3)</f>
        <v>813</v>
      </c>
      <c r="F441" s="2" t="str">
        <f aca="false">IF(D441="","",LEFT(D441,3))</f>
        <v>815</v>
      </c>
      <c r="G441" s="2" t="str">
        <f aca="false">IF(F441="","",IF(E441=F441,"Yes","No"))</f>
        <v>No</v>
      </c>
      <c r="H441" s="2" t="n">
        <f aca="false">IF(D441="",0,1/COUNTIF($D$2:$D$3451,D441))</f>
        <v>1</v>
      </c>
      <c r="I441" s="13" t="n">
        <f aca="false">IFERROR(INDEX('NCO-2015 scores'!$C$2:$C$131,MATCH(E441,'NCO-2015 scores'!$A$2:$A$131,0)),0)</f>
        <v>0.255</v>
      </c>
      <c r="J441" s="13" t="n">
        <f aca="false">IF(ISNUMBER(MATCH(E441,'NCO-2015 scores'!$A$2:$A$131,0)),IF(ISNUMBER(INDEX('NCO-2015 scores'!$C$2:$C$131,MATCH(E441,'NCO-2015 scores'!$A$2:$A$131,0))),1,0),0)</f>
        <v>1</v>
      </c>
    </row>
    <row r="442" customFormat="false" ht="15" hidden="false" customHeight="false" outlineLevel="0" collapsed="false">
      <c r="A442" s="2" t="n">
        <v>440</v>
      </c>
      <c r="B442" s="2" t="s">
        <v>1714</v>
      </c>
      <c r="C442" s="2" t="s">
        <v>1715</v>
      </c>
      <c r="D442" s="2" t="s">
        <v>1716</v>
      </c>
      <c r="E442" s="2" t="str">
        <f aca="false">LEFT(C442,3)</f>
        <v>813</v>
      </c>
      <c r="F442" s="2" t="str">
        <f aca="false">IF(D442="","",LEFT(D442,3))</f>
        <v>815</v>
      </c>
      <c r="G442" s="2" t="str">
        <f aca="false">IF(F442="","",IF(E442=F442,"Yes","No"))</f>
        <v>No</v>
      </c>
      <c r="H442" s="2" t="n">
        <f aca="false">IF(D442="",0,1/COUNTIF($D$2:$D$3451,D442))</f>
        <v>1</v>
      </c>
      <c r="I442" s="13" t="n">
        <f aca="false">IFERROR(INDEX('NCO-2015 scores'!$C$2:$C$131,MATCH(E442,'NCO-2015 scores'!$A$2:$A$131,0)),0)</f>
        <v>0.255</v>
      </c>
      <c r="J442" s="13" t="n">
        <f aca="false">IF(ISNUMBER(MATCH(E442,'NCO-2015 scores'!$A$2:$A$131,0)),IF(ISNUMBER(INDEX('NCO-2015 scores'!$C$2:$C$131,MATCH(E442,'NCO-2015 scores'!$A$2:$A$131,0))),1,0),0)</f>
        <v>1</v>
      </c>
    </row>
    <row r="443" customFormat="false" ht="15" hidden="false" customHeight="false" outlineLevel="0" collapsed="false">
      <c r="A443" s="2" t="n">
        <v>441</v>
      </c>
      <c r="B443" s="2" t="s">
        <v>1717</v>
      </c>
      <c r="C443" s="2" t="s">
        <v>1718</v>
      </c>
      <c r="D443" s="2" t="s">
        <v>1719</v>
      </c>
      <c r="E443" s="2" t="str">
        <f aca="false">LEFT(C443,3)</f>
        <v>813</v>
      </c>
      <c r="F443" s="2" t="str">
        <f aca="false">IF(D443="","",LEFT(D443,3))</f>
        <v>815</v>
      </c>
      <c r="G443" s="2" t="str">
        <f aca="false">IF(F443="","",IF(E443=F443,"Yes","No"))</f>
        <v>No</v>
      </c>
      <c r="H443" s="2" t="n">
        <f aca="false">IF(D443="",0,1/COUNTIF($D$2:$D$3451,D443))</f>
        <v>1</v>
      </c>
      <c r="I443" s="13" t="n">
        <f aca="false">IFERROR(INDEX('NCO-2015 scores'!$C$2:$C$131,MATCH(E443,'NCO-2015 scores'!$A$2:$A$131,0)),0)</f>
        <v>0.255</v>
      </c>
      <c r="J443" s="13" t="n">
        <f aca="false">IF(ISNUMBER(MATCH(E443,'NCO-2015 scores'!$A$2:$A$131,0)),IF(ISNUMBER(INDEX('NCO-2015 scores'!$C$2:$C$131,MATCH(E443,'NCO-2015 scores'!$A$2:$A$131,0))),1,0),0)</f>
        <v>1</v>
      </c>
    </row>
    <row r="444" customFormat="false" ht="15" hidden="false" customHeight="false" outlineLevel="0" collapsed="false">
      <c r="A444" s="2" t="n">
        <v>442</v>
      </c>
      <c r="B444" s="2" t="s">
        <v>1720</v>
      </c>
      <c r="C444" s="2" t="s">
        <v>1721</v>
      </c>
      <c r="D444" s="2" t="s">
        <v>1722</v>
      </c>
      <c r="E444" s="2" t="str">
        <f aca="false">LEFT(C444,3)</f>
        <v>813</v>
      </c>
      <c r="F444" s="2" t="str">
        <f aca="false">IF(D444="","",LEFT(D444,3))</f>
        <v>815</v>
      </c>
      <c r="G444" s="2" t="str">
        <f aca="false">IF(F444="","",IF(E444=F444,"Yes","No"))</f>
        <v>No</v>
      </c>
      <c r="H444" s="2" t="n">
        <f aca="false">IF(D444="",0,1/COUNTIF($D$2:$D$3451,D444))</f>
        <v>1</v>
      </c>
      <c r="I444" s="13" t="n">
        <f aca="false">IFERROR(INDEX('NCO-2015 scores'!$C$2:$C$131,MATCH(E444,'NCO-2015 scores'!$A$2:$A$131,0)),0)</f>
        <v>0.255</v>
      </c>
      <c r="J444" s="13" t="n">
        <f aca="false">IF(ISNUMBER(MATCH(E444,'NCO-2015 scores'!$A$2:$A$131,0)),IF(ISNUMBER(INDEX('NCO-2015 scores'!$C$2:$C$131,MATCH(E444,'NCO-2015 scores'!$A$2:$A$131,0))),1,0),0)</f>
        <v>1</v>
      </c>
    </row>
    <row r="445" customFormat="false" ht="15" hidden="false" customHeight="false" outlineLevel="0" collapsed="false">
      <c r="A445" s="2" t="n">
        <v>443</v>
      </c>
      <c r="B445" s="2" t="s">
        <v>1723</v>
      </c>
      <c r="C445" s="2" t="s">
        <v>1724</v>
      </c>
      <c r="D445" s="2" t="s">
        <v>1725</v>
      </c>
      <c r="E445" s="2" t="str">
        <f aca="false">LEFT(C445,3)</f>
        <v>813</v>
      </c>
      <c r="F445" s="2" t="str">
        <f aca="false">IF(D445="","",LEFT(D445,3))</f>
        <v>815</v>
      </c>
      <c r="G445" s="2" t="str">
        <f aca="false">IF(F445="","",IF(E445=F445,"Yes","No"))</f>
        <v>No</v>
      </c>
      <c r="H445" s="2" t="n">
        <f aca="false">IF(D445="",0,1/COUNTIF($D$2:$D$3451,D445))</f>
        <v>1</v>
      </c>
      <c r="I445" s="13" t="n">
        <f aca="false">IFERROR(INDEX('NCO-2015 scores'!$C$2:$C$131,MATCH(E445,'NCO-2015 scores'!$A$2:$A$131,0)),0)</f>
        <v>0.255</v>
      </c>
      <c r="J445" s="13" t="n">
        <f aca="false">IF(ISNUMBER(MATCH(E445,'NCO-2015 scores'!$A$2:$A$131,0)),IF(ISNUMBER(INDEX('NCO-2015 scores'!$C$2:$C$131,MATCH(E445,'NCO-2015 scores'!$A$2:$A$131,0))),1,0),0)</f>
        <v>1</v>
      </c>
    </row>
    <row r="446" customFormat="false" ht="15" hidden="false" customHeight="false" outlineLevel="0" collapsed="false">
      <c r="A446" s="2" t="n">
        <v>444</v>
      </c>
      <c r="B446" s="2" t="s">
        <v>1726</v>
      </c>
      <c r="C446" s="2" t="s">
        <v>1727</v>
      </c>
      <c r="D446" s="2" t="s">
        <v>1728</v>
      </c>
      <c r="E446" s="2" t="str">
        <f aca="false">LEFT(C446,3)</f>
        <v>813</v>
      </c>
      <c r="F446" s="2" t="str">
        <f aca="false">IF(D446="","",LEFT(D446,3))</f>
        <v>815</v>
      </c>
      <c r="G446" s="2" t="str">
        <f aca="false">IF(F446="","",IF(E446=F446,"Yes","No"))</f>
        <v>No</v>
      </c>
      <c r="H446" s="2" t="n">
        <f aca="false">IF(D446="",0,1/COUNTIF($D$2:$D$3451,D446))</f>
        <v>1</v>
      </c>
      <c r="I446" s="13" t="n">
        <f aca="false">IFERROR(INDEX('NCO-2015 scores'!$C$2:$C$131,MATCH(E446,'NCO-2015 scores'!$A$2:$A$131,0)),0)</f>
        <v>0.255</v>
      </c>
      <c r="J446" s="13" t="n">
        <f aca="false">IF(ISNUMBER(MATCH(E446,'NCO-2015 scores'!$A$2:$A$131,0)),IF(ISNUMBER(INDEX('NCO-2015 scores'!$C$2:$C$131,MATCH(E446,'NCO-2015 scores'!$A$2:$A$131,0))),1,0),0)</f>
        <v>1</v>
      </c>
    </row>
    <row r="447" customFormat="false" ht="15" hidden="false" customHeight="false" outlineLevel="0" collapsed="false">
      <c r="A447" s="2" t="n">
        <v>445</v>
      </c>
      <c r="B447" s="2" t="s">
        <v>1729</v>
      </c>
      <c r="C447" s="2" t="s">
        <v>1730</v>
      </c>
      <c r="D447" s="2" t="s">
        <v>1731</v>
      </c>
      <c r="E447" s="2" t="str">
        <f aca="false">LEFT(C447,3)</f>
        <v>813</v>
      </c>
      <c r="F447" s="2" t="str">
        <f aca="false">IF(D447="","",LEFT(D447,3))</f>
        <v>815</v>
      </c>
      <c r="G447" s="2" t="str">
        <f aca="false">IF(F447="","",IF(E447=F447,"Yes","No"))</f>
        <v>No</v>
      </c>
      <c r="H447" s="2" t="n">
        <f aca="false">IF(D447="",0,1/COUNTIF($D$2:$D$3451,D447))</f>
        <v>1</v>
      </c>
      <c r="I447" s="13" t="n">
        <f aca="false">IFERROR(INDEX('NCO-2015 scores'!$C$2:$C$131,MATCH(E447,'NCO-2015 scores'!$A$2:$A$131,0)),0)</f>
        <v>0.255</v>
      </c>
      <c r="J447" s="13" t="n">
        <f aca="false">IF(ISNUMBER(MATCH(E447,'NCO-2015 scores'!$A$2:$A$131,0)),IF(ISNUMBER(INDEX('NCO-2015 scores'!$C$2:$C$131,MATCH(E447,'NCO-2015 scores'!$A$2:$A$131,0))),1,0),0)</f>
        <v>1</v>
      </c>
    </row>
    <row r="448" customFormat="false" ht="15" hidden="false" customHeight="false" outlineLevel="0" collapsed="false">
      <c r="A448" s="2" t="n">
        <v>446</v>
      </c>
      <c r="B448" s="2" t="s">
        <v>1732</v>
      </c>
      <c r="C448" s="2" t="s">
        <v>1733</v>
      </c>
      <c r="D448" s="2" t="s">
        <v>1734</v>
      </c>
      <c r="E448" s="2" t="str">
        <f aca="false">LEFT(C448,3)</f>
        <v>813</v>
      </c>
      <c r="F448" s="2" t="str">
        <f aca="false">IF(D448="","",LEFT(D448,3))</f>
        <v>815</v>
      </c>
      <c r="G448" s="2" t="str">
        <f aca="false">IF(F448="","",IF(E448=F448,"Yes","No"))</f>
        <v>No</v>
      </c>
      <c r="H448" s="2" t="n">
        <f aca="false">IF(D448="",0,1/COUNTIF($D$2:$D$3451,D448))</f>
        <v>1</v>
      </c>
      <c r="I448" s="13" t="n">
        <f aca="false">IFERROR(INDEX('NCO-2015 scores'!$C$2:$C$131,MATCH(E448,'NCO-2015 scores'!$A$2:$A$131,0)),0)</f>
        <v>0.255</v>
      </c>
      <c r="J448" s="13" t="n">
        <f aca="false">IF(ISNUMBER(MATCH(E448,'NCO-2015 scores'!$A$2:$A$131,0)),IF(ISNUMBER(INDEX('NCO-2015 scores'!$C$2:$C$131,MATCH(E448,'NCO-2015 scores'!$A$2:$A$131,0))),1,0),0)</f>
        <v>1</v>
      </c>
    </row>
    <row r="449" customFormat="false" ht="15" hidden="false" customHeight="false" outlineLevel="0" collapsed="false">
      <c r="A449" s="2" t="n">
        <v>447</v>
      </c>
      <c r="B449" s="2" t="s">
        <v>1735</v>
      </c>
      <c r="C449" s="2" t="s">
        <v>1736</v>
      </c>
      <c r="D449" s="2" t="s">
        <v>1737</v>
      </c>
      <c r="E449" s="2" t="str">
        <f aca="false">LEFT(C449,3)</f>
        <v>813</v>
      </c>
      <c r="F449" s="2" t="str">
        <f aca="false">IF(D449="","",LEFT(D449,3))</f>
        <v>815</v>
      </c>
      <c r="G449" s="2" t="str">
        <f aca="false">IF(F449="","",IF(E449=F449,"Yes","No"))</f>
        <v>No</v>
      </c>
      <c r="H449" s="2" t="n">
        <f aca="false">IF(D449="",0,1/COUNTIF($D$2:$D$3451,D449))</f>
        <v>1</v>
      </c>
      <c r="I449" s="13" t="n">
        <f aca="false">IFERROR(INDEX('NCO-2015 scores'!$C$2:$C$131,MATCH(E449,'NCO-2015 scores'!$A$2:$A$131,0)),0)</f>
        <v>0.255</v>
      </c>
      <c r="J449" s="13" t="n">
        <f aca="false">IF(ISNUMBER(MATCH(E449,'NCO-2015 scores'!$A$2:$A$131,0)),IF(ISNUMBER(INDEX('NCO-2015 scores'!$C$2:$C$131,MATCH(E449,'NCO-2015 scores'!$A$2:$A$131,0))),1,0),0)</f>
        <v>1</v>
      </c>
    </row>
    <row r="450" customFormat="false" ht="15" hidden="false" customHeight="false" outlineLevel="0" collapsed="false">
      <c r="A450" s="2" t="n">
        <v>448</v>
      </c>
      <c r="B450" s="2" t="s">
        <v>1738</v>
      </c>
      <c r="C450" s="2" t="s">
        <v>1739</v>
      </c>
      <c r="D450" s="2" t="s">
        <v>1740</v>
      </c>
      <c r="E450" s="2" t="str">
        <f aca="false">LEFT(C450,3)</f>
        <v>813</v>
      </c>
      <c r="F450" s="2" t="str">
        <f aca="false">IF(D450="","",LEFT(D450,3))</f>
        <v>815</v>
      </c>
      <c r="G450" s="2" t="str">
        <f aca="false">IF(F450="","",IF(E450=F450,"Yes","No"))</f>
        <v>No</v>
      </c>
      <c r="H450" s="2" t="n">
        <f aca="false">IF(D450="",0,1/COUNTIF($D$2:$D$3451,D450))</f>
        <v>1</v>
      </c>
      <c r="I450" s="13" t="n">
        <f aca="false">IFERROR(INDEX('NCO-2015 scores'!$C$2:$C$131,MATCH(E450,'NCO-2015 scores'!$A$2:$A$131,0)),0)</f>
        <v>0.255</v>
      </c>
      <c r="J450" s="13" t="n">
        <f aca="false">IF(ISNUMBER(MATCH(E450,'NCO-2015 scores'!$A$2:$A$131,0)),IF(ISNUMBER(INDEX('NCO-2015 scores'!$C$2:$C$131,MATCH(E450,'NCO-2015 scores'!$A$2:$A$131,0))),1,0),0)</f>
        <v>1</v>
      </c>
    </row>
    <row r="451" customFormat="false" ht="15" hidden="false" customHeight="false" outlineLevel="0" collapsed="false">
      <c r="A451" s="2" t="n">
        <v>449</v>
      </c>
      <c r="B451" s="2" t="s">
        <v>1741</v>
      </c>
      <c r="C451" s="2" t="s">
        <v>1742</v>
      </c>
      <c r="D451" s="2" t="s">
        <v>1743</v>
      </c>
      <c r="E451" s="2" t="str">
        <f aca="false">LEFT(C451,3)</f>
        <v>813</v>
      </c>
      <c r="F451" s="2" t="str">
        <f aca="false">IF(D451="","",LEFT(D451,3))</f>
        <v>815</v>
      </c>
      <c r="G451" s="2" t="str">
        <f aca="false">IF(F451="","",IF(E451=F451,"Yes","No"))</f>
        <v>No</v>
      </c>
      <c r="H451" s="2" t="n">
        <f aca="false">IF(D451="",0,1/COUNTIF($D$2:$D$3451,D451))</f>
        <v>1</v>
      </c>
      <c r="I451" s="13" t="n">
        <f aca="false">IFERROR(INDEX('NCO-2015 scores'!$C$2:$C$131,MATCH(E451,'NCO-2015 scores'!$A$2:$A$131,0)),0)</f>
        <v>0.255</v>
      </c>
      <c r="J451" s="13" t="n">
        <f aca="false">IF(ISNUMBER(MATCH(E451,'NCO-2015 scores'!$A$2:$A$131,0)),IF(ISNUMBER(INDEX('NCO-2015 scores'!$C$2:$C$131,MATCH(E451,'NCO-2015 scores'!$A$2:$A$131,0))),1,0),0)</f>
        <v>1</v>
      </c>
    </row>
    <row r="452" customFormat="false" ht="15" hidden="false" customHeight="false" outlineLevel="0" collapsed="false">
      <c r="A452" s="2" t="n">
        <v>450</v>
      </c>
      <c r="B452" s="2" t="s">
        <v>1744</v>
      </c>
      <c r="C452" s="2" t="s">
        <v>1745</v>
      </c>
      <c r="D452" s="2" t="s">
        <v>1746</v>
      </c>
      <c r="E452" s="2" t="str">
        <f aca="false">LEFT(C452,3)</f>
        <v>813</v>
      </c>
      <c r="F452" s="2" t="str">
        <f aca="false">IF(D452="","",LEFT(D452,3))</f>
        <v>815</v>
      </c>
      <c r="G452" s="2" t="str">
        <f aca="false">IF(F452="","",IF(E452=F452,"Yes","No"))</f>
        <v>No</v>
      </c>
      <c r="H452" s="2" t="n">
        <f aca="false">IF(D452="",0,1/COUNTIF($D$2:$D$3451,D452))</f>
        <v>1</v>
      </c>
      <c r="I452" s="13" t="n">
        <f aca="false">IFERROR(INDEX('NCO-2015 scores'!$C$2:$C$131,MATCH(E452,'NCO-2015 scores'!$A$2:$A$131,0)),0)</f>
        <v>0.255</v>
      </c>
      <c r="J452" s="13" t="n">
        <f aca="false">IF(ISNUMBER(MATCH(E452,'NCO-2015 scores'!$A$2:$A$131,0)),IF(ISNUMBER(INDEX('NCO-2015 scores'!$C$2:$C$131,MATCH(E452,'NCO-2015 scores'!$A$2:$A$131,0))),1,0),0)</f>
        <v>1</v>
      </c>
    </row>
    <row r="453" customFormat="false" ht="15" hidden="false" customHeight="false" outlineLevel="0" collapsed="false">
      <c r="A453" s="2" t="n">
        <v>451</v>
      </c>
      <c r="B453" s="2" t="s">
        <v>1747</v>
      </c>
      <c r="C453" s="2" t="s">
        <v>1748</v>
      </c>
      <c r="D453" s="2" t="s">
        <v>1749</v>
      </c>
      <c r="E453" s="2" t="str">
        <f aca="false">LEFT(C453,3)</f>
        <v>813</v>
      </c>
      <c r="F453" s="2" t="str">
        <f aca="false">IF(D453="","",LEFT(D453,3))</f>
        <v>815</v>
      </c>
      <c r="G453" s="2" t="str">
        <f aca="false">IF(F453="","",IF(E453=F453,"Yes","No"))</f>
        <v>No</v>
      </c>
      <c r="H453" s="2" t="n">
        <f aca="false">IF(D453="",0,1/COUNTIF($D$2:$D$3451,D453))</f>
        <v>1</v>
      </c>
      <c r="I453" s="13" t="n">
        <f aca="false">IFERROR(INDEX('NCO-2015 scores'!$C$2:$C$131,MATCH(E453,'NCO-2015 scores'!$A$2:$A$131,0)),0)</f>
        <v>0.255</v>
      </c>
      <c r="J453" s="13" t="n">
        <f aca="false">IF(ISNUMBER(MATCH(E453,'NCO-2015 scores'!$A$2:$A$131,0)),IF(ISNUMBER(INDEX('NCO-2015 scores'!$C$2:$C$131,MATCH(E453,'NCO-2015 scores'!$A$2:$A$131,0))),1,0),0)</f>
        <v>1</v>
      </c>
    </row>
    <row r="454" customFormat="false" ht="15" hidden="false" customHeight="false" outlineLevel="0" collapsed="false">
      <c r="A454" s="2" t="n">
        <v>452</v>
      </c>
      <c r="B454" s="2" t="s">
        <v>1750</v>
      </c>
      <c r="C454" s="2" t="s">
        <v>1751</v>
      </c>
      <c r="D454" s="2" t="s">
        <v>1752</v>
      </c>
      <c r="E454" s="2" t="str">
        <f aca="false">LEFT(C454,3)</f>
        <v>813</v>
      </c>
      <c r="F454" s="2" t="str">
        <f aca="false">IF(D454="","",LEFT(D454,3))</f>
        <v>815</v>
      </c>
      <c r="G454" s="2" t="str">
        <f aca="false">IF(F454="","",IF(E454=F454,"Yes","No"))</f>
        <v>No</v>
      </c>
      <c r="H454" s="2" t="n">
        <f aca="false">IF(D454="",0,1/COUNTIF($D$2:$D$3451,D454))</f>
        <v>1</v>
      </c>
      <c r="I454" s="13" t="n">
        <f aca="false">IFERROR(INDEX('NCO-2015 scores'!$C$2:$C$131,MATCH(E454,'NCO-2015 scores'!$A$2:$A$131,0)),0)</f>
        <v>0.255</v>
      </c>
      <c r="J454" s="13" t="n">
        <f aca="false">IF(ISNUMBER(MATCH(E454,'NCO-2015 scores'!$A$2:$A$131,0)),IF(ISNUMBER(INDEX('NCO-2015 scores'!$C$2:$C$131,MATCH(E454,'NCO-2015 scores'!$A$2:$A$131,0))),1,0),0)</f>
        <v>1</v>
      </c>
    </row>
    <row r="455" customFormat="false" ht="15" hidden="false" customHeight="false" outlineLevel="0" collapsed="false">
      <c r="A455" s="2" t="n">
        <v>453</v>
      </c>
      <c r="B455" s="2" t="s">
        <v>1753</v>
      </c>
      <c r="C455" s="2" t="s">
        <v>1754</v>
      </c>
      <c r="D455" s="2" t="s">
        <v>1755</v>
      </c>
      <c r="E455" s="2" t="str">
        <f aca="false">LEFT(C455,3)</f>
        <v>813</v>
      </c>
      <c r="F455" s="2" t="str">
        <f aca="false">IF(D455="","",LEFT(D455,3))</f>
        <v>815</v>
      </c>
      <c r="G455" s="2" t="str">
        <f aca="false">IF(F455="","",IF(E455=F455,"Yes","No"))</f>
        <v>No</v>
      </c>
      <c r="H455" s="2" t="n">
        <f aca="false">IF(D455="",0,1/COUNTIF($D$2:$D$3451,D455))</f>
        <v>1</v>
      </c>
      <c r="I455" s="13" t="n">
        <f aca="false">IFERROR(INDEX('NCO-2015 scores'!$C$2:$C$131,MATCH(E455,'NCO-2015 scores'!$A$2:$A$131,0)),0)</f>
        <v>0.255</v>
      </c>
      <c r="J455" s="13" t="n">
        <f aca="false">IF(ISNUMBER(MATCH(E455,'NCO-2015 scores'!$A$2:$A$131,0)),IF(ISNUMBER(INDEX('NCO-2015 scores'!$C$2:$C$131,MATCH(E455,'NCO-2015 scores'!$A$2:$A$131,0))),1,0),0)</f>
        <v>1</v>
      </c>
    </row>
    <row r="456" customFormat="false" ht="15" hidden="false" customHeight="false" outlineLevel="0" collapsed="false">
      <c r="A456" s="2" t="n">
        <v>454</v>
      </c>
      <c r="B456" s="2" t="s">
        <v>1756</v>
      </c>
      <c r="C456" s="2" t="s">
        <v>1757</v>
      </c>
      <c r="D456" s="2" t="s">
        <v>1758</v>
      </c>
      <c r="E456" s="2" t="str">
        <f aca="false">LEFT(C456,3)</f>
        <v>813</v>
      </c>
      <c r="F456" s="2" t="str">
        <f aca="false">IF(D456="","",LEFT(D456,3))</f>
        <v>815</v>
      </c>
      <c r="G456" s="2" t="str">
        <f aca="false">IF(F456="","",IF(E456=F456,"Yes","No"))</f>
        <v>No</v>
      </c>
      <c r="H456" s="2" t="n">
        <f aca="false">IF(D456="",0,1/COUNTIF($D$2:$D$3451,D456))</f>
        <v>1</v>
      </c>
      <c r="I456" s="13" t="n">
        <f aca="false">IFERROR(INDEX('NCO-2015 scores'!$C$2:$C$131,MATCH(E456,'NCO-2015 scores'!$A$2:$A$131,0)),0)</f>
        <v>0.255</v>
      </c>
      <c r="J456" s="13" t="n">
        <f aca="false">IF(ISNUMBER(MATCH(E456,'NCO-2015 scores'!$A$2:$A$131,0)),IF(ISNUMBER(INDEX('NCO-2015 scores'!$C$2:$C$131,MATCH(E456,'NCO-2015 scores'!$A$2:$A$131,0))),1,0),0)</f>
        <v>1</v>
      </c>
    </row>
    <row r="457" customFormat="false" ht="15" hidden="false" customHeight="false" outlineLevel="0" collapsed="false">
      <c r="A457" s="2" t="n">
        <v>455</v>
      </c>
      <c r="B457" s="2" t="s">
        <v>1759</v>
      </c>
      <c r="C457" s="2" t="s">
        <v>1760</v>
      </c>
      <c r="D457" s="2" t="s">
        <v>1761</v>
      </c>
      <c r="E457" s="2" t="str">
        <f aca="false">LEFT(C457,3)</f>
        <v>813</v>
      </c>
      <c r="F457" s="2" t="str">
        <f aca="false">IF(D457="","",LEFT(D457,3))</f>
        <v>815</v>
      </c>
      <c r="G457" s="2" t="str">
        <f aca="false">IF(F457="","",IF(E457=F457,"Yes","No"))</f>
        <v>No</v>
      </c>
      <c r="H457" s="2" t="n">
        <f aca="false">IF(D457="",0,1/COUNTIF($D$2:$D$3451,D457))</f>
        <v>1</v>
      </c>
      <c r="I457" s="13" t="n">
        <f aca="false">IFERROR(INDEX('NCO-2015 scores'!$C$2:$C$131,MATCH(E457,'NCO-2015 scores'!$A$2:$A$131,0)),0)</f>
        <v>0.255</v>
      </c>
      <c r="J457" s="13" t="n">
        <f aca="false">IF(ISNUMBER(MATCH(E457,'NCO-2015 scores'!$A$2:$A$131,0)),IF(ISNUMBER(INDEX('NCO-2015 scores'!$C$2:$C$131,MATCH(E457,'NCO-2015 scores'!$A$2:$A$131,0))),1,0),0)</f>
        <v>1</v>
      </c>
    </row>
    <row r="458" customFormat="false" ht="15" hidden="false" customHeight="false" outlineLevel="0" collapsed="false">
      <c r="A458" s="2" t="n">
        <v>456</v>
      </c>
      <c r="B458" s="2" t="s">
        <v>1762</v>
      </c>
      <c r="C458" s="2" t="s">
        <v>1763</v>
      </c>
      <c r="D458" s="2" t="s">
        <v>1764</v>
      </c>
      <c r="E458" s="2" t="str">
        <f aca="false">LEFT(C458,3)</f>
        <v>813</v>
      </c>
      <c r="F458" s="2" t="str">
        <f aca="false">IF(D458="","",LEFT(D458,3))</f>
        <v>815</v>
      </c>
      <c r="G458" s="2" t="str">
        <f aca="false">IF(F458="","",IF(E458=F458,"Yes","No"))</f>
        <v>No</v>
      </c>
      <c r="H458" s="2" t="n">
        <f aca="false">IF(D458="",0,1/COUNTIF($D$2:$D$3451,D458))</f>
        <v>1</v>
      </c>
      <c r="I458" s="13" t="n">
        <f aca="false">IFERROR(INDEX('NCO-2015 scores'!$C$2:$C$131,MATCH(E458,'NCO-2015 scores'!$A$2:$A$131,0)),0)</f>
        <v>0.255</v>
      </c>
      <c r="J458" s="13" t="n">
        <f aca="false">IF(ISNUMBER(MATCH(E458,'NCO-2015 scores'!$A$2:$A$131,0)),IF(ISNUMBER(INDEX('NCO-2015 scores'!$C$2:$C$131,MATCH(E458,'NCO-2015 scores'!$A$2:$A$131,0))),1,0),0)</f>
        <v>1</v>
      </c>
    </row>
    <row r="459" customFormat="false" ht="15" hidden="false" customHeight="false" outlineLevel="0" collapsed="false">
      <c r="A459" s="2" t="n">
        <v>457</v>
      </c>
      <c r="B459" s="2" t="s">
        <v>1765</v>
      </c>
      <c r="C459" s="2" t="s">
        <v>1766</v>
      </c>
      <c r="D459" s="2" t="s">
        <v>1767</v>
      </c>
      <c r="E459" s="2" t="str">
        <f aca="false">LEFT(C459,3)</f>
        <v>813</v>
      </c>
      <c r="F459" s="2" t="str">
        <f aca="false">IF(D459="","",LEFT(D459,3))</f>
        <v>815</v>
      </c>
      <c r="G459" s="2" t="str">
        <f aca="false">IF(F459="","",IF(E459=F459,"Yes","No"))</f>
        <v>No</v>
      </c>
      <c r="H459" s="2" t="n">
        <f aca="false">IF(D459="",0,1/COUNTIF($D$2:$D$3451,D459))</f>
        <v>1</v>
      </c>
      <c r="I459" s="13" t="n">
        <f aca="false">IFERROR(INDEX('NCO-2015 scores'!$C$2:$C$131,MATCH(E459,'NCO-2015 scores'!$A$2:$A$131,0)),0)</f>
        <v>0.255</v>
      </c>
      <c r="J459" s="13" t="n">
        <f aca="false">IF(ISNUMBER(MATCH(E459,'NCO-2015 scores'!$A$2:$A$131,0)),IF(ISNUMBER(INDEX('NCO-2015 scores'!$C$2:$C$131,MATCH(E459,'NCO-2015 scores'!$A$2:$A$131,0))),1,0),0)</f>
        <v>1</v>
      </c>
    </row>
    <row r="460" customFormat="false" ht="15" hidden="false" customHeight="false" outlineLevel="0" collapsed="false">
      <c r="A460" s="2" t="n">
        <v>458</v>
      </c>
      <c r="B460" s="2" t="s">
        <v>1768</v>
      </c>
      <c r="C460" s="2" t="s">
        <v>1769</v>
      </c>
      <c r="D460" s="2" t="s">
        <v>1770</v>
      </c>
      <c r="E460" s="2" t="str">
        <f aca="false">LEFT(C460,3)</f>
        <v>813</v>
      </c>
      <c r="F460" s="2" t="str">
        <f aca="false">IF(D460="","",LEFT(D460,3))</f>
        <v>815</v>
      </c>
      <c r="G460" s="2" t="str">
        <f aca="false">IF(F460="","",IF(E460=F460,"Yes","No"))</f>
        <v>No</v>
      </c>
      <c r="H460" s="2" t="n">
        <f aca="false">IF(D460="",0,1/COUNTIF($D$2:$D$3451,D460))</f>
        <v>1</v>
      </c>
      <c r="I460" s="13" t="n">
        <f aca="false">IFERROR(INDEX('NCO-2015 scores'!$C$2:$C$131,MATCH(E460,'NCO-2015 scores'!$A$2:$A$131,0)),0)</f>
        <v>0.255</v>
      </c>
      <c r="J460" s="13" t="n">
        <f aca="false">IF(ISNUMBER(MATCH(E460,'NCO-2015 scores'!$A$2:$A$131,0)),IF(ISNUMBER(INDEX('NCO-2015 scores'!$C$2:$C$131,MATCH(E460,'NCO-2015 scores'!$A$2:$A$131,0))),1,0),0)</f>
        <v>1</v>
      </c>
    </row>
    <row r="461" customFormat="false" ht="15" hidden="false" customHeight="false" outlineLevel="0" collapsed="false">
      <c r="A461" s="2" t="n">
        <v>459</v>
      </c>
      <c r="B461" s="2" t="s">
        <v>1771</v>
      </c>
      <c r="C461" s="2" t="s">
        <v>1772</v>
      </c>
      <c r="D461" s="2" t="s">
        <v>1773</v>
      </c>
      <c r="E461" s="2" t="str">
        <f aca="false">LEFT(C461,3)</f>
        <v>813</v>
      </c>
      <c r="F461" s="2" t="str">
        <f aca="false">IF(D461="","",LEFT(D461,3))</f>
        <v>815</v>
      </c>
      <c r="G461" s="2" t="str">
        <f aca="false">IF(F461="","",IF(E461=F461,"Yes","No"))</f>
        <v>No</v>
      </c>
      <c r="H461" s="2" t="n">
        <f aca="false">IF(D461="",0,1/COUNTIF($D$2:$D$3451,D461))</f>
        <v>1</v>
      </c>
      <c r="I461" s="13" t="n">
        <f aca="false">IFERROR(INDEX('NCO-2015 scores'!$C$2:$C$131,MATCH(E461,'NCO-2015 scores'!$A$2:$A$131,0)),0)</f>
        <v>0.255</v>
      </c>
      <c r="J461" s="13" t="n">
        <f aca="false">IF(ISNUMBER(MATCH(E461,'NCO-2015 scores'!$A$2:$A$131,0)),IF(ISNUMBER(INDEX('NCO-2015 scores'!$C$2:$C$131,MATCH(E461,'NCO-2015 scores'!$A$2:$A$131,0))),1,0),0)</f>
        <v>1</v>
      </c>
    </row>
    <row r="462" customFormat="false" ht="15" hidden="false" customHeight="false" outlineLevel="0" collapsed="false">
      <c r="A462" s="2" t="n">
        <v>460</v>
      </c>
      <c r="B462" s="2" t="s">
        <v>1774</v>
      </c>
      <c r="C462" s="2" t="s">
        <v>1775</v>
      </c>
      <c r="D462" s="2" t="s">
        <v>1776</v>
      </c>
      <c r="E462" s="2" t="str">
        <f aca="false">LEFT(C462,3)</f>
        <v>813</v>
      </c>
      <c r="F462" s="2" t="str">
        <f aca="false">IF(D462="","",LEFT(D462,3))</f>
        <v>822</v>
      </c>
      <c r="G462" s="2" t="str">
        <f aca="false">IF(F462="","",IF(E462=F462,"Yes","No"))</f>
        <v>No</v>
      </c>
      <c r="H462" s="2" t="n">
        <f aca="false">IF(D462="",0,1/COUNTIF($D$2:$D$3451,D462))</f>
        <v>1</v>
      </c>
      <c r="I462" s="13" t="n">
        <f aca="false">IFERROR(INDEX('NCO-2015 scores'!$C$2:$C$131,MATCH(E462,'NCO-2015 scores'!$A$2:$A$131,0)),0)</f>
        <v>0.255</v>
      </c>
      <c r="J462" s="13" t="n">
        <f aca="false">IF(ISNUMBER(MATCH(E462,'NCO-2015 scores'!$A$2:$A$131,0)),IF(ISNUMBER(INDEX('NCO-2015 scores'!$C$2:$C$131,MATCH(E462,'NCO-2015 scores'!$A$2:$A$131,0))),1,0),0)</f>
        <v>1</v>
      </c>
    </row>
    <row r="463" customFormat="false" ht="15" hidden="false" customHeight="false" outlineLevel="0" collapsed="false">
      <c r="A463" s="2" t="n">
        <v>461</v>
      </c>
      <c r="B463" s="2" t="s">
        <v>1777</v>
      </c>
      <c r="C463" s="2" t="s">
        <v>1778</v>
      </c>
      <c r="D463" s="2" t="s">
        <v>1779</v>
      </c>
      <c r="E463" s="2" t="str">
        <f aca="false">LEFT(C463,3)</f>
        <v>813</v>
      </c>
      <c r="F463" s="2" t="str">
        <f aca="false">IF(D463="","",LEFT(D463,3))</f>
        <v>815</v>
      </c>
      <c r="G463" s="2" t="str">
        <f aca="false">IF(F463="","",IF(E463=F463,"Yes","No"))</f>
        <v>No</v>
      </c>
      <c r="H463" s="2" t="n">
        <f aca="false">IF(D463="",0,1/COUNTIF($D$2:$D$3451,D463))</f>
        <v>1</v>
      </c>
      <c r="I463" s="13" t="n">
        <f aca="false">IFERROR(INDEX('NCO-2015 scores'!$C$2:$C$131,MATCH(E463,'NCO-2015 scores'!$A$2:$A$131,0)),0)</f>
        <v>0.255</v>
      </c>
      <c r="J463" s="13" t="n">
        <f aca="false">IF(ISNUMBER(MATCH(E463,'NCO-2015 scores'!$A$2:$A$131,0)),IF(ISNUMBER(INDEX('NCO-2015 scores'!$C$2:$C$131,MATCH(E463,'NCO-2015 scores'!$A$2:$A$131,0))),1,0),0)</f>
        <v>1</v>
      </c>
    </row>
    <row r="464" customFormat="false" ht="15" hidden="false" customHeight="false" outlineLevel="0" collapsed="false">
      <c r="A464" s="2" t="n">
        <v>462</v>
      </c>
      <c r="B464" s="2" t="s">
        <v>1780</v>
      </c>
      <c r="C464" s="2" t="s">
        <v>1781</v>
      </c>
      <c r="D464" s="2" t="s">
        <v>1782</v>
      </c>
      <c r="E464" s="2" t="str">
        <f aca="false">LEFT(C464,3)</f>
        <v>813</v>
      </c>
      <c r="F464" s="2" t="str">
        <f aca="false">IF(D464="","",LEFT(D464,3))</f>
        <v>822</v>
      </c>
      <c r="G464" s="2" t="str">
        <f aca="false">IF(F464="","",IF(E464=F464,"Yes","No"))</f>
        <v>No</v>
      </c>
      <c r="H464" s="2" t="n">
        <f aca="false">IF(D464="",0,1/COUNTIF($D$2:$D$3451,D464))</f>
        <v>1</v>
      </c>
      <c r="I464" s="13" t="n">
        <f aca="false">IFERROR(INDEX('NCO-2015 scores'!$C$2:$C$131,MATCH(E464,'NCO-2015 scores'!$A$2:$A$131,0)),0)</f>
        <v>0.255</v>
      </c>
      <c r="J464" s="13" t="n">
        <f aca="false">IF(ISNUMBER(MATCH(E464,'NCO-2015 scores'!$A$2:$A$131,0)),IF(ISNUMBER(INDEX('NCO-2015 scores'!$C$2:$C$131,MATCH(E464,'NCO-2015 scores'!$A$2:$A$131,0))),1,0),0)</f>
        <v>1</v>
      </c>
    </row>
    <row r="465" customFormat="false" ht="15" hidden="false" customHeight="false" outlineLevel="0" collapsed="false">
      <c r="A465" s="2" t="n">
        <v>463</v>
      </c>
      <c r="B465" s="2" t="s">
        <v>1783</v>
      </c>
      <c r="C465" s="2" t="s">
        <v>1784</v>
      </c>
      <c r="D465" s="2" t="s">
        <v>1785</v>
      </c>
      <c r="E465" s="2" t="str">
        <f aca="false">LEFT(C465,3)</f>
        <v>813</v>
      </c>
      <c r="F465" s="2" t="str">
        <f aca="false">IF(D465="","",LEFT(D465,3))</f>
        <v>815</v>
      </c>
      <c r="G465" s="2" t="str">
        <f aca="false">IF(F465="","",IF(E465=F465,"Yes","No"))</f>
        <v>No</v>
      </c>
      <c r="H465" s="2" t="n">
        <f aca="false">IF(D465="",0,1/COUNTIF($D$2:$D$3451,D465))</f>
        <v>1</v>
      </c>
      <c r="I465" s="13" t="n">
        <f aca="false">IFERROR(INDEX('NCO-2015 scores'!$C$2:$C$131,MATCH(E465,'NCO-2015 scores'!$A$2:$A$131,0)),0)</f>
        <v>0.255</v>
      </c>
      <c r="J465" s="13" t="n">
        <f aca="false">IF(ISNUMBER(MATCH(E465,'NCO-2015 scores'!$A$2:$A$131,0)),IF(ISNUMBER(INDEX('NCO-2015 scores'!$C$2:$C$131,MATCH(E465,'NCO-2015 scores'!$A$2:$A$131,0))),1,0),0)</f>
        <v>1</v>
      </c>
    </row>
    <row r="466" customFormat="false" ht="15" hidden="false" customHeight="false" outlineLevel="0" collapsed="false">
      <c r="A466" s="2" t="n">
        <v>464</v>
      </c>
      <c r="B466" s="2" t="s">
        <v>1786</v>
      </c>
      <c r="C466" s="2" t="s">
        <v>1787</v>
      </c>
      <c r="D466" s="2" t="s">
        <v>1788</v>
      </c>
      <c r="E466" s="2" t="str">
        <f aca="false">LEFT(C466,3)</f>
        <v>813</v>
      </c>
      <c r="F466" s="2" t="str">
        <f aca="false">IF(D466="","",LEFT(D466,3))</f>
        <v>822</v>
      </c>
      <c r="G466" s="2" t="str">
        <f aca="false">IF(F466="","",IF(E466=F466,"Yes","No"))</f>
        <v>No</v>
      </c>
      <c r="H466" s="2" t="n">
        <f aca="false">IF(D466="",0,1/COUNTIF($D$2:$D$3451,D466))</f>
        <v>1</v>
      </c>
      <c r="I466" s="13" t="n">
        <f aca="false">IFERROR(INDEX('NCO-2015 scores'!$C$2:$C$131,MATCH(E466,'NCO-2015 scores'!$A$2:$A$131,0)),0)</f>
        <v>0.255</v>
      </c>
      <c r="J466" s="13" t="n">
        <f aca="false">IF(ISNUMBER(MATCH(E466,'NCO-2015 scores'!$A$2:$A$131,0)),IF(ISNUMBER(INDEX('NCO-2015 scores'!$C$2:$C$131,MATCH(E466,'NCO-2015 scores'!$A$2:$A$131,0))),1,0),0)</f>
        <v>1</v>
      </c>
    </row>
    <row r="467" customFormat="false" ht="15" hidden="false" customHeight="false" outlineLevel="0" collapsed="false">
      <c r="A467" s="2" t="n">
        <v>465</v>
      </c>
      <c r="B467" s="2" t="s">
        <v>1789</v>
      </c>
      <c r="C467" s="2" t="s">
        <v>1790</v>
      </c>
      <c r="D467" s="2" t="s">
        <v>1791</v>
      </c>
      <c r="E467" s="2" t="str">
        <f aca="false">LEFT(C467,3)</f>
        <v>813</v>
      </c>
      <c r="F467" s="2" t="str">
        <f aca="false">IF(D467="","",LEFT(D467,3))</f>
        <v>815</v>
      </c>
      <c r="G467" s="2" t="str">
        <f aca="false">IF(F467="","",IF(E467=F467,"Yes","No"))</f>
        <v>No</v>
      </c>
      <c r="H467" s="2" t="n">
        <f aca="false">IF(D467="",0,1/COUNTIF($D$2:$D$3451,D467))</f>
        <v>1</v>
      </c>
      <c r="I467" s="13" t="n">
        <f aca="false">IFERROR(INDEX('NCO-2015 scores'!$C$2:$C$131,MATCH(E467,'NCO-2015 scores'!$A$2:$A$131,0)),0)</f>
        <v>0.255</v>
      </c>
      <c r="J467" s="13" t="n">
        <f aca="false">IF(ISNUMBER(MATCH(E467,'NCO-2015 scores'!$A$2:$A$131,0)),IF(ISNUMBER(INDEX('NCO-2015 scores'!$C$2:$C$131,MATCH(E467,'NCO-2015 scores'!$A$2:$A$131,0))),1,0),0)</f>
        <v>1</v>
      </c>
    </row>
    <row r="468" customFormat="false" ht="15" hidden="false" customHeight="false" outlineLevel="0" collapsed="false">
      <c r="A468" s="2" t="n">
        <v>466</v>
      </c>
      <c r="B468" s="2" t="s">
        <v>1792</v>
      </c>
      <c r="C468" s="2" t="s">
        <v>1793</v>
      </c>
      <c r="D468" s="2" t="s">
        <v>1794</v>
      </c>
      <c r="E468" s="2" t="str">
        <f aca="false">LEFT(C468,3)</f>
        <v>813</v>
      </c>
      <c r="F468" s="2" t="str">
        <f aca="false">IF(D468="","",LEFT(D468,3))</f>
        <v>822</v>
      </c>
      <c r="G468" s="2" t="str">
        <f aca="false">IF(F468="","",IF(E468=F468,"Yes","No"))</f>
        <v>No</v>
      </c>
      <c r="H468" s="2" t="n">
        <f aca="false">IF(D468="",0,1/COUNTIF($D$2:$D$3451,D468))</f>
        <v>1</v>
      </c>
      <c r="I468" s="13" t="n">
        <f aca="false">IFERROR(INDEX('NCO-2015 scores'!$C$2:$C$131,MATCH(E468,'NCO-2015 scores'!$A$2:$A$131,0)),0)</f>
        <v>0.255</v>
      </c>
      <c r="J468" s="13" t="n">
        <f aca="false">IF(ISNUMBER(MATCH(E468,'NCO-2015 scores'!$A$2:$A$131,0)),IF(ISNUMBER(INDEX('NCO-2015 scores'!$C$2:$C$131,MATCH(E468,'NCO-2015 scores'!$A$2:$A$131,0))),1,0),0)</f>
        <v>1</v>
      </c>
    </row>
    <row r="469" customFormat="false" ht="15" hidden="false" customHeight="false" outlineLevel="0" collapsed="false">
      <c r="A469" s="2" t="n">
        <v>467</v>
      </c>
      <c r="B469" s="2" t="s">
        <v>1795</v>
      </c>
      <c r="C469" s="2" t="s">
        <v>1796</v>
      </c>
      <c r="D469" s="2" t="s">
        <v>1797</v>
      </c>
      <c r="E469" s="2" t="str">
        <f aca="false">LEFT(C469,3)</f>
        <v>813</v>
      </c>
      <c r="F469" s="2" t="str">
        <f aca="false">IF(D469="","",LEFT(D469,3))</f>
        <v>815</v>
      </c>
      <c r="G469" s="2" t="str">
        <f aca="false">IF(F469="","",IF(E469=F469,"Yes","No"))</f>
        <v>No</v>
      </c>
      <c r="H469" s="2" t="n">
        <f aca="false">IF(D469="",0,1/COUNTIF($D$2:$D$3451,D469))</f>
        <v>1</v>
      </c>
      <c r="I469" s="13" t="n">
        <f aca="false">IFERROR(INDEX('NCO-2015 scores'!$C$2:$C$131,MATCH(E469,'NCO-2015 scores'!$A$2:$A$131,0)),0)</f>
        <v>0.255</v>
      </c>
      <c r="J469" s="13" t="n">
        <f aca="false">IF(ISNUMBER(MATCH(E469,'NCO-2015 scores'!$A$2:$A$131,0)),IF(ISNUMBER(INDEX('NCO-2015 scores'!$C$2:$C$131,MATCH(E469,'NCO-2015 scores'!$A$2:$A$131,0))),1,0),0)</f>
        <v>1</v>
      </c>
    </row>
    <row r="470" customFormat="false" ht="15" hidden="false" customHeight="false" outlineLevel="0" collapsed="false">
      <c r="A470" s="2" t="n">
        <v>468</v>
      </c>
      <c r="B470" s="2" t="s">
        <v>1798</v>
      </c>
      <c r="C470" s="2" t="s">
        <v>1799</v>
      </c>
      <c r="D470" s="2" t="s">
        <v>1800</v>
      </c>
      <c r="E470" s="2" t="str">
        <f aca="false">LEFT(C470,3)</f>
        <v>813</v>
      </c>
      <c r="F470" s="2" t="str">
        <f aca="false">IF(D470="","",LEFT(D470,3))</f>
        <v>822</v>
      </c>
      <c r="G470" s="2" t="str">
        <f aca="false">IF(F470="","",IF(E470=F470,"Yes","No"))</f>
        <v>No</v>
      </c>
      <c r="H470" s="2" t="n">
        <f aca="false">IF(D470="",0,1/COUNTIF($D$2:$D$3451,D470))</f>
        <v>1</v>
      </c>
      <c r="I470" s="13" t="n">
        <f aca="false">IFERROR(INDEX('NCO-2015 scores'!$C$2:$C$131,MATCH(E470,'NCO-2015 scores'!$A$2:$A$131,0)),0)</f>
        <v>0.255</v>
      </c>
      <c r="J470" s="13" t="n">
        <f aca="false">IF(ISNUMBER(MATCH(E470,'NCO-2015 scores'!$A$2:$A$131,0)),IF(ISNUMBER(INDEX('NCO-2015 scores'!$C$2:$C$131,MATCH(E470,'NCO-2015 scores'!$A$2:$A$131,0))),1,0),0)</f>
        <v>1</v>
      </c>
    </row>
    <row r="471" customFormat="false" ht="15" hidden="false" customHeight="false" outlineLevel="0" collapsed="false">
      <c r="A471" s="2" t="n">
        <v>469</v>
      </c>
      <c r="B471" s="2" t="s">
        <v>1801</v>
      </c>
      <c r="C471" s="2" t="s">
        <v>1802</v>
      </c>
      <c r="D471" s="2" t="s">
        <v>1803</v>
      </c>
      <c r="E471" s="2" t="str">
        <f aca="false">LEFT(C471,3)</f>
        <v>813</v>
      </c>
      <c r="F471" s="2" t="str">
        <f aca="false">IF(D471="","",LEFT(D471,3))</f>
        <v>822</v>
      </c>
      <c r="G471" s="2" t="str">
        <f aca="false">IF(F471="","",IF(E471=F471,"Yes","No"))</f>
        <v>No</v>
      </c>
      <c r="H471" s="2" t="n">
        <f aca="false">IF(D471="",0,1/COUNTIF($D$2:$D$3451,D471))</f>
        <v>1</v>
      </c>
      <c r="I471" s="13" t="n">
        <f aca="false">IFERROR(INDEX('NCO-2015 scores'!$C$2:$C$131,MATCH(E471,'NCO-2015 scores'!$A$2:$A$131,0)),0)</f>
        <v>0.255</v>
      </c>
      <c r="J471" s="13" t="n">
        <f aca="false">IF(ISNUMBER(MATCH(E471,'NCO-2015 scores'!$A$2:$A$131,0)),IF(ISNUMBER(INDEX('NCO-2015 scores'!$C$2:$C$131,MATCH(E471,'NCO-2015 scores'!$A$2:$A$131,0))),1,0),0)</f>
        <v>1</v>
      </c>
    </row>
    <row r="472" customFormat="false" ht="15" hidden="false" customHeight="false" outlineLevel="0" collapsed="false">
      <c r="A472" s="2" t="n">
        <v>470</v>
      </c>
      <c r="B472" s="2" t="s">
        <v>1804</v>
      </c>
      <c r="C472" s="2" t="s">
        <v>1805</v>
      </c>
      <c r="D472" s="2" t="s">
        <v>1806</v>
      </c>
      <c r="E472" s="2" t="str">
        <f aca="false">LEFT(C472,3)</f>
        <v>813</v>
      </c>
      <c r="F472" s="2" t="str">
        <f aca="false">IF(D472="","",LEFT(D472,3))</f>
        <v>815</v>
      </c>
      <c r="G472" s="2" t="str">
        <f aca="false">IF(F472="","",IF(E472=F472,"Yes","No"))</f>
        <v>No</v>
      </c>
      <c r="H472" s="2" t="n">
        <f aca="false">IF(D472="",0,1/COUNTIF($D$2:$D$3451,D472))</f>
        <v>1</v>
      </c>
      <c r="I472" s="13" t="n">
        <f aca="false">IFERROR(INDEX('NCO-2015 scores'!$C$2:$C$131,MATCH(E472,'NCO-2015 scores'!$A$2:$A$131,0)),0)</f>
        <v>0.255</v>
      </c>
      <c r="J472" s="13" t="n">
        <f aca="false">IF(ISNUMBER(MATCH(E472,'NCO-2015 scores'!$A$2:$A$131,0)),IF(ISNUMBER(INDEX('NCO-2015 scores'!$C$2:$C$131,MATCH(E472,'NCO-2015 scores'!$A$2:$A$131,0))),1,0),0)</f>
        <v>1</v>
      </c>
    </row>
    <row r="473" customFormat="false" ht="15" hidden="false" customHeight="false" outlineLevel="0" collapsed="false">
      <c r="A473" s="2" t="n">
        <v>471</v>
      </c>
      <c r="B473" s="2" t="s">
        <v>1807</v>
      </c>
      <c r="C473" s="2" t="s">
        <v>1808</v>
      </c>
      <c r="D473" s="2" t="s">
        <v>1809</v>
      </c>
      <c r="E473" s="2" t="str">
        <f aca="false">LEFT(C473,3)</f>
        <v>813</v>
      </c>
      <c r="F473" s="2" t="str">
        <f aca="false">IF(D473="","",LEFT(D473,3))</f>
        <v>815</v>
      </c>
      <c r="G473" s="2" t="str">
        <f aca="false">IF(F473="","",IF(E473=F473,"Yes","No"))</f>
        <v>No</v>
      </c>
      <c r="H473" s="2" t="n">
        <f aca="false">IF(D473="",0,1/COUNTIF($D$2:$D$3451,D473))</f>
        <v>1</v>
      </c>
      <c r="I473" s="13" t="n">
        <f aca="false">IFERROR(INDEX('NCO-2015 scores'!$C$2:$C$131,MATCH(E473,'NCO-2015 scores'!$A$2:$A$131,0)),0)</f>
        <v>0.255</v>
      </c>
      <c r="J473" s="13" t="n">
        <f aca="false">IF(ISNUMBER(MATCH(E473,'NCO-2015 scores'!$A$2:$A$131,0)),IF(ISNUMBER(INDEX('NCO-2015 scores'!$C$2:$C$131,MATCH(E473,'NCO-2015 scores'!$A$2:$A$131,0))),1,0),0)</f>
        <v>1</v>
      </c>
    </row>
    <row r="474" customFormat="false" ht="15" hidden="false" customHeight="false" outlineLevel="0" collapsed="false">
      <c r="A474" s="2" t="n">
        <v>472</v>
      </c>
      <c r="B474" s="2" t="s">
        <v>1810</v>
      </c>
      <c r="C474" s="2" t="s">
        <v>1811</v>
      </c>
      <c r="D474" s="2" t="s">
        <v>1812</v>
      </c>
      <c r="E474" s="2" t="str">
        <f aca="false">LEFT(C474,3)</f>
        <v>813</v>
      </c>
      <c r="F474" s="2" t="str">
        <f aca="false">IF(D474="","",LEFT(D474,3))</f>
        <v>815</v>
      </c>
      <c r="G474" s="2" t="str">
        <f aca="false">IF(F474="","",IF(E474=F474,"Yes","No"))</f>
        <v>No</v>
      </c>
      <c r="H474" s="2" t="n">
        <f aca="false">IF(D474="",0,1/COUNTIF($D$2:$D$3451,D474))</f>
        <v>1</v>
      </c>
      <c r="I474" s="13" t="n">
        <f aca="false">IFERROR(INDEX('NCO-2015 scores'!$C$2:$C$131,MATCH(E474,'NCO-2015 scores'!$A$2:$A$131,0)),0)</f>
        <v>0.255</v>
      </c>
      <c r="J474" s="13" t="n">
        <f aca="false">IF(ISNUMBER(MATCH(E474,'NCO-2015 scores'!$A$2:$A$131,0)),IF(ISNUMBER(INDEX('NCO-2015 scores'!$C$2:$C$131,MATCH(E474,'NCO-2015 scores'!$A$2:$A$131,0))),1,0),0)</f>
        <v>1</v>
      </c>
    </row>
    <row r="475" customFormat="false" ht="15" hidden="false" customHeight="false" outlineLevel="0" collapsed="false">
      <c r="A475" s="2" t="n">
        <v>473</v>
      </c>
      <c r="B475" s="2" t="s">
        <v>1813</v>
      </c>
      <c r="C475" s="2" t="s">
        <v>1814</v>
      </c>
      <c r="D475" s="2" t="s">
        <v>1815</v>
      </c>
      <c r="E475" s="2" t="str">
        <f aca="false">LEFT(C475,3)</f>
        <v>813</v>
      </c>
      <c r="F475" s="2" t="str">
        <f aca="false">IF(D475="","",LEFT(D475,3))</f>
        <v>815</v>
      </c>
      <c r="G475" s="2" t="str">
        <f aca="false">IF(F475="","",IF(E475=F475,"Yes","No"))</f>
        <v>No</v>
      </c>
      <c r="H475" s="2" t="n">
        <f aca="false">IF(D475="",0,1/COUNTIF($D$2:$D$3451,D475))</f>
        <v>1</v>
      </c>
      <c r="I475" s="13" t="n">
        <f aca="false">IFERROR(INDEX('NCO-2015 scores'!$C$2:$C$131,MATCH(E475,'NCO-2015 scores'!$A$2:$A$131,0)),0)</f>
        <v>0.255</v>
      </c>
      <c r="J475" s="13" t="n">
        <f aca="false">IF(ISNUMBER(MATCH(E475,'NCO-2015 scores'!$A$2:$A$131,0)),IF(ISNUMBER(INDEX('NCO-2015 scores'!$C$2:$C$131,MATCH(E475,'NCO-2015 scores'!$A$2:$A$131,0))),1,0),0)</f>
        <v>1</v>
      </c>
    </row>
    <row r="476" customFormat="false" ht="15" hidden="false" customHeight="false" outlineLevel="0" collapsed="false">
      <c r="A476" s="2" t="n">
        <v>474</v>
      </c>
      <c r="B476" s="2" t="s">
        <v>1816</v>
      </c>
      <c r="C476" s="2" t="s">
        <v>1817</v>
      </c>
      <c r="D476" s="2" t="s">
        <v>1818</v>
      </c>
      <c r="E476" s="2" t="str">
        <f aca="false">LEFT(C476,3)</f>
        <v>813</v>
      </c>
      <c r="F476" s="2" t="str">
        <f aca="false">IF(D476="","",LEFT(D476,3))</f>
        <v>815</v>
      </c>
      <c r="G476" s="2" t="str">
        <f aca="false">IF(F476="","",IF(E476=F476,"Yes","No"))</f>
        <v>No</v>
      </c>
      <c r="H476" s="2" t="n">
        <f aca="false">IF(D476="",0,1/COUNTIF($D$2:$D$3451,D476))</f>
        <v>1</v>
      </c>
      <c r="I476" s="13" t="n">
        <f aca="false">IFERROR(INDEX('NCO-2015 scores'!$C$2:$C$131,MATCH(E476,'NCO-2015 scores'!$A$2:$A$131,0)),0)</f>
        <v>0.255</v>
      </c>
      <c r="J476" s="13" t="n">
        <f aca="false">IF(ISNUMBER(MATCH(E476,'NCO-2015 scores'!$A$2:$A$131,0)),IF(ISNUMBER(INDEX('NCO-2015 scores'!$C$2:$C$131,MATCH(E476,'NCO-2015 scores'!$A$2:$A$131,0))),1,0),0)</f>
        <v>1</v>
      </c>
    </row>
    <row r="477" customFormat="false" ht="15" hidden="false" customHeight="false" outlineLevel="0" collapsed="false">
      <c r="A477" s="2" t="n">
        <v>475</v>
      </c>
      <c r="B477" s="2" t="s">
        <v>1819</v>
      </c>
      <c r="C477" s="2" t="s">
        <v>1820</v>
      </c>
      <c r="D477" s="2" t="s">
        <v>1821</v>
      </c>
      <c r="E477" s="2" t="str">
        <f aca="false">LEFT(C477,3)</f>
        <v>813</v>
      </c>
      <c r="F477" s="2" t="str">
        <f aca="false">IF(D477="","",LEFT(D477,3))</f>
        <v>815</v>
      </c>
      <c r="G477" s="2" t="str">
        <f aca="false">IF(F477="","",IF(E477=F477,"Yes","No"))</f>
        <v>No</v>
      </c>
      <c r="H477" s="2" t="n">
        <f aca="false">IF(D477="",0,1/COUNTIF($D$2:$D$3451,D477))</f>
        <v>1</v>
      </c>
      <c r="I477" s="13" t="n">
        <f aca="false">IFERROR(INDEX('NCO-2015 scores'!$C$2:$C$131,MATCH(E477,'NCO-2015 scores'!$A$2:$A$131,0)),0)</f>
        <v>0.255</v>
      </c>
      <c r="J477" s="13" t="n">
        <f aca="false">IF(ISNUMBER(MATCH(E477,'NCO-2015 scores'!$A$2:$A$131,0)),IF(ISNUMBER(INDEX('NCO-2015 scores'!$C$2:$C$131,MATCH(E477,'NCO-2015 scores'!$A$2:$A$131,0))),1,0),0)</f>
        <v>1</v>
      </c>
    </row>
    <row r="478" customFormat="false" ht="15" hidden="false" customHeight="false" outlineLevel="0" collapsed="false">
      <c r="A478" s="2" t="n">
        <v>476</v>
      </c>
      <c r="B478" s="2" t="s">
        <v>1822</v>
      </c>
      <c r="C478" s="2" t="s">
        <v>1823</v>
      </c>
      <c r="D478" s="2" t="s">
        <v>1824</v>
      </c>
      <c r="E478" s="2" t="str">
        <f aca="false">LEFT(C478,3)</f>
        <v>813</v>
      </c>
      <c r="F478" s="2" t="str">
        <f aca="false">IF(D478="","",LEFT(D478,3))</f>
        <v>822</v>
      </c>
      <c r="G478" s="2" t="str">
        <f aca="false">IF(F478="","",IF(E478=F478,"Yes","No"))</f>
        <v>No</v>
      </c>
      <c r="H478" s="2" t="n">
        <f aca="false">IF(D478="",0,1/COUNTIF($D$2:$D$3451,D478))</f>
        <v>1</v>
      </c>
      <c r="I478" s="13" t="n">
        <f aca="false">IFERROR(INDEX('NCO-2015 scores'!$C$2:$C$131,MATCH(E478,'NCO-2015 scores'!$A$2:$A$131,0)),0)</f>
        <v>0.255</v>
      </c>
      <c r="J478" s="13" t="n">
        <f aca="false">IF(ISNUMBER(MATCH(E478,'NCO-2015 scores'!$A$2:$A$131,0)),IF(ISNUMBER(INDEX('NCO-2015 scores'!$C$2:$C$131,MATCH(E478,'NCO-2015 scores'!$A$2:$A$131,0))),1,0),0)</f>
        <v>1</v>
      </c>
    </row>
    <row r="479" customFormat="false" ht="15" hidden="false" customHeight="false" outlineLevel="0" collapsed="false">
      <c r="A479" s="2" t="n">
        <v>477</v>
      </c>
      <c r="B479" s="2" t="s">
        <v>1825</v>
      </c>
      <c r="C479" s="2" t="s">
        <v>1826</v>
      </c>
      <c r="D479" s="2" t="s">
        <v>1827</v>
      </c>
      <c r="E479" s="2" t="str">
        <f aca="false">LEFT(C479,3)</f>
        <v>813</v>
      </c>
      <c r="F479" s="2" t="str">
        <f aca="false">IF(D479="","",LEFT(D479,3))</f>
        <v>815</v>
      </c>
      <c r="G479" s="2" t="str">
        <f aca="false">IF(F479="","",IF(E479=F479,"Yes","No"))</f>
        <v>No</v>
      </c>
      <c r="H479" s="2" t="n">
        <f aca="false">IF(D479="",0,1/COUNTIF($D$2:$D$3451,D479))</f>
        <v>1</v>
      </c>
      <c r="I479" s="13" t="n">
        <f aca="false">IFERROR(INDEX('NCO-2015 scores'!$C$2:$C$131,MATCH(E479,'NCO-2015 scores'!$A$2:$A$131,0)),0)</f>
        <v>0.255</v>
      </c>
      <c r="J479" s="13" t="n">
        <f aca="false">IF(ISNUMBER(MATCH(E479,'NCO-2015 scores'!$A$2:$A$131,0)),IF(ISNUMBER(INDEX('NCO-2015 scores'!$C$2:$C$131,MATCH(E479,'NCO-2015 scores'!$A$2:$A$131,0))),1,0),0)</f>
        <v>1</v>
      </c>
    </row>
    <row r="480" customFormat="false" ht="15" hidden="false" customHeight="false" outlineLevel="0" collapsed="false">
      <c r="A480" s="2" t="n">
        <v>478</v>
      </c>
      <c r="B480" s="2" t="s">
        <v>1828</v>
      </c>
      <c r="C480" s="2" t="s">
        <v>1829</v>
      </c>
      <c r="D480" s="2" t="s">
        <v>1830</v>
      </c>
      <c r="E480" s="2" t="str">
        <f aca="false">LEFT(C480,3)</f>
        <v>813</v>
      </c>
      <c r="F480" s="2" t="str">
        <f aca="false">IF(D480="","",LEFT(D480,3))</f>
        <v>815</v>
      </c>
      <c r="G480" s="2" t="str">
        <f aca="false">IF(F480="","",IF(E480=F480,"Yes","No"))</f>
        <v>No</v>
      </c>
      <c r="H480" s="2" t="n">
        <f aca="false">IF(D480="",0,1/COUNTIF($D$2:$D$3451,D480))</f>
        <v>1</v>
      </c>
      <c r="I480" s="13" t="n">
        <f aca="false">IFERROR(INDEX('NCO-2015 scores'!$C$2:$C$131,MATCH(E480,'NCO-2015 scores'!$A$2:$A$131,0)),0)</f>
        <v>0.255</v>
      </c>
      <c r="J480" s="13" t="n">
        <f aca="false">IF(ISNUMBER(MATCH(E480,'NCO-2015 scores'!$A$2:$A$131,0)),IF(ISNUMBER(INDEX('NCO-2015 scores'!$C$2:$C$131,MATCH(E480,'NCO-2015 scores'!$A$2:$A$131,0))),1,0),0)</f>
        <v>1</v>
      </c>
    </row>
    <row r="481" customFormat="false" ht="15" hidden="false" customHeight="false" outlineLevel="0" collapsed="false">
      <c r="A481" s="2" t="n">
        <v>479</v>
      </c>
      <c r="B481" s="2" t="s">
        <v>1831</v>
      </c>
      <c r="C481" s="2" t="s">
        <v>1832</v>
      </c>
      <c r="D481" s="2" t="s">
        <v>1833</v>
      </c>
      <c r="E481" s="2" t="str">
        <f aca="false">LEFT(C481,3)</f>
        <v>813</v>
      </c>
      <c r="F481" s="2" t="str">
        <f aca="false">IF(D481="","",LEFT(D481,3))</f>
        <v>815</v>
      </c>
      <c r="G481" s="2" t="str">
        <f aca="false">IF(F481="","",IF(E481=F481,"Yes","No"))</f>
        <v>No</v>
      </c>
      <c r="H481" s="2" t="n">
        <f aca="false">IF(D481="",0,1/COUNTIF($D$2:$D$3451,D481))</f>
        <v>1</v>
      </c>
      <c r="I481" s="13" t="n">
        <f aca="false">IFERROR(INDEX('NCO-2015 scores'!$C$2:$C$131,MATCH(E481,'NCO-2015 scores'!$A$2:$A$131,0)),0)</f>
        <v>0.255</v>
      </c>
      <c r="J481" s="13" t="n">
        <f aca="false">IF(ISNUMBER(MATCH(E481,'NCO-2015 scores'!$A$2:$A$131,0)),IF(ISNUMBER(INDEX('NCO-2015 scores'!$C$2:$C$131,MATCH(E481,'NCO-2015 scores'!$A$2:$A$131,0))),1,0),0)</f>
        <v>1</v>
      </c>
    </row>
    <row r="482" customFormat="false" ht="15" hidden="false" customHeight="false" outlineLevel="0" collapsed="false">
      <c r="A482" s="2" t="n">
        <v>480</v>
      </c>
      <c r="B482" s="2" t="s">
        <v>1834</v>
      </c>
      <c r="C482" s="2" t="s">
        <v>1835</v>
      </c>
      <c r="D482" s="2" t="s">
        <v>1836</v>
      </c>
      <c r="E482" s="2" t="str">
        <f aca="false">LEFT(C482,3)</f>
        <v>813</v>
      </c>
      <c r="F482" s="2" t="str">
        <f aca="false">IF(D482="","",LEFT(D482,3))</f>
        <v>815</v>
      </c>
      <c r="G482" s="2" t="str">
        <f aca="false">IF(F482="","",IF(E482=F482,"Yes","No"))</f>
        <v>No</v>
      </c>
      <c r="H482" s="2" t="n">
        <f aca="false">IF(D482="",0,1/COUNTIF($D$2:$D$3451,D482))</f>
        <v>1</v>
      </c>
      <c r="I482" s="13" t="n">
        <f aca="false">IFERROR(INDEX('NCO-2015 scores'!$C$2:$C$131,MATCH(E482,'NCO-2015 scores'!$A$2:$A$131,0)),0)</f>
        <v>0.255</v>
      </c>
      <c r="J482" s="13" t="n">
        <f aca="false">IF(ISNUMBER(MATCH(E482,'NCO-2015 scores'!$A$2:$A$131,0)),IF(ISNUMBER(INDEX('NCO-2015 scores'!$C$2:$C$131,MATCH(E482,'NCO-2015 scores'!$A$2:$A$131,0))),1,0),0)</f>
        <v>1</v>
      </c>
    </row>
    <row r="483" customFormat="false" ht="15" hidden="false" customHeight="false" outlineLevel="0" collapsed="false">
      <c r="A483" s="2" t="n">
        <v>481</v>
      </c>
      <c r="B483" s="2" t="s">
        <v>1837</v>
      </c>
      <c r="C483" s="2" t="s">
        <v>1838</v>
      </c>
      <c r="D483" s="2" t="s">
        <v>1839</v>
      </c>
      <c r="E483" s="2" t="str">
        <f aca="false">LEFT(C483,3)</f>
        <v>813</v>
      </c>
      <c r="F483" s="2" t="str">
        <f aca="false">IF(D483="","",LEFT(D483,3))</f>
        <v>815</v>
      </c>
      <c r="G483" s="2" t="str">
        <f aca="false">IF(F483="","",IF(E483=F483,"Yes","No"))</f>
        <v>No</v>
      </c>
      <c r="H483" s="2" t="n">
        <f aca="false">IF(D483="",0,1/COUNTIF($D$2:$D$3451,D483))</f>
        <v>1</v>
      </c>
      <c r="I483" s="13" t="n">
        <f aca="false">IFERROR(INDEX('NCO-2015 scores'!$C$2:$C$131,MATCH(E483,'NCO-2015 scores'!$A$2:$A$131,0)),0)</f>
        <v>0.255</v>
      </c>
      <c r="J483" s="13" t="n">
        <f aca="false">IF(ISNUMBER(MATCH(E483,'NCO-2015 scores'!$A$2:$A$131,0)),IF(ISNUMBER(INDEX('NCO-2015 scores'!$C$2:$C$131,MATCH(E483,'NCO-2015 scores'!$A$2:$A$131,0))),1,0),0)</f>
        <v>1</v>
      </c>
    </row>
    <row r="484" customFormat="false" ht="15" hidden="false" customHeight="false" outlineLevel="0" collapsed="false">
      <c r="A484" s="2" t="n">
        <v>482</v>
      </c>
      <c r="B484" s="2" t="s">
        <v>1840</v>
      </c>
      <c r="C484" s="2" t="s">
        <v>1841</v>
      </c>
      <c r="D484" s="2" t="s">
        <v>1842</v>
      </c>
      <c r="E484" s="2" t="str">
        <f aca="false">LEFT(C484,3)</f>
        <v>813</v>
      </c>
      <c r="F484" s="2" t="str">
        <f aca="false">IF(D484="","",LEFT(D484,3))</f>
        <v>815</v>
      </c>
      <c r="G484" s="2" t="str">
        <f aca="false">IF(F484="","",IF(E484=F484,"Yes","No"))</f>
        <v>No</v>
      </c>
      <c r="H484" s="2" t="n">
        <f aca="false">IF(D484="",0,1/COUNTIF($D$2:$D$3451,D484))</f>
        <v>1</v>
      </c>
      <c r="I484" s="13" t="n">
        <f aca="false">IFERROR(INDEX('NCO-2015 scores'!$C$2:$C$131,MATCH(E484,'NCO-2015 scores'!$A$2:$A$131,0)),0)</f>
        <v>0.255</v>
      </c>
      <c r="J484" s="13" t="n">
        <f aca="false">IF(ISNUMBER(MATCH(E484,'NCO-2015 scores'!$A$2:$A$131,0)),IF(ISNUMBER(INDEX('NCO-2015 scores'!$C$2:$C$131,MATCH(E484,'NCO-2015 scores'!$A$2:$A$131,0))),1,0),0)</f>
        <v>1</v>
      </c>
    </row>
    <row r="485" customFormat="false" ht="15" hidden="false" customHeight="false" outlineLevel="0" collapsed="false">
      <c r="A485" s="2" t="n">
        <v>483</v>
      </c>
      <c r="B485" s="2" t="s">
        <v>1843</v>
      </c>
      <c r="C485" s="2" t="s">
        <v>1844</v>
      </c>
      <c r="D485" s="2" t="s">
        <v>1845</v>
      </c>
      <c r="E485" s="2" t="str">
        <f aca="false">LEFT(C485,3)</f>
        <v>813</v>
      </c>
      <c r="F485" s="2" t="str">
        <f aca="false">IF(D485="","",LEFT(D485,3))</f>
        <v>815</v>
      </c>
      <c r="G485" s="2" t="str">
        <f aca="false">IF(F485="","",IF(E485=F485,"Yes","No"))</f>
        <v>No</v>
      </c>
      <c r="H485" s="2" t="n">
        <f aca="false">IF(D485="",0,1/COUNTIF($D$2:$D$3451,D485))</f>
        <v>1</v>
      </c>
      <c r="I485" s="13" t="n">
        <f aca="false">IFERROR(INDEX('NCO-2015 scores'!$C$2:$C$131,MATCH(E485,'NCO-2015 scores'!$A$2:$A$131,0)),0)</f>
        <v>0.255</v>
      </c>
      <c r="J485" s="13" t="n">
        <f aca="false">IF(ISNUMBER(MATCH(E485,'NCO-2015 scores'!$A$2:$A$131,0)),IF(ISNUMBER(INDEX('NCO-2015 scores'!$C$2:$C$131,MATCH(E485,'NCO-2015 scores'!$A$2:$A$131,0))),1,0),0)</f>
        <v>1</v>
      </c>
    </row>
    <row r="486" customFormat="false" ht="15" hidden="false" customHeight="false" outlineLevel="0" collapsed="false">
      <c r="A486" s="2" t="n">
        <v>484</v>
      </c>
      <c r="B486" s="2" t="s">
        <v>1846</v>
      </c>
      <c r="C486" s="2" t="s">
        <v>1847</v>
      </c>
      <c r="D486" s="2" t="s">
        <v>1848</v>
      </c>
      <c r="E486" s="2" t="str">
        <f aca="false">LEFT(C486,3)</f>
        <v>813</v>
      </c>
      <c r="F486" s="2" t="str">
        <f aca="false">IF(D486="","",LEFT(D486,3))</f>
        <v>815</v>
      </c>
      <c r="G486" s="2" t="str">
        <f aca="false">IF(F486="","",IF(E486=F486,"Yes","No"))</f>
        <v>No</v>
      </c>
      <c r="H486" s="2" t="n">
        <f aca="false">IF(D486="",0,1/COUNTIF($D$2:$D$3451,D486))</f>
        <v>1</v>
      </c>
      <c r="I486" s="13" t="n">
        <f aca="false">IFERROR(INDEX('NCO-2015 scores'!$C$2:$C$131,MATCH(E486,'NCO-2015 scores'!$A$2:$A$131,0)),0)</f>
        <v>0.255</v>
      </c>
      <c r="J486" s="13" t="n">
        <f aca="false">IF(ISNUMBER(MATCH(E486,'NCO-2015 scores'!$A$2:$A$131,0)),IF(ISNUMBER(INDEX('NCO-2015 scores'!$C$2:$C$131,MATCH(E486,'NCO-2015 scores'!$A$2:$A$131,0))),1,0),0)</f>
        <v>1</v>
      </c>
    </row>
    <row r="487" customFormat="false" ht="15" hidden="false" customHeight="false" outlineLevel="0" collapsed="false">
      <c r="A487" s="2" t="n">
        <v>485</v>
      </c>
      <c r="B487" s="2" t="s">
        <v>1849</v>
      </c>
      <c r="C487" s="2" t="s">
        <v>1850</v>
      </c>
      <c r="D487" s="2" t="s">
        <v>1851</v>
      </c>
      <c r="E487" s="2" t="str">
        <f aca="false">LEFT(C487,3)</f>
        <v>813</v>
      </c>
      <c r="F487" s="2" t="str">
        <f aca="false">IF(D487="","",LEFT(D487,3))</f>
        <v>815</v>
      </c>
      <c r="G487" s="2" t="str">
        <f aca="false">IF(F487="","",IF(E487=F487,"Yes","No"))</f>
        <v>No</v>
      </c>
      <c r="H487" s="2" t="n">
        <f aca="false">IF(D487="",0,1/COUNTIF($D$2:$D$3451,D487))</f>
        <v>1</v>
      </c>
      <c r="I487" s="13" t="n">
        <f aca="false">IFERROR(INDEX('NCO-2015 scores'!$C$2:$C$131,MATCH(E487,'NCO-2015 scores'!$A$2:$A$131,0)),0)</f>
        <v>0.255</v>
      </c>
      <c r="J487" s="13" t="n">
        <f aca="false">IF(ISNUMBER(MATCH(E487,'NCO-2015 scores'!$A$2:$A$131,0)),IF(ISNUMBER(INDEX('NCO-2015 scores'!$C$2:$C$131,MATCH(E487,'NCO-2015 scores'!$A$2:$A$131,0))),1,0),0)</f>
        <v>1</v>
      </c>
    </row>
    <row r="488" customFormat="false" ht="15" hidden="false" customHeight="false" outlineLevel="0" collapsed="false">
      <c r="A488" s="2" t="n">
        <v>486</v>
      </c>
      <c r="B488" s="2" t="s">
        <v>1852</v>
      </c>
      <c r="C488" s="2" t="s">
        <v>1853</v>
      </c>
      <c r="D488" s="2" t="s">
        <v>1854</v>
      </c>
      <c r="E488" s="2" t="str">
        <f aca="false">LEFT(C488,3)</f>
        <v>813</v>
      </c>
      <c r="F488" s="2" t="str">
        <f aca="false">IF(D488="","",LEFT(D488,3))</f>
        <v>815</v>
      </c>
      <c r="G488" s="2" t="str">
        <f aca="false">IF(F488="","",IF(E488=F488,"Yes","No"))</f>
        <v>No</v>
      </c>
      <c r="H488" s="2" t="n">
        <f aca="false">IF(D488="",0,1/COUNTIF($D$2:$D$3451,D488))</f>
        <v>1</v>
      </c>
      <c r="I488" s="13" t="n">
        <f aca="false">IFERROR(INDEX('NCO-2015 scores'!$C$2:$C$131,MATCH(E488,'NCO-2015 scores'!$A$2:$A$131,0)),0)</f>
        <v>0.255</v>
      </c>
      <c r="J488" s="13" t="n">
        <f aca="false">IF(ISNUMBER(MATCH(E488,'NCO-2015 scores'!$A$2:$A$131,0)),IF(ISNUMBER(INDEX('NCO-2015 scores'!$C$2:$C$131,MATCH(E488,'NCO-2015 scores'!$A$2:$A$131,0))),1,0),0)</f>
        <v>1</v>
      </c>
    </row>
    <row r="489" customFormat="false" ht="15" hidden="false" customHeight="false" outlineLevel="0" collapsed="false">
      <c r="A489" s="2" t="n">
        <v>487</v>
      </c>
      <c r="B489" s="2" t="s">
        <v>1855</v>
      </c>
      <c r="C489" s="2" t="s">
        <v>1856</v>
      </c>
      <c r="D489" s="2" t="s">
        <v>1857</v>
      </c>
      <c r="E489" s="2" t="str">
        <f aca="false">LEFT(C489,3)</f>
        <v>813</v>
      </c>
      <c r="F489" s="2" t="str">
        <f aca="false">IF(D489="","",LEFT(D489,3))</f>
        <v>815</v>
      </c>
      <c r="G489" s="2" t="str">
        <f aca="false">IF(F489="","",IF(E489=F489,"Yes","No"))</f>
        <v>No</v>
      </c>
      <c r="H489" s="2" t="n">
        <f aca="false">IF(D489="",0,1/COUNTIF($D$2:$D$3451,D489))</f>
        <v>1</v>
      </c>
      <c r="I489" s="13" t="n">
        <f aca="false">IFERROR(INDEX('NCO-2015 scores'!$C$2:$C$131,MATCH(E489,'NCO-2015 scores'!$A$2:$A$131,0)),0)</f>
        <v>0.255</v>
      </c>
      <c r="J489" s="13" t="n">
        <f aca="false">IF(ISNUMBER(MATCH(E489,'NCO-2015 scores'!$A$2:$A$131,0)),IF(ISNUMBER(INDEX('NCO-2015 scores'!$C$2:$C$131,MATCH(E489,'NCO-2015 scores'!$A$2:$A$131,0))),1,0),0)</f>
        <v>1</v>
      </c>
    </row>
    <row r="490" customFormat="false" ht="15" hidden="false" customHeight="false" outlineLevel="0" collapsed="false">
      <c r="A490" s="2" t="n">
        <v>488</v>
      </c>
      <c r="B490" s="2" t="s">
        <v>1858</v>
      </c>
      <c r="C490" s="2" t="s">
        <v>1859</v>
      </c>
      <c r="D490" s="2" t="s">
        <v>1860</v>
      </c>
      <c r="E490" s="2" t="str">
        <f aca="false">LEFT(C490,3)</f>
        <v>813</v>
      </c>
      <c r="F490" s="2" t="str">
        <f aca="false">IF(D490="","",LEFT(D490,3))</f>
        <v>815</v>
      </c>
      <c r="G490" s="2" t="str">
        <f aca="false">IF(F490="","",IF(E490=F490,"Yes","No"))</f>
        <v>No</v>
      </c>
      <c r="H490" s="2" t="n">
        <f aca="false">IF(D490="",0,1/COUNTIF($D$2:$D$3451,D490))</f>
        <v>1</v>
      </c>
      <c r="I490" s="13" t="n">
        <f aca="false">IFERROR(INDEX('NCO-2015 scores'!$C$2:$C$131,MATCH(E490,'NCO-2015 scores'!$A$2:$A$131,0)),0)</f>
        <v>0.255</v>
      </c>
      <c r="J490" s="13" t="n">
        <f aca="false">IF(ISNUMBER(MATCH(E490,'NCO-2015 scores'!$A$2:$A$131,0)),IF(ISNUMBER(INDEX('NCO-2015 scores'!$C$2:$C$131,MATCH(E490,'NCO-2015 scores'!$A$2:$A$131,0))),1,0),0)</f>
        <v>1</v>
      </c>
    </row>
    <row r="491" customFormat="false" ht="15" hidden="false" customHeight="false" outlineLevel="0" collapsed="false">
      <c r="A491" s="2" t="n">
        <v>489</v>
      </c>
      <c r="B491" s="2" t="s">
        <v>1861</v>
      </c>
      <c r="C491" s="2" t="s">
        <v>1862</v>
      </c>
      <c r="D491" s="2" t="s">
        <v>1863</v>
      </c>
      <c r="E491" s="2" t="str">
        <f aca="false">LEFT(C491,3)</f>
        <v>813</v>
      </c>
      <c r="F491" s="2" t="str">
        <f aca="false">IF(D491="","",LEFT(D491,3))</f>
        <v>815</v>
      </c>
      <c r="G491" s="2" t="str">
        <f aca="false">IF(F491="","",IF(E491=F491,"Yes","No"))</f>
        <v>No</v>
      </c>
      <c r="H491" s="2" t="n">
        <f aca="false">IF(D491="",0,1/COUNTIF($D$2:$D$3451,D491))</f>
        <v>1</v>
      </c>
      <c r="I491" s="13" t="n">
        <f aca="false">IFERROR(INDEX('NCO-2015 scores'!$C$2:$C$131,MATCH(E491,'NCO-2015 scores'!$A$2:$A$131,0)),0)</f>
        <v>0.255</v>
      </c>
      <c r="J491" s="13" t="n">
        <f aca="false">IF(ISNUMBER(MATCH(E491,'NCO-2015 scores'!$A$2:$A$131,0)),IF(ISNUMBER(INDEX('NCO-2015 scores'!$C$2:$C$131,MATCH(E491,'NCO-2015 scores'!$A$2:$A$131,0))),1,0),0)</f>
        <v>1</v>
      </c>
    </row>
    <row r="492" customFormat="false" ht="15" hidden="false" customHeight="false" outlineLevel="0" collapsed="false">
      <c r="A492" s="2" t="n">
        <v>490</v>
      </c>
      <c r="B492" s="2" t="s">
        <v>1864</v>
      </c>
      <c r="C492" s="2" t="s">
        <v>1865</v>
      </c>
      <c r="D492" s="2" t="s">
        <v>1866</v>
      </c>
      <c r="E492" s="2" t="str">
        <f aca="false">LEFT(C492,3)</f>
        <v>813</v>
      </c>
      <c r="F492" s="2" t="str">
        <f aca="false">IF(D492="","",LEFT(D492,3))</f>
        <v>815</v>
      </c>
      <c r="G492" s="2" t="str">
        <f aca="false">IF(F492="","",IF(E492=F492,"Yes","No"))</f>
        <v>No</v>
      </c>
      <c r="H492" s="2" t="n">
        <f aca="false">IF(D492="",0,1/COUNTIF($D$2:$D$3451,D492))</f>
        <v>1</v>
      </c>
      <c r="I492" s="13" t="n">
        <f aca="false">IFERROR(INDEX('NCO-2015 scores'!$C$2:$C$131,MATCH(E492,'NCO-2015 scores'!$A$2:$A$131,0)),0)</f>
        <v>0.255</v>
      </c>
      <c r="J492" s="13" t="n">
        <f aca="false">IF(ISNUMBER(MATCH(E492,'NCO-2015 scores'!$A$2:$A$131,0)),IF(ISNUMBER(INDEX('NCO-2015 scores'!$C$2:$C$131,MATCH(E492,'NCO-2015 scores'!$A$2:$A$131,0))),1,0),0)</f>
        <v>1</v>
      </c>
    </row>
    <row r="493" customFormat="false" ht="15" hidden="false" customHeight="false" outlineLevel="0" collapsed="false">
      <c r="A493" s="2" t="n">
        <v>491</v>
      </c>
      <c r="B493" s="2" t="s">
        <v>1867</v>
      </c>
      <c r="C493" s="2" t="s">
        <v>1868</v>
      </c>
      <c r="D493" s="2" t="s">
        <v>1869</v>
      </c>
      <c r="E493" s="2" t="str">
        <f aca="false">LEFT(C493,3)</f>
        <v>813</v>
      </c>
      <c r="F493" s="2" t="str">
        <f aca="false">IF(D493="","",LEFT(D493,3))</f>
        <v>815</v>
      </c>
      <c r="G493" s="2" t="str">
        <f aca="false">IF(F493="","",IF(E493=F493,"Yes","No"))</f>
        <v>No</v>
      </c>
      <c r="H493" s="2" t="n">
        <f aca="false">IF(D493="",0,1/COUNTIF($D$2:$D$3451,D493))</f>
        <v>1</v>
      </c>
      <c r="I493" s="13" t="n">
        <f aca="false">IFERROR(INDEX('NCO-2015 scores'!$C$2:$C$131,MATCH(E493,'NCO-2015 scores'!$A$2:$A$131,0)),0)</f>
        <v>0.255</v>
      </c>
      <c r="J493" s="13" t="n">
        <f aca="false">IF(ISNUMBER(MATCH(E493,'NCO-2015 scores'!$A$2:$A$131,0)),IF(ISNUMBER(INDEX('NCO-2015 scores'!$C$2:$C$131,MATCH(E493,'NCO-2015 scores'!$A$2:$A$131,0))),1,0),0)</f>
        <v>1</v>
      </c>
    </row>
    <row r="494" customFormat="false" ht="15" hidden="false" customHeight="false" outlineLevel="0" collapsed="false">
      <c r="A494" s="2" t="n">
        <v>492</v>
      </c>
      <c r="B494" s="2" t="s">
        <v>1870</v>
      </c>
      <c r="C494" s="2" t="s">
        <v>1871</v>
      </c>
      <c r="D494" s="2" t="s">
        <v>1872</v>
      </c>
      <c r="E494" s="2" t="str">
        <f aca="false">LEFT(C494,3)</f>
        <v>813</v>
      </c>
      <c r="F494" s="2" t="str">
        <f aca="false">IF(D494="","",LEFT(D494,3))</f>
        <v>815</v>
      </c>
      <c r="G494" s="2" t="str">
        <f aca="false">IF(F494="","",IF(E494=F494,"Yes","No"))</f>
        <v>No</v>
      </c>
      <c r="H494" s="2" t="n">
        <f aca="false">IF(D494="",0,1/COUNTIF($D$2:$D$3451,D494))</f>
        <v>1</v>
      </c>
      <c r="I494" s="13" t="n">
        <f aca="false">IFERROR(INDEX('NCO-2015 scores'!$C$2:$C$131,MATCH(E494,'NCO-2015 scores'!$A$2:$A$131,0)),0)</f>
        <v>0.255</v>
      </c>
      <c r="J494" s="13" t="n">
        <f aca="false">IF(ISNUMBER(MATCH(E494,'NCO-2015 scores'!$A$2:$A$131,0)),IF(ISNUMBER(INDEX('NCO-2015 scores'!$C$2:$C$131,MATCH(E494,'NCO-2015 scores'!$A$2:$A$131,0))),1,0),0)</f>
        <v>1</v>
      </c>
    </row>
    <row r="495" customFormat="false" ht="15" hidden="false" customHeight="false" outlineLevel="0" collapsed="false">
      <c r="A495" s="2" t="n">
        <v>493</v>
      </c>
      <c r="B495" s="2" t="s">
        <v>1873</v>
      </c>
      <c r="C495" s="2" t="s">
        <v>1874</v>
      </c>
      <c r="D495" s="2" t="s">
        <v>1875</v>
      </c>
      <c r="E495" s="2" t="str">
        <f aca="false">LEFT(C495,3)</f>
        <v>813</v>
      </c>
      <c r="F495" s="2" t="str">
        <f aca="false">IF(D495="","",LEFT(D495,3))</f>
        <v>815</v>
      </c>
      <c r="G495" s="2" t="str">
        <f aca="false">IF(F495="","",IF(E495=F495,"Yes","No"))</f>
        <v>No</v>
      </c>
      <c r="H495" s="2" t="n">
        <f aca="false">IF(D495="",0,1/COUNTIF($D$2:$D$3451,D495))</f>
        <v>1</v>
      </c>
      <c r="I495" s="13" t="n">
        <f aca="false">IFERROR(INDEX('NCO-2015 scores'!$C$2:$C$131,MATCH(E495,'NCO-2015 scores'!$A$2:$A$131,0)),0)</f>
        <v>0.255</v>
      </c>
      <c r="J495" s="13" t="n">
        <f aca="false">IF(ISNUMBER(MATCH(E495,'NCO-2015 scores'!$A$2:$A$131,0)),IF(ISNUMBER(INDEX('NCO-2015 scores'!$C$2:$C$131,MATCH(E495,'NCO-2015 scores'!$A$2:$A$131,0))),1,0),0)</f>
        <v>1</v>
      </c>
    </row>
    <row r="496" customFormat="false" ht="15" hidden="false" customHeight="false" outlineLevel="0" collapsed="false">
      <c r="A496" s="2" t="n">
        <v>494</v>
      </c>
      <c r="B496" s="2" t="s">
        <v>1876</v>
      </c>
      <c r="C496" s="2" t="s">
        <v>1877</v>
      </c>
      <c r="D496" s="2" t="s">
        <v>1878</v>
      </c>
      <c r="E496" s="2" t="str">
        <f aca="false">LEFT(C496,3)</f>
        <v>813</v>
      </c>
      <c r="F496" s="2" t="str">
        <f aca="false">IF(D496="","",LEFT(D496,3))</f>
        <v>815</v>
      </c>
      <c r="G496" s="2" t="str">
        <f aca="false">IF(F496="","",IF(E496=F496,"Yes","No"))</f>
        <v>No</v>
      </c>
      <c r="H496" s="2" t="n">
        <f aca="false">IF(D496="",0,1/COUNTIF($D$2:$D$3451,D496))</f>
        <v>1</v>
      </c>
      <c r="I496" s="13" t="n">
        <f aca="false">IFERROR(INDEX('NCO-2015 scores'!$C$2:$C$131,MATCH(E496,'NCO-2015 scores'!$A$2:$A$131,0)),0)</f>
        <v>0.255</v>
      </c>
      <c r="J496" s="13" t="n">
        <f aca="false">IF(ISNUMBER(MATCH(E496,'NCO-2015 scores'!$A$2:$A$131,0)),IF(ISNUMBER(INDEX('NCO-2015 scores'!$C$2:$C$131,MATCH(E496,'NCO-2015 scores'!$A$2:$A$131,0))),1,0),0)</f>
        <v>1</v>
      </c>
    </row>
    <row r="497" customFormat="false" ht="15" hidden="false" customHeight="false" outlineLevel="0" collapsed="false">
      <c r="A497" s="2" t="n">
        <v>495</v>
      </c>
      <c r="B497" s="2" t="s">
        <v>1879</v>
      </c>
      <c r="C497" s="2" t="s">
        <v>1880</v>
      </c>
      <c r="D497" s="2" t="s">
        <v>1881</v>
      </c>
      <c r="E497" s="2" t="str">
        <f aca="false">LEFT(C497,3)</f>
        <v>813</v>
      </c>
      <c r="F497" s="2" t="str">
        <f aca="false">IF(D497="","",LEFT(D497,3))</f>
        <v>822</v>
      </c>
      <c r="G497" s="2" t="str">
        <f aca="false">IF(F497="","",IF(E497=F497,"Yes","No"))</f>
        <v>No</v>
      </c>
      <c r="H497" s="2" t="n">
        <f aca="false">IF(D497="",0,1/COUNTIF($D$2:$D$3451,D497))</f>
        <v>1</v>
      </c>
      <c r="I497" s="13" t="n">
        <f aca="false">IFERROR(INDEX('NCO-2015 scores'!$C$2:$C$131,MATCH(E497,'NCO-2015 scores'!$A$2:$A$131,0)),0)</f>
        <v>0.255</v>
      </c>
      <c r="J497" s="13" t="n">
        <f aca="false">IF(ISNUMBER(MATCH(E497,'NCO-2015 scores'!$A$2:$A$131,0)),IF(ISNUMBER(INDEX('NCO-2015 scores'!$C$2:$C$131,MATCH(E497,'NCO-2015 scores'!$A$2:$A$131,0))),1,0),0)</f>
        <v>1</v>
      </c>
    </row>
    <row r="498" customFormat="false" ht="15" hidden="false" customHeight="false" outlineLevel="0" collapsed="false">
      <c r="A498" s="2" t="n">
        <v>496</v>
      </c>
      <c r="B498" s="2" t="s">
        <v>1882</v>
      </c>
      <c r="C498" s="2" t="s">
        <v>1883</v>
      </c>
      <c r="D498" s="2" t="s">
        <v>1884</v>
      </c>
      <c r="E498" s="2" t="str">
        <f aca="false">LEFT(C498,3)</f>
        <v>813</v>
      </c>
      <c r="F498" s="2" t="str">
        <f aca="false">IF(D498="","",LEFT(D498,3))</f>
        <v>822</v>
      </c>
      <c r="G498" s="2" t="str">
        <f aca="false">IF(F498="","",IF(E498=F498,"Yes","No"))</f>
        <v>No</v>
      </c>
      <c r="H498" s="2" t="n">
        <f aca="false">IF(D498="",0,1/COUNTIF($D$2:$D$3451,D498))</f>
        <v>1</v>
      </c>
      <c r="I498" s="13" t="n">
        <f aca="false">IFERROR(INDEX('NCO-2015 scores'!$C$2:$C$131,MATCH(E498,'NCO-2015 scores'!$A$2:$A$131,0)),0)</f>
        <v>0.255</v>
      </c>
      <c r="J498" s="13" t="n">
        <f aca="false">IF(ISNUMBER(MATCH(E498,'NCO-2015 scores'!$A$2:$A$131,0)),IF(ISNUMBER(INDEX('NCO-2015 scores'!$C$2:$C$131,MATCH(E498,'NCO-2015 scores'!$A$2:$A$131,0))),1,0),0)</f>
        <v>1</v>
      </c>
    </row>
    <row r="499" customFormat="false" ht="15" hidden="false" customHeight="false" outlineLevel="0" collapsed="false">
      <c r="A499" s="2" t="n">
        <v>497</v>
      </c>
      <c r="B499" s="2" t="s">
        <v>1885</v>
      </c>
      <c r="C499" s="2" t="s">
        <v>1886</v>
      </c>
      <c r="D499" s="2" t="s">
        <v>1887</v>
      </c>
      <c r="E499" s="2" t="str">
        <f aca="false">LEFT(C499,3)</f>
        <v>813</v>
      </c>
      <c r="F499" s="2" t="str">
        <f aca="false">IF(D499="","",LEFT(D499,3))</f>
        <v>822</v>
      </c>
      <c r="G499" s="2" t="str">
        <f aca="false">IF(F499="","",IF(E499=F499,"Yes","No"))</f>
        <v>No</v>
      </c>
      <c r="H499" s="2" t="n">
        <f aca="false">IF(D499="",0,1/COUNTIF($D$2:$D$3451,D499))</f>
        <v>1</v>
      </c>
      <c r="I499" s="13" t="n">
        <f aca="false">IFERROR(INDEX('NCO-2015 scores'!$C$2:$C$131,MATCH(E499,'NCO-2015 scores'!$A$2:$A$131,0)),0)</f>
        <v>0.255</v>
      </c>
      <c r="J499" s="13" t="n">
        <f aca="false">IF(ISNUMBER(MATCH(E499,'NCO-2015 scores'!$A$2:$A$131,0)),IF(ISNUMBER(INDEX('NCO-2015 scores'!$C$2:$C$131,MATCH(E499,'NCO-2015 scores'!$A$2:$A$131,0))),1,0),0)</f>
        <v>1</v>
      </c>
    </row>
    <row r="500" customFormat="false" ht="15" hidden="false" customHeight="false" outlineLevel="0" collapsed="false">
      <c r="A500" s="2" t="n">
        <v>498</v>
      </c>
      <c r="B500" s="2" t="s">
        <v>1888</v>
      </c>
      <c r="C500" s="2" t="s">
        <v>1889</v>
      </c>
      <c r="D500" s="2" t="s">
        <v>1890</v>
      </c>
      <c r="E500" s="2" t="str">
        <f aca="false">LEFT(C500,3)</f>
        <v>813</v>
      </c>
      <c r="F500" s="2" t="str">
        <f aca="false">IF(D500="","",LEFT(D500,3))</f>
        <v>822</v>
      </c>
      <c r="G500" s="2" t="str">
        <f aca="false">IF(F500="","",IF(E500=F500,"Yes","No"))</f>
        <v>No</v>
      </c>
      <c r="H500" s="2" t="n">
        <f aca="false">IF(D500="",0,1/COUNTIF($D$2:$D$3451,D500))</f>
        <v>1</v>
      </c>
      <c r="I500" s="13" t="n">
        <f aca="false">IFERROR(INDEX('NCO-2015 scores'!$C$2:$C$131,MATCH(E500,'NCO-2015 scores'!$A$2:$A$131,0)),0)</f>
        <v>0.255</v>
      </c>
      <c r="J500" s="13" t="n">
        <f aca="false">IF(ISNUMBER(MATCH(E500,'NCO-2015 scores'!$A$2:$A$131,0)),IF(ISNUMBER(INDEX('NCO-2015 scores'!$C$2:$C$131,MATCH(E500,'NCO-2015 scores'!$A$2:$A$131,0))),1,0),0)</f>
        <v>1</v>
      </c>
    </row>
    <row r="501" customFormat="false" ht="15" hidden="false" customHeight="false" outlineLevel="0" collapsed="false">
      <c r="A501" s="2" t="n">
        <v>499</v>
      </c>
      <c r="B501" s="2" t="s">
        <v>1891</v>
      </c>
      <c r="C501" s="2" t="s">
        <v>1892</v>
      </c>
      <c r="D501" s="2" t="s">
        <v>1893</v>
      </c>
      <c r="E501" s="2" t="str">
        <f aca="false">LEFT(C501,3)</f>
        <v>813</v>
      </c>
      <c r="F501" s="2" t="str">
        <f aca="false">IF(D501="","",LEFT(D501,3))</f>
        <v>822</v>
      </c>
      <c r="G501" s="2" t="str">
        <f aca="false">IF(F501="","",IF(E501=F501,"Yes","No"))</f>
        <v>No</v>
      </c>
      <c r="H501" s="2" t="n">
        <f aca="false">IF(D501="",0,1/COUNTIF($D$2:$D$3451,D501))</f>
        <v>1</v>
      </c>
      <c r="I501" s="13" t="n">
        <f aca="false">IFERROR(INDEX('NCO-2015 scores'!$C$2:$C$131,MATCH(E501,'NCO-2015 scores'!$A$2:$A$131,0)),0)</f>
        <v>0.255</v>
      </c>
      <c r="J501" s="13" t="n">
        <f aca="false">IF(ISNUMBER(MATCH(E501,'NCO-2015 scores'!$A$2:$A$131,0)),IF(ISNUMBER(INDEX('NCO-2015 scores'!$C$2:$C$131,MATCH(E501,'NCO-2015 scores'!$A$2:$A$131,0))),1,0),0)</f>
        <v>1</v>
      </c>
    </row>
    <row r="502" customFormat="false" ht="15" hidden="false" customHeight="false" outlineLevel="0" collapsed="false">
      <c r="A502" s="2" t="n">
        <v>500</v>
      </c>
      <c r="B502" s="2" t="s">
        <v>1894</v>
      </c>
      <c r="C502" s="2" t="s">
        <v>1895</v>
      </c>
      <c r="D502" s="2" t="s">
        <v>1896</v>
      </c>
      <c r="E502" s="2" t="str">
        <f aca="false">LEFT(C502,3)</f>
        <v>211</v>
      </c>
      <c r="F502" s="2" t="str">
        <f aca="false">IF(D502="","",LEFT(D502,3))</f>
        <v>211</v>
      </c>
      <c r="G502" s="2" t="str">
        <f aca="false">IF(F502="","",IF(E502=F502,"Yes","No"))</f>
        <v>Yes</v>
      </c>
      <c r="H502" s="2" t="n">
        <f aca="false">IF(D502="",0,1/COUNTIF($D$2:$D$3451,D502))</f>
        <v>0.5</v>
      </c>
      <c r="I502" s="13" t="n">
        <f aca="false">IFERROR(INDEX('NCO-2015 scores'!$C$2:$C$131,MATCH(E502,'NCO-2015 scores'!$A$2:$A$131,0)),0)</f>
        <v>0.4175</v>
      </c>
      <c r="J502" s="13" t="n">
        <f aca="false">IF(ISNUMBER(MATCH(E502,'NCO-2015 scores'!$A$2:$A$131,0)),IF(ISNUMBER(INDEX('NCO-2015 scores'!$C$2:$C$131,MATCH(E502,'NCO-2015 scores'!$A$2:$A$131,0))),1,0),0)</f>
        <v>1</v>
      </c>
    </row>
    <row r="503" customFormat="false" ht="15" hidden="false" customHeight="false" outlineLevel="0" collapsed="false">
      <c r="A503" s="2" t="n">
        <v>501</v>
      </c>
      <c r="B503" s="2" t="s">
        <v>1897</v>
      </c>
      <c r="C503" s="2" t="s">
        <v>1898</v>
      </c>
      <c r="D503" s="2" t="s">
        <v>1899</v>
      </c>
      <c r="E503" s="2" t="str">
        <f aca="false">LEFT(C503,3)</f>
        <v>211</v>
      </c>
      <c r="F503" s="2" t="str">
        <f aca="false">IF(D503="","",LEFT(D503,3))</f>
        <v>211</v>
      </c>
      <c r="G503" s="2" t="str">
        <f aca="false">IF(F503="","",IF(E503=F503,"Yes","No"))</f>
        <v>Yes</v>
      </c>
      <c r="H503" s="2" t="n">
        <f aca="false">IF(D503="",0,1/COUNTIF($D$2:$D$3451,D503))</f>
        <v>1</v>
      </c>
      <c r="I503" s="13" t="n">
        <f aca="false">IFERROR(INDEX('NCO-2015 scores'!$C$2:$C$131,MATCH(E503,'NCO-2015 scores'!$A$2:$A$131,0)),0)</f>
        <v>0.4175</v>
      </c>
      <c r="J503" s="13" t="n">
        <f aca="false">IF(ISNUMBER(MATCH(E503,'NCO-2015 scores'!$A$2:$A$131,0)),IF(ISNUMBER(INDEX('NCO-2015 scores'!$C$2:$C$131,MATCH(E503,'NCO-2015 scores'!$A$2:$A$131,0))),1,0),0)</f>
        <v>1</v>
      </c>
    </row>
    <row r="504" customFormat="false" ht="15" hidden="false" customHeight="false" outlineLevel="0" collapsed="false">
      <c r="A504" s="2" t="n">
        <v>502</v>
      </c>
      <c r="B504" s="2" t="s">
        <v>1894</v>
      </c>
      <c r="C504" s="2" t="s">
        <v>1895</v>
      </c>
      <c r="D504" s="2" t="s">
        <v>1896</v>
      </c>
      <c r="E504" s="2" t="str">
        <f aca="false">LEFT(C504,3)</f>
        <v>211</v>
      </c>
      <c r="F504" s="2" t="str">
        <f aca="false">IF(D504="","",LEFT(D504,3))</f>
        <v>211</v>
      </c>
      <c r="G504" s="2" t="str">
        <f aca="false">IF(F504="","",IF(E504=F504,"Yes","No"))</f>
        <v>Yes</v>
      </c>
      <c r="H504" s="2" t="n">
        <f aca="false">IF(D504="",0,1/COUNTIF($D$2:$D$3451,D504))</f>
        <v>0.5</v>
      </c>
      <c r="I504" s="13" t="n">
        <f aca="false">IFERROR(INDEX('NCO-2015 scores'!$C$2:$C$131,MATCH(E504,'NCO-2015 scores'!$A$2:$A$131,0)),0)</f>
        <v>0.4175</v>
      </c>
      <c r="J504" s="13" t="n">
        <f aca="false">IF(ISNUMBER(MATCH(E504,'NCO-2015 scores'!$A$2:$A$131,0)),IF(ISNUMBER(INDEX('NCO-2015 scores'!$C$2:$C$131,MATCH(E504,'NCO-2015 scores'!$A$2:$A$131,0))),1,0),0)</f>
        <v>1</v>
      </c>
    </row>
    <row r="505" customFormat="false" ht="15" hidden="false" customHeight="false" outlineLevel="0" collapsed="false">
      <c r="A505" s="2" t="n">
        <v>503</v>
      </c>
      <c r="B505" s="2" t="s">
        <v>1900</v>
      </c>
      <c r="C505" s="2" t="s">
        <v>1901</v>
      </c>
      <c r="D505" s="2" t="s">
        <v>1902</v>
      </c>
      <c r="E505" s="2" t="str">
        <f aca="false">LEFT(C505,3)</f>
        <v>211</v>
      </c>
      <c r="F505" s="2" t="str">
        <f aca="false">IF(D505="","",LEFT(D505,3))</f>
        <v>211</v>
      </c>
      <c r="G505" s="2" t="str">
        <f aca="false">IF(F505="","",IF(E505=F505,"Yes","No"))</f>
        <v>Yes</v>
      </c>
      <c r="H505" s="2" t="n">
        <f aca="false">IF(D505="",0,1/COUNTIF($D$2:$D$3451,D505))</f>
        <v>1</v>
      </c>
      <c r="I505" s="13" t="n">
        <f aca="false">IFERROR(INDEX('NCO-2015 scores'!$C$2:$C$131,MATCH(E505,'NCO-2015 scores'!$A$2:$A$131,0)),0)</f>
        <v>0.4175</v>
      </c>
      <c r="J505" s="13" t="n">
        <f aca="false">IF(ISNUMBER(MATCH(E505,'NCO-2015 scores'!$A$2:$A$131,0)),IF(ISNUMBER(INDEX('NCO-2015 scores'!$C$2:$C$131,MATCH(E505,'NCO-2015 scores'!$A$2:$A$131,0))),1,0),0)</f>
        <v>1</v>
      </c>
    </row>
    <row r="506" customFormat="false" ht="15" hidden="false" customHeight="false" outlineLevel="0" collapsed="false">
      <c r="A506" s="2" t="n">
        <v>504</v>
      </c>
      <c r="B506" s="2" t="s">
        <v>1903</v>
      </c>
      <c r="C506" s="2" t="s">
        <v>1904</v>
      </c>
      <c r="D506" s="2" t="s">
        <v>1905</v>
      </c>
      <c r="E506" s="2" t="str">
        <f aca="false">LEFT(C506,3)</f>
        <v>211</v>
      </c>
      <c r="F506" s="2" t="str">
        <f aca="false">IF(D506="","",LEFT(D506,3))</f>
        <v>211</v>
      </c>
      <c r="G506" s="2" t="str">
        <f aca="false">IF(F506="","",IF(E506=F506,"Yes","No"))</f>
        <v>Yes</v>
      </c>
      <c r="H506" s="2" t="n">
        <f aca="false">IF(D506="",0,1/COUNTIF($D$2:$D$3451,D506))</f>
        <v>1</v>
      </c>
      <c r="I506" s="13" t="n">
        <f aca="false">IFERROR(INDEX('NCO-2015 scores'!$C$2:$C$131,MATCH(E506,'NCO-2015 scores'!$A$2:$A$131,0)),0)</f>
        <v>0.4175</v>
      </c>
      <c r="J506" s="13" t="n">
        <f aca="false">IF(ISNUMBER(MATCH(E506,'NCO-2015 scores'!$A$2:$A$131,0)),IF(ISNUMBER(INDEX('NCO-2015 scores'!$C$2:$C$131,MATCH(E506,'NCO-2015 scores'!$A$2:$A$131,0))),1,0),0)</f>
        <v>1</v>
      </c>
    </row>
    <row r="507" customFormat="false" ht="15" hidden="false" customHeight="false" outlineLevel="0" collapsed="false">
      <c r="A507" s="2" t="n">
        <v>505</v>
      </c>
      <c r="B507" s="2" t="s">
        <v>1906</v>
      </c>
      <c r="C507" s="2" t="s">
        <v>1907</v>
      </c>
      <c r="D507" s="2" t="s">
        <v>1908</v>
      </c>
      <c r="E507" s="2" t="str">
        <f aca="false">LEFT(C507,3)</f>
        <v>211</v>
      </c>
      <c r="F507" s="2" t="str">
        <f aca="false">IF(D507="","",LEFT(D507,3))</f>
        <v>211</v>
      </c>
      <c r="G507" s="2" t="str">
        <f aca="false">IF(F507="","",IF(E507=F507,"Yes","No"))</f>
        <v>Yes</v>
      </c>
      <c r="H507" s="2" t="n">
        <f aca="false">IF(D507="",0,1/COUNTIF($D$2:$D$3451,D507))</f>
        <v>1</v>
      </c>
      <c r="I507" s="13" t="n">
        <f aca="false">IFERROR(INDEX('NCO-2015 scores'!$C$2:$C$131,MATCH(E507,'NCO-2015 scores'!$A$2:$A$131,0)),0)</f>
        <v>0.4175</v>
      </c>
      <c r="J507" s="13" t="n">
        <f aca="false">IF(ISNUMBER(MATCH(E507,'NCO-2015 scores'!$A$2:$A$131,0)),IF(ISNUMBER(INDEX('NCO-2015 scores'!$C$2:$C$131,MATCH(E507,'NCO-2015 scores'!$A$2:$A$131,0))),1,0),0)</f>
        <v>1</v>
      </c>
    </row>
    <row r="508" customFormat="false" ht="15" hidden="false" customHeight="false" outlineLevel="0" collapsed="false">
      <c r="A508" s="2" t="n">
        <v>506</v>
      </c>
      <c r="B508" s="2" t="s">
        <v>1909</v>
      </c>
      <c r="C508" s="2" t="s">
        <v>1910</v>
      </c>
      <c r="D508" s="2"/>
      <c r="E508" s="2" t="str">
        <f aca="false">LEFT(C508,3)</f>
        <v>211</v>
      </c>
      <c r="F508" s="2" t="str">
        <f aca="false">IF(D508="","",LEFT(D508,3))</f>
        <v/>
      </c>
      <c r="G508" s="2" t="str">
        <f aca="false">IF(F508="","",IF(E508=F508,"Yes","No"))</f>
        <v/>
      </c>
      <c r="H508" s="2" t="n">
        <f aca="false">IF(D508="",0,1/COUNTIF($D$2:$D$3451,D508))</f>
        <v>0</v>
      </c>
      <c r="I508" s="13" t="n">
        <f aca="false">IFERROR(INDEX('NCO-2015 scores'!$C$2:$C$131,MATCH(E508,'NCO-2015 scores'!$A$2:$A$131,0)),0)</f>
        <v>0.4175</v>
      </c>
      <c r="J508" s="13" t="n">
        <f aca="false">IF(ISNUMBER(MATCH(E508,'NCO-2015 scores'!$A$2:$A$131,0)),IF(ISNUMBER(INDEX('NCO-2015 scores'!$C$2:$C$131,MATCH(E508,'NCO-2015 scores'!$A$2:$A$131,0))),1,0),0)</f>
        <v>1</v>
      </c>
    </row>
    <row r="509" customFormat="false" ht="15" hidden="false" customHeight="false" outlineLevel="0" collapsed="false">
      <c r="A509" s="2" t="n">
        <v>507</v>
      </c>
      <c r="B509" s="2" t="s">
        <v>1911</v>
      </c>
      <c r="C509" s="2" t="s">
        <v>1912</v>
      </c>
      <c r="D509" s="2" t="s">
        <v>1913</v>
      </c>
      <c r="E509" s="2" t="str">
        <f aca="false">LEFT(C509,3)</f>
        <v>211</v>
      </c>
      <c r="F509" s="2" t="str">
        <f aca="false">IF(D509="","",LEFT(D509,3))</f>
        <v>211</v>
      </c>
      <c r="G509" s="2" t="str">
        <f aca="false">IF(F509="","",IF(E509=F509,"Yes","No"))</f>
        <v>Yes</v>
      </c>
      <c r="H509" s="2" t="n">
        <f aca="false">IF(D509="",0,1/COUNTIF($D$2:$D$3451,D509))</f>
        <v>1</v>
      </c>
      <c r="I509" s="13" t="n">
        <f aca="false">IFERROR(INDEX('NCO-2015 scores'!$C$2:$C$131,MATCH(E509,'NCO-2015 scores'!$A$2:$A$131,0)),0)</f>
        <v>0.4175</v>
      </c>
      <c r="J509" s="13" t="n">
        <f aca="false">IF(ISNUMBER(MATCH(E509,'NCO-2015 scores'!$A$2:$A$131,0)),IF(ISNUMBER(INDEX('NCO-2015 scores'!$C$2:$C$131,MATCH(E509,'NCO-2015 scores'!$A$2:$A$131,0))),1,0),0)</f>
        <v>1</v>
      </c>
    </row>
    <row r="510" customFormat="false" ht="15" hidden="false" customHeight="false" outlineLevel="0" collapsed="false">
      <c r="A510" s="2" t="n">
        <v>508</v>
      </c>
      <c r="B510" s="2" t="s">
        <v>1914</v>
      </c>
      <c r="C510" s="2" t="s">
        <v>1915</v>
      </c>
      <c r="D510" s="2"/>
      <c r="E510" s="2" t="str">
        <f aca="false">LEFT(C510,3)</f>
        <v>211</v>
      </c>
      <c r="F510" s="2" t="str">
        <f aca="false">IF(D510="","",LEFT(D510,3))</f>
        <v/>
      </c>
      <c r="G510" s="2" t="str">
        <f aca="false">IF(F510="","",IF(E510=F510,"Yes","No"))</f>
        <v/>
      </c>
      <c r="H510" s="2" t="n">
        <f aca="false">IF(D510="",0,1/COUNTIF($D$2:$D$3451,D510))</f>
        <v>0</v>
      </c>
      <c r="I510" s="13" t="n">
        <f aca="false">IFERROR(INDEX('NCO-2015 scores'!$C$2:$C$131,MATCH(E510,'NCO-2015 scores'!$A$2:$A$131,0)),0)</f>
        <v>0.4175</v>
      </c>
      <c r="J510" s="13" t="n">
        <f aca="false">IF(ISNUMBER(MATCH(E510,'NCO-2015 scores'!$A$2:$A$131,0)),IF(ISNUMBER(INDEX('NCO-2015 scores'!$C$2:$C$131,MATCH(E510,'NCO-2015 scores'!$A$2:$A$131,0))),1,0),0)</f>
        <v>1</v>
      </c>
    </row>
    <row r="511" customFormat="false" ht="15" hidden="false" customHeight="false" outlineLevel="0" collapsed="false">
      <c r="A511" s="2" t="n">
        <v>509</v>
      </c>
      <c r="B511" s="2" t="s">
        <v>1916</v>
      </c>
      <c r="C511" s="2" t="s">
        <v>1917</v>
      </c>
      <c r="D511" s="2" t="s">
        <v>1918</v>
      </c>
      <c r="E511" s="2" t="str">
        <f aca="false">LEFT(C511,3)</f>
        <v>211</v>
      </c>
      <c r="F511" s="2" t="str">
        <f aca="false">IF(D511="","",LEFT(D511,3))</f>
        <v>211</v>
      </c>
      <c r="G511" s="2" t="str">
        <f aca="false">IF(F511="","",IF(E511=F511,"Yes","No"))</f>
        <v>Yes</v>
      </c>
      <c r="H511" s="2" t="n">
        <f aca="false">IF(D511="",0,1/COUNTIF($D$2:$D$3451,D511))</f>
        <v>1</v>
      </c>
      <c r="I511" s="13" t="n">
        <f aca="false">IFERROR(INDEX('NCO-2015 scores'!$C$2:$C$131,MATCH(E511,'NCO-2015 scores'!$A$2:$A$131,0)),0)</f>
        <v>0.4175</v>
      </c>
      <c r="J511" s="13" t="n">
        <f aca="false">IF(ISNUMBER(MATCH(E511,'NCO-2015 scores'!$A$2:$A$131,0)),IF(ISNUMBER(INDEX('NCO-2015 scores'!$C$2:$C$131,MATCH(E511,'NCO-2015 scores'!$A$2:$A$131,0))),1,0),0)</f>
        <v>1</v>
      </c>
    </row>
    <row r="512" customFormat="false" ht="15" hidden="false" customHeight="false" outlineLevel="0" collapsed="false">
      <c r="A512" s="2" t="n">
        <v>510</v>
      </c>
      <c r="B512" s="2" t="s">
        <v>1919</v>
      </c>
      <c r="C512" s="2" t="s">
        <v>1920</v>
      </c>
      <c r="D512" s="2"/>
      <c r="E512" s="2" t="str">
        <f aca="false">LEFT(C512,3)</f>
        <v>211</v>
      </c>
      <c r="F512" s="2" t="str">
        <f aca="false">IF(D512="","",LEFT(D512,3))</f>
        <v/>
      </c>
      <c r="G512" s="2" t="str">
        <f aca="false">IF(F512="","",IF(E512=F512,"Yes","No"))</f>
        <v/>
      </c>
      <c r="H512" s="2" t="n">
        <f aca="false">IF(D512="",0,1/COUNTIF($D$2:$D$3451,D512))</f>
        <v>0</v>
      </c>
      <c r="I512" s="13" t="n">
        <f aca="false">IFERROR(INDEX('NCO-2015 scores'!$C$2:$C$131,MATCH(E512,'NCO-2015 scores'!$A$2:$A$131,0)),0)</f>
        <v>0.4175</v>
      </c>
      <c r="J512" s="13" t="n">
        <f aca="false">IF(ISNUMBER(MATCH(E512,'NCO-2015 scores'!$A$2:$A$131,0)),IF(ISNUMBER(INDEX('NCO-2015 scores'!$C$2:$C$131,MATCH(E512,'NCO-2015 scores'!$A$2:$A$131,0))),1,0),0)</f>
        <v>1</v>
      </c>
    </row>
    <row r="513" customFormat="false" ht="15" hidden="false" customHeight="false" outlineLevel="0" collapsed="false">
      <c r="A513" s="2" t="n">
        <v>511</v>
      </c>
      <c r="B513" s="2" t="s">
        <v>1921</v>
      </c>
      <c r="C513" s="2" t="s">
        <v>1922</v>
      </c>
      <c r="D513" s="2"/>
      <c r="E513" s="2" t="str">
        <f aca="false">LEFT(C513,3)</f>
        <v>211</v>
      </c>
      <c r="F513" s="2" t="str">
        <f aca="false">IF(D513="","",LEFT(D513,3))</f>
        <v/>
      </c>
      <c r="G513" s="2" t="str">
        <f aca="false">IF(F513="","",IF(E513=F513,"Yes","No"))</f>
        <v/>
      </c>
      <c r="H513" s="2" t="n">
        <f aca="false">IF(D513="",0,1/COUNTIF($D$2:$D$3451,D513))</f>
        <v>0</v>
      </c>
      <c r="I513" s="13" t="n">
        <f aca="false">IFERROR(INDEX('NCO-2015 scores'!$C$2:$C$131,MATCH(E513,'NCO-2015 scores'!$A$2:$A$131,0)),0)</f>
        <v>0.4175</v>
      </c>
      <c r="J513" s="13" t="n">
        <f aca="false">IF(ISNUMBER(MATCH(E513,'NCO-2015 scores'!$A$2:$A$131,0)),IF(ISNUMBER(INDEX('NCO-2015 scores'!$C$2:$C$131,MATCH(E513,'NCO-2015 scores'!$A$2:$A$131,0))),1,0),0)</f>
        <v>1</v>
      </c>
    </row>
    <row r="514" customFormat="false" ht="15" hidden="false" customHeight="false" outlineLevel="0" collapsed="false">
      <c r="A514" s="2" t="n">
        <v>512</v>
      </c>
      <c r="B514" s="2" t="s">
        <v>1923</v>
      </c>
      <c r="C514" s="2" t="s">
        <v>1924</v>
      </c>
      <c r="D514" s="2"/>
      <c r="E514" s="2" t="str">
        <f aca="false">LEFT(C514,3)</f>
        <v>211</v>
      </c>
      <c r="F514" s="2" t="str">
        <f aca="false">IF(D514="","",LEFT(D514,3))</f>
        <v/>
      </c>
      <c r="G514" s="2" t="str">
        <f aca="false">IF(F514="","",IF(E514=F514,"Yes","No"))</f>
        <v/>
      </c>
      <c r="H514" s="2" t="n">
        <f aca="false">IF(D514="",0,1/COUNTIF($D$2:$D$3451,D514))</f>
        <v>0</v>
      </c>
      <c r="I514" s="13" t="n">
        <f aca="false">IFERROR(INDEX('NCO-2015 scores'!$C$2:$C$131,MATCH(E514,'NCO-2015 scores'!$A$2:$A$131,0)),0)</f>
        <v>0.4175</v>
      </c>
      <c r="J514" s="13" t="n">
        <f aca="false">IF(ISNUMBER(MATCH(E514,'NCO-2015 scores'!$A$2:$A$131,0)),IF(ISNUMBER(INDEX('NCO-2015 scores'!$C$2:$C$131,MATCH(E514,'NCO-2015 scores'!$A$2:$A$131,0))),1,0),0)</f>
        <v>1</v>
      </c>
    </row>
    <row r="515" customFormat="false" ht="15" hidden="false" customHeight="false" outlineLevel="0" collapsed="false">
      <c r="A515" s="2" t="n">
        <v>513</v>
      </c>
      <c r="B515" s="2" t="s">
        <v>1925</v>
      </c>
      <c r="C515" s="2" t="s">
        <v>1926</v>
      </c>
      <c r="D515" s="2"/>
      <c r="E515" s="2" t="str">
        <f aca="false">LEFT(C515,3)</f>
        <v>211</v>
      </c>
      <c r="F515" s="2" t="str">
        <f aca="false">IF(D515="","",LEFT(D515,3))</f>
        <v/>
      </c>
      <c r="G515" s="2" t="str">
        <f aca="false">IF(F515="","",IF(E515=F515,"Yes","No"))</f>
        <v/>
      </c>
      <c r="H515" s="2" t="n">
        <f aca="false">IF(D515="",0,1/COUNTIF($D$2:$D$3451,D515))</f>
        <v>0</v>
      </c>
      <c r="I515" s="13" t="n">
        <f aca="false">IFERROR(INDEX('NCO-2015 scores'!$C$2:$C$131,MATCH(E515,'NCO-2015 scores'!$A$2:$A$131,0)),0)</f>
        <v>0.4175</v>
      </c>
      <c r="J515" s="13" t="n">
        <f aca="false">IF(ISNUMBER(MATCH(E515,'NCO-2015 scores'!$A$2:$A$131,0)),IF(ISNUMBER(INDEX('NCO-2015 scores'!$C$2:$C$131,MATCH(E515,'NCO-2015 scores'!$A$2:$A$131,0))),1,0),0)</f>
        <v>1</v>
      </c>
    </row>
    <row r="516" customFormat="false" ht="15" hidden="false" customHeight="false" outlineLevel="0" collapsed="false">
      <c r="A516" s="2" t="n">
        <v>514</v>
      </c>
      <c r="B516" s="2" t="s">
        <v>1927</v>
      </c>
      <c r="C516" s="2" t="s">
        <v>1928</v>
      </c>
      <c r="D516" s="2" t="s">
        <v>1929</v>
      </c>
      <c r="E516" s="2" t="str">
        <f aca="false">LEFT(C516,3)</f>
        <v>531</v>
      </c>
      <c r="F516" s="2" t="str">
        <f aca="false">IF(D516="","",LEFT(D516,3))</f>
        <v>513</v>
      </c>
      <c r="G516" s="2" t="str">
        <f aca="false">IF(F516="","",IF(E516=F516,"Yes","No"))</f>
        <v>No</v>
      </c>
      <c r="H516" s="2" t="n">
        <f aca="false">IF(D516="",0,1/COUNTIF($D$2:$D$3451,D516))</f>
        <v>1</v>
      </c>
      <c r="I516" s="13" t="n">
        <f aca="false">IFERROR(INDEX('NCO-2015 scores'!$C$2:$C$131,MATCH(E516,'NCO-2015 scores'!$A$2:$A$131,0)),0)</f>
        <v>0.215</v>
      </c>
      <c r="J516" s="13" t="n">
        <f aca="false">IF(ISNUMBER(MATCH(E516,'NCO-2015 scores'!$A$2:$A$131,0)),IF(ISNUMBER(INDEX('NCO-2015 scores'!$C$2:$C$131,MATCH(E516,'NCO-2015 scores'!$A$2:$A$131,0))),1,0),0)</f>
        <v>1</v>
      </c>
    </row>
    <row r="517" customFormat="false" ht="15" hidden="false" customHeight="false" outlineLevel="0" collapsed="false">
      <c r="A517" s="2" t="n">
        <v>515</v>
      </c>
      <c r="B517" s="2" t="s">
        <v>1930</v>
      </c>
      <c r="C517" s="2" t="s">
        <v>1931</v>
      </c>
      <c r="D517" s="2" t="s">
        <v>1932</v>
      </c>
      <c r="E517" s="2" t="str">
        <f aca="false">LEFT(C517,3)</f>
        <v>531</v>
      </c>
      <c r="F517" s="2" t="str">
        <f aca="false">IF(D517="","",LEFT(D517,3))</f>
        <v>513</v>
      </c>
      <c r="G517" s="2" t="str">
        <f aca="false">IF(F517="","",IF(E517=F517,"Yes","No"))</f>
        <v>No</v>
      </c>
      <c r="H517" s="2" t="n">
        <f aca="false">IF(D517="",0,1/COUNTIF($D$2:$D$3451,D517))</f>
        <v>1</v>
      </c>
      <c r="I517" s="13" t="n">
        <f aca="false">IFERROR(INDEX('NCO-2015 scores'!$C$2:$C$131,MATCH(E517,'NCO-2015 scores'!$A$2:$A$131,0)),0)</f>
        <v>0.215</v>
      </c>
      <c r="J517" s="13" t="n">
        <f aca="false">IF(ISNUMBER(MATCH(E517,'NCO-2015 scores'!$A$2:$A$131,0)),IF(ISNUMBER(INDEX('NCO-2015 scores'!$C$2:$C$131,MATCH(E517,'NCO-2015 scores'!$A$2:$A$131,0))),1,0),0)</f>
        <v>1</v>
      </c>
    </row>
    <row r="518" customFormat="false" ht="15" hidden="false" customHeight="false" outlineLevel="0" collapsed="false">
      <c r="A518" s="2" t="n">
        <v>516</v>
      </c>
      <c r="B518" s="2" t="s">
        <v>1933</v>
      </c>
      <c r="C518" s="2" t="s">
        <v>1934</v>
      </c>
      <c r="D518" s="2" t="s">
        <v>1935</v>
      </c>
      <c r="E518" s="2" t="str">
        <f aca="false">LEFT(C518,3)</f>
        <v>531</v>
      </c>
      <c r="F518" s="2" t="str">
        <f aca="false">IF(D518="","",LEFT(D518,3))</f>
        <v>512</v>
      </c>
      <c r="G518" s="2" t="str">
        <f aca="false">IF(F518="","",IF(E518=F518,"Yes","No"))</f>
        <v>No</v>
      </c>
      <c r="H518" s="2" t="n">
        <f aca="false">IF(D518="",0,1/COUNTIF($D$2:$D$3451,D518))</f>
        <v>1</v>
      </c>
      <c r="I518" s="13" t="n">
        <f aca="false">IFERROR(INDEX('NCO-2015 scores'!$C$2:$C$131,MATCH(E518,'NCO-2015 scores'!$A$2:$A$131,0)),0)</f>
        <v>0.215</v>
      </c>
      <c r="J518" s="13" t="n">
        <f aca="false">IF(ISNUMBER(MATCH(E518,'NCO-2015 scores'!$A$2:$A$131,0)),IF(ISNUMBER(INDEX('NCO-2015 scores'!$C$2:$C$131,MATCH(E518,'NCO-2015 scores'!$A$2:$A$131,0))),1,0),0)</f>
        <v>1</v>
      </c>
    </row>
    <row r="519" customFormat="false" ht="15" hidden="false" customHeight="false" outlineLevel="0" collapsed="false">
      <c r="A519" s="2" t="n">
        <v>517</v>
      </c>
      <c r="B519" s="2" t="s">
        <v>1936</v>
      </c>
      <c r="C519" s="2" t="s">
        <v>1937</v>
      </c>
      <c r="D519" s="2" t="s">
        <v>1938</v>
      </c>
      <c r="E519" s="2" t="str">
        <f aca="false">LEFT(C519,3)</f>
        <v>531</v>
      </c>
      <c r="F519" s="2" t="str">
        <f aca="false">IF(D519="","",LEFT(D519,3))</f>
        <v>513</v>
      </c>
      <c r="G519" s="2" t="str">
        <f aca="false">IF(F519="","",IF(E519=F519,"Yes","No"))</f>
        <v>No</v>
      </c>
      <c r="H519" s="2" t="n">
        <f aca="false">IF(D519="",0,1/COUNTIF($D$2:$D$3451,D519))</f>
        <v>1</v>
      </c>
      <c r="I519" s="13" t="n">
        <f aca="false">IFERROR(INDEX('NCO-2015 scores'!$C$2:$C$131,MATCH(E519,'NCO-2015 scores'!$A$2:$A$131,0)),0)</f>
        <v>0.215</v>
      </c>
      <c r="J519" s="13" t="n">
        <f aca="false">IF(ISNUMBER(MATCH(E519,'NCO-2015 scores'!$A$2:$A$131,0)),IF(ISNUMBER(INDEX('NCO-2015 scores'!$C$2:$C$131,MATCH(E519,'NCO-2015 scores'!$A$2:$A$131,0))),1,0),0)</f>
        <v>1</v>
      </c>
    </row>
    <row r="520" customFormat="false" ht="15" hidden="false" customHeight="false" outlineLevel="0" collapsed="false">
      <c r="A520" s="2" t="n">
        <v>518</v>
      </c>
      <c r="B520" s="2" t="s">
        <v>1939</v>
      </c>
      <c r="C520" s="2" t="s">
        <v>1940</v>
      </c>
      <c r="D520" s="2" t="s">
        <v>1941</v>
      </c>
      <c r="E520" s="2" t="str">
        <f aca="false">LEFT(C520,3)</f>
        <v>531</v>
      </c>
      <c r="F520" s="2" t="str">
        <f aca="false">IF(D520="","",LEFT(D520,3))</f>
        <v>513</v>
      </c>
      <c r="G520" s="2" t="str">
        <f aca="false">IF(F520="","",IF(E520=F520,"Yes","No"))</f>
        <v>No</v>
      </c>
      <c r="H520" s="2" t="n">
        <f aca="false">IF(D520="",0,1/COUNTIF($D$2:$D$3451,D520))</f>
        <v>1</v>
      </c>
      <c r="I520" s="13" t="n">
        <f aca="false">IFERROR(INDEX('NCO-2015 scores'!$C$2:$C$131,MATCH(E520,'NCO-2015 scores'!$A$2:$A$131,0)),0)</f>
        <v>0.215</v>
      </c>
      <c r="J520" s="13" t="n">
        <f aca="false">IF(ISNUMBER(MATCH(E520,'NCO-2015 scores'!$A$2:$A$131,0)),IF(ISNUMBER(INDEX('NCO-2015 scores'!$C$2:$C$131,MATCH(E520,'NCO-2015 scores'!$A$2:$A$131,0))),1,0),0)</f>
        <v>1</v>
      </c>
    </row>
    <row r="521" customFormat="false" ht="15" hidden="false" customHeight="false" outlineLevel="0" collapsed="false">
      <c r="A521" s="2" t="n">
        <v>519</v>
      </c>
      <c r="B521" s="2" t="s">
        <v>1942</v>
      </c>
      <c r="C521" s="2" t="s">
        <v>1943</v>
      </c>
      <c r="D521" s="2" t="s">
        <v>1944</v>
      </c>
      <c r="E521" s="2" t="str">
        <f aca="false">LEFT(C521,3)</f>
        <v>931</v>
      </c>
      <c r="F521" s="2" t="str">
        <f aca="false">IF(D521="","",LEFT(D521,3))</f>
        <v>931</v>
      </c>
      <c r="G521" s="2" t="str">
        <f aca="false">IF(F521="","",IF(E521=F521,"Yes","No"))</f>
        <v>Yes</v>
      </c>
      <c r="H521" s="2" t="n">
        <f aca="false">IF(D521="",0,1/COUNTIF($D$2:$D$3451,D521))</f>
        <v>1</v>
      </c>
      <c r="I521" s="13" t="n">
        <f aca="false">IFERROR(INDEX('NCO-2015 scores'!$C$2:$C$131,MATCH(E521,'NCO-2015 scores'!$A$2:$A$131,0)),0)</f>
        <v>0.0967</v>
      </c>
      <c r="J521" s="13" t="n">
        <f aca="false">IF(ISNUMBER(MATCH(E521,'NCO-2015 scores'!$A$2:$A$131,0)),IF(ISNUMBER(INDEX('NCO-2015 scores'!$C$2:$C$131,MATCH(E521,'NCO-2015 scores'!$A$2:$A$131,0))),1,0),0)</f>
        <v>1</v>
      </c>
    </row>
    <row r="522" customFormat="false" ht="15" hidden="false" customHeight="false" outlineLevel="0" collapsed="false">
      <c r="A522" s="2" t="n">
        <v>520</v>
      </c>
      <c r="B522" s="2" t="s">
        <v>1945</v>
      </c>
      <c r="C522" s="2" t="s">
        <v>1946</v>
      </c>
      <c r="D522" s="2" t="s">
        <v>1947</v>
      </c>
      <c r="E522" s="2" t="str">
        <f aca="false">LEFT(C522,3)</f>
        <v>931</v>
      </c>
      <c r="F522" s="2" t="str">
        <f aca="false">IF(D522="","",LEFT(D522,3))</f>
        <v>931</v>
      </c>
      <c r="G522" s="2" t="str">
        <f aca="false">IF(F522="","",IF(E522=F522,"Yes","No"))</f>
        <v>Yes</v>
      </c>
      <c r="H522" s="2" t="n">
        <f aca="false">IF(D522="",0,1/COUNTIF($D$2:$D$3451,D522))</f>
        <v>1</v>
      </c>
      <c r="I522" s="13" t="n">
        <f aca="false">IFERROR(INDEX('NCO-2015 scores'!$C$2:$C$131,MATCH(E522,'NCO-2015 scores'!$A$2:$A$131,0)),0)</f>
        <v>0.0967</v>
      </c>
      <c r="J522" s="13" t="n">
        <f aca="false">IF(ISNUMBER(MATCH(E522,'NCO-2015 scores'!$A$2:$A$131,0)),IF(ISNUMBER(INDEX('NCO-2015 scores'!$C$2:$C$131,MATCH(E522,'NCO-2015 scores'!$A$2:$A$131,0))),1,0),0)</f>
        <v>1</v>
      </c>
    </row>
    <row r="523" customFormat="false" ht="15" hidden="false" customHeight="false" outlineLevel="0" collapsed="false">
      <c r="A523" s="2" t="n">
        <v>521</v>
      </c>
      <c r="B523" s="2" t="s">
        <v>1948</v>
      </c>
      <c r="C523" s="2" t="s">
        <v>1949</v>
      </c>
      <c r="D523" s="2" t="s">
        <v>1950</v>
      </c>
      <c r="E523" s="2" t="str">
        <f aca="false">LEFT(C523,3)</f>
        <v>931</v>
      </c>
      <c r="F523" s="2" t="str">
        <f aca="false">IF(D523="","",LEFT(D523,3))</f>
        <v>931</v>
      </c>
      <c r="G523" s="2" t="str">
        <f aca="false">IF(F523="","",IF(E523=F523,"Yes","No"))</f>
        <v>Yes</v>
      </c>
      <c r="H523" s="2" t="n">
        <f aca="false">IF(D523="",0,1/COUNTIF($D$2:$D$3451,D523))</f>
        <v>1</v>
      </c>
      <c r="I523" s="13" t="n">
        <f aca="false">IFERROR(INDEX('NCO-2015 scores'!$C$2:$C$131,MATCH(E523,'NCO-2015 scores'!$A$2:$A$131,0)),0)</f>
        <v>0.0967</v>
      </c>
      <c r="J523" s="13" t="n">
        <f aca="false">IF(ISNUMBER(MATCH(E523,'NCO-2015 scores'!$A$2:$A$131,0)),IF(ISNUMBER(INDEX('NCO-2015 scores'!$C$2:$C$131,MATCH(E523,'NCO-2015 scores'!$A$2:$A$131,0))),1,0),0)</f>
        <v>1</v>
      </c>
    </row>
    <row r="524" customFormat="false" ht="15" hidden="false" customHeight="false" outlineLevel="0" collapsed="false">
      <c r="A524" s="2" t="n">
        <v>522</v>
      </c>
      <c r="B524" s="2" t="s">
        <v>1951</v>
      </c>
      <c r="C524" s="2" t="s">
        <v>1952</v>
      </c>
      <c r="D524" s="2"/>
      <c r="E524" s="2" t="str">
        <f aca="false">LEFT(C524,3)</f>
        <v>311</v>
      </c>
      <c r="F524" s="2" t="str">
        <f aca="false">IF(D524="","",LEFT(D524,3))</f>
        <v/>
      </c>
      <c r="G524" s="2" t="str">
        <f aca="false">IF(F524="","",IF(E524=F524,"Yes","No"))</f>
        <v/>
      </c>
      <c r="H524" s="2" t="n">
        <f aca="false">IF(D524="",0,1/COUNTIF($D$2:$D$3451,D524))</f>
        <v>0</v>
      </c>
      <c r="I524" s="13" t="n">
        <f aca="false">IFERROR(INDEX('NCO-2015 scores'!$C$2:$C$131,MATCH(E524,'NCO-2015 scores'!$A$2:$A$131,0)),0)</f>
        <v>0.2956</v>
      </c>
      <c r="J524" s="13" t="n">
        <f aca="false">IF(ISNUMBER(MATCH(E524,'NCO-2015 scores'!$A$2:$A$131,0)),IF(ISNUMBER(INDEX('NCO-2015 scores'!$C$2:$C$131,MATCH(E524,'NCO-2015 scores'!$A$2:$A$131,0))),1,0),0)</f>
        <v>1</v>
      </c>
    </row>
    <row r="525" customFormat="false" ht="15" hidden="false" customHeight="false" outlineLevel="0" collapsed="false">
      <c r="A525" s="2" t="n">
        <v>523</v>
      </c>
      <c r="B525" s="2" t="s">
        <v>1953</v>
      </c>
      <c r="C525" s="2" t="s">
        <v>1954</v>
      </c>
      <c r="D525" s="2" t="s">
        <v>1955</v>
      </c>
      <c r="E525" s="2" t="str">
        <f aca="false">LEFT(C525,3)</f>
        <v>311</v>
      </c>
      <c r="F525" s="2" t="str">
        <f aca="false">IF(D525="","",LEFT(D525,3))</f>
        <v>311</v>
      </c>
      <c r="G525" s="2" t="str">
        <f aca="false">IF(F525="","",IF(E525=F525,"Yes","No"))</f>
        <v>Yes</v>
      </c>
      <c r="H525" s="2" t="n">
        <f aca="false">IF(D525="",0,1/COUNTIF($D$2:$D$3451,D525))</f>
        <v>1</v>
      </c>
      <c r="I525" s="13" t="n">
        <f aca="false">IFERROR(INDEX('NCO-2015 scores'!$C$2:$C$131,MATCH(E525,'NCO-2015 scores'!$A$2:$A$131,0)),0)</f>
        <v>0.2956</v>
      </c>
      <c r="J525" s="13" t="n">
        <f aca="false">IF(ISNUMBER(MATCH(E525,'NCO-2015 scores'!$A$2:$A$131,0)),IF(ISNUMBER(INDEX('NCO-2015 scores'!$C$2:$C$131,MATCH(E525,'NCO-2015 scores'!$A$2:$A$131,0))),1,0),0)</f>
        <v>1</v>
      </c>
    </row>
    <row r="526" customFormat="false" ht="15" hidden="false" customHeight="false" outlineLevel="0" collapsed="false">
      <c r="A526" s="2" t="n">
        <v>524</v>
      </c>
      <c r="B526" s="2" t="s">
        <v>1956</v>
      </c>
      <c r="C526" s="2" t="s">
        <v>1957</v>
      </c>
      <c r="D526" s="2" t="s">
        <v>1958</v>
      </c>
      <c r="E526" s="2" t="str">
        <f aca="false">LEFT(C526,3)</f>
        <v>311</v>
      </c>
      <c r="F526" s="2" t="str">
        <f aca="false">IF(D526="","",LEFT(D526,3))</f>
        <v>311</v>
      </c>
      <c r="G526" s="2" t="str">
        <f aca="false">IF(F526="","",IF(E526=F526,"Yes","No"))</f>
        <v>Yes</v>
      </c>
      <c r="H526" s="2" t="n">
        <f aca="false">IF(D526="",0,1/COUNTIF($D$2:$D$3451,D526))</f>
        <v>1</v>
      </c>
      <c r="I526" s="13" t="n">
        <f aca="false">IFERROR(INDEX('NCO-2015 scores'!$C$2:$C$131,MATCH(E526,'NCO-2015 scores'!$A$2:$A$131,0)),0)</f>
        <v>0.2956</v>
      </c>
      <c r="J526" s="13" t="n">
        <f aca="false">IF(ISNUMBER(MATCH(E526,'NCO-2015 scores'!$A$2:$A$131,0)),IF(ISNUMBER(INDEX('NCO-2015 scores'!$C$2:$C$131,MATCH(E526,'NCO-2015 scores'!$A$2:$A$131,0))),1,0),0)</f>
        <v>1</v>
      </c>
    </row>
    <row r="527" customFormat="false" ht="15" hidden="false" customHeight="false" outlineLevel="0" collapsed="false">
      <c r="A527" s="2" t="n">
        <v>525</v>
      </c>
      <c r="B527" s="2" t="s">
        <v>1959</v>
      </c>
      <c r="C527" s="2" t="s">
        <v>1960</v>
      </c>
      <c r="D527" s="2" t="s">
        <v>1961</v>
      </c>
      <c r="E527" s="2" t="str">
        <f aca="false">LEFT(C527,3)</f>
        <v>311</v>
      </c>
      <c r="F527" s="2" t="str">
        <f aca="false">IF(D527="","",LEFT(D527,3))</f>
        <v>311</v>
      </c>
      <c r="G527" s="2" t="str">
        <f aca="false">IF(F527="","",IF(E527=F527,"Yes","No"))</f>
        <v>Yes</v>
      </c>
      <c r="H527" s="2" t="n">
        <f aca="false">IF(D527="",0,1/COUNTIF($D$2:$D$3451,D527))</f>
        <v>1</v>
      </c>
      <c r="I527" s="13" t="n">
        <f aca="false">IFERROR(INDEX('NCO-2015 scores'!$C$2:$C$131,MATCH(E527,'NCO-2015 scores'!$A$2:$A$131,0)),0)</f>
        <v>0.2956</v>
      </c>
      <c r="J527" s="13" t="n">
        <f aca="false">IF(ISNUMBER(MATCH(E527,'NCO-2015 scores'!$A$2:$A$131,0)),IF(ISNUMBER(INDEX('NCO-2015 scores'!$C$2:$C$131,MATCH(E527,'NCO-2015 scores'!$A$2:$A$131,0))),1,0),0)</f>
        <v>1</v>
      </c>
    </row>
    <row r="528" customFormat="false" ht="15" hidden="false" customHeight="false" outlineLevel="0" collapsed="false">
      <c r="A528" s="2" t="n">
        <v>526</v>
      </c>
      <c r="B528" s="2" t="s">
        <v>1962</v>
      </c>
      <c r="C528" s="2" t="s">
        <v>1963</v>
      </c>
      <c r="D528" s="2" t="s">
        <v>1964</v>
      </c>
      <c r="E528" s="2" t="str">
        <f aca="false">LEFT(C528,3)</f>
        <v>311</v>
      </c>
      <c r="F528" s="2" t="str">
        <f aca="false">IF(D528="","",LEFT(D528,3))</f>
        <v>311</v>
      </c>
      <c r="G528" s="2" t="str">
        <f aca="false">IF(F528="","",IF(E528=F528,"Yes","No"))</f>
        <v>Yes</v>
      </c>
      <c r="H528" s="2" t="n">
        <f aca="false">IF(D528="",0,1/COUNTIF($D$2:$D$3451,D528))</f>
        <v>1</v>
      </c>
      <c r="I528" s="13" t="n">
        <f aca="false">IFERROR(INDEX('NCO-2015 scores'!$C$2:$C$131,MATCH(E528,'NCO-2015 scores'!$A$2:$A$131,0)),0)</f>
        <v>0.2956</v>
      </c>
      <c r="J528" s="13" t="n">
        <f aca="false">IF(ISNUMBER(MATCH(E528,'NCO-2015 scores'!$A$2:$A$131,0)),IF(ISNUMBER(INDEX('NCO-2015 scores'!$C$2:$C$131,MATCH(E528,'NCO-2015 scores'!$A$2:$A$131,0))),1,0),0)</f>
        <v>1</v>
      </c>
    </row>
    <row r="529" customFormat="false" ht="15" hidden="false" customHeight="false" outlineLevel="0" collapsed="false">
      <c r="A529" s="2" t="n">
        <v>527</v>
      </c>
      <c r="B529" s="2" t="s">
        <v>1965</v>
      </c>
      <c r="C529" s="2" t="s">
        <v>1966</v>
      </c>
      <c r="D529" s="2" t="s">
        <v>1967</v>
      </c>
      <c r="E529" s="2" t="str">
        <f aca="false">LEFT(C529,3)</f>
        <v>311</v>
      </c>
      <c r="F529" s="2" t="str">
        <f aca="false">IF(D529="","",LEFT(D529,3))</f>
        <v>311</v>
      </c>
      <c r="G529" s="2" t="str">
        <f aca="false">IF(F529="","",IF(E529=F529,"Yes","No"))</f>
        <v>Yes</v>
      </c>
      <c r="H529" s="2" t="n">
        <f aca="false">IF(D529="",0,1/COUNTIF($D$2:$D$3451,D529))</f>
        <v>1</v>
      </c>
      <c r="I529" s="13" t="n">
        <f aca="false">IFERROR(INDEX('NCO-2015 scores'!$C$2:$C$131,MATCH(E529,'NCO-2015 scores'!$A$2:$A$131,0)),0)</f>
        <v>0.2956</v>
      </c>
      <c r="J529" s="13" t="n">
        <f aca="false">IF(ISNUMBER(MATCH(E529,'NCO-2015 scores'!$A$2:$A$131,0)),IF(ISNUMBER(INDEX('NCO-2015 scores'!$C$2:$C$131,MATCH(E529,'NCO-2015 scores'!$A$2:$A$131,0))),1,0),0)</f>
        <v>1</v>
      </c>
    </row>
    <row r="530" customFormat="false" ht="15" hidden="false" customHeight="false" outlineLevel="0" collapsed="false">
      <c r="A530" s="2" t="n">
        <v>528</v>
      </c>
      <c r="B530" s="2" t="s">
        <v>1968</v>
      </c>
      <c r="C530" s="2" t="s">
        <v>1969</v>
      </c>
      <c r="D530" s="2" t="s">
        <v>1970</v>
      </c>
      <c r="E530" s="2" t="str">
        <f aca="false">LEFT(C530,3)</f>
        <v>311</v>
      </c>
      <c r="F530" s="2" t="str">
        <f aca="false">IF(D530="","",LEFT(D530,3))</f>
        <v>311</v>
      </c>
      <c r="G530" s="2" t="str">
        <f aca="false">IF(F530="","",IF(E530=F530,"Yes","No"))</f>
        <v>Yes</v>
      </c>
      <c r="H530" s="2" t="n">
        <f aca="false">IF(D530="",0,1/COUNTIF($D$2:$D$3451,D530))</f>
        <v>1</v>
      </c>
      <c r="I530" s="13" t="n">
        <f aca="false">IFERROR(INDEX('NCO-2015 scores'!$C$2:$C$131,MATCH(E530,'NCO-2015 scores'!$A$2:$A$131,0)),0)</f>
        <v>0.2956</v>
      </c>
      <c r="J530" s="13" t="n">
        <f aca="false">IF(ISNUMBER(MATCH(E530,'NCO-2015 scores'!$A$2:$A$131,0)),IF(ISNUMBER(INDEX('NCO-2015 scores'!$C$2:$C$131,MATCH(E530,'NCO-2015 scores'!$A$2:$A$131,0))),1,0),0)</f>
        <v>1</v>
      </c>
    </row>
    <row r="531" customFormat="false" ht="15" hidden="false" customHeight="false" outlineLevel="0" collapsed="false">
      <c r="A531" s="2" t="n">
        <v>529</v>
      </c>
      <c r="B531" s="2" t="s">
        <v>1971</v>
      </c>
      <c r="C531" s="2" t="s">
        <v>1972</v>
      </c>
      <c r="D531" s="2" t="s">
        <v>1973</v>
      </c>
      <c r="E531" s="2" t="str">
        <f aca="false">LEFT(C531,3)</f>
        <v>311</v>
      </c>
      <c r="F531" s="2" t="str">
        <f aca="false">IF(D531="","",LEFT(D531,3))</f>
        <v>311</v>
      </c>
      <c r="G531" s="2" t="str">
        <f aca="false">IF(F531="","",IF(E531=F531,"Yes","No"))</f>
        <v>Yes</v>
      </c>
      <c r="H531" s="2" t="n">
        <f aca="false">IF(D531="",0,1/COUNTIF($D$2:$D$3451,D531))</f>
        <v>1</v>
      </c>
      <c r="I531" s="13" t="n">
        <f aca="false">IFERROR(INDEX('NCO-2015 scores'!$C$2:$C$131,MATCH(E531,'NCO-2015 scores'!$A$2:$A$131,0)),0)</f>
        <v>0.2956</v>
      </c>
      <c r="J531" s="13" t="n">
        <f aca="false">IF(ISNUMBER(MATCH(E531,'NCO-2015 scores'!$A$2:$A$131,0)),IF(ISNUMBER(INDEX('NCO-2015 scores'!$C$2:$C$131,MATCH(E531,'NCO-2015 scores'!$A$2:$A$131,0))),1,0),0)</f>
        <v>1</v>
      </c>
    </row>
    <row r="532" customFormat="false" ht="15" hidden="false" customHeight="false" outlineLevel="0" collapsed="false">
      <c r="A532" s="2" t="n">
        <v>530</v>
      </c>
      <c r="B532" s="2" t="s">
        <v>1974</v>
      </c>
      <c r="C532" s="2" t="s">
        <v>1975</v>
      </c>
      <c r="D532" s="2" t="s">
        <v>1976</v>
      </c>
      <c r="E532" s="2" t="str">
        <f aca="false">LEFT(C532,3)</f>
        <v>214</v>
      </c>
      <c r="F532" s="2" t="str">
        <f aca="false">IF(D532="","",LEFT(D532,3))</f>
        <v>214</v>
      </c>
      <c r="G532" s="2" t="str">
        <f aca="false">IF(F532="","",IF(E532=F532,"Yes","No"))</f>
        <v>Yes</v>
      </c>
      <c r="H532" s="2" t="n">
        <f aca="false">IF(D532="",0,1/COUNTIF($D$2:$D$3451,D532))</f>
        <v>1</v>
      </c>
      <c r="I532" s="13" t="n">
        <f aca="false">IFERROR(INDEX('NCO-2015 scores'!$C$2:$C$131,MATCH(E532,'NCO-2015 scores'!$A$2:$A$131,0)),0)</f>
        <v>0.33</v>
      </c>
      <c r="J532" s="13" t="n">
        <f aca="false">IF(ISNUMBER(MATCH(E532,'NCO-2015 scores'!$A$2:$A$131,0)),IF(ISNUMBER(INDEX('NCO-2015 scores'!$C$2:$C$131,MATCH(E532,'NCO-2015 scores'!$A$2:$A$131,0))),1,0),0)</f>
        <v>1</v>
      </c>
    </row>
    <row r="533" customFormat="false" ht="15" hidden="false" customHeight="false" outlineLevel="0" collapsed="false">
      <c r="A533" s="2" t="n">
        <v>531</v>
      </c>
      <c r="B533" s="2" t="s">
        <v>1977</v>
      </c>
      <c r="C533" s="2" t="s">
        <v>1978</v>
      </c>
      <c r="D533" s="2" t="s">
        <v>1979</v>
      </c>
      <c r="E533" s="2" t="str">
        <f aca="false">LEFT(C533,3)</f>
        <v>214</v>
      </c>
      <c r="F533" s="2" t="str">
        <f aca="false">IF(D533="","",LEFT(D533,3))</f>
        <v>214</v>
      </c>
      <c r="G533" s="2" t="str">
        <f aca="false">IF(F533="","",IF(E533=F533,"Yes","No"))</f>
        <v>Yes</v>
      </c>
      <c r="H533" s="2" t="n">
        <f aca="false">IF(D533="",0,1/COUNTIF($D$2:$D$3451,D533))</f>
        <v>1</v>
      </c>
      <c r="I533" s="13" t="n">
        <f aca="false">IFERROR(INDEX('NCO-2015 scores'!$C$2:$C$131,MATCH(E533,'NCO-2015 scores'!$A$2:$A$131,0)),0)</f>
        <v>0.33</v>
      </c>
      <c r="J533" s="13" t="n">
        <f aca="false">IF(ISNUMBER(MATCH(E533,'NCO-2015 scores'!$A$2:$A$131,0)),IF(ISNUMBER(INDEX('NCO-2015 scores'!$C$2:$C$131,MATCH(E533,'NCO-2015 scores'!$A$2:$A$131,0))),1,0),0)</f>
        <v>1</v>
      </c>
    </row>
    <row r="534" customFormat="false" ht="15" hidden="false" customHeight="false" outlineLevel="0" collapsed="false">
      <c r="A534" s="2" t="n">
        <v>532</v>
      </c>
      <c r="B534" s="2" t="s">
        <v>1980</v>
      </c>
      <c r="C534" s="2" t="s">
        <v>1981</v>
      </c>
      <c r="D534" s="2" t="s">
        <v>1982</v>
      </c>
      <c r="E534" s="2" t="str">
        <f aca="false">LEFT(C534,3)</f>
        <v>214</v>
      </c>
      <c r="F534" s="2" t="str">
        <f aca="false">IF(D534="","",LEFT(D534,3))</f>
        <v>214</v>
      </c>
      <c r="G534" s="2" t="str">
        <f aca="false">IF(F534="","",IF(E534=F534,"Yes","No"))</f>
        <v>Yes</v>
      </c>
      <c r="H534" s="2" t="n">
        <f aca="false">IF(D534="",0,1/COUNTIF($D$2:$D$3451,D534))</f>
        <v>1</v>
      </c>
      <c r="I534" s="13" t="n">
        <f aca="false">IFERROR(INDEX('NCO-2015 scores'!$C$2:$C$131,MATCH(E534,'NCO-2015 scores'!$A$2:$A$131,0)),0)</f>
        <v>0.33</v>
      </c>
      <c r="J534" s="13" t="n">
        <f aca="false">IF(ISNUMBER(MATCH(E534,'NCO-2015 scores'!$A$2:$A$131,0)),IF(ISNUMBER(INDEX('NCO-2015 scores'!$C$2:$C$131,MATCH(E534,'NCO-2015 scores'!$A$2:$A$131,0))),1,0),0)</f>
        <v>1</v>
      </c>
    </row>
    <row r="535" customFormat="false" ht="15" hidden="false" customHeight="false" outlineLevel="0" collapsed="false">
      <c r="A535" s="2" t="n">
        <v>533</v>
      </c>
      <c r="B535" s="2" t="s">
        <v>1983</v>
      </c>
      <c r="C535" s="2" t="s">
        <v>1984</v>
      </c>
      <c r="D535" s="2"/>
      <c r="E535" s="2" t="str">
        <f aca="false">LEFT(C535,3)</f>
        <v>214</v>
      </c>
      <c r="F535" s="2" t="str">
        <f aca="false">IF(D535="","",LEFT(D535,3))</f>
        <v/>
      </c>
      <c r="G535" s="2" t="str">
        <f aca="false">IF(F535="","",IF(E535=F535,"Yes","No"))</f>
        <v/>
      </c>
      <c r="H535" s="2" t="n">
        <f aca="false">IF(D535="",0,1/COUNTIF($D$2:$D$3451,D535))</f>
        <v>0</v>
      </c>
      <c r="I535" s="13" t="n">
        <f aca="false">IFERROR(INDEX('NCO-2015 scores'!$C$2:$C$131,MATCH(E535,'NCO-2015 scores'!$A$2:$A$131,0)),0)</f>
        <v>0.33</v>
      </c>
      <c r="J535" s="13" t="n">
        <f aca="false">IF(ISNUMBER(MATCH(E535,'NCO-2015 scores'!$A$2:$A$131,0)),IF(ISNUMBER(INDEX('NCO-2015 scores'!$C$2:$C$131,MATCH(E535,'NCO-2015 scores'!$A$2:$A$131,0))),1,0),0)</f>
        <v>1</v>
      </c>
    </row>
    <row r="536" customFormat="false" ht="15" hidden="false" customHeight="false" outlineLevel="0" collapsed="false">
      <c r="A536" s="2" t="n">
        <v>534</v>
      </c>
      <c r="B536" s="2" t="s">
        <v>1985</v>
      </c>
      <c r="C536" s="2" t="s">
        <v>1986</v>
      </c>
      <c r="D536" s="2" t="s">
        <v>1987</v>
      </c>
      <c r="E536" s="2" t="str">
        <f aca="false">LEFT(C536,3)</f>
        <v>214</v>
      </c>
      <c r="F536" s="2" t="str">
        <f aca="false">IF(D536="","",LEFT(D536,3))</f>
        <v>214</v>
      </c>
      <c r="G536" s="2" t="str">
        <f aca="false">IF(F536="","",IF(E536=F536,"Yes","No"))</f>
        <v>Yes</v>
      </c>
      <c r="H536" s="2" t="n">
        <f aca="false">IF(D536="",0,1/COUNTIF($D$2:$D$3451,D536))</f>
        <v>1</v>
      </c>
      <c r="I536" s="13" t="n">
        <f aca="false">IFERROR(INDEX('NCO-2015 scores'!$C$2:$C$131,MATCH(E536,'NCO-2015 scores'!$A$2:$A$131,0)),0)</f>
        <v>0.33</v>
      </c>
      <c r="J536" s="13" t="n">
        <f aca="false">IF(ISNUMBER(MATCH(E536,'NCO-2015 scores'!$A$2:$A$131,0)),IF(ISNUMBER(INDEX('NCO-2015 scores'!$C$2:$C$131,MATCH(E536,'NCO-2015 scores'!$A$2:$A$131,0))),1,0),0)</f>
        <v>1</v>
      </c>
    </row>
    <row r="537" customFormat="false" ht="15" hidden="false" customHeight="false" outlineLevel="0" collapsed="false">
      <c r="A537" s="2" t="n">
        <v>535</v>
      </c>
      <c r="B537" s="2" t="s">
        <v>1988</v>
      </c>
      <c r="C537" s="2" t="s">
        <v>1989</v>
      </c>
      <c r="D537" s="2"/>
      <c r="E537" s="2" t="str">
        <f aca="false">LEFT(C537,3)</f>
        <v>214</v>
      </c>
      <c r="F537" s="2" t="str">
        <f aca="false">IF(D537="","",LEFT(D537,3))</f>
        <v/>
      </c>
      <c r="G537" s="2" t="str">
        <f aca="false">IF(F537="","",IF(E537=F537,"Yes","No"))</f>
        <v/>
      </c>
      <c r="H537" s="2" t="n">
        <f aca="false">IF(D537="",0,1/COUNTIF($D$2:$D$3451,D537))</f>
        <v>0</v>
      </c>
      <c r="I537" s="13" t="n">
        <f aca="false">IFERROR(INDEX('NCO-2015 scores'!$C$2:$C$131,MATCH(E537,'NCO-2015 scores'!$A$2:$A$131,0)),0)</f>
        <v>0.33</v>
      </c>
      <c r="J537" s="13" t="n">
        <f aca="false">IF(ISNUMBER(MATCH(E537,'NCO-2015 scores'!$A$2:$A$131,0)),IF(ISNUMBER(INDEX('NCO-2015 scores'!$C$2:$C$131,MATCH(E537,'NCO-2015 scores'!$A$2:$A$131,0))),1,0),0)</f>
        <v>1</v>
      </c>
    </row>
    <row r="538" customFormat="false" ht="15" hidden="false" customHeight="false" outlineLevel="0" collapsed="false">
      <c r="A538" s="2" t="n">
        <v>536</v>
      </c>
      <c r="B538" s="2" t="s">
        <v>1990</v>
      </c>
      <c r="C538" s="2" t="s">
        <v>1991</v>
      </c>
      <c r="D538" s="2" t="s">
        <v>1992</v>
      </c>
      <c r="E538" s="2" t="str">
        <f aca="false">LEFT(C538,3)</f>
        <v>214</v>
      </c>
      <c r="F538" s="2" t="str">
        <f aca="false">IF(D538="","",LEFT(D538,3))</f>
        <v>214</v>
      </c>
      <c r="G538" s="2" t="str">
        <f aca="false">IF(F538="","",IF(E538=F538,"Yes","No"))</f>
        <v>Yes</v>
      </c>
      <c r="H538" s="2" t="n">
        <f aca="false">IF(D538="",0,1/COUNTIF($D$2:$D$3451,D538))</f>
        <v>1</v>
      </c>
      <c r="I538" s="13" t="n">
        <f aca="false">IFERROR(INDEX('NCO-2015 scores'!$C$2:$C$131,MATCH(E538,'NCO-2015 scores'!$A$2:$A$131,0)),0)</f>
        <v>0.33</v>
      </c>
      <c r="J538" s="13" t="n">
        <f aca="false">IF(ISNUMBER(MATCH(E538,'NCO-2015 scores'!$A$2:$A$131,0)),IF(ISNUMBER(INDEX('NCO-2015 scores'!$C$2:$C$131,MATCH(E538,'NCO-2015 scores'!$A$2:$A$131,0))),1,0),0)</f>
        <v>1</v>
      </c>
    </row>
    <row r="539" customFormat="false" ht="15" hidden="false" customHeight="false" outlineLevel="0" collapsed="false">
      <c r="A539" s="2" t="n">
        <v>537</v>
      </c>
      <c r="B539" s="2" t="s">
        <v>1993</v>
      </c>
      <c r="C539" s="2" t="s">
        <v>1994</v>
      </c>
      <c r="D539" s="2" t="s">
        <v>1995</v>
      </c>
      <c r="E539" s="2" t="str">
        <f aca="false">LEFT(C539,3)</f>
        <v>214</v>
      </c>
      <c r="F539" s="2" t="str">
        <f aca="false">IF(D539="","",LEFT(D539,3))</f>
        <v>214</v>
      </c>
      <c r="G539" s="2" t="str">
        <f aca="false">IF(F539="","",IF(E539=F539,"Yes","No"))</f>
        <v>Yes</v>
      </c>
      <c r="H539" s="2" t="n">
        <f aca="false">IF(D539="",0,1/COUNTIF($D$2:$D$3451,D539))</f>
        <v>1</v>
      </c>
      <c r="I539" s="13" t="n">
        <f aca="false">IFERROR(INDEX('NCO-2015 scores'!$C$2:$C$131,MATCH(E539,'NCO-2015 scores'!$A$2:$A$131,0)),0)</f>
        <v>0.33</v>
      </c>
      <c r="J539" s="13" t="n">
        <f aca="false">IF(ISNUMBER(MATCH(E539,'NCO-2015 scores'!$A$2:$A$131,0)),IF(ISNUMBER(INDEX('NCO-2015 scores'!$C$2:$C$131,MATCH(E539,'NCO-2015 scores'!$A$2:$A$131,0))),1,0),0)</f>
        <v>1</v>
      </c>
    </row>
    <row r="540" customFormat="false" ht="15" hidden="false" customHeight="false" outlineLevel="0" collapsed="false">
      <c r="A540" s="2" t="n">
        <v>538</v>
      </c>
      <c r="B540" s="2" t="s">
        <v>1996</v>
      </c>
      <c r="C540" s="2" t="s">
        <v>1997</v>
      </c>
      <c r="D540" s="2" t="s">
        <v>1998</v>
      </c>
      <c r="E540" s="2" t="str">
        <f aca="false">LEFT(C540,3)</f>
        <v>214</v>
      </c>
      <c r="F540" s="2" t="str">
        <f aca="false">IF(D540="","",LEFT(D540,3))</f>
        <v>214</v>
      </c>
      <c r="G540" s="2" t="str">
        <f aca="false">IF(F540="","",IF(E540=F540,"Yes","No"))</f>
        <v>Yes</v>
      </c>
      <c r="H540" s="2" t="n">
        <f aca="false">IF(D540="",0,1/COUNTIF($D$2:$D$3451,D540))</f>
        <v>1</v>
      </c>
      <c r="I540" s="13" t="n">
        <f aca="false">IFERROR(INDEX('NCO-2015 scores'!$C$2:$C$131,MATCH(E540,'NCO-2015 scores'!$A$2:$A$131,0)),0)</f>
        <v>0.33</v>
      </c>
      <c r="J540" s="13" t="n">
        <f aca="false">IF(ISNUMBER(MATCH(E540,'NCO-2015 scores'!$A$2:$A$131,0)),IF(ISNUMBER(INDEX('NCO-2015 scores'!$C$2:$C$131,MATCH(E540,'NCO-2015 scores'!$A$2:$A$131,0))),1,0),0)</f>
        <v>1</v>
      </c>
    </row>
    <row r="541" customFormat="false" ht="15" hidden="false" customHeight="false" outlineLevel="0" collapsed="false">
      <c r="A541" s="2" t="n">
        <v>539</v>
      </c>
      <c r="B541" s="2" t="s">
        <v>1999</v>
      </c>
      <c r="C541" s="2" t="s">
        <v>2000</v>
      </c>
      <c r="D541" s="2" t="s">
        <v>2001</v>
      </c>
      <c r="E541" s="2" t="str">
        <f aca="false">LEFT(C541,3)</f>
        <v>214</v>
      </c>
      <c r="F541" s="2" t="str">
        <f aca="false">IF(D541="","",LEFT(D541,3))</f>
        <v>214</v>
      </c>
      <c r="G541" s="2" t="str">
        <f aca="false">IF(F541="","",IF(E541=F541,"Yes","No"))</f>
        <v>Yes</v>
      </c>
      <c r="H541" s="2" t="n">
        <f aca="false">IF(D541="",0,1/COUNTIF($D$2:$D$3451,D541))</f>
        <v>1</v>
      </c>
      <c r="I541" s="13" t="n">
        <f aca="false">IFERROR(INDEX('NCO-2015 scores'!$C$2:$C$131,MATCH(E541,'NCO-2015 scores'!$A$2:$A$131,0)),0)</f>
        <v>0.33</v>
      </c>
      <c r="J541" s="13" t="n">
        <f aca="false">IF(ISNUMBER(MATCH(E541,'NCO-2015 scores'!$A$2:$A$131,0)),IF(ISNUMBER(INDEX('NCO-2015 scores'!$C$2:$C$131,MATCH(E541,'NCO-2015 scores'!$A$2:$A$131,0))),1,0),0)</f>
        <v>1</v>
      </c>
    </row>
    <row r="542" customFormat="false" ht="15" hidden="false" customHeight="false" outlineLevel="0" collapsed="false">
      <c r="A542" s="2" t="n">
        <v>540</v>
      </c>
      <c r="B542" s="2" t="s">
        <v>2002</v>
      </c>
      <c r="C542" s="2" t="s">
        <v>2003</v>
      </c>
      <c r="D542" s="2"/>
      <c r="E542" s="2" t="str">
        <f aca="false">LEFT(C542,3)</f>
        <v>214</v>
      </c>
      <c r="F542" s="2" t="str">
        <f aca="false">IF(D542="","",LEFT(D542,3))</f>
        <v/>
      </c>
      <c r="G542" s="2" t="str">
        <f aca="false">IF(F542="","",IF(E542=F542,"Yes","No"))</f>
        <v/>
      </c>
      <c r="H542" s="2" t="n">
        <f aca="false">IF(D542="",0,1/COUNTIF($D$2:$D$3451,D542))</f>
        <v>0</v>
      </c>
      <c r="I542" s="13" t="n">
        <f aca="false">IFERROR(INDEX('NCO-2015 scores'!$C$2:$C$131,MATCH(E542,'NCO-2015 scores'!$A$2:$A$131,0)),0)</f>
        <v>0.33</v>
      </c>
      <c r="J542" s="13" t="n">
        <f aca="false">IF(ISNUMBER(MATCH(E542,'NCO-2015 scores'!$A$2:$A$131,0)),IF(ISNUMBER(INDEX('NCO-2015 scores'!$C$2:$C$131,MATCH(E542,'NCO-2015 scores'!$A$2:$A$131,0))),1,0),0)</f>
        <v>1</v>
      </c>
    </row>
    <row r="543" customFormat="false" ht="15" hidden="false" customHeight="false" outlineLevel="0" collapsed="false">
      <c r="A543" s="2" t="n">
        <v>541</v>
      </c>
      <c r="B543" s="2" t="s">
        <v>2004</v>
      </c>
      <c r="C543" s="2" t="s">
        <v>2005</v>
      </c>
      <c r="D543" s="2" t="s">
        <v>2006</v>
      </c>
      <c r="E543" s="2" t="str">
        <f aca="false">LEFT(C543,3)</f>
        <v>214</v>
      </c>
      <c r="F543" s="2" t="str">
        <f aca="false">IF(D543="","",LEFT(D543,3))</f>
        <v>214</v>
      </c>
      <c r="G543" s="2" t="str">
        <f aca="false">IF(F543="","",IF(E543=F543,"Yes","No"))</f>
        <v>Yes</v>
      </c>
      <c r="H543" s="2" t="n">
        <f aca="false">IF(D543="",0,1/COUNTIF($D$2:$D$3451,D543))</f>
        <v>1</v>
      </c>
      <c r="I543" s="13" t="n">
        <f aca="false">IFERROR(INDEX('NCO-2015 scores'!$C$2:$C$131,MATCH(E543,'NCO-2015 scores'!$A$2:$A$131,0)),0)</f>
        <v>0.33</v>
      </c>
      <c r="J543" s="13" t="n">
        <f aca="false">IF(ISNUMBER(MATCH(E543,'NCO-2015 scores'!$A$2:$A$131,0)),IF(ISNUMBER(INDEX('NCO-2015 scores'!$C$2:$C$131,MATCH(E543,'NCO-2015 scores'!$A$2:$A$131,0))),1,0),0)</f>
        <v>1</v>
      </c>
    </row>
    <row r="544" customFormat="false" ht="15" hidden="false" customHeight="false" outlineLevel="0" collapsed="false">
      <c r="A544" s="2" t="n">
        <v>542</v>
      </c>
      <c r="B544" s="2" t="s">
        <v>2007</v>
      </c>
      <c r="C544" s="2" t="s">
        <v>2008</v>
      </c>
      <c r="D544" s="2"/>
      <c r="E544" s="2" t="str">
        <f aca="false">LEFT(C544,3)</f>
        <v>214</v>
      </c>
      <c r="F544" s="2" t="str">
        <f aca="false">IF(D544="","",LEFT(D544,3))</f>
        <v/>
      </c>
      <c r="G544" s="2" t="str">
        <f aca="false">IF(F544="","",IF(E544=F544,"Yes","No"))</f>
        <v/>
      </c>
      <c r="H544" s="2" t="n">
        <f aca="false">IF(D544="",0,1/COUNTIF($D$2:$D$3451,D544))</f>
        <v>0</v>
      </c>
      <c r="I544" s="13" t="n">
        <f aca="false">IFERROR(INDEX('NCO-2015 scores'!$C$2:$C$131,MATCH(E544,'NCO-2015 scores'!$A$2:$A$131,0)),0)</f>
        <v>0.33</v>
      </c>
      <c r="J544" s="13" t="n">
        <f aca="false">IF(ISNUMBER(MATCH(E544,'NCO-2015 scores'!$A$2:$A$131,0)),IF(ISNUMBER(INDEX('NCO-2015 scores'!$C$2:$C$131,MATCH(E544,'NCO-2015 scores'!$A$2:$A$131,0))),1,0),0)</f>
        <v>1</v>
      </c>
    </row>
    <row r="545" customFormat="false" ht="15" hidden="false" customHeight="false" outlineLevel="0" collapsed="false">
      <c r="A545" s="2" t="n">
        <v>543</v>
      </c>
      <c r="B545" s="2" t="s">
        <v>2009</v>
      </c>
      <c r="C545" s="2" t="s">
        <v>2010</v>
      </c>
      <c r="D545" s="2" t="s">
        <v>2011</v>
      </c>
      <c r="E545" s="2" t="str">
        <f aca="false">LEFT(C545,3)</f>
        <v>214</v>
      </c>
      <c r="F545" s="2" t="str">
        <f aca="false">IF(D545="","",LEFT(D545,3))</f>
        <v>214</v>
      </c>
      <c r="G545" s="2" t="str">
        <f aca="false">IF(F545="","",IF(E545=F545,"Yes","No"))</f>
        <v>Yes</v>
      </c>
      <c r="H545" s="2" t="n">
        <f aca="false">IF(D545="",0,1/COUNTIF($D$2:$D$3451,D545))</f>
        <v>1</v>
      </c>
      <c r="I545" s="13" t="n">
        <f aca="false">IFERROR(INDEX('NCO-2015 scores'!$C$2:$C$131,MATCH(E545,'NCO-2015 scores'!$A$2:$A$131,0)),0)</f>
        <v>0.33</v>
      </c>
      <c r="J545" s="13" t="n">
        <f aca="false">IF(ISNUMBER(MATCH(E545,'NCO-2015 scores'!$A$2:$A$131,0)),IF(ISNUMBER(INDEX('NCO-2015 scores'!$C$2:$C$131,MATCH(E545,'NCO-2015 scores'!$A$2:$A$131,0))),1,0),0)</f>
        <v>1</v>
      </c>
    </row>
    <row r="546" customFormat="false" ht="15" hidden="false" customHeight="false" outlineLevel="0" collapsed="false">
      <c r="A546" s="2" t="n">
        <v>544</v>
      </c>
      <c r="B546" s="2" t="s">
        <v>2012</v>
      </c>
      <c r="C546" s="2" t="s">
        <v>2013</v>
      </c>
      <c r="D546" s="2"/>
      <c r="E546" s="2" t="str">
        <f aca="false">LEFT(C546,3)</f>
        <v>214</v>
      </c>
      <c r="F546" s="2" t="str">
        <f aca="false">IF(D546="","",LEFT(D546,3))</f>
        <v/>
      </c>
      <c r="G546" s="2" t="str">
        <f aca="false">IF(F546="","",IF(E546=F546,"Yes","No"))</f>
        <v/>
      </c>
      <c r="H546" s="2" t="n">
        <f aca="false">IF(D546="",0,1/COUNTIF($D$2:$D$3451,D546))</f>
        <v>0</v>
      </c>
      <c r="I546" s="13" t="n">
        <f aca="false">IFERROR(INDEX('NCO-2015 scores'!$C$2:$C$131,MATCH(E546,'NCO-2015 scores'!$A$2:$A$131,0)),0)</f>
        <v>0.33</v>
      </c>
      <c r="J546" s="13" t="n">
        <f aca="false">IF(ISNUMBER(MATCH(E546,'NCO-2015 scores'!$A$2:$A$131,0)),IF(ISNUMBER(INDEX('NCO-2015 scores'!$C$2:$C$131,MATCH(E546,'NCO-2015 scores'!$A$2:$A$131,0))),1,0),0)</f>
        <v>1</v>
      </c>
    </row>
    <row r="547" customFormat="false" ht="15" hidden="false" customHeight="false" outlineLevel="0" collapsed="false">
      <c r="A547" s="2" t="n">
        <v>545</v>
      </c>
      <c r="B547" s="2" t="s">
        <v>2014</v>
      </c>
      <c r="C547" s="2" t="s">
        <v>2015</v>
      </c>
      <c r="D547" s="2" t="s">
        <v>2016</v>
      </c>
      <c r="E547" s="2" t="str">
        <f aca="false">LEFT(C547,3)</f>
        <v>214</v>
      </c>
      <c r="F547" s="2" t="str">
        <f aca="false">IF(D547="","",LEFT(D547,3))</f>
        <v>214</v>
      </c>
      <c r="G547" s="2" t="str">
        <f aca="false">IF(F547="","",IF(E547=F547,"Yes","No"))</f>
        <v>Yes</v>
      </c>
      <c r="H547" s="2" t="n">
        <f aca="false">IF(D547="",0,1/COUNTIF($D$2:$D$3451,D547))</f>
        <v>1</v>
      </c>
      <c r="I547" s="13" t="n">
        <f aca="false">IFERROR(INDEX('NCO-2015 scores'!$C$2:$C$131,MATCH(E547,'NCO-2015 scores'!$A$2:$A$131,0)),0)</f>
        <v>0.33</v>
      </c>
      <c r="J547" s="13" t="n">
        <f aca="false">IF(ISNUMBER(MATCH(E547,'NCO-2015 scores'!$A$2:$A$131,0)),IF(ISNUMBER(INDEX('NCO-2015 scores'!$C$2:$C$131,MATCH(E547,'NCO-2015 scores'!$A$2:$A$131,0))),1,0),0)</f>
        <v>1</v>
      </c>
    </row>
    <row r="548" customFormat="false" ht="15" hidden="false" customHeight="false" outlineLevel="0" collapsed="false">
      <c r="A548" s="2" t="n">
        <v>546</v>
      </c>
      <c r="B548" s="2" t="s">
        <v>2017</v>
      </c>
      <c r="C548" s="2" t="s">
        <v>2018</v>
      </c>
      <c r="D548" s="2" t="s">
        <v>2019</v>
      </c>
      <c r="E548" s="2" t="str">
        <f aca="false">LEFT(C548,3)</f>
        <v>911</v>
      </c>
      <c r="F548" s="2" t="str">
        <f aca="false">IF(D548="","",LEFT(D548,3))</f>
        <v>913</v>
      </c>
      <c r="G548" s="2" t="str">
        <f aca="false">IF(F548="","",IF(E548=F548,"Yes","No"))</f>
        <v>No</v>
      </c>
      <c r="H548" s="2" t="n">
        <f aca="false">IF(D548="",0,1/COUNTIF($D$2:$D$3451,D548))</f>
        <v>1</v>
      </c>
      <c r="I548" s="13" t="n">
        <f aca="false">IFERROR(INDEX('NCO-2015 scores'!$C$2:$C$131,MATCH(E548,'NCO-2015 scores'!$A$2:$A$131,0)),0)</f>
        <v>0.13</v>
      </c>
      <c r="J548" s="13" t="n">
        <f aca="false">IF(ISNUMBER(MATCH(E548,'NCO-2015 scores'!$A$2:$A$131,0)),IF(ISNUMBER(INDEX('NCO-2015 scores'!$C$2:$C$131,MATCH(E548,'NCO-2015 scores'!$A$2:$A$131,0))),1,0),0)</f>
        <v>1</v>
      </c>
    </row>
    <row r="549" customFormat="false" ht="15" hidden="false" customHeight="false" outlineLevel="0" collapsed="false">
      <c r="A549" s="2" t="n">
        <v>547</v>
      </c>
      <c r="B549" s="2" t="s">
        <v>2020</v>
      </c>
      <c r="C549" s="2" t="s">
        <v>2021</v>
      </c>
      <c r="D549" s="2" t="s">
        <v>2022</v>
      </c>
      <c r="E549" s="2" t="str">
        <f aca="false">LEFT(C549,3)</f>
        <v>911</v>
      </c>
      <c r="F549" s="2" t="str">
        <f aca="false">IF(D549="","",LEFT(D549,3))</f>
        <v>913</v>
      </c>
      <c r="G549" s="2" t="str">
        <f aca="false">IF(F549="","",IF(E549=F549,"Yes","No"))</f>
        <v>No</v>
      </c>
      <c r="H549" s="2" t="n">
        <f aca="false">IF(D549="",0,1/COUNTIF($D$2:$D$3451,D549))</f>
        <v>1</v>
      </c>
      <c r="I549" s="13" t="n">
        <f aca="false">IFERROR(INDEX('NCO-2015 scores'!$C$2:$C$131,MATCH(E549,'NCO-2015 scores'!$A$2:$A$131,0)),0)</f>
        <v>0.13</v>
      </c>
      <c r="J549" s="13" t="n">
        <f aca="false">IF(ISNUMBER(MATCH(E549,'NCO-2015 scores'!$A$2:$A$131,0)),IF(ISNUMBER(INDEX('NCO-2015 scores'!$C$2:$C$131,MATCH(E549,'NCO-2015 scores'!$A$2:$A$131,0))),1,0),0)</f>
        <v>1</v>
      </c>
    </row>
    <row r="550" customFormat="false" ht="15" hidden="false" customHeight="false" outlineLevel="0" collapsed="false">
      <c r="A550" s="2" t="n">
        <v>548</v>
      </c>
      <c r="B550" s="2" t="s">
        <v>2023</v>
      </c>
      <c r="C550" s="2" t="s">
        <v>2024</v>
      </c>
      <c r="D550" s="2" t="s">
        <v>2025</v>
      </c>
      <c r="E550" s="2" t="str">
        <f aca="false">LEFT(C550,3)</f>
        <v>911</v>
      </c>
      <c r="F550" s="2" t="str">
        <f aca="false">IF(D550="","",LEFT(D550,3))</f>
        <v>913</v>
      </c>
      <c r="G550" s="2" t="str">
        <f aca="false">IF(F550="","",IF(E550=F550,"Yes","No"))</f>
        <v>No</v>
      </c>
      <c r="H550" s="2" t="n">
        <f aca="false">IF(D550="",0,1/COUNTIF($D$2:$D$3451,D550))</f>
        <v>1</v>
      </c>
      <c r="I550" s="13" t="n">
        <f aca="false">IFERROR(INDEX('NCO-2015 scores'!$C$2:$C$131,MATCH(E550,'NCO-2015 scores'!$A$2:$A$131,0)),0)</f>
        <v>0.13</v>
      </c>
      <c r="J550" s="13" t="n">
        <f aca="false">IF(ISNUMBER(MATCH(E550,'NCO-2015 scores'!$A$2:$A$131,0)),IF(ISNUMBER(INDEX('NCO-2015 scores'!$C$2:$C$131,MATCH(E550,'NCO-2015 scores'!$A$2:$A$131,0))),1,0),0)</f>
        <v>1</v>
      </c>
    </row>
    <row r="551" customFormat="false" ht="15" hidden="false" customHeight="false" outlineLevel="0" collapsed="false">
      <c r="A551" s="2" t="n">
        <v>549</v>
      </c>
      <c r="B551" s="2" t="s">
        <v>2026</v>
      </c>
      <c r="C551" s="2" t="s">
        <v>2027</v>
      </c>
      <c r="D551" s="2" t="s">
        <v>2028</v>
      </c>
      <c r="E551" s="2" t="str">
        <f aca="false">LEFT(C551,3)</f>
        <v>515</v>
      </c>
      <c r="F551" s="2" t="str">
        <f aca="false">IF(D551="","",LEFT(D551,3))</f>
        <v>512</v>
      </c>
      <c r="G551" s="2" t="str">
        <f aca="false">IF(F551="","",IF(E551=F551,"Yes","No"))</f>
        <v>No</v>
      </c>
      <c r="H551" s="2" t="n">
        <f aca="false">IF(D551="",0,1/COUNTIF($D$2:$D$3451,D551))</f>
        <v>1</v>
      </c>
      <c r="I551" s="13" t="n">
        <f aca="false">IFERROR(INDEX('NCO-2015 scores'!$C$2:$C$131,MATCH(E551,'NCO-2015 scores'!$A$2:$A$131,0)),0)</f>
        <v>0.23</v>
      </c>
      <c r="J551" s="13" t="n">
        <f aca="false">IF(ISNUMBER(MATCH(E551,'NCO-2015 scores'!$A$2:$A$131,0)),IF(ISNUMBER(INDEX('NCO-2015 scores'!$C$2:$C$131,MATCH(E551,'NCO-2015 scores'!$A$2:$A$131,0))),1,0),0)</f>
        <v>1</v>
      </c>
    </row>
    <row r="552" customFormat="false" ht="15" hidden="false" customHeight="false" outlineLevel="0" collapsed="false">
      <c r="A552" s="2" t="n">
        <v>550</v>
      </c>
      <c r="B552" s="2" t="s">
        <v>2029</v>
      </c>
      <c r="C552" s="2" t="s">
        <v>2030</v>
      </c>
      <c r="D552" s="2"/>
      <c r="E552" s="2" t="str">
        <f aca="false">LEFT(C552,3)</f>
        <v>515</v>
      </c>
      <c r="F552" s="2" t="str">
        <f aca="false">IF(D552="","",LEFT(D552,3))</f>
        <v/>
      </c>
      <c r="G552" s="2" t="str">
        <f aca="false">IF(F552="","",IF(E552=F552,"Yes","No"))</f>
        <v/>
      </c>
      <c r="H552" s="2" t="n">
        <f aca="false">IF(D552="",0,1/COUNTIF($D$2:$D$3451,D552))</f>
        <v>0</v>
      </c>
      <c r="I552" s="13" t="n">
        <f aca="false">IFERROR(INDEX('NCO-2015 scores'!$C$2:$C$131,MATCH(E552,'NCO-2015 scores'!$A$2:$A$131,0)),0)</f>
        <v>0.23</v>
      </c>
      <c r="J552" s="13" t="n">
        <f aca="false">IF(ISNUMBER(MATCH(E552,'NCO-2015 scores'!$A$2:$A$131,0)),IF(ISNUMBER(INDEX('NCO-2015 scores'!$C$2:$C$131,MATCH(E552,'NCO-2015 scores'!$A$2:$A$131,0))),1,0),0)</f>
        <v>1</v>
      </c>
    </row>
    <row r="553" customFormat="false" ht="15" hidden="false" customHeight="false" outlineLevel="0" collapsed="false">
      <c r="A553" s="2" t="n">
        <v>551</v>
      </c>
      <c r="B553" s="2" t="s">
        <v>2031</v>
      </c>
      <c r="C553" s="2" t="s">
        <v>2032</v>
      </c>
      <c r="D553" s="2" t="s">
        <v>2033</v>
      </c>
      <c r="E553" s="2" t="str">
        <f aca="false">LEFT(C553,3)</f>
        <v>515</v>
      </c>
      <c r="F553" s="2" t="str">
        <f aca="false">IF(D553="","",LEFT(D553,3))</f>
        <v>512</v>
      </c>
      <c r="G553" s="2" t="str">
        <f aca="false">IF(F553="","",IF(E553=F553,"Yes","No"))</f>
        <v>No</v>
      </c>
      <c r="H553" s="2" t="n">
        <f aca="false">IF(D553="",0,1/COUNTIF($D$2:$D$3451,D553))</f>
        <v>1</v>
      </c>
      <c r="I553" s="13" t="n">
        <f aca="false">IFERROR(INDEX('NCO-2015 scores'!$C$2:$C$131,MATCH(E553,'NCO-2015 scores'!$A$2:$A$131,0)),0)</f>
        <v>0.23</v>
      </c>
      <c r="J553" s="13" t="n">
        <f aca="false">IF(ISNUMBER(MATCH(E553,'NCO-2015 scores'!$A$2:$A$131,0)),IF(ISNUMBER(INDEX('NCO-2015 scores'!$C$2:$C$131,MATCH(E553,'NCO-2015 scores'!$A$2:$A$131,0))),1,0),0)</f>
        <v>1</v>
      </c>
    </row>
    <row r="554" customFormat="false" ht="15" hidden="false" customHeight="false" outlineLevel="0" collapsed="false">
      <c r="A554" s="2" t="n">
        <v>552</v>
      </c>
      <c r="B554" s="2" t="s">
        <v>2034</v>
      </c>
      <c r="C554" s="2" t="s">
        <v>2035</v>
      </c>
      <c r="D554" s="2" t="s">
        <v>2036</v>
      </c>
      <c r="E554" s="2" t="str">
        <f aca="false">LEFT(C554,3)</f>
        <v>515</v>
      </c>
      <c r="F554" s="2" t="str">
        <f aca="false">IF(D554="","",LEFT(D554,3))</f>
        <v>512</v>
      </c>
      <c r="G554" s="2" t="str">
        <f aca="false">IF(F554="","",IF(E554=F554,"Yes","No"))</f>
        <v>No</v>
      </c>
      <c r="H554" s="2" t="n">
        <f aca="false">IF(D554="",0,1/COUNTIF($D$2:$D$3451,D554))</f>
        <v>1</v>
      </c>
      <c r="I554" s="13" t="n">
        <f aca="false">IFERROR(INDEX('NCO-2015 scores'!$C$2:$C$131,MATCH(E554,'NCO-2015 scores'!$A$2:$A$131,0)),0)</f>
        <v>0.23</v>
      </c>
      <c r="J554" s="13" t="n">
        <f aca="false">IF(ISNUMBER(MATCH(E554,'NCO-2015 scores'!$A$2:$A$131,0)),IF(ISNUMBER(INDEX('NCO-2015 scores'!$C$2:$C$131,MATCH(E554,'NCO-2015 scores'!$A$2:$A$131,0))),1,0),0)</f>
        <v>1</v>
      </c>
    </row>
    <row r="555" customFormat="false" ht="15" hidden="false" customHeight="false" outlineLevel="0" collapsed="false">
      <c r="A555" s="2" t="n">
        <v>553</v>
      </c>
      <c r="B555" s="2" t="s">
        <v>2037</v>
      </c>
      <c r="C555" s="2" t="s">
        <v>2038</v>
      </c>
      <c r="D555" s="2" t="s">
        <v>2039</v>
      </c>
      <c r="E555" s="2" t="str">
        <f aca="false">LEFT(C555,3)</f>
        <v>515</v>
      </c>
      <c r="F555" s="2" t="str">
        <f aca="false">IF(D555="","",LEFT(D555,3))</f>
        <v>512</v>
      </c>
      <c r="G555" s="2" t="str">
        <f aca="false">IF(F555="","",IF(E555=F555,"Yes","No"))</f>
        <v>No</v>
      </c>
      <c r="H555" s="2" t="n">
        <f aca="false">IF(D555="",0,1/COUNTIF($D$2:$D$3451,D555))</f>
        <v>1</v>
      </c>
      <c r="I555" s="13" t="n">
        <f aca="false">IFERROR(INDEX('NCO-2015 scores'!$C$2:$C$131,MATCH(E555,'NCO-2015 scores'!$A$2:$A$131,0)),0)</f>
        <v>0.23</v>
      </c>
      <c r="J555" s="13" t="n">
        <f aca="false">IF(ISNUMBER(MATCH(E555,'NCO-2015 scores'!$A$2:$A$131,0)),IF(ISNUMBER(INDEX('NCO-2015 scores'!$C$2:$C$131,MATCH(E555,'NCO-2015 scores'!$A$2:$A$131,0))),1,0),0)</f>
        <v>1</v>
      </c>
    </row>
    <row r="556" customFormat="false" ht="15" hidden="false" customHeight="false" outlineLevel="0" collapsed="false">
      <c r="A556" s="2" t="n">
        <v>554</v>
      </c>
      <c r="B556" s="2" t="s">
        <v>2040</v>
      </c>
      <c r="C556" s="2" t="s">
        <v>2041</v>
      </c>
      <c r="D556" s="2" t="s">
        <v>2042</v>
      </c>
      <c r="E556" s="2" t="str">
        <f aca="false">LEFT(C556,3)</f>
        <v>515</v>
      </c>
      <c r="F556" s="2" t="str">
        <f aca="false">IF(D556="","",LEFT(D556,3))</f>
        <v>512</v>
      </c>
      <c r="G556" s="2" t="str">
        <f aca="false">IF(F556="","",IF(E556=F556,"Yes","No"))</f>
        <v>No</v>
      </c>
      <c r="H556" s="2" t="n">
        <f aca="false">IF(D556="",0,1/COUNTIF($D$2:$D$3451,D556))</f>
        <v>1</v>
      </c>
      <c r="I556" s="13" t="n">
        <f aca="false">IFERROR(INDEX('NCO-2015 scores'!$C$2:$C$131,MATCH(E556,'NCO-2015 scores'!$A$2:$A$131,0)),0)</f>
        <v>0.23</v>
      </c>
      <c r="J556" s="13" t="n">
        <f aca="false">IF(ISNUMBER(MATCH(E556,'NCO-2015 scores'!$A$2:$A$131,0)),IF(ISNUMBER(INDEX('NCO-2015 scores'!$C$2:$C$131,MATCH(E556,'NCO-2015 scores'!$A$2:$A$131,0))),1,0),0)</f>
        <v>1</v>
      </c>
    </row>
    <row r="557" customFormat="false" ht="15" hidden="false" customHeight="false" outlineLevel="0" collapsed="false">
      <c r="A557" s="2" t="n">
        <v>555</v>
      </c>
      <c r="B557" s="2" t="s">
        <v>2043</v>
      </c>
      <c r="C557" s="2" t="s">
        <v>2044</v>
      </c>
      <c r="D557" s="2" t="s">
        <v>2045</v>
      </c>
      <c r="E557" s="2" t="str">
        <f aca="false">LEFT(C557,3)</f>
        <v>515</v>
      </c>
      <c r="F557" s="2" t="str">
        <f aca="false">IF(D557="","",LEFT(D557,3))</f>
        <v>512</v>
      </c>
      <c r="G557" s="2" t="str">
        <f aca="false">IF(F557="","",IF(E557=F557,"Yes","No"))</f>
        <v>No</v>
      </c>
      <c r="H557" s="2" t="n">
        <f aca="false">IF(D557="",0,1/COUNTIF($D$2:$D$3451,D557))</f>
        <v>1</v>
      </c>
      <c r="I557" s="13" t="n">
        <f aca="false">IFERROR(INDEX('NCO-2015 scores'!$C$2:$C$131,MATCH(E557,'NCO-2015 scores'!$A$2:$A$131,0)),0)</f>
        <v>0.23</v>
      </c>
      <c r="J557" s="13" t="n">
        <f aca="false">IF(ISNUMBER(MATCH(E557,'NCO-2015 scores'!$A$2:$A$131,0)),IF(ISNUMBER(INDEX('NCO-2015 scores'!$C$2:$C$131,MATCH(E557,'NCO-2015 scores'!$A$2:$A$131,0))),1,0),0)</f>
        <v>1</v>
      </c>
    </row>
    <row r="558" customFormat="false" ht="15" hidden="false" customHeight="false" outlineLevel="0" collapsed="false">
      <c r="A558" s="2" t="n">
        <v>556</v>
      </c>
      <c r="B558" s="2" t="s">
        <v>2046</v>
      </c>
      <c r="C558" s="2" t="s">
        <v>2047</v>
      </c>
      <c r="D558" s="2" t="s">
        <v>2048</v>
      </c>
      <c r="E558" s="2" t="str">
        <f aca="false">LEFT(C558,3)</f>
        <v>515</v>
      </c>
      <c r="F558" s="2" t="str">
        <f aca="false">IF(D558="","",LEFT(D558,3))</f>
        <v>512</v>
      </c>
      <c r="G558" s="2" t="str">
        <f aca="false">IF(F558="","",IF(E558=F558,"Yes","No"))</f>
        <v>No</v>
      </c>
      <c r="H558" s="2" t="n">
        <f aca="false">IF(D558="",0,1/COUNTIF($D$2:$D$3451,D558))</f>
        <v>1</v>
      </c>
      <c r="I558" s="13" t="n">
        <f aca="false">IFERROR(INDEX('NCO-2015 scores'!$C$2:$C$131,MATCH(E558,'NCO-2015 scores'!$A$2:$A$131,0)),0)</f>
        <v>0.23</v>
      </c>
      <c r="J558" s="13" t="n">
        <f aca="false">IF(ISNUMBER(MATCH(E558,'NCO-2015 scores'!$A$2:$A$131,0)),IF(ISNUMBER(INDEX('NCO-2015 scores'!$C$2:$C$131,MATCH(E558,'NCO-2015 scores'!$A$2:$A$131,0))),1,0),0)</f>
        <v>1</v>
      </c>
    </row>
    <row r="559" customFormat="false" ht="15" hidden="false" customHeight="false" outlineLevel="0" collapsed="false">
      <c r="A559" s="2" t="n">
        <v>557</v>
      </c>
      <c r="B559" s="2" t="s">
        <v>2049</v>
      </c>
      <c r="C559" s="2" t="s">
        <v>2050</v>
      </c>
      <c r="D559" s="2" t="s">
        <v>2051</v>
      </c>
      <c r="E559" s="2" t="str">
        <f aca="false">LEFT(C559,3)</f>
        <v>515</v>
      </c>
      <c r="F559" s="2" t="str">
        <f aca="false">IF(D559="","",LEFT(D559,3))</f>
        <v>512</v>
      </c>
      <c r="G559" s="2" t="str">
        <f aca="false">IF(F559="","",IF(E559=F559,"Yes","No"))</f>
        <v>No</v>
      </c>
      <c r="H559" s="2" t="n">
        <f aca="false">IF(D559="",0,1/COUNTIF($D$2:$D$3451,D559))</f>
        <v>1</v>
      </c>
      <c r="I559" s="13" t="n">
        <f aca="false">IFERROR(INDEX('NCO-2015 scores'!$C$2:$C$131,MATCH(E559,'NCO-2015 scores'!$A$2:$A$131,0)),0)</f>
        <v>0.23</v>
      </c>
      <c r="J559" s="13" t="n">
        <f aca="false">IF(ISNUMBER(MATCH(E559,'NCO-2015 scores'!$A$2:$A$131,0)),IF(ISNUMBER(INDEX('NCO-2015 scores'!$C$2:$C$131,MATCH(E559,'NCO-2015 scores'!$A$2:$A$131,0))),1,0),0)</f>
        <v>1</v>
      </c>
    </row>
    <row r="560" customFormat="false" ht="15" hidden="false" customHeight="false" outlineLevel="0" collapsed="false">
      <c r="A560" s="2" t="n">
        <v>558</v>
      </c>
      <c r="B560" s="2" t="s">
        <v>2052</v>
      </c>
      <c r="C560" s="2" t="s">
        <v>2053</v>
      </c>
      <c r="D560" s="2" t="s">
        <v>2054</v>
      </c>
      <c r="E560" s="2" t="str">
        <f aca="false">LEFT(C560,3)</f>
        <v>515</v>
      </c>
      <c r="F560" s="2" t="str">
        <f aca="false">IF(D560="","",LEFT(D560,3))</f>
        <v>512</v>
      </c>
      <c r="G560" s="2" t="str">
        <f aca="false">IF(F560="","",IF(E560=F560,"Yes","No"))</f>
        <v>No</v>
      </c>
      <c r="H560" s="2" t="n">
        <f aca="false">IF(D560="",0,1/COUNTIF($D$2:$D$3451,D560))</f>
        <v>1</v>
      </c>
      <c r="I560" s="13" t="n">
        <f aca="false">IFERROR(INDEX('NCO-2015 scores'!$C$2:$C$131,MATCH(E560,'NCO-2015 scores'!$A$2:$A$131,0)),0)</f>
        <v>0.23</v>
      </c>
      <c r="J560" s="13" t="n">
        <f aca="false">IF(ISNUMBER(MATCH(E560,'NCO-2015 scores'!$A$2:$A$131,0)),IF(ISNUMBER(INDEX('NCO-2015 scores'!$C$2:$C$131,MATCH(E560,'NCO-2015 scores'!$A$2:$A$131,0))),1,0),0)</f>
        <v>1</v>
      </c>
    </row>
    <row r="561" customFormat="false" ht="15" hidden="false" customHeight="false" outlineLevel="0" collapsed="false">
      <c r="A561" s="2" t="n">
        <v>559</v>
      </c>
      <c r="B561" s="2" t="s">
        <v>2055</v>
      </c>
      <c r="C561" s="2" t="s">
        <v>2056</v>
      </c>
      <c r="D561" s="2" t="s">
        <v>2057</v>
      </c>
      <c r="E561" s="2" t="str">
        <f aca="false">LEFT(C561,3)</f>
        <v>441</v>
      </c>
      <c r="F561" s="2" t="str">
        <f aca="false">IF(D561="","",LEFT(D561,3))</f>
        <v>513</v>
      </c>
      <c r="G561" s="2" t="str">
        <f aca="false">IF(F561="","",IF(E561=F561,"Yes","No"))</f>
        <v>No</v>
      </c>
      <c r="H561" s="2" t="n">
        <f aca="false">IF(D561="",0,1/COUNTIF($D$2:$D$3451,D561))</f>
        <v>1</v>
      </c>
      <c r="I561" s="13" t="n">
        <f aca="false">IFERROR(INDEX('NCO-2015 scores'!$C$2:$C$131,MATCH(E561,'NCO-2015 scores'!$A$2:$A$131,0)),0)</f>
        <v>0.5086</v>
      </c>
      <c r="J561" s="13" t="n">
        <f aca="false">IF(ISNUMBER(MATCH(E561,'NCO-2015 scores'!$A$2:$A$131,0)),IF(ISNUMBER(INDEX('NCO-2015 scores'!$C$2:$C$131,MATCH(E561,'NCO-2015 scores'!$A$2:$A$131,0))),1,0),0)</f>
        <v>1</v>
      </c>
    </row>
    <row r="562" customFormat="false" ht="15" hidden="false" customHeight="false" outlineLevel="0" collapsed="false">
      <c r="A562" s="2" t="n">
        <v>560</v>
      </c>
      <c r="B562" s="2" t="s">
        <v>2058</v>
      </c>
      <c r="C562" s="2" t="s">
        <v>2059</v>
      </c>
      <c r="D562" s="2" t="s">
        <v>2060</v>
      </c>
      <c r="E562" s="2" t="str">
        <f aca="false">LEFT(C562,3)</f>
        <v>441</v>
      </c>
      <c r="F562" s="2" t="str">
        <f aca="false">IF(D562="","",LEFT(D562,3))</f>
        <v>513</v>
      </c>
      <c r="G562" s="2" t="str">
        <f aca="false">IF(F562="","",IF(E562=F562,"Yes","No"))</f>
        <v>No</v>
      </c>
      <c r="H562" s="2" t="n">
        <f aca="false">IF(D562="",0,1/COUNTIF($D$2:$D$3451,D562))</f>
        <v>1</v>
      </c>
      <c r="I562" s="13" t="n">
        <f aca="false">IFERROR(INDEX('NCO-2015 scores'!$C$2:$C$131,MATCH(E562,'NCO-2015 scores'!$A$2:$A$131,0)),0)</f>
        <v>0.5086</v>
      </c>
      <c r="J562" s="13" t="n">
        <f aca="false">IF(ISNUMBER(MATCH(E562,'NCO-2015 scores'!$A$2:$A$131,0)),IF(ISNUMBER(INDEX('NCO-2015 scores'!$C$2:$C$131,MATCH(E562,'NCO-2015 scores'!$A$2:$A$131,0))),1,0),0)</f>
        <v>1</v>
      </c>
    </row>
    <row r="563" customFormat="false" ht="15" hidden="false" customHeight="false" outlineLevel="0" collapsed="false">
      <c r="A563" s="2" t="n">
        <v>561</v>
      </c>
      <c r="B563" s="2" t="s">
        <v>2061</v>
      </c>
      <c r="C563" s="2" t="s">
        <v>2062</v>
      </c>
      <c r="D563" s="2" t="s">
        <v>2063</v>
      </c>
      <c r="E563" s="2" t="str">
        <f aca="false">LEFT(C563,3)</f>
        <v>441</v>
      </c>
      <c r="F563" s="2" t="str">
        <f aca="false">IF(D563="","",LEFT(D563,3))</f>
        <v>419</v>
      </c>
      <c r="G563" s="2" t="str">
        <f aca="false">IF(F563="","",IF(E563=F563,"Yes","No"))</f>
        <v>No</v>
      </c>
      <c r="H563" s="2" t="n">
        <f aca="false">IF(D563="",0,1/COUNTIF($D$2:$D$3451,D563))</f>
        <v>1</v>
      </c>
      <c r="I563" s="13" t="n">
        <f aca="false">IFERROR(INDEX('NCO-2015 scores'!$C$2:$C$131,MATCH(E563,'NCO-2015 scores'!$A$2:$A$131,0)),0)</f>
        <v>0.5086</v>
      </c>
      <c r="J563" s="13" t="n">
        <f aca="false">IF(ISNUMBER(MATCH(E563,'NCO-2015 scores'!$A$2:$A$131,0)),IF(ISNUMBER(INDEX('NCO-2015 scores'!$C$2:$C$131,MATCH(E563,'NCO-2015 scores'!$A$2:$A$131,0))),1,0),0)</f>
        <v>1</v>
      </c>
    </row>
    <row r="564" customFormat="false" ht="15" hidden="false" customHeight="false" outlineLevel="0" collapsed="false">
      <c r="A564" s="2" t="n">
        <v>562</v>
      </c>
      <c r="B564" s="2" t="s">
        <v>2064</v>
      </c>
      <c r="C564" s="2" t="s">
        <v>2065</v>
      </c>
      <c r="D564" s="2"/>
      <c r="E564" s="2" t="str">
        <f aca="false">LEFT(C564,3)</f>
        <v>441</v>
      </c>
      <c r="F564" s="2" t="str">
        <f aca="false">IF(D564="","",LEFT(D564,3))</f>
        <v/>
      </c>
      <c r="G564" s="2" t="str">
        <f aca="false">IF(F564="","",IF(E564=F564,"Yes","No"))</f>
        <v/>
      </c>
      <c r="H564" s="2" t="n">
        <f aca="false">IF(D564="",0,1/COUNTIF($D$2:$D$3451,D564))</f>
        <v>0</v>
      </c>
      <c r="I564" s="13" t="n">
        <f aca="false">IFERROR(INDEX('NCO-2015 scores'!$C$2:$C$131,MATCH(E564,'NCO-2015 scores'!$A$2:$A$131,0)),0)</f>
        <v>0.5086</v>
      </c>
      <c r="J564" s="13" t="n">
        <f aca="false">IF(ISNUMBER(MATCH(E564,'NCO-2015 scores'!$A$2:$A$131,0)),IF(ISNUMBER(INDEX('NCO-2015 scores'!$C$2:$C$131,MATCH(E564,'NCO-2015 scores'!$A$2:$A$131,0))),1,0),0)</f>
        <v>1</v>
      </c>
    </row>
    <row r="565" customFormat="false" ht="15" hidden="false" customHeight="false" outlineLevel="0" collapsed="false">
      <c r="A565" s="2" t="n">
        <v>563</v>
      </c>
      <c r="B565" s="2" t="s">
        <v>2066</v>
      </c>
      <c r="C565" s="2" t="s">
        <v>2067</v>
      </c>
      <c r="D565" s="2" t="s">
        <v>2068</v>
      </c>
      <c r="E565" s="2" t="str">
        <f aca="false">LEFT(C565,3)</f>
        <v>441</v>
      </c>
      <c r="F565" s="2" t="str">
        <f aca="false">IF(D565="","",LEFT(D565,3))</f>
        <v>419</v>
      </c>
      <c r="G565" s="2" t="str">
        <f aca="false">IF(F565="","",IF(E565=F565,"Yes","No"))</f>
        <v>No</v>
      </c>
      <c r="H565" s="2" t="n">
        <f aca="false">IF(D565="",0,1/COUNTIF($D$2:$D$3451,D565))</f>
        <v>1</v>
      </c>
      <c r="I565" s="13" t="n">
        <f aca="false">IFERROR(INDEX('NCO-2015 scores'!$C$2:$C$131,MATCH(E565,'NCO-2015 scores'!$A$2:$A$131,0)),0)</f>
        <v>0.5086</v>
      </c>
      <c r="J565" s="13" t="n">
        <f aca="false">IF(ISNUMBER(MATCH(E565,'NCO-2015 scores'!$A$2:$A$131,0)),IF(ISNUMBER(INDEX('NCO-2015 scores'!$C$2:$C$131,MATCH(E565,'NCO-2015 scores'!$A$2:$A$131,0))),1,0),0)</f>
        <v>1</v>
      </c>
    </row>
    <row r="566" customFormat="false" ht="15" hidden="false" customHeight="false" outlineLevel="0" collapsed="false">
      <c r="A566" s="2" t="n">
        <v>564</v>
      </c>
      <c r="B566" s="2" t="s">
        <v>2069</v>
      </c>
      <c r="C566" s="2" t="s">
        <v>2070</v>
      </c>
      <c r="D566" s="2" t="s">
        <v>2071</v>
      </c>
      <c r="E566" s="2" t="str">
        <f aca="false">LEFT(C566,3)</f>
        <v>441</v>
      </c>
      <c r="F566" s="2" t="str">
        <f aca="false">IF(D566="","",LEFT(D566,3))</f>
        <v>419</v>
      </c>
      <c r="G566" s="2" t="str">
        <f aca="false">IF(F566="","",IF(E566=F566,"Yes","No"))</f>
        <v>No</v>
      </c>
      <c r="H566" s="2" t="n">
        <f aca="false">IF(D566="",0,1/COUNTIF($D$2:$D$3451,D566))</f>
        <v>1</v>
      </c>
      <c r="I566" s="13" t="n">
        <f aca="false">IFERROR(INDEX('NCO-2015 scores'!$C$2:$C$131,MATCH(E566,'NCO-2015 scores'!$A$2:$A$131,0)),0)</f>
        <v>0.5086</v>
      </c>
      <c r="J566" s="13" t="n">
        <f aca="false">IF(ISNUMBER(MATCH(E566,'NCO-2015 scores'!$A$2:$A$131,0)),IF(ISNUMBER(INDEX('NCO-2015 scores'!$C$2:$C$131,MATCH(E566,'NCO-2015 scores'!$A$2:$A$131,0))),1,0),0)</f>
        <v>1</v>
      </c>
    </row>
    <row r="567" customFormat="false" ht="15" hidden="false" customHeight="false" outlineLevel="0" collapsed="false">
      <c r="A567" s="2" t="n">
        <v>565</v>
      </c>
      <c r="B567" s="2" t="s">
        <v>2072</v>
      </c>
      <c r="C567" s="2" t="s">
        <v>2073</v>
      </c>
      <c r="D567" s="2" t="s">
        <v>2074</v>
      </c>
      <c r="E567" s="2" t="str">
        <f aca="false">LEFT(C567,3)</f>
        <v>441</v>
      </c>
      <c r="F567" s="2" t="str">
        <f aca="false">IF(D567="","",LEFT(D567,3))</f>
        <v>419</v>
      </c>
      <c r="G567" s="2" t="str">
        <f aca="false">IF(F567="","",IF(E567=F567,"Yes","No"))</f>
        <v>No</v>
      </c>
      <c r="H567" s="2" t="n">
        <f aca="false">IF(D567="",0,1/COUNTIF($D$2:$D$3451,D567))</f>
        <v>1</v>
      </c>
      <c r="I567" s="13" t="n">
        <f aca="false">IFERROR(INDEX('NCO-2015 scores'!$C$2:$C$131,MATCH(E567,'NCO-2015 scores'!$A$2:$A$131,0)),0)</f>
        <v>0.5086</v>
      </c>
      <c r="J567" s="13" t="n">
        <f aca="false">IF(ISNUMBER(MATCH(E567,'NCO-2015 scores'!$A$2:$A$131,0)),IF(ISNUMBER(INDEX('NCO-2015 scores'!$C$2:$C$131,MATCH(E567,'NCO-2015 scores'!$A$2:$A$131,0))),1,0),0)</f>
        <v>1</v>
      </c>
    </row>
    <row r="568" customFormat="false" ht="15" hidden="false" customHeight="false" outlineLevel="0" collapsed="false">
      <c r="A568" s="2" t="n">
        <v>566</v>
      </c>
      <c r="B568" s="2" t="s">
        <v>2075</v>
      </c>
      <c r="C568" s="2" t="s">
        <v>2076</v>
      </c>
      <c r="D568" s="2" t="s">
        <v>2077</v>
      </c>
      <c r="E568" s="2" t="str">
        <f aca="false">LEFT(C568,3)</f>
        <v>441</v>
      </c>
      <c r="F568" s="2" t="str">
        <f aca="false">IF(D568="","",LEFT(D568,3))</f>
        <v>419</v>
      </c>
      <c r="G568" s="2" t="str">
        <f aca="false">IF(F568="","",IF(E568=F568,"Yes","No"))</f>
        <v>No</v>
      </c>
      <c r="H568" s="2" t="n">
        <f aca="false">IF(D568="",0,1/COUNTIF($D$2:$D$3451,D568))</f>
        <v>1</v>
      </c>
      <c r="I568" s="13" t="n">
        <f aca="false">IFERROR(INDEX('NCO-2015 scores'!$C$2:$C$131,MATCH(E568,'NCO-2015 scores'!$A$2:$A$131,0)),0)</f>
        <v>0.5086</v>
      </c>
      <c r="J568" s="13" t="n">
        <f aca="false">IF(ISNUMBER(MATCH(E568,'NCO-2015 scores'!$A$2:$A$131,0)),IF(ISNUMBER(INDEX('NCO-2015 scores'!$C$2:$C$131,MATCH(E568,'NCO-2015 scores'!$A$2:$A$131,0))),1,0),0)</f>
        <v>1</v>
      </c>
    </row>
    <row r="569" customFormat="false" ht="15" hidden="false" customHeight="false" outlineLevel="0" collapsed="false">
      <c r="A569" s="2" t="n">
        <v>567</v>
      </c>
      <c r="B569" s="2" t="s">
        <v>2078</v>
      </c>
      <c r="C569" s="2" t="s">
        <v>2079</v>
      </c>
      <c r="D569" s="2" t="s">
        <v>2080</v>
      </c>
      <c r="E569" s="2" t="str">
        <f aca="false">LEFT(C569,3)</f>
        <v>441</v>
      </c>
      <c r="F569" s="2" t="str">
        <f aca="false">IF(D569="","",LEFT(D569,3))</f>
        <v>513</v>
      </c>
      <c r="G569" s="2" t="str">
        <f aca="false">IF(F569="","",IF(E569=F569,"Yes","No"))</f>
        <v>No</v>
      </c>
      <c r="H569" s="2" t="n">
        <f aca="false">IF(D569="",0,1/COUNTIF($D$2:$D$3451,D569))</f>
        <v>1</v>
      </c>
      <c r="I569" s="13" t="n">
        <f aca="false">IFERROR(INDEX('NCO-2015 scores'!$C$2:$C$131,MATCH(E569,'NCO-2015 scores'!$A$2:$A$131,0)),0)</f>
        <v>0.5086</v>
      </c>
      <c r="J569" s="13" t="n">
        <f aca="false">IF(ISNUMBER(MATCH(E569,'NCO-2015 scores'!$A$2:$A$131,0)),IF(ISNUMBER(INDEX('NCO-2015 scores'!$C$2:$C$131,MATCH(E569,'NCO-2015 scores'!$A$2:$A$131,0))),1,0),0)</f>
        <v>1</v>
      </c>
    </row>
    <row r="570" customFormat="false" ht="15" hidden="false" customHeight="false" outlineLevel="0" collapsed="false">
      <c r="A570" s="2" t="n">
        <v>568</v>
      </c>
      <c r="B570" s="2" t="s">
        <v>2081</v>
      </c>
      <c r="C570" s="2" t="s">
        <v>2082</v>
      </c>
      <c r="D570" s="2" t="s">
        <v>2083</v>
      </c>
      <c r="E570" s="2" t="str">
        <f aca="false">LEFT(C570,3)</f>
        <v>441</v>
      </c>
      <c r="F570" s="2" t="str">
        <f aca="false">IF(D570="","",LEFT(D570,3))</f>
        <v>414</v>
      </c>
      <c r="G570" s="2" t="str">
        <f aca="false">IF(F570="","",IF(E570=F570,"Yes","No"))</f>
        <v>No</v>
      </c>
      <c r="H570" s="2" t="n">
        <f aca="false">IF(D570="",0,1/COUNTIF($D$2:$D$3451,D570))</f>
        <v>1</v>
      </c>
      <c r="I570" s="13" t="n">
        <f aca="false">IFERROR(INDEX('NCO-2015 scores'!$C$2:$C$131,MATCH(E570,'NCO-2015 scores'!$A$2:$A$131,0)),0)</f>
        <v>0.5086</v>
      </c>
      <c r="J570" s="13" t="n">
        <f aca="false">IF(ISNUMBER(MATCH(E570,'NCO-2015 scores'!$A$2:$A$131,0)),IF(ISNUMBER(INDEX('NCO-2015 scores'!$C$2:$C$131,MATCH(E570,'NCO-2015 scores'!$A$2:$A$131,0))),1,0),0)</f>
        <v>1</v>
      </c>
    </row>
    <row r="571" customFormat="false" ht="15" hidden="false" customHeight="false" outlineLevel="0" collapsed="false">
      <c r="A571" s="2" t="n">
        <v>569</v>
      </c>
      <c r="B571" s="2" t="s">
        <v>2084</v>
      </c>
      <c r="C571" s="2" t="s">
        <v>2085</v>
      </c>
      <c r="D571" s="2" t="s">
        <v>2086</v>
      </c>
      <c r="E571" s="2" t="str">
        <f aca="false">LEFT(C571,3)</f>
        <v>441</v>
      </c>
      <c r="F571" s="2" t="str">
        <f aca="false">IF(D571="","",LEFT(D571,3))</f>
        <v>414</v>
      </c>
      <c r="G571" s="2" t="str">
        <f aca="false">IF(F571="","",IF(E571=F571,"Yes","No"))</f>
        <v>No</v>
      </c>
      <c r="H571" s="2" t="n">
        <f aca="false">IF(D571="",0,1/COUNTIF($D$2:$D$3451,D571))</f>
        <v>1</v>
      </c>
      <c r="I571" s="13" t="n">
        <f aca="false">IFERROR(INDEX('NCO-2015 scores'!$C$2:$C$131,MATCH(E571,'NCO-2015 scores'!$A$2:$A$131,0)),0)</f>
        <v>0.5086</v>
      </c>
      <c r="J571" s="13" t="n">
        <f aca="false">IF(ISNUMBER(MATCH(E571,'NCO-2015 scores'!$A$2:$A$131,0)),IF(ISNUMBER(INDEX('NCO-2015 scores'!$C$2:$C$131,MATCH(E571,'NCO-2015 scores'!$A$2:$A$131,0))),1,0),0)</f>
        <v>1</v>
      </c>
    </row>
    <row r="572" customFormat="false" ht="15" hidden="false" customHeight="false" outlineLevel="0" collapsed="false">
      <c r="A572" s="2" t="n">
        <v>570</v>
      </c>
      <c r="B572" s="2" t="s">
        <v>2087</v>
      </c>
      <c r="C572" s="2" t="s">
        <v>2088</v>
      </c>
      <c r="D572" s="2" t="s">
        <v>2089</v>
      </c>
      <c r="E572" s="2" t="str">
        <f aca="false">LEFT(C572,3)</f>
        <v>441</v>
      </c>
      <c r="F572" s="2" t="str">
        <f aca="false">IF(D572="","",LEFT(D572,3))</f>
        <v>414</v>
      </c>
      <c r="G572" s="2" t="str">
        <f aca="false">IF(F572="","",IF(E572=F572,"Yes","No"))</f>
        <v>No</v>
      </c>
      <c r="H572" s="2" t="n">
        <f aca="false">IF(D572="",0,1/COUNTIF($D$2:$D$3451,D572))</f>
        <v>1</v>
      </c>
      <c r="I572" s="13" t="n">
        <f aca="false">IFERROR(INDEX('NCO-2015 scores'!$C$2:$C$131,MATCH(E572,'NCO-2015 scores'!$A$2:$A$131,0)),0)</f>
        <v>0.5086</v>
      </c>
      <c r="J572" s="13" t="n">
        <f aca="false">IF(ISNUMBER(MATCH(E572,'NCO-2015 scores'!$A$2:$A$131,0)),IF(ISNUMBER(INDEX('NCO-2015 scores'!$C$2:$C$131,MATCH(E572,'NCO-2015 scores'!$A$2:$A$131,0))),1,0),0)</f>
        <v>1</v>
      </c>
    </row>
    <row r="573" customFormat="false" ht="15" hidden="false" customHeight="false" outlineLevel="0" collapsed="false">
      <c r="A573" s="2" t="n">
        <v>571</v>
      </c>
      <c r="B573" s="2" t="s">
        <v>2090</v>
      </c>
      <c r="C573" s="2" t="s">
        <v>2091</v>
      </c>
      <c r="D573" s="2"/>
      <c r="E573" s="2" t="str">
        <f aca="false">LEFT(C573,3)</f>
        <v>332</v>
      </c>
      <c r="F573" s="2" t="str">
        <f aca="false">IF(D573="","",LEFT(D573,3))</f>
        <v/>
      </c>
      <c r="G573" s="2" t="str">
        <f aca="false">IF(F573="","",IF(E573=F573,"Yes","No"))</f>
        <v/>
      </c>
      <c r="H573" s="2" t="n">
        <f aca="false">IF(D573="",0,1/COUNTIF($D$2:$D$3451,D573))</f>
        <v>0</v>
      </c>
      <c r="I573" s="13" t="n">
        <f aca="false">IFERROR(INDEX('NCO-2015 scores'!$C$2:$C$131,MATCH(E573,'NCO-2015 scores'!$A$2:$A$131,0)),0)</f>
        <v>0.4625</v>
      </c>
      <c r="J573" s="13" t="n">
        <f aca="false">IF(ISNUMBER(MATCH(E573,'NCO-2015 scores'!$A$2:$A$131,0)),IF(ISNUMBER(INDEX('NCO-2015 scores'!$C$2:$C$131,MATCH(E573,'NCO-2015 scores'!$A$2:$A$131,0))),1,0),0)</f>
        <v>1</v>
      </c>
    </row>
    <row r="574" customFormat="false" ht="15" hidden="false" customHeight="false" outlineLevel="0" collapsed="false">
      <c r="A574" s="2" t="n">
        <v>572</v>
      </c>
      <c r="B574" s="2" t="s">
        <v>2092</v>
      </c>
      <c r="C574" s="2" t="s">
        <v>2093</v>
      </c>
      <c r="D574" s="2"/>
      <c r="E574" s="2" t="str">
        <f aca="false">LEFT(C574,3)</f>
        <v>332</v>
      </c>
      <c r="F574" s="2" t="str">
        <f aca="false">IF(D574="","",LEFT(D574,3))</f>
        <v/>
      </c>
      <c r="G574" s="2" t="str">
        <f aca="false">IF(F574="","",IF(E574=F574,"Yes","No"))</f>
        <v/>
      </c>
      <c r="H574" s="2" t="n">
        <f aca="false">IF(D574="",0,1/COUNTIF($D$2:$D$3451,D574))</f>
        <v>0</v>
      </c>
      <c r="I574" s="13" t="n">
        <f aca="false">IFERROR(INDEX('NCO-2015 scores'!$C$2:$C$131,MATCH(E574,'NCO-2015 scores'!$A$2:$A$131,0)),0)</f>
        <v>0.4625</v>
      </c>
      <c r="J574" s="13" t="n">
        <f aca="false">IF(ISNUMBER(MATCH(E574,'NCO-2015 scores'!$A$2:$A$131,0)),IF(ISNUMBER(INDEX('NCO-2015 scores'!$C$2:$C$131,MATCH(E574,'NCO-2015 scores'!$A$2:$A$131,0))),1,0),0)</f>
        <v>1</v>
      </c>
    </row>
    <row r="575" customFormat="false" ht="15" hidden="false" customHeight="false" outlineLevel="0" collapsed="false">
      <c r="A575" s="2" t="n">
        <v>573</v>
      </c>
      <c r="B575" s="2" t="s">
        <v>2094</v>
      </c>
      <c r="C575" s="2" t="s">
        <v>2095</v>
      </c>
      <c r="D575" s="2"/>
      <c r="E575" s="2" t="str">
        <f aca="false">LEFT(C575,3)</f>
        <v>332</v>
      </c>
      <c r="F575" s="2" t="str">
        <f aca="false">IF(D575="","",LEFT(D575,3))</f>
        <v/>
      </c>
      <c r="G575" s="2" t="str">
        <f aca="false">IF(F575="","",IF(E575=F575,"Yes","No"))</f>
        <v/>
      </c>
      <c r="H575" s="2" t="n">
        <f aca="false">IF(D575="",0,1/COUNTIF($D$2:$D$3451,D575))</f>
        <v>0</v>
      </c>
      <c r="I575" s="13" t="n">
        <f aca="false">IFERROR(INDEX('NCO-2015 scores'!$C$2:$C$131,MATCH(E575,'NCO-2015 scores'!$A$2:$A$131,0)),0)</f>
        <v>0.4625</v>
      </c>
      <c r="J575" s="13" t="n">
        <f aca="false">IF(ISNUMBER(MATCH(E575,'NCO-2015 scores'!$A$2:$A$131,0)),IF(ISNUMBER(INDEX('NCO-2015 scores'!$C$2:$C$131,MATCH(E575,'NCO-2015 scores'!$A$2:$A$131,0))),1,0),0)</f>
        <v>1</v>
      </c>
    </row>
    <row r="576" customFormat="false" ht="15" hidden="false" customHeight="false" outlineLevel="0" collapsed="false">
      <c r="A576" s="2" t="n">
        <v>574</v>
      </c>
      <c r="B576" s="2" t="s">
        <v>2096</v>
      </c>
      <c r="C576" s="2" t="s">
        <v>2097</v>
      </c>
      <c r="D576" s="2" t="s">
        <v>2098</v>
      </c>
      <c r="E576" s="2" t="str">
        <f aca="false">LEFT(C576,3)</f>
        <v>332</v>
      </c>
      <c r="F576" s="2" t="str">
        <f aca="false">IF(D576="","",LEFT(D576,3))</f>
        <v>341</v>
      </c>
      <c r="G576" s="2" t="str">
        <f aca="false">IF(F576="","",IF(E576=F576,"Yes","No"))</f>
        <v>No</v>
      </c>
      <c r="H576" s="2" t="n">
        <f aca="false">IF(D576="",0,1/COUNTIF($D$2:$D$3451,D576))</f>
        <v>1</v>
      </c>
      <c r="I576" s="13" t="n">
        <f aca="false">IFERROR(INDEX('NCO-2015 scores'!$C$2:$C$131,MATCH(E576,'NCO-2015 scores'!$A$2:$A$131,0)),0)</f>
        <v>0.4625</v>
      </c>
      <c r="J576" s="13" t="n">
        <f aca="false">IF(ISNUMBER(MATCH(E576,'NCO-2015 scores'!$A$2:$A$131,0)),IF(ISNUMBER(INDEX('NCO-2015 scores'!$C$2:$C$131,MATCH(E576,'NCO-2015 scores'!$A$2:$A$131,0))),1,0),0)</f>
        <v>1</v>
      </c>
    </row>
    <row r="577" customFormat="false" ht="15" hidden="false" customHeight="false" outlineLevel="0" collapsed="false">
      <c r="A577" s="2" t="n">
        <v>575</v>
      </c>
      <c r="B577" s="2" t="s">
        <v>2099</v>
      </c>
      <c r="C577" s="2" t="s">
        <v>2100</v>
      </c>
      <c r="D577" s="2"/>
      <c r="E577" s="2" t="str">
        <f aca="false">LEFT(C577,3)</f>
        <v>332</v>
      </c>
      <c r="F577" s="2" t="str">
        <f aca="false">IF(D577="","",LEFT(D577,3))</f>
        <v/>
      </c>
      <c r="G577" s="2" t="str">
        <f aca="false">IF(F577="","",IF(E577=F577,"Yes","No"))</f>
        <v/>
      </c>
      <c r="H577" s="2" t="n">
        <f aca="false">IF(D577="",0,1/COUNTIF($D$2:$D$3451,D577))</f>
        <v>0</v>
      </c>
      <c r="I577" s="13" t="n">
        <f aca="false">IFERROR(INDEX('NCO-2015 scores'!$C$2:$C$131,MATCH(E577,'NCO-2015 scores'!$A$2:$A$131,0)),0)</f>
        <v>0.4625</v>
      </c>
      <c r="J577" s="13" t="n">
        <f aca="false">IF(ISNUMBER(MATCH(E577,'NCO-2015 scores'!$A$2:$A$131,0)),IF(ISNUMBER(INDEX('NCO-2015 scores'!$C$2:$C$131,MATCH(E577,'NCO-2015 scores'!$A$2:$A$131,0))),1,0),0)</f>
        <v>1</v>
      </c>
    </row>
    <row r="578" customFormat="false" ht="15" hidden="false" customHeight="false" outlineLevel="0" collapsed="false">
      <c r="A578" s="2" t="n">
        <v>576</v>
      </c>
      <c r="B578" s="2" t="s">
        <v>2101</v>
      </c>
      <c r="C578" s="2" t="s">
        <v>2102</v>
      </c>
      <c r="D578" s="2"/>
      <c r="E578" s="2" t="str">
        <f aca="false">LEFT(C578,3)</f>
        <v>332</v>
      </c>
      <c r="F578" s="2" t="str">
        <f aca="false">IF(D578="","",LEFT(D578,3))</f>
        <v/>
      </c>
      <c r="G578" s="2" t="str">
        <f aca="false">IF(F578="","",IF(E578=F578,"Yes","No"))</f>
        <v/>
      </c>
      <c r="H578" s="2" t="n">
        <f aca="false">IF(D578="",0,1/COUNTIF($D$2:$D$3451,D578))</f>
        <v>0</v>
      </c>
      <c r="I578" s="13" t="n">
        <f aca="false">IFERROR(INDEX('NCO-2015 scores'!$C$2:$C$131,MATCH(E578,'NCO-2015 scores'!$A$2:$A$131,0)),0)</f>
        <v>0.4625</v>
      </c>
      <c r="J578" s="13" t="n">
        <f aca="false">IF(ISNUMBER(MATCH(E578,'NCO-2015 scores'!$A$2:$A$131,0)),IF(ISNUMBER(INDEX('NCO-2015 scores'!$C$2:$C$131,MATCH(E578,'NCO-2015 scores'!$A$2:$A$131,0))),1,0),0)</f>
        <v>1</v>
      </c>
    </row>
    <row r="579" customFormat="false" ht="15" hidden="false" customHeight="false" outlineLevel="0" collapsed="false">
      <c r="A579" s="2" t="n">
        <v>577</v>
      </c>
      <c r="B579" s="2" t="s">
        <v>2103</v>
      </c>
      <c r="C579" s="2" t="s">
        <v>2104</v>
      </c>
      <c r="D579" s="2" t="s">
        <v>2105</v>
      </c>
      <c r="E579" s="2" t="str">
        <f aca="false">LEFT(C579,3)</f>
        <v>332</v>
      </c>
      <c r="F579" s="2" t="str">
        <f aca="false">IF(D579="","",LEFT(D579,3))</f>
        <v>341</v>
      </c>
      <c r="G579" s="2" t="str">
        <f aca="false">IF(F579="","",IF(E579=F579,"Yes","No"))</f>
        <v>No</v>
      </c>
      <c r="H579" s="2" t="n">
        <f aca="false">IF(D579="",0,1/COUNTIF($D$2:$D$3451,D579))</f>
        <v>1</v>
      </c>
      <c r="I579" s="13" t="n">
        <f aca="false">IFERROR(INDEX('NCO-2015 scores'!$C$2:$C$131,MATCH(E579,'NCO-2015 scores'!$A$2:$A$131,0)),0)</f>
        <v>0.4625</v>
      </c>
      <c r="J579" s="13" t="n">
        <f aca="false">IF(ISNUMBER(MATCH(E579,'NCO-2015 scores'!$A$2:$A$131,0)),IF(ISNUMBER(INDEX('NCO-2015 scores'!$C$2:$C$131,MATCH(E579,'NCO-2015 scores'!$A$2:$A$131,0))),1,0),0)</f>
        <v>1</v>
      </c>
    </row>
    <row r="580" customFormat="false" ht="15" hidden="false" customHeight="false" outlineLevel="0" collapsed="false">
      <c r="A580" s="2" t="n">
        <v>578</v>
      </c>
      <c r="B580" s="2" t="s">
        <v>2106</v>
      </c>
      <c r="C580" s="2" t="s">
        <v>2107</v>
      </c>
      <c r="D580" s="2"/>
      <c r="E580" s="2" t="str">
        <f aca="false">LEFT(C580,3)</f>
        <v>332</v>
      </c>
      <c r="F580" s="2" t="str">
        <f aca="false">IF(D580="","",LEFT(D580,3))</f>
        <v/>
      </c>
      <c r="G580" s="2" t="str">
        <f aca="false">IF(F580="","",IF(E580=F580,"Yes","No"))</f>
        <v/>
      </c>
      <c r="H580" s="2" t="n">
        <f aca="false">IF(D580="",0,1/COUNTIF($D$2:$D$3451,D580))</f>
        <v>0</v>
      </c>
      <c r="I580" s="13" t="n">
        <f aca="false">IFERROR(INDEX('NCO-2015 scores'!$C$2:$C$131,MATCH(E580,'NCO-2015 scores'!$A$2:$A$131,0)),0)</f>
        <v>0.4625</v>
      </c>
      <c r="J580" s="13" t="n">
        <f aca="false">IF(ISNUMBER(MATCH(E580,'NCO-2015 scores'!$A$2:$A$131,0)),IF(ISNUMBER(INDEX('NCO-2015 scores'!$C$2:$C$131,MATCH(E580,'NCO-2015 scores'!$A$2:$A$131,0))),1,0),0)</f>
        <v>1</v>
      </c>
    </row>
    <row r="581" customFormat="false" ht="15" hidden="false" customHeight="false" outlineLevel="0" collapsed="false">
      <c r="A581" s="2" t="n">
        <v>579</v>
      </c>
      <c r="B581" s="2" t="s">
        <v>2108</v>
      </c>
      <c r="C581" s="2" t="s">
        <v>2109</v>
      </c>
      <c r="D581" s="2" t="s">
        <v>2110</v>
      </c>
      <c r="E581" s="2" t="str">
        <f aca="false">LEFT(C581,3)</f>
        <v>332</v>
      </c>
      <c r="F581" s="2" t="str">
        <f aca="false">IF(D581="","",LEFT(D581,3))</f>
        <v>341</v>
      </c>
      <c r="G581" s="2" t="str">
        <f aca="false">IF(F581="","",IF(E581=F581,"Yes","No"))</f>
        <v>No</v>
      </c>
      <c r="H581" s="2" t="n">
        <f aca="false">IF(D581="",0,1/COUNTIF($D$2:$D$3451,D581))</f>
        <v>1</v>
      </c>
      <c r="I581" s="13" t="n">
        <f aca="false">IFERROR(INDEX('NCO-2015 scores'!$C$2:$C$131,MATCH(E581,'NCO-2015 scores'!$A$2:$A$131,0)),0)</f>
        <v>0.4625</v>
      </c>
      <c r="J581" s="13" t="n">
        <f aca="false">IF(ISNUMBER(MATCH(E581,'NCO-2015 scores'!$A$2:$A$131,0)),IF(ISNUMBER(INDEX('NCO-2015 scores'!$C$2:$C$131,MATCH(E581,'NCO-2015 scores'!$A$2:$A$131,0))),1,0),0)</f>
        <v>1</v>
      </c>
    </row>
    <row r="582" customFormat="false" ht="15" hidden="false" customHeight="false" outlineLevel="0" collapsed="false">
      <c r="A582" s="2" t="n">
        <v>580</v>
      </c>
      <c r="B582" s="2" t="s">
        <v>2111</v>
      </c>
      <c r="C582" s="2" t="s">
        <v>2112</v>
      </c>
      <c r="D582" s="2" t="s">
        <v>2113</v>
      </c>
      <c r="E582" s="2" t="str">
        <f aca="false">LEFT(C582,3)</f>
        <v>332</v>
      </c>
      <c r="F582" s="2" t="str">
        <f aca="false">IF(D582="","",LEFT(D582,3))</f>
        <v>341</v>
      </c>
      <c r="G582" s="2" t="str">
        <f aca="false">IF(F582="","",IF(E582=F582,"Yes","No"))</f>
        <v>No</v>
      </c>
      <c r="H582" s="2" t="n">
        <f aca="false">IF(D582="",0,1/COUNTIF($D$2:$D$3451,D582))</f>
        <v>1</v>
      </c>
      <c r="I582" s="13" t="n">
        <f aca="false">IFERROR(INDEX('NCO-2015 scores'!$C$2:$C$131,MATCH(E582,'NCO-2015 scores'!$A$2:$A$131,0)),0)</f>
        <v>0.4625</v>
      </c>
      <c r="J582" s="13" t="n">
        <f aca="false">IF(ISNUMBER(MATCH(E582,'NCO-2015 scores'!$A$2:$A$131,0)),IF(ISNUMBER(INDEX('NCO-2015 scores'!$C$2:$C$131,MATCH(E582,'NCO-2015 scores'!$A$2:$A$131,0))),1,0),0)</f>
        <v>1</v>
      </c>
    </row>
    <row r="583" customFormat="false" ht="15" hidden="false" customHeight="false" outlineLevel="0" collapsed="false">
      <c r="A583" s="2" t="n">
        <v>581</v>
      </c>
      <c r="B583" s="2" t="s">
        <v>2114</v>
      </c>
      <c r="C583" s="2" t="s">
        <v>2115</v>
      </c>
      <c r="D583" s="2" t="s">
        <v>2116</v>
      </c>
      <c r="E583" s="2" t="str">
        <f aca="false">LEFT(C583,3)</f>
        <v>332</v>
      </c>
      <c r="F583" s="2" t="str">
        <f aca="false">IF(D583="","",LEFT(D583,3))</f>
        <v>341</v>
      </c>
      <c r="G583" s="2" t="str">
        <f aca="false">IF(F583="","",IF(E583=F583,"Yes","No"))</f>
        <v>No</v>
      </c>
      <c r="H583" s="2" t="n">
        <f aca="false">IF(D583="",0,1/COUNTIF($D$2:$D$3451,D583))</f>
        <v>1</v>
      </c>
      <c r="I583" s="13" t="n">
        <f aca="false">IFERROR(INDEX('NCO-2015 scores'!$C$2:$C$131,MATCH(E583,'NCO-2015 scores'!$A$2:$A$131,0)),0)</f>
        <v>0.4625</v>
      </c>
      <c r="J583" s="13" t="n">
        <f aca="false">IF(ISNUMBER(MATCH(E583,'NCO-2015 scores'!$A$2:$A$131,0)),IF(ISNUMBER(INDEX('NCO-2015 scores'!$C$2:$C$131,MATCH(E583,'NCO-2015 scores'!$A$2:$A$131,0))),1,0),0)</f>
        <v>1</v>
      </c>
    </row>
    <row r="584" customFormat="false" ht="15" hidden="false" customHeight="false" outlineLevel="0" collapsed="false">
      <c r="A584" s="2" t="n">
        <v>582</v>
      </c>
      <c r="B584" s="2" t="s">
        <v>2117</v>
      </c>
      <c r="C584" s="2" t="s">
        <v>2118</v>
      </c>
      <c r="D584" s="2"/>
      <c r="E584" s="2" t="str">
        <f aca="false">LEFT(C584,3)</f>
        <v>332</v>
      </c>
      <c r="F584" s="2" t="str">
        <f aca="false">IF(D584="","",LEFT(D584,3))</f>
        <v/>
      </c>
      <c r="G584" s="2" t="str">
        <f aca="false">IF(F584="","",IF(E584=F584,"Yes","No"))</f>
        <v/>
      </c>
      <c r="H584" s="2" t="n">
        <f aca="false">IF(D584="",0,1/COUNTIF($D$2:$D$3451,D584))</f>
        <v>0</v>
      </c>
      <c r="I584" s="13" t="n">
        <f aca="false">IFERROR(INDEX('NCO-2015 scores'!$C$2:$C$131,MATCH(E584,'NCO-2015 scores'!$A$2:$A$131,0)),0)</f>
        <v>0.4625</v>
      </c>
      <c r="J584" s="13" t="n">
        <f aca="false">IF(ISNUMBER(MATCH(E584,'NCO-2015 scores'!$A$2:$A$131,0)),IF(ISNUMBER(INDEX('NCO-2015 scores'!$C$2:$C$131,MATCH(E584,'NCO-2015 scores'!$A$2:$A$131,0))),1,0),0)</f>
        <v>1</v>
      </c>
    </row>
    <row r="585" customFormat="false" ht="15" hidden="false" customHeight="false" outlineLevel="0" collapsed="false">
      <c r="A585" s="2" t="n">
        <v>583</v>
      </c>
      <c r="B585" s="2" t="s">
        <v>2119</v>
      </c>
      <c r="C585" s="2" t="s">
        <v>2120</v>
      </c>
      <c r="D585" s="2"/>
      <c r="E585" s="2" t="str">
        <f aca="false">LEFT(C585,3)</f>
        <v>332</v>
      </c>
      <c r="F585" s="2" t="str">
        <f aca="false">IF(D585="","",LEFT(D585,3))</f>
        <v/>
      </c>
      <c r="G585" s="2" t="str">
        <f aca="false">IF(F585="","",IF(E585=F585,"Yes","No"))</f>
        <v/>
      </c>
      <c r="H585" s="2" t="n">
        <f aca="false">IF(D585="",0,1/COUNTIF($D$2:$D$3451,D585))</f>
        <v>0</v>
      </c>
      <c r="I585" s="13" t="n">
        <f aca="false">IFERROR(INDEX('NCO-2015 scores'!$C$2:$C$131,MATCH(E585,'NCO-2015 scores'!$A$2:$A$131,0)),0)</f>
        <v>0.4625</v>
      </c>
      <c r="J585" s="13" t="n">
        <f aca="false">IF(ISNUMBER(MATCH(E585,'NCO-2015 scores'!$A$2:$A$131,0)),IF(ISNUMBER(INDEX('NCO-2015 scores'!$C$2:$C$131,MATCH(E585,'NCO-2015 scores'!$A$2:$A$131,0))),1,0),0)</f>
        <v>1</v>
      </c>
    </row>
    <row r="586" customFormat="false" ht="15" hidden="false" customHeight="false" outlineLevel="0" collapsed="false">
      <c r="A586" s="2" t="n">
        <v>584</v>
      </c>
      <c r="B586" s="2" t="s">
        <v>2121</v>
      </c>
      <c r="C586" s="2" t="s">
        <v>2122</v>
      </c>
      <c r="D586" s="2"/>
      <c r="E586" s="2" t="str">
        <f aca="false">LEFT(C586,3)</f>
        <v>332</v>
      </c>
      <c r="F586" s="2" t="str">
        <f aca="false">IF(D586="","",LEFT(D586,3))</f>
        <v/>
      </c>
      <c r="G586" s="2" t="str">
        <f aca="false">IF(F586="","",IF(E586=F586,"Yes","No"))</f>
        <v/>
      </c>
      <c r="H586" s="2" t="n">
        <f aca="false">IF(D586="",0,1/COUNTIF($D$2:$D$3451,D586))</f>
        <v>0</v>
      </c>
      <c r="I586" s="13" t="n">
        <f aca="false">IFERROR(INDEX('NCO-2015 scores'!$C$2:$C$131,MATCH(E586,'NCO-2015 scores'!$A$2:$A$131,0)),0)</f>
        <v>0.4625</v>
      </c>
      <c r="J586" s="13" t="n">
        <f aca="false">IF(ISNUMBER(MATCH(E586,'NCO-2015 scores'!$A$2:$A$131,0)),IF(ISNUMBER(INDEX('NCO-2015 scores'!$C$2:$C$131,MATCH(E586,'NCO-2015 scores'!$A$2:$A$131,0))),1,0),0)</f>
        <v>1</v>
      </c>
    </row>
    <row r="587" customFormat="false" ht="15" hidden="false" customHeight="false" outlineLevel="0" collapsed="false">
      <c r="A587" s="2" t="n">
        <v>585</v>
      </c>
      <c r="B587" s="2" t="s">
        <v>2123</v>
      </c>
      <c r="C587" s="2" t="s">
        <v>2124</v>
      </c>
      <c r="D587" s="2"/>
      <c r="E587" s="2" t="str">
        <f aca="false">LEFT(C587,3)</f>
        <v>332</v>
      </c>
      <c r="F587" s="2" t="str">
        <f aca="false">IF(D587="","",LEFT(D587,3))</f>
        <v/>
      </c>
      <c r="G587" s="2" t="str">
        <f aca="false">IF(F587="","",IF(E587=F587,"Yes","No"))</f>
        <v/>
      </c>
      <c r="H587" s="2" t="n">
        <f aca="false">IF(D587="",0,1/COUNTIF($D$2:$D$3451,D587))</f>
        <v>0</v>
      </c>
      <c r="I587" s="13" t="n">
        <f aca="false">IFERROR(INDEX('NCO-2015 scores'!$C$2:$C$131,MATCH(E587,'NCO-2015 scores'!$A$2:$A$131,0)),0)</f>
        <v>0.4625</v>
      </c>
      <c r="J587" s="13" t="n">
        <f aca="false">IF(ISNUMBER(MATCH(E587,'NCO-2015 scores'!$A$2:$A$131,0)),IF(ISNUMBER(INDEX('NCO-2015 scores'!$C$2:$C$131,MATCH(E587,'NCO-2015 scores'!$A$2:$A$131,0))),1,0),0)</f>
        <v>1</v>
      </c>
    </row>
    <row r="588" customFormat="false" ht="15" hidden="false" customHeight="false" outlineLevel="0" collapsed="false">
      <c r="A588" s="2" t="n">
        <v>586</v>
      </c>
      <c r="B588" s="2" t="s">
        <v>2125</v>
      </c>
      <c r="C588" s="2" t="s">
        <v>2126</v>
      </c>
      <c r="D588" s="2"/>
      <c r="E588" s="2" t="str">
        <f aca="false">LEFT(C588,3)</f>
        <v>332</v>
      </c>
      <c r="F588" s="2" t="str">
        <f aca="false">IF(D588="","",LEFT(D588,3))</f>
        <v/>
      </c>
      <c r="G588" s="2" t="str">
        <f aca="false">IF(F588="","",IF(E588=F588,"Yes","No"))</f>
        <v/>
      </c>
      <c r="H588" s="2" t="n">
        <f aca="false">IF(D588="",0,1/COUNTIF($D$2:$D$3451,D588))</f>
        <v>0</v>
      </c>
      <c r="I588" s="13" t="n">
        <f aca="false">IFERROR(INDEX('NCO-2015 scores'!$C$2:$C$131,MATCH(E588,'NCO-2015 scores'!$A$2:$A$131,0)),0)</f>
        <v>0.4625</v>
      </c>
      <c r="J588" s="13" t="n">
        <f aca="false">IF(ISNUMBER(MATCH(E588,'NCO-2015 scores'!$A$2:$A$131,0)),IF(ISNUMBER(INDEX('NCO-2015 scores'!$C$2:$C$131,MATCH(E588,'NCO-2015 scores'!$A$2:$A$131,0))),1,0),0)</f>
        <v>1</v>
      </c>
    </row>
    <row r="589" customFormat="false" ht="15" hidden="false" customHeight="false" outlineLevel="0" collapsed="false">
      <c r="A589" s="2" t="n">
        <v>587</v>
      </c>
      <c r="B589" s="2" t="s">
        <v>2127</v>
      </c>
      <c r="C589" s="2" t="s">
        <v>2128</v>
      </c>
      <c r="D589" s="2"/>
      <c r="E589" s="2" t="str">
        <f aca="false">LEFT(C589,3)</f>
        <v>332</v>
      </c>
      <c r="F589" s="2" t="str">
        <f aca="false">IF(D589="","",LEFT(D589,3))</f>
        <v/>
      </c>
      <c r="G589" s="2" t="str">
        <f aca="false">IF(F589="","",IF(E589=F589,"Yes","No"))</f>
        <v/>
      </c>
      <c r="H589" s="2" t="n">
        <f aca="false">IF(D589="",0,1/COUNTIF($D$2:$D$3451,D589))</f>
        <v>0</v>
      </c>
      <c r="I589" s="13" t="n">
        <f aca="false">IFERROR(INDEX('NCO-2015 scores'!$C$2:$C$131,MATCH(E589,'NCO-2015 scores'!$A$2:$A$131,0)),0)</f>
        <v>0.4625</v>
      </c>
      <c r="J589" s="13" t="n">
        <f aca="false">IF(ISNUMBER(MATCH(E589,'NCO-2015 scores'!$A$2:$A$131,0)),IF(ISNUMBER(INDEX('NCO-2015 scores'!$C$2:$C$131,MATCH(E589,'NCO-2015 scores'!$A$2:$A$131,0))),1,0),0)</f>
        <v>1</v>
      </c>
    </row>
    <row r="590" customFormat="false" ht="15" hidden="false" customHeight="false" outlineLevel="0" collapsed="false">
      <c r="A590" s="2" t="n">
        <v>588</v>
      </c>
      <c r="B590" s="2" t="s">
        <v>2129</v>
      </c>
      <c r="C590" s="2" t="s">
        <v>2130</v>
      </c>
      <c r="D590" s="2"/>
      <c r="E590" s="2" t="str">
        <f aca="false">LEFT(C590,3)</f>
        <v>332</v>
      </c>
      <c r="F590" s="2" t="str">
        <f aca="false">IF(D590="","",LEFT(D590,3))</f>
        <v/>
      </c>
      <c r="G590" s="2" t="str">
        <f aca="false">IF(F590="","",IF(E590=F590,"Yes","No"))</f>
        <v/>
      </c>
      <c r="H590" s="2" t="n">
        <f aca="false">IF(D590="",0,1/COUNTIF($D$2:$D$3451,D590))</f>
        <v>0</v>
      </c>
      <c r="I590" s="13" t="n">
        <f aca="false">IFERROR(INDEX('NCO-2015 scores'!$C$2:$C$131,MATCH(E590,'NCO-2015 scores'!$A$2:$A$131,0)),0)</f>
        <v>0.4625</v>
      </c>
      <c r="J590" s="13" t="n">
        <f aca="false">IF(ISNUMBER(MATCH(E590,'NCO-2015 scores'!$A$2:$A$131,0)),IF(ISNUMBER(INDEX('NCO-2015 scores'!$C$2:$C$131,MATCH(E590,'NCO-2015 scores'!$A$2:$A$131,0))),1,0),0)</f>
        <v>1</v>
      </c>
    </row>
    <row r="591" customFormat="false" ht="15" hidden="false" customHeight="false" outlineLevel="0" collapsed="false">
      <c r="A591" s="2" t="n">
        <v>589</v>
      </c>
      <c r="B591" s="2" t="s">
        <v>2131</v>
      </c>
      <c r="C591" s="2" t="s">
        <v>2132</v>
      </c>
      <c r="D591" s="2" t="s">
        <v>2133</v>
      </c>
      <c r="E591" s="2" t="str">
        <f aca="false">LEFT(C591,3)</f>
        <v>332</v>
      </c>
      <c r="F591" s="2" t="str">
        <f aca="false">IF(D591="","",LEFT(D591,3))</f>
        <v>341</v>
      </c>
      <c r="G591" s="2" t="str">
        <f aca="false">IF(F591="","",IF(E591=F591,"Yes","No"))</f>
        <v>No</v>
      </c>
      <c r="H591" s="2" t="n">
        <f aca="false">IF(D591="",0,1/COUNTIF($D$2:$D$3451,D591))</f>
        <v>1</v>
      </c>
      <c r="I591" s="13" t="n">
        <f aca="false">IFERROR(INDEX('NCO-2015 scores'!$C$2:$C$131,MATCH(E591,'NCO-2015 scores'!$A$2:$A$131,0)),0)</f>
        <v>0.4625</v>
      </c>
      <c r="J591" s="13" t="n">
        <f aca="false">IF(ISNUMBER(MATCH(E591,'NCO-2015 scores'!$A$2:$A$131,0)),IF(ISNUMBER(INDEX('NCO-2015 scores'!$C$2:$C$131,MATCH(E591,'NCO-2015 scores'!$A$2:$A$131,0))),1,0),0)</f>
        <v>1</v>
      </c>
    </row>
    <row r="592" customFormat="false" ht="15" hidden="false" customHeight="false" outlineLevel="0" collapsed="false">
      <c r="A592" s="2" t="n">
        <v>590</v>
      </c>
      <c r="B592" s="2" t="s">
        <v>2134</v>
      </c>
      <c r="C592" s="2" t="s">
        <v>2135</v>
      </c>
      <c r="D592" s="2"/>
      <c r="E592" s="2" t="str">
        <f aca="false">LEFT(C592,3)</f>
        <v>332</v>
      </c>
      <c r="F592" s="2" t="str">
        <f aca="false">IF(D592="","",LEFT(D592,3))</f>
        <v/>
      </c>
      <c r="G592" s="2" t="str">
        <f aca="false">IF(F592="","",IF(E592=F592,"Yes","No"))</f>
        <v/>
      </c>
      <c r="H592" s="2" t="n">
        <f aca="false">IF(D592="",0,1/COUNTIF($D$2:$D$3451,D592))</f>
        <v>0</v>
      </c>
      <c r="I592" s="13" t="n">
        <f aca="false">IFERROR(INDEX('NCO-2015 scores'!$C$2:$C$131,MATCH(E592,'NCO-2015 scores'!$A$2:$A$131,0)),0)</f>
        <v>0.4625</v>
      </c>
      <c r="J592" s="13" t="n">
        <f aca="false">IF(ISNUMBER(MATCH(E592,'NCO-2015 scores'!$A$2:$A$131,0)),IF(ISNUMBER(INDEX('NCO-2015 scores'!$C$2:$C$131,MATCH(E592,'NCO-2015 scores'!$A$2:$A$131,0))),1,0),0)</f>
        <v>1</v>
      </c>
    </row>
    <row r="593" customFormat="false" ht="15" hidden="false" customHeight="false" outlineLevel="0" collapsed="false">
      <c r="A593" s="2" t="n">
        <v>591</v>
      </c>
      <c r="B593" s="2" t="s">
        <v>2136</v>
      </c>
      <c r="C593" s="2" t="s">
        <v>2137</v>
      </c>
      <c r="D593" s="2"/>
      <c r="E593" s="2" t="str">
        <f aca="false">LEFT(C593,3)</f>
        <v>332</v>
      </c>
      <c r="F593" s="2" t="str">
        <f aca="false">IF(D593="","",LEFT(D593,3))</f>
        <v/>
      </c>
      <c r="G593" s="2" t="str">
        <f aca="false">IF(F593="","",IF(E593=F593,"Yes","No"))</f>
        <v/>
      </c>
      <c r="H593" s="2" t="n">
        <f aca="false">IF(D593="",0,1/COUNTIF($D$2:$D$3451,D593))</f>
        <v>0</v>
      </c>
      <c r="I593" s="13" t="n">
        <f aca="false">IFERROR(INDEX('NCO-2015 scores'!$C$2:$C$131,MATCH(E593,'NCO-2015 scores'!$A$2:$A$131,0)),0)</f>
        <v>0.4625</v>
      </c>
      <c r="J593" s="13" t="n">
        <f aca="false">IF(ISNUMBER(MATCH(E593,'NCO-2015 scores'!$A$2:$A$131,0)),IF(ISNUMBER(INDEX('NCO-2015 scores'!$C$2:$C$131,MATCH(E593,'NCO-2015 scores'!$A$2:$A$131,0))),1,0),0)</f>
        <v>1</v>
      </c>
    </row>
    <row r="594" customFormat="false" ht="15" hidden="false" customHeight="false" outlineLevel="0" collapsed="false">
      <c r="A594" s="2" t="n">
        <v>592</v>
      </c>
      <c r="B594" s="2" t="s">
        <v>2138</v>
      </c>
      <c r="C594" s="2" t="s">
        <v>2139</v>
      </c>
      <c r="D594" s="2"/>
      <c r="E594" s="2" t="str">
        <f aca="false">LEFT(C594,3)</f>
        <v>332</v>
      </c>
      <c r="F594" s="2" t="str">
        <f aca="false">IF(D594="","",LEFT(D594,3))</f>
        <v/>
      </c>
      <c r="G594" s="2" t="str">
        <f aca="false">IF(F594="","",IF(E594=F594,"Yes","No"))</f>
        <v/>
      </c>
      <c r="H594" s="2" t="n">
        <f aca="false">IF(D594="",0,1/COUNTIF($D$2:$D$3451,D594))</f>
        <v>0</v>
      </c>
      <c r="I594" s="13" t="n">
        <f aca="false">IFERROR(INDEX('NCO-2015 scores'!$C$2:$C$131,MATCH(E594,'NCO-2015 scores'!$A$2:$A$131,0)),0)</f>
        <v>0.4625</v>
      </c>
      <c r="J594" s="13" t="n">
        <f aca="false">IF(ISNUMBER(MATCH(E594,'NCO-2015 scores'!$A$2:$A$131,0)),IF(ISNUMBER(INDEX('NCO-2015 scores'!$C$2:$C$131,MATCH(E594,'NCO-2015 scores'!$A$2:$A$131,0))),1,0),0)</f>
        <v>1</v>
      </c>
    </row>
    <row r="595" customFormat="false" ht="15" hidden="false" customHeight="false" outlineLevel="0" collapsed="false">
      <c r="A595" s="2" t="n">
        <v>593</v>
      </c>
      <c r="B595" s="2" t="s">
        <v>2140</v>
      </c>
      <c r="C595" s="2" t="s">
        <v>2141</v>
      </c>
      <c r="D595" s="2"/>
      <c r="E595" s="2" t="str">
        <f aca="false">LEFT(C595,3)</f>
        <v>332</v>
      </c>
      <c r="F595" s="2" t="str">
        <f aca="false">IF(D595="","",LEFT(D595,3))</f>
        <v/>
      </c>
      <c r="G595" s="2" t="str">
        <f aca="false">IF(F595="","",IF(E595=F595,"Yes","No"))</f>
        <v/>
      </c>
      <c r="H595" s="2" t="n">
        <f aca="false">IF(D595="",0,1/COUNTIF($D$2:$D$3451,D595))</f>
        <v>0</v>
      </c>
      <c r="I595" s="13" t="n">
        <f aca="false">IFERROR(INDEX('NCO-2015 scores'!$C$2:$C$131,MATCH(E595,'NCO-2015 scores'!$A$2:$A$131,0)),0)</f>
        <v>0.4625</v>
      </c>
      <c r="J595" s="13" t="n">
        <f aca="false">IF(ISNUMBER(MATCH(E595,'NCO-2015 scores'!$A$2:$A$131,0)),IF(ISNUMBER(INDEX('NCO-2015 scores'!$C$2:$C$131,MATCH(E595,'NCO-2015 scores'!$A$2:$A$131,0))),1,0),0)</f>
        <v>1</v>
      </c>
    </row>
    <row r="596" customFormat="false" ht="15" hidden="false" customHeight="false" outlineLevel="0" collapsed="false">
      <c r="A596" s="2" t="n">
        <v>594</v>
      </c>
      <c r="B596" s="2" t="s">
        <v>2142</v>
      </c>
      <c r="C596" s="2" t="s">
        <v>2143</v>
      </c>
      <c r="D596" s="2"/>
      <c r="E596" s="2" t="str">
        <f aca="false">LEFT(C596,3)</f>
        <v>332</v>
      </c>
      <c r="F596" s="2" t="str">
        <f aca="false">IF(D596="","",LEFT(D596,3))</f>
        <v/>
      </c>
      <c r="G596" s="2" t="str">
        <f aca="false">IF(F596="","",IF(E596=F596,"Yes","No"))</f>
        <v/>
      </c>
      <c r="H596" s="2" t="n">
        <f aca="false">IF(D596="",0,1/COUNTIF($D$2:$D$3451,D596))</f>
        <v>0</v>
      </c>
      <c r="I596" s="13" t="n">
        <f aca="false">IFERROR(INDEX('NCO-2015 scores'!$C$2:$C$131,MATCH(E596,'NCO-2015 scores'!$A$2:$A$131,0)),0)</f>
        <v>0.4625</v>
      </c>
      <c r="J596" s="13" t="n">
        <f aca="false">IF(ISNUMBER(MATCH(E596,'NCO-2015 scores'!$A$2:$A$131,0)),IF(ISNUMBER(INDEX('NCO-2015 scores'!$C$2:$C$131,MATCH(E596,'NCO-2015 scores'!$A$2:$A$131,0))),1,0),0)</f>
        <v>1</v>
      </c>
    </row>
    <row r="597" customFormat="false" ht="15" hidden="false" customHeight="false" outlineLevel="0" collapsed="false">
      <c r="A597" s="2" t="n">
        <v>595</v>
      </c>
      <c r="B597" s="2" t="s">
        <v>2144</v>
      </c>
      <c r="C597" s="2" t="s">
        <v>2145</v>
      </c>
      <c r="D597" s="2"/>
      <c r="E597" s="2" t="str">
        <f aca="false">LEFT(C597,3)</f>
        <v>332</v>
      </c>
      <c r="F597" s="2" t="str">
        <f aca="false">IF(D597="","",LEFT(D597,3))</f>
        <v/>
      </c>
      <c r="G597" s="2" t="str">
        <f aca="false">IF(F597="","",IF(E597=F597,"Yes","No"))</f>
        <v/>
      </c>
      <c r="H597" s="2" t="n">
        <f aca="false">IF(D597="",0,1/COUNTIF($D$2:$D$3451,D597))</f>
        <v>0</v>
      </c>
      <c r="I597" s="13" t="n">
        <f aca="false">IFERROR(INDEX('NCO-2015 scores'!$C$2:$C$131,MATCH(E597,'NCO-2015 scores'!$A$2:$A$131,0)),0)</f>
        <v>0.4625</v>
      </c>
      <c r="J597" s="13" t="n">
        <f aca="false">IF(ISNUMBER(MATCH(E597,'NCO-2015 scores'!$A$2:$A$131,0)),IF(ISNUMBER(INDEX('NCO-2015 scores'!$C$2:$C$131,MATCH(E597,'NCO-2015 scores'!$A$2:$A$131,0))),1,0),0)</f>
        <v>1</v>
      </c>
    </row>
    <row r="598" customFormat="false" ht="15" hidden="false" customHeight="false" outlineLevel="0" collapsed="false">
      <c r="A598" s="2" t="n">
        <v>596</v>
      </c>
      <c r="B598" s="2" t="s">
        <v>2146</v>
      </c>
      <c r="C598" s="2" t="s">
        <v>2147</v>
      </c>
      <c r="D598" s="2"/>
      <c r="E598" s="2" t="str">
        <f aca="false">LEFT(C598,3)</f>
        <v>332</v>
      </c>
      <c r="F598" s="2" t="str">
        <f aca="false">IF(D598="","",LEFT(D598,3))</f>
        <v/>
      </c>
      <c r="G598" s="2" t="str">
        <f aca="false">IF(F598="","",IF(E598=F598,"Yes","No"))</f>
        <v/>
      </c>
      <c r="H598" s="2" t="n">
        <f aca="false">IF(D598="",0,1/COUNTIF($D$2:$D$3451,D598))</f>
        <v>0</v>
      </c>
      <c r="I598" s="13" t="n">
        <f aca="false">IFERROR(INDEX('NCO-2015 scores'!$C$2:$C$131,MATCH(E598,'NCO-2015 scores'!$A$2:$A$131,0)),0)</f>
        <v>0.4625</v>
      </c>
      <c r="J598" s="13" t="n">
        <f aca="false">IF(ISNUMBER(MATCH(E598,'NCO-2015 scores'!$A$2:$A$131,0)),IF(ISNUMBER(INDEX('NCO-2015 scores'!$C$2:$C$131,MATCH(E598,'NCO-2015 scores'!$A$2:$A$131,0))),1,0),0)</f>
        <v>1</v>
      </c>
    </row>
    <row r="599" customFormat="false" ht="15" hidden="false" customHeight="false" outlineLevel="0" collapsed="false">
      <c r="A599" s="2" t="n">
        <v>597</v>
      </c>
      <c r="B599" s="2" t="s">
        <v>2148</v>
      </c>
      <c r="C599" s="2" t="s">
        <v>2149</v>
      </c>
      <c r="D599" s="2"/>
      <c r="E599" s="2" t="str">
        <f aca="false">LEFT(C599,3)</f>
        <v>332</v>
      </c>
      <c r="F599" s="2" t="str">
        <f aca="false">IF(D599="","",LEFT(D599,3))</f>
        <v/>
      </c>
      <c r="G599" s="2" t="str">
        <f aca="false">IF(F599="","",IF(E599=F599,"Yes","No"))</f>
        <v/>
      </c>
      <c r="H599" s="2" t="n">
        <f aca="false">IF(D599="",0,1/COUNTIF($D$2:$D$3451,D599))</f>
        <v>0</v>
      </c>
      <c r="I599" s="13" t="n">
        <f aca="false">IFERROR(INDEX('NCO-2015 scores'!$C$2:$C$131,MATCH(E599,'NCO-2015 scores'!$A$2:$A$131,0)),0)</f>
        <v>0.4625</v>
      </c>
      <c r="J599" s="13" t="n">
        <f aca="false">IF(ISNUMBER(MATCH(E599,'NCO-2015 scores'!$A$2:$A$131,0)),IF(ISNUMBER(INDEX('NCO-2015 scores'!$C$2:$C$131,MATCH(E599,'NCO-2015 scores'!$A$2:$A$131,0))),1,0),0)</f>
        <v>1</v>
      </c>
    </row>
    <row r="600" customFormat="false" ht="15" hidden="false" customHeight="false" outlineLevel="0" collapsed="false">
      <c r="A600" s="2" t="n">
        <v>598</v>
      </c>
      <c r="B600" s="2" t="s">
        <v>2150</v>
      </c>
      <c r="C600" s="2" t="s">
        <v>2151</v>
      </c>
      <c r="D600" s="2"/>
      <c r="E600" s="2" t="str">
        <f aca="false">LEFT(C600,3)</f>
        <v>332</v>
      </c>
      <c r="F600" s="2" t="str">
        <f aca="false">IF(D600="","",LEFT(D600,3))</f>
        <v/>
      </c>
      <c r="G600" s="2" t="str">
        <f aca="false">IF(F600="","",IF(E600=F600,"Yes","No"))</f>
        <v/>
      </c>
      <c r="H600" s="2" t="n">
        <f aca="false">IF(D600="",0,1/COUNTIF($D$2:$D$3451,D600))</f>
        <v>0</v>
      </c>
      <c r="I600" s="13" t="n">
        <f aca="false">IFERROR(INDEX('NCO-2015 scores'!$C$2:$C$131,MATCH(E600,'NCO-2015 scores'!$A$2:$A$131,0)),0)</f>
        <v>0.4625</v>
      </c>
      <c r="J600" s="13" t="n">
        <f aca="false">IF(ISNUMBER(MATCH(E600,'NCO-2015 scores'!$A$2:$A$131,0)),IF(ISNUMBER(INDEX('NCO-2015 scores'!$C$2:$C$131,MATCH(E600,'NCO-2015 scores'!$A$2:$A$131,0))),1,0),0)</f>
        <v>1</v>
      </c>
    </row>
    <row r="601" customFormat="false" ht="15" hidden="false" customHeight="false" outlineLevel="0" collapsed="false">
      <c r="A601" s="2" t="n">
        <v>599</v>
      </c>
      <c r="B601" s="2" t="s">
        <v>2152</v>
      </c>
      <c r="C601" s="2" t="s">
        <v>2153</v>
      </c>
      <c r="D601" s="2"/>
      <c r="E601" s="2" t="str">
        <f aca="false">LEFT(C601,3)</f>
        <v>332</v>
      </c>
      <c r="F601" s="2" t="str">
        <f aca="false">IF(D601="","",LEFT(D601,3))</f>
        <v/>
      </c>
      <c r="G601" s="2" t="str">
        <f aca="false">IF(F601="","",IF(E601=F601,"Yes","No"))</f>
        <v/>
      </c>
      <c r="H601" s="2" t="n">
        <f aca="false">IF(D601="",0,1/COUNTIF($D$2:$D$3451,D601))</f>
        <v>0</v>
      </c>
      <c r="I601" s="13" t="n">
        <f aca="false">IFERROR(INDEX('NCO-2015 scores'!$C$2:$C$131,MATCH(E601,'NCO-2015 scores'!$A$2:$A$131,0)),0)</f>
        <v>0.4625</v>
      </c>
      <c r="J601" s="13" t="n">
        <f aca="false">IF(ISNUMBER(MATCH(E601,'NCO-2015 scores'!$A$2:$A$131,0)),IF(ISNUMBER(INDEX('NCO-2015 scores'!$C$2:$C$131,MATCH(E601,'NCO-2015 scores'!$A$2:$A$131,0))),1,0),0)</f>
        <v>1</v>
      </c>
    </row>
    <row r="602" customFormat="false" ht="15" hidden="false" customHeight="false" outlineLevel="0" collapsed="false">
      <c r="A602" s="2" t="n">
        <v>600</v>
      </c>
      <c r="B602" s="2" t="s">
        <v>2154</v>
      </c>
      <c r="C602" s="2" t="s">
        <v>2155</v>
      </c>
      <c r="D602" s="2"/>
      <c r="E602" s="2" t="str">
        <f aca="false">LEFT(C602,3)</f>
        <v>332</v>
      </c>
      <c r="F602" s="2" t="str">
        <f aca="false">IF(D602="","",LEFT(D602,3))</f>
        <v/>
      </c>
      <c r="G602" s="2" t="str">
        <f aca="false">IF(F602="","",IF(E602=F602,"Yes","No"))</f>
        <v/>
      </c>
      <c r="H602" s="2" t="n">
        <f aca="false">IF(D602="",0,1/COUNTIF($D$2:$D$3451,D602))</f>
        <v>0</v>
      </c>
      <c r="I602" s="13" t="n">
        <f aca="false">IFERROR(INDEX('NCO-2015 scores'!$C$2:$C$131,MATCH(E602,'NCO-2015 scores'!$A$2:$A$131,0)),0)</f>
        <v>0.4625</v>
      </c>
      <c r="J602" s="13" t="n">
        <f aca="false">IF(ISNUMBER(MATCH(E602,'NCO-2015 scores'!$A$2:$A$131,0)),IF(ISNUMBER(INDEX('NCO-2015 scores'!$C$2:$C$131,MATCH(E602,'NCO-2015 scores'!$A$2:$A$131,0))),1,0),0)</f>
        <v>1</v>
      </c>
    </row>
    <row r="603" customFormat="false" ht="15" hidden="false" customHeight="false" outlineLevel="0" collapsed="false">
      <c r="A603" s="2" t="n">
        <v>601</v>
      </c>
      <c r="B603" s="2" t="s">
        <v>2156</v>
      </c>
      <c r="C603" s="2" t="s">
        <v>2157</v>
      </c>
      <c r="D603" s="2"/>
      <c r="E603" s="2" t="str">
        <f aca="false">LEFT(C603,3)</f>
        <v>332</v>
      </c>
      <c r="F603" s="2" t="str">
        <f aca="false">IF(D603="","",LEFT(D603,3))</f>
        <v/>
      </c>
      <c r="G603" s="2" t="str">
        <f aca="false">IF(F603="","",IF(E603=F603,"Yes","No"))</f>
        <v/>
      </c>
      <c r="H603" s="2" t="n">
        <f aca="false">IF(D603="",0,1/COUNTIF($D$2:$D$3451,D603))</f>
        <v>0</v>
      </c>
      <c r="I603" s="13" t="n">
        <f aca="false">IFERROR(INDEX('NCO-2015 scores'!$C$2:$C$131,MATCH(E603,'NCO-2015 scores'!$A$2:$A$131,0)),0)</f>
        <v>0.4625</v>
      </c>
      <c r="J603" s="13" t="n">
        <f aca="false">IF(ISNUMBER(MATCH(E603,'NCO-2015 scores'!$A$2:$A$131,0)),IF(ISNUMBER(INDEX('NCO-2015 scores'!$C$2:$C$131,MATCH(E603,'NCO-2015 scores'!$A$2:$A$131,0))),1,0),0)</f>
        <v>1</v>
      </c>
    </row>
    <row r="604" customFormat="false" ht="15" hidden="false" customHeight="false" outlineLevel="0" collapsed="false">
      <c r="A604" s="2" t="n">
        <v>602</v>
      </c>
      <c r="B604" s="2" t="s">
        <v>2158</v>
      </c>
      <c r="C604" s="2" t="s">
        <v>2159</v>
      </c>
      <c r="D604" s="2"/>
      <c r="E604" s="2" t="str">
        <f aca="false">LEFT(C604,3)</f>
        <v>332</v>
      </c>
      <c r="F604" s="2" t="str">
        <f aca="false">IF(D604="","",LEFT(D604,3))</f>
        <v/>
      </c>
      <c r="G604" s="2" t="str">
        <f aca="false">IF(F604="","",IF(E604=F604,"Yes","No"))</f>
        <v/>
      </c>
      <c r="H604" s="2" t="n">
        <f aca="false">IF(D604="",0,1/COUNTIF($D$2:$D$3451,D604))</f>
        <v>0</v>
      </c>
      <c r="I604" s="13" t="n">
        <f aca="false">IFERROR(INDEX('NCO-2015 scores'!$C$2:$C$131,MATCH(E604,'NCO-2015 scores'!$A$2:$A$131,0)),0)</f>
        <v>0.4625</v>
      </c>
      <c r="J604" s="13" t="n">
        <f aca="false">IF(ISNUMBER(MATCH(E604,'NCO-2015 scores'!$A$2:$A$131,0)),IF(ISNUMBER(INDEX('NCO-2015 scores'!$C$2:$C$131,MATCH(E604,'NCO-2015 scores'!$A$2:$A$131,0))),1,0),0)</f>
        <v>1</v>
      </c>
    </row>
    <row r="605" customFormat="false" ht="15" hidden="false" customHeight="false" outlineLevel="0" collapsed="false">
      <c r="A605" s="2" t="n">
        <v>603</v>
      </c>
      <c r="B605" s="2" t="s">
        <v>2160</v>
      </c>
      <c r="C605" s="2" t="s">
        <v>2161</v>
      </c>
      <c r="D605" s="2"/>
      <c r="E605" s="2" t="str">
        <f aca="false">LEFT(C605,3)</f>
        <v>332</v>
      </c>
      <c r="F605" s="2" t="str">
        <f aca="false">IF(D605="","",LEFT(D605,3))</f>
        <v/>
      </c>
      <c r="G605" s="2" t="str">
        <f aca="false">IF(F605="","",IF(E605=F605,"Yes","No"))</f>
        <v/>
      </c>
      <c r="H605" s="2" t="n">
        <f aca="false">IF(D605="",0,1/COUNTIF($D$2:$D$3451,D605))</f>
        <v>0</v>
      </c>
      <c r="I605" s="13" t="n">
        <f aca="false">IFERROR(INDEX('NCO-2015 scores'!$C$2:$C$131,MATCH(E605,'NCO-2015 scores'!$A$2:$A$131,0)),0)</f>
        <v>0.4625</v>
      </c>
      <c r="J605" s="13" t="n">
        <f aca="false">IF(ISNUMBER(MATCH(E605,'NCO-2015 scores'!$A$2:$A$131,0)),IF(ISNUMBER(INDEX('NCO-2015 scores'!$C$2:$C$131,MATCH(E605,'NCO-2015 scores'!$A$2:$A$131,0))),1,0),0)</f>
        <v>1</v>
      </c>
    </row>
    <row r="606" customFormat="false" ht="15" hidden="false" customHeight="false" outlineLevel="0" collapsed="false">
      <c r="A606" s="2" t="n">
        <v>604</v>
      </c>
      <c r="B606" s="2" t="s">
        <v>2162</v>
      </c>
      <c r="C606" s="2" t="s">
        <v>2163</v>
      </c>
      <c r="D606" s="2"/>
      <c r="E606" s="2" t="str">
        <f aca="false">LEFT(C606,3)</f>
        <v>332</v>
      </c>
      <c r="F606" s="2" t="str">
        <f aca="false">IF(D606="","",LEFT(D606,3))</f>
        <v/>
      </c>
      <c r="G606" s="2" t="str">
        <f aca="false">IF(F606="","",IF(E606=F606,"Yes","No"))</f>
        <v/>
      </c>
      <c r="H606" s="2" t="n">
        <f aca="false">IF(D606="",0,1/COUNTIF($D$2:$D$3451,D606))</f>
        <v>0</v>
      </c>
      <c r="I606" s="13" t="n">
        <f aca="false">IFERROR(INDEX('NCO-2015 scores'!$C$2:$C$131,MATCH(E606,'NCO-2015 scores'!$A$2:$A$131,0)),0)</f>
        <v>0.4625</v>
      </c>
      <c r="J606" s="13" t="n">
        <f aca="false">IF(ISNUMBER(MATCH(E606,'NCO-2015 scores'!$A$2:$A$131,0)),IF(ISNUMBER(INDEX('NCO-2015 scores'!$C$2:$C$131,MATCH(E606,'NCO-2015 scores'!$A$2:$A$131,0))),1,0),0)</f>
        <v>1</v>
      </c>
    </row>
    <row r="607" customFormat="false" ht="15" hidden="false" customHeight="false" outlineLevel="0" collapsed="false">
      <c r="A607" s="2" t="n">
        <v>605</v>
      </c>
      <c r="B607" s="2" t="s">
        <v>2164</v>
      </c>
      <c r="C607" s="2" t="s">
        <v>2165</v>
      </c>
      <c r="D607" s="2"/>
      <c r="E607" s="2" t="str">
        <f aca="false">LEFT(C607,3)</f>
        <v>332</v>
      </c>
      <c r="F607" s="2" t="str">
        <f aca="false">IF(D607="","",LEFT(D607,3))</f>
        <v/>
      </c>
      <c r="G607" s="2" t="str">
        <f aca="false">IF(F607="","",IF(E607=F607,"Yes","No"))</f>
        <v/>
      </c>
      <c r="H607" s="2" t="n">
        <f aca="false">IF(D607="",0,1/COUNTIF($D$2:$D$3451,D607))</f>
        <v>0</v>
      </c>
      <c r="I607" s="13" t="n">
        <f aca="false">IFERROR(INDEX('NCO-2015 scores'!$C$2:$C$131,MATCH(E607,'NCO-2015 scores'!$A$2:$A$131,0)),0)</f>
        <v>0.4625</v>
      </c>
      <c r="J607" s="13" t="n">
        <f aca="false">IF(ISNUMBER(MATCH(E607,'NCO-2015 scores'!$A$2:$A$131,0)),IF(ISNUMBER(INDEX('NCO-2015 scores'!$C$2:$C$131,MATCH(E607,'NCO-2015 scores'!$A$2:$A$131,0))),1,0),0)</f>
        <v>1</v>
      </c>
    </row>
    <row r="608" customFormat="false" ht="15" hidden="false" customHeight="false" outlineLevel="0" collapsed="false">
      <c r="A608" s="2" t="n">
        <v>606</v>
      </c>
      <c r="B608" s="2" t="s">
        <v>2166</v>
      </c>
      <c r="C608" s="2" t="s">
        <v>2167</v>
      </c>
      <c r="D608" s="2"/>
      <c r="E608" s="2" t="str">
        <f aca="false">LEFT(C608,3)</f>
        <v>332</v>
      </c>
      <c r="F608" s="2" t="str">
        <f aca="false">IF(D608="","",LEFT(D608,3))</f>
        <v/>
      </c>
      <c r="G608" s="2" t="str">
        <f aca="false">IF(F608="","",IF(E608=F608,"Yes","No"))</f>
        <v/>
      </c>
      <c r="H608" s="2" t="n">
        <f aca="false">IF(D608="",0,1/COUNTIF($D$2:$D$3451,D608))</f>
        <v>0</v>
      </c>
      <c r="I608" s="13" t="n">
        <f aca="false">IFERROR(INDEX('NCO-2015 scores'!$C$2:$C$131,MATCH(E608,'NCO-2015 scores'!$A$2:$A$131,0)),0)</f>
        <v>0.4625</v>
      </c>
      <c r="J608" s="13" t="n">
        <f aca="false">IF(ISNUMBER(MATCH(E608,'NCO-2015 scores'!$A$2:$A$131,0)),IF(ISNUMBER(INDEX('NCO-2015 scores'!$C$2:$C$131,MATCH(E608,'NCO-2015 scores'!$A$2:$A$131,0))),1,0),0)</f>
        <v>1</v>
      </c>
    </row>
    <row r="609" customFormat="false" ht="15" hidden="false" customHeight="false" outlineLevel="0" collapsed="false">
      <c r="A609" s="2" t="n">
        <v>607</v>
      </c>
      <c r="B609" s="2" t="s">
        <v>2168</v>
      </c>
      <c r="C609" s="2" t="s">
        <v>2169</v>
      </c>
      <c r="D609" s="2" t="s">
        <v>2170</v>
      </c>
      <c r="E609" s="2" t="str">
        <f aca="false">LEFT(C609,3)</f>
        <v>332</v>
      </c>
      <c r="F609" s="2" t="str">
        <f aca="false">IF(D609="","",LEFT(D609,3))</f>
        <v>341</v>
      </c>
      <c r="G609" s="2" t="str">
        <f aca="false">IF(F609="","",IF(E609=F609,"Yes","No"))</f>
        <v>No</v>
      </c>
      <c r="H609" s="2" t="n">
        <f aca="false">IF(D609="",0,1/COUNTIF($D$2:$D$3451,D609))</f>
        <v>1</v>
      </c>
      <c r="I609" s="13" t="n">
        <f aca="false">IFERROR(INDEX('NCO-2015 scores'!$C$2:$C$131,MATCH(E609,'NCO-2015 scores'!$A$2:$A$131,0)),0)</f>
        <v>0.4625</v>
      </c>
      <c r="J609" s="13" t="n">
        <f aca="false">IF(ISNUMBER(MATCH(E609,'NCO-2015 scores'!$A$2:$A$131,0)),IF(ISNUMBER(INDEX('NCO-2015 scores'!$C$2:$C$131,MATCH(E609,'NCO-2015 scores'!$A$2:$A$131,0))),1,0),0)</f>
        <v>1</v>
      </c>
    </row>
    <row r="610" customFormat="false" ht="15" hidden="false" customHeight="false" outlineLevel="0" collapsed="false">
      <c r="A610" s="2" t="n">
        <v>608</v>
      </c>
      <c r="B610" s="2" t="s">
        <v>2171</v>
      </c>
      <c r="C610" s="2" t="s">
        <v>2172</v>
      </c>
      <c r="D610" s="2"/>
      <c r="E610" s="2" t="str">
        <f aca="false">LEFT(C610,3)</f>
        <v>332</v>
      </c>
      <c r="F610" s="2" t="str">
        <f aca="false">IF(D610="","",LEFT(D610,3))</f>
        <v/>
      </c>
      <c r="G610" s="2" t="str">
        <f aca="false">IF(F610="","",IF(E610=F610,"Yes","No"))</f>
        <v/>
      </c>
      <c r="H610" s="2" t="n">
        <f aca="false">IF(D610="",0,1/COUNTIF($D$2:$D$3451,D610))</f>
        <v>0</v>
      </c>
      <c r="I610" s="13" t="n">
        <f aca="false">IFERROR(INDEX('NCO-2015 scores'!$C$2:$C$131,MATCH(E610,'NCO-2015 scores'!$A$2:$A$131,0)),0)</f>
        <v>0.4625</v>
      </c>
      <c r="J610" s="13" t="n">
        <f aca="false">IF(ISNUMBER(MATCH(E610,'NCO-2015 scores'!$A$2:$A$131,0)),IF(ISNUMBER(INDEX('NCO-2015 scores'!$C$2:$C$131,MATCH(E610,'NCO-2015 scores'!$A$2:$A$131,0))),1,0),0)</f>
        <v>1</v>
      </c>
    </row>
    <row r="611" customFormat="false" ht="15" hidden="false" customHeight="false" outlineLevel="0" collapsed="false">
      <c r="A611" s="2" t="n">
        <v>609</v>
      </c>
      <c r="B611" s="2" t="s">
        <v>2173</v>
      </c>
      <c r="C611" s="2" t="s">
        <v>2174</v>
      </c>
      <c r="D611" s="2"/>
      <c r="E611" s="2" t="str">
        <f aca="false">LEFT(C611,3)</f>
        <v>332</v>
      </c>
      <c r="F611" s="2" t="str">
        <f aca="false">IF(D611="","",LEFT(D611,3))</f>
        <v/>
      </c>
      <c r="G611" s="2" t="str">
        <f aca="false">IF(F611="","",IF(E611=F611,"Yes","No"))</f>
        <v/>
      </c>
      <c r="H611" s="2" t="n">
        <f aca="false">IF(D611="",0,1/COUNTIF($D$2:$D$3451,D611))</f>
        <v>0</v>
      </c>
      <c r="I611" s="13" t="n">
        <f aca="false">IFERROR(INDEX('NCO-2015 scores'!$C$2:$C$131,MATCH(E611,'NCO-2015 scores'!$A$2:$A$131,0)),0)</f>
        <v>0.4625</v>
      </c>
      <c r="J611" s="13" t="n">
        <f aca="false">IF(ISNUMBER(MATCH(E611,'NCO-2015 scores'!$A$2:$A$131,0)),IF(ISNUMBER(INDEX('NCO-2015 scores'!$C$2:$C$131,MATCH(E611,'NCO-2015 scores'!$A$2:$A$131,0))),1,0),0)</f>
        <v>1</v>
      </c>
    </row>
    <row r="612" customFormat="false" ht="15" hidden="false" customHeight="false" outlineLevel="0" collapsed="false">
      <c r="A612" s="2" t="n">
        <v>610</v>
      </c>
      <c r="B612" s="2" t="s">
        <v>2175</v>
      </c>
      <c r="C612" s="2" t="s">
        <v>2176</v>
      </c>
      <c r="D612" s="2"/>
      <c r="E612" s="2" t="str">
        <f aca="false">LEFT(C612,3)</f>
        <v>325</v>
      </c>
      <c r="F612" s="2" t="str">
        <f aca="false">IF(D612="","",LEFT(D612,3))</f>
        <v/>
      </c>
      <c r="G612" s="2" t="str">
        <f aca="false">IF(F612="","",IF(E612=F612,"Yes","No"))</f>
        <v/>
      </c>
      <c r="H612" s="2" t="n">
        <f aca="false">IF(D612="",0,1/COUNTIF($D$2:$D$3451,D612))</f>
        <v>0</v>
      </c>
      <c r="I612" s="13" t="n">
        <f aca="false">IFERROR(INDEX('NCO-2015 scores'!$C$2:$C$131,MATCH(E612,'NCO-2015 scores'!$A$2:$A$131,0)),0)</f>
        <v>0.2689</v>
      </c>
      <c r="J612" s="13" t="n">
        <f aca="false">IF(ISNUMBER(MATCH(E612,'NCO-2015 scores'!$A$2:$A$131,0)),IF(ISNUMBER(INDEX('NCO-2015 scores'!$C$2:$C$131,MATCH(E612,'NCO-2015 scores'!$A$2:$A$131,0))),1,0),0)</f>
        <v>1</v>
      </c>
    </row>
    <row r="613" customFormat="false" ht="15" hidden="false" customHeight="false" outlineLevel="0" collapsed="false">
      <c r="A613" s="2" t="n">
        <v>611</v>
      </c>
      <c r="B613" s="2" t="s">
        <v>2177</v>
      </c>
      <c r="C613" s="2" t="s">
        <v>2178</v>
      </c>
      <c r="D613" s="2"/>
      <c r="E613" s="2" t="str">
        <f aca="false">LEFT(C613,3)</f>
        <v>325</v>
      </c>
      <c r="F613" s="2" t="str">
        <f aca="false">IF(D613="","",LEFT(D613,3))</f>
        <v/>
      </c>
      <c r="G613" s="2" t="str">
        <f aca="false">IF(F613="","",IF(E613=F613,"Yes","No"))</f>
        <v/>
      </c>
      <c r="H613" s="2" t="n">
        <f aca="false">IF(D613="",0,1/COUNTIF($D$2:$D$3451,D613))</f>
        <v>0</v>
      </c>
      <c r="I613" s="13" t="n">
        <f aca="false">IFERROR(INDEX('NCO-2015 scores'!$C$2:$C$131,MATCH(E613,'NCO-2015 scores'!$A$2:$A$131,0)),0)</f>
        <v>0.2689</v>
      </c>
      <c r="J613" s="13" t="n">
        <f aca="false">IF(ISNUMBER(MATCH(E613,'NCO-2015 scores'!$A$2:$A$131,0)),IF(ISNUMBER(INDEX('NCO-2015 scores'!$C$2:$C$131,MATCH(E613,'NCO-2015 scores'!$A$2:$A$131,0))),1,0),0)</f>
        <v>1</v>
      </c>
    </row>
    <row r="614" customFormat="false" ht="15" hidden="false" customHeight="false" outlineLevel="0" collapsed="false">
      <c r="A614" s="2" t="n">
        <v>612</v>
      </c>
      <c r="B614" s="2" t="s">
        <v>2179</v>
      </c>
      <c r="C614" s="2" t="s">
        <v>2180</v>
      </c>
      <c r="D614" s="2"/>
      <c r="E614" s="2" t="str">
        <f aca="false">LEFT(C614,3)</f>
        <v>325</v>
      </c>
      <c r="F614" s="2" t="str">
        <f aca="false">IF(D614="","",LEFT(D614,3))</f>
        <v/>
      </c>
      <c r="G614" s="2" t="str">
        <f aca="false">IF(F614="","",IF(E614=F614,"Yes","No"))</f>
        <v/>
      </c>
      <c r="H614" s="2" t="n">
        <f aca="false">IF(D614="",0,1/COUNTIF($D$2:$D$3451,D614))</f>
        <v>0</v>
      </c>
      <c r="I614" s="13" t="n">
        <f aca="false">IFERROR(INDEX('NCO-2015 scores'!$C$2:$C$131,MATCH(E614,'NCO-2015 scores'!$A$2:$A$131,0)),0)</f>
        <v>0.2689</v>
      </c>
      <c r="J614" s="13" t="n">
        <f aca="false">IF(ISNUMBER(MATCH(E614,'NCO-2015 scores'!$A$2:$A$131,0)),IF(ISNUMBER(INDEX('NCO-2015 scores'!$C$2:$C$131,MATCH(E614,'NCO-2015 scores'!$A$2:$A$131,0))),1,0),0)</f>
        <v>1</v>
      </c>
    </row>
    <row r="615" customFormat="false" ht="15" hidden="false" customHeight="false" outlineLevel="0" collapsed="false">
      <c r="A615" s="2" t="n">
        <v>613</v>
      </c>
      <c r="B615" s="2" t="s">
        <v>2181</v>
      </c>
      <c r="C615" s="2" t="s">
        <v>2182</v>
      </c>
      <c r="D615" s="2" t="s">
        <v>2183</v>
      </c>
      <c r="E615" s="2" t="str">
        <f aca="false">LEFT(C615,3)</f>
        <v>351</v>
      </c>
      <c r="F615" s="2" t="str">
        <f aca="false">IF(D615="","",LEFT(D615,3))</f>
        <v>312</v>
      </c>
      <c r="G615" s="2" t="str">
        <f aca="false">IF(F615="","",IF(E615=F615,"Yes","No"))</f>
        <v>No</v>
      </c>
      <c r="H615" s="2" t="n">
        <f aca="false">IF(D615="",0,1/COUNTIF($D$2:$D$3451,D615))</f>
        <v>1</v>
      </c>
      <c r="I615" s="13" t="n">
        <f aca="false">IFERROR(INDEX('NCO-2015 scores'!$C$2:$C$131,MATCH(E615,'NCO-2015 scores'!$A$2:$A$131,0)),0)</f>
        <v>0.465</v>
      </c>
      <c r="J615" s="13" t="n">
        <f aca="false">IF(ISNUMBER(MATCH(E615,'NCO-2015 scores'!$A$2:$A$131,0)),IF(ISNUMBER(INDEX('NCO-2015 scores'!$C$2:$C$131,MATCH(E615,'NCO-2015 scores'!$A$2:$A$131,0))),1,0),0)</f>
        <v>1</v>
      </c>
    </row>
    <row r="616" customFormat="false" ht="15" hidden="false" customHeight="false" outlineLevel="0" collapsed="false">
      <c r="A616" s="2" t="n">
        <v>614</v>
      </c>
      <c r="B616" s="2" t="s">
        <v>2184</v>
      </c>
      <c r="C616" s="2" t="s">
        <v>2185</v>
      </c>
      <c r="D616" s="2" t="s">
        <v>2186</v>
      </c>
      <c r="E616" s="2" t="str">
        <f aca="false">LEFT(C616,3)</f>
        <v>351</v>
      </c>
      <c r="F616" s="2" t="str">
        <f aca="false">IF(D616="","",LEFT(D616,3))</f>
        <v>312</v>
      </c>
      <c r="G616" s="2" t="str">
        <f aca="false">IF(F616="","",IF(E616=F616,"Yes","No"))</f>
        <v>No</v>
      </c>
      <c r="H616" s="2" t="n">
        <f aca="false">IF(D616="",0,1/COUNTIF($D$2:$D$3451,D616))</f>
        <v>1</v>
      </c>
      <c r="I616" s="13" t="n">
        <f aca="false">IFERROR(INDEX('NCO-2015 scores'!$C$2:$C$131,MATCH(E616,'NCO-2015 scores'!$A$2:$A$131,0)),0)</f>
        <v>0.465</v>
      </c>
      <c r="J616" s="13" t="n">
        <f aca="false">IF(ISNUMBER(MATCH(E616,'NCO-2015 scores'!$A$2:$A$131,0)),IF(ISNUMBER(INDEX('NCO-2015 scores'!$C$2:$C$131,MATCH(E616,'NCO-2015 scores'!$A$2:$A$131,0))),1,0),0)</f>
        <v>1</v>
      </c>
    </row>
    <row r="617" customFormat="false" ht="15" hidden="false" customHeight="false" outlineLevel="0" collapsed="false">
      <c r="A617" s="2" t="n">
        <v>615</v>
      </c>
      <c r="B617" s="2" t="s">
        <v>2187</v>
      </c>
      <c r="C617" s="2" t="s">
        <v>2188</v>
      </c>
      <c r="D617" s="2"/>
      <c r="E617" s="2" t="str">
        <f aca="false">LEFT(C617,3)</f>
        <v>351</v>
      </c>
      <c r="F617" s="2" t="str">
        <f aca="false">IF(D617="","",LEFT(D617,3))</f>
        <v/>
      </c>
      <c r="G617" s="2" t="str">
        <f aca="false">IF(F617="","",IF(E617=F617,"Yes","No"))</f>
        <v/>
      </c>
      <c r="H617" s="2" t="n">
        <f aca="false">IF(D617="",0,1/COUNTIF($D$2:$D$3451,D617))</f>
        <v>0</v>
      </c>
      <c r="I617" s="13" t="n">
        <f aca="false">IFERROR(INDEX('NCO-2015 scores'!$C$2:$C$131,MATCH(E617,'NCO-2015 scores'!$A$2:$A$131,0)),0)</f>
        <v>0.465</v>
      </c>
      <c r="J617" s="13" t="n">
        <f aca="false">IF(ISNUMBER(MATCH(E617,'NCO-2015 scores'!$A$2:$A$131,0)),IF(ISNUMBER(INDEX('NCO-2015 scores'!$C$2:$C$131,MATCH(E617,'NCO-2015 scores'!$A$2:$A$131,0))),1,0),0)</f>
        <v>1</v>
      </c>
    </row>
    <row r="618" customFormat="false" ht="15" hidden="false" customHeight="false" outlineLevel="0" collapsed="false">
      <c r="A618" s="2" t="n">
        <v>616</v>
      </c>
      <c r="B618" s="2" t="s">
        <v>2189</v>
      </c>
      <c r="C618" s="2" t="s">
        <v>2190</v>
      </c>
      <c r="D618" s="2"/>
      <c r="E618" s="2" t="str">
        <f aca="false">LEFT(C618,3)</f>
        <v>351</v>
      </c>
      <c r="F618" s="2" t="str">
        <f aca="false">IF(D618="","",LEFT(D618,3))</f>
        <v/>
      </c>
      <c r="G618" s="2" t="str">
        <f aca="false">IF(F618="","",IF(E618=F618,"Yes","No"))</f>
        <v/>
      </c>
      <c r="H618" s="2" t="n">
        <f aca="false">IF(D618="",0,1/COUNTIF($D$2:$D$3451,D618))</f>
        <v>0</v>
      </c>
      <c r="I618" s="13" t="n">
        <f aca="false">IFERROR(INDEX('NCO-2015 scores'!$C$2:$C$131,MATCH(E618,'NCO-2015 scores'!$A$2:$A$131,0)),0)</f>
        <v>0.465</v>
      </c>
      <c r="J618" s="13" t="n">
        <f aca="false">IF(ISNUMBER(MATCH(E618,'NCO-2015 scores'!$A$2:$A$131,0)),IF(ISNUMBER(INDEX('NCO-2015 scores'!$C$2:$C$131,MATCH(E618,'NCO-2015 scores'!$A$2:$A$131,0))),1,0),0)</f>
        <v>1</v>
      </c>
    </row>
    <row r="619" customFormat="false" ht="15" hidden="false" customHeight="false" outlineLevel="0" collapsed="false">
      <c r="A619" s="2" t="n">
        <v>617</v>
      </c>
      <c r="B619" s="2" t="s">
        <v>2191</v>
      </c>
      <c r="C619" s="2" t="s">
        <v>2192</v>
      </c>
      <c r="D619" s="2" t="s">
        <v>2193</v>
      </c>
      <c r="E619" s="2" t="str">
        <f aca="false">LEFT(C619,3)</f>
        <v>252</v>
      </c>
      <c r="F619" s="2" t="str">
        <f aca="false">IF(D619="","",LEFT(D619,3))</f>
        <v>213</v>
      </c>
      <c r="G619" s="2" t="str">
        <f aca="false">IF(F619="","",IF(E619=F619,"Yes","No"))</f>
        <v>No</v>
      </c>
      <c r="H619" s="2" t="n">
        <f aca="false">IF(D619="",0,1/COUNTIF($D$2:$D$3451,D619))</f>
        <v>1</v>
      </c>
      <c r="I619" s="13" t="n">
        <f aca="false">IFERROR(INDEX('NCO-2015 scores'!$C$2:$C$131,MATCH(E619,'NCO-2015 scores'!$A$2:$A$131,0)),0)</f>
        <v>0.5375</v>
      </c>
      <c r="J619" s="13" t="n">
        <f aca="false">IF(ISNUMBER(MATCH(E619,'NCO-2015 scores'!$A$2:$A$131,0)),IF(ISNUMBER(INDEX('NCO-2015 scores'!$C$2:$C$131,MATCH(E619,'NCO-2015 scores'!$A$2:$A$131,0))),1,0),0)</f>
        <v>1</v>
      </c>
    </row>
    <row r="620" customFormat="false" ht="15" hidden="false" customHeight="false" outlineLevel="0" collapsed="false">
      <c r="A620" s="2" t="n">
        <v>618</v>
      </c>
      <c r="B620" s="2" t="s">
        <v>2194</v>
      </c>
      <c r="C620" s="2" t="s">
        <v>2195</v>
      </c>
      <c r="D620" s="2"/>
      <c r="E620" s="2" t="str">
        <f aca="false">LEFT(C620,3)</f>
        <v>252</v>
      </c>
      <c r="F620" s="2" t="str">
        <f aca="false">IF(D620="","",LEFT(D620,3))</f>
        <v/>
      </c>
      <c r="G620" s="2" t="str">
        <f aca="false">IF(F620="","",IF(E620=F620,"Yes","No"))</f>
        <v/>
      </c>
      <c r="H620" s="2" t="n">
        <f aca="false">IF(D620="",0,1/COUNTIF($D$2:$D$3451,D620))</f>
        <v>0</v>
      </c>
      <c r="I620" s="13" t="n">
        <f aca="false">IFERROR(INDEX('NCO-2015 scores'!$C$2:$C$131,MATCH(E620,'NCO-2015 scores'!$A$2:$A$131,0)),0)</f>
        <v>0.5375</v>
      </c>
      <c r="J620" s="13" t="n">
        <f aca="false">IF(ISNUMBER(MATCH(E620,'NCO-2015 scores'!$A$2:$A$131,0)),IF(ISNUMBER(INDEX('NCO-2015 scores'!$C$2:$C$131,MATCH(E620,'NCO-2015 scores'!$A$2:$A$131,0))),1,0),0)</f>
        <v>1</v>
      </c>
    </row>
    <row r="621" customFormat="false" ht="15" hidden="false" customHeight="false" outlineLevel="0" collapsed="false">
      <c r="A621" s="2" t="n">
        <v>619</v>
      </c>
      <c r="B621" s="2" t="s">
        <v>2196</v>
      </c>
      <c r="C621" s="2" t="s">
        <v>2197</v>
      </c>
      <c r="D621" s="2"/>
      <c r="E621" s="2" t="str">
        <f aca="false">LEFT(C621,3)</f>
        <v>252</v>
      </c>
      <c r="F621" s="2" t="str">
        <f aca="false">IF(D621="","",LEFT(D621,3))</f>
        <v/>
      </c>
      <c r="G621" s="2" t="str">
        <f aca="false">IF(F621="","",IF(E621=F621,"Yes","No"))</f>
        <v/>
      </c>
      <c r="H621" s="2" t="n">
        <f aca="false">IF(D621="",0,1/COUNTIF($D$2:$D$3451,D621))</f>
        <v>0</v>
      </c>
      <c r="I621" s="13" t="n">
        <f aca="false">IFERROR(INDEX('NCO-2015 scores'!$C$2:$C$131,MATCH(E621,'NCO-2015 scores'!$A$2:$A$131,0)),0)</f>
        <v>0.5375</v>
      </c>
      <c r="J621" s="13" t="n">
        <f aca="false">IF(ISNUMBER(MATCH(E621,'NCO-2015 scores'!$A$2:$A$131,0)),IF(ISNUMBER(INDEX('NCO-2015 scores'!$C$2:$C$131,MATCH(E621,'NCO-2015 scores'!$A$2:$A$131,0))),1,0),0)</f>
        <v>1</v>
      </c>
    </row>
    <row r="622" customFormat="false" ht="15" hidden="false" customHeight="false" outlineLevel="0" collapsed="false">
      <c r="A622" s="2" t="n">
        <v>620</v>
      </c>
      <c r="B622" s="2" t="s">
        <v>2198</v>
      </c>
      <c r="C622" s="2" t="s">
        <v>2199</v>
      </c>
      <c r="D622" s="2" t="s">
        <v>2200</v>
      </c>
      <c r="E622" s="2" t="str">
        <f aca="false">LEFT(C622,3)</f>
        <v>252</v>
      </c>
      <c r="F622" s="2" t="str">
        <f aca="false">IF(D622="","",LEFT(D622,3))</f>
        <v>213</v>
      </c>
      <c r="G622" s="2" t="str">
        <f aca="false">IF(F622="","",IF(E622=F622,"Yes","No"))</f>
        <v>No</v>
      </c>
      <c r="H622" s="2" t="n">
        <f aca="false">IF(D622="",0,1/COUNTIF($D$2:$D$3451,D622))</f>
        <v>1</v>
      </c>
      <c r="I622" s="13" t="n">
        <f aca="false">IFERROR(INDEX('NCO-2015 scores'!$C$2:$C$131,MATCH(E622,'NCO-2015 scores'!$A$2:$A$131,0)),0)</f>
        <v>0.5375</v>
      </c>
      <c r="J622" s="13" t="n">
        <f aca="false">IF(ISNUMBER(MATCH(E622,'NCO-2015 scores'!$A$2:$A$131,0)),IF(ISNUMBER(INDEX('NCO-2015 scores'!$C$2:$C$131,MATCH(E622,'NCO-2015 scores'!$A$2:$A$131,0))),1,0),0)</f>
        <v>1</v>
      </c>
    </row>
    <row r="623" customFormat="false" ht="15" hidden="false" customHeight="false" outlineLevel="0" collapsed="false">
      <c r="A623" s="2" t="n">
        <v>621</v>
      </c>
      <c r="B623" s="2" t="s">
        <v>2201</v>
      </c>
      <c r="C623" s="2" t="s">
        <v>2202</v>
      </c>
      <c r="D623" s="2" t="s">
        <v>2203</v>
      </c>
      <c r="E623" s="2" t="str">
        <f aca="false">LEFT(C623,3)</f>
        <v>252</v>
      </c>
      <c r="F623" s="2" t="str">
        <f aca="false">IF(D623="","",LEFT(D623,3))</f>
        <v>213</v>
      </c>
      <c r="G623" s="2" t="str">
        <f aca="false">IF(F623="","",IF(E623=F623,"Yes","No"))</f>
        <v>No</v>
      </c>
      <c r="H623" s="2" t="n">
        <f aca="false">IF(D623="",0,1/COUNTIF($D$2:$D$3451,D623))</f>
        <v>1</v>
      </c>
      <c r="I623" s="13" t="n">
        <f aca="false">IFERROR(INDEX('NCO-2015 scores'!$C$2:$C$131,MATCH(E623,'NCO-2015 scores'!$A$2:$A$131,0)),0)</f>
        <v>0.5375</v>
      </c>
      <c r="J623" s="13" t="n">
        <f aca="false">IF(ISNUMBER(MATCH(E623,'NCO-2015 scores'!$A$2:$A$131,0)),IF(ISNUMBER(INDEX('NCO-2015 scores'!$C$2:$C$131,MATCH(E623,'NCO-2015 scores'!$A$2:$A$131,0))),1,0),0)</f>
        <v>1</v>
      </c>
    </row>
    <row r="624" customFormat="false" ht="15" hidden="false" customHeight="false" outlineLevel="0" collapsed="false">
      <c r="A624" s="2" t="n">
        <v>622</v>
      </c>
      <c r="B624" s="2" t="s">
        <v>2204</v>
      </c>
      <c r="C624" s="2" t="s">
        <v>2205</v>
      </c>
      <c r="D624" s="2"/>
      <c r="E624" s="2" t="str">
        <f aca="false">LEFT(C624,3)</f>
        <v>252</v>
      </c>
      <c r="F624" s="2" t="str">
        <f aca="false">IF(D624="","",LEFT(D624,3))</f>
        <v/>
      </c>
      <c r="G624" s="2" t="str">
        <f aca="false">IF(F624="","",IF(E624=F624,"Yes","No"))</f>
        <v/>
      </c>
      <c r="H624" s="2" t="n">
        <f aca="false">IF(D624="",0,1/COUNTIF($D$2:$D$3451,D624))</f>
        <v>0</v>
      </c>
      <c r="I624" s="13" t="n">
        <f aca="false">IFERROR(INDEX('NCO-2015 scores'!$C$2:$C$131,MATCH(E624,'NCO-2015 scores'!$A$2:$A$131,0)),0)</f>
        <v>0.5375</v>
      </c>
      <c r="J624" s="13" t="n">
        <f aca="false">IF(ISNUMBER(MATCH(E624,'NCO-2015 scores'!$A$2:$A$131,0)),IF(ISNUMBER(INDEX('NCO-2015 scores'!$C$2:$C$131,MATCH(E624,'NCO-2015 scores'!$A$2:$A$131,0))),1,0),0)</f>
        <v>1</v>
      </c>
    </row>
    <row r="625" customFormat="false" ht="15" hidden="false" customHeight="false" outlineLevel="0" collapsed="false">
      <c r="A625" s="2" t="n">
        <v>623</v>
      </c>
      <c r="B625" s="2" t="s">
        <v>2206</v>
      </c>
      <c r="C625" s="2" t="s">
        <v>2207</v>
      </c>
      <c r="D625" s="2" t="s">
        <v>2208</v>
      </c>
      <c r="E625" s="2" t="str">
        <f aca="false">LEFT(C625,3)</f>
        <v>711</v>
      </c>
      <c r="F625" s="2" t="str">
        <f aca="false">IF(D625="","",LEFT(D625,3))</f>
        <v>712</v>
      </c>
      <c r="G625" s="2" t="str">
        <f aca="false">IF(F625="","",IF(E625=F625,"Yes","No"))</f>
        <v>No</v>
      </c>
      <c r="H625" s="2" t="n">
        <f aca="false">IF(D625="",0,1/COUNTIF($D$2:$D$3451,D625))</f>
        <v>1</v>
      </c>
      <c r="I625" s="13" t="n">
        <f aca="false">IFERROR(INDEX('NCO-2015 scores'!$C$2:$C$131,MATCH(E625,'NCO-2015 scores'!$A$2:$A$131,0)),0)</f>
        <v>0.11</v>
      </c>
      <c r="J625" s="13" t="n">
        <f aca="false">IF(ISNUMBER(MATCH(E625,'NCO-2015 scores'!$A$2:$A$131,0)),IF(ISNUMBER(INDEX('NCO-2015 scores'!$C$2:$C$131,MATCH(E625,'NCO-2015 scores'!$A$2:$A$131,0))),1,0),0)</f>
        <v>1</v>
      </c>
    </row>
    <row r="626" customFormat="false" ht="15" hidden="false" customHeight="false" outlineLevel="0" collapsed="false">
      <c r="A626" s="2" t="n">
        <v>624</v>
      </c>
      <c r="B626" s="2" t="s">
        <v>2209</v>
      </c>
      <c r="C626" s="2" t="s">
        <v>2210</v>
      </c>
      <c r="D626" s="2" t="s">
        <v>2211</v>
      </c>
      <c r="E626" s="2" t="str">
        <f aca="false">LEFT(C626,3)</f>
        <v>711</v>
      </c>
      <c r="F626" s="2" t="str">
        <f aca="false">IF(D626="","",LEFT(D626,3))</f>
        <v>712</v>
      </c>
      <c r="G626" s="2" t="str">
        <f aca="false">IF(F626="","",IF(E626=F626,"Yes","No"))</f>
        <v>No</v>
      </c>
      <c r="H626" s="2" t="n">
        <f aca="false">IF(D626="",0,1/COUNTIF($D$2:$D$3451,D626))</f>
        <v>1</v>
      </c>
      <c r="I626" s="13" t="n">
        <f aca="false">IFERROR(INDEX('NCO-2015 scores'!$C$2:$C$131,MATCH(E626,'NCO-2015 scores'!$A$2:$A$131,0)),0)</f>
        <v>0.11</v>
      </c>
      <c r="J626" s="13" t="n">
        <f aca="false">IF(ISNUMBER(MATCH(E626,'NCO-2015 scores'!$A$2:$A$131,0)),IF(ISNUMBER(INDEX('NCO-2015 scores'!$C$2:$C$131,MATCH(E626,'NCO-2015 scores'!$A$2:$A$131,0))),1,0),0)</f>
        <v>1</v>
      </c>
    </row>
    <row r="627" customFormat="false" ht="15" hidden="false" customHeight="false" outlineLevel="0" collapsed="false">
      <c r="A627" s="2" t="n">
        <v>625</v>
      </c>
      <c r="B627" s="2" t="s">
        <v>2212</v>
      </c>
      <c r="C627" s="2" t="s">
        <v>2213</v>
      </c>
      <c r="D627" s="2" t="s">
        <v>2214</v>
      </c>
      <c r="E627" s="2" t="str">
        <f aca="false">LEFT(C627,3)</f>
        <v>711</v>
      </c>
      <c r="F627" s="2" t="str">
        <f aca="false">IF(D627="","",LEFT(D627,3))</f>
        <v>712</v>
      </c>
      <c r="G627" s="2" t="str">
        <f aca="false">IF(F627="","",IF(E627=F627,"Yes","No"))</f>
        <v>No</v>
      </c>
      <c r="H627" s="2" t="n">
        <f aca="false">IF(D627="",0,1/COUNTIF($D$2:$D$3451,D627))</f>
        <v>1</v>
      </c>
      <c r="I627" s="13" t="n">
        <f aca="false">IFERROR(INDEX('NCO-2015 scores'!$C$2:$C$131,MATCH(E627,'NCO-2015 scores'!$A$2:$A$131,0)),0)</f>
        <v>0.11</v>
      </c>
      <c r="J627" s="13" t="n">
        <f aca="false">IF(ISNUMBER(MATCH(E627,'NCO-2015 scores'!$A$2:$A$131,0)),IF(ISNUMBER(INDEX('NCO-2015 scores'!$C$2:$C$131,MATCH(E627,'NCO-2015 scores'!$A$2:$A$131,0))),1,0),0)</f>
        <v>1</v>
      </c>
    </row>
    <row r="628" customFormat="false" ht="15" hidden="false" customHeight="false" outlineLevel="0" collapsed="false">
      <c r="A628" s="2" t="n">
        <v>626</v>
      </c>
      <c r="B628" s="2" t="s">
        <v>2215</v>
      </c>
      <c r="C628" s="2" t="s">
        <v>2216</v>
      </c>
      <c r="D628" s="2" t="s">
        <v>2217</v>
      </c>
      <c r="E628" s="2" t="str">
        <f aca="false">LEFT(C628,3)</f>
        <v>132</v>
      </c>
      <c r="F628" s="2" t="str">
        <f aca="false">IF(D628="","",LEFT(D628,3))</f>
        <v>122</v>
      </c>
      <c r="G628" s="2" t="str">
        <f aca="false">IF(F628="","",IF(E628=F628,"Yes","No"))</f>
        <v>No</v>
      </c>
      <c r="H628" s="2" t="n">
        <f aca="false">IF(D628="",0,1/COUNTIF($D$2:$D$3451,D628))</f>
        <v>1</v>
      </c>
      <c r="I628" s="13" t="n">
        <f aca="false">IFERROR(INDEX('NCO-2015 scores'!$C$2:$C$131,MATCH(E628,'NCO-2015 scores'!$A$2:$A$131,0)),0)</f>
        <v>0.3625</v>
      </c>
      <c r="J628" s="13" t="n">
        <f aca="false">IF(ISNUMBER(MATCH(E628,'NCO-2015 scores'!$A$2:$A$131,0)),IF(ISNUMBER(INDEX('NCO-2015 scores'!$C$2:$C$131,MATCH(E628,'NCO-2015 scores'!$A$2:$A$131,0))),1,0),0)</f>
        <v>1</v>
      </c>
    </row>
    <row r="629" customFormat="false" ht="15" hidden="false" customHeight="false" outlineLevel="0" collapsed="false">
      <c r="A629" s="2" t="n">
        <v>627</v>
      </c>
      <c r="B629" s="2" t="s">
        <v>2218</v>
      </c>
      <c r="C629" s="2" t="s">
        <v>2219</v>
      </c>
      <c r="D629" s="2" t="s">
        <v>2220</v>
      </c>
      <c r="E629" s="2" t="str">
        <f aca="false">LEFT(C629,3)</f>
        <v>132</v>
      </c>
      <c r="F629" s="2" t="str">
        <f aca="false">IF(D629="","",LEFT(D629,3))</f>
        <v>122</v>
      </c>
      <c r="G629" s="2" t="str">
        <f aca="false">IF(F629="","",IF(E629=F629,"Yes","No"))</f>
        <v>No</v>
      </c>
      <c r="H629" s="2" t="n">
        <f aca="false">IF(D629="",0,1/COUNTIF($D$2:$D$3451,D629))</f>
        <v>1</v>
      </c>
      <c r="I629" s="13" t="n">
        <f aca="false">IFERROR(INDEX('NCO-2015 scores'!$C$2:$C$131,MATCH(E629,'NCO-2015 scores'!$A$2:$A$131,0)),0)</f>
        <v>0.3625</v>
      </c>
      <c r="J629" s="13" t="n">
        <f aca="false">IF(ISNUMBER(MATCH(E629,'NCO-2015 scores'!$A$2:$A$131,0)),IF(ISNUMBER(INDEX('NCO-2015 scores'!$C$2:$C$131,MATCH(E629,'NCO-2015 scores'!$A$2:$A$131,0))),1,0),0)</f>
        <v>1</v>
      </c>
    </row>
    <row r="630" customFormat="false" ht="15" hidden="false" customHeight="false" outlineLevel="0" collapsed="false">
      <c r="A630" s="2" t="n">
        <v>628</v>
      </c>
      <c r="B630" s="2" t="s">
        <v>2221</v>
      </c>
      <c r="C630" s="2" t="s">
        <v>2222</v>
      </c>
      <c r="D630" s="2" t="s">
        <v>2223</v>
      </c>
      <c r="E630" s="2" t="str">
        <f aca="false">LEFT(C630,3)</f>
        <v>132</v>
      </c>
      <c r="F630" s="2" t="str">
        <f aca="false">IF(D630="","",LEFT(D630,3))</f>
        <v>130</v>
      </c>
      <c r="G630" s="2" t="str">
        <f aca="false">IF(F630="","",IF(E630=F630,"Yes","No"))</f>
        <v>No</v>
      </c>
      <c r="H630" s="2" t="n">
        <f aca="false">IF(D630="",0,1/COUNTIF($D$2:$D$3451,D630))</f>
        <v>1</v>
      </c>
      <c r="I630" s="13" t="n">
        <f aca="false">IFERROR(INDEX('NCO-2015 scores'!$C$2:$C$131,MATCH(E630,'NCO-2015 scores'!$A$2:$A$131,0)),0)</f>
        <v>0.3625</v>
      </c>
      <c r="J630" s="13" t="n">
        <f aca="false">IF(ISNUMBER(MATCH(E630,'NCO-2015 scores'!$A$2:$A$131,0)),IF(ISNUMBER(INDEX('NCO-2015 scores'!$C$2:$C$131,MATCH(E630,'NCO-2015 scores'!$A$2:$A$131,0))),1,0),0)</f>
        <v>1</v>
      </c>
    </row>
    <row r="631" customFormat="false" ht="15" hidden="false" customHeight="false" outlineLevel="0" collapsed="false">
      <c r="A631" s="2" t="n">
        <v>629</v>
      </c>
      <c r="B631" s="2" t="s">
        <v>2224</v>
      </c>
      <c r="C631" s="2" t="s">
        <v>2225</v>
      </c>
      <c r="D631" s="2" t="s">
        <v>2226</v>
      </c>
      <c r="E631" s="2" t="str">
        <f aca="false">LEFT(C631,3)</f>
        <v>132</v>
      </c>
      <c r="F631" s="2" t="str">
        <f aca="false">IF(D631="","",LEFT(D631,3))</f>
        <v>130</v>
      </c>
      <c r="G631" s="2" t="str">
        <f aca="false">IF(F631="","",IF(E631=F631,"Yes","No"))</f>
        <v>No</v>
      </c>
      <c r="H631" s="2" t="n">
        <f aca="false">IF(D631="",0,1/COUNTIF($D$2:$D$3451,D631))</f>
        <v>1</v>
      </c>
      <c r="I631" s="13" t="n">
        <f aca="false">IFERROR(INDEX('NCO-2015 scores'!$C$2:$C$131,MATCH(E631,'NCO-2015 scores'!$A$2:$A$131,0)),0)</f>
        <v>0.3625</v>
      </c>
      <c r="J631" s="13" t="n">
        <f aca="false">IF(ISNUMBER(MATCH(E631,'NCO-2015 scores'!$A$2:$A$131,0)),IF(ISNUMBER(INDEX('NCO-2015 scores'!$C$2:$C$131,MATCH(E631,'NCO-2015 scores'!$A$2:$A$131,0))),1,0),0)</f>
        <v>1</v>
      </c>
    </row>
    <row r="632" customFormat="false" ht="15" hidden="false" customHeight="false" outlineLevel="0" collapsed="false">
      <c r="A632" s="2" t="n">
        <v>630</v>
      </c>
      <c r="B632" s="2" t="s">
        <v>2227</v>
      </c>
      <c r="C632" s="2" t="s">
        <v>2228</v>
      </c>
      <c r="D632" s="2" t="s">
        <v>2229</v>
      </c>
      <c r="E632" s="2" t="str">
        <f aca="false">LEFT(C632,3)</f>
        <v>312</v>
      </c>
      <c r="F632" s="2" t="str">
        <f aca="false">IF(D632="","",LEFT(D632,3))</f>
        <v>713</v>
      </c>
      <c r="G632" s="2" t="str">
        <f aca="false">IF(F632="","",IF(E632=F632,"Yes","No"))</f>
        <v>No</v>
      </c>
      <c r="H632" s="2" t="n">
        <f aca="false">IF(D632="",0,1/COUNTIF($D$2:$D$3451,D632))</f>
        <v>1</v>
      </c>
      <c r="I632" s="13" t="n">
        <f aca="false">IFERROR(INDEX('NCO-2015 scores'!$C$2:$C$131,MATCH(E632,'NCO-2015 scores'!$A$2:$A$131,0)),0)</f>
        <v>0.3067</v>
      </c>
      <c r="J632" s="13" t="n">
        <f aca="false">IF(ISNUMBER(MATCH(E632,'NCO-2015 scores'!$A$2:$A$131,0)),IF(ISNUMBER(INDEX('NCO-2015 scores'!$C$2:$C$131,MATCH(E632,'NCO-2015 scores'!$A$2:$A$131,0))),1,0),0)</f>
        <v>1</v>
      </c>
    </row>
    <row r="633" customFormat="false" ht="15" hidden="false" customHeight="false" outlineLevel="0" collapsed="false">
      <c r="A633" s="2" t="n">
        <v>631</v>
      </c>
      <c r="B633" s="2" t="s">
        <v>2230</v>
      </c>
      <c r="C633" s="2" t="s">
        <v>2231</v>
      </c>
      <c r="D633" s="2" t="s">
        <v>2232</v>
      </c>
      <c r="E633" s="2" t="str">
        <f aca="false">LEFT(C633,3)</f>
        <v>312</v>
      </c>
      <c r="F633" s="2" t="str">
        <f aca="false">IF(D633="","",LEFT(D633,3))</f>
        <v>714</v>
      </c>
      <c r="G633" s="2" t="str">
        <f aca="false">IF(F633="","",IF(E633=F633,"Yes","No"))</f>
        <v>No</v>
      </c>
      <c r="H633" s="2" t="n">
        <f aca="false">IF(D633="",0,1/COUNTIF($D$2:$D$3451,D633))</f>
        <v>1</v>
      </c>
      <c r="I633" s="13" t="n">
        <f aca="false">IFERROR(INDEX('NCO-2015 scores'!$C$2:$C$131,MATCH(E633,'NCO-2015 scores'!$A$2:$A$131,0)),0)</f>
        <v>0.3067</v>
      </c>
      <c r="J633" s="13" t="n">
        <f aca="false">IF(ISNUMBER(MATCH(E633,'NCO-2015 scores'!$A$2:$A$131,0)),IF(ISNUMBER(INDEX('NCO-2015 scores'!$C$2:$C$131,MATCH(E633,'NCO-2015 scores'!$A$2:$A$131,0))),1,0),0)</f>
        <v>1</v>
      </c>
    </row>
    <row r="634" customFormat="false" ht="15" hidden="false" customHeight="false" outlineLevel="0" collapsed="false">
      <c r="A634" s="2" t="n">
        <v>632</v>
      </c>
      <c r="B634" s="2" t="s">
        <v>2233</v>
      </c>
      <c r="C634" s="2" t="s">
        <v>2234</v>
      </c>
      <c r="D634" s="2" t="s">
        <v>2235</v>
      </c>
      <c r="E634" s="2" t="str">
        <f aca="false">LEFT(C634,3)</f>
        <v>312</v>
      </c>
      <c r="F634" s="2" t="str">
        <f aca="false">IF(D634="","",LEFT(D634,3))</f>
        <v>713</v>
      </c>
      <c r="G634" s="2" t="str">
        <f aca="false">IF(F634="","",IF(E634=F634,"Yes","No"))</f>
        <v>No</v>
      </c>
      <c r="H634" s="2" t="n">
        <f aca="false">IF(D634="",0,1/COUNTIF($D$2:$D$3451,D634))</f>
        <v>1</v>
      </c>
      <c r="I634" s="13" t="n">
        <f aca="false">IFERROR(INDEX('NCO-2015 scores'!$C$2:$C$131,MATCH(E634,'NCO-2015 scores'!$A$2:$A$131,0)),0)</f>
        <v>0.3067</v>
      </c>
      <c r="J634" s="13" t="n">
        <f aca="false">IF(ISNUMBER(MATCH(E634,'NCO-2015 scores'!$A$2:$A$131,0)),IF(ISNUMBER(INDEX('NCO-2015 scores'!$C$2:$C$131,MATCH(E634,'NCO-2015 scores'!$A$2:$A$131,0))),1,0),0)</f>
        <v>1</v>
      </c>
    </row>
    <row r="635" customFormat="false" ht="15" hidden="false" customHeight="false" outlineLevel="0" collapsed="false">
      <c r="A635" s="2" t="n">
        <v>633</v>
      </c>
      <c r="B635" s="2" t="s">
        <v>2236</v>
      </c>
      <c r="C635" s="2" t="s">
        <v>2237</v>
      </c>
      <c r="D635" s="2" t="s">
        <v>2238</v>
      </c>
      <c r="E635" s="2" t="str">
        <f aca="false">LEFT(C635,3)</f>
        <v>312</v>
      </c>
      <c r="F635" s="2" t="str">
        <f aca="false">IF(D635="","",LEFT(D635,3))</f>
        <v>713</v>
      </c>
      <c r="G635" s="2" t="str">
        <f aca="false">IF(F635="","",IF(E635=F635,"Yes","No"))</f>
        <v>No</v>
      </c>
      <c r="H635" s="2" t="n">
        <f aca="false">IF(D635="",0,1/COUNTIF($D$2:$D$3451,D635))</f>
        <v>1</v>
      </c>
      <c r="I635" s="13" t="n">
        <f aca="false">IFERROR(INDEX('NCO-2015 scores'!$C$2:$C$131,MATCH(E635,'NCO-2015 scores'!$A$2:$A$131,0)),0)</f>
        <v>0.3067</v>
      </c>
      <c r="J635" s="13" t="n">
        <f aca="false">IF(ISNUMBER(MATCH(E635,'NCO-2015 scores'!$A$2:$A$131,0)),IF(ISNUMBER(INDEX('NCO-2015 scores'!$C$2:$C$131,MATCH(E635,'NCO-2015 scores'!$A$2:$A$131,0))),1,0),0)</f>
        <v>1</v>
      </c>
    </row>
    <row r="636" customFormat="false" ht="15" hidden="false" customHeight="false" outlineLevel="0" collapsed="false">
      <c r="A636" s="2" t="n">
        <v>634</v>
      </c>
      <c r="B636" s="2" t="s">
        <v>2239</v>
      </c>
      <c r="C636" s="2" t="s">
        <v>2240</v>
      </c>
      <c r="D636" s="2"/>
      <c r="E636" s="2" t="str">
        <f aca="false">LEFT(C636,3)</f>
        <v>312</v>
      </c>
      <c r="F636" s="2" t="str">
        <f aca="false">IF(D636="","",LEFT(D636,3))</f>
        <v/>
      </c>
      <c r="G636" s="2" t="str">
        <f aca="false">IF(F636="","",IF(E636=F636,"Yes","No"))</f>
        <v/>
      </c>
      <c r="H636" s="2" t="n">
        <f aca="false">IF(D636="",0,1/COUNTIF($D$2:$D$3451,D636))</f>
        <v>0</v>
      </c>
      <c r="I636" s="13" t="n">
        <f aca="false">IFERROR(INDEX('NCO-2015 scores'!$C$2:$C$131,MATCH(E636,'NCO-2015 scores'!$A$2:$A$131,0)),0)</f>
        <v>0.3067</v>
      </c>
      <c r="J636" s="13" t="n">
        <f aca="false">IF(ISNUMBER(MATCH(E636,'NCO-2015 scores'!$A$2:$A$131,0)),IF(ISNUMBER(INDEX('NCO-2015 scores'!$C$2:$C$131,MATCH(E636,'NCO-2015 scores'!$A$2:$A$131,0))),1,0),0)</f>
        <v>1</v>
      </c>
    </row>
    <row r="637" customFormat="false" ht="15" hidden="false" customHeight="false" outlineLevel="0" collapsed="false">
      <c r="A637" s="2" t="n">
        <v>635</v>
      </c>
      <c r="B637" s="2" t="s">
        <v>2241</v>
      </c>
      <c r="C637" s="2" t="s">
        <v>2242</v>
      </c>
      <c r="D637" s="2"/>
      <c r="E637" s="2" t="str">
        <f aca="false">LEFT(C637,3)</f>
        <v>312</v>
      </c>
      <c r="F637" s="2" t="str">
        <f aca="false">IF(D637="","",LEFT(D637,3))</f>
        <v/>
      </c>
      <c r="G637" s="2" t="str">
        <f aca="false">IF(F637="","",IF(E637=F637,"Yes","No"))</f>
        <v/>
      </c>
      <c r="H637" s="2" t="n">
        <f aca="false">IF(D637="",0,1/COUNTIF($D$2:$D$3451,D637))</f>
        <v>0</v>
      </c>
      <c r="I637" s="13" t="n">
        <f aca="false">IFERROR(INDEX('NCO-2015 scores'!$C$2:$C$131,MATCH(E637,'NCO-2015 scores'!$A$2:$A$131,0)),0)</f>
        <v>0.3067</v>
      </c>
      <c r="J637" s="13" t="n">
        <f aca="false">IF(ISNUMBER(MATCH(E637,'NCO-2015 scores'!$A$2:$A$131,0)),IF(ISNUMBER(INDEX('NCO-2015 scores'!$C$2:$C$131,MATCH(E637,'NCO-2015 scores'!$A$2:$A$131,0))),1,0),0)</f>
        <v>1</v>
      </c>
    </row>
    <row r="638" customFormat="false" ht="15" hidden="false" customHeight="false" outlineLevel="0" collapsed="false">
      <c r="A638" s="2" t="n">
        <v>636</v>
      </c>
      <c r="B638" s="2" t="s">
        <v>2243</v>
      </c>
      <c r="C638" s="2" t="s">
        <v>2244</v>
      </c>
      <c r="D638" s="2" t="s">
        <v>2245</v>
      </c>
      <c r="E638" s="2" t="str">
        <f aca="false">LEFT(C638,3)</f>
        <v>312</v>
      </c>
      <c r="F638" s="2" t="str">
        <f aca="false">IF(D638="","",LEFT(D638,3))</f>
        <v>713</v>
      </c>
      <c r="G638" s="2" t="str">
        <f aca="false">IF(F638="","",IF(E638=F638,"Yes","No"))</f>
        <v>No</v>
      </c>
      <c r="H638" s="2" t="n">
        <f aca="false">IF(D638="",0,1/COUNTIF($D$2:$D$3451,D638))</f>
        <v>1</v>
      </c>
      <c r="I638" s="13" t="n">
        <f aca="false">IFERROR(INDEX('NCO-2015 scores'!$C$2:$C$131,MATCH(E638,'NCO-2015 scores'!$A$2:$A$131,0)),0)</f>
        <v>0.3067</v>
      </c>
      <c r="J638" s="13" t="n">
        <f aca="false">IF(ISNUMBER(MATCH(E638,'NCO-2015 scores'!$A$2:$A$131,0)),IF(ISNUMBER(INDEX('NCO-2015 scores'!$C$2:$C$131,MATCH(E638,'NCO-2015 scores'!$A$2:$A$131,0))),1,0),0)</f>
        <v>1</v>
      </c>
    </row>
    <row r="639" customFormat="false" ht="15" hidden="false" customHeight="false" outlineLevel="0" collapsed="false">
      <c r="A639" s="2" t="n">
        <v>637</v>
      </c>
      <c r="B639" s="2" t="s">
        <v>2246</v>
      </c>
      <c r="C639" s="2" t="s">
        <v>2247</v>
      </c>
      <c r="D639" s="2" t="s">
        <v>2248</v>
      </c>
      <c r="E639" s="2" t="str">
        <f aca="false">LEFT(C639,3)</f>
        <v>312</v>
      </c>
      <c r="F639" s="2" t="str">
        <f aca="false">IF(D639="","",LEFT(D639,3))</f>
        <v>714</v>
      </c>
      <c r="G639" s="2" t="str">
        <f aca="false">IF(F639="","",IF(E639=F639,"Yes","No"))</f>
        <v>No</v>
      </c>
      <c r="H639" s="2" t="n">
        <f aca="false">IF(D639="",0,1/COUNTIF($D$2:$D$3451,D639))</f>
        <v>1</v>
      </c>
      <c r="I639" s="13" t="n">
        <f aca="false">IFERROR(INDEX('NCO-2015 scores'!$C$2:$C$131,MATCH(E639,'NCO-2015 scores'!$A$2:$A$131,0)),0)</f>
        <v>0.3067</v>
      </c>
      <c r="J639" s="13" t="n">
        <f aca="false">IF(ISNUMBER(MATCH(E639,'NCO-2015 scores'!$A$2:$A$131,0)),IF(ISNUMBER(INDEX('NCO-2015 scores'!$C$2:$C$131,MATCH(E639,'NCO-2015 scores'!$A$2:$A$131,0))),1,0),0)</f>
        <v>1</v>
      </c>
    </row>
    <row r="640" customFormat="false" ht="15" hidden="false" customHeight="false" outlineLevel="0" collapsed="false">
      <c r="A640" s="2" t="n">
        <v>638</v>
      </c>
      <c r="B640" s="2" t="s">
        <v>2249</v>
      </c>
      <c r="C640" s="2" t="s">
        <v>2250</v>
      </c>
      <c r="D640" s="2"/>
      <c r="E640" s="2" t="str">
        <f aca="false">LEFT(C640,3)</f>
        <v>312</v>
      </c>
      <c r="F640" s="2" t="str">
        <f aca="false">IF(D640="","",LEFT(D640,3))</f>
        <v/>
      </c>
      <c r="G640" s="2" t="str">
        <f aca="false">IF(F640="","",IF(E640=F640,"Yes","No"))</f>
        <v/>
      </c>
      <c r="H640" s="2" t="n">
        <f aca="false">IF(D640="",0,1/COUNTIF($D$2:$D$3451,D640))</f>
        <v>0</v>
      </c>
      <c r="I640" s="13" t="n">
        <f aca="false">IFERROR(INDEX('NCO-2015 scores'!$C$2:$C$131,MATCH(E640,'NCO-2015 scores'!$A$2:$A$131,0)),0)</f>
        <v>0.3067</v>
      </c>
      <c r="J640" s="13" t="n">
        <f aca="false">IF(ISNUMBER(MATCH(E640,'NCO-2015 scores'!$A$2:$A$131,0)),IF(ISNUMBER(INDEX('NCO-2015 scores'!$C$2:$C$131,MATCH(E640,'NCO-2015 scores'!$A$2:$A$131,0))),1,0),0)</f>
        <v>1</v>
      </c>
    </row>
    <row r="641" customFormat="false" ht="15" hidden="false" customHeight="false" outlineLevel="0" collapsed="false">
      <c r="A641" s="2" t="n">
        <v>639</v>
      </c>
      <c r="B641" s="2" t="s">
        <v>2251</v>
      </c>
      <c r="C641" s="2" t="s">
        <v>2252</v>
      </c>
      <c r="D641" s="2"/>
      <c r="E641" s="2" t="str">
        <f aca="false">LEFT(C641,3)</f>
        <v>312</v>
      </c>
      <c r="F641" s="2" t="str">
        <f aca="false">IF(D641="","",LEFT(D641,3))</f>
        <v/>
      </c>
      <c r="G641" s="2" t="str">
        <f aca="false">IF(F641="","",IF(E641=F641,"Yes","No"))</f>
        <v/>
      </c>
      <c r="H641" s="2" t="n">
        <f aca="false">IF(D641="",0,1/COUNTIF($D$2:$D$3451,D641))</f>
        <v>0</v>
      </c>
      <c r="I641" s="13" t="n">
        <f aca="false">IFERROR(INDEX('NCO-2015 scores'!$C$2:$C$131,MATCH(E641,'NCO-2015 scores'!$A$2:$A$131,0)),0)</f>
        <v>0.3067</v>
      </c>
      <c r="J641" s="13" t="n">
        <f aca="false">IF(ISNUMBER(MATCH(E641,'NCO-2015 scores'!$A$2:$A$131,0)),IF(ISNUMBER(INDEX('NCO-2015 scores'!$C$2:$C$131,MATCH(E641,'NCO-2015 scores'!$A$2:$A$131,0))),1,0),0)</f>
        <v>1</v>
      </c>
    </row>
    <row r="642" customFormat="false" ht="15" hidden="false" customHeight="false" outlineLevel="0" collapsed="false">
      <c r="A642" s="2" t="n">
        <v>640</v>
      </c>
      <c r="B642" s="2" t="s">
        <v>2253</v>
      </c>
      <c r="C642" s="2" t="s">
        <v>2254</v>
      </c>
      <c r="D642" s="2"/>
      <c r="E642" s="2" t="str">
        <f aca="false">LEFT(C642,3)</f>
        <v>422</v>
      </c>
      <c r="F642" s="2" t="str">
        <f aca="false">IF(D642="","",LEFT(D642,3))</f>
        <v/>
      </c>
      <c r="G642" s="2" t="str">
        <f aca="false">IF(F642="","",IF(E642=F642,"Yes","No"))</f>
        <v/>
      </c>
      <c r="H642" s="2" t="n">
        <f aca="false">IF(D642="",0,1/COUNTIF($D$2:$D$3451,D642))</f>
        <v>0</v>
      </c>
      <c r="I642" s="13" t="n">
        <f aca="false">IFERROR(INDEX('NCO-2015 scores'!$C$2:$C$131,MATCH(E642,'NCO-2015 scores'!$A$2:$A$131,0)),0)</f>
        <v>0.5375</v>
      </c>
      <c r="J642" s="13" t="n">
        <f aca="false">IF(ISNUMBER(MATCH(E642,'NCO-2015 scores'!$A$2:$A$131,0)),IF(ISNUMBER(INDEX('NCO-2015 scores'!$C$2:$C$131,MATCH(E642,'NCO-2015 scores'!$A$2:$A$131,0))),1,0),0)</f>
        <v>1</v>
      </c>
    </row>
    <row r="643" customFormat="false" ht="15" hidden="false" customHeight="false" outlineLevel="0" collapsed="false">
      <c r="A643" s="2" t="n">
        <v>641</v>
      </c>
      <c r="B643" s="2" t="s">
        <v>2255</v>
      </c>
      <c r="C643" s="2" t="s">
        <v>2256</v>
      </c>
      <c r="D643" s="2"/>
      <c r="E643" s="2" t="str">
        <f aca="false">LEFT(C643,3)</f>
        <v>422</v>
      </c>
      <c r="F643" s="2" t="str">
        <f aca="false">IF(D643="","",LEFT(D643,3))</f>
        <v/>
      </c>
      <c r="G643" s="2" t="str">
        <f aca="false">IF(F643="","",IF(E643=F643,"Yes","No"))</f>
        <v/>
      </c>
      <c r="H643" s="2" t="n">
        <f aca="false">IF(D643="",0,1/COUNTIF($D$2:$D$3451,D643))</f>
        <v>0</v>
      </c>
      <c r="I643" s="13" t="n">
        <f aca="false">IFERROR(INDEX('NCO-2015 scores'!$C$2:$C$131,MATCH(E643,'NCO-2015 scores'!$A$2:$A$131,0)),0)</f>
        <v>0.5375</v>
      </c>
      <c r="J643" s="13" t="n">
        <f aca="false">IF(ISNUMBER(MATCH(E643,'NCO-2015 scores'!$A$2:$A$131,0)),IF(ISNUMBER(INDEX('NCO-2015 scores'!$C$2:$C$131,MATCH(E643,'NCO-2015 scores'!$A$2:$A$131,0))),1,0),0)</f>
        <v>1</v>
      </c>
    </row>
    <row r="644" customFormat="false" ht="15" hidden="false" customHeight="false" outlineLevel="0" collapsed="false">
      <c r="A644" s="2" t="n">
        <v>642</v>
      </c>
      <c r="B644" s="2" t="s">
        <v>2257</v>
      </c>
      <c r="C644" s="2" t="s">
        <v>2258</v>
      </c>
      <c r="D644" s="2" t="s">
        <v>2259</v>
      </c>
      <c r="E644" s="2" t="str">
        <f aca="false">LEFT(C644,3)</f>
        <v>524</v>
      </c>
      <c r="F644" s="2" t="str">
        <f aca="false">IF(D644="","",LEFT(D644,3))</f>
        <v>522</v>
      </c>
      <c r="G644" s="2" t="str">
        <f aca="false">IF(F644="","",IF(E644=F644,"Yes","No"))</f>
        <v>No</v>
      </c>
      <c r="H644" s="2" t="n">
        <f aca="false">IF(D644="",0,1/COUNTIF($D$2:$D$3451,D644))</f>
        <v>1</v>
      </c>
      <c r="I644" s="13" t="n">
        <f aca="false">IFERROR(INDEX('NCO-2015 scores'!$C$2:$C$131,MATCH(E644,'NCO-2015 scores'!$A$2:$A$131,0)),0)</f>
        <v>0.37</v>
      </c>
      <c r="J644" s="13" t="n">
        <f aca="false">IF(ISNUMBER(MATCH(E644,'NCO-2015 scores'!$A$2:$A$131,0)),IF(ISNUMBER(INDEX('NCO-2015 scores'!$C$2:$C$131,MATCH(E644,'NCO-2015 scores'!$A$2:$A$131,0))),1,0),0)</f>
        <v>1</v>
      </c>
    </row>
    <row r="645" customFormat="false" ht="15" hidden="false" customHeight="false" outlineLevel="0" collapsed="false">
      <c r="A645" s="2" t="n">
        <v>643</v>
      </c>
      <c r="B645" s="2" t="s">
        <v>2260</v>
      </c>
      <c r="C645" s="2" t="s">
        <v>2261</v>
      </c>
      <c r="D645" s="2"/>
      <c r="E645" s="2" t="str">
        <f aca="false">LEFT(C645,3)</f>
        <v>524</v>
      </c>
      <c r="F645" s="2" t="str">
        <f aca="false">IF(D645="","",LEFT(D645,3))</f>
        <v/>
      </c>
      <c r="G645" s="2" t="str">
        <f aca="false">IF(F645="","",IF(E645=F645,"Yes","No"))</f>
        <v/>
      </c>
      <c r="H645" s="2" t="n">
        <f aca="false">IF(D645="",0,1/COUNTIF($D$2:$D$3451,D645))</f>
        <v>0</v>
      </c>
      <c r="I645" s="13" t="n">
        <f aca="false">IFERROR(INDEX('NCO-2015 scores'!$C$2:$C$131,MATCH(E645,'NCO-2015 scores'!$A$2:$A$131,0)),0)</f>
        <v>0.37</v>
      </c>
      <c r="J645" s="13" t="n">
        <f aca="false">IF(ISNUMBER(MATCH(E645,'NCO-2015 scores'!$A$2:$A$131,0)),IF(ISNUMBER(INDEX('NCO-2015 scores'!$C$2:$C$131,MATCH(E645,'NCO-2015 scores'!$A$2:$A$131,0))),1,0),0)</f>
        <v>1</v>
      </c>
    </row>
    <row r="646" customFormat="false" ht="15" hidden="false" customHeight="false" outlineLevel="0" collapsed="false">
      <c r="A646" s="2" t="n">
        <v>644</v>
      </c>
      <c r="B646" s="2" t="s">
        <v>2262</v>
      </c>
      <c r="C646" s="2" t="s">
        <v>2263</v>
      </c>
      <c r="D646" s="2"/>
      <c r="E646" s="2" t="str">
        <f aca="false">LEFT(C646,3)</f>
        <v>524</v>
      </c>
      <c r="F646" s="2" t="str">
        <f aca="false">IF(D646="","",LEFT(D646,3))</f>
        <v/>
      </c>
      <c r="G646" s="2" t="str">
        <f aca="false">IF(F646="","",IF(E646=F646,"Yes","No"))</f>
        <v/>
      </c>
      <c r="H646" s="2" t="n">
        <f aca="false">IF(D646="",0,1/COUNTIF($D$2:$D$3451,D646))</f>
        <v>0</v>
      </c>
      <c r="I646" s="13" t="n">
        <f aca="false">IFERROR(INDEX('NCO-2015 scores'!$C$2:$C$131,MATCH(E646,'NCO-2015 scores'!$A$2:$A$131,0)),0)</f>
        <v>0.37</v>
      </c>
      <c r="J646" s="13" t="n">
        <f aca="false">IF(ISNUMBER(MATCH(E646,'NCO-2015 scores'!$A$2:$A$131,0)),IF(ISNUMBER(INDEX('NCO-2015 scores'!$C$2:$C$131,MATCH(E646,'NCO-2015 scores'!$A$2:$A$131,0))),1,0),0)</f>
        <v>1</v>
      </c>
    </row>
    <row r="647" customFormat="false" ht="15" hidden="false" customHeight="false" outlineLevel="0" collapsed="false">
      <c r="A647" s="2" t="n">
        <v>645</v>
      </c>
      <c r="B647" s="2" t="s">
        <v>2264</v>
      </c>
      <c r="C647" s="2" t="s">
        <v>2265</v>
      </c>
      <c r="D647" s="2"/>
      <c r="E647" s="2" t="str">
        <f aca="false">LEFT(C647,3)</f>
        <v>524</v>
      </c>
      <c r="F647" s="2" t="str">
        <f aca="false">IF(D647="","",LEFT(D647,3))</f>
        <v/>
      </c>
      <c r="G647" s="2" t="str">
        <f aca="false">IF(F647="","",IF(E647=F647,"Yes","No"))</f>
        <v/>
      </c>
      <c r="H647" s="2" t="n">
        <f aca="false">IF(D647="",0,1/COUNTIF($D$2:$D$3451,D647))</f>
        <v>0</v>
      </c>
      <c r="I647" s="13" t="n">
        <f aca="false">IFERROR(INDEX('NCO-2015 scores'!$C$2:$C$131,MATCH(E647,'NCO-2015 scores'!$A$2:$A$131,0)),0)</f>
        <v>0.37</v>
      </c>
      <c r="J647" s="13" t="n">
        <f aca="false">IF(ISNUMBER(MATCH(E647,'NCO-2015 scores'!$A$2:$A$131,0)),IF(ISNUMBER(INDEX('NCO-2015 scores'!$C$2:$C$131,MATCH(E647,'NCO-2015 scores'!$A$2:$A$131,0))),1,0),0)</f>
        <v>1</v>
      </c>
    </row>
    <row r="648" customFormat="false" ht="15" hidden="false" customHeight="false" outlineLevel="0" collapsed="false">
      <c r="A648" s="2" t="n">
        <v>646</v>
      </c>
      <c r="B648" s="2" t="s">
        <v>2266</v>
      </c>
      <c r="C648" s="2" t="s">
        <v>2267</v>
      </c>
      <c r="D648" s="2"/>
      <c r="E648" s="2" t="str">
        <f aca="false">LEFT(C648,3)</f>
        <v>524</v>
      </c>
      <c r="F648" s="2" t="str">
        <f aca="false">IF(D648="","",LEFT(D648,3))</f>
        <v/>
      </c>
      <c r="G648" s="2" t="str">
        <f aca="false">IF(F648="","",IF(E648=F648,"Yes","No"))</f>
        <v/>
      </c>
      <c r="H648" s="2" t="n">
        <f aca="false">IF(D648="",0,1/COUNTIF($D$2:$D$3451,D648))</f>
        <v>0</v>
      </c>
      <c r="I648" s="13" t="n">
        <f aca="false">IFERROR(INDEX('NCO-2015 scores'!$C$2:$C$131,MATCH(E648,'NCO-2015 scores'!$A$2:$A$131,0)),0)</f>
        <v>0.37</v>
      </c>
      <c r="J648" s="13" t="n">
        <f aca="false">IF(ISNUMBER(MATCH(E648,'NCO-2015 scores'!$A$2:$A$131,0)),IF(ISNUMBER(INDEX('NCO-2015 scores'!$C$2:$C$131,MATCH(E648,'NCO-2015 scores'!$A$2:$A$131,0))),1,0),0)</f>
        <v>1</v>
      </c>
    </row>
    <row r="649" customFormat="false" ht="15" hidden="false" customHeight="false" outlineLevel="0" collapsed="false">
      <c r="A649" s="2" t="n">
        <v>647</v>
      </c>
      <c r="B649" s="2" t="s">
        <v>2268</v>
      </c>
      <c r="C649" s="2" t="s">
        <v>2269</v>
      </c>
      <c r="D649" s="2"/>
      <c r="E649" s="2" t="str">
        <f aca="false">LEFT(C649,3)</f>
        <v>524</v>
      </c>
      <c r="F649" s="2" t="str">
        <f aca="false">IF(D649="","",LEFT(D649,3))</f>
        <v/>
      </c>
      <c r="G649" s="2" t="str">
        <f aca="false">IF(F649="","",IF(E649=F649,"Yes","No"))</f>
        <v/>
      </c>
      <c r="H649" s="2" t="n">
        <f aca="false">IF(D649="",0,1/COUNTIF($D$2:$D$3451,D649))</f>
        <v>0</v>
      </c>
      <c r="I649" s="13" t="n">
        <f aca="false">IFERROR(INDEX('NCO-2015 scores'!$C$2:$C$131,MATCH(E649,'NCO-2015 scores'!$A$2:$A$131,0)),0)</f>
        <v>0.37</v>
      </c>
      <c r="J649" s="13" t="n">
        <f aca="false">IF(ISNUMBER(MATCH(E649,'NCO-2015 scores'!$A$2:$A$131,0)),IF(ISNUMBER(INDEX('NCO-2015 scores'!$C$2:$C$131,MATCH(E649,'NCO-2015 scores'!$A$2:$A$131,0))),1,0),0)</f>
        <v>1</v>
      </c>
    </row>
    <row r="650" customFormat="false" ht="15" hidden="false" customHeight="false" outlineLevel="0" collapsed="false">
      <c r="A650" s="2" t="n">
        <v>648</v>
      </c>
      <c r="B650" s="2" t="s">
        <v>2270</v>
      </c>
      <c r="C650" s="2" t="s">
        <v>2271</v>
      </c>
      <c r="D650" s="2"/>
      <c r="E650" s="2" t="str">
        <f aca="false">LEFT(C650,3)</f>
        <v>524</v>
      </c>
      <c r="F650" s="2" t="str">
        <f aca="false">IF(D650="","",LEFT(D650,3))</f>
        <v/>
      </c>
      <c r="G650" s="2" t="str">
        <f aca="false">IF(F650="","",IF(E650=F650,"Yes","No"))</f>
        <v/>
      </c>
      <c r="H650" s="2" t="n">
        <f aca="false">IF(D650="",0,1/COUNTIF($D$2:$D$3451,D650))</f>
        <v>0</v>
      </c>
      <c r="I650" s="13" t="n">
        <f aca="false">IFERROR(INDEX('NCO-2015 scores'!$C$2:$C$131,MATCH(E650,'NCO-2015 scores'!$A$2:$A$131,0)),0)</f>
        <v>0.37</v>
      </c>
      <c r="J650" s="13" t="n">
        <f aca="false">IF(ISNUMBER(MATCH(E650,'NCO-2015 scores'!$A$2:$A$131,0)),IF(ISNUMBER(INDEX('NCO-2015 scores'!$C$2:$C$131,MATCH(E650,'NCO-2015 scores'!$A$2:$A$131,0))),1,0),0)</f>
        <v>1</v>
      </c>
    </row>
    <row r="651" customFormat="false" ht="15" hidden="false" customHeight="false" outlineLevel="0" collapsed="false">
      <c r="A651" s="2" t="n">
        <v>649</v>
      </c>
      <c r="B651" s="2" t="s">
        <v>2272</v>
      </c>
      <c r="C651" s="2" t="s">
        <v>2273</v>
      </c>
      <c r="D651" s="2"/>
      <c r="E651" s="2" t="str">
        <f aca="false">LEFT(C651,3)</f>
        <v>524</v>
      </c>
      <c r="F651" s="2" t="str">
        <f aca="false">IF(D651="","",LEFT(D651,3))</f>
        <v/>
      </c>
      <c r="G651" s="2" t="str">
        <f aca="false">IF(F651="","",IF(E651=F651,"Yes","No"))</f>
        <v/>
      </c>
      <c r="H651" s="2" t="n">
        <f aca="false">IF(D651="",0,1/COUNTIF($D$2:$D$3451,D651))</f>
        <v>0</v>
      </c>
      <c r="I651" s="13" t="n">
        <f aca="false">IFERROR(INDEX('NCO-2015 scores'!$C$2:$C$131,MATCH(E651,'NCO-2015 scores'!$A$2:$A$131,0)),0)</f>
        <v>0.37</v>
      </c>
      <c r="J651" s="13" t="n">
        <f aca="false">IF(ISNUMBER(MATCH(E651,'NCO-2015 scores'!$A$2:$A$131,0)),IF(ISNUMBER(INDEX('NCO-2015 scores'!$C$2:$C$131,MATCH(E651,'NCO-2015 scores'!$A$2:$A$131,0))),1,0),0)</f>
        <v>1</v>
      </c>
    </row>
    <row r="652" customFormat="false" ht="15" hidden="false" customHeight="false" outlineLevel="0" collapsed="false">
      <c r="A652" s="2" t="n">
        <v>650</v>
      </c>
      <c r="B652" s="2" t="s">
        <v>2274</v>
      </c>
      <c r="C652" s="2" t="s">
        <v>2275</v>
      </c>
      <c r="D652" s="2"/>
      <c r="E652" s="2" t="str">
        <f aca="false">LEFT(C652,3)</f>
        <v>524</v>
      </c>
      <c r="F652" s="2" t="str">
        <f aca="false">IF(D652="","",LEFT(D652,3))</f>
        <v/>
      </c>
      <c r="G652" s="2" t="str">
        <f aca="false">IF(F652="","",IF(E652=F652,"Yes","No"))</f>
        <v/>
      </c>
      <c r="H652" s="2" t="n">
        <f aca="false">IF(D652="",0,1/COUNTIF($D$2:$D$3451,D652))</f>
        <v>0</v>
      </c>
      <c r="I652" s="13" t="n">
        <f aca="false">IFERROR(INDEX('NCO-2015 scores'!$C$2:$C$131,MATCH(E652,'NCO-2015 scores'!$A$2:$A$131,0)),0)</f>
        <v>0.37</v>
      </c>
      <c r="J652" s="13" t="n">
        <f aca="false">IF(ISNUMBER(MATCH(E652,'NCO-2015 scores'!$A$2:$A$131,0)),IF(ISNUMBER(INDEX('NCO-2015 scores'!$C$2:$C$131,MATCH(E652,'NCO-2015 scores'!$A$2:$A$131,0))),1,0),0)</f>
        <v>1</v>
      </c>
    </row>
    <row r="653" customFormat="false" ht="15" hidden="false" customHeight="false" outlineLevel="0" collapsed="false">
      <c r="A653" s="2" t="n">
        <v>651</v>
      </c>
      <c r="B653" s="2" t="s">
        <v>2276</v>
      </c>
      <c r="C653" s="2" t="s">
        <v>2277</v>
      </c>
      <c r="D653" s="2"/>
      <c r="E653" s="2" t="str">
        <f aca="false">LEFT(C653,3)</f>
        <v>524</v>
      </c>
      <c r="F653" s="2" t="str">
        <f aca="false">IF(D653="","",LEFT(D653,3))</f>
        <v/>
      </c>
      <c r="G653" s="2" t="str">
        <f aca="false">IF(F653="","",IF(E653=F653,"Yes","No"))</f>
        <v/>
      </c>
      <c r="H653" s="2" t="n">
        <f aca="false">IF(D653="",0,1/COUNTIF($D$2:$D$3451,D653))</f>
        <v>0</v>
      </c>
      <c r="I653" s="13" t="n">
        <f aca="false">IFERROR(INDEX('NCO-2015 scores'!$C$2:$C$131,MATCH(E653,'NCO-2015 scores'!$A$2:$A$131,0)),0)</f>
        <v>0.37</v>
      </c>
      <c r="J653" s="13" t="n">
        <f aca="false">IF(ISNUMBER(MATCH(E653,'NCO-2015 scores'!$A$2:$A$131,0)),IF(ISNUMBER(INDEX('NCO-2015 scores'!$C$2:$C$131,MATCH(E653,'NCO-2015 scores'!$A$2:$A$131,0))),1,0),0)</f>
        <v>1</v>
      </c>
    </row>
    <row r="654" customFormat="false" ht="15" hidden="false" customHeight="false" outlineLevel="0" collapsed="false">
      <c r="A654" s="2" t="n">
        <v>652</v>
      </c>
      <c r="B654" s="2" t="s">
        <v>2278</v>
      </c>
      <c r="C654" s="2" t="s">
        <v>2279</v>
      </c>
      <c r="D654" s="2" t="s">
        <v>2280</v>
      </c>
      <c r="E654" s="2" t="str">
        <f aca="false">LEFT(C654,3)</f>
        <v>512</v>
      </c>
      <c r="F654" s="2" t="str">
        <f aca="false">IF(D654="","",LEFT(D654,3))</f>
        <v>512</v>
      </c>
      <c r="G654" s="2" t="str">
        <f aca="false">IF(F654="","",IF(E654=F654,"Yes","No"))</f>
        <v>Yes</v>
      </c>
      <c r="H654" s="2" t="n">
        <f aca="false">IF(D654="",0,1/COUNTIF($D$2:$D$3451,D654))</f>
        <v>1</v>
      </c>
      <c r="I654" s="13" t="n">
        <f aca="false">IFERROR(INDEX('NCO-2015 scores'!$C$2:$C$131,MATCH(E654,'NCO-2015 scores'!$A$2:$A$131,0)),0)</f>
        <v>0.18</v>
      </c>
      <c r="J654" s="13" t="n">
        <f aca="false">IF(ISNUMBER(MATCH(E654,'NCO-2015 scores'!$A$2:$A$131,0)),IF(ISNUMBER(INDEX('NCO-2015 scores'!$C$2:$C$131,MATCH(E654,'NCO-2015 scores'!$A$2:$A$131,0))),1,0),0)</f>
        <v>1</v>
      </c>
    </row>
    <row r="655" customFormat="false" ht="15" hidden="false" customHeight="false" outlineLevel="0" collapsed="false">
      <c r="A655" s="2" t="n">
        <v>653</v>
      </c>
      <c r="B655" s="2" t="s">
        <v>2281</v>
      </c>
      <c r="C655" s="2" t="s">
        <v>2282</v>
      </c>
      <c r="D655" s="2" t="s">
        <v>2283</v>
      </c>
      <c r="E655" s="2" t="str">
        <f aca="false">LEFT(C655,3)</f>
        <v>512</v>
      </c>
      <c r="F655" s="2" t="str">
        <f aca="false">IF(D655="","",LEFT(D655,3))</f>
        <v>512</v>
      </c>
      <c r="G655" s="2" t="str">
        <f aca="false">IF(F655="","",IF(E655=F655,"Yes","No"))</f>
        <v>Yes</v>
      </c>
      <c r="H655" s="2" t="n">
        <f aca="false">IF(D655="",0,1/COUNTIF($D$2:$D$3451,D655))</f>
        <v>1</v>
      </c>
      <c r="I655" s="13" t="n">
        <f aca="false">IFERROR(INDEX('NCO-2015 scores'!$C$2:$C$131,MATCH(E655,'NCO-2015 scores'!$A$2:$A$131,0)),0)</f>
        <v>0.18</v>
      </c>
      <c r="J655" s="13" t="n">
        <f aca="false">IF(ISNUMBER(MATCH(E655,'NCO-2015 scores'!$A$2:$A$131,0)),IF(ISNUMBER(INDEX('NCO-2015 scores'!$C$2:$C$131,MATCH(E655,'NCO-2015 scores'!$A$2:$A$131,0))),1,0),0)</f>
        <v>1</v>
      </c>
    </row>
    <row r="656" customFormat="false" ht="15" hidden="false" customHeight="false" outlineLevel="0" collapsed="false">
      <c r="A656" s="2" t="n">
        <v>654</v>
      </c>
      <c r="B656" s="2" t="s">
        <v>2284</v>
      </c>
      <c r="C656" s="2" t="s">
        <v>2285</v>
      </c>
      <c r="D656" s="2" t="s">
        <v>2286</v>
      </c>
      <c r="E656" s="2" t="str">
        <f aca="false">LEFT(C656,3)</f>
        <v>512</v>
      </c>
      <c r="F656" s="2" t="str">
        <f aca="false">IF(D656="","",LEFT(D656,3))</f>
        <v>512</v>
      </c>
      <c r="G656" s="2" t="str">
        <f aca="false">IF(F656="","",IF(E656=F656,"Yes","No"))</f>
        <v>Yes</v>
      </c>
      <c r="H656" s="2" t="n">
        <f aca="false">IF(D656="",0,1/COUNTIF($D$2:$D$3451,D656))</f>
        <v>1</v>
      </c>
      <c r="I656" s="13" t="n">
        <f aca="false">IFERROR(INDEX('NCO-2015 scores'!$C$2:$C$131,MATCH(E656,'NCO-2015 scores'!$A$2:$A$131,0)),0)</f>
        <v>0.18</v>
      </c>
      <c r="J656" s="13" t="n">
        <f aca="false">IF(ISNUMBER(MATCH(E656,'NCO-2015 scores'!$A$2:$A$131,0)),IF(ISNUMBER(INDEX('NCO-2015 scores'!$C$2:$C$131,MATCH(E656,'NCO-2015 scores'!$A$2:$A$131,0))),1,0),0)</f>
        <v>1</v>
      </c>
    </row>
    <row r="657" customFormat="false" ht="15" hidden="false" customHeight="false" outlineLevel="0" collapsed="false">
      <c r="A657" s="2" t="n">
        <v>655</v>
      </c>
      <c r="B657" s="2" t="s">
        <v>2287</v>
      </c>
      <c r="C657" s="2" t="s">
        <v>2288</v>
      </c>
      <c r="D657" s="2" t="s">
        <v>2289</v>
      </c>
      <c r="E657" s="2" t="str">
        <f aca="false">LEFT(C657,3)</f>
        <v>512</v>
      </c>
      <c r="F657" s="2" t="str">
        <f aca="false">IF(D657="","",LEFT(D657,3))</f>
        <v>512</v>
      </c>
      <c r="G657" s="2" t="str">
        <f aca="false">IF(F657="","",IF(E657=F657,"Yes","No"))</f>
        <v>Yes</v>
      </c>
      <c r="H657" s="2" t="n">
        <f aca="false">IF(D657="",0,1/COUNTIF($D$2:$D$3451,D657))</f>
        <v>1</v>
      </c>
      <c r="I657" s="13" t="n">
        <f aca="false">IFERROR(INDEX('NCO-2015 scores'!$C$2:$C$131,MATCH(E657,'NCO-2015 scores'!$A$2:$A$131,0)),0)</f>
        <v>0.18</v>
      </c>
      <c r="J657" s="13" t="n">
        <f aca="false">IF(ISNUMBER(MATCH(E657,'NCO-2015 scores'!$A$2:$A$131,0)),IF(ISNUMBER(INDEX('NCO-2015 scores'!$C$2:$C$131,MATCH(E657,'NCO-2015 scores'!$A$2:$A$131,0))),1,0),0)</f>
        <v>1</v>
      </c>
    </row>
    <row r="658" customFormat="false" ht="15" hidden="false" customHeight="false" outlineLevel="0" collapsed="false">
      <c r="A658" s="2" t="n">
        <v>656</v>
      </c>
      <c r="B658" s="2" t="s">
        <v>2290</v>
      </c>
      <c r="C658" s="2" t="s">
        <v>2291</v>
      </c>
      <c r="D658" s="2" t="s">
        <v>2292</v>
      </c>
      <c r="E658" s="2" t="str">
        <f aca="false">LEFT(C658,3)</f>
        <v>512</v>
      </c>
      <c r="F658" s="2" t="str">
        <f aca="false">IF(D658="","",LEFT(D658,3))</f>
        <v>512</v>
      </c>
      <c r="G658" s="2" t="str">
        <f aca="false">IF(F658="","",IF(E658=F658,"Yes","No"))</f>
        <v>Yes</v>
      </c>
      <c r="H658" s="2" t="n">
        <f aca="false">IF(D658="",0,1/COUNTIF($D$2:$D$3451,D658))</f>
        <v>1</v>
      </c>
      <c r="I658" s="13" t="n">
        <f aca="false">IFERROR(INDEX('NCO-2015 scores'!$C$2:$C$131,MATCH(E658,'NCO-2015 scores'!$A$2:$A$131,0)),0)</f>
        <v>0.18</v>
      </c>
      <c r="J658" s="13" t="n">
        <f aca="false">IF(ISNUMBER(MATCH(E658,'NCO-2015 scores'!$A$2:$A$131,0)),IF(ISNUMBER(INDEX('NCO-2015 scores'!$C$2:$C$131,MATCH(E658,'NCO-2015 scores'!$A$2:$A$131,0))),1,0),0)</f>
        <v>1</v>
      </c>
    </row>
    <row r="659" customFormat="false" ht="15" hidden="false" customHeight="false" outlineLevel="0" collapsed="false">
      <c r="A659" s="2" t="n">
        <v>657</v>
      </c>
      <c r="B659" s="2" t="s">
        <v>2293</v>
      </c>
      <c r="C659" s="2" t="s">
        <v>2294</v>
      </c>
      <c r="D659" s="2" t="s">
        <v>2295</v>
      </c>
      <c r="E659" s="2" t="str">
        <f aca="false">LEFT(C659,3)</f>
        <v>512</v>
      </c>
      <c r="F659" s="2" t="str">
        <f aca="false">IF(D659="","",LEFT(D659,3))</f>
        <v>512</v>
      </c>
      <c r="G659" s="2" t="str">
        <f aca="false">IF(F659="","",IF(E659=F659,"Yes","No"))</f>
        <v>Yes</v>
      </c>
      <c r="H659" s="2" t="n">
        <f aca="false">IF(D659="",0,1/COUNTIF($D$2:$D$3451,D659))</f>
        <v>1</v>
      </c>
      <c r="I659" s="13" t="n">
        <f aca="false">IFERROR(INDEX('NCO-2015 scores'!$C$2:$C$131,MATCH(E659,'NCO-2015 scores'!$A$2:$A$131,0)),0)</f>
        <v>0.18</v>
      </c>
      <c r="J659" s="13" t="n">
        <f aca="false">IF(ISNUMBER(MATCH(E659,'NCO-2015 scores'!$A$2:$A$131,0)),IF(ISNUMBER(INDEX('NCO-2015 scores'!$C$2:$C$131,MATCH(E659,'NCO-2015 scores'!$A$2:$A$131,0))),1,0),0)</f>
        <v>1</v>
      </c>
    </row>
    <row r="660" customFormat="false" ht="15" hidden="false" customHeight="false" outlineLevel="0" collapsed="false">
      <c r="A660" s="2" t="n">
        <v>658</v>
      </c>
      <c r="B660" s="2" t="s">
        <v>2296</v>
      </c>
      <c r="C660" s="2" t="s">
        <v>2297</v>
      </c>
      <c r="D660" s="2" t="s">
        <v>2298</v>
      </c>
      <c r="E660" s="2" t="str">
        <f aca="false">LEFT(C660,3)</f>
        <v>834</v>
      </c>
      <c r="F660" s="2" t="str">
        <f aca="false">IF(D660="","",LEFT(D660,3))</f>
        <v>833</v>
      </c>
      <c r="G660" s="2" t="str">
        <f aca="false">IF(F660="","",IF(E660=F660,"Yes","No"))</f>
        <v>No</v>
      </c>
      <c r="H660" s="2" t="n">
        <f aca="false">IF(D660="",0,1/COUNTIF($D$2:$D$3451,D660))</f>
        <v>1</v>
      </c>
      <c r="I660" s="13" t="n">
        <f aca="false">IFERROR(INDEX('NCO-2015 scores'!$C$2:$C$131,MATCH(E660,'NCO-2015 scores'!$A$2:$A$131,0)),0)</f>
        <v>0.1575</v>
      </c>
      <c r="J660" s="13" t="n">
        <f aca="false">IF(ISNUMBER(MATCH(E660,'NCO-2015 scores'!$A$2:$A$131,0)),IF(ISNUMBER(INDEX('NCO-2015 scores'!$C$2:$C$131,MATCH(E660,'NCO-2015 scores'!$A$2:$A$131,0))),1,0),0)</f>
        <v>1</v>
      </c>
    </row>
    <row r="661" customFormat="false" ht="15" hidden="false" customHeight="false" outlineLevel="0" collapsed="false">
      <c r="A661" s="2" t="n">
        <v>659</v>
      </c>
      <c r="B661" s="2" t="s">
        <v>2299</v>
      </c>
      <c r="C661" s="2" t="s">
        <v>2300</v>
      </c>
      <c r="D661" s="2"/>
      <c r="E661" s="2" t="str">
        <f aca="false">LEFT(C661,3)</f>
        <v>834</v>
      </c>
      <c r="F661" s="2" t="str">
        <f aca="false">IF(D661="","",LEFT(D661,3))</f>
        <v/>
      </c>
      <c r="G661" s="2" t="str">
        <f aca="false">IF(F661="","",IF(E661=F661,"Yes","No"))</f>
        <v/>
      </c>
      <c r="H661" s="2" t="n">
        <f aca="false">IF(D661="",0,1/COUNTIF($D$2:$D$3451,D661))</f>
        <v>0</v>
      </c>
      <c r="I661" s="13" t="n">
        <f aca="false">IFERROR(INDEX('NCO-2015 scores'!$C$2:$C$131,MATCH(E661,'NCO-2015 scores'!$A$2:$A$131,0)),0)</f>
        <v>0.1575</v>
      </c>
      <c r="J661" s="13" t="n">
        <f aca="false">IF(ISNUMBER(MATCH(E661,'NCO-2015 scores'!$A$2:$A$131,0)),IF(ISNUMBER(INDEX('NCO-2015 scores'!$C$2:$C$131,MATCH(E661,'NCO-2015 scores'!$A$2:$A$131,0))),1,0),0)</f>
        <v>1</v>
      </c>
    </row>
    <row r="662" customFormat="false" ht="15" hidden="false" customHeight="false" outlineLevel="0" collapsed="false">
      <c r="A662" s="2" t="n">
        <v>660</v>
      </c>
      <c r="B662" s="2" t="s">
        <v>2301</v>
      </c>
      <c r="C662" s="2" t="s">
        <v>2302</v>
      </c>
      <c r="D662" s="2" t="s">
        <v>2303</v>
      </c>
      <c r="E662" s="2" t="str">
        <f aca="false">LEFT(C662,3)</f>
        <v>834</v>
      </c>
      <c r="F662" s="2" t="str">
        <f aca="false">IF(D662="","",LEFT(D662,3))</f>
        <v>833</v>
      </c>
      <c r="G662" s="2" t="str">
        <f aca="false">IF(F662="","",IF(E662=F662,"Yes","No"))</f>
        <v>No</v>
      </c>
      <c r="H662" s="2" t="n">
        <f aca="false">IF(D662="",0,1/COUNTIF($D$2:$D$3451,D662))</f>
        <v>1</v>
      </c>
      <c r="I662" s="13" t="n">
        <f aca="false">IFERROR(INDEX('NCO-2015 scores'!$C$2:$C$131,MATCH(E662,'NCO-2015 scores'!$A$2:$A$131,0)),0)</f>
        <v>0.1575</v>
      </c>
      <c r="J662" s="13" t="n">
        <f aca="false">IF(ISNUMBER(MATCH(E662,'NCO-2015 scores'!$A$2:$A$131,0)),IF(ISNUMBER(INDEX('NCO-2015 scores'!$C$2:$C$131,MATCH(E662,'NCO-2015 scores'!$A$2:$A$131,0))),1,0),0)</f>
        <v>1</v>
      </c>
    </row>
    <row r="663" customFormat="false" ht="15" hidden="false" customHeight="false" outlineLevel="0" collapsed="false">
      <c r="A663" s="2" t="n">
        <v>661</v>
      </c>
      <c r="B663" s="2" t="s">
        <v>2304</v>
      </c>
      <c r="C663" s="2" t="s">
        <v>2305</v>
      </c>
      <c r="D663" s="2" t="s">
        <v>2306</v>
      </c>
      <c r="E663" s="2" t="str">
        <f aca="false">LEFT(C663,3)</f>
        <v>834</v>
      </c>
      <c r="F663" s="2" t="str">
        <f aca="false">IF(D663="","",LEFT(D663,3))</f>
        <v>833</v>
      </c>
      <c r="G663" s="2" t="str">
        <f aca="false">IF(F663="","",IF(E663=F663,"Yes","No"))</f>
        <v>No</v>
      </c>
      <c r="H663" s="2" t="n">
        <f aca="false">IF(D663="",0,1/COUNTIF($D$2:$D$3451,D663))</f>
        <v>1</v>
      </c>
      <c r="I663" s="13" t="n">
        <f aca="false">IFERROR(INDEX('NCO-2015 scores'!$C$2:$C$131,MATCH(E663,'NCO-2015 scores'!$A$2:$A$131,0)),0)</f>
        <v>0.1575</v>
      </c>
      <c r="J663" s="13" t="n">
        <f aca="false">IF(ISNUMBER(MATCH(E663,'NCO-2015 scores'!$A$2:$A$131,0)),IF(ISNUMBER(INDEX('NCO-2015 scores'!$C$2:$C$131,MATCH(E663,'NCO-2015 scores'!$A$2:$A$131,0))),1,0),0)</f>
        <v>1</v>
      </c>
    </row>
    <row r="664" customFormat="false" ht="15" hidden="false" customHeight="false" outlineLevel="0" collapsed="false">
      <c r="A664" s="2" t="n">
        <v>662</v>
      </c>
      <c r="B664" s="2" t="s">
        <v>2307</v>
      </c>
      <c r="C664" s="2" t="s">
        <v>2308</v>
      </c>
      <c r="D664" s="2" t="s">
        <v>2309</v>
      </c>
      <c r="E664" s="2" t="str">
        <f aca="false">LEFT(C664,3)</f>
        <v>834</v>
      </c>
      <c r="F664" s="2" t="str">
        <f aca="false">IF(D664="","",LEFT(D664,3))</f>
        <v>833</v>
      </c>
      <c r="G664" s="2" t="str">
        <f aca="false">IF(F664="","",IF(E664=F664,"Yes","No"))</f>
        <v>No</v>
      </c>
      <c r="H664" s="2" t="n">
        <f aca="false">IF(D664="",0,1/COUNTIF($D$2:$D$3451,D664))</f>
        <v>1</v>
      </c>
      <c r="I664" s="13" t="n">
        <f aca="false">IFERROR(INDEX('NCO-2015 scores'!$C$2:$C$131,MATCH(E664,'NCO-2015 scores'!$A$2:$A$131,0)),0)</f>
        <v>0.1575</v>
      </c>
      <c r="J664" s="13" t="n">
        <f aca="false">IF(ISNUMBER(MATCH(E664,'NCO-2015 scores'!$A$2:$A$131,0)),IF(ISNUMBER(INDEX('NCO-2015 scores'!$C$2:$C$131,MATCH(E664,'NCO-2015 scores'!$A$2:$A$131,0))),1,0),0)</f>
        <v>1</v>
      </c>
    </row>
    <row r="665" customFormat="false" ht="15" hidden="false" customHeight="false" outlineLevel="0" collapsed="false">
      <c r="A665" s="2" t="n">
        <v>663</v>
      </c>
      <c r="B665" s="2" t="s">
        <v>2310</v>
      </c>
      <c r="C665" s="2" t="s">
        <v>2311</v>
      </c>
      <c r="D665" s="2" t="s">
        <v>2312</v>
      </c>
      <c r="E665" s="2" t="str">
        <f aca="false">LEFT(C665,3)</f>
        <v>834</v>
      </c>
      <c r="F665" s="2" t="str">
        <f aca="false">IF(D665="","",LEFT(D665,3))</f>
        <v>833</v>
      </c>
      <c r="G665" s="2" t="str">
        <f aca="false">IF(F665="","",IF(E665=F665,"Yes","No"))</f>
        <v>No</v>
      </c>
      <c r="H665" s="2" t="n">
        <f aca="false">IF(D665="",0,1/COUNTIF($D$2:$D$3451,D665))</f>
        <v>1</v>
      </c>
      <c r="I665" s="13" t="n">
        <f aca="false">IFERROR(INDEX('NCO-2015 scores'!$C$2:$C$131,MATCH(E665,'NCO-2015 scores'!$A$2:$A$131,0)),0)</f>
        <v>0.1575</v>
      </c>
      <c r="J665" s="13" t="n">
        <f aca="false">IF(ISNUMBER(MATCH(E665,'NCO-2015 scores'!$A$2:$A$131,0)),IF(ISNUMBER(INDEX('NCO-2015 scores'!$C$2:$C$131,MATCH(E665,'NCO-2015 scores'!$A$2:$A$131,0))),1,0),0)</f>
        <v>1</v>
      </c>
    </row>
    <row r="666" customFormat="false" ht="15" hidden="false" customHeight="false" outlineLevel="0" collapsed="false">
      <c r="A666" s="2" t="n">
        <v>664</v>
      </c>
      <c r="B666" s="2" t="s">
        <v>2313</v>
      </c>
      <c r="C666" s="2" t="s">
        <v>2314</v>
      </c>
      <c r="D666" s="2" t="s">
        <v>2315</v>
      </c>
      <c r="E666" s="2" t="str">
        <f aca="false">LEFT(C666,3)</f>
        <v>834</v>
      </c>
      <c r="F666" s="2" t="str">
        <f aca="false">IF(D666="","",LEFT(D666,3))</f>
        <v>833</v>
      </c>
      <c r="G666" s="2" t="str">
        <f aca="false">IF(F666="","",IF(E666=F666,"Yes","No"))</f>
        <v>No</v>
      </c>
      <c r="H666" s="2" t="n">
        <f aca="false">IF(D666="",0,1/COUNTIF($D$2:$D$3451,D666))</f>
        <v>1</v>
      </c>
      <c r="I666" s="13" t="n">
        <f aca="false">IFERROR(INDEX('NCO-2015 scores'!$C$2:$C$131,MATCH(E666,'NCO-2015 scores'!$A$2:$A$131,0)),0)</f>
        <v>0.1575</v>
      </c>
      <c r="J666" s="13" t="n">
        <f aca="false">IF(ISNUMBER(MATCH(E666,'NCO-2015 scores'!$A$2:$A$131,0)),IF(ISNUMBER(INDEX('NCO-2015 scores'!$C$2:$C$131,MATCH(E666,'NCO-2015 scores'!$A$2:$A$131,0))),1,0),0)</f>
        <v>1</v>
      </c>
    </row>
    <row r="667" customFormat="false" ht="15" hidden="false" customHeight="false" outlineLevel="0" collapsed="false">
      <c r="A667" s="2" t="n">
        <v>665</v>
      </c>
      <c r="B667" s="2" t="s">
        <v>2316</v>
      </c>
      <c r="C667" s="2" t="s">
        <v>2317</v>
      </c>
      <c r="D667" s="2" t="s">
        <v>2318</v>
      </c>
      <c r="E667" s="2" t="str">
        <f aca="false">LEFT(C667,3)</f>
        <v>834</v>
      </c>
      <c r="F667" s="2" t="str">
        <f aca="false">IF(D667="","",LEFT(D667,3))</f>
        <v>833</v>
      </c>
      <c r="G667" s="2" t="str">
        <f aca="false">IF(F667="","",IF(E667=F667,"Yes","No"))</f>
        <v>No</v>
      </c>
      <c r="H667" s="2" t="n">
        <f aca="false">IF(D667="",0,1/COUNTIF($D$2:$D$3451,D667))</f>
        <v>1</v>
      </c>
      <c r="I667" s="13" t="n">
        <f aca="false">IFERROR(INDEX('NCO-2015 scores'!$C$2:$C$131,MATCH(E667,'NCO-2015 scores'!$A$2:$A$131,0)),0)</f>
        <v>0.1575</v>
      </c>
      <c r="J667" s="13" t="n">
        <f aca="false">IF(ISNUMBER(MATCH(E667,'NCO-2015 scores'!$A$2:$A$131,0)),IF(ISNUMBER(INDEX('NCO-2015 scores'!$C$2:$C$131,MATCH(E667,'NCO-2015 scores'!$A$2:$A$131,0))),1,0),0)</f>
        <v>1</v>
      </c>
    </row>
    <row r="668" customFormat="false" ht="15" hidden="false" customHeight="false" outlineLevel="0" collapsed="false">
      <c r="A668" s="2" t="n">
        <v>666</v>
      </c>
      <c r="B668" s="2" t="s">
        <v>2319</v>
      </c>
      <c r="C668" s="2" t="s">
        <v>2320</v>
      </c>
      <c r="D668" s="2" t="s">
        <v>2321</v>
      </c>
      <c r="E668" s="2" t="str">
        <f aca="false">LEFT(C668,3)</f>
        <v>834</v>
      </c>
      <c r="F668" s="2" t="str">
        <f aca="false">IF(D668="","",LEFT(D668,3))</f>
        <v>833</v>
      </c>
      <c r="G668" s="2" t="str">
        <f aca="false">IF(F668="","",IF(E668=F668,"Yes","No"))</f>
        <v>No</v>
      </c>
      <c r="H668" s="2" t="n">
        <f aca="false">IF(D668="",0,1/COUNTIF($D$2:$D$3451,D668))</f>
        <v>1</v>
      </c>
      <c r="I668" s="13" t="n">
        <f aca="false">IFERROR(INDEX('NCO-2015 scores'!$C$2:$C$131,MATCH(E668,'NCO-2015 scores'!$A$2:$A$131,0)),0)</f>
        <v>0.1575</v>
      </c>
      <c r="J668" s="13" t="n">
        <f aca="false">IF(ISNUMBER(MATCH(E668,'NCO-2015 scores'!$A$2:$A$131,0)),IF(ISNUMBER(INDEX('NCO-2015 scores'!$C$2:$C$131,MATCH(E668,'NCO-2015 scores'!$A$2:$A$131,0))),1,0),0)</f>
        <v>1</v>
      </c>
    </row>
    <row r="669" customFormat="false" ht="15" hidden="false" customHeight="false" outlineLevel="0" collapsed="false">
      <c r="A669" s="2" t="n">
        <v>667</v>
      </c>
      <c r="B669" s="2" t="s">
        <v>2322</v>
      </c>
      <c r="C669" s="2" t="s">
        <v>2323</v>
      </c>
      <c r="D669" s="2" t="s">
        <v>2324</v>
      </c>
      <c r="E669" s="2" t="str">
        <f aca="false">LEFT(C669,3)</f>
        <v>834</v>
      </c>
      <c r="F669" s="2" t="str">
        <f aca="false">IF(D669="","",LEFT(D669,3))</f>
        <v>833</v>
      </c>
      <c r="G669" s="2" t="str">
        <f aca="false">IF(F669="","",IF(E669=F669,"Yes","No"))</f>
        <v>No</v>
      </c>
      <c r="H669" s="2" t="n">
        <f aca="false">IF(D669="",0,1/COUNTIF($D$2:$D$3451,D669))</f>
        <v>1</v>
      </c>
      <c r="I669" s="13" t="n">
        <f aca="false">IFERROR(INDEX('NCO-2015 scores'!$C$2:$C$131,MATCH(E669,'NCO-2015 scores'!$A$2:$A$131,0)),0)</f>
        <v>0.1575</v>
      </c>
      <c r="J669" s="13" t="n">
        <f aca="false">IF(ISNUMBER(MATCH(E669,'NCO-2015 scores'!$A$2:$A$131,0)),IF(ISNUMBER(INDEX('NCO-2015 scores'!$C$2:$C$131,MATCH(E669,'NCO-2015 scores'!$A$2:$A$131,0))),1,0),0)</f>
        <v>1</v>
      </c>
    </row>
    <row r="670" customFormat="false" ht="15" hidden="false" customHeight="false" outlineLevel="0" collapsed="false">
      <c r="A670" s="2" t="n">
        <v>668</v>
      </c>
      <c r="B670" s="2" t="s">
        <v>2325</v>
      </c>
      <c r="C670" s="2" t="s">
        <v>2326</v>
      </c>
      <c r="D670" s="2" t="s">
        <v>2327</v>
      </c>
      <c r="E670" s="2" t="str">
        <f aca="false">LEFT(C670,3)</f>
        <v>834</v>
      </c>
      <c r="F670" s="2" t="str">
        <f aca="false">IF(D670="","",LEFT(D670,3))</f>
        <v>833</v>
      </c>
      <c r="G670" s="2" t="str">
        <f aca="false">IF(F670="","",IF(E670=F670,"Yes","No"))</f>
        <v>No</v>
      </c>
      <c r="H670" s="2" t="n">
        <f aca="false">IF(D670="",0,1/COUNTIF($D$2:$D$3451,D670))</f>
        <v>1</v>
      </c>
      <c r="I670" s="13" t="n">
        <f aca="false">IFERROR(INDEX('NCO-2015 scores'!$C$2:$C$131,MATCH(E670,'NCO-2015 scores'!$A$2:$A$131,0)),0)</f>
        <v>0.1575</v>
      </c>
      <c r="J670" s="13" t="n">
        <f aca="false">IF(ISNUMBER(MATCH(E670,'NCO-2015 scores'!$A$2:$A$131,0)),IF(ISNUMBER(INDEX('NCO-2015 scores'!$C$2:$C$131,MATCH(E670,'NCO-2015 scores'!$A$2:$A$131,0))),1,0),0)</f>
        <v>1</v>
      </c>
    </row>
    <row r="671" customFormat="false" ht="15" hidden="false" customHeight="false" outlineLevel="0" collapsed="false">
      <c r="A671" s="2" t="n">
        <v>669</v>
      </c>
      <c r="B671" s="2" t="s">
        <v>2328</v>
      </c>
      <c r="C671" s="2" t="s">
        <v>2329</v>
      </c>
      <c r="D671" s="2" t="s">
        <v>2330</v>
      </c>
      <c r="E671" s="2" t="str">
        <f aca="false">LEFT(C671,3)</f>
        <v>834</v>
      </c>
      <c r="F671" s="2" t="str">
        <f aca="false">IF(D671="","",LEFT(D671,3))</f>
        <v>833</v>
      </c>
      <c r="G671" s="2" t="str">
        <f aca="false">IF(F671="","",IF(E671=F671,"Yes","No"))</f>
        <v>No</v>
      </c>
      <c r="H671" s="2" t="n">
        <f aca="false">IF(D671="",0,1/COUNTIF($D$2:$D$3451,D671))</f>
        <v>1</v>
      </c>
      <c r="I671" s="13" t="n">
        <f aca="false">IFERROR(INDEX('NCO-2015 scores'!$C$2:$C$131,MATCH(E671,'NCO-2015 scores'!$A$2:$A$131,0)),0)</f>
        <v>0.1575</v>
      </c>
      <c r="J671" s="13" t="n">
        <f aca="false">IF(ISNUMBER(MATCH(E671,'NCO-2015 scores'!$A$2:$A$131,0)),IF(ISNUMBER(INDEX('NCO-2015 scores'!$C$2:$C$131,MATCH(E671,'NCO-2015 scores'!$A$2:$A$131,0))),1,0),0)</f>
        <v>1</v>
      </c>
    </row>
    <row r="672" customFormat="false" ht="15" hidden="false" customHeight="false" outlineLevel="0" collapsed="false">
      <c r="A672" s="2" t="n">
        <v>670</v>
      </c>
      <c r="B672" s="2" t="s">
        <v>2331</v>
      </c>
      <c r="C672" s="2" t="s">
        <v>2332</v>
      </c>
      <c r="D672" s="2" t="s">
        <v>2333</v>
      </c>
      <c r="E672" s="2" t="str">
        <f aca="false">LEFT(C672,3)</f>
        <v>834</v>
      </c>
      <c r="F672" s="2" t="str">
        <f aca="false">IF(D672="","",LEFT(D672,3))</f>
        <v>833</v>
      </c>
      <c r="G672" s="2" t="str">
        <f aca="false">IF(F672="","",IF(E672=F672,"Yes","No"))</f>
        <v>No</v>
      </c>
      <c r="H672" s="2" t="n">
        <f aca="false">IF(D672="",0,1/COUNTIF($D$2:$D$3451,D672))</f>
        <v>1</v>
      </c>
      <c r="I672" s="13" t="n">
        <f aca="false">IFERROR(INDEX('NCO-2015 scores'!$C$2:$C$131,MATCH(E672,'NCO-2015 scores'!$A$2:$A$131,0)),0)</f>
        <v>0.1575</v>
      </c>
      <c r="J672" s="13" t="n">
        <f aca="false">IF(ISNUMBER(MATCH(E672,'NCO-2015 scores'!$A$2:$A$131,0)),IF(ISNUMBER(INDEX('NCO-2015 scores'!$C$2:$C$131,MATCH(E672,'NCO-2015 scores'!$A$2:$A$131,0))),1,0),0)</f>
        <v>1</v>
      </c>
    </row>
    <row r="673" customFormat="false" ht="15" hidden="false" customHeight="false" outlineLevel="0" collapsed="false">
      <c r="A673" s="2" t="n">
        <v>671</v>
      </c>
      <c r="B673" s="2" t="s">
        <v>2334</v>
      </c>
      <c r="C673" s="2" t="s">
        <v>2335</v>
      </c>
      <c r="D673" s="2" t="s">
        <v>2336</v>
      </c>
      <c r="E673" s="2" t="str">
        <f aca="false">LEFT(C673,3)</f>
        <v>834</v>
      </c>
      <c r="F673" s="2" t="str">
        <f aca="false">IF(D673="","",LEFT(D673,3))</f>
        <v>833</v>
      </c>
      <c r="G673" s="2" t="str">
        <f aca="false">IF(F673="","",IF(E673=F673,"Yes","No"))</f>
        <v>No</v>
      </c>
      <c r="H673" s="2" t="n">
        <f aca="false">IF(D673="",0,1/COUNTIF($D$2:$D$3451,D673))</f>
        <v>1</v>
      </c>
      <c r="I673" s="13" t="n">
        <f aca="false">IFERROR(INDEX('NCO-2015 scores'!$C$2:$C$131,MATCH(E673,'NCO-2015 scores'!$A$2:$A$131,0)),0)</f>
        <v>0.1575</v>
      </c>
      <c r="J673" s="13" t="n">
        <f aca="false">IF(ISNUMBER(MATCH(E673,'NCO-2015 scores'!$A$2:$A$131,0)),IF(ISNUMBER(INDEX('NCO-2015 scores'!$C$2:$C$131,MATCH(E673,'NCO-2015 scores'!$A$2:$A$131,0))),1,0),0)</f>
        <v>1</v>
      </c>
    </row>
    <row r="674" customFormat="false" ht="15" hidden="false" customHeight="false" outlineLevel="0" collapsed="false">
      <c r="A674" s="2" t="n">
        <v>672</v>
      </c>
      <c r="B674" s="2" t="s">
        <v>2337</v>
      </c>
      <c r="C674" s="2" t="s">
        <v>2338</v>
      </c>
      <c r="D674" s="2" t="s">
        <v>2339</v>
      </c>
      <c r="E674" s="2" t="str">
        <f aca="false">LEFT(C674,3)</f>
        <v>834</v>
      </c>
      <c r="F674" s="2" t="str">
        <f aca="false">IF(D674="","",LEFT(D674,3))</f>
        <v>833</v>
      </c>
      <c r="G674" s="2" t="str">
        <f aca="false">IF(F674="","",IF(E674=F674,"Yes","No"))</f>
        <v>No</v>
      </c>
      <c r="H674" s="2" t="n">
        <f aca="false">IF(D674="",0,1/COUNTIF($D$2:$D$3451,D674))</f>
        <v>1</v>
      </c>
      <c r="I674" s="13" t="n">
        <f aca="false">IFERROR(INDEX('NCO-2015 scores'!$C$2:$C$131,MATCH(E674,'NCO-2015 scores'!$A$2:$A$131,0)),0)</f>
        <v>0.1575</v>
      </c>
      <c r="J674" s="13" t="n">
        <f aca="false">IF(ISNUMBER(MATCH(E674,'NCO-2015 scores'!$A$2:$A$131,0)),IF(ISNUMBER(INDEX('NCO-2015 scores'!$C$2:$C$131,MATCH(E674,'NCO-2015 scores'!$A$2:$A$131,0))),1,0),0)</f>
        <v>1</v>
      </c>
    </row>
    <row r="675" customFormat="false" ht="15" hidden="false" customHeight="false" outlineLevel="0" collapsed="false">
      <c r="A675" s="2" t="n">
        <v>673</v>
      </c>
      <c r="B675" s="2" t="s">
        <v>2340</v>
      </c>
      <c r="C675" s="2" t="s">
        <v>2341</v>
      </c>
      <c r="D675" s="2" t="s">
        <v>2342</v>
      </c>
      <c r="E675" s="2" t="str">
        <f aca="false">LEFT(C675,3)</f>
        <v>834</v>
      </c>
      <c r="F675" s="2" t="str">
        <f aca="false">IF(D675="","",LEFT(D675,3))</f>
        <v>833</v>
      </c>
      <c r="G675" s="2" t="str">
        <f aca="false">IF(F675="","",IF(E675=F675,"Yes","No"))</f>
        <v>No</v>
      </c>
      <c r="H675" s="2" t="n">
        <f aca="false">IF(D675="",0,1/COUNTIF($D$2:$D$3451,D675))</f>
        <v>1</v>
      </c>
      <c r="I675" s="13" t="n">
        <f aca="false">IFERROR(INDEX('NCO-2015 scores'!$C$2:$C$131,MATCH(E675,'NCO-2015 scores'!$A$2:$A$131,0)),0)</f>
        <v>0.1575</v>
      </c>
      <c r="J675" s="13" t="n">
        <f aca="false">IF(ISNUMBER(MATCH(E675,'NCO-2015 scores'!$A$2:$A$131,0)),IF(ISNUMBER(INDEX('NCO-2015 scores'!$C$2:$C$131,MATCH(E675,'NCO-2015 scores'!$A$2:$A$131,0))),1,0),0)</f>
        <v>1</v>
      </c>
    </row>
    <row r="676" customFormat="false" ht="15" hidden="false" customHeight="false" outlineLevel="0" collapsed="false">
      <c r="A676" s="2" t="n">
        <v>674</v>
      </c>
      <c r="B676" s="2" t="s">
        <v>2343</v>
      </c>
      <c r="C676" s="2" t="s">
        <v>2344</v>
      </c>
      <c r="D676" s="2" t="s">
        <v>2345</v>
      </c>
      <c r="E676" s="2" t="str">
        <f aca="false">LEFT(C676,3)</f>
        <v>834</v>
      </c>
      <c r="F676" s="2" t="str">
        <f aca="false">IF(D676="","",LEFT(D676,3))</f>
        <v>833</v>
      </c>
      <c r="G676" s="2" t="str">
        <f aca="false">IF(F676="","",IF(E676=F676,"Yes","No"))</f>
        <v>No</v>
      </c>
      <c r="H676" s="2" t="n">
        <f aca="false">IF(D676="",0,1/COUNTIF($D$2:$D$3451,D676))</f>
        <v>1</v>
      </c>
      <c r="I676" s="13" t="n">
        <f aca="false">IFERROR(INDEX('NCO-2015 scores'!$C$2:$C$131,MATCH(E676,'NCO-2015 scores'!$A$2:$A$131,0)),0)</f>
        <v>0.1575</v>
      </c>
      <c r="J676" s="13" t="n">
        <f aca="false">IF(ISNUMBER(MATCH(E676,'NCO-2015 scores'!$A$2:$A$131,0)),IF(ISNUMBER(INDEX('NCO-2015 scores'!$C$2:$C$131,MATCH(E676,'NCO-2015 scores'!$A$2:$A$131,0))),1,0),0)</f>
        <v>1</v>
      </c>
    </row>
    <row r="677" customFormat="false" ht="15" hidden="false" customHeight="false" outlineLevel="0" collapsed="false">
      <c r="A677" s="2" t="n">
        <v>675</v>
      </c>
      <c r="B677" s="2" t="s">
        <v>2346</v>
      </c>
      <c r="C677" s="2" t="s">
        <v>2347</v>
      </c>
      <c r="D677" s="2" t="s">
        <v>2348</v>
      </c>
      <c r="E677" s="2" t="str">
        <f aca="false">LEFT(C677,3)</f>
        <v>834</v>
      </c>
      <c r="F677" s="2" t="str">
        <f aca="false">IF(D677="","",LEFT(D677,3))</f>
        <v>833</v>
      </c>
      <c r="G677" s="2" t="str">
        <f aca="false">IF(F677="","",IF(E677=F677,"Yes","No"))</f>
        <v>No</v>
      </c>
      <c r="H677" s="2" t="n">
        <f aca="false">IF(D677="",0,1/COUNTIF($D$2:$D$3451,D677))</f>
        <v>1</v>
      </c>
      <c r="I677" s="13" t="n">
        <f aca="false">IFERROR(INDEX('NCO-2015 scores'!$C$2:$C$131,MATCH(E677,'NCO-2015 scores'!$A$2:$A$131,0)),0)</f>
        <v>0.1575</v>
      </c>
      <c r="J677" s="13" t="n">
        <f aca="false">IF(ISNUMBER(MATCH(E677,'NCO-2015 scores'!$A$2:$A$131,0)),IF(ISNUMBER(INDEX('NCO-2015 scores'!$C$2:$C$131,MATCH(E677,'NCO-2015 scores'!$A$2:$A$131,0))),1,0),0)</f>
        <v>1</v>
      </c>
    </row>
    <row r="678" customFormat="false" ht="15" hidden="false" customHeight="false" outlineLevel="0" collapsed="false">
      <c r="A678" s="2" t="n">
        <v>676</v>
      </c>
      <c r="B678" s="2" t="s">
        <v>2349</v>
      </c>
      <c r="C678" s="2" t="s">
        <v>2350</v>
      </c>
      <c r="D678" s="2" t="s">
        <v>2351</v>
      </c>
      <c r="E678" s="2" t="str">
        <f aca="false">LEFT(C678,3)</f>
        <v>834</v>
      </c>
      <c r="F678" s="2" t="str">
        <f aca="false">IF(D678="","",LEFT(D678,3))</f>
        <v>833</v>
      </c>
      <c r="G678" s="2" t="str">
        <f aca="false">IF(F678="","",IF(E678=F678,"Yes","No"))</f>
        <v>No</v>
      </c>
      <c r="H678" s="2" t="n">
        <f aca="false">IF(D678="",0,1/COUNTIF($D$2:$D$3451,D678))</f>
        <v>1</v>
      </c>
      <c r="I678" s="13" t="n">
        <f aca="false">IFERROR(INDEX('NCO-2015 scores'!$C$2:$C$131,MATCH(E678,'NCO-2015 scores'!$A$2:$A$131,0)),0)</f>
        <v>0.1575</v>
      </c>
      <c r="J678" s="13" t="n">
        <f aca="false">IF(ISNUMBER(MATCH(E678,'NCO-2015 scores'!$A$2:$A$131,0)),IF(ISNUMBER(INDEX('NCO-2015 scores'!$C$2:$C$131,MATCH(E678,'NCO-2015 scores'!$A$2:$A$131,0))),1,0),0)</f>
        <v>1</v>
      </c>
    </row>
    <row r="679" customFormat="false" ht="15" hidden="false" customHeight="false" outlineLevel="0" collapsed="false">
      <c r="A679" s="2" t="n">
        <v>677</v>
      </c>
      <c r="B679" s="2" t="s">
        <v>2352</v>
      </c>
      <c r="C679" s="2" t="s">
        <v>2353</v>
      </c>
      <c r="D679" s="2" t="s">
        <v>2354</v>
      </c>
      <c r="E679" s="2" t="str">
        <f aca="false">LEFT(C679,3)</f>
        <v>834</v>
      </c>
      <c r="F679" s="2" t="str">
        <f aca="false">IF(D679="","",LEFT(D679,3))</f>
        <v>833</v>
      </c>
      <c r="G679" s="2" t="str">
        <f aca="false">IF(F679="","",IF(E679=F679,"Yes","No"))</f>
        <v>No</v>
      </c>
      <c r="H679" s="2" t="n">
        <f aca="false">IF(D679="",0,1/COUNTIF($D$2:$D$3451,D679))</f>
        <v>1</v>
      </c>
      <c r="I679" s="13" t="n">
        <f aca="false">IFERROR(INDEX('NCO-2015 scores'!$C$2:$C$131,MATCH(E679,'NCO-2015 scores'!$A$2:$A$131,0)),0)</f>
        <v>0.1575</v>
      </c>
      <c r="J679" s="13" t="n">
        <f aca="false">IF(ISNUMBER(MATCH(E679,'NCO-2015 scores'!$A$2:$A$131,0)),IF(ISNUMBER(INDEX('NCO-2015 scores'!$C$2:$C$131,MATCH(E679,'NCO-2015 scores'!$A$2:$A$131,0))),1,0),0)</f>
        <v>1</v>
      </c>
    </row>
    <row r="680" customFormat="false" ht="15" hidden="false" customHeight="false" outlineLevel="0" collapsed="false">
      <c r="A680" s="2" t="n">
        <v>678</v>
      </c>
      <c r="B680" s="2" t="s">
        <v>2355</v>
      </c>
      <c r="C680" s="2" t="s">
        <v>2356</v>
      </c>
      <c r="D680" s="2" t="s">
        <v>2357</v>
      </c>
      <c r="E680" s="2" t="str">
        <f aca="false">LEFT(C680,3)</f>
        <v>265</v>
      </c>
      <c r="F680" s="2" t="str">
        <f aca="false">IF(D680="","",LEFT(D680,3))</f>
        <v>347</v>
      </c>
      <c r="G680" s="2" t="str">
        <f aca="false">IF(F680="","",IF(E680=F680,"Yes","No"))</f>
        <v>No</v>
      </c>
      <c r="H680" s="2" t="n">
        <f aca="false">IF(D680="",0,1/COUNTIF($D$2:$D$3451,D680))</f>
        <v>1</v>
      </c>
      <c r="I680" s="13" t="n">
        <f aca="false">IFERROR(INDEX('NCO-2015 scores'!$C$2:$C$131,MATCH(E680,'NCO-2015 scores'!$A$2:$A$131,0)),0)</f>
        <v>0.28</v>
      </c>
      <c r="J680" s="13" t="n">
        <f aca="false">IF(ISNUMBER(MATCH(E680,'NCO-2015 scores'!$A$2:$A$131,0)),IF(ISNUMBER(INDEX('NCO-2015 scores'!$C$2:$C$131,MATCH(E680,'NCO-2015 scores'!$A$2:$A$131,0))),1,0),0)</f>
        <v>1</v>
      </c>
    </row>
    <row r="681" customFormat="false" ht="15" hidden="false" customHeight="false" outlineLevel="0" collapsed="false">
      <c r="A681" s="2" t="n">
        <v>679</v>
      </c>
      <c r="B681" s="2" t="s">
        <v>2358</v>
      </c>
      <c r="C681" s="2" t="s">
        <v>2359</v>
      </c>
      <c r="D681" s="2" t="s">
        <v>2360</v>
      </c>
      <c r="E681" s="2" t="str">
        <f aca="false">LEFT(C681,3)</f>
        <v>265</v>
      </c>
      <c r="F681" s="2" t="str">
        <f aca="false">IF(D681="","",LEFT(D681,3))</f>
        <v>347</v>
      </c>
      <c r="G681" s="2" t="str">
        <f aca="false">IF(F681="","",IF(E681=F681,"Yes","No"))</f>
        <v>No</v>
      </c>
      <c r="H681" s="2" t="n">
        <f aca="false">IF(D681="",0,1/COUNTIF($D$2:$D$3451,D681))</f>
        <v>1</v>
      </c>
      <c r="I681" s="13" t="n">
        <f aca="false">IFERROR(INDEX('NCO-2015 scores'!$C$2:$C$131,MATCH(E681,'NCO-2015 scores'!$A$2:$A$131,0)),0)</f>
        <v>0.28</v>
      </c>
      <c r="J681" s="13" t="n">
        <f aca="false">IF(ISNUMBER(MATCH(E681,'NCO-2015 scores'!$A$2:$A$131,0)),IF(ISNUMBER(INDEX('NCO-2015 scores'!$C$2:$C$131,MATCH(E681,'NCO-2015 scores'!$A$2:$A$131,0))),1,0),0)</f>
        <v>1</v>
      </c>
    </row>
    <row r="682" customFormat="false" ht="15" hidden="false" customHeight="false" outlineLevel="0" collapsed="false">
      <c r="A682" s="2" t="n">
        <v>680</v>
      </c>
      <c r="B682" s="2" t="s">
        <v>2361</v>
      </c>
      <c r="C682" s="2" t="s">
        <v>2362</v>
      </c>
      <c r="D682" s="2" t="s">
        <v>2363</v>
      </c>
      <c r="E682" s="2" t="str">
        <f aca="false">LEFT(C682,3)</f>
        <v>265</v>
      </c>
      <c r="F682" s="2" t="str">
        <f aca="false">IF(D682="","",LEFT(D682,3))</f>
        <v>347</v>
      </c>
      <c r="G682" s="2" t="str">
        <f aca="false">IF(F682="","",IF(E682=F682,"Yes","No"))</f>
        <v>No</v>
      </c>
      <c r="H682" s="2" t="n">
        <f aca="false">IF(D682="",0,1/COUNTIF($D$2:$D$3451,D682))</f>
        <v>1</v>
      </c>
      <c r="I682" s="13" t="n">
        <f aca="false">IFERROR(INDEX('NCO-2015 scores'!$C$2:$C$131,MATCH(E682,'NCO-2015 scores'!$A$2:$A$131,0)),0)</f>
        <v>0.28</v>
      </c>
      <c r="J682" s="13" t="n">
        <f aca="false">IF(ISNUMBER(MATCH(E682,'NCO-2015 scores'!$A$2:$A$131,0)),IF(ISNUMBER(INDEX('NCO-2015 scores'!$C$2:$C$131,MATCH(E682,'NCO-2015 scores'!$A$2:$A$131,0))),1,0),0)</f>
        <v>1</v>
      </c>
    </row>
    <row r="683" customFormat="false" ht="15" hidden="false" customHeight="false" outlineLevel="0" collapsed="false">
      <c r="A683" s="2" t="n">
        <v>681</v>
      </c>
      <c r="B683" s="2" t="s">
        <v>2364</v>
      </c>
      <c r="C683" s="2" t="s">
        <v>2365</v>
      </c>
      <c r="D683" s="2" t="s">
        <v>2366</v>
      </c>
      <c r="E683" s="2" t="str">
        <f aca="false">LEFT(C683,3)</f>
        <v>265</v>
      </c>
      <c r="F683" s="2" t="str">
        <f aca="false">IF(D683="","",LEFT(D683,3))</f>
        <v>347</v>
      </c>
      <c r="G683" s="2" t="str">
        <f aca="false">IF(F683="","",IF(E683=F683,"Yes","No"))</f>
        <v>No</v>
      </c>
      <c r="H683" s="2" t="n">
        <f aca="false">IF(D683="",0,1/COUNTIF($D$2:$D$3451,D683))</f>
        <v>1</v>
      </c>
      <c r="I683" s="13" t="n">
        <f aca="false">IFERROR(INDEX('NCO-2015 scores'!$C$2:$C$131,MATCH(E683,'NCO-2015 scores'!$A$2:$A$131,0)),0)</f>
        <v>0.28</v>
      </c>
      <c r="J683" s="13" t="n">
        <f aca="false">IF(ISNUMBER(MATCH(E683,'NCO-2015 scores'!$A$2:$A$131,0)),IF(ISNUMBER(INDEX('NCO-2015 scores'!$C$2:$C$131,MATCH(E683,'NCO-2015 scores'!$A$2:$A$131,0))),1,0),0)</f>
        <v>1</v>
      </c>
    </row>
    <row r="684" customFormat="false" ht="15" hidden="false" customHeight="false" outlineLevel="0" collapsed="false">
      <c r="A684" s="2" t="n">
        <v>682</v>
      </c>
      <c r="B684" s="2" t="s">
        <v>2367</v>
      </c>
      <c r="C684" s="2" t="s">
        <v>2368</v>
      </c>
      <c r="D684" s="2" t="s">
        <v>2369</v>
      </c>
      <c r="E684" s="2" t="str">
        <f aca="false">LEFT(C684,3)</f>
        <v>265</v>
      </c>
      <c r="F684" s="2" t="str">
        <f aca="false">IF(D684="","",LEFT(D684,3))</f>
        <v>347</v>
      </c>
      <c r="G684" s="2" t="str">
        <f aca="false">IF(F684="","",IF(E684=F684,"Yes","No"))</f>
        <v>No</v>
      </c>
      <c r="H684" s="2" t="n">
        <f aca="false">IF(D684="",0,1/COUNTIF($D$2:$D$3451,D684))</f>
        <v>1</v>
      </c>
      <c r="I684" s="13" t="n">
        <f aca="false">IFERROR(INDEX('NCO-2015 scores'!$C$2:$C$131,MATCH(E684,'NCO-2015 scores'!$A$2:$A$131,0)),0)</f>
        <v>0.28</v>
      </c>
      <c r="J684" s="13" t="n">
        <f aca="false">IF(ISNUMBER(MATCH(E684,'NCO-2015 scores'!$A$2:$A$131,0)),IF(ISNUMBER(INDEX('NCO-2015 scores'!$C$2:$C$131,MATCH(E684,'NCO-2015 scores'!$A$2:$A$131,0))),1,0),0)</f>
        <v>1</v>
      </c>
    </row>
    <row r="685" customFormat="false" ht="15" hidden="false" customHeight="false" outlineLevel="0" collapsed="false">
      <c r="A685" s="2" t="n">
        <v>683</v>
      </c>
      <c r="B685" s="2" t="s">
        <v>2370</v>
      </c>
      <c r="C685" s="2" t="s">
        <v>2371</v>
      </c>
      <c r="D685" s="2" t="s">
        <v>2372</v>
      </c>
      <c r="E685" s="2" t="str">
        <f aca="false">LEFT(C685,3)</f>
        <v>265</v>
      </c>
      <c r="F685" s="2" t="str">
        <f aca="false">IF(D685="","",LEFT(D685,3))</f>
        <v>347</v>
      </c>
      <c r="G685" s="2" t="str">
        <f aca="false">IF(F685="","",IF(E685=F685,"Yes","No"))</f>
        <v>No</v>
      </c>
      <c r="H685" s="2" t="n">
        <f aca="false">IF(D685="",0,1/COUNTIF($D$2:$D$3451,D685))</f>
        <v>1</v>
      </c>
      <c r="I685" s="13" t="n">
        <f aca="false">IFERROR(INDEX('NCO-2015 scores'!$C$2:$C$131,MATCH(E685,'NCO-2015 scores'!$A$2:$A$131,0)),0)</f>
        <v>0.28</v>
      </c>
      <c r="J685" s="13" t="n">
        <f aca="false">IF(ISNUMBER(MATCH(E685,'NCO-2015 scores'!$A$2:$A$131,0)),IF(ISNUMBER(INDEX('NCO-2015 scores'!$C$2:$C$131,MATCH(E685,'NCO-2015 scores'!$A$2:$A$131,0))),1,0),0)</f>
        <v>1</v>
      </c>
    </row>
    <row r="686" customFormat="false" ht="15" hidden="false" customHeight="false" outlineLevel="0" collapsed="false">
      <c r="A686" s="2" t="n">
        <v>684</v>
      </c>
      <c r="B686" s="2" t="s">
        <v>2373</v>
      </c>
      <c r="C686" s="2" t="s">
        <v>2374</v>
      </c>
      <c r="D686" s="2" t="s">
        <v>2375</v>
      </c>
      <c r="E686" s="2" t="str">
        <f aca="false">LEFT(C686,3)</f>
        <v>265</v>
      </c>
      <c r="F686" s="2" t="str">
        <f aca="false">IF(D686="","",LEFT(D686,3))</f>
        <v>347</v>
      </c>
      <c r="G686" s="2" t="str">
        <f aca="false">IF(F686="","",IF(E686=F686,"Yes","No"))</f>
        <v>No</v>
      </c>
      <c r="H686" s="2" t="n">
        <f aca="false">IF(D686="",0,1/COUNTIF($D$2:$D$3451,D686))</f>
        <v>1</v>
      </c>
      <c r="I686" s="13" t="n">
        <f aca="false">IFERROR(INDEX('NCO-2015 scores'!$C$2:$C$131,MATCH(E686,'NCO-2015 scores'!$A$2:$A$131,0)),0)</f>
        <v>0.28</v>
      </c>
      <c r="J686" s="13" t="n">
        <f aca="false">IF(ISNUMBER(MATCH(E686,'NCO-2015 scores'!$A$2:$A$131,0)),IF(ISNUMBER(INDEX('NCO-2015 scores'!$C$2:$C$131,MATCH(E686,'NCO-2015 scores'!$A$2:$A$131,0))),1,0),0)</f>
        <v>1</v>
      </c>
    </row>
    <row r="687" customFormat="false" ht="15" hidden="false" customHeight="false" outlineLevel="0" collapsed="false">
      <c r="A687" s="2" t="n">
        <v>685</v>
      </c>
      <c r="B687" s="2" t="s">
        <v>2376</v>
      </c>
      <c r="C687" s="2" t="s">
        <v>2377</v>
      </c>
      <c r="D687" s="2" t="s">
        <v>2378</v>
      </c>
      <c r="E687" s="2" t="str">
        <f aca="false">LEFT(C687,3)</f>
        <v>265</v>
      </c>
      <c r="F687" s="2" t="str">
        <f aca="false">IF(D687="","",LEFT(D687,3))</f>
        <v>347</v>
      </c>
      <c r="G687" s="2" t="str">
        <f aca="false">IF(F687="","",IF(E687=F687,"Yes","No"))</f>
        <v>No</v>
      </c>
      <c r="H687" s="2" t="n">
        <f aca="false">IF(D687="",0,1/COUNTIF($D$2:$D$3451,D687))</f>
        <v>1</v>
      </c>
      <c r="I687" s="13" t="n">
        <f aca="false">IFERROR(INDEX('NCO-2015 scores'!$C$2:$C$131,MATCH(E687,'NCO-2015 scores'!$A$2:$A$131,0)),0)</f>
        <v>0.28</v>
      </c>
      <c r="J687" s="13" t="n">
        <f aca="false">IF(ISNUMBER(MATCH(E687,'NCO-2015 scores'!$A$2:$A$131,0)),IF(ISNUMBER(INDEX('NCO-2015 scores'!$C$2:$C$131,MATCH(E687,'NCO-2015 scores'!$A$2:$A$131,0))),1,0),0)</f>
        <v>1</v>
      </c>
    </row>
    <row r="688" customFormat="false" ht="15" hidden="false" customHeight="false" outlineLevel="0" collapsed="false">
      <c r="A688" s="2" t="n">
        <v>686</v>
      </c>
      <c r="B688" s="2" t="s">
        <v>2379</v>
      </c>
      <c r="C688" s="2" t="s">
        <v>2380</v>
      </c>
      <c r="D688" s="2" t="s">
        <v>2381</v>
      </c>
      <c r="E688" s="2" t="str">
        <f aca="false">LEFT(C688,3)</f>
        <v>265</v>
      </c>
      <c r="F688" s="2" t="str">
        <f aca="false">IF(D688="","",LEFT(D688,3))</f>
        <v>347</v>
      </c>
      <c r="G688" s="2" t="str">
        <f aca="false">IF(F688="","",IF(E688=F688,"Yes","No"))</f>
        <v>No</v>
      </c>
      <c r="H688" s="2" t="n">
        <f aca="false">IF(D688="",0,1/COUNTIF($D$2:$D$3451,D688))</f>
        <v>1</v>
      </c>
      <c r="I688" s="13" t="n">
        <f aca="false">IFERROR(INDEX('NCO-2015 scores'!$C$2:$C$131,MATCH(E688,'NCO-2015 scores'!$A$2:$A$131,0)),0)</f>
        <v>0.28</v>
      </c>
      <c r="J688" s="13" t="n">
        <f aca="false">IF(ISNUMBER(MATCH(E688,'NCO-2015 scores'!$A$2:$A$131,0)),IF(ISNUMBER(INDEX('NCO-2015 scores'!$C$2:$C$131,MATCH(E688,'NCO-2015 scores'!$A$2:$A$131,0))),1,0),0)</f>
        <v>1</v>
      </c>
    </row>
    <row r="689" customFormat="false" ht="15" hidden="false" customHeight="false" outlineLevel="0" collapsed="false">
      <c r="A689" s="2" t="n">
        <v>687</v>
      </c>
      <c r="B689" s="2" t="s">
        <v>2382</v>
      </c>
      <c r="C689" s="2" t="s">
        <v>2383</v>
      </c>
      <c r="D689" s="2" t="s">
        <v>2384</v>
      </c>
      <c r="E689" s="2" t="str">
        <f aca="false">LEFT(C689,3)</f>
        <v>265</v>
      </c>
      <c r="F689" s="2" t="str">
        <f aca="false">IF(D689="","",LEFT(D689,3))</f>
        <v>347</v>
      </c>
      <c r="G689" s="2" t="str">
        <f aca="false">IF(F689="","",IF(E689=F689,"Yes","No"))</f>
        <v>No</v>
      </c>
      <c r="H689" s="2" t="n">
        <f aca="false">IF(D689="",0,1/COUNTIF($D$2:$D$3451,D689))</f>
        <v>1</v>
      </c>
      <c r="I689" s="13" t="n">
        <f aca="false">IFERROR(INDEX('NCO-2015 scores'!$C$2:$C$131,MATCH(E689,'NCO-2015 scores'!$A$2:$A$131,0)),0)</f>
        <v>0.28</v>
      </c>
      <c r="J689" s="13" t="n">
        <f aca="false">IF(ISNUMBER(MATCH(E689,'NCO-2015 scores'!$A$2:$A$131,0)),IF(ISNUMBER(INDEX('NCO-2015 scores'!$C$2:$C$131,MATCH(E689,'NCO-2015 scores'!$A$2:$A$131,0))),1,0),0)</f>
        <v>1</v>
      </c>
    </row>
    <row r="690" customFormat="false" ht="15" hidden="false" customHeight="false" outlineLevel="0" collapsed="false">
      <c r="A690" s="2" t="n">
        <v>688</v>
      </c>
      <c r="B690" s="2" t="s">
        <v>2385</v>
      </c>
      <c r="C690" s="2" t="s">
        <v>2386</v>
      </c>
      <c r="D690" s="2" t="s">
        <v>2387</v>
      </c>
      <c r="E690" s="2" t="str">
        <f aca="false">LEFT(C690,3)</f>
        <v>265</v>
      </c>
      <c r="F690" s="2" t="str">
        <f aca="false">IF(D690="","",LEFT(D690,3))</f>
        <v>347</v>
      </c>
      <c r="G690" s="2" t="str">
        <f aca="false">IF(F690="","",IF(E690=F690,"Yes","No"))</f>
        <v>No</v>
      </c>
      <c r="H690" s="2" t="n">
        <f aca="false">IF(D690="",0,1/COUNTIF($D$2:$D$3451,D690))</f>
        <v>1</v>
      </c>
      <c r="I690" s="13" t="n">
        <f aca="false">IFERROR(INDEX('NCO-2015 scores'!$C$2:$C$131,MATCH(E690,'NCO-2015 scores'!$A$2:$A$131,0)),0)</f>
        <v>0.28</v>
      </c>
      <c r="J690" s="13" t="n">
        <f aca="false">IF(ISNUMBER(MATCH(E690,'NCO-2015 scores'!$A$2:$A$131,0)),IF(ISNUMBER(INDEX('NCO-2015 scores'!$C$2:$C$131,MATCH(E690,'NCO-2015 scores'!$A$2:$A$131,0))),1,0),0)</f>
        <v>1</v>
      </c>
    </row>
    <row r="691" customFormat="false" ht="15" hidden="false" customHeight="false" outlineLevel="0" collapsed="false">
      <c r="A691" s="2" t="n">
        <v>689</v>
      </c>
      <c r="B691" s="2" t="s">
        <v>2388</v>
      </c>
      <c r="C691" s="2" t="s">
        <v>2389</v>
      </c>
      <c r="D691" s="2" t="s">
        <v>2390</v>
      </c>
      <c r="E691" s="2" t="str">
        <f aca="false">LEFT(C691,3)</f>
        <v>265</v>
      </c>
      <c r="F691" s="2" t="str">
        <f aca="false">IF(D691="","",LEFT(D691,3))</f>
        <v>347</v>
      </c>
      <c r="G691" s="2" t="str">
        <f aca="false">IF(F691="","",IF(E691=F691,"Yes","No"))</f>
        <v>No</v>
      </c>
      <c r="H691" s="2" t="n">
        <f aca="false">IF(D691="",0,1/COUNTIF($D$2:$D$3451,D691))</f>
        <v>1</v>
      </c>
      <c r="I691" s="13" t="n">
        <f aca="false">IFERROR(INDEX('NCO-2015 scores'!$C$2:$C$131,MATCH(E691,'NCO-2015 scores'!$A$2:$A$131,0)),0)</f>
        <v>0.28</v>
      </c>
      <c r="J691" s="13" t="n">
        <f aca="false">IF(ISNUMBER(MATCH(E691,'NCO-2015 scores'!$A$2:$A$131,0)),IF(ISNUMBER(INDEX('NCO-2015 scores'!$C$2:$C$131,MATCH(E691,'NCO-2015 scores'!$A$2:$A$131,0))),1,0),0)</f>
        <v>1</v>
      </c>
    </row>
    <row r="692" customFormat="false" ht="15" hidden="false" customHeight="false" outlineLevel="0" collapsed="false">
      <c r="A692" s="2" t="n">
        <v>690</v>
      </c>
      <c r="B692" s="2" t="s">
        <v>2391</v>
      </c>
      <c r="C692" s="2" t="s">
        <v>2392</v>
      </c>
      <c r="D692" s="2" t="s">
        <v>2393</v>
      </c>
      <c r="E692" s="2" t="str">
        <f aca="false">LEFT(C692,3)</f>
        <v>265</v>
      </c>
      <c r="F692" s="2" t="str">
        <f aca="false">IF(D692="","",LEFT(D692,3))</f>
        <v>347</v>
      </c>
      <c r="G692" s="2" t="str">
        <f aca="false">IF(F692="","",IF(E692=F692,"Yes","No"))</f>
        <v>No</v>
      </c>
      <c r="H692" s="2" t="n">
        <f aca="false">IF(D692="",0,1/COUNTIF($D$2:$D$3451,D692))</f>
        <v>1</v>
      </c>
      <c r="I692" s="13" t="n">
        <f aca="false">IFERROR(INDEX('NCO-2015 scores'!$C$2:$C$131,MATCH(E692,'NCO-2015 scores'!$A$2:$A$131,0)),0)</f>
        <v>0.28</v>
      </c>
      <c r="J692" s="13" t="n">
        <f aca="false">IF(ISNUMBER(MATCH(E692,'NCO-2015 scores'!$A$2:$A$131,0)),IF(ISNUMBER(INDEX('NCO-2015 scores'!$C$2:$C$131,MATCH(E692,'NCO-2015 scores'!$A$2:$A$131,0))),1,0),0)</f>
        <v>1</v>
      </c>
    </row>
    <row r="693" customFormat="false" ht="15" hidden="false" customHeight="false" outlineLevel="0" collapsed="false">
      <c r="A693" s="2" t="n">
        <v>691</v>
      </c>
      <c r="B693" s="2" t="s">
        <v>2394</v>
      </c>
      <c r="C693" s="2" t="s">
        <v>2395</v>
      </c>
      <c r="D693" s="2" t="s">
        <v>2396</v>
      </c>
      <c r="E693" s="2" t="str">
        <f aca="false">LEFT(C693,3)</f>
        <v>265</v>
      </c>
      <c r="F693" s="2" t="str">
        <f aca="false">IF(D693="","",LEFT(D693,3))</f>
        <v>347</v>
      </c>
      <c r="G693" s="2" t="str">
        <f aca="false">IF(F693="","",IF(E693=F693,"Yes","No"))</f>
        <v>No</v>
      </c>
      <c r="H693" s="2" t="n">
        <f aca="false">IF(D693="",0,1/COUNTIF($D$2:$D$3451,D693))</f>
        <v>1</v>
      </c>
      <c r="I693" s="13" t="n">
        <f aca="false">IFERROR(INDEX('NCO-2015 scores'!$C$2:$C$131,MATCH(E693,'NCO-2015 scores'!$A$2:$A$131,0)),0)</f>
        <v>0.28</v>
      </c>
      <c r="J693" s="13" t="n">
        <f aca="false">IF(ISNUMBER(MATCH(E693,'NCO-2015 scores'!$A$2:$A$131,0)),IF(ISNUMBER(INDEX('NCO-2015 scores'!$C$2:$C$131,MATCH(E693,'NCO-2015 scores'!$A$2:$A$131,0))),1,0),0)</f>
        <v>1</v>
      </c>
    </row>
    <row r="694" customFormat="false" ht="15" hidden="false" customHeight="false" outlineLevel="0" collapsed="false">
      <c r="A694" s="2" t="n">
        <v>692</v>
      </c>
      <c r="B694" s="2" t="s">
        <v>2397</v>
      </c>
      <c r="C694" s="2" t="s">
        <v>2398</v>
      </c>
      <c r="D694" s="2" t="s">
        <v>2399</v>
      </c>
      <c r="E694" s="2" t="str">
        <f aca="false">LEFT(C694,3)</f>
        <v>331</v>
      </c>
      <c r="F694" s="2" t="str">
        <f aca="false">IF(D694="","",LEFT(D694,3))</f>
        <v>341</v>
      </c>
      <c r="G694" s="2" t="str">
        <f aca="false">IF(F694="","",IF(E694=F694,"Yes","No"))</f>
        <v>No</v>
      </c>
      <c r="H694" s="2" t="n">
        <f aca="false">IF(D694="",0,1/COUNTIF($D$2:$D$3451,D694))</f>
        <v>1</v>
      </c>
      <c r="I694" s="13" t="n">
        <f aca="false">IFERROR(INDEX('NCO-2015 scores'!$C$2:$C$131,MATCH(E694,'NCO-2015 scores'!$A$2:$A$131,0)),0)</f>
        <v>0.548</v>
      </c>
      <c r="J694" s="13" t="n">
        <f aca="false">IF(ISNUMBER(MATCH(E694,'NCO-2015 scores'!$A$2:$A$131,0)),IF(ISNUMBER(INDEX('NCO-2015 scores'!$C$2:$C$131,MATCH(E694,'NCO-2015 scores'!$A$2:$A$131,0))),1,0),0)</f>
        <v>1</v>
      </c>
    </row>
    <row r="695" customFormat="false" ht="15" hidden="false" customHeight="false" outlineLevel="0" collapsed="false">
      <c r="A695" s="2" t="n">
        <v>693</v>
      </c>
      <c r="B695" s="2" t="s">
        <v>2400</v>
      </c>
      <c r="C695" s="2" t="s">
        <v>2401</v>
      </c>
      <c r="D695" s="2"/>
      <c r="E695" s="2" t="str">
        <f aca="false">LEFT(C695,3)</f>
        <v>331</v>
      </c>
      <c r="F695" s="2" t="str">
        <f aca="false">IF(D695="","",LEFT(D695,3))</f>
        <v/>
      </c>
      <c r="G695" s="2" t="str">
        <f aca="false">IF(F695="","",IF(E695=F695,"Yes","No"))</f>
        <v/>
      </c>
      <c r="H695" s="2" t="n">
        <f aca="false">IF(D695="",0,1/COUNTIF($D$2:$D$3451,D695))</f>
        <v>0</v>
      </c>
      <c r="I695" s="13" t="n">
        <f aca="false">IFERROR(INDEX('NCO-2015 scores'!$C$2:$C$131,MATCH(E695,'NCO-2015 scores'!$A$2:$A$131,0)),0)</f>
        <v>0.548</v>
      </c>
      <c r="J695" s="13" t="n">
        <f aca="false">IF(ISNUMBER(MATCH(E695,'NCO-2015 scores'!$A$2:$A$131,0)),IF(ISNUMBER(INDEX('NCO-2015 scores'!$C$2:$C$131,MATCH(E695,'NCO-2015 scores'!$A$2:$A$131,0))),1,0),0)</f>
        <v>1</v>
      </c>
    </row>
    <row r="696" customFormat="false" ht="15" hidden="false" customHeight="false" outlineLevel="0" collapsed="false">
      <c r="A696" s="2" t="n">
        <v>694</v>
      </c>
      <c r="B696" s="2" t="s">
        <v>2402</v>
      </c>
      <c r="C696" s="2" t="s">
        <v>2403</v>
      </c>
      <c r="D696" s="2"/>
      <c r="E696" s="2" t="str">
        <f aca="false">LEFT(C696,3)</f>
        <v>331</v>
      </c>
      <c r="F696" s="2" t="str">
        <f aca="false">IF(D696="","",LEFT(D696,3))</f>
        <v/>
      </c>
      <c r="G696" s="2" t="str">
        <f aca="false">IF(F696="","",IF(E696=F696,"Yes","No"))</f>
        <v/>
      </c>
      <c r="H696" s="2" t="n">
        <f aca="false">IF(D696="",0,1/COUNTIF($D$2:$D$3451,D696))</f>
        <v>0</v>
      </c>
      <c r="I696" s="13" t="n">
        <f aca="false">IFERROR(INDEX('NCO-2015 scores'!$C$2:$C$131,MATCH(E696,'NCO-2015 scores'!$A$2:$A$131,0)),0)</f>
        <v>0.548</v>
      </c>
      <c r="J696" s="13" t="n">
        <f aca="false">IF(ISNUMBER(MATCH(E696,'NCO-2015 scores'!$A$2:$A$131,0)),IF(ISNUMBER(INDEX('NCO-2015 scores'!$C$2:$C$131,MATCH(E696,'NCO-2015 scores'!$A$2:$A$131,0))),1,0),0)</f>
        <v>1</v>
      </c>
    </row>
    <row r="697" customFormat="false" ht="15" hidden="false" customHeight="false" outlineLevel="0" collapsed="false">
      <c r="A697" s="2" t="n">
        <v>695</v>
      </c>
      <c r="B697" s="2" t="s">
        <v>2404</v>
      </c>
      <c r="C697" s="2" t="s">
        <v>2405</v>
      </c>
      <c r="D697" s="2" t="s">
        <v>2406</v>
      </c>
      <c r="E697" s="2" t="str">
        <f aca="false">LEFT(C697,3)</f>
        <v>921</v>
      </c>
      <c r="F697" s="2" t="str">
        <f aca="false">IF(D697="","",LEFT(D697,3))</f>
        <v>920</v>
      </c>
      <c r="G697" s="2" t="str">
        <f aca="false">IF(F697="","",IF(E697=F697,"Yes","No"))</f>
        <v>No</v>
      </c>
      <c r="H697" s="2" t="n">
        <f aca="false">IF(D697="",0,1/COUNTIF($D$2:$D$3451,D697))</f>
        <v>1</v>
      </c>
      <c r="I697" s="13" t="n">
        <f aca="false">IFERROR(INDEX('NCO-2015 scores'!$C$2:$C$131,MATCH(E697,'NCO-2015 scores'!$A$2:$A$131,0)),0)</f>
        <v>0.1067</v>
      </c>
      <c r="J697" s="13" t="n">
        <f aca="false">IF(ISNUMBER(MATCH(E697,'NCO-2015 scores'!$A$2:$A$131,0)),IF(ISNUMBER(INDEX('NCO-2015 scores'!$C$2:$C$131,MATCH(E697,'NCO-2015 scores'!$A$2:$A$131,0))),1,0),0)</f>
        <v>1</v>
      </c>
    </row>
    <row r="698" customFormat="false" ht="15" hidden="false" customHeight="false" outlineLevel="0" collapsed="false">
      <c r="A698" s="2" t="n">
        <v>696</v>
      </c>
      <c r="B698" s="2" t="s">
        <v>2407</v>
      </c>
      <c r="C698" s="2" t="s">
        <v>2408</v>
      </c>
      <c r="D698" s="2" t="s">
        <v>2409</v>
      </c>
      <c r="E698" s="2" t="str">
        <f aca="false">LEFT(C698,3)</f>
        <v>921</v>
      </c>
      <c r="F698" s="2" t="str">
        <f aca="false">IF(D698="","",LEFT(D698,3))</f>
        <v>920</v>
      </c>
      <c r="G698" s="2" t="str">
        <f aca="false">IF(F698="","",IF(E698=F698,"Yes","No"))</f>
        <v>No</v>
      </c>
      <c r="H698" s="2" t="n">
        <f aca="false">IF(D698="",0,1/COUNTIF($D$2:$D$3451,D698))</f>
        <v>1</v>
      </c>
      <c r="I698" s="13" t="n">
        <f aca="false">IFERROR(INDEX('NCO-2015 scores'!$C$2:$C$131,MATCH(E698,'NCO-2015 scores'!$A$2:$A$131,0)),0)</f>
        <v>0.1067</v>
      </c>
      <c r="J698" s="13" t="n">
        <f aca="false">IF(ISNUMBER(MATCH(E698,'NCO-2015 scores'!$A$2:$A$131,0)),IF(ISNUMBER(INDEX('NCO-2015 scores'!$C$2:$C$131,MATCH(E698,'NCO-2015 scores'!$A$2:$A$131,0))),1,0),0)</f>
        <v>1</v>
      </c>
    </row>
    <row r="699" customFormat="false" ht="15" hidden="false" customHeight="false" outlineLevel="0" collapsed="false">
      <c r="A699" s="2" t="n">
        <v>697</v>
      </c>
      <c r="B699" s="2" t="s">
        <v>2410</v>
      </c>
      <c r="C699" s="2" t="s">
        <v>2411</v>
      </c>
      <c r="D699" s="2" t="s">
        <v>2412</v>
      </c>
      <c r="E699" s="2" t="str">
        <f aca="false">LEFT(C699,3)</f>
        <v>921</v>
      </c>
      <c r="F699" s="2" t="str">
        <f aca="false">IF(D699="","",LEFT(D699,3))</f>
        <v>920</v>
      </c>
      <c r="G699" s="2" t="str">
        <f aca="false">IF(F699="","",IF(E699=F699,"Yes","No"))</f>
        <v>No</v>
      </c>
      <c r="H699" s="2" t="n">
        <f aca="false">IF(D699="",0,1/COUNTIF($D$2:$D$3451,D699))</f>
        <v>1</v>
      </c>
      <c r="I699" s="13" t="n">
        <f aca="false">IFERROR(INDEX('NCO-2015 scores'!$C$2:$C$131,MATCH(E699,'NCO-2015 scores'!$A$2:$A$131,0)),0)</f>
        <v>0.1067</v>
      </c>
      <c r="J699" s="13" t="n">
        <f aca="false">IF(ISNUMBER(MATCH(E699,'NCO-2015 scores'!$A$2:$A$131,0)),IF(ISNUMBER(INDEX('NCO-2015 scores'!$C$2:$C$131,MATCH(E699,'NCO-2015 scores'!$A$2:$A$131,0))),1,0),0)</f>
        <v>1</v>
      </c>
    </row>
    <row r="700" customFormat="false" ht="15" hidden="false" customHeight="false" outlineLevel="0" collapsed="false">
      <c r="A700" s="2" t="n">
        <v>698</v>
      </c>
      <c r="B700" s="2" t="s">
        <v>2413</v>
      </c>
      <c r="C700" s="2" t="s">
        <v>2414</v>
      </c>
      <c r="D700" s="2" t="s">
        <v>2415</v>
      </c>
      <c r="E700" s="2" t="str">
        <f aca="false">LEFT(C700,3)</f>
        <v>921</v>
      </c>
      <c r="F700" s="2" t="str">
        <f aca="false">IF(D700="","",LEFT(D700,3))</f>
        <v>920</v>
      </c>
      <c r="G700" s="2" t="str">
        <f aca="false">IF(F700="","",IF(E700=F700,"Yes","No"))</f>
        <v>No</v>
      </c>
      <c r="H700" s="2" t="n">
        <f aca="false">IF(D700="",0,1/COUNTIF($D$2:$D$3451,D700))</f>
        <v>1</v>
      </c>
      <c r="I700" s="13" t="n">
        <f aca="false">IFERROR(INDEX('NCO-2015 scores'!$C$2:$C$131,MATCH(E700,'NCO-2015 scores'!$A$2:$A$131,0)),0)</f>
        <v>0.1067</v>
      </c>
      <c r="J700" s="13" t="n">
        <f aca="false">IF(ISNUMBER(MATCH(E700,'NCO-2015 scores'!$A$2:$A$131,0)),IF(ISNUMBER(INDEX('NCO-2015 scores'!$C$2:$C$131,MATCH(E700,'NCO-2015 scores'!$A$2:$A$131,0))),1,0),0)</f>
        <v>1</v>
      </c>
    </row>
    <row r="701" customFormat="false" ht="15" hidden="false" customHeight="false" outlineLevel="0" collapsed="false">
      <c r="A701" s="2" t="n">
        <v>699</v>
      </c>
      <c r="B701" s="2" t="s">
        <v>2416</v>
      </c>
      <c r="C701" s="2" t="s">
        <v>2417</v>
      </c>
      <c r="D701" s="2" t="s">
        <v>2418</v>
      </c>
      <c r="E701" s="2" t="str">
        <f aca="false">LEFT(C701,3)</f>
        <v>811</v>
      </c>
      <c r="F701" s="2" t="str">
        <f aca="false">IF(D701="","",LEFT(D701,3))</f>
        <v>811</v>
      </c>
      <c r="G701" s="2" t="str">
        <f aca="false">IF(F701="","",IF(E701=F701,"Yes","No"))</f>
        <v>Yes</v>
      </c>
      <c r="H701" s="2" t="n">
        <f aca="false">IF(D701="",0,1/COUNTIF($D$2:$D$3451,D701))</f>
        <v>1</v>
      </c>
      <c r="I701" s="13" t="n">
        <f aca="false">IFERROR(INDEX('NCO-2015 scores'!$C$2:$C$131,MATCH(E701,'NCO-2015 scores'!$A$2:$A$131,0)),0)</f>
        <v>0.2</v>
      </c>
      <c r="J701" s="13" t="n">
        <f aca="false">IF(ISNUMBER(MATCH(E701,'NCO-2015 scores'!$A$2:$A$131,0)),IF(ISNUMBER(INDEX('NCO-2015 scores'!$C$2:$C$131,MATCH(E701,'NCO-2015 scores'!$A$2:$A$131,0))),1,0),0)</f>
        <v>1</v>
      </c>
    </row>
    <row r="702" customFormat="false" ht="15" hidden="false" customHeight="false" outlineLevel="0" collapsed="false">
      <c r="A702" s="2" t="n">
        <v>700</v>
      </c>
      <c r="B702" s="2" t="s">
        <v>2419</v>
      </c>
      <c r="C702" s="2" t="s">
        <v>2420</v>
      </c>
      <c r="D702" s="2" t="s">
        <v>2421</v>
      </c>
      <c r="E702" s="2" t="str">
        <f aca="false">LEFT(C702,3)</f>
        <v>811</v>
      </c>
      <c r="F702" s="2" t="str">
        <f aca="false">IF(D702="","",LEFT(D702,3))</f>
        <v>811</v>
      </c>
      <c r="G702" s="2" t="str">
        <f aca="false">IF(F702="","",IF(E702=F702,"Yes","No"))</f>
        <v>Yes</v>
      </c>
      <c r="H702" s="2" t="n">
        <f aca="false">IF(D702="",0,1/COUNTIF($D$2:$D$3451,D702))</f>
        <v>1</v>
      </c>
      <c r="I702" s="13" t="n">
        <f aca="false">IFERROR(INDEX('NCO-2015 scores'!$C$2:$C$131,MATCH(E702,'NCO-2015 scores'!$A$2:$A$131,0)),0)</f>
        <v>0.2</v>
      </c>
      <c r="J702" s="13" t="n">
        <f aca="false">IF(ISNUMBER(MATCH(E702,'NCO-2015 scores'!$A$2:$A$131,0)),IF(ISNUMBER(INDEX('NCO-2015 scores'!$C$2:$C$131,MATCH(E702,'NCO-2015 scores'!$A$2:$A$131,0))),1,0),0)</f>
        <v>1</v>
      </c>
    </row>
    <row r="703" customFormat="false" ht="15" hidden="false" customHeight="false" outlineLevel="0" collapsed="false">
      <c r="A703" s="2" t="n">
        <v>701</v>
      </c>
      <c r="B703" s="2" t="s">
        <v>2422</v>
      </c>
      <c r="C703" s="2" t="s">
        <v>2423</v>
      </c>
      <c r="D703" s="2" t="s">
        <v>2424</v>
      </c>
      <c r="E703" s="2" t="str">
        <f aca="false">LEFT(C703,3)</f>
        <v>811</v>
      </c>
      <c r="F703" s="2" t="str">
        <f aca="false">IF(D703="","",LEFT(D703,3))</f>
        <v>811</v>
      </c>
      <c r="G703" s="2" t="str">
        <f aca="false">IF(F703="","",IF(E703=F703,"Yes","No"))</f>
        <v>Yes</v>
      </c>
      <c r="H703" s="2" t="n">
        <f aca="false">IF(D703="",0,1/COUNTIF($D$2:$D$3451,D703))</f>
        <v>1</v>
      </c>
      <c r="I703" s="13" t="n">
        <f aca="false">IFERROR(INDEX('NCO-2015 scores'!$C$2:$C$131,MATCH(E703,'NCO-2015 scores'!$A$2:$A$131,0)),0)</f>
        <v>0.2</v>
      </c>
      <c r="J703" s="13" t="n">
        <f aca="false">IF(ISNUMBER(MATCH(E703,'NCO-2015 scores'!$A$2:$A$131,0)),IF(ISNUMBER(INDEX('NCO-2015 scores'!$C$2:$C$131,MATCH(E703,'NCO-2015 scores'!$A$2:$A$131,0))),1,0),0)</f>
        <v>1</v>
      </c>
    </row>
    <row r="704" customFormat="false" ht="15" hidden="false" customHeight="false" outlineLevel="0" collapsed="false">
      <c r="A704" s="2" t="n">
        <v>702</v>
      </c>
      <c r="B704" s="2" t="s">
        <v>2425</v>
      </c>
      <c r="C704" s="2" t="s">
        <v>2426</v>
      </c>
      <c r="D704" s="2" t="s">
        <v>2427</v>
      </c>
      <c r="E704" s="2" t="str">
        <f aca="false">LEFT(C704,3)</f>
        <v>811</v>
      </c>
      <c r="F704" s="2" t="str">
        <f aca="false">IF(D704="","",LEFT(D704,3))</f>
        <v>811</v>
      </c>
      <c r="G704" s="2" t="str">
        <f aca="false">IF(F704="","",IF(E704=F704,"Yes","No"))</f>
        <v>Yes</v>
      </c>
      <c r="H704" s="2" t="n">
        <f aca="false">IF(D704="",0,1/COUNTIF($D$2:$D$3451,D704))</f>
        <v>1</v>
      </c>
      <c r="I704" s="13" t="n">
        <f aca="false">IFERROR(INDEX('NCO-2015 scores'!$C$2:$C$131,MATCH(E704,'NCO-2015 scores'!$A$2:$A$131,0)),0)</f>
        <v>0.2</v>
      </c>
      <c r="J704" s="13" t="n">
        <f aca="false">IF(ISNUMBER(MATCH(E704,'NCO-2015 scores'!$A$2:$A$131,0)),IF(ISNUMBER(INDEX('NCO-2015 scores'!$C$2:$C$131,MATCH(E704,'NCO-2015 scores'!$A$2:$A$131,0))),1,0),0)</f>
        <v>1</v>
      </c>
    </row>
    <row r="705" customFormat="false" ht="15" hidden="false" customHeight="false" outlineLevel="0" collapsed="false">
      <c r="A705" s="2" t="n">
        <v>703</v>
      </c>
      <c r="B705" s="2" t="s">
        <v>2428</v>
      </c>
      <c r="C705" s="2" t="s">
        <v>2429</v>
      </c>
      <c r="D705" s="2" t="s">
        <v>2430</v>
      </c>
      <c r="E705" s="2" t="str">
        <f aca="false">LEFT(C705,3)</f>
        <v>811</v>
      </c>
      <c r="F705" s="2" t="str">
        <f aca="false">IF(D705="","",LEFT(D705,3))</f>
        <v>811</v>
      </c>
      <c r="G705" s="2" t="str">
        <f aca="false">IF(F705="","",IF(E705=F705,"Yes","No"))</f>
        <v>Yes</v>
      </c>
      <c r="H705" s="2" t="n">
        <f aca="false">IF(D705="",0,1/COUNTIF($D$2:$D$3451,D705))</f>
        <v>1</v>
      </c>
      <c r="I705" s="13" t="n">
        <f aca="false">IFERROR(INDEX('NCO-2015 scores'!$C$2:$C$131,MATCH(E705,'NCO-2015 scores'!$A$2:$A$131,0)),0)</f>
        <v>0.2</v>
      </c>
      <c r="J705" s="13" t="n">
        <f aca="false">IF(ISNUMBER(MATCH(E705,'NCO-2015 scores'!$A$2:$A$131,0)),IF(ISNUMBER(INDEX('NCO-2015 scores'!$C$2:$C$131,MATCH(E705,'NCO-2015 scores'!$A$2:$A$131,0))),1,0),0)</f>
        <v>1</v>
      </c>
    </row>
    <row r="706" customFormat="false" ht="15" hidden="false" customHeight="false" outlineLevel="0" collapsed="false">
      <c r="A706" s="2" t="n">
        <v>704</v>
      </c>
      <c r="B706" s="2" t="s">
        <v>2431</v>
      </c>
      <c r="C706" s="2" t="s">
        <v>2432</v>
      </c>
      <c r="D706" s="2" t="s">
        <v>2433</v>
      </c>
      <c r="E706" s="2" t="str">
        <f aca="false">LEFT(C706,3)</f>
        <v>811</v>
      </c>
      <c r="F706" s="2" t="str">
        <f aca="false">IF(D706="","",LEFT(D706,3))</f>
        <v>811</v>
      </c>
      <c r="G706" s="2" t="str">
        <f aca="false">IF(F706="","",IF(E706=F706,"Yes","No"))</f>
        <v>Yes</v>
      </c>
      <c r="H706" s="2" t="n">
        <f aca="false">IF(D706="",0,1/COUNTIF($D$2:$D$3451,D706))</f>
        <v>1</v>
      </c>
      <c r="I706" s="13" t="n">
        <f aca="false">IFERROR(INDEX('NCO-2015 scores'!$C$2:$C$131,MATCH(E706,'NCO-2015 scores'!$A$2:$A$131,0)),0)</f>
        <v>0.2</v>
      </c>
      <c r="J706" s="13" t="n">
        <f aca="false">IF(ISNUMBER(MATCH(E706,'NCO-2015 scores'!$A$2:$A$131,0)),IF(ISNUMBER(INDEX('NCO-2015 scores'!$C$2:$C$131,MATCH(E706,'NCO-2015 scores'!$A$2:$A$131,0))),1,0),0)</f>
        <v>1</v>
      </c>
    </row>
    <row r="707" customFormat="false" ht="15" hidden="false" customHeight="false" outlineLevel="0" collapsed="false">
      <c r="A707" s="2" t="n">
        <v>705</v>
      </c>
      <c r="B707" s="2" t="s">
        <v>2434</v>
      </c>
      <c r="C707" s="2" t="s">
        <v>2435</v>
      </c>
      <c r="D707" s="2" t="s">
        <v>2436</v>
      </c>
      <c r="E707" s="2" t="str">
        <f aca="false">LEFT(C707,3)</f>
        <v>811</v>
      </c>
      <c r="F707" s="2" t="str">
        <f aca="false">IF(D707="","",LEFT(D707,3))</f>
        <v>811</v>
      </c>
      <c r="G707" s="2" t="str">
        <f aca="false">IF(F707="","",IF(E707=F707,"Yes","No"))</f>
        <v>Yes</v>
      </c>
      <c r="H707" s="2" t="n">
        <f aca="false">IF(D707="",0,1/COUNTIF($D$2:$D$3451,D707))</f>
        <v>1</v>
      </c>
      <c r="I707" s="13" t="n">
        <f aca="false">IFERROR(INDEX('NCO-2015 scores'!$C$2:$C$131,MATCH(E707,'NCO-2015 scores'!$A$2:$A$131,0)),0)</f>
        <v>0.2</v>
      </c>
      <c r="J707" s="13" t="n">
        <f aca="false">IF(ISNUMBER(MATCH(E707,'NCO-2015 scores'!$A$2:$A$131,0)),IF(ISNUMBER(INDEX('NCO-2015 scores'!$C$2:$C$131,MATCH(E707,'NCO-2015 scores'!$A$2:$A$131,0))),1,0),0)</f>
        <v>1</v>
      </c>
    </row>
    <row r="708" customFormat="false" ht="15" hidden="false" customHeight="false" outlineLevel="0" collapsed="false">
      <c r="A708" s="2" t="n">
        <v>706</v>
      </c>
      <c r="B708" s="2" t="s">
        <v>2437</v>
      </c>
      <c r="C708" s="2" t="s">
        <v>2438</v>
      </c>
      <c r="D708" s="2" t="s">
        <v>2439</v>
      </c>
      <c r="E708" s="2" t="str">
        <f aca="false">LEFT(C708,3)</f>
        <v>811</v>
      </c>
      <c r="F708" s="2" t="str">
        <f aca="false">IF(D708="","",LEFT(D708,3))</f>
        <v>811</v>
      </c>
      <c r="G708" s="2" t="str">
        <f aca="false">IF(F708="","",IF(E708=F708,"Yes","No"))</f>
        <v>Yes</v>
      </c>
      <c r="H708" s="2" t="n">
        <f aca="false">IF(D708="",0,1/COUNTIF($D$2:$D$3451,D708))</f>
        <v>1</v>
      </c>
      <c r="I708" s="13" t="n">
        <f aca="false">IFERROR(INDEX('NCO-2015 scores'!$C$2:$C$131,MATCH(E708,'NCO-2015 scores'!$A$2:$A$131,0)),0)</f>
        <v>0.2</v>
      </c>
      <c r="J708" s="13" t="n">
        <f aca="false">IF(ISNUMBER(MATCH(E708,'NCO-2015 scores'!$A$2:$A$131,0)),IF(ISNUMBER(INDEX('NCO-2015 scores'!$C$2:$C$131,MATCH(E708,'NCO-2015 scores'!$A$2:$A$131,0))),1,0),0)</f>
        <v>1</v>
      </c>
    </row>
    <row r="709" customFormat="false" ht="15" hidden="false" customHeight="false" outlineLevel="0" collapsed="false">
      <c r="A709" s="2" t="n">
        <v>707</v>
      </c>
      <c r="B709" s="2" t="s">
        <v>2440</v>
      </c>
      <c r="C709" s="2" t="s">
        <v>2441</v>
      </c>
      <c r="D709" s="2" t="s">
        <v>2442</v>
      </c>
      <c r="E709" s="2" t="str">
        <f aca="false">LEFT(C709,3)</f>
        <v>811</v>
      </c>
      <c r="F709" s="2" t="str">
        <f aca="false">IF(D709="","",LEFT(D709,3))</f>
        <v>811</v>
      </c>
      <c r="G709" s="2" t="str">
        <f aca="false">IF(F709="","",IF(E709=F709,"Yes","No"))</f>
        <v>Yes</v>
      </c>
      <c r="H709" s="2" t="n">
        <f aca="false">IF(D709="",0,1/COUNTIF($D$2:$D$3451,D709))</f>
        <v>1</v>
      </c>
      <c r="I709" s="13" t="n">
        <f aca="false">IFERROR(INDEX('NCO-2015 scores'!$C$2:$C$131,MATCH(E709,'NCO-2015 scores'!$A$2:$A$131,0)),0)</f>
        <v>0.2</v>
      </c>
      <c r="J709" s="13" t="n">
        <f aca="false">IF(ISNUMBER(MATCH(E709,'NCO-2015 scores'!$A$2:$A$131,0)),IF(ISNUMBER(INDEX('NCO-2015 scores'!$C$2:$C$131,MATCH(E709,'NCO-2015 scores'!$A$2:$A$131,0))),1,0),0)</f>
        <v>1</v>
      </c>
    </row>
    <row r="710" customFormat="false" ht="15" hidden="false" customHeight="false" outlineLevel="0" collapsed="false">
      <c r="A710" s="2" t="n">
        <v>708</v>
      </c>
      <c r="B710" s="2" t="s">
        <v>2443</v>
      </c>
      <c r="C710" s="2" t="s">
        <v>2444</v>
      </c>
      <c r="D710" s="2" t="s">
        <v>2445</v>
      </c>
      <c r="E710" s="2" t="str">
        <f aca="false">LEFT(C710,3)</f>
        <v>811</v>
      </c>
      <c r="F710" s="2" t="str">
        <f aca="false">IF(D710="","",LEFT(D710,3))</f>
        <v>811</v>
      </c>
      <c r="G710" s="2" t="str">
        <f aca="false">IF(F710="","",IF(E710=F710,"Yes","No"))</f>
        <v>Yes</v>
      </c>
      <c r="H710" s="2" t="n">
        <f aca="false">IF(D710="",0,1/COUNTIF($D$2:$D$3451,D710))</f>
        <v>1</v>
      </c>
      <c r="I710" s="13" t="n">
        <f aca="false">IFERROR(INDEX('NCO-2015 scores'!$C$2:$C$131,MATCH(E710,'NCO-2015 scores'!$A$2:$A$131,0)),0)</f>
        <v>0.2</v>
      </c>
      <c r="J710" s="13" t="n">
        <f aca="false">IF(ISNUMBER(MATCH(E710,'NCO-2015 scores'!$A$2:$A$131,0)),IF(ISNUMBER(INDEX('NCO-2015 scores'!$C$2:$C$131,MATCH(E710,'NCO-2015 scores'!$A$2:$A$131,0))),1,0),0)</f>
        <v>1</v>
      </c>
    </row>
    <row r="711" customFormat="false" ht="15" hidden="false" customHeight="false" outlineLevel="0" collapsed="false">
      <c r="A711" s="2" t="n">
        <v>709</v>
      </c>
      <c r="B711" s="2" t="s">
        <v>2446</v>
      </c>
      <c r="C711" s="2" t="s">
        <v>2447</v>
      </c>
      <c r="D711" s="2" t="s">
        <v>2448</v>
      </c>
      <c r="E711" s="2" t="str">
        <f aca="false">LEFT(C711,3)</f>
        <v>811</v>
      </c>
      <c r="F711" s="2" t="str">
        <f aca="false">IF(D711="","",LEFT(D711,3))</f>
        <v>811</v>
      </c>
      <c r="G711" s="2" t="str">
        <f aca="false">IF(F711="","",IF(E711=F711,"Yes","No"))</f>
        <v>Yes</v>
      </c>
      <c r="H711" s="2" t="n">
        <f aca="false">IF(D711="",0,1/COUNTIF($D$2:$D$3451,D711))</f>
        <v>1</v>
      </c>
      <c r="I711" s="13" t="n">
        <f aca="false">IFERROR(INDEX('NCO-2015 scores'!$C$2:$C$131,MATCH(E711,'NCO-2015 scores'!$A$2:$A$131,0)),0)</f>
        <v>0.2</v>
      </c>
      <c r="J711" s="13" t="n">
        <f aca="false">IF(ISNUMBER(MATCH(E711,'NCO-2015 scores'!$A$2:$A$131,0)),IF(ISNUMBER(INDEX('NCO-2015 scores'!$C$2:$C$131,MATCH(E711,'NCO-2015 scores'!$A$2:$A$131,0))),1,0),0)</f>
        <v>1</v>
      </c>
    </row>
    <row r="712" customFormat="false" ht="15" hidden="false" customHeight="false" outlineLevel="0" collapsed="false">
      <c r="A712" s="2" t="n">
        <v>710</v>
      </c>
      <c r="B712" s="2" t="s">
        <v>2449</v>
      </c>
      <c r="C712" s="2" t="s">
        <v>2450</v>
      </c>
      <c r="D712" s="2" t="s">
        <v>2451</v>
      </c>
      <c r="E712" s="2" t="str">
        <f aca="false">LEFT(C712,3)</f>
        <v>811</v>
      </c>
      <c r="F712" s="2" t="str">
        <f aca="false">IF(D712="","",LEFT(D712,3))</f>
        <v>811</v>
      </c>
      <c r="G712" s="2" t="str">
        <f aca="false">IF(F712="","",IF(E712=F712,"Yes","No"))</f>
        <v>Yes</v>
      </c>
      <c r="H712" s="2" t="n">
        <f aca="false">IF(D712="",0,1/COUNTIF($D$2:$D$3451,D712))</f>
        <v>1</v>
      </c>
      <c r="I712" s="13" t="n">
        <f aca="false">IFERROR(INDEX('NCO-2015 scores'!$C$2:$C$131,MATCH(E712,'NCO-2015 scores'!$A$2:$A$131,0)),0)</f>
        <v>0.2</v>
      </c>
      <c r="J712" s="13" t="n">
        <f aca="false">IF(ISNUMBER(MATCH(E712,'NCO-2015 scores'!$A$2:$A$131,0)),IF(ISNUMBER(INDEX('NCO-2015 scores'!$C$2:$C$131,MATCH(E712,'NCO-2015 scores'!$A$2:$A$131,0))),1,0),0)</f>
        <v>1</v>
      </c>
    </row>
    <row r="713" customFormat="false" ht="15" hidden="false" customHeight="false" outlineLevel="0" collapsed="false">
      <c r="A713" s="2" t="n">
        <v>711</v>
      </c>
      <c r="B713" s="2" t="s">
        <v>2452</v>
      </c>
      <c r="C713" s="2" t="s">
        <v>2453</v>
      </c>
      <c r="D713" s="2" t="s">
        <v>2454</v>
      </c>
      <c r="E713" s="2" t="str">
        <f aca="false">LEFT(C713,3)</f>
        <v>335</v>
      </c>
      <c r="F713" s="2" t="str">
        <f aca="false">IF(D713="","",LEFT(D713,3))</f>
        <v>344</v>
      </c>
      <c r="G713" s="2" t="str">
        <f aca="false">IF(F713="","",IF(E713=F713,"Yes","No"))</f>
        <v>No</v>
      </c>
      <c r="H713" s="2" t="n">
        <f aca="false">IF(D713="",0,1/COUNTIF($D$2:$D$3451,D713))</f>
        <v>1</v>
      </c>
      <c r="I713" s="13" t="n">
        <f aca="false">IFERROR(INDEX('NCO-2015 scores'!$C$2:$C$131,MATCH(E713,'NCO-2015 scores'!$A$2:$A$131,0)),0)</f>
        <v>0.38</v>
      </c>
      <c r="J713" s="13" t="n">
        <f aca="false">IF(ISNUMBER(MATCH(E713,'NCO-2015 scores'!$A$2:$A$131,0)),IF(ISNUMBER(INDEX('NCO-2015 scores'!$C$2:$C$131,MATCH(E713,'NCO-2015 scores'!$A$2:$A$131,0))),1,0),0)</f>
        <v>1</v>
      </c>
    </row>
    <row r="714" customFormat="false" ht="15" hidden="false" customHeight="false" outlineLevel="0" collapsed="false">
      <c r="A714" s="2" t="n">
        <v>712</v>
      </c>
      <c r="B714" s="2" t="s">
        <v>2455</v>
      </c>
      <c r="C714" s="2" t="s">
        <v>2456</v>
      </c>
      <c r="D714" s="2" t="s">
        <v>2457</v>
      </c>
      <c r="E714" s="2" t="str">
        <f aca="false">LEFT(C714,3)</f>
        <v>335</v>
      </c>
      <c r="F714" s="2" t="str">
        <f aca="false">IF(D714="","",LEFT(D714,3))</f>
        <v>344</v>
      </c>
      <c r="G714" s="2" t="str">
        <f aca="false">IF(F714="","",IF(E714=F714,"Yes","No"))</f>
        <v>No</v>
      </c>
      <c r="H714" s="2" t="n">
        <f aca="false">IF(D714="",0,1/COUNTIF($D$2:$D$3451,D714))</f>
        <v>1</v>
      </c>
      <c r="I714" s="13" t="n">
        <f aca="false">IFERROR(INDEX('NCO-2015 scores'!$C$2:$C$131,MATCH(E714,'NCO-2015 scores'!$A$2:$A$131,0)),0)</f>
        <v>0.38</v>
      </c>
      <c r="J714" s="13" t="n">
        <f aca="false">IF(ISNUMBER(MATCH(E714,'NCO-2015 scores'!$A$2:$A$131,0)),IF(ISNUMBER(INDEX('NCO-2015 scores'!$C$2:$C$131,MATCH(E714,'NCO-2015 scores'!$A$2:$A$131,0))),1,0),0)</f>
        <v>1</v>
      </c>
    </row>
    <row r="715" customFormat="false" ht="15" hidden="false" customHeight="false" outlineLevel="0" collapsed="false">
      <c r="A715" s="2" t="n">
        <v>713</v>
      </c>
      <c r="B715" s="2" t="s">
        <v>2458</v>
      </c>
      <c r="C715" s="2" t="s">
        <v>2459</v>
      </c>
      <c r="D715" s="2" t="s">
        <v>2460</v>
      </c>
      <c r="E715" s="2" t="str">
        <f aca="false">LEFT(C715,3)</f>
        <v>335</v>
      </c>
      <c r="F715" s="2" t="str">
        <f aca="false">IF(D715="","",LEFT(D715,3))</f>
        <v>344</v>
      </c>
      <c r="G715" s="2" t="str">
        <f aca="false">IF(F715="","",IF(E715=F715,"Yes","No"))</f>
        <v>No</v>
      </c>
      <c r="H715" s="2" t="n">
        <f aca="false">IF(D715="",0,1/COUNTIF($D$2:$D$3451,D715))</f>
        <v>1</v>
      </c>
      <c r="I715" s="13" t="n">
        <f aca="false">IFERROR(INDEX('NCO-2015 scores'!$C$2:$C$131,MATCH(E715,'NCO-2015 scores'!$A$2:$A$131,0)),0)</f>
        <v>0.38</v>
      </c>
      <c r="J715" s="13" t="n">
        <f aca="false">IF(ISNUMBER(MATCH(E715,'NCO-2015 scores'!$A$2:$A$131,0)),IF(ISNUMBER(INDEX('NCO-2015 scores'!$C$2:$C$131,MATCH(E715,'NCO-2015 scores'!$A$2:$A$131,0))),1,0),0)</f>
        <v>1</v>
      </c>
    </row>
    <row r="716" customFormat="false" ht="15" hidden="false" customHeight="false" outlineLevel="0" collapsed="false">
      <c r="A716" s="2" t="n">
        <v>714</v>
      </c>
      <c r="B716" s="2" t="s">
        <v>2461</v>
      </c>
      <c r="C716" s="2" t="s">
        <v>2462</v>
      </c>
      <c r="D716" s="2" t="s">
        <v>2463</v>
      </c>
      <c r="E716" s="2" t="str">
        <f aca="false">LEFT(C716,3)</f>
        <v>335</v>
      </c>
      <c r="F716" s="2" t="str">
        <f aca="false">IF(D716="","",LEFT(D716,3))</f>
        <v>344</v>
      </c>
      <c r="G716" s="2" t="str">
        <f aca="false">IF(F716="","",IF(E716=F716,"Yes","No"))</f>
        <v>No</v>
      </c>
      <c r="H716" s="2" t="n">
        <f aca="false">IF(D716="",0,1/COUNTIF($D$2:$D$3451,D716))</f>
        <v>1</v>
      </c>
      <c r="I716" s="13" t="n">
        <f aca="false">IFERROR(INDEX('NCO-2015 scores'!$C$2:$C$131,MATCH(E716,'NCO-2015 scores'!$A$2:$A$131,0)),0)</f>
        <v>0.38</v>
      </c>
      <c r="J716" s="13" t="n">
        <f aca="false">IF(ISNUMBER(MATCH(E716,'NCO-2015 scores'!$A$2:$A$131,0)),IF(ISNUMBER(INDEX('NCO-2015 scores'!$C$2:$C$131,MATCH(E716,'NCO-2015 scores'!$A$2:$A$131,0))),1,0),0)</f>
        <v>1</v>
      </c>
    </row>
    <row r="717" customFormat="false" ht="15" hidden="false" customHeight="false" outlineLevel="0" collapsed="false">
      <c r="A717" s="2" t="n">
        <v>715</v>
      </c>
      <c r="B717" s="2" t="s">
        <v>2464</v>
      </c>
      <c r="C717" s="2" t="s">
        <v>2465</v>
      </c>
      <c r="D717" s="2" t="s">
        <v>2466</v>
      </c>
      <c r="E717" s="2" t="str">
        <f aca="false">LEFT(C717,3)</f>
        <v>751</v>
      </c>
      <c r="F717" s="2" t="str">
        <f aca="false">IF(D717="","",LEFT(D717,3))</f>
        <v>741</v>
      </c>
      <c r="G717" s="2" t="str">
        <f aca="false">IF(F717="","",IF(E717=F717,"Yes","No"))</f>
        <v>No</v>
      </c>
      <c r="H717" s="2" t="n">
        <f aca="false">IF(D717="",0,1/COUNTIF($D$2:$D$3451,D717))</f>
        <v>1</v>
      </c>
      <c r="I717" s="13" t="n">
        <f aca="false">IFERROR(INDEX('NCO-2015 scores'!$C$2:$C$131,MATCH(E717,'NCO-2015 scores'!$A$2:$A$131,0)),0)</f>
        <v>0.1867</v>
      </c>
      <c r="J717" s="13" t="n">
        <f aca="false">IF(ISNUMBER(MATCH(E717,'NCO-2015 scores'!$A$2:$A$131,0)),IF(ISNUMBER(INDEX('NCO-2015 scores'!$C$2:$C$131,MATCH(E717,'NCO-2015 scores'!$A$2:$A$131,0))),1,0),0)</f>
        <v>1</v>
      </c>
    </row>
    <row r="718" customFormat="false" ht="15" hidden="false" customHeight="false" outlineLevel="0" collapsed="false">
      <c r="A718" s="2" t="n">
        <v>716</v>
      </c>
      <c r="B718" s="2" t="s">
        <v>2467</v>
      </c>
      <c r="C718" s="2" t="s">
        <v>2468</v>
      </c>
      <c r="D718" s="2" t="s">
        <v>2469</v>
      </c>
      <c r="E718" s="2" t="str">
        <f aca="false">LEFT(C718,3)</f>
        <v>751</v>
      </c>
      <c r="F718" s="2" t="str">
        <f aca="false">IF(D718="","",LEFT(D718,3))</f>
        <v>741</v>
      </c>
      <c r="G718" s="2" t="str">
        <f aca="false">IF(F718="","",IF(E718=F718,"Yes","No"))</f>
        <v>No</v>
      </c>
      <c r="H718" s="2" t="n">
        <f aca="false">IF(D718="",0,1/COUNTIF($D$2:$D$3451,D718))</f>
        <v>1</v>
      </c>
      <c r="I718" s="13" t="n">
        <f aca="false">IFERROR(INDEX('NCO-2015 scores'!$C$2:$C$131,MATCH(E718,'NCO-2015 scores'!$A$2:$A$131,0)),0)</f>
        <v>0.1867</v>
      </c>
      <c r="J718" s="13" t="n">
        <f aca="false">IF(ISNUMBER(MATCH(E718,'NCO-2015 scores'!$A$2:$A$131,0)),IF(ISNUMBER(INDEX('NCO-2015 scores'!$C$2:$C$131,MATCH(E718,'NCO-2015 scores'!$A$2:$A$131,0))),1,0),0)</f>
        <v>1</v>
      </c>
    </row>
    <row r="719" customFormat="false" ht="15" hidden="false" customHeight="false" outlineLevel="0" collapsed="false">
      <c r="A719" s="2" t="n">
        <v>717</v>
      </c>
      <c r="B719" s="2" t="s">
        <v>2470</v>
      </c>
      <c r="C719" s="2" t="s">
        <v>2471</v>
      </c>
      <c r="D719" s="2" t="s">
        <v>2472</v>
      </c>
      <c r="E719" s="2" t="str">
        <f aca="false">LEFT(C719,3)</f>
        <v>751</v>
      </c>
      <c r="F719" s="2" t="str">
        <f aca="false">IF(D719="","",LEFT(D719,3))</f>
        <v>741</v>
      </c>
      <c r="G719" s="2" t="str">
        <f aca="false">IF(F719="","",IF(E719=F719,"Yes","No"))</f>
        <v>No</v>
      </c>
      <c r="H719" s="2" t="n">
        <f aca="false">IF(D719="",0,1/COUNTIF($D$2:$D$3451,D719))</f>
        <v>1</v>
      </c>
      <c r="I719" s="13" t="n">
        <f aca="false">IFERROR(INDEX('NCO-2015 scores'!$C$2:$C$131,MATCH(E719,'NCO-2015 scores'!$A$2:$A$131,0)),0)</f>
        <v>0.1867</v>
      </c>
      <c r="J719" s="13" t="n">
        <f aca="false">IF(ISNUMBER(MATCH(E719,'NCO-2015 scores'!$A$2:$A$131,0)),IF(ISNUMBER(INDEX('NCO-2015 scores'!$C$2:$C$131,MATCH(E719,'NCO-2015 scores'!$A$2:$A$131,0))),1,0),0)</f>
        <v>1</v>
      </c>
    </row>
    <row r="720" customFormat="false" ht="15" hidden="false" customHeight="false" outlineLevel="0" collapsed="false">
      <c r="A720" s="2" t="n">
        <v>718</v>
      </c>
      <c r="B720" s="2" t="s">
        <v>2473</v>
      </c>
      <c r="C720" s="2" t="s">
        <v>2474</v>
      </c>
      <c r="D720" s="2" t="s">
        <v>2475</v>
      </c>
      <c r="E720" s="2" t="str">
        <f aca="false">LEFT(C720,3)</f>
        <v>751</v>
      </c>
      <c r="F720" s="2" t="str">
        <f aca="false">IF(D720="","",LEFT(D720,3))</f>
        <v>741</v>
      </c>
      <c r="G720" s="2" t="str">
        <f aca="false">IF(F720="","",IF(E720=F720,"Yes","No"))</f>
        <v>No</v>
      </c>
      <c r="H720" s="2" t="n">
        <f aca="false">IF(D720="",0,1/COUNTIF($D$2:$D$3451,D720))</f>
        <v>1</v>
      </c>
      <c r="I720" s="13" t="n">
        <f aca="false">IFERROR(INDEX('NCO-2015 scores'!$C$2:$C$131,MATCH(E720,'NCO-2015 scores'!$A$2:$A$131,0)),0)</f>
        <v>0.1867</v>
      </c>
      <c r="J720" s="13" t="n">
        <f aca="false">IF(ISNUMBER(MATCH(E720,'NCO-2015 scores'!$A$2:$A$131,0)),IF(ISNUMBER(INDEX('NCO-2015 scores'!$C$2:$C$131,MATCH(E720,'NCO-2015 scores'!$A$2:$A$131,0))),1,0),0)</f>
        <v>1</v>
      </c>
    </row>
    <row r="721" customFormat="false" ht="15" hidden="false" customHeight="false" outlineLevel="0" collapsed="false">
      <c r="A721" s="2" t="n">
        <v>719</v>
      </c>
      <c r="B721" s="2" t="s">
        <v>2476</v>
      </c>
      <c r="C721" s="2" t="s">
        <v>2477</v>
      </c>
      <c r="D721" s="2" t="s">
        <v>2478</v>
      </c>
      <c r="E721" s="2" t="str">
        <f aca="false">LEFT(C721,3)</f>
        <v>751</v>
      </c>
      <c r="F721" s="2" t="str">
        <f aca="false">IF(D721="","",LEFT(D721,3))</f>
        <v>741</v>
      </c>
      <c r="G721" s="2" t="str">
        <f aca="false">IF(F721="","",IF(E721=F721,"Yes","No"))</f>
        <v>No</v>
      </c>
      <c r="H721" s="2" t="n">
        <f aca="false">IF(D721="",0,1/COUNTIF($D$2:$D$3451,D721))</f>
        <v>1</v>
      </c>
      <c r="I721" s="13" t="n">
        <f aca="false">IFERROR(INDEX('NCO-2015 scores'!$C$2:$C$131,MATCH(E721,'NCO-2015 scores'!$A$2:$A$131,0)),0)</f>
        <v>0.1867</v>
      </c>
      <c r="J721" s="13" t="n">
        <f aca="false">IF(ISNUMBER(MATCH(E721,'NCO-2015 scores'!$A$2:$A$131,0)),IF(ISNUMBER(INDEX('NCO-2015 scores'!$C$2:$C$131,MATCH(E721,'NCO-2015 scores'!$A$2:$A$131,0))),1,0),0)</f>
        <v>1</v>
      </c>
    </row>
    <row r="722" customFormat="false" ht="15" hidden="false" customHeight="false" outlineLevel="0" collapsed="false">
      <c r="A722" s="2" t="n">
        <v>720</v>
      </c>
      <c r="B722" s="2" t="s">
        <v>2479</v>
      </c>
      <c r="C722" s="2" t="s">
        <v>2480</v>
      </c>
      <c r="D722" s="2" t="s">
        <v>2481</v>
      </c>
      <c r="E722" s="2" t="str">
        <f aca="false">LEFT(C722,3)</f>
        <v>751</v>
      </c>
      <c r="F722" s="2" t="str">
        <f aca="false">IF(D722="","",LEFT(D722,3))</f>
        <v>741</v>
      </c>
      <c r="G722" s="2" t="str">
        <f aca="false">IF(F722="","",IF(E722=F722,"Yes","No"))</f>
        <v>No</v>
      </c>
      <c r="H722" s="2" t="n">
        <f aca="false">IF(D722="",0,1/COUNTIF($D$2:$D$3451,D722))</f>
        <v>1</v>
      </c>
      <c r="I722" s="13" t="n">
        <f aca="false">IFERROR(INDEX('NCO-2015 scores'!$C$2:$C$131,MATCH(E722,'NCO-2015 scores'!$A$2:$A$131,0)),0)</f>
        <v>0.1867</v>
      </c>
      <c r="J722" s="13" t="n">
        <f aca="false">IF(ISNUMBER(MATCH(E722,'NCO-2015 scores'!$A$2:$A$131,0)),IF(ISNUMBER(INDEX('NCO-2015 scores'!$C$2:$C$131,MATCH(E722,'NCO-2015 scores'!$A$2:$A$131,0))),1,0),0)</f>
        <v>1</v>
      </c>
    </row>
    <row r="723" customFormat="false" ht="15" hidden="false" customHeight="false" outlineLevel="0" collapsed="false">
      <c r="A723" s="2" t="n">
        <v>721</v>
      </c>
      <c r="B723" s="2" t="s">
        <v>2482</v>
      </c>
      <c r="C723" s="2" t="s">
        <v>2483</v>
      </c>
      <c r="D723" s="2" t="s">
        <v>2484</v>
      </c>
      <c r="E723" s="2" t="str">
        <f aca="false">LEFT(C723,3)</f>
        <v>265</v>
      </c>
      <c r="F723" s="2" t="str">
        <f aca="false">IF(D723="","",LEFT(D723,3))</f>
        <v>245</v>
      </c>
      <c r="G723" s="2" t="str">
        <f aca="false">IF(F723="","",IF(E723=F723,"Yes","No"))</f>
        <v>No</v>
      </c>
      <c r="H723" s="2" t="n">
        <f aca="false">IF(D723="",0,1/COUNTIF($D$2:$D$3451,D723))</f>
        <v>1</v>
      </c>
      <c r="I723" s="13" t="n">
        <f aca="false">IFERROR(INDEX('NCO-2015 scores'!$C$2:$C$131,MATCH(E723,'NCO-2015 scores'!$A$2:$A$131,0)),0)</f>
        <v>0.28</v>
      </c>
      <c r="J723" s="13" t="n">
        <f aca="false">IF(ISNUMBER(MATCH(E723,'NCO-2015 scores'!$A$2:$A$131,0)),IF(ISNUMBER(INDEX('NCO-2015 scores'!$C$2:$C$131,MATCH(E723,'NCO-2015 scores'!$A$2:$A$131,0))),1,0),0)</f>
        <v>1</v>
      </c>
    </row>
    <row r="724" customFormat="false" ht="15" hidden="false" customHeight="false" outlineLevel="0" collapsed="false">
      <c r="A724" s="2" t="n">
        <v>722</v>
      </c>
      <c r="B724" s="2" t="s">
        <v>2485</v>
      </c>
      <c r="C724" s="2" t="s">
        <v>2486</v>
      </c>
      <c r="D724" s="2" t="s">
        <v>2487</v>
      </c>
      <c r="E724" s="2" t="str">
        <f aca="false">LEFT(C724,3)</f>
        <v>265</v>
      </c>
      <c r="F724" s="2" t="str">
        <f aca="false">IF(D724="","",LEFT(D724,3))</f>
        <v>245</v>
      </c>
      <c r="G724" s="2" t="str">
        <f aca="false">IF(F724="","",IF(E724=F724,"Yes","No"))</f>
        <v>No</v>
      </c>
      <c r="H724" s="2" t="n">
        <f aca="false">IF(D724="",0,1/COUNTIF($D$2:$D$3451,D724))</f>
        <v>1</v>
      </c>
      <c r="I724" s="13" t="n">
        <f aca="false">IFERROR(INDEX('NCO-2015 scores'!$C$2:$C$131,MATCH(E724,'NCO-2015 scores'!$A$2:$A$131,0)),0)</f>
        <v>0.28</v>
      </c>
      <c r="J724" s="13" t="n">
        <f aca="false">IF(ISNUMBER(MATCH(E724,'NCO-2015 scores'!$A$2:$A$131,0)),IF(ISNUMBER(INDEX('NCO-2015 scores'!$C$2:$C$131,MATCH(E724,'NCO-2015 scores'!$A$2:$A$131,0))),1,0),0)</f>
        <v>1</v>
      </c>
    </row>
    <row r="725" customFormat="false" ht="15" hidden="false" customHeight="false" outlineLevel="0" collapsed="false">
      <c r="A725" s="2" t="n">
        <v>723</v>
      </c>
      <c r="B725" s="2" t="s">
        <v>2488</v>
      </c>
      <c r="C725" s="2" t="s">
        <v>2489</v>
      </c>
      <c r="D725" s="2" t="s">
        <v>2490</v>
      </c>
      <c r="E725" s="2" t="str">
        <f aca="false">LEFT(C725,3)</f>
        <v>265</v>
      </c>
      <c r="F725" s="2" t="str">
        <f aca="false">IF(D725="","",LEFT(D725,3))</f>
        <v>245</v>
      </c>
      <c r="G725" s="2" t="str">
        <f aca="false">IF(F725="","",IF(E725=F725,"Yes","No"))</f>
        <v>No</v>
      </c>
      <c r="H725" s="2" t="n">
        <f aca="false">IF(D725="",0,1/COUNTIF($D$2:$D$3451,D725))</f>
        <v>1</v>
      </c>
      <c r="I725" s="13" t="n">
        <f aca="false">IFERROR(INDEX('NCO-2015 scores'!$C$2:$C$131,MATCH(E725,'NCO-2015 scores'!$A$2:$A$131,0)),0)</f>
        <v>0.28</v>
      </c>
      <c r="J725" s="13" t="n">
        <f aca="false">IF(ISNUMBER(MATCH(E725,'NCO-2015 scores'!$A$2:$A$131,0)),IF(ISNUMBER(INDEX('NCO-2015 scores'!$C$2:$C$131,MATCH(E725,'NCO-2015 scores'!$A$2:$A$131,0))),1,0),0)</f>
        <v>1</v>
      </c>
    </row>
    <row r="726" customFormat="false" ht="15" hidden="false" customHeight="false" outlineLevel="0" collapsed="false">
      <c r="A726" s="2" t="n">
        <v>724</v>
      </c>
      <c r="B726" s="2" t="s">
        <v>2491</v>
      </c>
      <c r="C726" s="2" t="s">
        <v>2492</v>
      </c>
      <c r="D726" s="2" t="s">
        <v>2493</v>
      </c>
      <c r="E726" s="2" t="str">
        <f aca="false">LEFT(C726,3)</f>
        <v>265</v>
      </c>
      <c r="F726" s="2" t="str">
        <f aca="false">IF(D726="","",LEFT(D726,3))</f>
        <v>245</v>
      </c>
      <c r="G726" s="2" t="str">
        <f aca="false">IF(F726="","",IF(E726=F726,"Yes","No"))</f>
        <v>No</v>
      </c>
      <c r="H726" s="2" t="n">
        <f aca="false">IF(D726="",0,1/COUNTIF($D$2:$D$3451,D726))</f>
        <v>1</v>
      </c>
      <c r="I726" s="13" t="n">
        <f aca="false">IFERROR(INDEX('NCO-2015 scores'!$C$2:$C$131,MATCH(E726,'NCO-2015 scores'!$A$2:$A$131,0)),0)</f>
        <v>0.28</v>
      </c>
      <c r="J726" s="13" t="n">
        <f aca="false">IF(ISNUMBER(MATCH(E726,'NCO-2015 scores'!$A$2:$A$131,0)),IF(ISNUMBER(INDEX('NCO-2015 scores'!$C$2:$C$131,MATCH(E726,'NCO-2015 scores'!$A$2:$A$131,0))),1,0),0)</f>
        <v>1</v>
      </c>
    </row>
    <row r="727" customFormat="false" ht="15" hidden="false" customHeight="false" outlineLevel="0" collapsed="false">
      <c r="A727" s="2" t="n">
        <v>725</v>
      </c>
      <c r="B727" s="2" t="s">
        <v>2494</v>
      </c>
      <c r="C727" s="2" t="s">
        <v>2495</v>
      </c>
      <c r="D727" s="2"/>
      <c r="E727" s="2" t="str">
        <f aca="false">LEFT(C727,3)</f>
        <v>413</v>
      </c>
      <c r="F727" s="2" t="str">
        <f aca="false">IF(D727="","",LEFT(D727,3))</f>
        <v/>
      </c>
      <c r="G727" s="2" t="str">
        <f aca="false">IF(F727="","",IF(E727=F727,"Yes","No"))</f>
        <v/>
      </c>
      <c r="H727" s="2" t="n">
        <f aca="false">IF(D727="",0,1/COUNTIF($D$2:$D$3451,D727))</f>
        <v>0</v>
      </c>
      <c r="I727" s="13" t="n">
        <f aca="false">IFERROR(INDEX('NCO-2015 scores'!$C$2:$C$131,MATCH(E727,'NCO-2015 scores'!$A$2:$A$131,0)),0)</f>
        <v>0.675</v>
      </c>
      <c r="J727" s="13" t="n">
        <f aca="false">IF(ISNUMBER(MATCH(E727,'NCO-2015 scores'!$A$2:$A$131,0)),IF(ISNUMBER(INDEX('NCO-2015 scores'!$C$2:$C$131,MATCH(E727,'NCO-2015 scores'!$A$2:$A$131,0))),1,0),0)</f>
        <v>1</v>
      </c>
    </row>
    <row r="728" customFormat="false" ht="15" hidden="false" customHeight="false" outlineLevel="0" collapsed="false">
      <c r="A728" s="2" t="n">
        <v>726</v>
      </c>
      <c r="B728" s="2" t="s">
        <v>2496</v>
      </c>
      <c r="C728" s="2" t="s">
        <v>2497</v>
      </c>
      <c r="D728" s="2" t="s">
        <v>2498</v>
      </c>
      <c r="E728" s="2" t="str">
        <f aca="false">LEFT(C728,3)</f>
        <v>413</v>
      </c>
      <c r="F728" s="2" t="str">
        <f aca="false">IF(D728="","",LEFT(D728,3))</f>
        <v>411</v>
      </c>
      <c r="G728" s="2" t="str">
        <f aca="false">IF(F728="","",IF(E728=F728,"Yes","No"))</f>
        <v>No</v>
      </c>
      <c r="H728" s="2" t="n">
        <f aca="false">IF(D728="",0,1/COUNTIF($D$2:$D$3451,D728))</f>
        <v>1</v>
      </c>
      <c r="I728" s="13" t="n">
        <f aca="false">IFERROR(INDEX('NCO-2015 scores'!$C$2:$C$131,MATCH(E728,'NCO-2015 scores'!$A$2:$A$131,0)),0)</f>
        <v>0.675</v>
      </c>
      <c r="J728" s="13" t="n">
        <f aca="false">IF(ISNUMBER(MATCH(E728,'NCO-2015 scores'!$A$2:$A$131,0)),IF(ISNUMBER(INDEX('NCO-2015 scores'!$C$2:$C$131,MATCH(E728,'NCO-2015 scores'!$A$2:$A$131,0))),1,0),0)</f>
        <v>1</v>
      </c>
    </row>
    <row r="729" customFormat="false" ht="15" hidden="false" customHeight="false" outlineLevel="0" collapsed="false">
      <c r="A729" s="2" t="n">
        <v>727</v>
      </c>
      <c r="B729" s="2" t="s">
        <v>2499</v>
      </c>
      <c r="C729" s="2" t="s">
        <v>2500</v>
      </c>
      <c r="D729" s="2" t="s">
        <v>2501</v>
      </c>
      <c r="E729" s="2" t="str">
        <f aca="false">LEFT(C729,3)</f>
        <v>413</v>
      </c>
      <c r="F729" s="2" t="str">
        <f aca="false">IF(D729="","",LEFT(D729,3))</f>
        <v>411</v>
      </c>
      <c r="G729" s="2" t="str">
        <f aca="false">IF(F729="","",IF(E729=F729,"Yes","No"))</f>
        <v>No</v>
      </c>
      <c r="H729" s="2" t="n">
        <f aca="false">IF(D729="",0,1/COUNTIF($D$2:$D$3451,D729))</f>
        <v>1</v>
      </c>
      <c r="I729" s="13" t="n">
        <f aca="false">IFERROR(INDEX('NCO-2015 scores'!$C$2:$C$131,MATCH(E729,'NCO-2015 scores'!$A$2:$A$131,0)),0)</f>
        <v>0.675</v>
      </c>
      <c r="J729" s="13" t="n">
        <f aca="false">IF(ISNUMBER(MATCH(E729,'NCO-2015 scores'!$A$2:$A$131,0)),IF(ISNUMBER(INDEX('NCO-2015 scores'!$C$2:$C$131,MATCH(E729,'NCO-2015 scores'!$A$2:$A$131,0))),1,0),0)</f>
        <v>1</v>
      </c>
    </row>
    <row r="730" customFormat="false" ht="15" hidden="false" customHeight="false" outlineLevel="0" collapsed="false">
      <c r="A730" s="2" t="n">
        <v>728</v>
      </c>
      <c r="B730" s="2" t="s">
        <v>2502</v>
      </c>
      <c r="C730" s="2" t="s">
        <v>2503</v>
      </c>
      <c r="D730" s="2" t="s">
        <v>2504</v>
      </c>
      <c r="E730" s="2" t="str">
        <f aca="false">LEFT(C730,3)</f>
        <v>413</v>
      </c>
      <c r="F730" s="2" t="str">
        <f aca="false">IF(D730="","",LEFT(D730,3))</f>
        <v>411</v>
      </c>
      <c r="G730" s="2" t="str">
        <f aca="false">IF(F730="","",IF(E730=F730,"Yes","No"))</f>
        <v>No</v>
      </c>
      <c r="H730" s="2" t="n">
        <f aca="false">IF(D730="",0,1/COUNTIF($D$2:$D$3451,D730))</f>
        <v>1</v>
      </c>
      <c r="I730" s="13" t="n">
        <f aca="false">IFERROR(INDEX('NCO-2015 scores'!$C$2:$C$131,MATCH(E730,'NCO-2015 scores'!$A$2:$A$131,0)),0)</f>
        <v>0.675</v>
      </c>
      <c r="J730" s="13" t="n">
        <f aca="false">IF(ISNUMBER(MATCH(E730,'NCO-2015 scores'!$A$2:$A$131,0)),IF(ISNUMBER(INDEX('NCO-2015 scores'!$C$2:$C$131,MATCH(E730,'NCO-2015 scores'!$A$2:$A$131,0))),1,0),0)</f>
        <v>1</v>
      </c>
    </row>
    <row r="731" customFormat="false" ht="15" hidden="false" customHeight="false" outlineLevel="0" collapsed="false">
      <c r="A731" s="2" t="n">
        <v>729</v>
      </c>
      <c r="B731" s="2" t="s">
        <v>2505</v>
      </c>
      <c r="C731" s="2" t="s">
        <v>2506</v>
      </c>
      <c r="D731" s="2" t="s">
        <v>2507</v>
      </c>
      <c r="E731" s="2" t="str">
        <f aca="false">LEFT(C731,3)</f>
        <v>413</v>
      </c>
      <c r="F731" s="2" t="str">
        <f aca="false">IF(D731="","",LEFT(D731,3))</f>
        <v>411</v>
      </c>
      <c r="G731" s="2" t="str">
        <f aca="false">IF(F731="","",IF(E731=F731,"Yes","No"))</f>
        <v>No</v>
      </c>
      <c r="H731" s="2" t="n">
        <f aca="false">IF(D731="",0,1/COUNTIF($D$2:$D$3451,D731))</f>
        <v>1</v>
      </c>
      <c r="I731" s="13" t="n">
        <f aca="false">IFERROR(INDEX('NCO-2015 scores'!$C$2:$C$131,MATCH(E731,'NCO-2015 scores'!$A$2:$A$131,0)),0)</f>
        <v>0.675</v>
      </c>
      <c r="J731" s="13" t="n">
        <f aca="false">IF(ISNUMBER(MATCH(E731,'NCO-2015 scores'!$A$2:$A$131,0)),IF(ISNUMBER(INDEX('NCO-2015 scores'!$C$2:$C$131,MATCH(E731,'NCO-2015 scores'!$A$2:$A$131,0))),1,0),0)</f>
        <v>1</v>
      </c>
    </row>
    <row r="732" customFormat="false" ht="15" hidden="false" customHeight="false" outlineLevel="0" collapsed="false">
      <c r="A732" s="2" t="n">
        <v>730</v>
      </c>
      <c r="B732" s="2" t="s">
        <v>2508</v>
      </c>
      <c r="C732" s="2" t="s">
        <v>2509</v>
      </c>
      <c r="D732" s="2" t="s">
        <v>2510</v>
      </c>
      <c r="E732" s="2" t="str">
        <f aca="false">LEFT(C732,3)</f>
        <v>413</v>
      </c>
      <c r="F732" s="2" t="str">
        <f aca="false">IF(D732="","",LEFT(D732,3))</f>
        <v>411</v>
      </c>
      <c r="G732" s="2" t="str">
        <f aca="false">IF(F732="","",IF(E732=F732,"Yes","No"))</f>
        <v>No</v>
      </c>
      <c r="H732" s="2" t="n">
        <f aca="false">IF(D732="",0,1/COUNTIF($D$2:$D$3451,D732))</f>
        <v>1</v>
      </c>
      <c r="I732" s="13" t="n">
        <f aca="false">IFERROR(INDEX('NCO-2015 scores'!$C$2:$C$131,MATCH(E732,'NCO-2015 scores'!$A$2:$A$131,0)),0)</f>
        <v>0.675</v>
      </c>
      <c r="J732" s="13" t="n">
        <f aca="false">IF(ISNUMBER(MATCH(E732,'NCO-2015 scores'!$A$2:$A$131,0)),IF(ISNUMBER(INDEX('NCO-2015 scores'!$C$2:$C$131,MATCH(E732,'NCO-2015 scores'!$A$2:$A$131,0))),1,0),0)</f>
        <v>1</v>
      </c>
    </row>
    <row r="733" customFormat="false" ht="15" hidden="false" customHeight="false" outlineLevel="0" collapsed="false">
      <c r="A733" s="2" t="n">
        <v>731</v>
      </c>
      <c r="B733" s="2" t="s">
        <v>2511</v>
      </c>
      <c r="C733" s="2" t="s">
        <v>2512</v>
      </c>
      <c r="D733" s="2" t="s">
        <v>2513</v>
      </c>
      <c r="E733" s="2" t="str">
        <f aca="false">LEFT(C733,3)</f>
        <v>413</v>
      </c>
      <c r="F733" s="2" t="str">
        <f aca="false">IF(D733="","",LEFT(D733,3))</f>
        <v>411</v>
      </c>
      <c r="G733" s="2" t="str">
        <f aca="false">IF(F733="","",IF(E733=F733,"Yes","No"))</f>
        <v>No</v>
      </c>
      <c r="H733" s="2" t="n">
        <f aca="false">IF(D733="",0,1/COUNTIF($D$2:$D$3451,D733))</f>
        <v>1</v>
      </c>
      <c r="I733" s="13" t="n">
        <f aca="false">IFERROR(INDEX('NCO-2015 scores'!$C$2:$C$131,MATCH(E733,'NCO-2015 scores'!$A$2:$A$131,0)),0)</f>
        <v>0.675</v>
      </c>
      <c r="J733" s="13" t="n">
        <f aca="false">IF(ISNUMBER(MATCH(E733,'NCO-2015 scores'!$A$2:$A$131,0)),IF(ISNUMBER(INDEX('NCO-2015 scores'!$C$2:$C$131,MATCH(E733,'NCO-2015 scores'!$A$2:$A$131,0))),1,0),0)</f>
        <v>1</v>
      </c>
    </row>
    <row r="734" customFormat="false" ht="15" hidden="false" customHeight="false" outlineLevel="0" collapsed="false">
      <c r="A734" s="2" t="n">
        <v>732</v>
      </c>
      <c r="B734" s="2" t="s">
        <v>2514</v>
      </c>
      <c r="C734" s="2" t="s">
        <v>2515</v>
      </c>
      <c r="D734" s="2" t="s">
        <v>2516</v>
      </c>
      <c r="E734" s="2" t="str">
        <f aca="false">LEFT(C734,3)</f>
        <v>413</v>
      </c>
      <c r="F734" s="2" t="str">
        <f aca="false">IF(D734="","",LEFT(D734,3))</f>
        <v>411</v>
      </c>
      <c r="G734" s="2" t="str">
        <f aca="false">IF(F734="","",IF(E734=F734,"Yes","No"))</f>
        <v>No</v>
      </c>
      <c r="H734" s="2" t="n">
        <f aca="false">IF(D734="",0,1/COUNTIF($D$2:$D$3451,D734))</f>
        <v>1</v>
      </c>
      <c r="I734" s="13" t="n">
        <f aca="false">IFERROR(INDEX('NCO-2015 scores'!$C$2:$C$131,MATCH(E734,'NCO-2015 scores'!$A$2:$A$131,0)),0)</f>
        <v>0.675</v>
      </c>
      <c r="J734" s="13" t="n">
        <f aca="false">IF(ISNUMBER(MATCH(E734,'NCO-2015 scores'!$A$2:$A$131,0)),IF(ISNUMBER(INDEX('NCO-2015 scores'!$C$2:$C$131,MATCH(E734,'NCO-2015 scores'!$A$2:$A$131,0))),1,0),0)</f>
        <v>1</v>
      </c>
    </row>
    <row r="735" customFormat="false" ht="15" hidden="false" customHeight="false" outlineLevel="0" collapsed="false">
      <c r="A735" s="2" t="n">
        <v>733</v>
      </c>
      <c r="B735" s="2" t="s">
        <v>2517</v>
      </c>
      <c r="C735" s="2" t="s">
        <v>2518</v>
      </c>
      <c r="D735" s="2" t="s">
        <v>2519</v>
      </c>
      <c r="E735" s="2" t="str">
        <f aca="false">LEFT(C735,3)</f>
        <v>413</v>
      </c>
      <c r="F735" s="2" t="str">
        <f aca="false">IF(D735="","",LEFT(D735,3))</f>
        <v>411</v>
      </c>
      <c r="G735" s="2" t="str">
        <f aca="false">IF(F735="","",IF(E735=F735,"Yes","No"))</f>
        <v>No</v>
      </c>
      <c r="H735" s="2" t="n">
        <f aca="false">IF(D735="",0,1/COUNTIF($D$2:$D$3451,D735))</f>
        <v>1</v>
      </c>
      <c r="I735" s="13" t="n">
        <f aca="false">IFERROR(INDEX('NCO-2015 scores'!$C$2:$C$131,MATCH(E735,'NCO-2015 scores'!$A$2:$A$131,0)),0)</f>
        <v>0.675</v>
      </c>
      <c r="J735" s="13" t="n">
        <f aca="false">IF(ISNUMBER(MATCH(E735,'NCO-2015 scores'!$A$2:$A$131,0)),IF(ISNUMBER(INDEX('NCO-2015 scores'!$C$2:$C$131,MATCH(E735,'NCO-2015 scores'!$A$2:$A$131,0))),1,0),0)</f>
        <v>1</v>
      </c>
    </row>
    <row r="736" customFormat="false" ht="15" hidden="false" customHeight="false" outlineLevel="0" collapsed="false">
      <c r="A736" s="2" t="n">
        <v>734</v>
      </c>
      <c r="B736" s="2" t="s">
        <v>2520</v>
      </c>
      <c r="C736" s="2" t="s">
        <v>2521</v>
      </c>
      <c r="D736" s="2" t="s">
        <v>2522</v>
      </c>
      <c r="E736" s="2" t="str">
        <f aca="false">LEFT(C736,3)</f>
        <v>252</v>
      </c>
      <c r="F736" s="2" t="str">
        <f aca="false">IF(D736="","",LEFT(D736,3))</f>
        <v>213</v>
      </c>
      <c r="G736" s="2" t="str">
        <f aca="false">IF(F736="","",IF(E736=F736,"Yes","No"))</f>
        <v>No</v>
      </c>
      <c r="H736" s="2" t="n">
        <f aca="false">IF(D736="",0,1/COUNTIF($D$2:$D$3451,D736))</f>
        <v>1</v>
      </c>
      <c r="I736" s="13" t="n">
        <f aca="false">IFERROR(INDEX('NCO-2015 scores'!$C$2:$C$131,MATCH(E736,'NCO-2015 scores'!$A$2:$A$131,0)),0)</f>
        <v>0.5375</v>
      </c>
      <c r="J736" s="13" t="n">
        <f aca="false">IF(ISNUMBER(MATCH(E736,'NCO-2015 scores'!$A$2:$A$131,0)),IF(ISNUMBER(INDEX('NCO-2015 scores'!$C$2:$C$131,MATCH(E736,'NCO-2015 scores'!$A$2:$A$131,0))),1,0),0)</f>
        <v>1</v>
      </c>
    </row>
    <row r="737" customFormat="false" ht="15" hidden="false" customHeight="false" outlineLevel="0" collapsed="false">
      <c r="A737" s="2" t="n">
        <v>735</v>
      </c>
      <c r="B737" s="2" t="s">
        <v>2523</v>
      </c>
      <c r="C737" s="2" t="s">
        <v>2524</v>
      </c>
      <c r="D737" s="2"/>
      <c r="E737" s="2" t="str">
        <f aca="false">LEFT(C737,3)</f>
        <v>252</v>
      </c>
      <c r="F737" s="2" t="str">
        <f aca="false">IF(D737="","",LEFT(D737,3))</f>
        <v/>
      </c>
      <c r="G737" s="2" t="str">
        <f aca="false">IF(F737="","",IF(E737=F737,"Yes","No"))</f>
        <v/>
      </c>
      <c r="H737" s="2" t="n">
        <f aca="false">IF(D737="",0,1/COUNTIF($D$2:$D$3451,D737))</f>
        <v>0</v>
      </c>
      <c r="I737" s="13" t="n">
        <f aca="false">IFERROR(INDEX('NCO-2015 scores'!$C$2:$C$131,MATCH(E737,'NCO-2015 scores'!$A$2:$A$131,0)),0)</f>
        <v>0.5375</v>
      </c>
      <c r="J737" s="13" t="n">
        <f aca="false">IF(ISNUMBER(MATCH(E737,'NCO-2015 scores'!$A$2:$A$131,0)),IF(ISNUMBER(INDEX('NCO-2015 scores'!$C$2:$C$131,MATCH(E737,'NCO-2015 scores'!$A$2:$A$131,0))),1,0),0)</f>
        <v>1</v>
      </c>
    </row>
    <row r="738" customFormat="false" ht="15" hidden="false" customHeight="false" outlineLevel="0" collapsed="false">
      <c r="A738" s="2" t="n">
        <v>736</v>
      </c>
      <c r="B738" s="2" t="s">
        <v>2525</v>
      </c>
      <c r="C738" s="2" t="s">
        <v>2526</v>
      </c>
      <c r="D738" s="2" t="s">
        <v>2527</v>
      </c>
      <c r="E738" s="2" t="str">
        <f aca="false">LEFT(C738,3)</f>
        <v>421</v>
      </c>
      <c r="F738" s="2" t="str">
        <f aca="false">IF(D738="","",LEFT(D738,3))</f>
        <v>421</v>
      </c>
      <c r="G738" s="2" t="str">
        <f aca="false">IF(F738="","",IF(E738=F738,"Yes","No"))</f>
        <v>Yes</v>
      </c>
      <c r="H738" s="2" t="n">
        <f aca="false">IF(D738="",0,1/COUNTIF($D$2:$D$3451,D738))</f>
        <v>1</v>
      </c>
      <c r="I738" s="13" t="n">
        <f aca="false">IFERROR(INDEX('NCO-2015 scores'!$C$2:$C$131,MATCH(E738,'NCO-2015 scores'!$A$2:$A$131,0)),0)</f>
        <v>0.485</v>
      </c>
      <c r="J738" s="13" t="n">
        <f aca="false">IF(ISNUMBER(MATCH(E738,'NCO-2015 scores'!$A$2:$A$131,0)),IF(ISNUMBER(INDEX('NCO-2015 scores'!$C$2:$C$131,MATCH(E738,'NCO-2015 scores'!$A$2:$A$131,0))),1,0),0)</f>
        <v>1</v>
      </c>
    </row>
    <row r="739" customFormat="false" ht="15" hidden="false" customHeight="false" outlineLevel="0" collapsed="false">
      <c r="A739" s="2" t="n">
        <v>737</v>
      </c>
      <c r="B739" s="2" t="s">
        <v>2528</v>
      </c>
      <c r="C739" s="2" t="s">
        <v>2529</v>
      </c>
      <c r="D739" s="2"/>
      <c r="E739" s="2" t="str">
        <f aca="false">LEFT(C739,3)</f>
        <v>421</v>
      </c>
      <c r="F739" s="2" t="str">
        <f aca="false">IF(D739="","",LEFT(D739,3))</f>
        <v/>
      </c>
      <c r="G739" s="2" t="str">
        <f aca="false">IF(F739="","",IF(E739=F739,"Yes","No"))</f>
        <v/>
      </c>
      <c r="H739" s="2" t="n">
        <f aca="false">IF(D739="",0,1/COUNTIF($D$2:$D$3451,D739))</f>
        <v>0</v>
      </c>
      <c r="I739" s="13" t="n">
        <f aca="false">IFERROR(INDEX('NCO-2015 scores'!$C$2:$C$131,MATCH(E739,'NCO-2015 scores'!$A$2:$A$131,0)),0)</f>
        <v>0.485</v>
      </c>
      <c r="J739" s="13" t="n">
        <f aca="false">IF(ISNUMBER(MATCH(E739,'NCO-2015 scores'!$A$2:$A$131,0)),IF(ISNUMBER(INDEX('NCO-2015 scores'!$C$2:$C$131,MATCH(E739,'NCO-2015 scores'!$A$2:$A$131,0))),1,0),0)</f>
        <v>1</v>
      </c>
    </row>
    <row r="740" customFormat="false" ht="15" hidden="false" customHeight="false" outlineLevel="0" collapsed="false">
      <c r="A740" s="2" t="n">
        <v>738</v>
      </c>
      <c r="B740" s="2" t="s">
        <v>2530</v>
      </c>
      <c r="C740" s="2" t="s">
        <v>2531</v>
      </c>
      <c r="D740" s="2" t="s">
        <v>2532</v>
      </c>
      <c r="E740" s="2" t="str">
        <f aca="false">LEFT(C740,3)</f>
        <v>421</v>
      </c>
      <c r="F740" s="2" t="str">
        <f aca="false">IF(D740="","",LEFT(D740,3))</f>
        <v>421</v>
      </c>
      <c r="G740" s="2" t="str">
        <f aca="false">IF(F740="","",IF(E740=F740,"Yes","No"))</f>
        <v>Yes</v>
      </c>
      <c r="H740" s="2" t="n">
        <f aca="false">IF(D740="",0,1/COUNTIF($D$2:$D$3451,D740))</f>
        <v>1</v>
      </c>
      <c r="I740" s="13" t="n">
        <f aca="false">IFERROR(INDEX('NCO-2015 scores'!$C$2:$C$131,MATCH(E740,'NCO-2015 scores'!$A$2:$A$131,0)),0)</f>
        <v>0.485</v>
      </c>
      <c r="J740" s="13" t="n">
        <f aca="false">IF(ISNUMBER(MATCH(E740,'NCO-2015 scores'!$A$2:$A$131,0)),IF(ISNUMBER(INDEX('NCO-2015 scores'!$C$2:$C$131,MATCH(E740,'NCO-2015 scores'!$A$2:$A$131,0))),1,0),0)</f>
        <v>1</v>
      </c>
    </row>
    <row r="741" customFormat="false" ht="15" hidden="false" customHeight="false" outlineLevel="0" collapsed="false">
      <c r="A741" s="2" t="n">
        <v>739</v>
      </c>
      <c r="B741" s="2" t="s">
        <v>2533</v>
      </c>
      <c r="C741" s="2" t="s">
        <v>2534</v>
      </c>
      <c r="D741" s="2" t="s">
        <v>2535</v>
      </c>
      <c r="E741" s="2" t="str">
        <f aca="false">LEFT(C741,3)</f>
        <v>622</v>
      </c>
      <c r="F741" s="2" t="str">
        <f aca="false">IF(D741="","",LEFT(D741,3))</f>
        <v>615</v>
      </c>
      <c r="G741" s="2" t="str">
        <f aca="false">IF(F741="","",IF(E741=F741,"Yes","No"))</f>
        <v>No</v>
      </c>
      <c r="H741" s="2" t="n">
        <f aca="false">IF(D741="",0,1/COUNTIF($D$2:$D$3451,D741))</f>
        <v>1</v>
      </c>
      <c r="I741" s="13" t="n">
        <f aca="false">IFERROR(INDEX('NCO-2015 scores'!$C$2:$C$131,MATCH(E741,'NCO-2015 scores'!$A$2:$A$131,0)),0)</f>
        <v>0.165</v>
      </c>
      <c r="J741" s="13" t="n">
        <f aca="false">IF(ISNUMBER(MATCH(E741,'NCO-2015 scores'!$A$2:$A$131,0)),IF(ISNUMBER(INDEX('NCO-2015 scores'!$C$2:$C$131,MATCH(E741,'NCO-2015 scores'!$A$2:$A$131,0))),1,0),0)</f>
        <v>1</v>
      </c>
    </row>
    <row r="742" customFormat="false" ht="15" hidden="false" customHeight="false" outlineLevel="0" collapsed="false">
      <c r="A742" s="2" t="n">
        <v>740</v>
      </c>
      <c r="B742" s="2" t="s">
        <v>2536</v>
      </c>
      <c r="C742" s="2" t="s">
        <v>2537</v>
      </c>
      <c r="D742" s="2" t="s">
        <v>2538</v>
      </c>
      <c r="E742" s="2" t="str">
        <f aca="false">LEFT(C742,3)</f>
        <v>622</v>
      </c>
      <c r="F742" s="2" t="str">
        <f aca="false">IF(D742="","",LEFT(D742,3))</f>
        <v>615</v>
      </c>
      <c r="G742" s="2" t="str">
        <f aca="false">IF(F742="","",IF(E742=F742,"Yes","No"))</f>
        <v>No</v>
      </c>
      <c r="H742" s="2" t="n">
        <f aca="false">IF(D742="",0,1/COUNTIF($D$2:$D$3451,D742))</f>
        <v>1</v>
      </c>
      <c r="I742" s="13" t="n">
        <f aca="false">IFERROR(INDEX('NCO-2015 scores'!$C$2:$C$131,MATCH(E742,'NCO-2015 scores'!$A$2:$A$131,0)),0)</f>
        <v>0.165</v>
      </c>
      <c r="J742" s="13" t="n">
        <f aca="false">IF(ISNUMBER(MATCH(E742,'NCO-2015 scores'!$A$2:$A$131,0)),IF(ISNUMBER(INDEX('NCO-2015 scores'!$C$2:$C$131,MATCH(E742,'NCO-2015 scores'!$A$2:$A$131,0))),1,0),0)</f>
        <v>1</v>
      </c>
    </row>
    <row r="743" customFormat="false" ht="15" hidden="false" customHeight="false" outlineLevel="0" collapsed="false">
      <c r="A743" s="2" t="n">
        <v>741</v>
      </c>
      <c r="B743" s="2" t="s">
        <v>2539</v>
      </c>
      <c r="C743" s="2" t="s">
        <v>2540</v>
      </c>
      <c r="D743" s="2" t="s">
        <v>2541</v>
      </c>
      <c r="E743" s="2" t="str">
        <f aca="false">LEFT(C743,3)</f>
        <v>325</v>
      </c>
      <c r="F743" s="2" t="str">
        <f aca="false">IF(D743="","",LEFT(D743,3))</f>
        <v>322</v>
      </c>
      <c r="G743" s="2" t="str">
        <f aca="false">IF(F743="","",IF(E743=F743,"Yes","No"))</f>
        <v>No</v>
      </c>
      <c r="H743" s="2" t="n">
        <f aca="false">IF(D743="",0,1/COUNTIF($D$2:$D$3451,D743))</f>
        <v>1</v>
      </c>
      <c r="I743" s="13" t="n">
        <f aca="false">IFERROR(INDEX('NCO-2015 scores'!$C$2:$C$131,MATCH(E743,'NCO-2015 scores'!$A$2:$A$131,0)),0)</f>
        <v>0.2689</v>
      </c>
      <c r="J743" s="13" t="n">
        <f aca="false">IF(ISNUMBER(MATCH(E743,'NCO-2015 scores'!$A$2:$A$131,0)),IF(ISNUMBER(INDEX('NCO-2015 scores'!$C$2:$C$131,MATCH(E743,'NCO-2015 scores'!$A$2:$A$131,0))),1,0),0)</f>
        <v>1</v>
      </c>
    </row>
    <row r="744" customFormat="false" ht="15" hidden="false" customHeight="false" outlineLevel="0" collapsed="false">
      <c r="A744" s="2" t="n">
        <v>742</v>
      </c>
      <c r="B744" s="2" t="s">
        <v>2542</v>
      </c>
      <c r="C744" s="2" t="s">
        <v>2543</v>
      </c>
      <c r="D744" s="2" t="s">
        <v>2544</v>
      </c>
      <c r="E744" s="2" t="str">
        <f aca="false">LEFT(C744,3)</f>
        <v>325</v>
      </c>
      <c r="F744" s="2" t="str">
        <f aca="false">IF(D744="","",LEFT(D744,3))</f>
        <v>322</v>
      </c>
      <c r="G744" s="2" t="str">
        <f aca="false">IF(F744="","",IF(E744=F744,"Yes","No"))</f>
        <v>No</v>
      </c>
      <c r="H744" s="2" t="n">
        <f aca="false">IF(D744="",0,1/COUNTIF($D$2:$D$3451,D744))</f>
        <v>1</v>
      </c>
      <c r="I744" s="13" t="n">
        <f aca="false">IFERROR(INDEX('NCO-2015 scores'!$C$2:$C$131,MATCH(E744,'NCO-2015 scores'!$A$2:$A$131,0)),0)</f>
        <v>0.2689</v>
      </c>
      <c r="J744" s="13" t="n">
        <f aca="false">IF(ISNUMBER(MATCH(E744,'NCO-2015 scores'!$A$2:$A$131,0)),IF(ISNUMBER(INDEX('NCO-2015 scores'!$C$2:$C$131,MATCH(E744,'NCO-2015 scores'!$A$2:$A$131,0))),1,0),0)</f>
        <v>1</v>
      </c>
    </row>
    <row r="745" customFormat="false" ht="15" hidden="false" customHeight="false" outlineLevel="0" collapsed="false">
      <c r="A745" s="2" t="n">
        <v>743</v>
      </c>
      <c r="B745" s="2" t="s">
        <v>2545</v>
      </c>
      <c r="C745" s="2" t="s">
        <v>2546</v>
      </c>
      <c r="D745" s="2" t="s">
        <v>2547</v>
      </c>
      <c r="E745" s="2" t="str">
        <f aca="false">LEFT(C745,3)</f>
        <v>226</v>
      </c>
      <c r="F745" s="2" t="str">
        <f aca="false">IF(D745="","",LEFT(D745,3))</f>
        <v>222</v>
      </c>
      <c r="G745" s="2" t="str">
        <f aca="false">IF(F745="","",IF(E745=F745,"Yes","No"))</f>
        <v>No</v>
      </c>
      <c r="H745" s="2" t="n">
        <f aca="false">IF(D745="",0,1/COUNTIF($D$2:$D$3451,D745))</f>
        <v>1</v>
      </c>
      <c r="I745" s="13" t="n">
        <f aca="false">IFERROR(INDEX('NCO-2015 scores'!$C$2:$C$131,MATCH(E745,'NCO-2015 scores'!$A$2:$A$131,0)),0)</f>
        <v>0.2662</v>
      </c>
      <c r="J745" s="13" t="n">
        <f aca="false">IF(ISNUMBER(MATCH(E745,'NCO-2015 scores'!$A$2:$A$131,0)),IF(ISNUMBER(INDEX('NCO-2015 scores'!$C$2:$C$131,MATCH(E745,'NCO-2015 scores'!$A$2:$A$131,0))),1,0),0)</f>
        <v>1</v>
      </c>
    </row>
    <row r="746" customFormat="false" ht="15" hidden="false" customHeight="false" outlineLevel="0" collapsed="false">
      <c r="A746" s="2" t="n">
        <v>744</v>
      </c>
      <c r="B746" s="2" t="s">
        <v>2548</v>
      </c>
      <c r="C746" s="2" t="s">
        <v>2549</v>
      </c>
      <c r="D746" s="2" t="s">
        <v>2550</v>
      </c>
      <c r="E746" s="2" t="str">
        <f aca="false">LEFT(C746,3)</f>
        <v>226</v>
      </c>
      <c r="F746" s="2" t="str">
        <f aca="false">IF(D746="","",LEFT(D746,3))</f>
        <v>222</v>
      </c>
      <c r="G746" s="2" t="str">
        <f aca="false">IF(F746="","",IF(E746=F746,"Yes","No"))</f>
        <v>No</v>
      </c>
      <c r="H746" s="2" t="n">
        <f aca="false">IF(D746="",0,1/COUNTIF($D$2:$D$3451,D746))</f>
        <v>1</v>
      </c>
      <c r="I746" s="13" t="n">
        <f aca="false">IFERROR(INDEX('NCO-2015 scores'!$C$2:$C$131,MATCH(E746,'NCO-2015 scores'!$A$2:$A$131,0)),0)</f>
        <v>0.2662</v>
      </c>
      <c r="J746" s="13" t="n">
        <f aca="false">IF(ISNUMBER(MATCH(E746,'NCO-2015 scores'!$A$2:$A$131,0)),IF(ISNUMBER(INDEX('NCO-2015 scores'!$C$2:$C$131,MATCH(E746,'NCO-2015 scores'!$A$2:$A$131,0))),1,0),0)</f>
        <v>1</v>
      </c>
    </row>
    <row r="747" customFormat="false" ht="15" hidden="false" customHeight="false" outlineLevel="0" collapsed="false">
      <c r="A747" s="2" t="n">
        <v>745</v>
      </c>
      <c r="B747" s="2" t="s">
        <v>2551</v>
      </c>
      <c r="C747" s="2" t="s">
        <v>2552</v>
      </c>
      <c r="D747" s="2" t="s">
        <v>2553</v>
      </c>
      <c r="E747" s="2" t="str">
        <f aca="false">LEFT(C747,3)</f>
        <v>226</v>
      </c>
      <c r="F747" s="2" t="str">
        <f aca="false">IF(D747="","",LEFT(D747,3))</f>
        <v>222</v>
      </c>
      <c r="G747" s="2" t="str">
        <f aca="false">IF(F747="","",IF(E747=F747,"Yes","No"))</f>
        <v>No</v>
      </c>
      <c r="H747" s="2" t="n">
        <f aca="false">IF(D747="",0,1/COUNTIF($D$2:$D$3451,D747))</f>
        <v>1</v>
      </c>
      <c r="I747" s="13" t="n">
        <f aca="false">IFERROR(INDEX('NCO-2015 scores'!$C$2:$C$131,MATCH(E747,'NCO-2015 scores'!$A$2:$A$131,0)),0)</f>
        <v>0.2662</v>
      </c>
      <c r="J747" s="13" t="n">
        <f aca="false">IF(ISNUMBER(MATCH(E747,'NCO-2015 scores'!$A$2:$A$131,0)),IF(ISNUMBER(INDEX('NCO-2015 scores'!$C$2:$C$131,MATCH(E747,'NCO-2015 scores'!$A$2:$A$131,0))),1,0),0)</f>
        <v>1</v>
      </c>
    </row>
    <row r="748" customFormat="false" ht="15" hidden="false" customHeight="false" outlineLevel="0" collapsed="false">
      <c r="A748" s="2" t="n">
        <v>746</v>
      </c>
      <c r="B748" s="2" t="s">
        <v>2554</v>
      </c>
      <c r="C748" s="2" t="s">
        <v>2555</v>
      </c>
      <c r="D748" s="2" t="s">
        <v>2556</v>
      </c>
      <c r="E748" s="2" t="str">
        <f aca="false">LEFT(C748,3)</f>
        <v>226</v>
      </c>
      <c r="F748" s="2" t="str">
        <f aca="false">IF(D748="","",LEFT(D748,3))</f>
        <v>222</v>
      </c>
      <c r="G748" s="2" t="str">
        <f aca="false">IF(F748="","",IF(E748=F748,"Yes","No"))</f>
        <v>No</v>
      </c>
      <c r="H748" s="2" t="n">
        <f aca="false">IF(D748="",0,1/COUNTIF($D$2:$D$3451,D748))</f>
        <v>1</v>
      </c>
      <c r="I748" s="13" t="n">
        <f aca="false">IFERROR(INDEX('NCO-2015 scores'!$C$2:$C$131,MATCH(E748,'NCO-2015 scores'!$A$2:$A$131,0)),0)</f>
        <v>0.2662</v>
      </c>
      <c r="J748" s="13" t="n">
        <f aca="false">IF(ISNUMBER(MATCH(E748,'NCO-2015 scores'!$A$2:$A$131,0)),IF(ISNUMBER(INDEX('NCO-2015 scores'!$C$2:$C$131,MATCH(E748,'NCO-2015 scores'!$A$2:$A$131,0))),1,0),0)</f>
        <v>1</v>
      </c>
    </row>
    <row r="749" customFormat="false" ht="15" hidden="false" customHeight="false" outlineLevel="0" collapsed="false">
      <c r="A749" s="2" t="n">
        <v>747</v>
      </c>
      <c r="B749" s="2" t="s">
        <v>2557</v>
      </c>
      <c r="C749" s="2" t="s">
        <v>2558</v>
      </c>
      <c r="D749" s="2" t="s">
        <v>2559</v>
      </c>
      <c r="E749" s="2" t="str">
        <f aca="false">LEFT(C749,3)</f>
        <v>226</v>
      </c>
      <c r="F749" s="2" t="str">
        <f aca="false">IF(D749="","",LEFT(D749,3))</f>
        <v>222</v>
      </c>
      <c r="G749" s="2" t="str">
        <f aca="false">IF(F749="","",IF(E749=F749,"Yes","No"))</f>
        <v>No</v>
      </c>
      <c r="H749" s="2" t="n">
        <f aca="false">IF(D749="",0,1/COUNTIF($D$2:$D$3451,D749))</f>
        <v>1</v>
      </c>
      <c r="I749" s="13" t="n">
        <f aca="false">IFERROR(INDEX('NCO-2015 scores'!$C$2:$C$131,MATCH(E749,'NCO-2015 scores'!$A$2:$A$131,0)),0)</f>
        <v>0.2662</v>
      </c>
      <c r="J749" s="13" t="n">
        <f aca="false">IF(ISNUMBER(MATCH(E749,'NCO-2015 scores'!$A$2:$A$131,0)),IF(ISNUMBER(INDEX('NCO-2015 scores'!$C$2:$C$131,MATCH(E749,'NCO-2015 scores'!$A$2:$A$131,0))),1,0),0)</f>
        <v>1</v>
      </c>
    </row>
    <row r="750" customFormat="false" ht="15" hidden="false" customHeight="false" outlineLevel="0" collapsed="false">
      <c r="A750" s="2" t="n">
        <v>748</v>
      </c>
      <c r="B750" s="2" t="s">
        <v>2560</v>
      </c>
      <c r="C750" s="2" t="s">
        <v>2561</v>
      </c>
      <c r="D750" s="2" t="s">
        <v>2562</v>
      </c>
      <c r="E750" s="2" t="str">
        <f aca="false">LEFT(C750,3)</f>
        <v>226</v>
      </c>
      <c r="F750" s="2" t="str">
        <f aca="false">IF(D750="","",LEFT(D750,3))</f>
        <v>222</v>
      </c>
      <c r="G750" s="2" t="str">
        <f aca="false">IF(F750="","",IF(E750=F750,"Yes","No"))</f>
        <v>No</v>
      </c>
      <c r="H750" s="2" t="n">
        <f aca="false">IF(D750="",0,1/COUNTIF($D$2:$D$3451,D750))</f>
        <v>1</v>
      </c>
      <c r="I750" s="13" t="n">
        <f aca="false">IFERROR(INDEX('NCO-2015 scores'!$C$2:$C$131,MATCH(E750,'NCO-2015 scores'!$A$2:$A$131,0)),0)</f>
        <v>0.2662</v>
      </c>
      <c r="J750" s="13" t="n">
        <f aca="false">IF(ISNUMBER(MATCH(E750,'NCO-2015 scores'!$A$2:$A$131,0)),IF(ISNUMBER(INDEX('NCO-2015 scores'!$C$2:$C$131,MATCH(E750,'NCO-2015 scores'!$A$2:$A$131,0))),1,0),0)</f>
        <v>1</v>
      </c>
    </row>
    <row r="751" customFormat="false" ht="15" hidden="false" customHeight="false" outlineLevel="0" collapsed="false">
      <c r="A751" s="2" t="n">
        <v>749</v>
      </c>
      <c r="B751" s="2" t="s">
        <v>2563</v>
      </c>
      <c r="C751" s="2" t="s">
        <v>2564</v>
      </c>
      <c r="D751" s="2" t="s">
        <v>2565</v>
      </c>
      <c r="E751" s="2" t="str">
        <f aca="false">LEFT(C751,3)</f>
        <v>226</v>
      </c>
      <c r="F751" s="2" t="str">
        <f aca="false">IF(D751="","",LEFT(D751,3))</f>
        <v>222</v>
      </c>
      <c r="G751" s="2" t="str">
        <f aca="false">IF(F751="","",IF(E751=F751,"Yes","No"))</f>
        <v>No</v>
      </c>
      <c r="H751" s="2" t="n">
        <f aca="false">IF(D751="",0,1/COUNTIF($D$2:$D$3451,D751))</f>
        <v>1</v>
      </c>
      <c r="I751" s="13" t="n">
        <f aca="false">IFERROR(INDEX('NCO-2015 scores'!$C$2:$C$131,MATCH(E751,'NCO-2015 scores'!$A$2:$A$131,0)),0)</f>
        <v>0.2662</v>
      </c>
      <c r="J751" s="13" t="n">
        <f aca="false">IF(ISNUMBER(MATCH(E751,'NCO-2015 scores'!$A$2:$A$131,0)),IF(ISNUMBER(INDEX('NCO-2015 scores'!$C$2:$C$131,MATCH(E751,'NCO-2015 scores'!$A$2:$A$131,0))),1,0),0)</f>
        <v>1</v>
      </c>
    </row>
    <row r="752" customFormat="false" ht="15" hidden="false" customHeight="false" outlineLevel="0" collapsed="false">
      <c r="A752" s="2" t="n">
        <v>750</v>
      </c>
      <c r="B752" s="2" t="s">
        <v>2566</v>
      </c>
      <c r="C752" s="2" t="s">
        <v>2567</v>
      </c>
      <c r="D752" s="2"/>
      <c r="E752" s="2" t="str">
        <f aca="false">LEFT(C752,3)</f>
        <v>226</v>
      </c>
      <c r="F752" s="2" t="str">
        <f aca="false">IF(D752="","",LEFT(D752,3))</f>
        <v/>
      </c>
      <c r="G752" s="2" t="str">
        <f aca="false">IF(F752="","",IF(E752=F752,"Yes","No"))</f>
        <v/>
      </c>
      <c r="H752" s="2" t="n">
        <f aca="false">IF(D752="",0,1/COUNTIF($D$2:$D$3451,D752))</f>
        <v>0</v>
      </c>
      <c r="I752" s="13" t="n">
        <f aca="false">IFERROR(INDEX('NCO-2015 scores'!$C$2:$C$131,MATCH(E752,'NCO-2015 scores'!$A$2:$A$131,0)),0)</f>
        <v>0.2662</v>
      </c>
      <c r="J752" s="13" t="n">
        <f aca="false">IF(ISNUMBER(MATCH(E752,'NCO-2015 scores'!$A$2:$A$131,0)),IF(ISNUMBER(INDEX('NCO-2015 scores'!$C$2:$C$131,MATCH(E752,'NCO-2015 scores'!$A$2:$A$131,0))),1,0),0)</f>
        <v>1</v>
      </c>
    </row>
    <row r="753" customFormat="false" ht="15" hidden="false" customHeight="false" outlineLevel="0" collapsed="false">
      <c r="A753" s="2" t="n">
        <v>751</v>
      </c>
      <c r="B753" s="2" t="s">
        <v>2568</v>
      </c>
      <c r="C753" s="2" t="s">
        <v>2569</v>
      </c>
      <c r="D753" s="2" t="s">
        <v>2570</v>
      </c>
      <c r="E753" s="2" t="str">
        <f aca="false">LEFT(C753,3)</f>
        <v>226</v>
      </c>
      <c r="F753" s="2" t="str">
        <f aca="false">IF(D753="","",LEFT(D753,3))</f>
        <v>322</v>
      </c>
      <c r="G753" s="2" t="str">
        <f aca="false">IF(F753="","",IF(E753=F753,"Yes","No"))</f>
        <v>No</v>
      </c>
      <c r="H753" s="2" t="n">
        <f aca="false">IF(D753="",0,1/COUNTIF($D$2:$D$3451,D753))</f>
        <v>1</v>
      </c>
      <c r="I753" s="13" t="n">
        <f aca="false">IFERROR(INDEX('NCO-2015 scores'!$C$2:$C$131,MATCH(E753,'NCO-2015 scores'!$A$2:$A$131,0)),0)</f>
        <v>0.2662</v>
      </c>
      <c r="J753" s="13" t="n">
        <f aca="false">IF(ISNUMBER(MATCH(E753,'NCO-2015 scores'!$A$2:$A$131,0)),IF(ISNUMBER(INDEX('NCO-2015 scores'!$C$2:$C$131,MATCH(E753,'NCO-2015 scores'!$A$2:$A$131,0))),1,0),0)</f>
        <v>1</v>
      </c>
    </row>
    <row r="754" customFormat="false" ht="15" hidden="false" customHeight="false" outlineLevel="0" collapsed="false">
      <c r="A754" s="2" t="n">
        <v>752</v>
      </c>
      <c r="B754" s="2" t="s">
        <v>2571</v>
      </c>
      <c r="C754" s="2" t="s">
        <v>2572</v>
      </c>
      <c r="D754" s="2" t="s">
        <v>2573</v>
      </c>
      <c r="E754" s="2" t="str">
        <f aca="false">LEFT(C754,3)</f>
        <v>226</v>
      </c>
      <c r="F754" s="2" t="str">
        <f aca="false">IF(D754="","",LEFT(D754,3))</f>
        <v>322</v>
      </c>
      <c r="G754" s="2" t="str">
        <f aca="false">IF(F754="","",IF(E754=F754,"Yes","No"))</f>
        <v>No</v>
      </c>
      <c r="H754" s="2" t="n">
        <f aca="false">IF(D754="",0,1/COUNTIF($D$2:$D$3451,D754))</f>
        <v>1</v>
      </c>
      <c r="I754" s="13" t="n">
        <f aca="false">IFERROR(INDEX('NCO-2015 scores'!$C$2:$C$131,MATCH(E754,'NCO-2015 scores'!$A$2:$A$131,0)),0)</f>
        <v>0.2662</v>
      </c>
      <c r="J754" s="13" t="n">
        <f aca="false">IF(ISNUMBER(MATCH(E754,'NCO-2015 scores'!$A$2:$A$131,0)),IF(ISNUMBER(INDEX('NCO-2015 scores'!$C$2:$C$131,MATCH(E754,'NCO-2015 scores'!$A$2:$A$131,0))),1,0),0)</f>
        <v>1</v>
      </c>
    </row>
    <row r="755" customFormat="false" ht="15" hidden="false" customHeight="false" outlineLevel="0" collapsed="false">
      <c r="A755" s="2" t="n">
        <v>753</v>
      </c>
      <c r="B755" s="2" t="s">
        <v>2574</v>
      </c>
      <c r="C755" s="2" t="s">
        <v>2575</v>
      </c>
      <c r="D755" s="2" t="s">
        <v>2576</v>
      </c>
      <c r="E755" s="2" t="str">
        <f aca="false">LEFT(C755,3)</f>
        <v>226</v>
      </c>
      <c r="F755" s="2" t="str">
        <f aca="false">IF(D755="","",LEFT(D755,3))</f>
        <v>322</v>
      </c>
      <c r="G755" s="2" t="str">
        <f aca="false">IF(F755="","",IF(E755=F755,"Yes","No"))</f>
        <v>No</v>
      </c>
      <c r="H755" s="2" t="n">
        <f aca="false">IF(D755="",0,1/COUNTIF($D$2:$D$3451,D755))</f>
        <v>1</v>
      </c>
      <c r="I755" s="13" t="n">
        <f aca="false">IFERROR(INDEX('NCO-2015 scores'!$C$2:$C$131,MATCH(E755,'NCO-2015 scores'!$A$2:$A$131,0)),0)</f>
        <v>0.2662</v>
      </c>
      <c r="J755" s="13" t="n">
        <f aca="false">IF(ISNUMBER(MATCH(E755,'NCO-2015 scores'!$A$2:$A$131,0)),IF(ISNUMBER(INDEX('NCO-2015 scores'!$C$2:$C$131,MATCH(E755,'NCO-2015 scores'!$A$2:$A$131,0))),1,0),0)</f>
        <v>1</v>
      </c>
    </row>
    <row r="756" customFormat="false" ht="15" hidden="false" customHeight="false" outlineLevel="0" collapsed="false">
      <c r="A756" s="2" t="n">
        <v>754</v>
      </c>
      <c r="B756" s="2" t="s">
        <v>2577</v>
      </c>
      <c r="C756" s="2" t="s">
        <v>2578</v>
      </c>
      <c r="D756" s="2" t="s">
        <v>2579</v>
      </c>
      <c r="E756" s="2" t="str">
        <f aca="false">LEFT(C756,3)</f>
        <v>226</v>
      </c>
      <c r="F756" s="2" t="str">
        <f aca="false">IF(D756="","",LEFT(D756,3))</f>
        <v>322</v>
      </c>
      <c r="G756" s="2" t="str">
        <f aca="false">IF(F756="","",IF(E756=F756,"Yes","No"))</f>
        <v>No</v>
      </c>
      <c r="H756" s="2" t="n">
        <f aca="false">IF(D756="",0,1/COUNTIF($D$2:$D$3451,D756))</f>
        <v>1</v>
      </c>
      <c r="I756" s="13" t="n">
        <f aca="false">IFERROR(INDEX('NCO-2015 scores'!$C$2:$C$131,MATCH(E756,'NCO-2015 scores'!$A$2:$A$131,0)),0)</f>
        <v>0.2662</v>
      </c>
      <c r="J756" s="13" t="n">
        <f aca="false">IF(ISNUMBER(MATCH(E756,'NCO-2015 scores'!$A$2:$A$131,0)),IF(ISNUMBER(INDEX('NCO-2015 scores'!$C$2:$C$131,MATCH(E756,'NCO-2015 scores'!$A$2:$A$131,0))),1,0),0)</f>
        <v>1</v>
      </c>
    </row>
    <row r="757" customFormat="false" ht="15" hidden="false" customHeight="false" outlineLevel="0" collapsed="false">
      <c r="A757" s="2" t="n">
        <v>755</v>
      </c>
      <c r="B757" s="2" t="s">
        <v>2580</v>
      </c>
      <c r="C757" s="2" t="s">
        <v>2581</v>
      </c>
      <c r="D757" s="2" t="s">
        <v>2582</v>
      </c>
      <c r="E757" s="2" t="str">
        <f aca="false">LEFT(C757,3)</f>
        <v>325</v>
      </c>
      <c r="F757" s="2" t="str">
        <f aca="false">IF(D757="","",LEFT(D757,3))</f>
        <v>322</v>
      </c>
      <c r="G757" s="2" t="str">
        <f aca="false">IF(F757="","",IF(E757=F757,"Yes","No"))</f>
        <v>No</v>
      </c>
      <c r="H757" s="2" t="n">
        <f aca="false">IF(D757="",0,1/COUNTIF($D$2:$D$3451,D757))</f>
        <v>1</v>
      </c>
      <c r="I757" s="13" t="n">
        <f aca="false">IFERROR(INDEX('NCO-2015 scores'!$C$2:$C$131,MATCH(E757,'NCO-2015 scores'!$A$2:$A$131,0)),0)</f>
        <v>0.2689</v>
      </c>
      <c r="J757" s="13" t="n">
        <f aca="false">IF(ISNUMBER(MATCH(E757,'NCO-2015 scores'!$A$2:$A$131,0)),IF(ISNUMBER(INDEX('NCO-2015 scores'!$C$2:$C$131,MATCH(E757,'NCO-2015 scores'!$A$2:$A$131,0))),1,0),0)</f>
        <v>1</v>
      </c>
    </row>
    <row r="758" customFormat="false" ht="15" hidden="false" customHeight="false" outlineLevel="0" collapsed="false">
      <c r="A758" s="2" t="n">
        <v>756</v>
      </c>
      <c r="B758" s="2" t="s">
        <v>2583</v>
      </c>
      <c r="C758" s="2" t="s">
        <v>2584</v>
      </c>
      <c r="D758" s="2" t="s">
        <v>2585</v>
      </c>
      <c r="E758" s="2" t="str">
        <f aca="false">LEFT(C758,3)</f>
        <v>325</v>
      </c>
      <c r="F758" s="2" t="str">
        <f aca="false">IF(D758="","",LEFT(D758,3))</f>
        <v>322</v>
      </c>
      <c r="G758" s="2" t="str">
        <f aca="false">IF(F758="","",IF(E758=F758,"Yes","No"))</f>
        <v>No</v>
      </c>
      <c r="H758" s="2" t="n">
        <f aca="false">IF(D758="",0,1/COUNTIF($D$2:$D$3451,D758))</f>
        <v>1</v>
      </c>
      <c r="I758" s="13" t="n">
        <f aca="false">IFERROR(INDEX('NCO-2015 scores'!$C$2:$C$131,MATCH(E758,'NCO-2015 scores'!$A$2:$A$131,0)),0)</f>
        <v>0.2689</v>
      </c>
      <c r="J758" s="13" t="n">
        <f aca="false">IF(ISNUMBER(MATCH(E758,'NCO-2015 scores'!$A$2:$A$131,0)),IF(ISNUMBER(INDEX('NCO-2015 scores'!$C$2:$C$131,MATCH(E758,'NCO-2015 scores'!$A$2:$A$131,0))),1,0),0)</f>
        <v>1</v>
      </c>
    </row>
    <row r="759" customFormat="false" ht="15" hidden="false" customHeight="false" outlineLevel="0" collapsed="false">
      <c r="A759" s="2" t="n">
        <v>757</v>
      </c>
      <c r="B759" s="2" t="s">
        <v>2586</v>
      </c>
      <c r="C759" s="2" t="s">
        <v>2587</v>
      </c>
      <c r="D759" s="2"/>
      <c r="E759" s="2" t="str">
        <f aca="false">LEFT(C759,3)</f>
        <v>325</v>
      </c>
      <c r="F759" s="2" t="str">
        <f aca="false">IF(D759="","",LEFT(D759,3))</f>
        <v/>
      </c>
      <c r="G759" s="2" t="str">
        <f aca="false">IF(F759="","",IF(E759=F759,"Yes","No"))</f>
        <v/>
      </c>
      <c r="H759" s="2" t="n">
        <f aca="false">IF(D759="",0,1/COUNTIF($D$2:$D$3451,D759))</f>
        <v>0</v>
      </c>
      <c r="I759" s="13" t="n">
        <f aca="false">IFERROR(INDEX('NCO-2015 scores'!$C$2:$C$131,MATCH(E759,'NCO-2015 scores'!$A$2:$A$131,0)),0)</f>
        <v>0.2689</v>
      </c>
      <c r="J759" s="13" t="n">
        <f aca="false">IF(ISNUMBER(MATCH(E759,'NCO-2015 scores'!$A$2:$A$131,0)),IF(ISNUMBER(INDEX('NCO-2015 scores'!$C$2:$C$131,MATCH(E759,'NCO-2015 scores'!$A$2:$A$131,0))),1,0),0)</f>
        <v>1</v>
      </c>
    </row>
    <row r="760" customFormat="false" ht="15" hidden="false" customHeight="false" outlineLevel="0" collapsed="false">
      <c r="A760" s="2" t="n">
        <v>758</v>
      </c>
      <c r="B760" s="2" t="s">
        <v>2588</v>
      </c>
      <c r="C760" s="2" t="s">
        <v>2589</v>
      </c>
      <c r="D760" s="2" t="s">
        <v>2590</v>
      </c>
      <c r="E760" s="2" t="str">
        <f aca="false">LEFT(C760,3)</f>
        <v>911</v>
      </c>
      <c r="F760" s="2" t="str">
        <f aca="false">IF(D760="","",LEFT(D760,3))</f>
        <v>913</v>
      </c>
      <c r="G760" s="2" t="str">
        <f aca="false">IF(F760="","",IF(E760=F760,"Yes","No"))</f>
        <v>No</v>
      </c>
      <c r="H760" s="2" t="n">
        <f aca="false">IF(D760="",0,1/COUNTIF($D$2:$D$3451,D760))</f>
        <v>1</v>
      </c>
      <c r="I760" s="13" t="n">
        <f aca="false">IFERROR(INDEX('NCO-2015 scores'!$C$2:$C$131,MATCH(E760,'NCO-2015 scores'!$A$2:$A$131,0)),0)</f>
        <v>0.13</v>
      </c>
      <c r="J760" s="13" t="n">
        <f aca="false">IF(ISNUMBER(MATCH(E760,'NCO-2015 scores'!$A$2:$A$131,0)),IF(ISNUMBER(INDEX('NCO-2015 scores'!$C$2:$C$131,MATCH(E760,'NCO-2015 scores'!$A$2:$A$131,0))),1,0),0)</f>
        <v>1</v>
      </c>
    </row>
    <row r="761" customFormat="false" ht="15" hidden="false" customHeight="false" outlineLevel="0" collapsed="false">
      <c r="A761" s="2" t="n">
        <v>759</v>
      </c>
      <c r="B761" s="2" t="s">
        <v>2591</v>
      </c>
      <c r="C761" s="2" t="s">
        <v>2592</v>
      </c>
      <c r="D761" s="2" t="s">
        <v>2593</v>
      </c>
      <c r="E761" s="2" t="str">
        <f aca="false">LEFT(C761,3)</f>
        <v>911</v>
      </c>
      <c r="F761" s="2" t="str">
        <f aca="false">IF(D761="","",LEFT(D761,3))</f>
        <v>913</v>
      </c>
      <c r="G761" s="2" t="str">
        <f aca="false">IF(F761="","",IF(E761=F761,"Yes","No"))</f>
        <v>No</v>
      </c>
      <c r="H761" s="2" t="n">
        <f aca="false">IF(D761="",0,1/COUNTIF($D$2:$D$3451,D761))</f>
        <v>1</v>
      </c>
      <c r="I761" s="13" t="n">
        <f aca="false">IFERROR(INDEX('NCO-2015 scores'!$C$2:$C$131,MATCH(E761,'NCO-2015 scores'!$A$2:$A$131,0)),0)</f>
        <v>0.13</v>
      </c>
      <c r="J761" s="13" t="n">
        <f aca="false">IF(ISNUMBER(MATCH(E761,'NCO-2015 scores'!$A$2:$A$131,0)),IF(ISNUMBER(INDEX('NCO-2015 scores'!$C$2:$C$131,MATCH(E761,'NCO-2015 scores'!$A$2:$A$131,0))),1,0),0)</f>
        <v>1</v>
      </c>
    </row>
    <row r="762" customFormat="false" ht="15" hidden="false" customHeight="false" outlineLevel="0" collapsed="false">
      <c r="A762" s="2" t="n">
        <v>760</v>
      </c>
      <c r="B762" s="2" t="s">
        <v>2594</v>
      </c>
      <c r="C762" s="2" t="s">
        <v>2595</v>
      </c>
      <c r="D762" s="2" t="s">
        <v>2596</v>
      </c>
      <c r="E762" s="2" t="str">
        <f aca="false">LEFT(C762,3)</f>
        <v>911</v>
      </c>
      <c r="F762" s="2" t="str">
        <f aca="false">IF(D762="","",LEFT(D762,3))</f>
        <v>913</v>
      </c>
      <c r="G762" s="2" t="str">
        <f aca="false">IF(F762="","",IF(E762=F762,"Yes","No"))</f>
        <v>No</v>
      </c>
      <c r="H762" s="2" t="n">
        <f aca="false">IF(D762="",0,1/COUNTIF($D$2:$D$3451,D762))</f>
        <v>1</v>
      </c>
      <c r="I762" s="13" t="n">
        <f aca="false">IFERROR(INDEX('NCO-2015 scores'!$C$2:$C$131,MATCH(E762,'NCO-2015 scores'!$A$2:$A$131,0)),0)</f>
        <v>0.13</v>
      </c>
      <c r="J762" s="13" t="n">
        <f aca="false">IF(ISNUMBER(MATCH(E762,'NCO-2015 scores'!$A$2:$A$131,0)),IF(ISNUMBER(INDEX('NCO-2015 scores'!$C$2:$C$131,MATCH(E762,'NCO-2015 scores'!$A$2:$A$131,0))),1,0),0)</f>
        <v>1</v>
      </c>
    </row>
    <row r="763" customFormat="false" ht="15" hidden="false" customHeight="false" outlineLevel="0" collapsed="false">
      <c r="A763" s="2" t="n">
        <v>761</v>
      </c>
      <c r="B763" s="2" t="s">
        <v>2597</v>
      </c>
      <c r="C763" s="2" t="s">
        <v>2598</v>
      </c>
      <c r="D763" s="2" t="s">
        <v>2599</v>
      </c>
      <c r="E763" s="2" t="str">
        <f aca="false">LEFT(C763,3)</f>
        <v>911</v>
      </c>
      <c r="F763" s="2" t="str">
        <f aca="false">IF(D763="","",LEFT(D763,3))</f>
        <v>913</v>
      </c>
      <c r="G763" s="2" t="str">
        <f aca="false">IF(F763="","",IF(E763=F763,"Yes","No"))</f>
        <v>No</v>
      </c>
      <c r="H763" s="2" t="n">
        <f aca="false">IF(D763="",0,1/COUNTIF($D$2:$D$3451,D763))</f>
        <v>1</v>
      </c>
      <c r="I763" s="13" t="n">
        <f aca="false">IFERROR(INDEX('NCO-2015 scores'!$C$2:$C$131,MATCH(E763,'NCO-2015 scores'!$A$2:$A$131,0)),0)</f>
        <v>0.13</v>
      </c>
      <c r="J763" s="13" t="n">
        <f aca="false">IF(ISNUMBER(MATCH(E763,'NCO-2015 scores'!$A$2:$A$131,0)),IF(ISNUMBER(INDEX('NCO-2015 scores'!$C$2:$C$131,MATCH(E763,'NCO-2015 scores'!$A$2:$A$131,0))),1,0),0)</f>
        <v>1</v>
      </c>
    </row>
    <row r="764" customFormat="false" ht="15" hidden="false" customHeight="false" outlineLevel="0" collapsed="false">
      <c r="A764" s="2" t="n">
        <v>762</v>
      </c>
      <c r="B764" s="2" t="s">
        <v>2600</v>
      </c>
      <c r="C764" s="2" t="s">
        <v>2601</v>
      </c>
      <c r="D764" s="2"/>
      <c r="E764" s="2" t="str">
        <f aca="false">LEFT(C764,3)</f>
        <v>515</v>
      </c>
      <c r="F764" s="2" t="str">
        <f aca="false">IF(D764="","",LEFT(D764,3))</f>
        <v/>
      </c>
      <c r="G764" s="2" t="str">
        <f aca="false">IF(F764="","",IF(E764=F764,"Yes","No"))</f>
        <v/>
      </c>
      <c r="H764" s="2" t="n">
        <f aca="false">IF(D764="",0,1/COUNTIF($D$2:$D$3451,D764))</f>
        <v>0</v>
      </c>
      <c r="I764" s="13" t="n">
        <f aca="false">IFERROR(INDEX('NCO-2015 scores'!$C$2:$C$131,MATCH(E764,'NCO-2015 scores'!$A$2:$A$131,0)),0)</f>
        <v>0.23</v>
      </c>
      <c r="J764" s="13" t="n">
        <f aca="false">IF(ISNUMBER(MATCH(E764,'NCO-2015 scores'!$A$2:$A$131,0)),IF(ISNUMBER(INDEX('NCO-2015 scores'!$C$2:$C$131,MATCH(E764,'NCO-2015 scores'!$A$2:$A$131,0))),1,0),0)</f>
        <v>1</v>
      </c>
    </row>
    <row r="765" customFormat="false" ht="15" hidden="false" customHeight="false" outlineLevel="0" collapsed="false">
      <c r="A765" s="2" t="n">
        <v>763</v>
      </c>
      <c r="B765" s="2" t="s">
        <v>2602</v>
      </c>
      <c r="C765" s="2" t="s">
        <v>2603</v>
      </c>
      <c r="D765" s="2" t="s">
        <v>2604</v>
      </c>
      <c r="E765" s="2" t="str">
        <f aca="false">LEFT(C765,3)</f>
        <v>515</v>
      </c>
      <c r="F765" s="2" t="str">
        <f aca="false">IF(D765="","",LEFT(D765,3))</f>
        <v>512</v>
      </c>
      <c r="G765" s="2" t="str">
        <f aca="false">IF(F765="","",IF(E765=F765,"Yes","No"))</f>
        <v>No</v>
      </c>
      <c r="H765" s="2" t="n">
        <f aca="false">IF(D765="",0,1/COUNTIF($D$2:$D$3451,D765))</f>
        <v>1</v>
      </c>
      <c r="I765" s="13" t="n">
        <f aca="false">IFERROR(INDEX('NCO-2015 scores'!$C$2:$C$131,MATCH(E765,'NCO-2015 scores'!$A$2:$A$131,0)),0)</f>
        <v>0.23</v>
      </c>
      <c r="J765" s="13" t="n">
        <f aca="false">IF(ISNUMBER(MATCH(E765,'NCO-2015 scores'!$A$2:$A$131,0)),IF(ISNUMBER(INDEX('NCO-2015 scores'!$C$2:$C$131,MATCH(E765,'NCO-2015 scores'!$A$2:$A$131,0))),1,0),0)</f>
        <v>1</v>
      </c>
    </row>
    <row r="766" customFormat="false" ht="15" hidden="false" customHeight="false" outlineLevel="0" collapsed="false">
      <c r="A766" s="2" t="n">
        <v>764</v>
      </c>
      <c r="B766" s="2" t="s">
        <v>2605</v>
      </c>
      <c r="C766" s="2" t="s">
        <v>2606</v>
      </c>
      <c r="D766" s="2" t="s">
        <v>2607</v>
      </c>
      <c r="E766" s="2" t="str">
        <f aca="false">LEFT(C766,3)</f>
        <v>524</v>
      </c>
      <c r="F766" s="2" t="str">
        <f aca="false">IF(D766="","",LEFT(D766,3))</f>
        <v>911</v>
      </c>
      <c r="G766" s="2" t="str">
        <f aca="false">IF(F766="","",IF(E766=F766,"Yes","No"))</f>
        <v>No</v>
      </c>
      <c r="H766" s="2" t="n">
        <f aca="false">IF(D766="",0,1/COUNTIF($D$2:$D$3451,D766))</f>
        <v>1</v>
      </c>
      <c r="I766" s="13" t="n">
        <f aca="false">IFERROR(INDEX('NCO-2015 scores'!$C$2:$C$131,MATCH(E766,'NCO-2015 scores'!$A$2:$A$131,0)),0)</f>
        <v>0.37</v>
      </c>
      <c r="J766" s="13" t="n">
        <f aca="false">IF(ISNUMBER(MATCH(E766,'NCO-2015 scores'!$A$2:$A$131,0)),IF(ISNUMBER(INDEX('NCO-2015 scores'!$C$2:$C$131,MATCH(E766,'NCO-2015 scores'!$A$2:$A$131,0))),1,0),0)</f>
        <v>1</v>
      </c>
    </row>
    <row r="767" customFormat="false" ht="15" hidden="false" customHeight="false" outlineLevel="0" collapsed="false">
      <c r="A767" s="2" t="n">
        <v>765</v>
      </c>
      <c r="B767" s="2" t="s">
        <v>2608</v>
      </c>
      <c r="C767" s="2" t="s">
        <v>2609</v>
      </c>
      <c r="D767" s="2"/>
      <c r="E767" s="2" t="str">
        <f aca="false">LEFT(C767,3)</f>
        <v>524</v>
      </c>
      <c r="F767" s="2" t="str">
        <f aca="false">IF(D767="","",LEFT(D767,3))</f>
        <v/>
      </c>
      <c r="G767" s="2" t="str">
        <f aca="false">IF(F767="","",IF(E767=F767,"Yes","No"))</f>
        <v/>
      </c>
      <c r="H767" s="2" t="n">
        <f aca="false">IF(D767="",0,1/COUNTIF($D$2:$D$3451,D767))</f>
        <v>0</v>
      </c>
      <c r="I767" s="13" t="n">
        <f aca="false">IFERROR(INDEX('NCO-2015 scores'!$C$2:$C$131,MATCH(E767,'NCO-2015 scores'!$A$2:$A$131,0)),0)</f>
        <v>0.37</v>
      </c>
      <c r="J767" s="13" t="n">
        <f aca="false">IF(ISNUMBER(MATCH(E767,'NCO-2015 scores'!$A$2:$A$131,0)),IF(ISNUMBER(INDEX('NCO-2015 scores'!$C$2:$C$131,MATCH(E767,'NCO-2015 scores'!$A$2:$A$131,0))),1,0),0)</f>
        <v>1</v>
      </c>
    </row>
    <row r="768" customFormat="false" ht="15" hidden="false" customHeight="false" outlineLevel="0" collapsed="false">
      <c r="A768" s="2" t="n">
        <v>766</v>
      </c>
      <c r="B768" s="2" t="s">
        <v>2610</v>
      </c>
      <c r="C768" s="2" t="s">
        <v>2611</v>
      </c>
      <c r="D768" s="2"/>
      <c r="E768" s="2" t="str">
        <f aca="false">LEFT(C768,3)</f>
        <v>524</v>
      </c>
      <c r="F768" s="2" t="str">
        <f aca="false">IF(D768="","",LEFT(D768,3))</f>
        <v/>
      </c>
      <c r="G768" s="2" t="str">
        <f aca="false">IF(F768="","",IF(E768=F768,"Yes","No"))</f>
        <v/>
      </c>
      <c r="H768" s="2" t="n">
        <f aca="false">IF(D768="",0,1/COUNTIF($D$2:$D$3451,D768))</f>
        <v>0</v>
      </c>
      <c r="I768" s="13" t="n">
        <f aca="false">IFERROR(INDEX('NCO-2015 scores'!$C$2:$C$131,MATCH(E768,'NCO-2015 scores'!$A$2:$A$131,0)),0)</f>
        <v>0.37</v>
      </c>
      <c r="J768" s="13" t="n">
        <f aca="false">IF(ISNUMBER(MATCH(E768,'NCO-2015 scores'!$A$2:$A$131,0)),IF(ISNUMBER(INDEX('NCO-2015 scores'!$C$2:$C$131,MATCH(E768,'NCO-2015 scores'!$A$2:$A$131,0))),1,0),0)</f>
        <v>1</v>
      </c>
    </row>
    <row r="769" customFormat="false" ht="15" hidden="false" customHeight="false" outlineLevel="0" collapsed="false">
      <c r="A769" s="2" t="n">
        <v>767</v>
      </c>
      <c r="B769" s="2" t="s">
        <v>2612</v>
      </c>
      <c r="C769" s="2" t="s">
        <v>2613</v>
      </c>
      <c r="D769" s="2"/>
      <c r="E769" s="2" t="str">
        <f aca="false">LEFT(C769,3)</f>
        <v>524</v>
      </c>
      <c r="F769" s="2" t="str">
        <f aca="false">IF(D769="","",LEFT(D769,3))</f>
        <v/>
      </c>
      <c r="G769" s="2" t="str">
        <f aca="false">IF(F769="","",IF(E769=F769,"Yes","No"))</f>
        <v/>
      </c>
      <c r="H769" s="2" t="n">
        <f aca="false">IF(D769="",0,1/COUNTIF($D$2:$D$3451,D769))</f>
        <v>0</v>
      </c>
      <c r="I769" s="13" t="n">
        <f aca="false">IFERROR(INDEX('NCO-2015 scores'!$C$2:$C$131,MATCH(E769,'NCO-2015 scores'!$A$2:$A$131,0)),0)</f>
        <v>0.37</v>
      </c>
      <c r="J769" s="13" t="n">
        <f aca="false">IF(ISNUMBER(MATCH(E769,'NCO-2015 scores'!$A$2:$A$131,0)),IF(ISNUMBER(INDEX('NCO-2015 scores'!$C$2:$C$131,MATCH(E769,'NCO-2015 scores'!$A$2:$A$131,0))),1,0),0)</f>
        <v>1</v>
      </c>
    </row>
    <row r="770" customFormat="false" ht="15" hidden="false" customHeight="false" outlineLevel="0" collapsed="false">
      <c r="A770" s="2" t="n">
        <v>768</v>
      </c>
      <c r="B770" s="2" t="s">
        <v>2614</v>
      </c>
      <c r="C770" s="2" t="s">
        <v>2615</v>
      </c>
      <c r="D770" s="2" t="s">
        <v>2616</v>
      </c>
      <c r="E770" s="2" t="str">
        <f aca="false">LEFT(C770,3)</f>
        <v>524</v>
      </c>
      <c r="F770" s="2" t="str">
        <f aca="false">IF(D770="","",LEFT(D770,3))</f>
        <v>911</v>
      </c>
      <c r="G770" s="2" t="str">
        <f aca="false">IF(F770="","",IF(E770=F770,"Yes","No"))</f>
        <v>No</v>
      </c>
      <c r="H770" s="2" t="n">
        <f aca="false">IF(D770="",0,1/COUNTIF($D$2:$D$3451,D770))</f>
        <v>1</v>
      </c>
      <c r="I770" s="13" t="n">
        <f aca="false">IFERROR(INDEX('NCO-2015 scores'!$C$2:$C$131,MATCH(E770,'NCO-2015 scores'!$A$2:$A$131,0)),0)</f>
        <v>0.37</v>
      </c>
      <c r="J770" s="13" t="n">
        <f aca="false">IF(ISNUMBER(MATCH(E770,'NCO-2015 scores'!$A$2:$A$131,0)),IF(ISNUMBER(INDEX('NCO-2015 scores'!$C$2:$C$131,MATCH(E770,'NCO-2015 scores'!$A$2:$A$131,0))),1,0),0)</f>
        <v>1</v>
      </c>
    </row>
    <row r="771" customFormat="false" ht="15" hidden="false" customHeight="false" outlineLevel="0" collapsed="false">
      <c r="A771" s="2" t="n">
        <v>769</v>
      </c>
      <c r="B771" s="2" t="s">
        <v>2617</v>
      </c>
      <c r="C771" s="2" t="s">
        <v>2618</v>
      </c>
      <c r="D771" s="2" t="s">
        <v>2619</v>
      </c>
      <c r="E771" s="2" t="str">
        <f aca="false">LEFT(C771,3)</f>
        <v>524</v>
      </c>
      <c r="F771" s="2" t="str">
        <f aca="false">IF(D771="","",LEFT(D771,3))</f>
        <v>911</v>
      </c>
      <c r="G771" s="2" t="str">
        <f aca="false">IF(F771="","",IF(E771=F771,"Yes","No"))</f>
        <v>No</v>
      </c>
      <c r="H771" s="2" t="n">
        <f aca="false">IF(D771="",0,1/COUNTIF($D$2:$D$3451,D771))</f>
        <v>1</v>
      </c>
      <c r="I771" s="13" t="n">
        <f aca="false">IFERROR(INDEX('NCO-2015 scores'!$C$2:$C$131,MATCH(E771,'NCO-2015 scores'!$A$2:$A$131,0)),0)</f>
        <v>0.37</v>
      </c>
      <c r="J771" s="13" t="n">
        <f aca="false">IF(ISNUMBER(MATCH(E771,'NCO-2015 scores'!$A$2:$A$131,0)),IF(ISNUMBER(INDEX('NCO-2015 scores'!$C$2:$C$131,MATCH(E771,'NCO-2015 scores'!$A$2:$A$131,0))),1,0),0)</f>
        <v>1</v>
      </c>
    </row>
    <row r="772" customFormat="false" ht="15" hidden="false" customHeight="false" outlineLevel="0" collapsed="false">
      <c r="A772" s="2" t="n">
        <v>770</v>
      </c>
      <c r="B772" s="2" t="s">
        <v>2620</v>
      </c>
      <c r="C772" s="2" t="s">
        <v>2621</v>
      </c>
      <c r="D772" s="2" t="s">
        <v>2622</v>
      </c>
      <c r="E772" s="2" t="str">
        <f aca="false">LEFT(C772,3)</f>
        <v>524</v>
      </c>
      <c r="F772" s="2" t="str">
        <f aca="false">IF(D772="","",LEFT(D772,3))</f>
        <v>911</v>
      </c>
      <c r="G772" s="2" t="str">
        <f aca="false">IF(F772="","",IF(E772=F772,"Yes","No"))</f>
        <v>No</v>
      </c>
      <c r="H772" s="2" t="n">
        <f aca="false">IF(D772="",0,1/COUNTIF($D$2:$D$3451,D772))</f>
        <v>1</v>
      </c>
      <c r="I772" s="13" t="n">
        <f aca="false">IFERROR(INDEX('NCO-2015 scores'!$C$2:$C$131,MATCH(E772,'NCO-2015 scores'!$A$2:$A$131,0)),0)</f>
        <v>0.37</v>
      </c>
      <c r="J772" s="13" t="n">
        <f aca="false">IF(ISNUMBER(MATCH(E772,'NCO-2015 scores'!$A$2:$A$131,0)),IF(ISNUMBER(INDEX('NCO-2015 scores'!$C$2:$C$131,MATCH(E772,'NCO-2015 scores'!$A$2:$A$131,0))),1,0),0)</f>
        <v>1</v>
      </c>
    </row>
    <row r="773" customFormat="false" ht="15" hidden="false" customHeight="false" outlineLevel="0" collapsed="false">
      <c r="A773" s="2" t="n">
        <v>771</v>
      </c>
      <c r="B773" s="2" t="s">
        <v>2623</v>
      </c>
      <c r="C773" s="2" t="s">
        <v>2624</v>
      </c>
      <c r="D773" s="2"/>
      <c r="E773" s="2" t="str">
        <f aca="false">LEFT(C773,3)</f>
        <v>311</v>
      </c>
      <c r="F773" s="2" t="str">
        <f aca="false">IF(D773="","",LEFT(D773,3))</f>
        <v/>
      </c>
      <c r="G773" s="2" t="str">
        <f aca="false">IF(F773="","",IF(E773=F773,"Yes","No"))</f>
        <v/>
      </c>
      <c r="H773" s="2" t="n">
        <f aca="false">IF(D773="",0,1/COUNTIF($D$2:$D$3451,D773))</f>
        <v>0</v>
      </c>
      <c r="I773" s="13" t="n">
        <f aca="false">IFERROR(INDEX('NCO-2015 scores'!$C$2:$C$131,MATCH(E773,'NCO-2015 scores'!$A$2:$A$131,0)),0)</f>
        <v>0.2956</v>
      </c>
      <c r="J773" s="13" t="n">
        <f aca="false">IF(ISNUMBER(MATCH(E773,'NCO-2015 scores'!$A$2:$A$131,0)),IF(ISNUMBER(INDEX('NCO-2015 scores'!$C$2:$C$131,MATCH(E773,'NCO-2015 scores'!$A$2:$A$131,0))),1,0),0)</f>
        <v>1</v>
      </c>
    </row>
    <row r="774" customFormat="false" ht="15" hidden="false" customHeight="false" outlineLevel="0" collapsed="false">
      <c r="A774" s="2" t="n">
        <v>772</v>
      </c>
      <c r="B774" s="2" t="s">
        <v>2625</v>
      </c>
      <c r="C774" s="2" t="s">
        <v>2626</v>
      </c>
      <c r="D774" s="2"/>
      <c r="E774" s="2" t="str">
        <f aca="false">LEFT(C774,3)</f>
        <v>311</v>
      </c>
      <c r="F774" s="2" t="str">
        <f aca="false">IF(D774="","",LEFT(D774,3))</f>
        <v/>
      </c>
      <c r="G774" s="2" t="str">
        <f aca="false">IF(F774="","",IF(E774=F774,"Yes","No"))</f>
        <v/>
      </c>
      <c r="H774" s="2" t="n">
        <f aca="false">IF(D774="",0,1/COUNTIF($D$2:$D$3451,D774))</f>
        <v>0</v>
      </c>
      <c r="I774" s="13" t="n">
        <f aca="false">IFERROR(INDEX('NCO-2015 scores'!$C$2:$C$131,MATCH(E774,'NCO-2015 scores'!$A$2:$A$131,0)),0)</f>
        <v>0.2956</v>
      </c>
      <c r="J774" s="13" t="n">
        <f aca="false">IF(ISNUMBER(MATCH(E774,'NCO-2015 scores'!$A$2:$A$131,0)),IF(ISNUMBER(INDEX('NCO-2015 scores'!$C$2:$C$131,MATCH(E774,'NCO-2015 scores'!$A$2:$A$131,0))),1,0),0)</f>
        <v>1</v>
      </c>
    </row>
    <row r="775" customFormat="false" ht="15" hidden="false" customHeight="false" outlineLevel="0" collapsed="false">
      <c r="A775" s="2" t="n">
        <v>773</v>
      </c>
      <c r="B775" s="2" t="s">
        <v>2627</v>
      </c>
      <c r="C775" s="2" t="s">
        <v>2628</v>
      </c>
      <c r="D775" s="2" t="s">
        <v>2629</v>
      </c>
      <c r="E775" s="2" t="str">
        <f aca="false">LEFT(C775,3)</f>
        <v>311</v>
      </c>
      <c r="F775" s="2" t="str">
        <f aca="false">IF(D775="","",LEFT(D775,3))</f>
        <v>311</v>
      </c>
      <c r="G775" s="2" t="str">
        <f aca="false">IF(F775="","",IF(E775=F775,"Yes","No"))</f>
        <v>Yes</v>
      </c>
      <c r="H775" s="2" t="n">
        <f aca="false">IF(D775="",0,1/COUNTIF($D$2:$D$3451,D775))</f>
        <v>0.5</v>
      </c>
      <c r="I775" s="13" t="n">
        <f aca="false">IFERROR(INDEX('NCO-2015 scores'!$C$2:$C$131,MATCH(E775,'NCO-2015 scores'!$A$2:$A$131,0)),0)</f>
        <v>0.2956</v>
      </c>
      <c r="J775" s="13" t="n">
        <f aca="false">IF(ISNUMBER(MATCH(E775,'NCO-2015 scores'!$A$2:$A$131,0)),IF(ISNUMBER(INDEX('NCO-2015 scores'!$C$2:$C$131,MATCH(E775,'NCO-2015 scores'!$A$2:$A$131,0))),1,0),0)</f>
        <v>1</v>
      </c>
    </row>
    <row r="776" customFormat="false" ht="15" hidden="false" customHeight="false" outlineLevel="0" collapsed="false">
      <c r="A776" s="2" t="n">
        <v>774</v>
      </c>
      <c r="B776" s="2" t="s">
        <v>2630</v>
      </c>
      <c r="C776" s="2" t="s">
        <v>2631</v>
      </c>
      <c r="D776" s="2" t="s">
        <v>2632</v>
      </c>
      <c r="E776" s="2" t="str">
        <f aca="false">LEFT(C776,3)</f>
        <v>311</v>
      </c>
      <c r="F776" s="2" t="str">
        <f aca="false">IF(D776="","",LEFT(D776,3))</f>
        <v>311</v>
      </c>
      <c r="G776" s="2" t="str">
        <f aca="false">IF(F776="","",IF(E776=F776,"Yes","No"))</f>
        <v>Yes</v>
      </c>
      <c r="H776" s="2" t="n">
        <f aca="false">IF(D776="",0,1/COUNTIF($D$2:$D$3451,D776))</f>
        <v>1</v>
      </c>
      <c r="I776" s="13" t="n">
        <f aca="false">IFERROR(INDEX('NCO-2015 scores'!$C$2:$C$131,MATCH(E776,'NCO-2015 scores'!$A$2:$A$131,0)),0)</f>
        <v>0.2956</v>
      </c>
      <c r="J776" s="13" t="n">
        <f aca="false">IF(ISNUMBER(MATCH(E776,'NCO-2015 scores'!$A$2:$A$131,0)),IF(ISNUMBER(INDEX('NCO-2015 scores'!$C$2:$C$131,MATCH(E776,'NCO-2015 scores'!$A$2:$A$131,0))),1,0),0)</f>
        <v>1</v>
      </c>
    </row>
    <row r="777" customFormat="false" ht="15" hidden="false" customHeight="false" outlineLevel="0" collapsed="false">
      <c r="A777" s="2" t="n">
        <v>775</v>
      </c>
      <c r="B777" s="2" t="s">
        <v>2633</v>
      </c>
      <c r="C777" s="2" t="s">
        <v>2634</v>
      </c>
      <c r="D777" s="2" t="s">
        <v>2635</v>
      </c>
      <c r="E777" s="2" t="str">
        <f aca="false">LEFT(C777,3)</f>
        <v>311</v>
      </c>
      <c r="F777" s="2" t="str">
        <f aca="false">IF(D777="","",LEFT(D777,3))</f>
        <v>311</v>
      </c>
      <c r="G777" s="2" t="str">
        <f aca="false">IF(F777="","",IF(E777=F777,"Yes","No"))</f>
        <v>Yes</v>
      </c>
      <c r="H777" s="2" t="n">
        <f aca="false">IF(D777="",0,1/COUNTIF($D$2:$D$3451,D777))</f>
        <v>1</v>
      </c>
      <c r="I777" s="13" t="n">
        <f aca="false">IFERROR(INDEX('NCO-2015 scores'!$C$2:$C$131,MATCH(E777,'NCO-2015 scores'!$A$2:$A$131,0)),0)</f>
        <v>0.2956</v>
      </c>
      <c r="J777" s="13" t="n">
        <f aca="false">IF(ISNUMBER(MATCH(E777,'NCO-2015 scores'!$A$2:$A$131,0)),IF(ISNUMBER(INDEX('NCO-2015 scores'!$C$2:$C$131,MATCH(E777,'NCO-2015 scores'!$A$2:$A$131,0))),1,0),0)</f>
        <v>1</v>
      </c>
    </row>
    <row r="778" customFormat="false" ht="15" hidden="false" customHeight="false" outlineLevel="0" collapsed="false">
      <c r="A778" s="2" t="n">
        <v>776</v>
      </c>
      <c r="B778" s="2" t="s">
        <v>2636</v>
      </c>
      <c r="C778" s="2" t="s">
        <v>2637</v>
      </c>
      <c r="D778" s="2" t="s">
        <v>2638</v>
      </c>
      <c r="E778" s="2" t="str">
        <f aca="false">LEFT(C778,3)</f>
        <v>311</v>
      </c>
      <c r="F778" s="2" t="str">
        <f aca="false">IF(D778="","",LEFT(D778,3))</f>
        <v>311</v>
      </c>
      <c r="G778" s="2" t="str">
        <f aca="false">IF(F778="","",IF(E778=F778,"Yes","No"))</f>
        <v>Yes</v>
      </c>
      <c r="H778" s="2" t="n">
        <f aca="false">IF(D778="",0,1/COUNTIF($D$2:$D$3451,D778))</f>
        <v>1</v>
      </c>
      <c r="I778" s="13" t="n">
        <f aca="false">IFERROR(INDEX('NCO-2015 scores'!$C$2:$C$131,MATCH(E778,'NCO-2015 scores'!$A$2:$A$131,0)),0)</f>
        <v>0.2956</v>
      </c>
      <c r="J778" s="13" t="n">
        <f aca="false">IF(ISNUMBER(MATCH(E778,'NCO-2015 scores'!$A$2:$A$131,0)),IF(ISNUMBER(INDEX('NCO-2015 scores'!$C$2:$C$131,MATCH(E778,'NCO-2015 scores'!$A$2:$A$131,0))),1,0),0)</f>
        <v>1</v>
      </c>
    </row>
    <row r="779" customFormat="false" ht="15" hidden="false" customHeight="false" outlineLevel="0" collapsed="false">
      <c r="A779" s="2" t="n">
        <v>777</v>
      </c>
      <c r="B779" s="2" t="s">
        <v>2639</v>
      </c>
      <c r="C779" s="2" t="s">
        <v>2640</v>
      </c>
      <c r="D779" s="2" t="s">
        <v>2641</v>
      </c>
      <c r="E779" s="2" t="str">
        <f aca="false">LEFT(C779,3)</f>
        <v>311</v>
      </c>
      <c r="F779" s="2" t="str">
        <f aca="false">IF(D779="","",LEFT(D779,3))</f>
        <v>311</v>
      </c>
      <c r="G779" s="2" t="str">
        <f aca="false">IF(F779="","",IF(E779=F779,"Yes","No"))</f>
        <v>Yes</v>
      </c>
      <c r="H779" s="2" t="n">
        <f aca="false">IF(D779="",0,1/COUNTIF($D$2:$D$3451,D779))</f>
        <v>1</v>
      </c>
      <c r="I779" s="13" t="n">
        <f aca="false">IFERROR(INDEX('NCO-2015 scores'!$C$2:$C$131,MATCH(E779,'NCO-2015 scores'!$A$2:$A$131,0)),0)</f>
        <v>0.2956</v>
      </c>
      <c r="J779" s="13" t="n">
        <f aca="false">IF(ISNUMBER(MATCH(E779,'NCO-2015 scores'!$A$2:$A$131,0)),IF(ISNUMBER(INDEX('NCO-2015 scores'!$C$2:$C$131,MATCH(E779,'NCO-2015 scores'!$A$2:$A$131,0))),1,0),0)</f>
        <v>1</v>
      </c>
    </row>
    <row r="780" customFormat="false" ht="15" hidden="false" customHeight="false" outlineLevel="0" collapsed="false">
      <c r="A780" s="2" t="n">
        <v>778</v>
      </c>
      <c r="B780" s="2" t="s">
        <v>2642</v>
      </c>
      <c r="C780" s="2" t="s">
        <v>2643</v>
      </c>
      <c r="D780" s="2" t="s">
        <v>2644</v>
      </c>
      <c r="E780" s="2" t="str">
        <f aca="false">LEFT(C780,3)</f>
        <v>311</v>
      </c>
      <c r="F780" s="2" t="str">
        <f aca="false">IF(D780="","",LEFT(D780,3))</f>
        <v>311</v>
      </c>
      <c r="G780" s="2" t="str">
        <f aca="false">IF(F780="","",IF(E780=F780,"Yes","No"))</f>
        <v>Yes</v>
      </c>
      <c r="H780" s="2" t="n">
        <f aca="false">IF(D780="",0,1/COUNTIF($D$2:$D$3451,D780))</f>
        <v>1</v>
      </c>
      <c r="I780" s="13" t="n">
        <f aca="false">IFERROR(INDEX('NCO-2015 scores'!$C$2:$C$131,MATCH(E780,'NCO-2015 scores'!$A$2:$A$131,0)),0)</f>
        <v>0.2956</v>
      </c>
      <c r="J780" s="13" t="n">
        <f aca="false">IF(ISNUMBER(MATCH(E780,'NCO-2015 scores'!$A$2:$A$131,0)),IF(ISNUMBER(INDEX('NCO-2015 scores'!$C$2:$C$131,MATCH(E780,'NCO-2015 scores'!$A$2:$A$131,0))),1,0),0)</f>
        <v>1</v>
      </c>
    </row>
    <row r="781" customFormat="false" ht="15" hidden="false" customHeight="false" outlineLevel="0" collapsed="false">
      <c r="A781" s="2" t="n">
        <v>779</v>
      </c>
      <c r="B781" s="2" t="s">
        <v>2645</v>
      </c>
      <c r="C781" s="2" t="s">
        <v>2646</v>
      </c>
      <c r="D781" s="2"/>
      <c r="E781" s="2" t="str">
        <f aca="false">LEFT(C781,3)</f>
        <v>311</v>
      </c>
      <c r="F781" s="2" t="str">
        <f aca="false">IF(D781="","",LEFT(D781,3))</f>
        <v/>
      </c>
      <c r="G781" s="2" t="str">
        <f aca="false">IF(F781="","",IF(E781=F781,"Yes","No"))</f>
        <v/>
      </c>
      <c r="H781" s="2" t="n">
        <f aca="false">IF(D781="",0,1/COUNTIF($D$2:$D$3451,D781))</f>
        <v>0</v>
      </c>
      <c r="I781" s="13" t="n">
        <f aca="false">IFERROR(INDEX('NCO-2015 scores'!$C$2:$C$131,MATCH(E781,'NCO-2015 scores'!$A$2:$A$131,0)),0)</f>
        <v>0.2956</v>
      </c>
      <c r="J781" s="13" t="n">
        <f aca="false">IF(ISNUMBER(MATCH(E781,'NCO-2015 scores'!$A$2:$A$131,0)),IF(ISNUMBER(INDEX('NCO-2015 scores'!$C$2:$C$131,MATCH(E781,'NCO-2015 scores'!$A$2:$A$131,0))),1,0),0)</f>
        <v>1</v>
      </c>
    </row>
    <row r="782" customFormat="false" ht="15" hidden="false" customHeight="false" outlineLevel="0" collapsed="false">
      <c r="A782" s="2" t="n">
        <v>780</v>
      </c>
      <c r="B782" s="2" t="s">
        <v>2647</v>
      </c>
      <c r="C782" s="2" t="s">
        <v>2648</v>
      </c>
      <c r="D782" s="2" t="s">
        <v>2649</v>
      </c>
      <c r="E782" s="2" t="str">
        <f aca="false">LEFT(C782,3)</f>
        <v>311</v>
      </c>
      <c r="F782" s="2" t="str">
        <f aca="false">IF(D782="","",LEFT(D782,3))</f>
        <v>311</v>
      </c>
      <c r="G782" s="2" t="str">
        <f aca="false">IF(F782="","",IF(E782=F782,"Yes","No"))</f>
        <v>Yes</v>
      </c>
      <c r="H782" s="2" t="n">
        <f aca="false">IF(D782="",0,1/COUNTIF($D$2:$D$3451,D782))</f>
        <v>1</v>
      </c>
      <c r="I782" s="13" t="n">
        <f aca="false">IFERROR(INDEX('NCO-2015 scores'!$C$2:$C$131,MATCH(E782,'NCO-2015 scores'!$A$2:$A$131,0)),0)</f>
        <v>0.2956</v>
      </c>
      <c r="J782" s="13" t="n">
        <f aca="false">IF(ISNUMBER(MATCH(E782,'NCO-2015 scores'!$A$2:$A$131,0)),IF(ISNUMBER(INDEX('NCO-2015 scores'!$C$2:$C$131,MATCH(E782,'NCO-2015 scores'!$A$2:$A$131,0))),1,0),0)</f>
        <v>1</v>
      </c>
    </row>
    <row r="783" customFormat="false" ht="15" hidden="false" customHeight="false" outlineLevel="0" collapsed="false">
      <c r="A783" s="2" t="n">
        <v>781</v>
      </c>
      <c r="B783" s="2" t="s">
        <v>2650</v>
      </c>
      <c r="C783" s="2" t="s">
        <v>2651</v>
      </c>
      <c r="D783" s="2" t="s">
        <v>2652</v>
      </c>
      <c r="E783" s="2" t="str">
        <f aca="false">LEFT(C783,3)</f>
        <v>311</v>
      </c>
      <c r="F783" s="2" t="str">
        <f aca="false">IF(D783="","",LEFT(D783,3))</f>
        <v>311</v>
      </c>
      <c r="G783" s="2" t="str">
        <f aca="false">IF(F783="","",IF(E783=F783,"Yes","No"))</f>
        <v>Yes</v>
      </c>
      <c r="H783" s="2" t="n">
        <f aca="false">IF(D783="",0,1/COUNTIF($D$2:$D$3451,D783))</f>
        <v>1</v>
      </c>
      <c r="I783" s="13" t="n">
        <f aca="false">IFERROR(INDEX('NCO-2015 scores'!$C$2:$C$131,MATCH(E783,'NCO-2015 scores'!$A$2:$A$131,0)),0)</f>
        <v>0.2956</v>
      </c>
      <c r="J783" s="13" t="n">
        <f aca="false">IF(ISNUMBER(MATCH(E783,'NCO-2015 scores'!$A$2:$A$131,0)),IF(ISNUMBER(INDEX('NCO-2015 scores'!$C$2:$C$131,MATCH(E783,'NCO-2015 scores'!$A$2:$A$131,0))),1,0),0)</f>
        <v>1</v>
      </c>
    </row>
    <row r="784" customFormat="false" ht="15" hidden="false" customHeight="false" outlineLevel="0" collapsed="false">
      <c r="A784" s="2" t="n">
        <v>782</v>
      </c>
      <c r="B784" s="2" t="s">
        <v>2653</v>
      </c>
      <c r="C784" s="2" t="s">
        <v>2654</v>
      </c>
      <c r="D784" s="2" t="s">
        <v>2655</v>
      </c>
      <c r="E784" s="2" t="str">
        <f aca="false">LEFT(C784,3)</f>
        <v>311</v>
      </c>
      <c r="F784" s="2" t="str">
        <f aca="false">IF(D784="","",LEFT(D784,3))</f>
        <v>311</v>
      </c>
      <c r="G784" s="2" t="str">
        <f aca="false">IF(F784="","",IF(E784=F784,"Yes","No"))</f>
        <v>Yes</v>
      </c>
      <c r="H784" s="2" t="n">
        <f aca="false">IF(D784="",0,1/COUNTIF($D$2:$D$3451,D784))</f>
        <v>1</v>
      </c>
      <c r="I784" s="13" t="n">
        <f aca="false">IFERROR(INDEX('NCO-2015 scores'!$C$2:$C$131,MATCH(E784,'NCO-2015 scores'!$A$2:$A$131,0)),0)</f>
        <v>0.2956</v>
      </c>
      <c r="J784" s="13" t="n">
        <f aca="false">IF(ISNUMBER(MATCH(E784,'NCO-2015 scores'!$A$2:$A$131,0)),IF(ISNUMBER(INDEX('NCO-2015 scores'!$C$2:$C$131,MATCH(E784,'NCO-2015 scores'!$A$2:$A$131,0))),1,0),0)</f>
        <v>1</v>
      </c>
    </row>
    <row r="785" customFormat="false" ht="15" hidden="false" customHeight="false" outlineLevel="0" collapsed="false">
      <c r="A785" s="2" t="n">
        <v>783</v>
      </c>
      <c r="B785" s="2" t="s">
        <v>2656</v>
      </c>
      <c r="C785" s="2" t="s">
        <v>2657</v>
      </c>
      <c r="D785" s="2" t="s">
        <v>2658</v>
      </c>
      <c r="E785" s="2" t="str">
        <f aca="false">LEFT(C785,3)</f>
        <v>311</v>
      </c>
      <c r="F785" s="2" t="str">
        <f aca="false">IF(D785="","",LEFT(D785,3))</f>
        <v>311</v>
      </c>
      <c r="G785" s="2" t="str">
        <f aca="false">IF(F785="","",IF(E785=F785,"Yes","No"))</f>
        <v>Yes</v>
      </c>
      <c r="H785" s="2" t="n">
        <f aca="false">IF(D785="",0,1/COUNTIF($D$2:$D$3451,D785))</f>
        <v>1</v>
      </c>
      <c r="I785" s="13" t="n">
        <f aca="false">IFERROR(INDEX('NCO-2015 scores'!$C$2:$C$131,MATCH(E785,'NCO-2015 scores'!$A$2:$A$131,0)),0)</f>
        <v>0.2956</v>
      </c>
      <c r="J785" s="13" t="n">
        <f aca="false">IF(ISNUMBER(MATCH(E785,'NCO-2015 scores'!$A$2:$A$131,0)),IF(ISNUMBER(INDEX('NCO-2015 scores'!$C$2:$C$131,MATCH(E785,'NCO-2015 scores'!$A$2:$A$131,0))),1,0),0)</f>
        <v>1</v>
      </c>
    </row>
    <row r="786" customFormat="false" ht="15" hidden="false" customHeight="false" outlineLevel="0" collapsed="false">
      <c r="A786" s="2" t="n">
        <v>784</v>
      </c>
      <c r="B786" s="2" t="s">
        <v>2659</v>
      </c>
      <c r="C786" s="2" t="s">
        <v>2660</v>
      </c>
      <c r="D786" s="2" t="s">
        <v>2629</v>
      </c>
      <c r="E786" s="2" t="str">
        <f aca="false">LEFT(C786,3)</f>
        <v>311</v>
      </c>
      <c r="F786" s="2" t="str">
        <f aca="false">IF(D786="","",LEFT(D786,3))</f>
        <v>311</v>
      </c>
      <c r="G786" s="2" t="str">
        <f aca="false">IF(F786="","",IF(E786=F786,"Yes","No"))</f>
        <v>Yes</v>
      </c>
      <c r="H786" s="2" t="n">
        <f aca="false">IF(D786="",0,1/COUNTIF($D$2:$D$3451,D786))</f>
        <v>0.5</v>
      </c>
      <c r="I786" s="13" t="n">
        <f aca="false">IFERROR(INDEX('NCO-2015 scores'!$C$2:$C$131,MATCH(E786,'NCO-2015 scores'!$A$2:$A$131,0)),0)</f>
        <v>0.2956</v>
      </c>
      <c r="J786" s="13" t="n">
        <f aca="false">IF(ISNUMBER(MATCH(E786,'NCO-2015 scores'!$A$2:$A$131,0)),IF(ISNUMBER(INDEX('NCO-2015 scores'!$C$2:$C$131,MATCH(E786,'NCO-2015 scores'!$A$2:$A$131,0))),1,0),0)</f>
        <v>1</v>
      </c>
    </row>
    <row r="787" customFormat="false" ht="15" hidden="false" customHeight="false" outlineLevel="0" collapsed="false">
      <c r="A787" s="2" t="n">
        <v>785</v>
      </c>
      <c r="B787" s="2" t="s">
        <v>2661</v>
      </c>
      <c r="C787" s="2" t="s">
        <v>2662</v>
      </c>
      <c r="D787" s="2" t="s">
        <v>2663</v>
      </c>
      <c r="E787" s="2" t="str">
        <f aca="false">LEFT(C787,3)</f>
        <v>933</v>
      </c>
      <c r="F787" s="2" t="str">
        <f aca="false">IF(D787="","",LEFT(D787,3))</f>
        <v>933</v>
      </c>
      <c r="G787" s="2" t="str">
        <f aca="false">IF(F787="","",IF(E787=F787,"Yes","No"))</f>
        <v>Yes</v>
      </c>
      <c r="H787" s="2" t="n">
        <f aca="false">IF(D787="",0,1/COUNTIF($D$2:$D$3451,D787))</f>
        <v>1</v>
      </c>
      <c r="I787" s="13" t="n">
        <f aca="false">IFERROR(INDEX('NCO-2015 scores'!$C$2:$C$131,MATCH(E787,'NCO-2015 scores'!$A$2:$A$131,0)),0)</f>
        <v>0.17</v>
      </c>
      <c r="J787" s="13" t="n">
        <f aca="false">IF(ISNUMBER(MATCH(E787,'NCO-2015 scores'!$A$2:$A$131,0)),IF(ISNUMBER(INDEX('NCO-2015 scores'!$C$2:$C$131,MATCH(E787,'NCO-2015 scores'!$A$2:$A$131,0))),1,0),0)</f>
        <v>1</v>
      </c>
    </row>
    <row r="788" customFormat="false" ht="15" hidden="false" customHeight="false" outlineLevel="0" collapsed="false">
      <c r="A788" s="2" t="n">
        <v>786</v>
      </c>
      <c r="B788" s="2" t="s">
        <v>2664</v>
      </c>
      <c r="C788" s="2" t="s">
        <v>2665</v>
      </c>
      <c r="D788" s="2" t="s">
        <v>2666</v>
      </c>
      <c r="E788" s="2" t="str">
        <f aca="false">LEFT(C788,3)</f>
        <v>933</v>
      </c>
      <c r="F788" s="2" t="str">
        <f aca="false">IF(D788="","",LEFT(D788,3))</f>
        <v>933</v>
      </c>
      <c r="G788" s="2" t="str">
        <f aca="false">IF(F788="","",IF(E788=F788,"Yes","No"))</f>
        <v>Yes</v>
      </c>
      <c r="H788" s="2" t="n">
        <f aca="false">IF(D788="",0,1/COUNTIF($D$2:$D$3451,D788))</f>
        <v>1</v>
      </c>
      <c r="I788" s="13" t="n">
        <f aca="false">IFERROR(INDEX('NCO-2015 scores'!$C$2:$C$131,MATCH(E788,'NCO-2015 scores'!$A$2:$A$131,0)),0)</f>
        <v>0.17</v>
      </c>
      <c r="J788" s="13" t="n">
        <f aca="false">IF(ISNUMBER(MATCH(E788,'NCO-2015 scores'!$A$2:$A$131,0)),IF(ISNUMBER(INDEX('NCO-2015 scores'!$C$2:$C$131,MATCH(E788,'NCO-2015 scores'!$A$2:$A$131,0))),1,0),0)</f>
        <v>1</v>
      </c>
    </row>
    <row r="789" customFormat="false" ht="15" hidden="false" customHeight="false" outlineLevel="0" collapsed="false">
      <c r="A789" s="2" t="n">
        <v>787</v>
      </c>
      <c r="B789" s="2" t="s">
        <v>2667</v>
      </c>
      <c r="C789" s="2" t="s">
        <v>2668</v>
      </c>
      <c r="D789" s="2" t="s">
        <v>2669</v>
      </c>
      <c r="E789" s="2" t="str">
        <f aca="false">LEFT(C789,3)</f>
        <v>933</v>
      </c>
      <c r="F789" s="2" t="str">
        <f aca="false">IF(D789="","",LEFT(D789,3))</f>
        <v>933</v>
      </c>
      <c r="G789" s="2" t="str">
        <f aca="false">IF(F789="","",IF(E789=F789,"Yes","No"))</f>
        <v>Yes</v>
      </c>
      <c r="H789" s="2" t="n">
        <f aca="false">IF(D789="",0,1/COUNTIF($D$2:$D$3451,D789))</f>
        <v>1</v>
      </c>
      <c r="I789" s="13" t="n">
        <f aca="false">IFERROR(INDEX('NCO-2015 scores'!$C$2:$C$131,MATCH(E789,'NCO-2015 scores'!$A$2:$A$131,0)),0)</f>
        <v>0.17</v>
      </c>
      <c r="J789" s="13" t="n">
        <f aca="false">IF(ISNUMBER(MATCH(E789,'NCO-2015 scores'!$A$2:$A$131,0)),IF(ISNUMBER(INDEX('NCO-2015 scores'!$C$2:$C$131,MATCH(E789,'NCO-2015 scores'!$A$2:$A$131,0))),1,0),0)</f>
        <v>1</v>
      </c>
    </row>
    <row r="790" customFormat="false" ht="15" hidden="false" customHeight="false" outlineLevel="0" collapsed="false">
      <c r="A790" s="2" t="n">
        <v>788</v>
      </c>
      <c r="B790" s="2" t="s">
        <v>2670</v>
      </c>
      <c r="C790" s="2" t="s">
        <v>2671</v>
      </c>
      <c r="D790" s="2" t="s">
        <v>2672</v>
      </c>
      <c r="E790" s="2" t="str">
        <f aca="false">LEFT(C790,3)</f>
        <v>933</v>
      </c>
      <c r="F790" s="2" t="str">
        <f aca="false">IF(D790="","",LEFT(D790,3))</f>
        <v>933</v>
      </c>
      <c r="G790" s="2" t="str">
        <f aca="false">IF(F790="","",IF(E790=F790,"Yes","No"))</f>
        <v>Yes</v>
      </c>
      <c r="H790" s="2" t="n">
        <f aca="false">IF(D790="",0,1/COUNTIF($D$2:$D$3451,D790))</f>
        <v>1</v>
      </c>
      <c r="I790" s="13" t="n">
        <f aca="false">IFERROR(INDEX('NCO-2015 scores'!$C$2:$C$131,MATCH(E790,'NCO-2015 scores'!$A$2:$A$131,0)),0)</f>
        <v>0.17</v>
      </c>
      <c r="J790" s="13" t="n">
        <f aca="false">IF(ISNUMBER(MATCH(E790,'NCO-2015 scores'!$A$2:$A$131,0)),IF(ISNUMBER(INDEX('NCO-2015 scores'!$C$2:$C$131,MATCH(E790,'NCO-2015 scores'!$A$2:$A$131,0))),1,0),0)</f>
        <v>1</v>
      </c>
    </row>
    <row r="791" customFormat="false" ht="15" hidden="false" customHeight="false" outlineLevel="0" collapsed="false">
      <c r="A791" s="2" t="n">
        <v>789</v>
      </c>
      <c r="B791" s="2" t="s">
        <v>2673</v>
      </c>
      <c r="C791" s="2" t="s">
        <v>2674</v>
      </c>
      <c r="D791" s="2" t="s">
        <v>2675</v>
      </c>
      <c r="E791" s="2" t="str">
        <f aca="false">LEFT(C791,3)</f>
        <v>933</v>
      </c>
      <c r="F791" s="2" t="str">
        <f aca="false">IF(D791="","",LEFT(D791,3))</f>
        <v>933</v>
      </c>
      <c r="G791" s="2" t="str">
        <f aca="false">IF(F791="","",IF(E791=F791,"Yes","No"))</f>
        <v>Yes</v>
      </c>
      <c r="H791" s="2" t="n">
        <f aca="false">IF(D791="",0,1/COUNTIF($D$2:$D$3451,D791))</f>
        <v>1</v>
      </c>
      <c r="I791" s="13" t="n">
        <f aca="false">IFERROR(INDEX('NCO-2015 scores'!$C$2:$C$131,MATCH(E791,'NCO-2015 scores'!$A$2:$A$131,0)),0)</f>
        <v>0.17</v>
      </c>
      <c r="J791" s="13" t="n">
        <f aca="false">IF(ISNUMBER(MATCH(E791,'NCO-2015 scores'!$A$2:$A$131,0)),IF(ISNUMBER(INDEX('NCO-2015 scores'!$C$2:$C$131,MATCH(E791,'NCO-2015 scores'!$A$2:$A$131,0))),1,0),0)</f>
        <v>1</v>
      </c>
    </row>
    <row r="792" customFormat="false" ht="15" hidden="false" customHeight="false" outlineLevel="0" collapsed="false">
      <c r="A792" s="2" t="n">
        <v>790</v>
      </c>
      <c r="B792" s="2" t="s">
        <v>2676</v>
      </c>
      <c r="C792" s="2" t="s">
        <v>2677</v>
      </c>
      <c r="D792" s="2" t="s">
        <v>2678</v>
      </c>
      <c r="E792" s="2" t="str">
        <f aca="false">LEFT(C792,3)</f>
        <v>933</v>
      </c>
      <c r="F792" s="2" t="str">
        <f aca="false">IF(D792="","",LEFT(D792,3))</f>
        <v>933</v>
      </c>
      <c r="G792" s="2" t="str">
        <f aca="false">IF(F792="","",IF(E792=F792,"Yes","No"))</f>
        <v>Yes</v>
      </c>
      <c r="H792" s="2" t="n">
        <f aca="false">IF(D792="",0,1/COUNTIF($D$2:$D$3451,D792))</f>
        <v>1</v>
      </c>
      <c r="I792" s="13" t="n">
        <f aca="false">IFERROR(INDEX('NCO-2015 scores'!$C$2:$C$131,MATCH(E792,'NCO-2015 scores'!$A$2:$A$131,0)),0)</f>
        <v>0.17</v>
      </c>
      <c r="J792" s="13" t="n">
        <f aca="false">IF(ISNUMBER(MATCH(E792,'NCO-2015 scores'!$A$2:$A$131,0)),IF(ISNUMBER(INDEX('NCO-2015 scores'!$C$2:$C$131,MATCH(E792,'NCO-2015 scores'!$A$2:$A$131,0))),1,0),0)</f>
        <v>1</v>
      </c>
    </row>
    <row r="793" customFormat="false" ht="15" hidden="false" customHeight="false" outlineLevel="0" collapsed="false">
      <c r="A793" s="2" t="n">
        <v>791</v>
      </c>
      <c r="B793" s="2" t="s">
        <v>2679</v>
      </c>
      <c r="C793" s="2" t="s">
        <v>2680</v>
      </c>
      <c r="D793" s="2"/>
      <c r="E793" s="2" t="str">
        <f aca="false">LEFT(C793,3)</f>
        <v>516</v>
      </c>
      <c r="F793" s="2" t="str">
        <f aca="false">IF(D793="","",LEFT(D793,3))</f>
        <v/>
      </c>
      <c r="G793" s="2" t="str">
        <f aca="false">IF(F793="","",IF(E793=F793,"Yes","No"))</f>
        <v/>
      </c>
      <c r="H793" s="2" t="n">
        <f aca="false">IF(D793="",0,1/COUNTIF($D$2:$D$3451,D793))</f>
        <v>0</v>
      </c>
      <c r="I793" s="13" t="n">
        <f aca="false">IFERROR(INDEX('NCO-2015 scores'!$C$2:$C$131,MATCH(E793,'NCO-2015 scores'!$A$2:$A$131,0)),0)</f>
        <v>0.2067</v>
      </c>
      <c r="J793" s="13" t="n">
        <f aca="false">IF(ISNUMBER(MATCH(E793,'NCO-2015 scores'!$A$2:$A$131,0)),IF(ISNUMBER(INDEX('NCO-2015 scores'!$C$2:$C$131,MATCH(E793,'NCO-2015 scores'!$A$2:$A$131,0))),1,0),0)</f>
        <v>1</v>
      </c>
    </row>
    <row r="794" customFormat="false" ht="15" hidden="false" customHeight="false" outlineLevel="0" collapsed="false">
      <c r="A794" s="2" t="n">
        <v>792</v>
      </c>
      <c r="B794" s="2" t="s">
        <v>2681</v>
      </c>
      <c r="C794" s="2" t="s">
        <v>2682</v>
      </c>
      <c r="D794" s="2" t="s">
        <v>2683</v>
      </c>
      <c r="E794" s="2" t="str">
        <f aca="false">LEFT(C794,3)</f>
        <v>234</v>
      </c>
      <c r="F794" s="2" t="str">
        <f aca="false">IF(D794="","",LEFT(D794,3))</f>
        <v>332</v>
      </c>
      <c r="G794" s="2" t="str">
        <f aca="false">IF(F794="","",IF(E794=F794,"Yes","No"))</f>
        <v>No</v>
      </c>
      <c r="H794" s="2" t="n">
        <f aca="false">IF(D794="",0,1/COUNTIF($D$2:$D$3451,D794))</f>
        <v>1</v>
      </c>
      <c r="I794" s="13" t="n">
        <f aca="false">IFERROR(INDEX('NCO-2015 scores'!$C$2:$C$131,MATCH(E794,'NCO-2015 scores'!$A$2:$A$131,0)),0)</f>
        <v>0.235</v>
      </c>
      <c r="J794" s="13" t="n">
        <f aca="false">IF(ISNUMBER(MATCH(E794,'NCO-2015 scores'!$A$2:$A$131,0)),IF(ISNUMBER(INDEX('NCO-2015 scores'!$C$2:$C$131,MATCH(E794,'NCO-2015 scores'!$A$2:$A$131,0))),1,0),0)</f>
        <v>1</v>
      </c>
    </row>
    <row r="795" customFormat="false" ht="15" hidden="false" customHeight="false" outlineLevel="0" collapsed="false">
      <c r="A795" s="2" t="n">
        <v>793</v>
      </c>
      <c r="B795" s="2" t="s">
        <v>2684</v>
      </c>
      <c r="C795" s="2" t="s">
        <v>2685</v>
      </c>
      <c r="D795" s="2" t="s">
        <v>2686</v>
      </c>
      <c r="E795" s="2" t="str">
        <f aca="false">LEFT(C795,3)</f>
        <v>234</v>
      </c>
      <c r="F795" s="2" t="str">
        <f aca="false">IF(D795="","",LEFT(D795,3))</f>
        <v>332</v>
      </c>
      <c r="G795" s="2" t="str">
        <f aca="false">IF(F795="","",IF(E795=F795,"Yes","No"))</f>
        <v>No</v>
      </c>
      <c r="H795" s="2" t="n">
        <f aca="false">IF(D795="",0,1/COUNTIF($D$2:$D$3451,D795))</f>
        <v>1</v>
      </c>
      <c r="I795" s="13" t="n">
        <f aca="false">IFERROR(INDEX('NCO-2015 scores'!$C$2:$C$131,MATCH(E795,'NCO-2015 scores'!$A$2:$A$131,0)),0)</f>
        <v>0.235</v>
      </c>
      <c r="J795" s="13" t="n">
        <f aca="false">IF(ISNUMBER(MATCH(E795,'NCO-2015 scores'!$A$2:$A$131,0)),IF(ISNUMBER(INDEX('NCO-2015 scores'!$C$2:$C$131,MATCH(E795,'NCO-2015 scores'!$A$2:$A$131,0))),1,0),0)</f>
        <v>1</v>
      </c>
    </row>
    <row r="796" customFormat="false" ht="15" hidden="false" customHeight="false" outlineLevel="0" collapsed="false">
      <c r="A796" s="2" t="n">
        <v>794</v>
      </c>
      <c r="B796" s="2" t="s">
        <v>2687</v>
      </c>
      <c r="C796" s="2" t="s">
        <v>2688</v>
      </c>
      <c r="D796" s="2" t="s">
        <v>2689</v>
      </c>
      <c r="E796" s="2" t="str">
        <f aca="false">LEFT(C796,3)</f>
        <v>834</v>
      </c>
      <c r="F796" s="2" t="str">
        <f aca="false">IF(D796="","",LEFT(D796,3))</f>
        <v>833</v>
      </c>
      <c r="G796" s="2" t="str">
        <f aca="false">IF(F796="","",IF(E796=F796,"Yes","No"))</f>
        <v>No</v>
      </c>
      <c r="H796" s="2" t="n">
        <f aca="false">IF(D796="",0,1/COUNTIF($D$2:$D$3451,D796))</f>
        <v>1</v>
      </c>
      <c r="I796" s="13" t="n">
        <f aca="false">IFERROR(INDEX('NCO-2015 scores'!$C$2:$C$131,MATCH(E796,'NCO-2015 scores'!$A$2:$A$131,0)),0)</f>
        <v>0.1575</v>
      </c>
      <c r="J796" s="13" t="n">
        <f aca="false">IF(ISNUMBER(MATCH(E796,'NCO-2015 scores'!$A$2:$A$131,0)),IF(ISNUMBER(INDEX('NCO-2015 scores'!$C$2:$C$131,MATCH(E796,'NCO-2015 scores'!$A$2:$A$131,0))),1,0),0)</f>
        <v>1</v>
      </c>
    </row>
    <row r="797" customFormat="false" ht="15" hidden="false" customHeight="false" outlineLevel="0" collapsed="false">
      <c r="A797" s="2" t="n">
        <v>795</v>
      </c>
      <c r="B797" s="2" t="s">
        <v>2690</v>
      </c>
      <c r="C797" s="2" t="s">
        <v>2691</v>
      </c>
      <c r="D797" s="2" t="s">
        <v>2692</v>
      </c>
      <c r="E797" s="2" t="str">
        <f aca="false">LEFT(C797,3)</f>
        <v>834</v>
      </c>
      <c r="F797" s="2" t="str">
        <f aca="false">IF(D797="","",LEFT(D797,3))</f>
        <v>833</v>
      </c>
      <c r="G797" s="2" t="str">
        <f aca="false">IF(F797="","",IF(E797=F797,"Yes","No"))</f>
        <v>No</v>
      </c>
      <c r="H797" s="2" t="n">
        <f aca="false">IF(D797="",0,1/COUNTIF($D$2:$D$3451,D797))</f>
        <v>1</v>
      </c>
      <c r="I797" s="13" t="n">
        <f aca="false">IFERROR(INDEX('NCO-2015 scores'!$C$2:$C$131,MATCH(E797,'NCO-2015 scores'!$A$2:$A$131,0)),0)</f>
        <v>0.1575</v>
      </c>
      <c r="J797" s="13" t="n">
        <f aca="false">IF(ISNUMBER(MATCH(E797,'NCO-2015 scores'!$A$2:$A$131,0)),IF(ISNUMBER(INDEX('NCO-2015 scores'!$C$2:$C$131,MATCH(E797,'NCO-2015 scores'!$A$2:$A$131,0))),1,0),0)</f>
        <v>1</v>
      </c>
    </row>
    <row r="798" customFormat="false" ht="15" hidden="false" customHeight="false" outlineLevel="0" collapsed="false">
      <c r="A798" s="2" t="n">
        <v>796</v>
      </c>
      <c r="B798" s="2" t="s">
        <v>2693</v>
      </c>
      <c r="C798" s="2" t="s">
        <v>2694</v>
      </c>
      <c r="D798" s="2" t="s">
        <v>2695</v>
      </c>
      <c r="E798" s="2" t="str">
        <f aca="false">LEFT(C798,3)</f>
        <v>834</v>
      </c>
      <c r="F798" s="2" t="str">
        <f aca="false">IF(D798="","",LEFT(D798,3))</f>
        <v>833</v>
      </c>
      <c r="G798" s="2" t="str">
        <f aca="false">IF(F798="","",IF(E798=F798,"Yes","No"))</f>
        <v>No</v>
      </c>
      <c r="H798" s="2" t="n">
        <f aca="false">IF(D798="",0,1/COUNTIF($D$2:$D$3451,D798))</f>
        <v>1</v>
      </c>
      <c r="I798" s="13" t="n">
        <f aca="false">IFERROR(INDEX('NCO-2015 scores'!$C$2:$C$131,MATCH(E798,'NCO-2015 scores'!$A$2:$A$131,0)),0)</f>
        <v>0.1575</v>
      </c>
      <c r="J798" s="13" t="n">
        <f aca="false">IF(ISNUMBER(MATCH(E798,'NCO-2015 scores'!$A$2:$A$131,0)),IF(ISNUMBER(INDEX('NCO-2015 scores'!$C$2:$C$131,MATCH(E798,'NCO-2015 scores'!$A$2:$A$131,0))),1,0),0)</f>
        <v>1</v>
      </c>
    </row>
    <row r="799" customFormat="false" ht="15" hidden="false" customHeight="false" outlineLevel="0" collapsed="false">
      <c r="A799" s="2" t="n">
        <v>797</v>
      </c>
      <c r="B799" s="2" t="s">
        <v>2696</v>
      </c>
      <c r="C799" s="2" t="s">
        <v>2697</v>
      </c>
      <c r="D799" s="2" t="s">
        <v>2698</v>
      </c>
      <c r="E799" s="2" t="str">
        <f aca="false">LEFT(C799,3)</f>
        <v>834</v>
      </c>
      <c r="F799" s="2" t="str">
        <f aca="false">IF(D799="","",LEFT(D799,3))</f>
        <v>833</v>
      </c>
      <c r="G799" s="2" t="str">
        <f aca="false">IF(F799="","",IF(E799=F799,"Yes","No"))</f>
        <v>No</v>
      </c>
      <c r="H799" s="2" t="n">
        <f aca="false">IF(D799="",0,1/COUNTIF($D$2:$D$3451,D799))</f>
        <v>1</v>
      </c>
      <c r="I799" s="13" t="n">
        <f aca="false">IFERROR(INDEX('NCO-2015 scores'!$C$2:$C$131,MATCH(E799,'NCO-2015 scores'!$A$2:$A$131,0)),0)</f>
        <v>0.1575</v>
      </c>
      <c r="J799" s="13" t="n">
        <f aca="false">IF(ISNUMBER(MATCH(E799,'NCO-2015 scores'!$A$2:$A$131,0)),IF(ISNUMBER(INDEX('NCO-2015 scores'!$C$2:$C$131,MATCH(E799,'NCO-2015 scores'!$A$2:$A$131,0))),1,0),0)</f>
        <v>1</v>
      </c>
    </row>
    <row r="800" customFormat="false" ht="15" hidden="false" customHeight="false" outlineLevel="0" collapsed="false">
      <c r="A800" s="2" t="n">
        <v>798</v>
      </c>
      <c r="B800" s="2" t="s">
        <v>2699</v>
      </c>
      <c r="C800" s="2" t="s">
        <v>2700</v>
      </c>
      <c r="D800" s="2" t="s">
        <v>2701</v>
      </c>
      <c r="E800" s="2" t="str">
        <f aca="false">LEFT(C800,3)</f>
        <v>834</v>
      </c>
      <c r="F800" s="2" t="str">
        <f aca="false">IF(D800="","",LEFT(D800,3))</f>
        <v>833</v>
      </c>
      <c r="G800" s="2" t="str">
        <f aca="false">IF(F800="","",IF(E800=F800,"Yes","No"))</f>
        <v>No</v>
      </c>
      <c r="H800" s="2" t="n">
        <f aca="false">IF(D800="",0,1/COUNTIF($D$2:$D$3451,D800))</f>
        <v>1</v>
      </c>
      <c r="I800" s="13" t="n">
        <f aca="false">IFERROR(INDEX('NCO-2015 scores'!$C$2:$C$131,MATCH(E800,'NCO-2015 scores'!$A$2:$A$131,0)),0)</f>
        <v>0.1575</v>
      </c>
      <c r="J800" s="13" t="n">
        <f aca="false">IF(ISNUMBER(MATCH(E800,'NCO-2015 scores'!$A$2:$A$131,0)),IF(ISNUMBER(INDEX('NCO-2015 scores'!$C$2:$C$131,MATCH(E800,'NCO-2015 scores'!$A$2:$A$131,0))),1,0),0)</f>
        <v>1</v>
      </c>
    </row>
    <row r="801" customFormat="false" ht="15" hidden="false" customHeight="false" outlineLevel="0" collapsed="false">
      <c r="A801" s="2" t="n">
        <v>799</v>
      </c>
      <c r="B801" s="2" t="s">
        <v>2702</v>
      </c>
      <c r="C801" s="2" t="s">
        <v>2703</v>
      </c>
      <c r="D801" s="2" t="s">
        <v>2704</v>
      </c>
      <c r="E801" s="2" t="str">
        <f aca="false">LEFT(C801,3)</f>
        <v>834</v>
      </c>
      <c r="F801" s="2" t="str">
        <f aca="false">IF(D801="","",LEFT(D801,3))</f>
        <v>833</v>
      </c>
      <c r="G801" s="2" t="str">
        <f aca="false">IF(F801="","",IF(E801=F801,"Yes","No"))</f>
        <v>No</v>
      </c>
      <c r="H801" s="2" t="n">
        <f aca="false">IF(D801="",0,1/COUNTIF($D$2:$D$3451,D801))</f>
        <v>1</v>
      </c>
      <c r="I801" s="13" t="n">
        <f aca="false">IFERROR(INDEX('NCO-2015 scores'!$C$2:$C$131,MATCH(E801,'NCO-2015 scores'!$A$2:$A$131,0)),0)</f>
        <v>0.1575</v>
      </c>
      <c r="J801" s="13" t="n">
        <f aca="false">IF(ISNUMBER(MATCH(E801,'NCO-2015 scores'!$A$2:$A$131,0)),IF(ISNUMBER(INDEX('NCO-2015 scores'!$C$2:$C$131,MATCH(E801,'NCO-2015 scores'!$A$2:$A$131,0))),1,0),0)</f>
        <v>1</v>
      </c>
    </row>
    <row r="802" customFormat="false" ht="15" hidden="false" customHeight="false" outlineLevel="0" collapsed="false">
      <c r="A802" s="2" t="n">
        <v>800</v>
      </c>
      <c r="B802" s="2" t="s">
        <v>2705</v>
      </c>
      <c r="C802" s="2" t="s">
        <v>2706</v>
      </c>
      <c r="D802" s="2" t="s">
        <v>2707</v>
      </c>
      <c r="E802" s="2" t="str">
        <f aca="false">LEFT(C802,3)</f>
        <v>834</v>
      </c>
      <c r="F802" s="2" t="str">
        <f aca="false">IF(D802="","",LEFT(D802,3))</f>
        <v>833</v>
      </c>
      <c r="G802" s="2" t="str">
        <f aca="false">IF(F802="","",IF(E802=F802,"Yes","No"))</f>
        <v>No</v>
      </c>
      <c r="H802" s="2" t="n">
        <f aca="false">IF(D802="",0,1/COUNTIF($D$2:$D$3451,D802))</f>
        <v>1</v>
      </c>
      <c r="I802" s="13" t="n">
        <f aca="false">IFERROR(INDEX('NCO-2015 scores'!$C$2:$C$131,MATCH(E802,'NCO-2015 scores'!$A$2:$A$131,0)),0)</f>
        <v>0.1575</v>
      </c>
      <c r="J802" s="13" t="n">
        <f aca="false">IF(ISNUMBER(MATCH(E802,'NCO-2015 scores'!$A$2:$A$131,0)),IF(ISNUMBER(INDEX('NCO-2015 scores'!$C$2:$C$131,MATCH(E802,'NCO-2015 scores'!$A$2:$A$131,0))),1,0),0)</f>
        <v>1</v>
      </c>
    </row>
    <row r="803" customFormat="false" ht="15" hidden="false" customHeight="false" outlineLevel="0" collapsed="false">
      <c r="A803" s="2" t="n">
        <v>801</v>
      </c>
      <c r="B803" s="2" t="s">
        <v>2708</v>
      </c>
      <c r="C803" s="2" t="s">
        <v>2709</v>
      </c>
      <c r="D803" s="2" t="s">
        <v>2710</v>
      </c>
      <c r="E803" s="2" t="str">
        <f aca="false">LEFT(C803,3)</f>
        <v>834</v>
      </c>
      <c r="F803" s="2" t="str">
        <f aca="false">IF(D803="","",LEFT(D803,3))</f>
        <v>833</v>
      </c>
      <c r="G803" s="2" t="str">
        <f aca="false">IF(F803="","",IF(E803=F803,"Yes","No"))</f>
        <v>No</v>
      </c>
      <c r="H803" s="2" t="n">
        <f aca="false">IF(D803="",0,1/COUNTIF($D$2:$D$3451,D803))</f>
        <v>1</v>
      </c>
      <c r="I803" s="13" t="n">
        <f aca="false">IFERROR(INDEX('NCO-2015 scores'!$C$2:$C$131,MATCH(E803,'NCO-2015 scores'!$A$2:$A$131,0)),0)</f>
        <v>0.1575</v>
      </c>
      <c r="J803" s="13" t="n">
        <f aca="false">IF(ISNUMBER(MATCH(E803,'NCO-2015 scores'!$A$2:$A$131,0)),IF(ISNUMBER(INDEX('NCO-2015 scores'!$C$2:$C$131,MATCH(E803,'NCO-2015 scores'!$A$2:$A$131,0))),1,0),0)</f>
        <v>1</v>
      </c>
    </row>
    <row r="804" customFormat="false" ht="15" hidden="false" customHeight="false" outlineLevel="0" collapsed="false">
      <c r="A804" s="2" t="n">
        <v>802</v>
      </c>
      <c r="B804" s="2" t="s">
        <v>2711</v>
      </c>
      <c r="C804" s="2" t="s">
        <v>2712</v>
      </c>
      <c r="D804" s="2" t="s">
        <v>2713</v>
      </c>
      <c r="E804" s="2" t="str">
        <f aca="false">LEFT(C804,3)</f>
        <v>834</v>
      </c>
      <c r="F804" s="2" t="str">
        <f aca="false">IF(D804="","",LEFT(D804,3))</f>
        <v>833</v>
      </c>
      <c r="G804" s="2" t="str">
        <f aca="false">IF(F804="","",IF(E804=F804,"Yes","No"))</f>
        <v>No</v>
      </c>
      <c r="H804" s="2" t="n">
        <f aca="false">IF(D804="",0,1/COUNTIF($D$2:$D$3451,D804))</f>
        <v>1</v>
      </c>
      <c r="I804" s="13" t="n">
        <f aca="false">IFERROR(INDEX('NCO-2015 scores'!$C$2:$C$131,MATCH(E804,'NCO-2015 scores'!$A$2:$A$131,0)),0)</f>
        <v>0.1575</v>
      </c>
      <c r="J804" s="13" t="n">
        <f aca="false">IF(ISNUMBER(MATCH(E804,'NCO-2015 scores'!$A$2:$A$131,0)),IF(ISNUMBER(INDEX('NCO-2015 scores'!$C$2:$C$131,MATCH(E804,'NCO-2015 scores'!$A$2:$A$131,0))),1,0),0)</f>
        <v>1</v>
      </c>
    </row>
    <row r="805" customFormat="false" ht="15" hidden="false" customHeight="false" outlineLevel="0" collapsed="false">
      <c r="A805" s="2" t="n">
        <v>803</v>
      </c>
      <c r="B805" s="2" t="s">
        <v>2714</v>
      </c>
      <c r="C805" s="2" t="s">
        <v>2715</v>
      </c>
      <c r="D805" s="2" t="s">
        <v>2716</v>
      </c>
      <c r="E805" s="2" t="str">
        <f aca="false">LEFT(C805,3)</f>
        <v>834</v>
      </c>
      <c r="F805" s="2" t="str">
        <f aca="false">IF(D805="","",LEFT(D805,3))</f>
        <v>833</v>
      </c>
      <c r="G805" s="2" t="str">
        <f aca="false">IF(F805="","",IF(E805=F805,"Yes","No"))</f>
        <v>No</v>
      </c>
      <c r="H805" s="2" t="n">
        <f aca="false">IF(D805="",0,1/COUNTIF($D$2:$D$3451,D805))</f>
        <v>1</v>
      </c>
      <c r="I805" s="13" t="n">
        <f aca="false">IFERROR(INDEX('NCO-2015 scores'!$C$2:$C$131,MATCH(E805,'NCO-2015 scores'!$A$2:$A$131,0)),0)</f>
        <v>0.1575</v>
      </c>
      <c r="J805" s="13" t="n">
        <f aca="false">IF(ISNUMBER(MATCH(E805,'NCO-2015 scores'!$A$2:$A$131,0)),IF(ISNUMBER(INDEX('NCO-2015 scores'!$C$2:$C$131,MATCH(E805,'NCO-2015 scores'!$A$2:$A$131,0))),1,0),0)</f>
        <v>1</v>
      </c>
    </row>
    <row r="806" customFormat="false" ht="15" hidden="false" customHeight="false" outlineLevel="0" collapsed="false">
      <c r="A806" s="2" t="n">
        <v>804</v>
      </c>
      <c r="B806" s="2" t="s">
        <v>2717</v>
      </c>
      <c r="C806" s="2" t="s">
        <v>2718</v>
      </c>
      <c r="D806" s="2" t="s">
        <v>2719</v>
      </c>
      <c r="E806" s="2" t="str">
        <f aca="false">LEFT(C806,3)</f>
        <v>834</v>
      </c>
      <c r="F806" s="2" t="str">
        <f aca="false">IF(D806="","",LEFT(D806,3))</f>
        <v>833</v>
      </c>
      <c r="G806" s="2" t="str">
        <f aca="false">IF(F806="","",IF(E806=F806,"Yes","No"))</f>
        <v>No</v>
      </c>
      <c r="H806" s="2" t="n">
        <f aca="false">IF(D806="",0,1/COUNTIF($D$2:$D$3451,D806))</f>
        <v>1</v>
      </c>
      <c r="I806" s="13" t="n">
        <f aca="false">IFERROR(INDEX('NCO-2015 scores'!$C$2:$C$131,MATCH(E806,'NCO-2015 scores'!$A$2:$A$131,0)),0)</f>
        <v>0.1575</v>
      </c>
      <c r="J806" s="13" t="n">
        <f aca="false">IF(ISNUMBER(MATCH(E806,'NCO-2015 scores'!$A$2:$A$131,0)),IF(ISNUMBER(INDEX('NCO-2015 scores'!$C$2:$C$131,MATCH(E806,'NCO-2015 scores'!$A$2:$A$131,0))),1,0),0)</f>
        <v>1</v>
      </c>
    </row>
    <row r="807" customFormat="false" ht="15" hidden="false" customHeight="false" outlineLevel="0" collapsed="false">
      <c r="A807" s="2" t="n">
        <v>805</v>
      </c>
      <c r="B807" s="2" t="s">
        <v>2720</v>
      </c>
      <c r="C807" s="2" t="s">
        <v>2721</v>
      </c>
      <c r="D807" s="2" t="s">
        <v>2722</v>
      </c>
      <c r="E807" s="2" t="str">
        <f aca="false">LEFT(C807,3)</f>
        <v>834</v>
      </c>
      <c r="F807" s="2" t="str">
        <f aca="false">IF(D807="","",LEFT(D807,3))</f>
        <v>833</v>
      </c>
      <c r="G807" s="2" t="str">
        <f aca="false">IF(F807="","",IF(E807=F807,"Yes","No"))</f>
        <v>No</v>
      </c>
      <c r="H807" s="2" t="n">
        <f aca="false">IF(D807="",0,1/COUNTIF($D$2:$D$3451,D807))</f>
        <v>1</v>
      </c>
      <c r="I807" s="13" t="n">
        <f aca="false">IFERROR(INDEX('NCO-2015 scores'!$C$2:$C$131,MATCH(E807,'NCO-2015 scores'!$A$2:$A$131,0)),0)</f>
        <v>0.1575</v>
      </c>
      <c r="J807" s="13" t="n">
        <f aca="false">IF(ISNUMBER(MATCH(E807,'NCO-2015 scores'!$A$2:$A$131,0)),IF(ISNUMBER(INDEX('NCO-2015 scores'!$C$2:$C$131,MATCH(E807,'NCO-2015 scores'!$A$2:$A$131,0))),1,0),0)</f>
        <v>1</v>
      </c>
    </row>
    <row r="808" customFormat="false" ht="15" hidden="false" customHeight="false" outlineLevel="0" collapsed="false">
      <c r="A808" s="2" t="n">
        <v>806</v>
      </c>
      <c r="B808" s="2" t="s">
        <v>2723</v>
      </c>
      <c r="C808" s="2" t="s">
        <v>2724</v>
      </c>
      <c r="D808" s="2"/>
      <c r="E808" s="2" t="str">
        <f aca="false">LEFT(C808,3)</f>
        <v>834</v>
      </c>
      <c r="F808" s="2" t="str">
        <f aca="false">IF(D808="","",LEFT(D808,3))</f>
        <v/>
      </c>
      <c r="G808" s="2" t="str">
        <f aca="false">IF(F808="","",IF(E808=F808,"Yes","No"))</f>
        <v/>
      </c>
      <c r="H808" s="2" t="n">
        <f aca="false">IF(D808="",0,1/COUNTIF($D$2:$D$3451,D808))</f>
        <v>0</v>
      </c>
      <c r="I808" s="13" t="n">
        <f aca="false">IFERROR(INDEX('NCO-2015 scores'!$C$2:$C$131,MATCH(E808,'NCO-2015 scores'!$A$2:$A$131,0)),0)</f>
        <v>0.1575</v>
      </c>
      <c r="J808" s="13" t="n">
        <f aca="false">IF(ISNUMBER(MATCH(E808,'NCO-2015 scores'!$A$2:$A$131,0)),IF(ISNUMBER(INDEX('NCO-2015 scores'!$C$2:$C$131,MATCH(E808,'NCO-2015 scores'!$A$2:$A$131,0))),1,0),0)</f>
        <v>1</v>
      </c>
    </row>
    <row r="809" customFormat="false" ht="15" hidden="false" customHeight="false" outlineLevel="0" collapsed="false">
      <c r="A809" s="2" t="n">
        <v>807</v>
      </c>
      <c r="B809" s="2" t="s">
        <v>2725</v>
      </c>
      <c r="C809" s="2" t="s">
        <v>2726</v>
      </c>
      <c r="D809" s="2" t="s">
        <v>2727</v>
      </c>
      <c r="E809" s="2" t="str">
        <f aca="false">LEFT(C809,3)</f>
        <v>834</v>
      </c>
      <c r="F809" s="2" t="str">
        <f aca="false">IF(D809="","",LEFT(D809,3))</f>
        <v>833</v>
      </c>
      <c r="G809" s="2" t="str">
        <f aca="false">IF(F809="","",IF(E809=F809,"Yes","No"))</f>
        <v>No</v>
      </c>
      <c r="H809" s="2" t="n">
        <f aca="false">IF(D809="",0,1/COUNTIF($D$2:$D$3451,D809))</f>
        <v>1</v>
      </c>
      <c r="I809" s="13" t="n">
        <f aca="false">IFERROR(INDEX('NCO-2015 scores'!$C$2:$C$131,MATCH(E809,'NCO-2015 scores'!$A$2:$A$131,0)),0)</f>
        <v>0.1575</v>
      </c>
      <c r="J809" s="13" t="n">
        <f aca="false">IF(ISNUMBER(MATCH(E809,'NCO-2015 scores'!$A$2:$A$131,0)),IF(ISNUMBER(INDEX('NCO-2015 scores'!$C$2:$C$131,MATCH(E809,'NCO-2015 scores'!$A$2:$A$131,0))),1,0),0)</f>
        <v>1</v>
      </c>
    </row>
    <row r="810" customFormat="false" ht="15" hidden="false" customHeight="false" outlineLevel="0" collapsed="false">
      <c r="A810" s="2" t="n">
        <v>808</v>
      </c>
      <c r="B810" s="2" t="s">
        <v>2728</v>
      </c>
      <c r="C810" s="2" t="s">
        <v>2729</v>
      </c>
      <c r="D810" s="2"/>
      <c r="E810" s="2" t="str">
        <f aca="false">LEFT(C810,3)</f>
        <v>834</v>
      </c>
      <c r="F810" s="2" t="str">
        <f aca="false">IF(D810="","",LEFT(D810,3))</f>
        <v/>
      </c>
      <c r="G810" s="2" t="str">
        <f aca="false">IF(F810="","",IF(E810=F810,"Yes","No"))</f>
        <v/>
      </c>
      <c r="H810" s="2" t="n">
        <f aca="false">IF(D810="",0,1/COUNTIF($D$2:$D$3451,D810))</f>
        <v>0</v>
      </c>
      <c r="I810" s="13" t="n">
        <f aca="false">IFERROR(INDEX('NCO-2015 scores'!$C$2:$C$131,MATCH(E810,'NCO-2015 scores'!$A$2:$A$131,0)),0)</f>
        <v>0.1575</v>
      </c>
      <c r="J810" s="13" t="n">
        <f aca="false">IF(ISNUMBER(MATCH(E810,'NCO-2015 scores'!$A$2:$A$131,0)),IF(ISNUMBER(INDEX('NCO-2015 scores'!$C$2:$C$131,MATCH(E810,'NCO-2015 scores'!$A$2:$A$131,0))),1,0),0)</f>
        <v>1</v>
      </c>
    </row>
    <row r="811" customFormat="false" ht="15" hidden="false" customHeight="false" outlineLevel="0" collapsed="false">
      <c r="A811" s="2" t="n">
        <v>809</v>
      </c>
      <c r="B811" s="2" t="s">
        <v>2730</v>
      </c>
      <c r="C811" s="2" t="s">
        <v>2731</v>
      </c>
      <c r="D811" s="2" t="s">
        <v>2732</v>
      </c>
      <c r="E811" s="2" t="str">
        <f aca="false">LEFT(C811,3)</f>
        <v>834</v>
      </c>
      <c r="F811" s="2" t="str">
        <f aca="false">IF(D811="","",LEFT(D811,3))</f>
        <v>833</v>
      </c>
      <c r="G811" s="2" t="str">
        <f aca="false">IF(F811="","",IF(E811=F811,"Yes","No"))</f>
        <v>No</v>
      </c>
      <c r="H811" s="2" t="n">
        <f aca="false">IF(D811="",0,1/COUNTIF($D$2:$D$3451,D811))</f>
        <v>1</v>
      </c>
      <c r="I811" s="13" t="n">
        <f aca="false">IFERROR(INDEX('NCO-2015 scores'!$C$2:$C$131,MATCH(E811,'NCO-2015 scores'!$A$2:$A$131,0)),0)</f>
        <v>0.1575</v>
      </c>
      <c r="J811" s="13" t="n">
        <f aca="false">IF(ISNUMBER(MATCH(E811,'NCO-2015 scores'!$A$2:$A$131,0)),IF(ISNUMBER(INDEX('NCO-2015 scores'!$C$2:$C$131,MATCH(E811,'NCO-2015 scores'!$A$2:$A$131,0))),1,0),0)</f>
        <v>1</v>
      </c>
    </row>
    <row r="812" customFormat="false" ht="15" hidden="false" customHeight="false" outlineLevel="0" collapsed="false">
      <c r="A812" s="2" t="n">
        <v>810</v>
      </c>
      <c r="B812" s="2" t="s">
        <v>2733</v>
      </c>
      <c r="C812" s="2" t="s">
        <v>2734</v>
      </c>
      <c r="D812" s="2"/>
      <c r="E812" s="2" t="str">
        <f aca="false">LEFT(C812,3)</f>
        <v>834</v>
      </c>
      <c r="F812" s="2" t="str">
        <f aca="false">IF(D812="","",LEFT(D812,3))</f>
        <v/>
      </c>
      <c r="G812" s="2" t="str">
        <f aca="false">IF(F812="","",IF(E812=F812,"Yes","No"))</f>
        <v/>
      </c>
      <c r="H812" s="2" t="n">
        <f aca="false">IF(D812="",0,1/COUNTIF($D$2:$D$3451,D812))</f>
        <v>0</v>
      </c>
      <c r="I812" s="13" t="n">
        <f aca="false">IFERROR(INDEX('NCO-2015 scores'!$C$2:$C$131,MATCH(E812,'NCO-2015 scores'!$A$2:$A$131,0)),0)</f>
        <v>0.1575</v>
      </c>
      <c r="J812" s="13" t="n">
        <f aca="false">IF(ISNUMBER(MATCH(E812,'NCO-2015 scores'!$A$2:$A$131,0)),IF(ISNUMBER(INDEX('NCO-2015 scores'!$C$2:$C$131,MATCH(E812,'NCO-2015 scores'!$A$2:$A$131,0))),1,0),0)</f>
        <v>1</v>
      </c>
    </row>
    <row r="813" customFormat="false" ht="15" hidden="false" customHeight="false" outlineLevel="0" collapsed="false">
      <c r="A813" s="2" t="n">
        <v>811</v>
      </c>
      <c r="B813" s="2" t="s">
        <v>2735</v>
      </c>
      <c r="C813" s="2" t="s">
        <v>2736</v>
      </c>
      <c r="D813" s="2" t="s">
        <v>2737</v>
      </c>
      <c r="E813" s="2" t="str">
        <f aca="false">LEFT(C813,3)</f>
        <v>834</v>
      </c>
      <c r="F813" s="2" t="str">
        <f aca="false">IF(D813="","",LEFT(D813,3))</f>
        <v>833</v>
      </c>
      <c r="G813" s="2" t="str">
        <f aca="false">IF(F813="","",IF(E813=F813,"Yes","No"))</f>
        <v>No</v>
      </c>
      <c r="H813" s="2" t="n">
        <f aca="false">IF(D813="",0,1/COUNTIF($D$2:$D$3451,D813))</f>
        <v>1</v>
      </c>
      <c r="I813" s="13" t="n">
        <f aca="false">IFERROR(INDEX('NCO-2015 scores'!$C$2:$C$131,MATCH(E813,'NCO-2015 scores'!$A$2:$A$131,0)),0)</f>
        <v>0.1575</v>
      </c>
      <c r="J813" s="13" t="n">
        <f aca="false">IF(ISNUMBER(MATCH(E813,'NCO-2015 scores'!$A$2:$A$131,0)),IF(ISNUMBER(INDEX('NCO-2015 scores'!$C$2:$C$131,MATCH(E813,'NCO-2015 scores'!$A$2:$A$131,0))),1,0),0)</f>
        <v>1</v>
      </c>
    </row>
    <row r="814" customFormat="false" ht="15" hidden="false" customHeight="false" outlineLevel="0" collapsed="false">
      <c r="A814" s="2" t="n">
        <v>812</v>
      </c>
      <c r="B814" s="2" t="s">
        <v>2738</v>
      </c>
      <c r="C814" s="2" t="s">
        <v>2739</v>
      </c>
      <c r="D814" s="2" t="s">
        <v>2740</v>
      </c>
      <c r="E814" s="2" t="str">
        <f aca="false">LEFT(C814,3)</f>
        <v>834</v>
      </c>
      <c r="F814" s="2" t="str">
        <f aca="false">IF(D814="","",LEFT(D814,3))</f>
        <v>833</v>
      </c>
      <c r="G814" s="2" t="str">
        <f aca="false">IF(F814="","",IF(E814=F814,"Yes","No"))</f>
        <v>No</v>
      </c>
      <c r="H814" s="2" t="n">
        <f aca="false">IF(D814="",0,1/COUNTIF($D$2:$D$3451,D814))</f>
        <v>1</v>
      </c>
      <c r="I814" s="13" t="n">
        <f aca="false">IFERROR(INDEX('NCO-2015 scores'!$C$2:$C$131,MATCH(E814,'NCO-2015 scores'!$A$2:$A$131,0)),0)</f>
        <v>0.1575</v>
      </c>
      <c r="J814" s="13" t="n">
        <f aca="false">IF(ISNUMBER(MATCH(E814,'NCO-2015 scores'!$A$2:$A$131,0)),IF(ISNUMBER(INDEX('NCO-2015 scores'!$C$2:$C$131,MATCH(E814,'NCO-2015 scores'!$A$2:$A$131,0))),1,0),0)</f>
        <v>1</v>
      </c>
    </row>
    <row r="815" customFormat="false" ht="15" hidden="false" customHeight="false" outlineLevel="0" collapsed="false">
      <c r="A815" s="2" t="n">
        <v>813</v>
      </c>
      <c r="B815" s="2" t="s">
        <v>2741</v>
      </c>
      <c r="C815" s="2" t="s">
        <v>2742</v>
      </c>
      <c r="D815" s="2" t="s">
        <v>2743</v>
      </c>
      <c r="E815" s="2" t="str">
        <f aca="false">LEFT(C815,3)</f>
        <v>834</v>
      </c>
      <c r="F815" s="2" t="str">
        <f aca="false">IF(D815="","",LEFT(D815,3))</f>
        <v>833</v>
      </c>
      <c r="G815" s="2" t="str">
        <f aca="false">IF(F815="","",IF(E815=F815,"Yes","No"))</f>
        <v>No</v>
      </c>
      <c r="H815" s="2" t="n">
        <f aca="false">IF(D815="",0,1/COUNTIF($D$2:$D$3451,D815))</f>
        <v>1</v>
      </c>
      <c r="I815" s="13" t="n">
        <f aca="false">IFERROR(INDEX('NCO-2015 scores'!$C$2:$C$131,MATCH(E815,'NCO-2015 scores'!$A$2:$A$131,0)),0)</f>
        <v>0.1575</v>
      </c>
      <c r="J815" s="13" t="n">
        <f aca="false">IF(ISNUMBER(MATCH(E815,'NCO-2015 scores'!$A$2:$A$131,0)),IF(ISNUMBER(INDEX('NCO-2015 scores'!$C$2:$C$131,MATCH(E815,'NCO-2015 scores'!$A$2:$A$131,0))),1,0),0)</f>
        <v>1</v>
      </c>
    </row>
    <row r="816" customFormat="false" ht="15" hidden="false" customHeight="false" outlineLevel="0" collapsed="false">
      <c r="A816" s="2" t="n">
        <v>814</v>
      </c>
      <c r="B816" s="2" t="s">
        <v>2744</v>
      </c>
      <c r="C816" s="2" t="s">
        <v>2745</v>
      </c>
      <c r="D816" s="2" t="s">
        <v>2746</v>
      </c>
      <c r="E816" s="2" t="str">
        <f aca="false">LEFT(C816,3)</f>
        <v>834</v>
      </c>
      <c r="F816" s="2" t="str">
        <f aca="false">IF(D816="","",LEFT(D816,3))</f>
        <v>833</v>
      </c>
      <c r="G816" s="2" t="str">
        <f aca="false">IF(F816="","",IF(E816=F816,"Yes","No"))</f>
        <v>No</v>
      </c>
      <c r="H816" s="2" t="n">
        <f aca="false">IF(D816="",0,1/COUNTIF($D$2:$D$3451,D816))</f>
        <v>1</v>
      </c>
      <c r="I816" s="13" t="n">
        <f aca="false">IFERROR(INDEX('NCO-2015 scores'!$C$2:$C$131,MATCH(E816,'NCO-2015 scores'!$A$2:$A$131,0)),0)</f>
        <v>0.1575</v>
      </c>
      <c r="J816" s="13" t="n">
        <f aca="false">IF(ISNUMBER(MATCH(E816,'NCO-2015 scores'!$A$2:$A$131,0)),IF(ISNUMBER(INDEX('NCO-2015 scores'!$C$2:$C$131,MATCH(E816,'NCO-2015 scores'!$A$2:$A$131,0))),1,0),0)</f>
        <v>1</v>
      </c>
    </row>
    <row r="817" customFormat="false" ht="15" hidden="false" customHeight="false" outlineLevel="0" collapsed="false">
      <c r="A817" s="2" t="n">
        <v>815</v>
      </c>
      <c r="B817" s="2" t="s">
        <v>2747</v>
      </c>
      <c r="C817" s="2" t="s">
        <v>2748</v>
      </c>
      <c r="D817" s="2" t="s">
        <v>2749</v>
      </c>
      <c r="E817" s="2" t="str">
        <f aca="false">LEFT(C817,3)</f>
        <v>834</v>
      </c>
      <c r="F817" s="2" t="str">
        <f aca="false">IF(D817="","",LEFT(D817,3))</f>
        <v>833</v>
      </c>
      <c r="G817" s="2" t="str">
        <f aca="false">IF(F817="","",IF(E817=F817,"Yes","No"))</f>
        <v>No</v>
      </c>
      <c r="H817" s="2" t="n">
        <f aca="false">IF(D817="",0,1/COUNTIF($D$2:$D$3451,D817))</f>
        <v>1</v>
      </c>
      <c r="I817" s="13" t="n">
        <f aca="false">IFERROR(INDEX('NCO-2015 scores'!$C$2:$C$131,MATCH(E817,'NCO-2015 scores'!$A$2:$A$131,0)),0)</f>
        <v>0.1575</v>
      </c>
      <c r="J817" s="13" t="n">
        <f aca="false">IF(ISNUMBER(MATCH(E817,'NCO-2015 scores'!$A$2:$A$131,0)),IF(ISNUMBER(INDEX('NCO-2015 scores'!$C$2:$C$131,MATCH(E817,'NCO-2015 scores'!$A$2:$A$131,0))),1,0),0)</f>
        <v>1</v>
      </c>
    </row>
    <row r="818" customFormat="false" ht="15" hidden="false" customHeight="false" outlineLevel="0" collapsed="false">
      <c r="A818" s="2" t="n">
        <v>816</v>
      </c>
      <c r="B818" s="2" t="s">
        <v>2750</v>
      </c>
      <c r="C818" s="2" t="s">
        <v>2751</v>
      </c>
      <c r="D818" s="2"/>
      <c r="E818" s="2" t="str">
        <f aca="false">LEFT(C818,3)</f>
        <v>834</v>
      </c>
      <c r="F818" s="2" t="str">
        <f aca="false">IF(D818="","",LEFT(D818,3))</f>
        <v/>
      </c>
      <c r="G818" s="2" t="str">
        <f aca="false">IF(F818="","",IF(E818=F818,"Yes","No"))</f>
        <v/>
      </c>
      <c r="H818" s="2" t="n">
        <f aca="false">IF(D818="",0,1/COUNTIF($D$2:$D$3451,D818))</f>
        <v>0</v>
      </c>
      <c r="I818" s="13" t="n">
        <f aca="false">IFERROR(INDEX('NCO-2015 scores'!$C$2:$C$131,MATCH(E818,'NCO-2015 scores'!$A$2:$A$131,0)),0)</f>
        <v>0.1575</v>
      </c>
      <c r="J818" s="13" t="n">
        <f aca="false">IF(ISNUMBER(MATCH(E818,'NCO-2015 scores'!$A$2:$A$131,0)),IF(ISNUMBER(INDEX('NCO-2015 scores'!$C$2:$C$131,MATCH(E818,'NCO-2015 scores'!$A$2:$A$131,0))),1,0),0)</f>
        <v>1</v>
      </c>
    </row>
    <row r="819" customFormat="false" ht="15" hidden="false" customHeight="false" outlineLevel="0" collapsed="false">
      <c r="A819" s="2" t="n">
        <v>817</v>
      </c>
      <c r="B819" s="2" t="s">
        <v>2752</v>
      </c>
      <c r="C819" s="2" t="s">
        <v>2753</v>
      </c>
      <c r="D819" s="2" t="s">
        <v>2754</v>
      </c>
      <c r="E819" s="2" t="str">
        <f aca="false">LEFT(C819,3)</f>
        <v>834</v>
      </c>
      <c r="F819" s="2" t="str">
        <f aca="false">IF(D819="","",LEFT(D819,3))</f>
        <v>833</v>
      </c>
      <c r="G819" s="2" t="str">
        <f aca="false">IF(F819="","",IF(E819=F819,"Yes","No"))</f>
        <v>No</v>
      </c>
      <c r="H819" s="2" t="n">
        <f aca="false">IF(D819="",0,1/COUNTIF($D$2:$D$3451,D819))</f>
        <v>1</v>
      </c>
      <c r="I819" s="13" t="n">
        <f aca="false">IFERROR(INDEX('NCO-2015 scores'!$C$2:$C$131,MATCH(E819,'NCO-2015 scores'!$A$2:$A$131,0)),0)</f>
        <v>0.1575</v>
      </c>
      <c r="J819" s="13" t="n">
        <f aca="false">IF(ISNUMBER(MATCH(E819,'NCO-2015 scores'!$A$2:$A$131,0)),IF(ISNUMBER(INDEX('NCO-2015 scores'!$C$2:$C$131,MATCH(E819,'NCO-2015 scores'!$A$2:$A$131,0))),1,0),0)</f>
        <v>1</v>
      </c>
    </row>
    <row r="820" customFormat="false" ht="15" hidden="false" customHeight="false" outlineLevel="0" collapsed="false">
      <c r="A820" s="2" t="n">
        <v>818</v>
      </c>
      <c r="B820" s="2" t="s">
        <v>2755</v>
      </c>
      <c r="C820" s="2" t="s">
        <v>2756</v>
      </c>
      <c r="D820" s="2" t="s">
        <v>2757</v>
      </c>
      <c r="E820" s="2" t="str">
        <f aca="false">LEFT(C820,3)</f>
        <v>263</v>
      </c>
      <c r="F820" s="2" t="str">
        <f aca="false">IF(D820="","",LEFT(D820,3))</f>
        <v>244</v>
      </c>
      <c r="G820" s="2" t="str">
        <f aca="false">IF(F820="","",IF(E820=F820,"Yes","No"))</f>
        <v>No</v>
      </c>
      <c r="H820" s="2" t="n">
        <f aca="false">IF(D820="",0,1/COUNTIF($D$2:$D$3451,D820))</f>
        <v>1</v>
      </c>
      <c r="I820" s="13" t="n">
        <f aca="false">IFERROR(INDEX('NCO-2015 scores'!$C$2:$C$131,MATCH(E820,'NCO-2015 scores'!$A$2:$A$131,0)),0)</f>
        <v>0.39</v>
      </c>
      <c r="J820" s="13" t="n">
        <f aca="false">IF(ISNUMBER(MATCH(E820,'NCO-2015 scores'!$A$2:$A$131,0)),IF(ISNUMBER(INDEX('NCO-2015 scores'!$C$2:$C$131,MATCH(E820,'NCO-2015 scores'!$A$2:$A$131,0))),1,0),0)</f>
        <v>1</v>
      </c>
    </row>
    <row r="821" customFormat="false" ht="15" hidden="false" customHeight="false" outlineLevel="0" collapsed="false">
      <c r="A821" s="2" t="n">
        <v>819</v>
      </c>
      <c r="B821" s="2" t="s">
        <v>2758</v>
      </c>
      <c r="C821" s="2" t="s">
        <v>2759</v>
      </c>
      <c r="D821" s="2" t="s">
        <v>2760</v>
      </c>
      <c r="E821" s="2" t="str">
        <f aca="false">LEFT(C821,3)</f>
        <v>263</v>
      </c>
      <c r="F821" s="2" t="str">
        <f aca="false">IF(D821="","",LEFT(D821,3))</f>
        <v>244</v>
      </c>
      <c r="G821" s="2" t="str">
        <f aca="false">IF(F821="","",IF(E821=F821,"Yes","No"))</f>
        <v>No</v>
      </c>
      <c r="H821" s="2" t="n">
        <f aca="false">IF(D821="",0,1/COUNTIF($D$2:$D$3451,D821))</f>
        <v>1</v>
      </c>
      <c r="I821" s="13" t="n">
        <f aca="false">IFERROR(INDEX('NCO-2015 scores'!$C$2:$C$131,MATCH(E821,'NCO-2015 scores'!$A$2:$A$131,0)),0)</f>
        <v>0.39</v>
      </c>
      <c r="J821" s="13" t="n">
        <f aca="false">IF(ISNUMBER(MATCH(E821,'NCO-2015 scores'!$A$2:$A$131,0)),IF(ISNUMBER(INDEX('NCO-2015 scores'!$C$2:$C$131,MATCH(E821,'NCO-2015 scores'!$A$2:$A$131,0))),1,0),0)</f>
        <v>1</v>
      </c>
    </row>
    <row r="822" customFormat="false" ht="15" hidden="false" customHeight="false" outlineLevel="0" collapsed="false">
      <c r="A822" s="2" t="n">
        <v>820</v>
      </c>
      <c r="B822" s="2" t="s">
        <v>2761</v>
      </c>
      <c r="C822" s="2" t="s">
        <v>2762</v>
      </c>
      <c r="D822" s="2" t="s">
        <v>2763</v>
      </c>
      <c r="E822" s="2" t="str">
        <f aca="false">LEFT(C822,3)</f>
        <v>263</v>
      </c>
      <c r="F822" s="2" t="str">
        <f aca="false">IF(D822="","",LEFT(D822,3))</f>
        <v>244</v>
      </c>
      <c r="G822" s="2" t="str">
        <f aca="false">IF(F822="","",IF(E822=F822,"Yes","No"))</f>
        <v>No</v>
      </c>
      <c r="H822" s="2" t="n">
        <f aca="false">IF(D822="",0,1/COUNTIF($D$2:$D$3451,D822))</f>
        <v>1</v>
      </c>
      <c r="I822" s="13" t="n">
        <f aca="false">IFERROR(INDEX('NCO-2015 scores'!$C$2:$C$131,MATCH(E822,'NCO-2015 scores'!$A$2:$A$131,0)),0)</f>
        <v>0.39</v>
      </c>
      <c r="J822" s="13" t="n">
        <f aca="false">IF(ISNUMBER(MATCH(E822,'NCO-2015 scores'!$A$2:$A$131,0)),IF(ISNUMBER(INDEX('NCO-2015 scores'!$C$2:$C$131,MATCH(E822,'NCO-2015 scores'!$A$2:$A$131,0))),1,0),0)</f>
        <v>1</v>
      </c>
    </row>
    <row r="823" customFormat="false" ht="15" hidden="false" customHeight="false" outlineLevel="0" collapsed="false">
      <c r="A823" s="2" t="n">
        <v>821</v>
      </c>
      <c r="B823" s="2" t="s">
        <v>2764</v>
      </c>
      <c r="C823" s="2" t="s">
        <v>2765</v>
      </c>
      <c r="D823" s="2" t="s">
        <v>2766</v>
      </c>
      <c r="E823" s="2" t="str">
        <f aca="false">LEFT(C823,3)</f>
        <v>263</v>
      </c>
      <c r="F823" s="2" t="str">
        <f aca="false">IF(D823="","",LEFT(D823,3))</f>
        <v>244</v>
      </c>
      <c r="G823" s="2" t="str">
        <f aca="false">IF(F823="","",IF(E823=F823,"Yes","No"))</f>
        <v>No</v>
      </c>
      <c r="H823" s="2" t="n">
        <f aca="false">IF(D823="",0,1/COUNTIF($D$2:$D$3451,D823))</f>
        <v>1</v>
      </c>
      <c r="I823" s="13" t="n">
        <f aca="false">IFERROR(INDEX('NCO-2015 scores'!$C$2:$C$131,MATCH(E823,'NCO-2015 scores'!$A$2:$A$131,0)),0)</f>
        <v>0.39</v>
      </c>
      <c r="J823" s="13" t="n">
        <f aca="false">IF(ISNUMBER(MATCH(E823,'NCO-2015 scores'!$A$2:$A$131,0)),IF(ISNUMBER(INDEX('NCO-2015 scores'!$C$2:$C$131,MATCH(E823,'NCO-2015 scores'!$A$2:$A$131,0))),1,0),0)</f>
        <v>1</v>
      </c>
    </row>
    <row r="824" customFormat="false" ht="15" hidden="false" customHeight="false" outlineLevel="0" collapsed="false">
      <c r="A824" s="2" t="n">
        <v>822</v>
      </c>
      <c r="B824" s="2" t="s">
        <v>2767</v>
      </c>
      <c r="C824" s="2" t="s">
        <v>2768</v>
      </c>
      <c r="D824" s="2" t="s">
        <v>2769</v>
      </c>
      <c r="E824" s="2" t="str">
        <f aca="false">LEFT(C824,3)</f>
        <v>134</v>
      </c>
      <c r="F824" s="2" t="str">
        <f aca="false">IF(D824="","",LEFT(D824,3))</f>
        <v>122</v>
      </c>
      <c r="G824" s="2" t="str">
        <f aca="false">IF(F824="","",IF(E824=F824,"Yes","No"))</f>
        <v>No</v>
      </c>
      <c r="H824" s="2" t="n">
        <f aca="false">IF(D824="",0,1/COUNTIF($D$2:$D$3451,D824))</f>
        <v>1</v>
      </c>
      <c r="I824" s="13" t="n">
        <f aca="false">IFERROR(INDEX('NCO-2015 scores'!$C$2:$C$131,MATCH(E824,'NCO-2015 scores'!$A$2:$A$131,0)),0)</f>
        <v>0.3686</v>
      </c>
      <c r="J824" s="13" t="n">
        <f aca="false">IF(ISNUMBER(MATCH(E824,'NCO-2015 scores'!$A$2:$A$131,0)),IF(ISNUMBER(INDEX('NCO-2015 scores'!$C$2:$C$131,MATCH(E824,'NCO-2015 scores'!$A$2:$A$131,0))),1,0),0)</f>
        <v>1</v>
      </c>
    </row>
    <row r="825" customFormat="false" ht="15" hidden="false" customHeight="false" outlineLevel="0" collapsed="false">
      <c r="A825" s="2" t="n">
        <v>823</v>
      </c>
      <c r="B825" s="2" t="s">
        <v>2770</v>
      </c>
      <c r="C825" s="2" t="s">
        <v>2771</v>
      </c>
      <c r="D825" s="2" t="s">
        <v>2772</v>
      </c>
      <c r="E825" s="2" t="str">
        <f aca="false">LEFT(C825,3)</f>
        <v>235</v>
      </c>
      <c r="F825" s="2" t="str">
        <f aca="false">IF(D825="","",LEFT(D825,3))</f>
        <v>233</v>
      </c>
      <c r="G825" s="2" t="str">
        <f aca="false">IF(F825="","",IF(E825=F825,"Yes","No"))</f>
        <v>No</v>
      </c>
      <c r="H825" s="2" t="n">
        <f aca="false">IF(D825="",0,1/COUNTIF($D$2:$D$3451,D825))</f>
        <v>1</v>
      </c>
      <c r="I825" s="13" t="n">
        <f aca="false">IFERROR(INDEX('NCO-2015 scores'!$C$2:$C$131,MATCH(E825,'NCO-2015 scores'!$A$2:$A$131,0)),0)</f>
        <v>0.3586</v>
      </c>
      <c r="J825" s="13" t="n">
        <f aca="false">IF(ISNUMBER(MATCH(E825,'NCO-2015 scores'!$A$2:$A$131,0)),IF(ISNUMBER(INDEX('NCO-2015 scores'!$C$2:$C$131,MATCH(E825,'NCO-2015 scores'!$A$2:$A$131,0))),1,0),0)</f>
        <v>1</v>
      </c>
    </row>
    <row r="826" customFormat="false" ht="15" hidden="false" customHeight="false" outlineLevel="0" collapsed="false">
      <c r="A826" s="2" t="n">
        <v>824</v>
      </c>
      <c r="B826" s="2" t="s">
        <v>2773</v>
      </c>
      <c r="C826" s="2" t="s">
        <v>2774</v>
      </c>
      <c r="D826" s="2" t="s">
        <v>2775</v>
      </c>
      <c r="E826" s="2" t="str">
        <f aca="false">LEFT(C826,3)</f>
        <v>235</v>
      </c>
      <c r="F826" s="2" t="str">
        <f aca="false">IF(D826="","",LEFT(D826,3))</f>
        <v>233</v>
      </c>
      <c r="G826" s="2" t="str">
        <f aca="false">IF(F826="","",IF(E826=F826,"Yes","No"))</f>
        <v>No</v>
      </c>
      <c r="H826" s="2" t="n">
        <f aca="false">IF(D826="",0,1/COUNTIF($D$2:$D$3451,D826))</f>
        <v>1</v>
      </c>
      <c r="I826" s="13" t="n">
        <f aca="false">IFERROR(INDEX('NCO-2015 scores'!$C$2:$C$131,MATCH(E826,'NCO-2015 scores'!$A$2:$A$131,0)),0)</f>
        <v>0.3586</v>
      </c>
      <c r="J826" s="13" t="n">
        <f aca="false">IF(ISNUMBER(MATCH(E826,'NCO-2015 scores'!$A$2:$A$131,0)),IF(ISNUMBER(INDEX('NCO-2015 scores'!$C$2:$C$131,MATCH(E826,'NCO-2015 scores'!$A$2:$A$131,0))),1,0),0)</f>
        <v>1</v>
      </c>
    </row>
    <row r="827" customFormat="false" ht="15" hidden="false" customHeight="false" outlineLevel="0" collapsed="false">
      <c r="A827" s="2" t="n">
        <v>825</v>
      </c>
      <c r="B827" s="2" t="s">
        <v>2776</v>
      </c>
      <c r="C827" s="2" t="s">
        <v>2777</v>
      </c>
      <c r="D827" s="2" t="s">
        <v>2778</v>
      </c>
      <c r="E827" s="2" t="str">
        <f aca="false">LEFT(C827,3)</f>
        <v>821</v>
      </c>
      <c r="F827" s="2" t="str">
        <f aca="false">IF(D827="","",LEFT(D827,3))</f>
        <v>828</v>
      </c>
      <c r="G827" s="2" t="str">
        <f aca="false">IF(F827="","",IF(E827=F827,"Yes","No"))</f>
        <v>No</v>
      </c>
      <c r="H827" s="2" t="n">
        <f aca="false">IF(D827="",0,1/COUNTIF($D$2:$D$3451,D827))</f>
        <v>1</v>
      </c>
      <c r="I827" s="13" t="n">
        <f aca="false">IFERROR(INDEX('NCO-2015 scores'!$C$2:$C$131,MATCH(E827,'NCO-2015 scores'!$A$2:$A$131,0)),0)</f>
        <v>0.29</v>
      </c>
      <c r="J827" s="13" t="n">
        <f aca="false">IF(ISNUMBER(MATCH(E827,'NCO-2015 scores'!$A$2:$A$131,0)),IF(ISNUMBER(INDEX('NCO-2015 scores'!$C$2:$C$131,MATCH(E827,'NCO-2015 scores'!$A$2:$A$131,0))),1,0),0)</f>
        <v>1</v>
      </c>
    </row>
    <row r="828" customFormat="false" ht="15" hidden="false" customHeight="false" outlineLevel="0" collapsed="false">
      <c r="A828" s="2" t="n">
        <v>826</v>
      </c>
      <c r="B828" s="2" t="s">
        <v>2779</v>
      </c>
      <c r="C828" s="2" t="s">
        <v>2780</v>
      </c>
      <c r="D828" s="2" t="s">
        <v>2781</v>
      </c>
      <c r="E828" s="2" t="str">
        <f aca="false">LEFT(C828,3)</f>
        <v>821</v>
      </c>
      <c r="F828" s="2" t="str">
        <f aca="false">IF(D828="","",LEFT(D828,3))</f>
        <v>828</v>
      </c>
      <c r="G828" s="2" t="str">
        <f aca="false">IF(F828="","",IF(E828=F828,"Yes","No"))</f>
        <v>No</v>
      </c>
      <c r="H828" s="2" t="n">
        <f aca="false">IF(D828="",0,1/COUNTIF($D$2:$D$3451,D828))</f>
        <v>1</v>
      </c>
      <c r="I828" s="13" t="n">
        <f aca="false">IFERROR(INDEX('NCO-2015 scores'!$C$2:$C$131,MATCH(E828,'NCO-2015 scores'!$A$2:$A$131,0)),0)</f>
        <v>0.29</v>
      </c>
      <c r="J828" s="13" t="n">
        <f aca="false">IF(ISNUMBER(MATCH(E828,'NCO-2015 scores'!$A$2:$A$131,0)),IF(ISNUMBER(INDEX('NCO-2015 scores'!$C$2:$C$131,MATCH(E828,'NCO-2015 scores'!$A$2:$A$131,0))),1,0),0)</f>
        <v>1</v>
      </c>
    </row>
    <row r="829" customFormat="false" ht="15" hidden="false" customHeight="false" outlineLevel="0" collapsed="false">
      <c r="A829" s="2" t="n">
        <v>827</v>
      </c>
      <c r="B829" s="2" t="s">
        <v>2782</v>
      </c>
      <c r="C829" s="2" t="s">
        <v>2783</v>
      </c>
      <c r="D829" s="2" t="s">
        <v>2784</v>
      </c>
      <c r="E829" s="2" t="str">
        <f aca="false">LEFT(C829,3)</f>
        <v>821</v>
      </c>
      <c r="F829" s="2" t="str">
        <f aca="false">IF(D829="","",LEFT(D829,3))</f>
        <v>828</v>
      </c>
      <c r="G829" s="2" t="str">
        <f aca="false">IF(F829="","",IF(E829=F829,"Yes","No"))</f>
        <v>No</v>
      </c>
      <c r="H829" s="2" t="n">
        <f aca="false">IF(D829="",0,1/COUNTIF($D$2:$D$3451,D829))</f>
        <v>1</v>
      </c>
      <c r="I829" s="13" t="n">
        <f aca="false">IFERROR(INDEX('NCO-2015 scores'!$C$2:$C$131,MATCH(E829,'NCO-2015 scores'!$A$2:$A$131,0)),0)</f>
        <v>0.29</v>
      </c>
      <c r="J829" s="13" t="n">
        <f aca="false">IF(ISNUMBER(MATCH(E829,'NCO-2015 scores'!$A$2:$A$131,0)),IF(ISNUMBER(INDEX('NCO-2015 scores'!$C$2:$C$131,MATCH(E829,'NCO-2015 scores'!$A$2:$A$131,0))),1,0),0)</f>
        <v>1</v>
      </c>
    </row>
    <row r="830" customFormat="false" ht="15" hidden="false" customHeight="false" outlineLevel="0" collapsed="false">
      <c r="A830" s="2" t="n">
        <v>828</v>
      </c>
      <c r="B830" s="2" t="s">
        <v>2785</v>
      </c>
      <c r="C830" s="2" t="s">
        <v>2786</v>
      </c>
      <c r="D830" s="2" t="s">
        <v>2787</v>
      </c>
      <c r="E830" s="2" t="str">
        <f aca="false">LEFT(C830,3)</f>
        <v>821</v>
      </c>
      <c r="F830" s="2" t="str">
        <f aca="false">IF(D830="","",LEFT(D830,3))</f>
        <v>828</v>
      </c>
      <c r="G830" s="2" t="str">
        <f aca="false">IF(F830="","",IF(E830=F830,"Yes","No"))</f>
        <v>No</v>
      </c>
      <c r="H830" s="2" t="n">
        <f aca="false">IF(D830="",0,1/COUNTIF($D$2:$D$3451,D830))</f>
        <v>1</v>
      </c>
      <c r="I830" s="13" t="n">
        <f aca="false">IFERROR(INDEX('NCO-2015 scores'!$C$2:$C$131,MATCH(E830,'NCO-2015 scores'!$A$2:$A$131,0)),0)</f>
        <v>0.29</v>
      </c>
      <c r="J830" s="13" t="n">
        <f aca="false">IF(ISNUMBER(MATCH(E830,'NCO-2015 scores'!$A$2:$A$131,0)),IF(ISNUMBER(INDEX('NCO-2015 scores'!$C$2:$C$131,MATCH(E830,'NCO-2015 scores'!$A$2:$A$131,0))),1,0),0)</f>
        <v>1</v>
      </c>
    </row>
    <row r="831" customFormat="false" ht="15" hidden="false" customHeight="false" outlineLevel="0" collapsed="false">
      <c r="A831" s="2" t="n">
        <v>829</v>
      </c>
      <c r="B831" s="2" t="s">
        <v>2788</v>
      </c>
      <c r="C831" s="2" t="s">
        <v>2789</v>
      </c>
      <c r="D831" s="2" t="s">
        <v>2790</v>
      </c>
      <c r="E831" s="2" t="str">
        <f aca="false">LEFT(C831,3)</f>
        <v>821</v>
      </c>
      <c r="F831" s="2" t="str">
        <f aca="false">IF(D831="","",LEFT(D831,3))</f>
        <v>828</v>
      </c>
      <c r="G831" s="2" t="str">
        <f aca="false">IF(F831="","",IF(E831=F831,"Yes","No"))</f>
        <v>No</v>
      </c>
      <c r="H831" s="2" t="n">
        <f aca="false">IF(D831="",0,1/COUNTIF($D$2:$D$3451,D831))</f>
        <v>1</v>
      </c>
      <c r="I831" s="13" t="n">
        <f aca="false">IFERROR(INDEX('NCO-2015 scores'!$C$2:$C$131,MATCH(E831,'NCO-2015 scores'!$A$2:$A$131,0)),0)</f>
        <v>0.29</v>
      </c>
      <c r="J831" s="13" t="n">
        <f aca="false">IF(ISNUMBER(MATCH(E831,'NCO-2015 scores'!$A$2:$A$131,0)),IF(ISNUMBER(INDEX('NCO-2015 scores'!$C$2:$C$131,MATCH(E831,'NCO-2015 scores'!$A$2:$A$131,0))),1,0),0)</f>
        <v>1</v>
      </c>
    </row>
    <row r="832" customFormat="false" ht="15" hidden="false" customHeight="false" outlineLevel="0" collapsed="false">
      <c r="A832" s="2" t="n">
        <v>830</v>
      </c>
      <c r="B832" s="2" t="s">
        <v>2791</v>
      </c>
      <c r="C832" s="2" t="s">
        <v>2792</v>
      </c>
      <c r="D832" s="2" t="s">
        <v>2793</v>
      </c>
      <c r="E832" s="2" t="str">
        <f aca="false">LEFT(C832,3)</f>
        <v>821</v>
      </c>
      <c r="F832" s="2" t="str">
        <f aca="false">IF(D832="","",LEFT(D832,3))</f>
        <v>828</v>
      </c>
      <c r="G832" s="2" t="str">
        <f aca="false">IF(F832="","",IF(E832=F832,"Yes","No"))</f>
        <v>No</v>
      </c>
      <c r="H832" s="2" t="n">
        <f aca="false">IF(D832="",0,1/COUNTIF($D$2:$D$3451,D832))</f>
        <v>1</v>
      </c>
      <c r="I832" s="13" t="n">
        <f aca="false">IFERROR(INDEX('NCO-2015 scores'!$C$2:$C$131,MATCH(E832,'NCO-2015 scores'!$A$2:$A$131,0)),0)</f>
        <v>0.29</v>
      </c>
      <c r="J832" s="13" t="n">
        <f aca="false">IF(ISNUMBER(MATCH(E832,'NCO-2015 scores'!$A$2:$A$131,0)),IF(ISNUMBER(INDEX('NCO-2015 scores'!$C$2:$C$131,MATCH(E832,'NCO-2015 scores'!$A$2:$A$131,0))),1,0),0)</f>
        <v>1</v>
      </c>
    </row>
    <row r="833" customFormat="false" ht="15" hidden="false" customHeight="false" outlineLevel="0" collapsed="false">
      <c r="A833" s="2" t="n">
        <v>831</v>
      </c>
      <c r="B833" s="2" t="s">
        <v>2794</v>
      </c>
      <c r="C833" s="2" t="s">
        <v>2795</v>
      </c>
      <c r="D833" s="2"/>
      <c r="E833" s="2" t="str">
        <f aca="false">LEFT(C833,3)</f>
        <v>821</v>
      </c>
      <c r="F833" s="2" t="str">
        <f aca="false">IF(D833="","",LEFT(D833,3))</f>
        <v/>
      </c>
      <c r="G833" s="2" t="str">
        <f aca="false">IF(F833="","",IF(E833=F833,"Yes","No"))</f>
        <v/>
      </c>
      <c r="H833" s="2" t="n">
        <f aca="false">IF(D833="",0,1/COUNTIF($D$2:$D$3451,D833))</f>
        <v>0</v>
      </c>
      <c r="I833" s="13" t="n">
        <f aca="false">IFERROR(INDEX('NCO-2015 scores'!$C$2:$C$131,MATCH(E833,'NCO-2015 scores'!$A$2:$A$131,0)),0)</f>
        <v>0.29</v>
      </c>
      <c r="J833" s="13" t="n">
        <f aca="false">IF(ISNUMBER(MATCH(E833,'NCO-2015 scores'!$A$2:$A$131,0)),IF(ISNUMBER(INDEX('NCO-2015 scores'!$C$2:$C$131,MATCH(E833,'NCO-2015 scores'!$A$2:$A$131,0))),1,0),0)</f>
        <v>1</v>
      </c>
    </row>
    <row r="834" customFormat="false" ht="15" hidden="false" customHeight="false" outlineLevel="0" collapsed="false">
      <c r="A834" s="2" t="n">
        <v>832</v>
      </c>
      <c r="B834" s="2" t="s">
        <v>2796</v>
      </c>
      <c r="C834" s="2" t="s">
        <v>2797</v>
      </c>
      <c r="D834" s="2"/>
      <c r="E834" s="2" t="str">
        <f aca="false">LEFT(C834,3)</f>
        <v>821</v>
      </c>
      <c r="F834" s="2" t="str">
        <f aca="false">IF(D834="","",LEFT(D834,3))</f>
        <v/>
      </c>
      <c r="G834" s="2" t="str">
        <f aca="false">IF(F834="","",IF(E834=F834,"Yes","No"))</f>
        <v/>
      </c>
      <c r="H834" s="2" t="n">
        <f aca="false">IF(D834="",0,1/COUNTIF($D$2:$D$3451,D834))</f>
        <v>0</v>
      </c>
      <c r="I834" s="13" t="n">
        <f aca="false">IFERROR(INDEX('NCO-2015 scores'!$C$2:$C$131,MATCH(E834,'NCO-2015 scores'!$A$2:$A$131,0)),0)</f>
        <v>0.29</v>
      </c>
      <c r="J834" s="13" t="n">
        <f aca="false">IF(ISNUMBER(MATCH(E834,'NCO-2015 scores'!$A$2:$A$131,0)),IF(ISNUMBER(INDEX('NCO-2015 scores'!$C$2:$C$131,MATCH(E834,'NCO-2015 scores'!$A$2:$A$131,0))),1,0),0)</f>
        <v>1</v>
      </c>
    </row>
    <row r="835" customFormat="false" ht="15" hidden="false" customHeight="false" outlineLevel="0" collapsed="false">
      <c r="A835" s="2" t="n">
        <v>833</v>
      </c>
      <c r="B835" s="2" t="s">
        <v>2798</v>
      </c>
      <c r="C835" s="2" t="s">
        <v>2799</v>
      </c>
      <c r="D835" s="2" t="s">
        <v>2800</v>
      </c>
      <c r="E835" s="2" t="str">
        <f aca="false">LEFT(C835,3)</f>
        <v>821</v>
      </c>
      <c r="F835" s="2" t="str">
        <f aca="false">IF(D835="","",LEFT(D835,3))</f>
        <v>828</v>
      </c>
      <c r="G835" s="2" t="str">
        <f aca="false">IF(F835="","",IF(E835=F835,"Yes","No"))</f>
        <v>No</v>
      </c>
      <c r="H835" s="2" t="n">
        <f aca="false">IF(D835="",0,1/COUNTIF($D$2:$D$3451,D835))</f>
        <v>1</v>
      </c>
      <c r="I835" s="13" t="n">
        <f aca="false">IFERROR(INDEX('NCO-2015 scores'!$C$2:$C$131,MATCH(E835,'NCO-2015 scores'!$A$2:$A$131,0)),0)</f>
        <v>0.29</v>
      </c>
      <c r="J835" s="13" t="n">
        <f aca="false">IF(ISNUMBER(MATCH(E835,'NCO-2015 scores'!$A$2:$A$131,0)),IF(ISNUMBER(INDEX('NCO-2015 scores'!$C$2:$C$131,MATCH(E835,'NCO-2015 scores'!$A$2:$A$131,0))),1,0),0)</f>
        <v>1</v>
      </c>
    </row>
    <row r="836" customFormat="false" ht="15" hidden="false" customHeight="false" outlineLevel="0" collapsed="false">
      <c r="A836" s="2" t="n">
        <v>834</v>
      </c>
      <c r="B836" s="2" t="s">
        <v>2801</v>
      </c>
      <c r="C836" s="2" t="s">
        <v>2802</v>
      </c>
      <c r="D836" s="2" t="s">
        <v>2803</v>
      </c>
      <c r="E836" s="2" t="str">
        <f aca="false">LEFT(C836,3)</f>
        <v>821</v>
      </c>
      <c r="F836" s="2" t="str">
        <f aca="false">IF(D836="","",LEFT(D836,3))</f>
        <v>828</v>
      </c>
      <c r="G836" s="2" t="str">
        <f aca="false">IF(F836="","",IF(E836=F836,"Yes","No"))</f>
        <v>No</v>
      </c>
      <c r="H836" s="2" t="n">
        <f aca="false">IF(D836="",0,1/COUNTIF($D$2:$D$3451,D836))</f>
        <v>1</v>
      </c>
      <c r="I836" s="13" t="n">
        <f aca="false">IFERROR(INDEX('NCO-2015 scores'!$C$2:$C$131,MATCH(E836,'NCO-2015 scores'!$A$2:$A$131,0)),0)</f>
        <v>0.29</v>
      </c>
      <c r="J836" s="13" t="n">
        <f aca="false">IF(ISNUMBER(MATCH(E836,'NCO-2015 scores'!$A$2:$A$131,0)),IF(ISNUMBER(INDEX('NCO-2015 scores'!$C$2:$C$131,MATCH(E836,'NCO-2015 scores'!$A$2:$A$131,0))),1,0),0)</f>
        <v>1</v>
      </c>
    </row>
    <row r="837" customFormat="false" ht="15" hidden="false" customHeight="false" outlineLevel="0" collapsed="false">
      <c r="A837" s="2" t="n">
        <v>835</v>
      </c>
      <c r="B837" s="2" t="s">
        <v>2804</v>
      </c>
      <c r="C837" s="2" t="s">
        <v>2805</v>
      </c>
      <c r="D837" s="2" t="s">
        <v>2806</v>
      </c>
      <c r="E837" s="2" t="str">
        <f aca="false">LEFT(C837,3)</f>
        <v>821</v>
      </c>
      <c r="F837" s="2" t="str">
        <f aca="false">IF(D837="","",LEFT(D837,3))</f>
        <v>828</v>
      </c>
      <c r="G837" s="2" t="str">
        <f aca="false">IF(F837="","",IF(E837=F837,"Yes","No"))</f>
        <v>No</v>
      </c>
      <c r="H837" s="2" t="n">
        <f aca="false">IF(D837="",0,1/COUNTIF($D$2:$D$3451,D837))</f>
        <v>1</v>
      </c>
      <c r="I837" s="13" t="n">
        <f aca="false">IFERROR(INDEX('NCO-2015 scores'!$C$2:$C$131,MATCH(E837,'NCO-2015 scores'!$A$2:$A$131,0)),0)</f>
        <v>0.29</v>
      </c>
      <c r="J837" s="13" t="n">
        <f aca="false">IF(ISNUMBER(MATCH(E837,'NCO-2015 scores'!$A$2:$A$131,0)),IF(ISNUMBER(INDEX('NCO-2015 scores'!$C$2:$C$131,MATCH(E837,'NCO-2015 scores'!$A$2:$A$131,0))),1,0),0)</f>
        <v>1</v>
      </c>
    </row>
    <row r="838" customFormat="false" ht="15" hidden="false" customHeight="false" outlineLevel="0" collapsed="false">
      <c r="A838" s="2" t="n">
        <v>836</v>
      </c>
      <c r="B838" s="2" t="s">
        <v>2807</v>
      </c>
      <c r="C838" s="2" t="s">
        <v>2808</v>
      </c>
      <c r="D838" s="2" t="s">
        <v>2809</v>
      </c>
      <c r="E838" s="2" t="str">
        <f aca="false">LEFT(C838,3)</f>
        <v>821</v>
      </c>
      <c r="F838" s="2" t="str">
        <f aca="false">IF(D838="","",LEFT(D838,3))</f>
        <v>828</v>
      </c>
      <c r="G838" s="2" t="str">
        <f aca="false">IF(F838="","",IF(E838=F838,"Yes","No"))</f>
        <v>No</v>
      </c>
      <c r="H838" s="2" t="n">
        <f aca="false">IF(D838="",0,1/COUNTIF($D$2:$D$3451,D838))</f>
        <v>1</v>
      </c>
      <c r="I838" s="13" t="n">
        <f aca="false">IFERROR(INDEX('NCO-2015 scores'!$C$2:$C$131,MATCH(E838,'NCO-2015 scores'!$A$2:$A$131,0)),0)</f>
        <v>0.29</v>
      </c>
      <c r="J838" s="13" t="n">
        <f aca="false">IF(ISNUMBER(MATCH(E838,'NCO-2015 scores'!$A$2:$A$131,0)),IF(ISNUMBER(INDEX('NCO-2015 scores'!$C$2:$C$131,MATCH(E838,'NCO-2015 scores'!$A$2:$A$131,0))),1,0),0)</f>
        <v>1</v>
      </c>
    </row>
    <row r="839" customFormat="false" ht="15" hidden="false" customHeight="false" outlineLevel="0" collapsed="false">
      <c r="A839" s="2" t="n">
        <v>837</v>
      </c>
      <c r="B839" s="2" t="s">
        <v>2810</v>
      </c>
      <c r="C839" s="2" t="s">
        <v>2811</v>
      </c>
      <c r="D839" s="2" t="s">
        <v>2812</v>
      </c>
      <c r="E839" s="2" t="str">
        <f aca="false">LEFT(C839,3)</f>
        <v>821</v>
      </c>
      <c r="F839" s="2" t="str">
        <f aca="false">IF(D839="","",LEFT(D839,3))</f>
        <v>828</v>
      </c>
      <c r="G839" s="2" t="str">
        <f aca="false">IF(F839="","",IF(E839=F839,"Yes","No"))</f>
        <v>No</v>
      </c>
      <c r="H839" s="2" t="n">
        <f aca="false">IF(D839="",0,1/COUNTIF($D$2:$D$3451,D839))</f>
        <v>1</v>
      </c>
      <c r="I839" s="13" t="n">
        <f aca="false">IFERROR(INDEX('NCO-2015 scores'!$C$2:$C$131,MATCH(E839,'NCO-2015 scores'!$A$2:$A$131,0)),0)</f>
        <v>0.29</v>
      </c>
      <c r="J839" s="13" t="n">
        <f aca="false">IF(ISNUMBER(MATCH(E839,'NCO-2015 scores'!$A$2:$A$131,0)),IF(ISNUMBER(INDEX('NCO-2015 scores'!$C$2:$C$131,MATCH(E839,'NCO-2015 scores'!$A$2:$A$131,0))),1,0),0)</f>
        <v>1</v>
      </c>
    </row>
    <row r="840" customFormat="false" ht="15" hidden="false" customHeight="false" outlineLevel="0" collapsed="false">
      <c r="A840" s="2" t="n">
        <v>838</v>
      </c>
      <c r="B840" s="2" t="s">
        <v>2813</v>
      </c>
      <c r="C840" s="2" t="s">
        <v>2814</v>
      </c>
      <c r="D840" s="2" t="s">
        <v>2815</v>
      </c>
      <c r="E840" s="2" t="str">
        <f aca="false">LEFT(C840,3)</f>
        <v>821</v>
      </c>
      <c r="F840" s="2" t="str">
        <f aca="false">IF(D840="","",LEFT(D840,3))</f>
        <v>828</v>
      </c>
      <c r="G840" s="2" t="str">
        <f aca="false">IF(F840="","",IF(E840=F840,"Yes","No"))</f>
        <v>No</v>
      </c>
      <c r="H840" s="2" t="n">
        <f aca="false">IF(D840="",0,1/COUNTIF($D$2:$D$3451,D840))</f>
        <v>1</v>
      </c>
      <c r="I840" s="13" t="n">
        <f aca="false">IFERROR(INDEX('NCO-2015 scores'!$C$2:$C$131,MATCH(E840,'NCO-2015 scores'!$A$2:$A$131,0)),0)</f>
        <v>0.29</v>
      </c>
      <c r="J840" s="13" t="n">
        <f aca="false">IF(ISNUMBER(MATCH(E840,'NCO-2015 scores'!$A$2:$A$131,0)),IF(ISNUMBER(INDEX('NCO-2015 scores'!$C$2:$C$131,MATCH(E840,'NCO-2015 scores'!$A$2:$A$131,0))),1,0),0)</f>
        <v>1</v>
      </c>
    </row>
    <row r="841" customFormat="false" ht="15" hidden="false" customHeight="false" outlineLevel="0" collapsed="false">
      <c r="A841" s="2" t="n">
        <v>839</v>
      </c>
      <c r="B841" s="2" t="s">
        <v>2816</v>
      </c>
      <c r="C841" s="2" t="s">
        <v>2817</v>
      </c>
      <c r="D841" s="2"/>
      <c r="E841" s="2" t="str">
        <f aca="false">LEFT(C841,3)</f>
        <v>821</v>
      </c>
      <c r="F841" s="2" t="str">
        <f aca="false">IF(D841="","",LEFT(D841,3))</f>
        <v/>
      </c>
      <c r="G841" s="2" t="str">
        <f aca="false">IF(F841="","",IF(E841=F841,"Yes","No"))</f>
        <v/>
      </c>
      <c r="H841" s="2" t="n">
        <f aca="false">IF(D841="",0,1/COUNTIF($D$2:$D$3451,D841))</f>
        <v>0</v>
      </c>
      <c r="I841" s="13" t="n">
        <f aca="false">IFERROR(INDEX('NCO-2015 scores'!$C$2:$C$131,MATCH(E841,'NCO-2015 scores'!$A$2:$A$131,0)),0)</f>
        <v>0.29</v>
      </c>
      <c r="J841" s="13" t="n">
        <f aca="false">IF(ISNUMBER(MATCH(E841,'NCO-2015 scores'!$A$2:$A$131,0)),IF(ISNUMBER(INDEX('NCO-2015 scores'!$C$2:$C$131,MATCH(E841,'NCO-2015 scores'!$A$2:$A$131,0))),1,0),0)</f>
        <v>1</v>
      </c>
    </row>
    <row r="842" customFormat="false" ht="15" hidden="false" customHeight="false" outlineLevel="0" collapsed="false">
      <c r="A842" s="2" t="n">
        <v>840</v>
      </c>
      <c r="B842" s="2" t="s">
        <v>2818</v>
      </c>
      <c r="C842" s="2" t="s">
        <v>2819</v>
      </c>
      <c r="D842" s="2"/>
      <c r="E842" s="2" t="str">
        <f aca="false">LEFT(C842,3)</f>
        <v>821</v>
      </c>
      <c r="F842" s="2" t="str">
        <f aca="false">IF(D842="","",LEFT(D842,3))</f>
        <v/>
      </c>
      <c r="G842" s="2" t="str">
        <f aca="false">IF(F842="","",IF(E842=F842,"Yes","No"))</f>
        <v/>
      </c>
      <c r="H842" s="2" t="n">
        <f aca="false">IF(D842="",0,1/COUNTIF($D$2:$D$3451,D842))</f>
        <v>0</v>
      </c>
      <c r="I842" s="13" t="n">
        <f aca="false">IFERROR(INDEX('NCO-2015 scores'!$C$2:$C$131,MATCH(E842,'NCO-2015 scores'!$A$2:$A$131,0)),0)</f>
        <v>0.29</v>
      </c>
      <c r="J842" s="13" t="n">
        <f aca="false">IF(ISNUMBER(MATCH(E842,'NCO-2015 scores'!$A$2:$A$131,0)),IF(ISNUMBER(INDEX('NCO-2015 scores'!$C$2:$C$131,MATCH(E842,'NCO-2015 scores'!$A$2:$A$131,0))),1,0),0)</f>
        <v>1</v>
      </c>
    </row>
    <row r="843" customFormat="false" ht="15" hidden="false" customHeight="false" outlineLevel="0" collapsed="false">
      <c r="A843" s="2" t="n">
        <v>841</v>
      </c>
      <c r="B843" s="2" t="s">
        <v>2820</v>
      </c>
      <c r="C843" s="2" t="s">
        <v>2821</v>
      </c>
      <c r="D843" s="2"/>
      <c r="E843" s="2" t="str">
        <f aca="false">LEFT(C843,3)</f>
        <v>821</v>
      </c>
      <c r="F843" s="2" t="str">
        <f aca="false">IF(D843="","",LEFT(D843,3))</f>
        <v/>
      </c>
      <c r="G843" s="2" t="str">
        <f aca="false">IF(F843="","",IF(E843=F843,"Yes","No"))</f>
        <v/>
      </c>
      <c r="H843" s="2" t="n">
        <f aca="false">IF(D843="",0,1/COUNTIF($D$2:$D$3451,D843))</f>
        <v>0</v>
      </c>
      <c r="I843" s="13" t="n">
        <f aca="false">IFERROR(INDEX('NCO-2015 scores'!$C$2:$C$131,MATCH(E843,'NCO-2015 scores'!$A$2:$A$131,0)),0)</f>
        <v>0.29</v>
      </c>
      <c r="J843" s="13" t="n">
        <f aca="false">IF(ISNUMBER(MATCH(E843,'NCO-2015 scores'!$A$2:$A$131,0)),IF(ISNUMBER(INDEX('NCO-2015 scores'!$C$2:$C$131,MATCH(E843,'NCO-2015 scores'!$A$2:$A$131,0))),1,0),0)</f>
        <v>1</v>
      </c>
    </row>
    <row r="844" customFormat="false" ht="15" hidden="false" customHeight="false" outlineLevel="0" collapsed="false">
      <c r="A844" s="2" t="n">
        <v>842</v>
      </c>
      <c r="B844" s="2" t="s">
        <v>2822</v>
      </c>
      <c r="C844" s="2" t="s">
        <v>2823</v>
      </c>
      <c r="D844" s="2"/>
      <c r="E844" s="2" t="str">
        <f aca="false">LEFT(C844,3)</f>
        <v>821</v>
      </c>
      <c r="F844" s="2" t="str">
        <f aca="false">IF(D844="","",LEFT(D844,3))</f>
        <v/>
      </c>
      <c r="G844" s="2" t="str">
        <f aca="false">IF(F844="","",IF(E844=F844,"Yes","No"))</f>
        <v/>
      </c>
      <c r="H844" s="2" t="n">
        <f aca="false">IF(D844="",0,1/COUNTIF($D$2:$D$3451,D844))</f>
        <v>0</v>
      </c>
      <c r="I844" s="13" t="n">
        <f aca="false">IFERROR(INDEX('NCO-2015 scores'!$C$2:$C$131,MATCH(E844,'NCO-2015 scores'!$A$2:$A$131,0)),0)</f>
        <v>0.29</v>
      </c>
      <c r="J844" s="13" t="n">
        <f aca="false">IF(ISNUMBER(MATCH(E844,'NCO-2015 scores'!$A$2:$A$131,0)),IF(ISNUMBER(INDEX('NCO-2015 scores'!$C$2:$C$131,MATCH(E844,'NCO-2015 scores'!$A$2:$A$131,0))),1,0),0)</f>
        <v>1</v>
      </c>
    </row>
    <row r="845" customFormat="false" ht="15" hidden="false" customHeight="false" outlineLevel="0" collapsed="false">
      <c r="A845" s="2" t="n">
        <v>843</v>
      </c>
      <c r="B845" s="2" t="s">
        <v>2824</v>
      </c>
      <c r="C845" s="2" t="s">
        <v>2825</v>
      </c>
      <c r="D845" s="2"/>
      <c r="E845" s="2" t="str">
        <f aca="false">LEFT(C845,3)</f>
        <v>821</v>
      </c>
      <c r="F845" s="2" t="str">
        <f aca="false">IF(D845="","",LEFT(D845,3))</f>
        <v/>
      </c>
      <c r="G845" s="2" t="str">
        <f aca="false">IF(F845="","",IF(E845=F845,"Yes","No"))</f>
        <v/>
      </c>
      <c r="H845" s="2" t="n">
        <f aca="false">IF(D845="",0,1/COUNTIF($D$2:$D$3451,D845))</f>
        <v>0</v>
      </c>
      <c r="I845" s="13" t="n">
        <f aca="false">IFERROR(INDEX('NCO-2015 scores'!$C$2:$C$131,MATCH(E845,'NCO-2015 scores'!$A$2:$A$131,0)),0)</f>
        <v>0.29</v>
      </c>
      <c r="J845" s="13" t="n">
        <f aca="false">IF(ISNUMBER(MATCH(E845,'NCO-2015 scores'!$A$2:$A$131,0)),IF(ISNUMBER(INDEX('NCO-2015 scores'!$C$2:$C$131,MATCH(E845,'NCO-2015 scores'!$A$2:$A$131,0))),1,0),0)</f>
        <v>1</v>
      </c>
    </row>
    <row r="846" customFormat="false" ht="15" hidden="false" customHeight="false" outlineLevel="0" collapsed="false">
      <c r="A846" s="2" t="n">
        <v>844</v>
      </c>
      <c r="B846" s="2" t="s">
        <v>2826</v>
      </c>
      <c r="C846" s="2" t="s">
        <v>2827</v>
      </c>
      <c r="D846" s="2"/>
      <c r="E846" s="2" t="str">
        <f aca="false">LEFT(C846,3)</f>
        <v>821</v>
      </c>
      <c r="F846" s="2" t="str">
        <f aca="false">IF(D846="","",LEFT(D846,3))</f>
        <v/>
      </c>
      <c r="G846" s="2" t="str">
        <f aca="false">IF(F846="","",IF(E846=F846,"Yes","No"))</f>
        <v/>
      </c>
      <c r="H846" s="2" t="n">
        <f aca="false">IF(D846="",0,1/COUNTIF($D$2:$D$3451,D846))</f>
        <v>0</v>
      </c>
      <c r="I846" s="13" t="n">
        <f aca="false">IFERROR(INDEX('NCO-2015 scores'!$C$2:$C$131,MATCH(E846,'NCO-2015 scores'!$A$2:$A$131,0)),0)</f>
        <v>0.29</v>
      </c>
      <c r="J846" s="13" t="n">
        <f aca="false">IF(ISNUMBER(MATCH(E846,'NCO-2015 scores'!$A$2:$A$131,0)),IF(ISNUMBER(INDEX('NCO-2015 scores'!$C$2:$C$131,MATCH(E846,'NCO-2015 scores'!$A$2:$A$131,0))),1,0),0)</f>
        <v>1</v>
      </c>
    </row>
    <row r="847" customFormat="false" ht="15" hidden="false" customHeight="false" outlineLevel="0" collapsed="false">
      <c r="A847" s="2" t="n">
        <v>845</v>
      </c>
      <c r="B847" s="2" t="s">
        <v>2828</v>
      </c>
      <c r="C847" s="2" t="s">
        <v>2829</v>
      </c>
      <c r="D847" s="2"/>
      <c r="E847" s="2" t="str">
        <f aca="false">LEFT(C847,3)</f>
        <v>821</v>
      </c>
      <c r="F847" s="2" t="str">
        <f aca="false">IF(D847="","",LEFT(D847,3))</f>
        <v/>
      </c>
      <c r="G847" s="2" t="str">
        <f aca="false">IF(F847="","",IF(E847=F847,"Yes","No"))</f>
        <v/>
      </c>
      <c r="H847" s="2" t="n">
        <f aca="false">IF(D847="",0,1/COUNTIF($D$2:$D$3451,D847))</f>
        <v>0</v>
      </c>
      <c r="I847" s="13" t="n">
        <f aca="false">IFERROR(INDEX('NCO-2015 scores'!$C$2:$C$131,MATCH(E847,'NCO-2015 scores'!$A$2:$A$131,0)),0)</f>
        <v>0.29</v>
      </c>
      <c r="J847" s="13" t="n">
        <f aca="false">IF(ISNUMBER(MATCH(E847,'NCO-2015 scores'!$A$2:$A$131,0)),IF(ISNUMBER(INDEX('NCO-2015 scores'!$C$2:$C$131,MATCH(E847,'NCO-2015 scores'!$A$2:$A$131,0))),1,0),0)</f>
        <v>1</v>
      </c>
    </row>
    <row r="848" customFormat="false" ht="15" hidden="false" customHeight="false" outlineLevel="0" collapsed="false">
      <c r="A848" s="2" t="n">
        <v>846</v>
      </c>
      <c r="B848" s="2" t="s">
        <v>2830</v>
      </c>
      <c r="C848" s="2" t="s">
        <v>2831</v>
      </c>
      <c r="D848" s="2"/>
      <c r="E848" s="2" t="str">
        <f aca="false">LEFT(C848,3)</f>
        <v>821</v>
      </c>
      <c r="F848" s="2" t="str">
        <f aca="false">IF(D848="","",LEFT(D848,3))</f>
        <v/>
      </c>
      <c r="G848" s="2" t="str">
        <f aca="false">IF(F848="","",IF(E848=F848,"Yes","No"))</f>
        <v/>
      </c>
      <c r="H848" s="2" t="n">
        <f aca="false">IF(D848="",0,1/COUNTIF($D$2:$D$3451,D848))</f>
        <v>0</v>
      </c>
      <c r="I848" s="13" t="n">
        <f aca="false">IFERROR(INDEX('NCO-2015 scores'!$C$2:$C$131,MATCH(E848,'NCO-2015 scores'!$A$2:$A$131,0)),0)</f>
        <v>0.29</v>
      </c>
      <c r="J848" s="13" t="n">
        <f aca="false">IF(ISNUMBER(MATCH(E848,'NCO-2015 scores'!$A$2:$A$131,0)),IF(ISNUMBER(INDEX('NCO-2015 scores'!$C$2:$C$131,MATCH(E848,'NCO-2015 scores'!$A$2:$A$131,0))),1,0),0)</f>
        <v>1</v>
      </c>
    </row>
    <row r="849" customFormat="false" ht="15" hidden="false" customHeight="false" outlineLevel="0" collapsed="false">
      <c r="A849" s="2" t="n">
        <v>847</v>
      </c>
      <c r="B849" s="2" t="s">
        <v>2832</v>
      </c>
      <c r="C849" s="2" t="s">
        <v>2833</v>
      </c>
      <c r="D849" s="2"/>
      <c r="E849" s="2" t="str">
        <f aca="false">LEFT(C849,3)</f>
        <v>821</v>
      </c>
      <c r="F849" s="2" t="str">
        <f aca="false">IF(D849="","",LEFT(D849,3))</f>
        <v/>
      </c>
      <c r="G849" s="2" t="str">
        <f aca="false">IF(F849="","",IF(E849=F849,"Yes","No"))</f>
        <v/>
      </c>
      <c r="H849" s="2" t="n">
        <f aca="false">IF(D849="",0,1/COUNTIF($D$2:$D$3451,D849))</f>
        <v>0</v>
      </c>
      <c r="I849" s="13" t="n">
        <f aca="false">IFERROR(INDEX('NCO-2015 scores'!$C$2:$C$131,MATCH(E849,'NCO-2015 scores'!$A$2:$A$131,0)),0)</f>
        <v>0.29</v>
      </c>
      <c r="J849" s="13" t="n">
        <f aca="false">IF(ISNUMBER(MATCH(E849,'NCO-2015 scores'!$A$2:$A$131,0)),IF(ISNUMBER(INDEX('NCO-2015 scores'!$C$2:$C$131,MATCH(E849,'NCO-2015 scores'!$A$2:$A$131,0))),1,0),0)</f>
        <v>1</v>
      </c>
    </row>
    <row r="850" customFormat="false" ht="15" hidden="false" customHeight="false" outlineLevel="0" collapsed="false">
      <c r="A850" s="2" t="n">
        <v>848</v>
      </c>
      <c r="B850" s="2" t="s">
        <v>2834</v>
      </c>
      <c r="C850" s="2" t="s">
        <v>2835</v>
      </c>
      <c r="D850" s="2"/>
      <c r="E850" s="2" t="str">
        <f aca="false">LEFT(C850,3)</f>
        <v>821</v>
      </c>
      <c r="F850" s="2" t="str">
        <f aca="false">IF(D850="","",LEFT(D850,3))</f>
        <v/>
      </c>
      <c r="G850" s="2" t="str">
        <f aca="false">IF(F850="","",IF(E850=F850,"Yes","No"))</f>
        <v/>
      </c>
      <c r="H850" s="2" t="n">
        <f aca="false">IF(D850="",0,1/COUNTIF($D$2:$D$3451,D850))</f>
        <v>0</v>
      </c>
      <c r="I850" s="13" t="n">
        <f aca="false">IFERROR(INDEX('NCO-2015 scores'!$C$2:$C$131,MATCH(E850,'NCO-2015 scores'!$A$2:$A$131,0)),0)</f>
        <v>0.29</v>
      </c>
      <c r="J850" s="13" t="n">
        <f aca="false">IF(ISNUMBER(MATCH(E850,'NCO-2015 scores'!$A$2:$A$131,0)),IF(ISNUMBER(INDEX('NCO-2015 scores'!$C$2:$C$131,MATCH(E850,'NCO-2015 scores'!$A$2:$A$131,0))),1,0),0)</f>
        <v>1</v>
      </c>
    </row>
    <row r="851" customFormat="false" ht="15" hidden="false" customHeight="false" outlineLevel="0" collapsed="false">
      <c r="A851" s="2" t="n">
        <v>849</v>
      </c>
      <c r="B851" s="2" t="s">
        <v>2836</v>
      </c>
      <c r="C851" s="2" t="s">
        <v>2837</v>
      </c>
      <c r="D851" s="2"/>
      <c r="E851" s="2" t="str">
        <f aca="false">LEFT(C851,3)</f>
        <v>821</v>
      </c>
      <c r="F851" s="2" t="str">
        <f aca="false">IF(D851="","",LEFT(D851,3))</f>
        <v/>
      </c>
      <c r="G851" s="2" t="str">
        <f aca="false">IF(F851="","",IF(E851=F851,"Yes","No"))</f>
        <v/>
      </c>
      <c r="H851" s="2" t="n">
        <f aca="false">IF(D851="",0,1/COUNTIF($D$2:$D$3451,D851))</f>
        <v>0</v>
      </c>
      <c r="I851" s="13" t="n">
        <f aca="false">IFERROR(INDEX('NCO-2015 scores'!$C$2:$C$131,MATCH(E851,'NCO-2015 scores'!$A$2:$A$131,0)),0)</f>
        <v>0.29</v>
      </c>
      <c r="J851" s="13" t="n">
        <f aca="false">IF(ISNUMBER(MATCH(E851,'NCO-2015 scores'!$A$2:$A$131,0)),IF(ISNUMBER(INDEX('NCO-2015 scores'!$C$2:$C$131,MATCH(E851,'NCO-2015 scores'!$A$2:$A$131,0))),1,0),0)</f>
        <v>1</v>
      </c>
    </row>
    <row r="852" customFormat="false" ht="15" hidden="false" customHeight="false" outlineLevel="0" collapsed="false">
      <c r="A852" s="2" t="n">
        <v>850</v>
      </c>
      <c r="B852" s="2" t="s">
        <v>2838</v>
      </c>
      <c r="C852" s="2" t="s">
        <v>2839</v>
      </c>
      <c r="D852" s="2"/>
      <c r="E852" s="2" t="str">
        <f aca="false">LEFT(C852,3)</f>
        <v>821</v>
      </c>
      <c r="F852" s="2" t="str">
        <f aca="false">IF(D852="","",LEFT(D852,3))</f>
        <v/>
      </c>
      <c r="G852" s="2" t="str">
        <f aca="false">IF(F852="","",IF(E852=F852,"Yes","No"))</f>
        <v/>
      </c>
      <c r="H852" s="2" t="n">
        <f aca="false">IF(D852="",0,1/COUNTIF($D$2:$D$3451,D852))</f>
        <v>0</v>
      </c>
      <c r="I852" s="13" t="n">
        <f aca="false">IFERROR(INDEX('NCO-2015 scores'!$C$2:$C$131,MATCH(E852,'NCO-2015 scores'!$A$2:$A$131,0)),0)</f>
        <v>0.29</v>
      </c>
      <c r="J852" s="13" t="n">
        <f aca="false">IF(ISNUMBER(MATCH(E852,'NCO-2015 scores'!$A$2:$A$131,0)),IF(ISNUMBER(INDEX('NCO-2015 scores'!$C$2:$C$131,MATCH(E852,'NCO-2015 scores'!$A$2:$A$131,0))),1,0),0)</f>
        <v>1</v>
      </c>
    </row>
    <row r="853" customFormat="false" ht="15" hidden="false" customHeight="false" outlineLevel="0" collapsed="false">
      <c r="A853" s="2" t="n">
        <v>851</v>
      </c>
      <c r="B853" s="2" t="s">
        <v>2840</v>
      </c>
      <c r="C853" s="2" t="s">
        <v>2841</v>
      </c>
      <c r="D853" s="2"/>
      <c r="E853" s="2" t="str">
        <f aca="false">LEFT(C853,3)</f>
        <v>821</v>
      </c>
      <c r="F853" s="2" t="str">
        <f aca="false">IF(D853="","",LEFT(D853,3))</f>
        <v/>
      </c>
      <c r="G853" s="2" t="str">
        <f aca="false">IF(F853="","",IF(E853=F853,"Yes","No"))</f>
        <v/>
      </c>
      <c r="H853" s="2" t="n">
        <f aca="false">IF(D853="",0,1/COUNTIF($D$2:$D$3451,D853))</f>
        <v>0</v>
      </c>
      <c r="I853" s="13" t="n">
        <f aca="false">IFERROR(INDEX('NCO-2015 scores'!$C$2:$C$131,MATCH(E853,'NCO-2015 scores'!$A$2:$A$131,0)),0)</f>
        <v>0.29</v>
      </c>
      <c r="J853" s="13" t="n">
        <f aca="false">IF(ISNUMBER(MATCH(E853,'NCO-2015 scores'!$A$2:$A$131,0)),IF(ISNUMBER(INDEX('NCO-2015 scores'!$C$2:$C$131,MATCH(E853,'NCO-2015 scores'!$A$2:$A$131,0))),1,0),0)</f>
        <v>1</v>
      </c>
    </row>
    <row r="854" customFormat="false" ht="15" hidden="false" customHeight="false" outlineLevel="0" collapsed="false">
      <c r="A854" s="2" t="n">
        <v>852</v>
      </c>
      <c r="B854" s="2" t="s">
        <v>2842</v>
      </c>
      <c r="C854" s="2" t="s">
        <v>2843</v>
      </c>
      <c r="D854" s="2"/>
      <c r="E854" s="2" t="str">
        <f aca="false">LEFT(C854,3)</f>
        <v>821</v>
      </c>
      <c r="F854" s="2" t="str">
        <f aca="false">IF(D854="","",LEFT(D854,3))</f>
        <v/>
      </c>
      <c r="G854" s="2" t="str">
        <f aca="false">IF(F854="","",IF(E854=F854,"Yes","No"))</f>
        <v/>
      </c>
      <c r="H854" s="2" t="n">
        <f aca="false">IF(D854="",0,1/COUNTIF($D$2:$D$3451,D854))</f>
        <v>0</v>
      </c>
      <c r="I854" s="13" t="n">
        <f aca="false">IFERROR(INDEX('NCO-2015 scores'!$C$2:$C$131,MATCH(E854,'NCO-2015 scores'!$A$2:$A$131,0)),0)</f>
        <v>0.29</v>
      </c>
      <c r="J854" s="13" t="n">
        <f aca="false">IF(ISNUMBER(MATCH(E854,'NCO-2015 scores'!$A$2:$A$131,0)),IF(ISNUMBER(INDEX('NCO-2015 scores'!$C$2:$C$131,MATCH(E854,'NCO-2015 scores'!$A$2:$A$131,0))),1,0),0)</f>
        <v>1</v>
      </c>
    </row>
    <row r="855" customFormat="false" ht="15" hidden="false" customHeight="false" outlineLevel="0" collapsed="false">
      <c r="A855" s="2" t="n">
        <v>853</v>
      </c>
      <c r="B855" s="2" t="s">
        <v>2844</v>
      </c>
      <c r="C855" s="2" t="s">
        <v>2845</v>
      </c>
      <c r="D855" s="2"/>
      <c r="E855" s="2" t="str">
        <f aca="false">LEFT(C855,3)</f>
        <v>821</v>
      </c>
      <c r="F855" s="2" t="str">
        <f aca="false">IF(D855="","",LEFT(D855,3))</f>
        <v/>
      </c>
      <c r="G855" s="2" t="str">
        <f aca="false">IF(F855="","",IF(E855=F855,"Yes","No"))</f>
        <v/>
      </c>
      <c r="H855" s="2" t="n">
        <f aca="false">IF(D855="",0,1/COUNTIF($D$2:$D$3451,D855))</f>
        <v>0</v>
      </c>
      <c r="I855" s="13" t="n">
        <f aca="false">IFERROR(INDEX('NCO-2015 scores'!$C$2:$C$131,MATCH(E855,'NCO-2015 scores'!$A$2:$A$131,0)),0)</f>
        <v>0.29</v>
      </c>
      <c r="J855" s="13" t="n">
        <f aca="false">IF(ISNUMBER(MATCH(E855,'NCO-2015 scores'!$A$2:$A$131,0)),IF(ISNUMBER(INDEX('NCO-2015 scores'!$C$2:$C$131,MATCH(E855,'NCO-2015 scores'!$A$2:$A$131,0))),1,0),0)</f>
        <v>1</v>
      </c>
    </row>
    <row r="856" customFormat="false" ht="15" hidden="false" customHeight="false" outlineLevel="0" collapsed="false">
      <c r="A856" s="2" t="n">
        <v>854</v>
      </c>
      <c r="B856" s="2" t="s">
        <v>2846</v>
      </c>
      <c r="C856" s="2" t="s">
        <v>2847</v>
      </c>
      <c r="D856" s="2"/>
      <c r="E856" s="2" t="str">
        <f aca="false">LEFT(C856,3)</f>
        <v>821</v>
      </c>
      <c r="F856" s="2" t="str">
        <f aca="false">IF(D856="","",LEFT(D856,3))</f>
        <v/>
      </c>
      <c r="G856" s="2" t="str">
        <f aca="false">IF(F856="","",IF(E856=F856,"Yes","No"))</f>
        <v/>
      </c>
      <c r="H856" s="2" t="n">
        <f aca="false">IF(D856="",0,1/COUNTIF($D$2:$D$3451,D856))</f>
        <v>0</v>
      </c>
      <c r="I856" s="13" t="n">
        <f aca="false">IFERROR(INDEX('NCO-2015 scores'!$C$2:$C$131,MATCH(E856,'NCO-2015 scores'!$A$2:$A$131,0)),0)</f>
        <v>0.29</v>
      </c>
      <c r="J856" s="13" t="n">
        <f aca="false">IF(ISNUMBER(MATCH(E856,'NCO-2015 scores'!$A$2:$A$131,0)),IF(ISNUMBER(INDEX('NCO-2015 scores'!$C$2:$C$131,MATCH(E856,'NCO-2015 scores'!$A$2:$A$131,0))),1,0),0)</f>
        <v>1</v>
      </c>
    </row>
    <row r="857" customFormat="false" ht="15" hidden="false" customHeight="false" outlineLevel="0" collapsed="false">
      <c r="A857" s="2" t="n">
        <v>855</v>
      </c>
      <c r="B857" s="2" t="s">
        <v>2848</v>
      </c>
      <c r="C857" s="2" t="s">
        <v>2849</v>
      </c>
      <c r="D857" s="2"/>
      <c r="E857" s="2" t="str">
        <f aca="false">LEFT(C857,3)</f>
        <v>821</v>
      </c>
      <c r="F857" s="2" t="str">
        <f aca="false">IF(D857="","",LEFT(D857,3))</f>
        <v/>
      </c>
      <c r="G857" s="2" t="str">
        <f aca="false">IF(F857="","",IF(E857=F857,"Yes","No"))</f>
        <v/>
      </c>
      <c r="H857" s="2" t="n">
        <f aca="false">IF(D857="",0,1/COUNTIF($D$2:$D$3451,D857))</f>
        <v>0</v>
      </c>
      <c r="I857" s="13" t="n">
        <f aca="false">IFERROR(INDEX('NCO-2015 scores'!$C$2:$C$131,MATCH(E857,'NCO-2015 scores'!$A$2:$A$131,0)),0)</f>
        <v>0.29</v>
      </c>
      <c r="J857" s="13" t="n">
        <f aca="false">IF(ISNUMBER(MATCH(E857,'NCO-2015 scores'!$A$2:$A$131,0)),IF(ISNUMBER(INDEX('NCO-2015 scores'!$C$2:$C$131,MATCH(E857,'NCO-2015 scores'!$A$2:$A$131,0))),1,0),0)</f>
        <v>1</v>
      </c>
    </row>
    <row r="858" customFormat="false" ht="15" hidden="false" customHeight="false" outlineLevel="0" collapsed="false">
      <c r="A858" s="2" t="n">
        <v>856</v>
      </c>
      <c r="B858" s="2" t="s">
        <v>2850</v>
      </c>
      <c r="C858" s="2" t="s">
        <v>2851</v>
      </c>
      <c r="D858" s="2"/>
      <c r="E858" s="2" t="str">
        <f aca="false">LEFT(C858,3)</f>
        <v>821</v>
      </c>
      <c r="F858" s="2" t="str">
        <f aca="false">IF(D858="","",LEFT(D858,3))</f>
        <v/>
      </c>
      <c r="G858" s="2" t="str">
        <f aca="false">IF(F858="","",IF(E858=F858,"Yes","No"))</f>
        <v/>
      </c>
      <c r="H858" s="2" t="n">
        <f aca="false">IF(D858="",0,1/COUNTIF($D$2:$D$3451,D858))</f>
        <v>0</v>
      </c>
      <c r="I858" s="13" t="n">
        <f aca="false">IFERROR(INDEX('NCO-2015 scores'!$C$2:$C$131,MATCH(E858,'NCO-2015 scores'!$A$2:$A$131,0)),0)</f>
        <v>0.29</v>
      </c>
      <c r="J858" s="13" t="n">
        <f aca="false">IF(ISNUMBER(MATCH(E858,'NCO-2015 scores'!$A$2:$A$131,0)),IF(ISNUMBER(INDEX('NCO-2015 scores'!$C$2:$C$131,MATCH(E858,'NCO-2015 scores'!$A$2:$A$131,0))),1,0),0)</f>
        <v>1</v>
      </c>
    </row>
    <row r="859" customFormat="false" ht="15" hidden="false" customHeight="false" outlineLevel="0" collapsed="false">
      <c r="A859" s="2" t="n">
        <v>857</v>
      </c>
      <c r="B859" s="2" t="s">
        <v>2852</v>
      </c>
      <c r="C859" s="2" t="s">
        <v>2853</v>
      </c>
      <c r="D859" s="2"/>
      <c r="E859" s="2" t="str">
        <f aca="false">LEFT(C859,3)</f>
        <v>821</v>
      </c>
      <c r="F859" s="2" t="str">
        <f aca="false">IF(D859="","",LEFT(D859,3))</f>
        <v/>
      </c>
      <c r="G859" s="2" t="str">
        <f aca="false">IF(F859="","",IF(E859=F859,"Yes","No"))</f>
        <v/>
      </c>
      <c r="H859" s="2" t="n">
        <f aca="false">IF(D859="",0,1/COUNTIF($D$2:$D$3451,D859))</f>
        <v>0</v>
      </c>
      <c r="I859" s="13" t="n">
        <f aca="false">IFERROR(INDEX('NCO-2015 scores'!$C$2:$C$131,MATCH(E859,'NCO-2015 scores'!$A$2:$A$131,0)),0)</f>
        <v>0.29</v>
      </c>
      <c r="J859" s="13" t="n">
        <f aca="false">IF(ISNUMBER(MATCH(E859,'NCO-2015 scores'!$A$2:$A$131,0)),IF(ISNUMBER(INDEX('NCO-2015 scores'!$C$2:$C$131,MATCH(E859,'NCO-2015 scores'!$A$2:$A$131,0))),1,0),0)</f>
        <v>1</v>
      </c>
    </row>
    <row r="860" customFormat="false" ht="15" hidden="false" customHeight="false" outlineLevel="0" collapsed="false">
      <c r="A860" s="2" t="n">
        <v>858</v>
      </c>
      <c r="B860" s="2" t="s">
        <v>2854</v>
      </c>
      <c r="C860" s="2" t="s">
        <v>2855</v>
      </c>
      <c r="D860" s="2"/>
      <c r="E860" s="2" t="str">
        <f aca="false">LEFT(C860,3)</f>
        <v>821</v>
      </c>
      <c r="F860" s="2" t="str">
        <f aca="false">IF(D860="","",LEFT(D860,3))</f>
        <v/>
      </c>
      <c r="G860" s="2" t="str">
        <f aca="false">IF(F860="","",IF(E860=F860,"Yes","No"))</f>
        <v/>
      </c>
      <c r="H860" s="2" t="n">
        <f aca="false">IF(D860="",0,1/COUNTIF($D$2:$D$3451,D860))</f>
        <v>0</v>
      </c>
      <c r="I860" s="13" t="n">
        <f aca="false">IFERROR(INDEX('NCO-2015 scores'!$C$2:$C$131,MATCH(E860,'NCO-2015 scores'!$A$2:$A$131,0)),0)</f>
        <v>0.29</v>
      </c>
      <c r="J860" s="13" t="n">
        <f aca="false">IF(ISNUMBER(MATCH(E860,'NCO-2015 scores'!$A$2:$A$131,0)),IF(ISNUMBER(INDEX('NCO-2015 scores'!$C$2:$C$131,MATCH(E860,'NCO-2015 scores'!$A$2:$A$131,0))),1,0),0)</f>
        <v>1</v>
      </c>
    </row>
    <row r="861" customFormat="false" ht="15" hidden="false" customHeight="false" outlineLevel="0" collapsed="false">
      <c r="A861" s="2" t="n">
        <v>859</v>
      </c>
      <c r="B861" s="2" t="s">
        <v>2856</v>
      </c>
      <c r="C861" s="2" t="s">
        <v>2857</v>
      </c>
      <c r="D861" s="2"/>
      <c r="E861" s="2" t="str">
        <f aca="false">LEFT(C861,3)</f>
        <v>821</v>
      </c>
      <c r="F861" s="2" t="str">
        <f aca="false">IF(D861="","",LEFT(D861,3))</f>
        <v/>
      </c>
      <c r="G861" s="2" t="str">
        <f aca="false">IF(F861="","",IF(E861=F861,"Yes","No"))</f>
        <v/>
      </c>
      <c r="H861" s="2" t="n">
        <f aca="false">IF(D861="",0,1/COUNTIF($D$2:$D$3451,D861))</f>
        <v>0</v>
      </c>
      <c r="I861" s="13" t="n">
        <f aca="false">IFERROR(INDEX('NCO-2015 scores'!$C$2:$C$131,MATCH(E861,'NCO-2015 scores'!$A$2:$A$131,0)),0)</f>
        <v>0.29</v>
      </c>
      <c r="J861" s="13" t="n">
        <f aca="false">IF(ISNUMBER(MATCH(E861,'NCO-2015 scores'!$A$2:$A$131,0)),IF(ISNUMBER(INDEX('NCO-2015 scores'!$C$2:$C$131,MATCH(E861,'NCO-2015 scores'!$A$2:$A$131,0))),1,0),0)</f>
        <v>1</v>
      </c>
    </row>
    <row r="862" customFormat="false" ht="15" hidden="false" customHeight="false" outlineLevel="0" collapsed="false">
      <c r="A862" s="2" t="n">
        <v>860</v>
      </c>
      <c r="B862" s="2" t="s">
        <v>2858</v>
      </c>
      <c r="C862" s="2" t="s">
        <v>2859</v>
      </c>
      <c r="D862" s="2"/>
      <c r="E862" s="2" t="str">
        <f aca="false">LEFT(C862,3)</f>
        <v>821</v>
      </c>
      <c r="F862" s="2" t="str">
        <f aca="false">IF(D862="","",LEFT(D862,3))</f>
        <v/>
      </c>
      <c r="G862" s="2" t="str">
        <f aca="false">IF(F862="","",IF(E862=F862,"Yes","No"))</f>
        <v/>
      </c>
      <c r="H862" s="2" t="n">
        <f aca="false">IF(D862="",0,1/COUNTIF($D$2:$D$3451,D862))</f>
        <v>0</v>
      </c>
      <c r="I862" s="13" t="n">
        <f aca="false">IFERROR(INDEX('NCO-2015 scores'!$C$2:$C$131,MATCH(E862,'NCO-2015 scores'!$A$2:$A$131,0)),0)</f>
        <v>0.29</v>
      </c>
      <c r="J862" s="13" t="n">
        <f aca="false">IF(ISNUMBER(MATCH(E862,'NCO-2015 scores'!$A$2:$A$131,0)),IF(ISNUMBER(INDEX('NCO-2015 scores'!$C$2:$C$131,MATCH(E862,'NCO-2015 scores'!$A$2:$A$131,0))),1,0),0)</f>
        <v>1</v>
      </c>
    </row>
    <row r="863" customFormat="false" ht="15" hidden="false" customHeight="false" outlineLevel="0" collapsed="false">
      <c r="A863" s="2" t="n">
        <v>861</v>
      </c>
      <c r="B863" s="2" t="s">
        <v>2860</v>
      </c>
      <c r="C863" s="2" t="s">
        <v>2861</v>
      </c>
      <c r="D863" s="2"/>
      <c r="E863" s="2" t="str">
        <f aca="false">LEFT(C863,3)</f>
        <v>821</v>
      </c>
      <c r="F863" s="2" t="str">
        <f aca="false">IF(D863="","",LEFT(D863,3))</f>
        <v/>
      </c>
      <c r="G863" s="2" t="str">
        <f aca="false">IF(F863="","",IF(E863=F863,"Yes","No"))</f>
        <v/>
      </c>
      <c r="H863" s="2" t="n">
        <f aca="false">IF(D863="",0,1/COUNTIF($D$2:$D$3451,D863))</f>
        <v>0</v>
      </c>
      <c r="I863" s="13" t="n">
        <f aca="false">IFERROR(INDEX('NCO-2015 scores'!$C$2:$C$131,MATCH(E863,'NCO-2015 scores'!$A$2:$A$131,0)),0)</f>
        <v>0.29</v>
      </c>
      <c r="J863" s="13" t="n">
        <f aca="false">IF(ISNUMBER(MATCH(E863,'NCO-2015 scores'!$A$2:$A$131,0)),IF(ISNUMBER(INDEX('NCO-2015 scores'!$C$2:$C$131,MATCH(E863,'NCO-2015 scores'!$A$2:$A$131,0))),1,0),0)</f>
        <v>1</v>
      </c>
    </row>
    <row r="864" customFormat="false" ht="15" hidden="false" customHeight="false" outlineLevel="0" collapsed="false">
      <c r="A864" s="2" t="n">
        <v>862</v>
      </c>
      <c r="B864" s="2" t="s">
        <v>2862</v>
      </c>
      <c r="C864" s="2" t="s">
        <v>2863</v>
      </c>
      <c r="D864" s="2"/>
      <c r="E864" s="2" t="str">
        <f aca="false">LEFT(C864,3)</f>
        <v>821</v>
      </c>
      <c r="F864" s="2" t="str">
        <f aca="false">IF(D864="","",LEFT(D864,3))</f>
        <v/>
      </c>
      <c r="G864" s="2" t="str">
        <f aca="false">IF(F864="","",IF(E864=F864,"Yes","No"))</f>
        <v/>
      </c>
      <c r="H864" s="2" t="n">
        <f aca="false">IF(D864="",0,1/COUNTIF($D$2:$D$3451,D864))</f>
        <v>0</v>
      </c>
      <c r="I864" s="13" t="n">
        <f aca="false">IFERROR(INDEX('NCO-2015 scores'!$C$2:$C$131,MATCH(E864,'NCO-2015 scores'!$A$2:$A$131,0)),0)</f>
        <v>0.29</v>
      </c>
      <c r="J864" s="13" t="n">
        <f aca="false">IF(ISNUMBER(MATCH(E864,'NCO-2015 scores'!$A$2:$A$131,0)),IF(ISNUMBER(INDEX('NCO-2015 scores'!$C$2:$C$131,MATCH(E864,'NCO-2015 scores'!$A$2:$A$131,0))),1,0),0)</f>
        <v>1</v>
      </c>
    </row>
    <row r="865" customFormat="false" ht="15" hidden="false" customHeight="false" outlineLevel="0" collapsed="false">
      <c r="A865" s="2" t="n">
        <v>863</v>
      </c>
      <c r="B865" s="2" t="s">
        <v>2864</v>
      </c>
      <c r="C865" s="2" t="s">
        <v>2865</v>
      </c>
      <c r="D865" s="2"/>
      <c r="E865" s="2" t="str">
        <f aca="false">LEFT(C865,3)</f>
        <v>821</v>
      </c>
      <c r="F865" s="2" t="str">
        <f aca="false">IF(D865="","",LEFT(D865,3))</f>
        <v/>
      </c>
      <c r="G865" s="2" t="str">
        <f aca="false">IF(F865="","",IF(E865=F865,"Yes","No"))</f>
        <v/>
      </c>
      <c r="H865" s="2" t="n">
        <f aca="false">IF(D865="",0,1/COUNTIF($D$2:$D$3451,D865))</f>
        <v>0</v>
      </c>
      <c r="I865" s="13" t="n">
        <f aca="false">IFERROR(INDEX('NCO-2015 scores'!$C$2:$C$131,MATCH(E865,'NCO-2015 scores'!$A$2:$A$131,0)),0)</f>
        <v>0.29</v>
      </c>
      <c r="J865" s="13" t="n">
        <f aca="false">IF(ISNUMBER(MATCH(E865,'NCO-2015 scores'!$A$2:$A$131,0)),IF(ISNUMBER(INDEX('NCO-2015 scores'!$C$2:$C$131,MATCH(E865,'NCO-2015 scores'!$A$2:$A$131,0))),1,0),0)</f>
        <v>1</v>
      </c>
    </row>
    <row r="866" customFormat="false" ht="15" hidden="false" customHeight="false" outlineLevel="0" collapsed="false">
      <c r="A866" s="2" t="n">
        <v>864</v>
      </c>
      <c r="B866" s="2" t="s">
        <v>2866</v>
      </c>
      <c r="C866" s="2" t="s">
        <v>2867</v>
      </c>
      <c r="D866" s="2"/>
      <c r="E866" s="2" t="str">
        <f aca="false">LEFT(C866,3)</f>
        <v>821</v>
      </c>
      <c r="F866" s="2" t="str">
        <f aca="false">IF(D866="","",LEFT(D866,3))</f>
        <v/>
      </c>
      <c r="G866" s="2" t="str">
        <f aca="false">IF(F866="","",IF(E866=F866,"Yes","No"))</f>
        <v/>
      </c>
      <c r="H866" s="2" t="n">
        <f aca="false">IF(D866="",0,1/COUNTIF($D$2:$D$3451,D866))</f>
        <v>0</v>
      </c>
      <c r="I866" s="13" t="n">
        <f aca="false">IFERROR(INDEX('NCO-2015 scores'!$C$2:$C$131,MATCH(E866,'NCO-2015 scores'!$A$2:$A$131,0)),0)</f>
        <v>0.29</v>
      </c>
      <c r="J866" s="13" t="n">
        <f aca="false">IF(ISNUMBER(MATCH(E866,'NCO-2015 scores'!$A$2:$A$131,0)),IF(ISNUMBER(INDEX('NCO-2015 scores'!$C$2:$C$131,MATCH(E866,'NCO-2015 scores'!$A$2:$A$131,0))),1,0),0)</f>
        <v>1</v>
      </c>
    </row>
    <row r="867" customFormat="false" ht="15" hidden="false" customHeight="false" outlineLevel="0" collapsed="false">
      <c r="A867" s="2" t="n">
        <v>865</v>
      </c>
      <c r="B867" s="2" t="s">
        <v>2868</v>
      </c>
      <c r="C867" s="2" t="s">
        <v>2869</v>
      </c>
      <c r="D867" s="2"/>
      <c r="E867" s="2" t="str">
        <f aca="false">LEFT(C867,3)</f>
        <v>821</v>
      </c>
      <c r="F867" s="2" t="str">
        <f aca="false">IF(D867="","",LEFT(D867,3))</f>
        <v/>
      </c>
      <c r="G867" s="2" t="str">
        <f aca="false">IF(F867="","",IF(E867=F867,"Yes","No"))</f>
        <v/>
      </c>
      <c r="H867" s="2" t="n">
        <f aca="false">IF(D867="",0,1/COUNTIF($D$2:$D$3451,D867))</f>
        <v>0</v>
      </c>
      <c r="I867" s="13" t="n">
        <f aca="false">IFERROR(INDEX('NCO-2015 scores'!$C$2:$C$131,MATCH(E867,'NCO-2015 scores'!$A$2:$A$131,0)),0)</f>
        <v>0.29</v>
      </c>
      <c r="J867" s="13" t="n">
        <f aca="false">IF(ISNUMBER(MATCH(E867,'NCO-2015 scores'!$A$2:$A$131,0)),IF(ISNUMBER(INDEX('NCO-2015 scores'!$C$2:$C$131,MATCH(E867,'NCO-2015 scores'!$A$2:$A$131,0))),1,0),0)</f>
        <v>1</v>
      </c>
    </row>
    <row r="868" customFormat="false" ht="15" hidden="false" customHeight="false" outlineLevel="0" collapsed="false">
      <c r="A868" s="2" t="n">
        <v>866</v>
      </c>
      <c r="B868" s="2" t="s">
        <v>2870</v>
      </c>
      <c r="C868" s="2" t="s">
        <v>2871</v>
      </c>
      <c r="D868" s="2"/>
      <c r="E868" s="2" t="str">
        <f aca="false">LEFT(C868,3)</f>
        <v>821</v>
      </c>
      <c r="F868" s="2" t="str">
        <f aca="false">IF(D868="","",LEFT(D868,3))</f>
        <v/>
      </c>
      <c r="G868" s="2" t="str">
        <f aca="false">IF(F868="","",IF(E868=F868,"Yes","No"))</f>
        <v/>
      </c>
      <c r="H868" s="2" t="n">
        <f aca="false">IF(D868="",0,1/COUNTIF($D$2:$D$3451,D868))</f>
        <v>0</v>
      </c>
      <c r="I868" s="13" t="n">
        <f aca="false">IFERROR(INDEX('NCO-2015 scores'!$C$2:$C$131,MATCH(E868,'NCO-2015 scores'!$A$2:$A$131,0)),0)</f>
        <v>0.29</v>
      </c>
      <c r="J868" s="13" t="n">
        <f aca="false">IF(ISNUMBER(MATCH(E868,'NCO-2015 scores'!$A$2:$A$131,0)),IF(ISNUMBER(INDEX('NCO-2015 scores'!$C$2:$C$131,MATCH(E868,'NCO-2015 scores'!$A$2:$A$131,0))),1,0),0)</f>
        <v>1</v>
      </c>
    </row>
    <row r="869" customFormat="false" ht="15" hidden="false" customHeight="false" outlineLevel="0" collapsed="false">
      <c r="A869" s="2" t="n">
        <v>867</v>
      </c>
      <c r="B869" s="2" t="s">
        <v>2872</v>
      </c>
      <c r="C869" s="2" t="s">
        <v>2873</v>
      </c>
      <c r="D869" s="2"/>
      <c r="E869" s="2" t="str">
        <f aca="false">LEFT(C869,3)</f>
        <v>821</v>
      </c>
      <c r="F869" s="2" t="str">
        <f aca="false">IF(D869="","",LEFT(D869,3))</f>
        <v/>
      </c>
      <c r="G869" s="2" t="str">
        <f aca="false">IF(F869="","",IF(E869=F869,"Yes","No"))</f>
        <v/>
      </c>
      <c r="H869" s="2" t="n">
        <f aca="false">IF(D869="",0,1/COUNTIF($D$2:$D$3451,D869))</f>
        <v>0</v>
      </c>
      <c r="I869" s="13" t="n">
        <f aca="false">IFERROR(INDEX('NCO-2015 scores'!$C$2:$C$131,MATCH(E869,'NCO-2015 scores'!$A$2:$A$131,0)),0)</f>
        <v>0.29</v>
      </c>
      <c r="J869" s="13" t="n">
        <f aca="false">IF(ISNUMBER(MATCH(E869,'NCO-2015 scores'!$A$2:$A$131,0)),IF(ISNUMBER(INDEX('NCO-2015 scores'!$C$2:$C$131,MATCH(E869,'NCO-2015 scores'!$A$2:$A$131,0))),1,0),0)</f>
        <v>1</v>
      </c>
    </row>
    <row r="870" customFormat="false" ht="15" hidden="false" customHeight="false" outlineLevel="0" collapsed="false">
      <c r="A870" s="2" t="n">
        <v>868</v>
      </c>
      <c r="B870" s="2" t="s">
        <v>2874</v>
      </c>
      <c r="C870" s="2" t="s">
        <v>2875</v>
      </c>
      <c r="D870" s="2"/>
      <c r="E870" s="2" t="str">
        <f aca="false">LEFT(C870,3)</f>
        <v>821</v>
      </c>
      <c r="F870" s="2" t="str">
        <f aca="false">IF(D870="","",LEFT(D870,3))</f>
        <v/>
      </c>
      <c r="G870" s="2" t="str">
        <f aca="false">IF(F870="","",IF(E870=F870,"Yes","No"))</f>
        <v/>
      </c>
      <c r="H870" s="2" t="n">
        <f aca="false">IF(D870="",0,1/COUNTIF($D$2:$D$3451,D870))</f>
        <v>0</v>
      </c>
      <c r="I870" s="13" t="n">
        <f aca="false">IFERROR(INDEX('NCO-2015 scores'!$C$2:$C$131,MATCH(E870,'NCO-2015 scores'!$A$2:$A$131,0)),0)</f>
        <v>0.29</v>
      </c>
      <c r="J870" s="13" t="n">
        <f aca="false">IF(ISNUMBER(MATCH(E870,'NCO-2015 scores'!$A$2:$A$131,0)),IF(ISNUMBER(INDEX('NCO-2015 scores'!$C$2:$C$131,MATCH(E870,'NCO-2015 scores'!$A$2:$A$131,0))),1,0),0)</f>
        <v>1</v>
      </c>
    </row>
    <row r="871" customFormat="false" ht="15" hidden="false" customHeight="false" outlineLevel="0" collapsed="false">
      <c r="A871" s="2" t="n">
        <v>869</v>
      </c>
      <c r="B871" s="2" t="s">
        <v>2876</v>
      </c>
      <c r="C871" s="2" t="s">
        <v>2877</v>
      </c>
      <c r="D871" s="2"/>
      <c r="E871" s="2" t="str">
        <f aca="false">LEFT(C871,3)</f>
        <v>821</v>
      </c>
      <c r="F871" s="2" t="str">
        <f aca="false">IF(D871="","",LEFT(D871,3))</f>
        <v/>
      </c>
      <c r="G871" s="2" t="str">
        <f aca="false">IF(F871="","",IF(E871=F871,"Yes","No"))</f>
        <v/>
      </c>
      <c r="H871" s="2" t="n">
        <f aca="false">IF(D871="",0,1/COUNTIF($D$2:$D$3451,D871))</f>
        <v>0</v>
      </c>
      <c r="I871" s="13" t="n">
        <f aca="false">IFERROR(INDEX('NCO-2015 scores'!$C$2:$C$131,MATCH(E871,'NCO-2015 scores'!$A$2:$A$131,0)),0)</f>
        <v>0.29</v>
      </c>
      <c r="J871" s="13" t="n">
        <f aca="false">IF(ISNUMBER(MATCH(E871,'NCO-2015 scores'!$A$2:$A$131,0)),IF(ISNUMBER(INDEX('NCO-2015 scores'!$C$2:$C$131,MATCH(E871,'NCO-2015 scores'!$A$2:$A$131,0))),1,0),0)</f>
        <v>1</v>
      </c>
    </row>
    <row r="872" customFormat="false" ht="15" hidden="false" customHeight="false" outlineLevel="0" collapsed="false">
      <c r="A872" s="2" t="n">
        <v>870</v>
      </c>
      <c r="B872" s="2" t="s">
        <v>2878</v>
      </c>
      <c r="C872" s="2" t="s">
        <v>2879</v>
      </c>
      <c r="D872" s="2"/>
      <c r="E872" s="2" t="str">
        <f aca="false">LEFT(C872,3)</f>
        <v>821</v>
      </c>
      <c r="F872" s="2" t="str">
        <f aca="false">IF(D872="","",LEFT(D872,3))</f>
        <v/>
      </c>
      <c r="G872" s="2" t="str">
        <f aca="false">IF(F872="","",IF(E872=F872,"Yes","No"))</f>
        <v/>
      </c>
      <c r="H872" s="2" t="n">
        <f aca="false">IF(D872="",0,1/COUNTIF($D$2:$D$3451,D872))</f>
        <v>0</v>
      </c>
      <c r="I872" s="13" t="n">
        <f aca="false">IFERROR(INDEX('NCO-2015 scores'!$C$2:$C$131,MATCH(E872,'NCO-2015 scores'!$A$2:$A$131,0)),0)</f>
        <v>0.29</v>
      </c>
      <c r="J872" s="13" t="n">
        <f aca="false">IF(ISNUMBER(MATCH(E872,'NCO-2015 scores'!$A$2:$A$131,0)),IF(ISNUMBER(INDEX('NCO-2015 scores'!$C$2:$C$131,MATCH(E872,'NCO-2015 scores'!$A$2:$A$131,0))),1,0),0)</f>
        <v>1</v>
      </c>
    </row>
    <row r="873" customFormat="false" ht="15" hidden="false" customHeight="false" outlineLevel="0" collapsed="false">
      <c r="A873" s="2" t="n">
        <v>871</v>
      </c>
      <c r="B873" s="2" t="s">
        <v>2880</v>
      </c>
      <c r="C873" s="2" t="s">
        <v>2881</v>
      </c>
      <c r="D873" s="2"/>
      <c r="E873" s="2" t="str">
        <f aca="false">LEFT(C873,3)</f>
        <v>821</v>
      </c>
      <c r="F873" s="2" t="str">
        <f aca="false">IF(D873="","",LEFT(D873,3))</f>
        <v/>
      </c>
      <c r="G873" s="2" t="str">
        <f aca="false">IF(F873="","",IF(E873=F873,"Yes","No"))</f>
        <v/>
      </c>
      <c r="H873" s="2" t="n">
        <f aca="false">IF(D873="",0,1/COUNTIF($D$2:$D$3451,D873))</f>
        <v>0</v>
      </c>
      <c r="I873" s="13" t="n">
        <f aca="false">IFERROR(INDEX('NCO-2015 scores'!$C$2:$C$131,MATCH(E873,'NCO-2015 scores'!$A$2:$A$131,0)),0)</f>
        <v>0.29</v>
      </c>
      <c r="J873" s="13" t="n">
        <f aca="false">IF(ISNUMBER(MATCH(E873,'NCO-2015 scores'!$A$2:$A$131,0)),IF(ISNUMBER(INDEX('NCO-2015 scores'!$C$2:$C$131,MATCH(E873,'NCO-2015 scores'!$A$2:$A$131,0))),1,0),0)</f>
        <v>1</v>
      </c>
    </row>
    <row r="874" customFormat="false" ht="15" hidden="false" customHeight="false" outlineLevel="0" collapsed="false">
      <c r="A874" s="2" t="n">
        <v>872</v>
      </c>
      <c r="B874" s="2" t="s">
        <v>2882</v>
      </c>
      <c r="C874" s="2" t="s">
        <v>2883</v>
      </c>
      <c r="D874" s="2"/>
      <c r="E874" s="2" t="str">
        <f aca="false">LEFT(C874,3)</f>
        <v>821</v>
      </c>
      <c r="F874" s="2" t="str">
        <f aca="false">IF(D874="","",LEFT(D874,3))</f>
        <v/>
      </c>
      <c r="G874" s="2" t="str">
        <f aca="false">IF(F874="","",IF(E874=F874,"Yes","No"))</f>
        <v/>
      </c>
      <c r="H874" s="2" t="n">
        <f aca="false">IF(D874="",0,1/COUNTIF($D$2:$D$3451,D874))</f>
        <v>0</v>
      </c>
      <c r="I874" s="13" t="n">
        <f aca="false">IFERROR(INDEX('NCO-2015 scores'!$C$2:$C$131,MATCH(E874,'NCO-2015 scores'!$A$2:$A$131,0)),0)</f>
        <v>0.29</v>
      </c>
      <c r="J874" s="13" t="n">
        <f aca="false">IF(ISNUMBER(MATCH(E874,'NCO-2015 scores'!$A$2:$A$131,0)),IF(ISNUMBER(INDEX('NCO-2015 scores'!$C$2:$C$131,MATCH(E874,'NCO-2015 scores'!$A$2:$A$131,0))),1,0),0)</f>
        <v>1</v>
      </c>
    </row>
    <row r="875" customFormat="false" ht="15" hidden="false" customHeight="false" outlineLevel="0" collapsed="false">
      <c r="A875" s="2" t="n">
        <v>873</v>
      </c>
      <c r="B875" s="2" t="s">
        <v>2884</v>
      </c>
      <c r="C875" s="2" t="s">
        <v>2885</v>
      </c>
      <c r="D875" s="2" t="s">
        <v>2886</v>
      </c>
      <c r="E875" s="2" t="str">
        <f aca="false">LEFT(C875,3)</f>
        <v>821</v>
      </c>
      <c r="F875" s="2" t="str">
        <f aca="false">IF(D875="","",LEFT(D875,3))</f>
        <v>828</v>
      </c>
      <c r="G875" s="2" t="str">
        <f aca="false">IF(F875="","",IF(E875=F875,"Yes","No"))</f>
        <v>No</v>
      </c>
      <c r="H875" s="2" t="n">
        <f aca="false">IF(D875="",0,1/COUNTIF($D$2:$D$3451,D875))</f>
        <v>1</v>
      </c>
      <c r="I875" s="13" t="n">
        <f aca="false">IFERROR(INDEX('NCO-2015 scores'!$C$2:$C$131,MATCH(E875,'NCO-2015 scores'!$A$2:$A$131,0)),0)</f>
        <v>0.29</v>
      </c>
      <c r="J875" s="13" t="n">
        <f aca="false">IF(ISNUMBER(MATCH(E875,'NCO-2015 scores'!$A$2:$A$131,0)),IF(ISNUMBER(INDEX('NCO-2015 scores'!$C$2:$C$131,MATCH(E875,'NCO-2015 scores'!$A$2:$A$131,0))),1,0),0)</f>
        <v>1</v>
      </c>
    </row>
    <row r="876" customFormat="false" ht="15" hidden="false" customHeight="false" outlineLevel="0" collapsed="false">
      <c r="A876" s="2" t="n">
        <v>874</v>
      </c>
      <c r="B876" s="2" t="s">
        <v>2887</v>
      </c>
      <c r="C876" s="2" t="s">
        <v>2888</v>
      </c>
      <c r="D876" s="2"/>
      <c r="E876" s="2" t="str">
        <f aca="false">LEFT(C876,3)</f>
        <v>821</v>
      </c>
      <c r="F876" s="2" t="str">
        <f aca="false">IF(D876="","",LEFT(D876,3))</f>
        <v/>
      </c>
      <c r="G876" s="2" t="str">
        <f aca="false">IF(F876="","",IF(E876=F876,"Yes","No"))</f>
        <v/>
      </c>
      <c r="H876" s="2" t="n">
        <f aca="false">IF(D876="",0,1/COUNTIF($D$2:$D$3451,D876))</f>
        <v>0</v>
      </c>
      <c r="I876" s="13" t="n">
        <f aca="false">IFERROR(INDEX('NCO-2015 scores'!$C$2:$C$131,MATCH(E876,'NCO-2015 scores'!$A$2:$A$131,0)),0)</f>
        <v>0.29</v>
      </c>
      <c r="J876" s="13" t="n">
        <f aca="false">IF(ISNUMBER(MATCH(E876,'NCO-2015 scores'!$A$2:$A$131,0)),IF(ISNUMBER(INDEX('NCO-2015 scores'!$C$2:$C$131,MATCH(E876,'NCO-2015 scores'!$A$2:$A$131,0))),1,0),0)</f>
        <v>1</v>
      </c>
    </row>
    <row r="877" customFormat="false" ht="15" hidden="false" customHeight="false" outlineLevel="0" collapsed="false">
      <c r="A877" s="2" t="n">
        <v>875</v>
      </c>
      <c r="B877" s="2" t="s">
        <v>2889</v>
      </c>
      <c r="C877" s="2" t="s">
        <v>2890</v>
      </c>
      <c r="D877" s="2"/>
      <c r="E877" s="2" t="str">
        <f aca="false">LEFT(C877,3)</f>
        <v>821</v>
      </c>
      <c r="F877" s="2" t="str">
        <f aca="false">IF(D877="","",LEFT(D877,3))</f>
        <v/>
      </c>
      <c r="G877" s="2" t="str">
        <f aca="false">IF(F877="","",IF(E877=F877,"Yes","No"))</f>
        <v/>
      </c>
      <c r="H877" s="2" t="n">
        <f aca="false">IF(D877="",0,1/COUNTIF($D$2:$D$3451,D877))</f>
        <v>0</v>
      </c>
      <c r="I877" s="13" t="n">
        <f aca="false">IFERROR(INDEX('NCO-2015 scores'!$C$2:$C$131,MATCH(E877,'NCO-2015 scores'!$A$2:$A$131,0)),0)</f>
        <v>0.29</v>
      </c>
      <c r="J877" s="13" t="n">
        <f aca="false">IF(ISNUMBER(MATCH(E877,'NCO-2015 scores'!$A$2:$A$131,0)),IF(ISNUMBER(INDEX('NCO-2015 scores'!$C$2:$C$131,MATCH(E877,'NCO-2015 scores'!$A$2:$A$131,0))),1,0),0)</f>
        <v>1</v>
      </c>
    </row>
    <row r="878" customFormat="false" ht="15" hidden="false" customHeight="false" outlineLevel="0" collapsed="false">
      <c r="A878" s="2" t="n">
        <v>876</v>
      </c>
      <c r="B878" s="2" t="s">
        <v>2891</v>
      </c>
      <c r="C878" s="2" t="s">
        <v>2892</v>
      </c>
      <c r="D878" s="2"/>
      <c r="E878" s="2" t="str">
        <f aca="false">LEFT(C878,3)</f>
        <v>821</v>
      </c>
      <c r="F878" s="2" t="str">
        <f aca="false">IF(D878="","",LEFT(D878,3))</f>
        <v/>
      </c>
      <c r="G878" s="2" t="str">
        <f aca="false">IF(F878="","",IF(E878=F878,"Yes","No"))</f>
        <v/>
      </c>
      <c r="H878" s="2" t="n">
        <f aca="false">IF(D878="",0,1/COUNTIF($D$2:$D$3451,D878))</f>
        <v>0</v>
      </c>
      <c r="I878" s="13" t="n">
        <f aca="false">IFERROR(INDEX('NCO-2015 scores'!$C$2:$C$131,MATCH(E878,'NCO-2015 scores'!$A$2:$A$131,0)),0)</f>
        <v>0.29</v>
      </c>
      <c r="J878" s="13" t="n">
        <f aca="false">IF(ISNUMBER(MATCH(E878,'NCO-2015 scores'!$A$2:$A$131,0)),IF(ISNUMBER(INDEX('NCO-2015 scores'!$C$2:$C$131,MATCH(E878,'NCO-2015 scores'!$A$2:$A$131,0))),1,0),0)</f>
        <v>1</v>
      </c>
    </row>
    <row r="879" customFormat="false" ht="15" hidden="false" customHeight="false" outlineLevel="0" collapsed="false">
      <c r="A879" s="2" t="n">
        <v>877</v>
      </c>
      <c r="B879" s="2" t="s">
        <v>2893</v>
      </c>
      <c r="C879" s="2" t="s">
        <v>2894</v>
      </c>
      <c r="D879" s="2"/>
      <c r="E879" s="2" t="str">
        <f aca="false">LEFT(C879,3)</f>
        <v>821</v>
      </c>
      <c r="F879" s="2" t="str">
        <f aca="false">IF(D879="","",LEFT(D879,3))</f>
        <v/>
      </c>
      <c r="G879" s="2" t="str">
        <f aca="false">IF(F879="","",IF(E879=F879,"Yes","No"))</f>
        <v/>
      </c>
      <c r="H879" s="2" t="n">
        <f aca="false">IF(D879="",0,1/COUNTIF($D$2:$D$3451,D879))</f>
        <v>0</v>
      </c>
      <c r="I879" s="13" t="n">
        <f aca="false">IFERROR(INDEX('NCO-2015 scores'!$C$2:$C$131,MATCH(E879,'NCO-2015 scores'!$A$2:$A$131,0)),0)</f>
        <v>0.29</v>
      </c>
      <c r="J879" s="13" t="n">
        <f aca="false">IF(ISNUMBER(MATCH(E879,'NCO-2015 scores'!$A$2:$A$131,0)),IF(ISNUMBER(INDEX('NCO-2015 scores'!$C$2:$C$131,MATCH(E879,'NCO-2015 scores'!$A$2:$A$131,0))),1,0),0)</f>
        <v>1</v>
      </c>
    </row>
    <row r="880" customFormat="false" ht="15" hidden="false" customHeight="false" outlineLevel="0" collapsed="false">
      <c r="A880" s="2" t="n">
        <v>878</v>
      </c>
      <c r="B880" s="2" t="s">
        <v>2895</v>
      </c>
      <c r="C880" s="2" t="s">
        <v>2896</v>
      </c>
      <c r="D880" s="2"/>
      <c r="E880" s="2" t="str">
        <f aca="false">LEFT(C880,3)</f>
        <v>821</v>
      </c>
      <c r="F880" s="2" t="str">
        <f aca="false">IF(D880="","",LEFT(D880,3))</f>
        <v/>
      </c>
      <c r="G880" s="2" t="str">
        <f aca="false">IF(F880="","",IF(E880=F880,"Yes","No"))</f>
        <v/>
      </c>
      <c r="H880" s="2" t="n">
        <f aca="false">IF(D880="",0,1/COUNTIF($D$2:$D$3451,D880))</f>
        <v>0</v>
      </c>
      <c r="I880" s="13" t="n">
        <f aca="false">IFERROR(INDEX('NCO-2015 scores'!$C$2:$C$131,MATCH(E880,'NCO-2015 scores'!$A$2:$A$131,0)),0)</f>
        <v>0.29</v>
      </c>
      <c r="J880" s="13" t="n">
        <f aca="false">IF(ISNUMBER(MATCH(E880,'NCO-2015 scores'!$A$2:$A$131,0)),IF(ISNUMBER(INDEX('NCO-2015 scores'!$C$2:$C$131,MATCH(E880,'NCO-2015 scores'!$A$2:$A$131,0))),1,0),0)</f>
        <v>1</v>
      </c>
    </row>
    <row r="881" customFormat="false" ht="15" hidden="false" customHeight="false" outlineLevel="0" collapsed="false">
      <c r="A881" s="2" t="n">
        <v>879</v>
      </c>
      <c r="B881" s="2" t="s">
        <v>2897</v>
      </c>
      <c r="C881" s="2" t="s">
        <v>2898</v>
      </c>
      <c r="D881" s="2" t="s">
        <v>2899</v>
      </c>
      <c r="E881" s="2" t="str">
        <f aca="false">LEFT(C881,3)</f>
        <v>741</v>
      </c>
      <c r="F881" s="2" t="str">
        <f aca="false">IF(D881="","",LEFT(D881,3))</f>
        <v>724</v>
      </c>
      <c r="G881" s="2" t="str">
        <f aca="false">IF(F881="","",IF(E881=F881,"Yes","No"))</f>
        <v>No</v>
      </c>
      <c r="H881" s="2" t="n">
        <f aca="false">IF(D881="",0,1/COUNTIF($D$2:$D$3451,D881))</f>
        <v>1</v>
      </c>
      <c r="I881" s="13" t="n">
        <f aca="false">IFERROR(INDEX('NCO-2015 scores'!$C$2:$C$131,MATCH(E881,'NCO-2015 scores'!$A$2:$A$131,0)),0)</f>
        <v>0.17</v>
      </c>
      <c r="J881" s="13" t="n">
        <f aca="false">IF(ISNUMBER(MATCH(E881,'NCO-2015 scores'!$A$2:$A$131,0)),IF(ISNUMBER(INDEX('NCO-2015 scores'!$C$2:$C$131,MATCH(E881,'NCO-2015 scores'!$A$2:$A$131,0))),1,0),0)</f>
        <v>1</v>
      </c>
    </row>
    <row r="882" customFormat="false" ht="15" hidden="false" customHeight="false" outlineLevel="0" collapsed="false">
      <c r="A882" s="2" t="n">
        <v>880</v>
      </c>
      <c r="B882" s="2" t="s">
        <v>2900</v>
      </c>
      <c r="C882" s="2" t="s">
        <v>2901</v>
      </c>
      <c r="D882" s="2" t="s">
        <v>2902</v>
      </c>
      <c r="E882" s="2" t="str">
        <f aca="false">LEFT(C882,3)</f>
        <v>741</v>
      </c>
      <c r="F882" s="2" t="str">
        <f aca="false">IF(D882="","",LEFT(D882,3))</f>
        <v>724</v>
      </c>
      <c r="G882" s="2" t="str">
        <f aca="false">IF(F882="","",IF(E882=F882,"Yes","No"))</f>
        <v>No</v>
      </c>
      <c r="H882" s="2" t="n">
        <f aca="false">IF(D882="",0,1/COUNTIF($D$2:$D$3451,D882))</f>
        <v>1</v>
      </c>
      <c r="I882" s="13" t="n">
        <f aca="false">IFERROR(INDEX('NCO-2015 scores'!$C$2:$C$131,MATCH(E882,'NCO-2015 scores'!$A$2:$A$131,0)),0)</f>
        <v>0.17</v>
      </c>
      <c r="J882" s="13" t="n">
        <f aca="false">IF(ISNUMBER(MATCH(E882,'NCO-2015 scores'!$A$2:$A$131,0)),IF(ISNUMBER(INDEX('NCO-2015 scores'!$C$2:$C$131,MATCH(E882,'NCO-2015 scores'!$A$2:$A$131,0))),1,0),0)</f>
        <v>1</v>
      </c>
    </row>
    <row r="883" customFormat="false" ht="15" hidden="false" customHeight="false" outlineLevel="0" collapsed="false">
      <c r="A883" s="2" t="n">
        <v>881</v>
      </c>
      <c r="B883" s="2" t="s">
        <v>2903</v>
      </c>
      <c r="C883" s="2" t="s">
        <v>2904</v>
      </c>
      <c r="D883" s="2" t="s">
        <v>2905</v>
      </c>
      <c r="E883" s="2" t="str">
        <f aca="false">LEFT(C883,3)</f>
        <v>741</v>
      </c>
      <c r="F883" s="2" t="str">
        <f aca="false">IF(D883="","",LEFT(D883,3))</f>
        <v>724</v>
      </c>
      <c r="G883" s="2" t="str">
        <f aca="false">IF(F883="","",IF(E883=F883,"Yes","No"))</f>
        <v>No</v>
      </c>
      <c r="H883" s="2" t="n">
        <f aca="false">IF(D883="",0,1/COUNTIF($D$2:$D$3451,D883))</f>
        <v>1</v>
      </c>
      <c r="I883" s="13" t="n">
        <f aca="false">IFERROR(INDEX('NCO-2015 scores'!$C$2:$C$131,MATCH(E883,'NCO-2015 scores'!$A$2:$A$131,0)),0)</f>
        <v>0.17</v>
      </c>
      <c r="J883" s="13" t="n">
        <f aca="false">IF(ISNUMBER(MATCH(E883,'NCO-2015 scores'!$A$2:$A$131,0)),IF(ISNUMBER(INDEX('NCO-2015 scores'!$C$2:$C$131,MATCH(E883,'NCO-2015 scores'!$A$2:$A$131,0))),1,0),0)</f>
        <v>1</v>
      </c>
    </row>
    <row r="884" customFormat="false" ht="15" hidden="false" customHeight="false" outlineLevel="0" collapsed="false">
      <c r="A884" s="2" t="n">
        <v>882</v>
      </c>
      <c r="B884" s="2" t="s">
        <v>2906</v>
      </c>
      <c r="C884" s="2" t="s">
        <v>2907</v>
      </c>
      <c r="D884" s="2" t="s">
        <v>2908</v>
      </c>
      <c r="E884" s="2" t="str">
        <f aca="false">LEFT(C884,3)</f>
        <v>741</v>
      </c>
      <c r="F884" s="2" t="str">
        <f aca="false">IF(D884="","",LEFT(D884,3))</f>
        <v>724</v>
      </c>
      <c r="G884" s="2" t="str">
        <f aca="false">IF(F884="","",IF(E884=F884,"Yes","No"))</f>
        <v>No</v>
      </c>
      <c r="H884" s="2" t="n">
        <f aca="false">IF(D884="",0,1/COUNTIF($D$2:$D$3451,D884))</f>
        <v>1</v>
      </c>
      <c r="I884" s="13" t="n">
        <f aca="false">IFERROR(INDEX('NCO-2015 scores'!$C$2:$C$131,MATCH(E884,'NCO-2015 scores'!$A$2:$A$131,0)),0)</f>
        <v>0.17</v>
      </c>
      <c r="J884" s="13" t="n">
        <f aca="false">IF(ISNUMBER(MATCH(E884,'NCO-2015 scores'!$A$2:$A$131,0)),IF(ISNUMBER(INDEX('NCO-2015 scores'!$C$2:$C$131,MATCH(E884,'NCO-2015 scores'!$A$2:$A$131,0))),1,0),0)</f>
        <v>1</v>
      </c>
    </row>
    <row r="885" customFormat="false" ht="15" hidden="false" customHeight="false" outlineLevel="0" collapsed="false">
      <c r="A885" s="2" t="n">
        <v>883</v>
      </c>
      <c r="B885" s="2" t="s">
        <v>2909</v>
      </c>
      <c r="C885" s="2" t="s">
        <v>2910</v>
      </c>
      <c r="D885" s="2" t="s">
        <v>2911</v>
      </c>
      <c r="E885" s="2" t="str">
        <f aca="false">LEFT(C885,3)</f>
        <v>741</v>
      </c>
      <c r="F885" s="2" t="str">
        <f aca="false">IF(D885="","",LEFT(D885,3))</f>
        <v>724</v>
      </c>
      <c r="G885" s="2" t="str">
        <f aca="false">IF(F885="","",IF(E885=F885,"Yes","No"))</f>
        <v>No</v>
      </c>
      <c r="H885" s="2" t="n">
        <f aca="false">IF(D885="",0,1/COUNTIF($D$2:$D$3451,D885))</f>
        <v>1</v>
      </c>
      <c r="I885" s="13" t="n">
        <f aca="false">IFERROR(INDEX('NCO-2015 scores'!$C$2:$C$131,MATCH(E885,'NCO-2015 scores'!$A$2:$A$131,0)),0)</f>
        <v>0.17</v>
      </c>
      <c r="J885" s="13" t="n">
        <f aca="false">IF(ISNUMBER(MATCH(E885,'NCO-2015 scores'!$A$2:$A$131,0)),IF(ISNUMBER(INDEX('NCO-2015 scores'!$C$2:$C$131,MATCH(E885,'NCO-2015 scores'!$A$2:$A$131,0))),1,0),0)</f>
        <v>1</v>
      </c>
    </row>
    <row r="886" customFormat="false" ht="15" hidden="false" customHeight="false" outlineLevel="0" collapsed="false">
      <c r="A886" s="2" t="n">
        <v>884</v>
      </c>
      <c r="B886" s="2" t="s">
        <v>2912</v>
      </c>
      <c r="C886" s="2" t="s">
        <v>2913</v>
      </c>
      <c r="D886" s="2" t="s">
        <v>2914</v>
      </c>
      <c r="E886" s="2" t="str">
        <f aca="false">LEFT(C886,3)</f>
        <v>741</v>
      </c>
      <c r="F886" s="2" t="str">
        <f aca="false">IF(D886="","",LEFT(D886,3))</f>
        <v>724</v>
      </c>
      <c r="G886" s="2" t="str">
        <f aca="false">IF(F886="","",IF(E886=F886,"Yes","No"))</f>
        <v>No</v>
      </c>
      <c r="H886" s="2" t="n">
        <f aca="false">IF(D886="",0,1/COUNTIF($D$2:$D$3451,D886))</f>
        <v>1</v>
      </c>
      <c r="I886" s="13" t="n">
        <f aca="false">IFERROR(INDEX('NCO-2015 scores'!$C$2:$C$131,MATCH(E886,'NCO-2015 scores'!$A$2:$A$131,0)),0)</f>
        <v>0.17</v>
      </c>
      <c r="J886" s="13" t="n">
        <f aca="false">IF(ISNUMBER(MATCH(E886,'NCO-2015 scores'!$A$2:$A$131,0)),IF(ISNUMBER(INDEX('NCO-2015 scores'!$C$2:$C$131,MATCH(E886,'NCO-2015 scores'!$A$2:$A$131,0))),1,0),0)</f>
        <v>1</v>
      </c>
    </row>
    <row r="887" customFormat="false" ht="15" hidden="false" customHeight="false" outlineLevel="0" collapsed="false">
      <c r="A887" s="2" t="n">
        <v>885</v>
      </c>
      <c r="B887" s="2" t="s">
        <v>2915</v>
      </c>
      <c r="C887" s="2" t="s">
        <v>2916</v>
      </c>
      <c r="D887" s="2" t="s">
        <v>2917</v>
      </c>
      <c r="E887" s="2" t="str">
        <f aca="false">LEFT(C887,3)</f>
        <v>741</v>
      </c>
      <c r="F887" s="2" t="str">
        <f aca="false">IF(D887="","",LEFT(D887,3))</f>
        <v>724</v>
      </c>
      <c r="G887" s="2" t="str">
        <f aca="false">IF(F887="","",IF(E887=F887,"Yes","No"))</f>
        <v>No</v>
      </c>
      <c r="H887" s="2" t="n">
        <f aca="false">IF(D887="",0,1/COUNTIF($D$2:$D$3451,D887))</f>
        <v>1</v>
      </c>
      <c r="I887" s="13" t="n">
        <f aca="false">IFERROR(INDEX('NCO-2015 scores'!$C$2:$C$131,MATCH(E887,'NCO-2015 scores'!$A$2:$A$131,0)),0)</f>
        <v>0.17</v>
      </c>
      <c r="J887" s="13" t="n">
        <f aca="false">IF(ISNUMBER(MATCH(E887,'NCO-2015 scores'!$A$2:$A$131,0)),IF(ISNUMBER(INDEX('NCO-2015 scores'!$C$2:$C$131,MATCH(E887,'NCO-2015 scores'!$A$2:$A$131,0))),1,0),0)</f>
        <v>1</v>
      </c>
    </row>
    <row r="888" customFormat="false" ht="15" hidden="false" customHeight="false" outlineLevel="0" collapsed="false">
      <c r="A888" s="2" t="n">
        <v>886</v>
      </c>
      <c r="B888" s="2" t="s">
        <v>2918</v>
      </c>
      <c r="C888" s="2" t="s">
        <v>2919</v>
      </c>
      <c r="D888" s="2" t="s">
        <v>2920</v>
      </c>
      <c r="E888" s="2" t="str">
        <f aca="false">LEFT(C888,3)</f>
        <v>311</v>
      </c>
      <c r="F888" s="2" t="str">
        <f aca="false">IF(D888="","",LEFT(D888,3))</f>
        <v>311</v>
      </c>
      <c r="G888" s="2" t="str">
        <f aca="false">IF(F888="","",IF(E888=F888,"Yes","No"))</f>
        <v>Yes</v>
      </c>
      <c r="H888" s="2" t="n">
        <f aca="false">IF(D888="",0,1/COUNTIF($D$2:$D$3451,D888))</f>
        <v>1</v>
      </c>
      <c r="I888" s="13" t="n">
        <f aca="false">IFERROR(INDEX('NCO-2015 scores'!$C$2:$C$131,MATCH(E888,'NCO-2015 scores'!$A$2:$A$131,0)),0)</f>
        <v>0.2956</v>
      </c>
      <c r="J888" s="13" t="n">
        <f aca="false">IF(ISNUMBER(MATCH(E888,'NCO-2015 scores'!$A$2:$A$131,0)),IF(ISNUMBER(INDEX('NCO-2015 scores'!$C$2:$C$131,MATCH(E888,'NCO-2015 scores'!$A$2:$A$131,0))),1,0),0)</f>
        <v>1</v>
      </c>
    </row>
    <row r="889" customFormat="false" ht="15" hidden="false" customHeight="false" outlineLevel="0" collapsed="false">
      <c r="A889" s="2" t="n">
        <v>887</v>
      </c>
      <c r="B889" s="2" t="s">
        <v>2921</v>
      </c>
      <c r="C889" s="2" t="s">
        <v>2922</v>
      </c>
      <c r="D889" s="2"/>
      <c r="E889" s="2" t="str">
        <f aca="false">LEFT(C889,3)</f>
        <v>311</v>
      </c>
      <c r="F889" s="2" t="str">
        <f aca="false">IF(D889="","",LEFT(D889,3))</f>
        <v/>
      </c>
      <c r="G889" s="2" t="str">
        <f aca="false">IF(F889="","",IF(E889=F889,"Yes","No"))</f>
        <v/>
      </c>
      <c r="H889" s="2" t="n">
        <f aca="false">IF(D889="",0,1/COUNTIF($D$2:$D$3451,D889))</f>
        <v>0</v>
      </c>
      <c r="I889" s="13" t="n">
        <f aca="false">IFERROR(INDEX('NCO-2015 scores'!$C$2:$C$131,MATCH(E889,'NCO-2015 scores'!$A$2:$A$131,0)),0)</f>
        <v>0.2956</v>
      </c>
      <c r="J889" s="13" t="n">
        <f aca="false">IF(ISNUMBER(MATCH(E889,'NCO-2015 scores'!$A$2:$A$131,0)),IF(ISNUMBER(INDEX('NCO-2015 scores'!$C$2:$C$131,MATCH(E889,'NCO-2015 scores'!$A$2:$A$131,0))),1,0),0)</f>
        <v>1</v>
      </c>
    </row>
    <row r="890" customFormat="false" ht="15" hidden="false" customHeight="false" outlineLevel="0" collapsed="false">
      <c r="A890" s="2" t="n">
        <v>888</v>
      </c>
      <c r="B890" s="2" t="s">
        <v>2923</v>
      </c>
      <c r="C890" s="2" t="s">
        <v>2924</v>
      </c>
      <c r="D890" s="2"/>
      <c r="E890" s="2" t="str">
        <f aca="false">LEFT(C890,3)</f>
        <v>311</v>
      </c>
      <c r="F890" s="2" t="str">
        <f aca="false">IF(D890="","",LEFT(D890,3))</f>
        <v/>
      </c>
      <c r="G890" s="2" t="str">
        <f aca="false">IF(F890="","",IF(E890=F890,"Yes","No"))</f>
        <v/>
      </c>
      <c r="H890" s="2" t="n">
        <f aca="false">IF(D890="",0,1/COUNTIF($D$2:$D$3451,D890))</f>
        <v>0</v>
      </c>
      <c r="I890" s="13" t="n">
        <f aca="false">IFERROR(INDEX('NCO-2015 scores'!$C$2:$C$131,MATCH(E890,'NCO-2015 scores'!$A$2:$A$131,0)),0)</f>
        <v>0.2956</v>
      </c>
      <c r="J890" s="13" t="n">
        <f aca="false">IF(ISNUMBER(MATCH(E890,'NCO-2015 scores'!$A$2:$A$131,0)),IF(ISNUMBER(INDEX('NCO-2015 scores'!$C$2:$C$131,MATCH(E890,'NCO-2015 scores'!$A$2:$A$131,0))),1,0),0)</f>
        <v>1</v>
      </c>
    </row>
    <row r="891" customFormat="false" ht="15" hidden="false" customHeight="false" outlineLevel="0" collapsed="false">
      <c r="A891" s="2" t="n">
        <v>889</v>
      </c>
      <c r="B891" s="2" t="s">
        <v>2925</v>
      </c>
      <c r="C891" s="2" t="s">
        <v>2926</v>
      </c>
      <c r="D891" s="2"/>
      <c r="E891" s="2" t="str">
        <f aca="false">LEFT(C891,3)</f>
        <v>311</v>
      </c>
      <c r="F891" s="2" t="str">
        <f aca="false">IF(D891="","",LEFT(D891,3))</f>
        <v/>
      </c>
      <c r="G891" s="2" t="str">
        <f aca="false">IF(F891="","",IF(E891=F891,"Yes","No"))</f>
        <v/>
      </c>
      <c r="H891" s="2" t="n">
        <f aca="false">IF(D891="",0,1/COUNTIF($D$2:$D$3451,D891))</f>
        <v>0</v>
      </c>
      <c r="I891" s="13" t="n">
        <f aca="false">IFERROR(INDEX('NCO-2015 scores'!$C$2:$C$131,MATCH(E891,'NCO-2015 scores'!$A$2:$A$131,0)),0)</f>
        <v>0.2956</v>
      </c>
      <c r="J891" s="13" t="n">
        <f aca="false">IF(ISNUMBER(MATCH(E891,'NCO-2015 scores'!$A$2:$A$131,0)),IF(ISNUMBER(INDEX('NCO-2015 scores'!$C$2:$C$131,MATCH(E891,'NCO-2015 scores'!$A$2:$A$131,0))),1,0),0)</f>
        <v>1</v>
      </c>
    </row>
    <row r="892" customFormat="false" ht="15" hidden="false" customHeight="false" outlineLevel="0" collapsed="false">
      <c r="A892" s="2" t="n">
        <v>890</v>
      </c>
      <c r="B892" s="2" t="s">
        <v>2927</v>
      </c>
      <c r="C892" s="2" t="s">
        <v>2928</v>
      </c>
      <c r="D892" s="2"/>
      <c r="E892" s="2" t="str">
        <f aca="false">LEFT(C892,3)</f>
        <v>311</v>
      </c>
      <c r="F892" s="2" t="str">
        <f aca="false">IF(D892="","",LEFT(D892,3))</f>
        <v/>
      </c>
      <c r="G892" s="2" t="str">
        <f aca="false">IF(F892="","",IF(E892=F892,"Yes","No"))</f>
        <v/>
      </c>
      <c r="H892" s="2" t="n">
        <f aca="false">IF(D892="",0,1/COUNTIF($D$2:$D$3451,D892))</f>
        <v>0</v>
      </c>
      <c r="I892" s="13" t="n">
        <f aca="false">IFERROR(INDEX('NCO-2015 scores'!$C$2:$C$131,MATCH(E892,'NCO-2015 scores'!$A$2:$A$131,0)),0)</f>
        <v>0.2956</v>
      </c>
      <c r="J892" s="13" t="n">
        <f aca="false">IF(ISNUMBER(MATCH(E892,'NCO-2015 scores'!$A$2:$A$131,0)),IF(ISNUMBER(INDEX('NCO-2015 scores'!$C$2:$C$131,MATCH(E892,'NCO-2015 scores'!$A$2:$A$131,0))),1,0),0)</f>
        <v>1</v>
      </c>
    </row>
    <row r="893" customFormat="false" ht="15" hidden="false" customHeight="false" outlineLevel="0" collapsed="false">
      <c r="A893" s="2" t="n">
        <v>891</v>
      </c>
      <c r="B893" s="2" t="s">
        <v>2929</v>
      </c>
      <c r="C893" s="2" t="s">
        <v>2930</v>
      </c>
      <c r="D893" s="2"/>
      <c r="E893" s="2" t="str">
        <f aca="false">LEFT(C893,3)</f>
        <v>311</v>
      </c>
      <c r="F893" s="2" t="str">
        <f aca="false">IF(D893="","",LEFT(D893,3))</f>
        <v/>
      </c>
      <c r="G893" s="2" t="str">
        <f aca="false">IF(F893="","",IF(E893=F893,"Yes","No"))</f>
        <v/>
      </c>
      <c r="H893" s="2" t="n">
        <f aca="false">IF(D893="",0,1/COUNTIF($D$2:$D$3451,D893))</f>
        <v>0</v>
      </c>
      <c r="I893" s="13" t="n">
        <f aca="false">IFERROR(INDEX('NCO-2015 scores'!$C$2:$C$131,MATCH(E893,'NCO-2015 scores'!$A$2:$A$131,0)),0)</f>
        <v>0.2956</v>
      </c>
      <c r="J893" s="13" t="n">
        <f aca="false">IF(ISNUMBER(MATCH(E893,'NCO-2015 scores'!$A$2:$A$131,0)),IF(ISNUMBER(INDEX('NCO-2015 scores'!$C$2:$C$131,MATCH(E893,'NCO-2015 scores'!$A$2:$A$131,0))),1,0),0)</f>
        <v>1</v>
      </c>
    </row>
    <row r="894" customFormat="false" ht="15" hidden="false" customHeight="false" outlineLevel="0" collapsed="false">
      <c r="A894" s="2" t="n">
        <v>892</v>
      </c>
      <c r="B894" s="2" t="s">
        <v>2931</v>
      </c>
      <c r="C894" s="2" t="s">
        <v>2932</v>
      </c>
      <c r="D894" s="2"/>
      <c r="E894" s="2" t="str">
        <f aca="false">LEFT(C894,3)</f>
        <v>311</v>
      </c>
      <c r="F894" s="2" t="str">
        <f aca="false">IF(D894="","",LEFT(D894,3))</f>
        <v/>
      </c>
      <c r="G894" s="2" t="str">
        <f aca="false">IF(F894="","",IF(E894=F894,"Yes","No"))</f>
        <v/>
      </c>
      <c r="H894" s="2" t="n">
        <f aca="false">IF(D894="",0,1/COUNTIF($D$2:$D$3451,D894))</f>
        <v>0</v>
      </c>
      <c r="I894" s="13" t="n">
        <f aca="false">IFERROR(INDEX('NCO-2015 scores'!$C$2:$C$131,MATCH(E894,'NCO-2015 scores'!$A$2:$A$131,0)),0)</f>
        <v>0.2956</v>
      </c>
      <c r="J894" s="13" t="n">
        <f aca="false">IF(ISNUMBER(MATCH(E894,'NCO-2015 scores'!$A$2:$A$131,0)),IF(ISNUMBER(INDEX('NCO-2015 scores'!$C$2:$C$131,MATCH(E894,'NCO-2015 scores'!$A$2:$A$131,0))),1,0),0)</f>
        <v>1</v>
      </c>
    </row>
    <row r="895" customFormat="false" ht="15" hidden="false" customHeight="false" outlineLevel="0" collapsed="false">
      <c r="A895" s="2" t="n">
        <v>893</v>
      </c>
      <c r="B895" s="2" t="s">
        <v>2933</v>
      </c>
      <c r="C895" s="2" t="s">
        <v>2934</v>
      </c>
      <c r="D895" s="2"/>
      <c r="E895" s="2" t="str">
        <f aca="false">LEFT(C895,3)</f>
        <v>311</v>
      </c>
      <c r="F895" s="2" t="str">
        <f aca="false">IF(D895="","",LEFT(D895,3))</f>
        <v/>
      </c>
      <c r="G895" s="2" t="str">
        <f aca="false">IF(F895="","",IF(E895=F895,"Yes","No"))</f>
        <v/>
      </c>
      <c r="H895" s="2" t="n">
        <f aca="false">IF(D895="",0,1/COUNTIF($D$2:$D$3451,D895))</f>
        <v>0</v>
      </c>
      <c r="I895" s="13" t="n">
        <f aca="false">IFERROR(INDEX('NCO-2015 scores'!$C$2:$C$131,MATCH(E895,'NCO-2015 scores'!$A$2:$A$131,0)),0)</f>
        <v>0.2956</v>
      </c>
      <c r="J895" s="13" t="n">
        <f aca="false">IF(ISNUMBER(MATCH(E895,'NCO-2015 scores'!$A$2:$A$131,0)),IF(ISNUMBER(INDEX('NCO-2015 scores'!$C$2:$C$131,MATCH(E895,'NCO-2015 scores'!$A$2:$A$131,0))),1,0),0)</f>
        <v>1</v>
      </c>
    </row>
    <row r="896" customFormat="false" ht="15" hidden="false" customHeight="false" outlineLevel="0" collapsed="false">
      <c r="A896" s="2" t="n">
        <v>894</v>
      </c>
      <c r="B896" s="2" t="s">
        <v>2935</v>
      </c>
      <c r="C896" s="2" t="s">
        <v>2936</v>
      </c>
      <c r="D896" s="2" t="s">
        <v>2937</v>
      </c>
      <c r="E896" s="2" t="str">
        <f aca="false">LEFT(C896,3)</f>
        <v>311</v>
      </c>
      <c r="F896" s="2" t="str">
        <f aca="false">IF(D896="","",LEFT(D896,3))</f>
        <v>311</v>
      </c>
      <c r="G896" s="2" t="str">
        <f aca="false">IF(F896="","",IF(E896=F896,"Yes","No"))</f>
        <v>Yes</v>
      </c>
      <c r="H896" s="2" t="n">
        <f aca="false">IF(D896="",0,1/COUNTIF($D$2:$D$3451,D896))</f>
        <v>1</v>
      </c>
      <c r="I896" s="13" t="n">
        <f aca="false">IFERROR(INDEX('NCO-2015 scores'!$C$2:$C$131,MATCH(E896,'NCO-2015 scores'!$A$2:$A$131,0)),0)</f>
        <v>0.2956</v>
      </c>
      <c r="J896" s="13" t="n">
        <f aca="false">IF(ISNUMBER(MATCH(E896,'NCO-2015 scores'!$A$2:$A$131,0)),IF(ISNUMBER(INDEX('NCO-2015 scores'!$C$2:$C$131,MATCH(E896,'NCO-2015 scores'!$A$2:$A$131,0))),1,0),0)</f>
        <v>1</v>
      </c>
    </row>
    <row r="897" customFormat="false" ht="15" hidden="false" customHeight="false" outlineLevel="0" collapsed="false">
      <c r="A897" s="2" t="n">
        <v>895</v>
      </c>
      <c r="B897" s="2" t="s">
        <v>2938</v>
      </c>
      <c r="C897" s="2" t="s">
        <v>2939</v>
      </c>
      <c r="D897" s="2"/>
      <c r="E897" s="2" t="str">
        <f aca="false">LEFT(C897,3)</f>
        <v>311</v>
      </c>
      <c r="F897" s="2" t="str">
        <f aca="false">IF(D897="","",LEFT(D897,3))</f>
        <v/>
      </c>
      <c r="G897" s="2" t="str">
        <f aca="false">IF(F897="","",IF(E897=F897,"Yes","No"))</f>
        <v/>
      </c>
      <c r="H897" s="2" t="n">
        <f aca="false">IF(D897="",0,1/COUNTIF($D$2:$D$3451,D897))</f>
        <v>0</v>
      </c>
      <c r="I897" s="13" t="n">
        <f aca="false">IFERROR(INDEX('NCO-2015 scores'!$C$2:$C$131,MATCH(E897,'NCO-2015 scores'!$A$2:$A$131,0)),0)</f>
        <v>0.2956</v>
      </c>
      <c r="J897" s="13" t="n">
        <f aca="false">IF(ISNUMBER(MATCH(E897,'NCO-2015 scores'!$A$2:$A$131,0)),IF(ISNUMBER(INDEX('NCO-2015 scores'!$C$2:$C$131,MATCH(E897,'NCO-2015 scores'!$A$2:$A$131,0))),1,0),0)</f>
        <v>1</v>
      </c>
    </row>
    <row r="898" customFormat="false" ht="15" hidden="false" customHeight="false" outlineLevel="0" collapsed="false">
      <c r="A898" s="2" t="n">
        <v>896</v>
      </c>
      <c r="B898" s="2" t="s">
        <v>2940</v>
      </c>
      <c r="C898" s="2" t="s">
        <v>2941</v>
      </c>
      <c r="D898" s="2" t="s">
        <v>2942</v>
      </c>
      <c r="E898" s="2" t="str">
        <f aca="false">LEFT(C898,3)</f>
        <v>311</v>
      </c>
      <c r="F898" s="2" t="str">
        <f aca="false">IF(D898="","",LEFT(D898,3))</f>
        <v>311</v>
      </c>
      <c r="G898" s="2" t="str">
        <f aca="false">IF(F898="","",IF(E898=F898,"Yes","No"))</f>
        <v>Yes</v>
      </c>
      <c r="H898" s="2" t="n">
        <f aca="false">IF(D898="",0,1/COUNTIF($D$2:$D$3451,D898))</f>
        <v>1</v>
      </c>
      <c r="I898" s="13" t="n">
        <f aca="false">IFERROR(INDEX('NCO-2015 scores'!$C$2:$C$131,MATCH(E898,'NCO-2015 scores'!$A$2:$A$131,0)),0)</f>
        <v>0.2956</v>
      </c>
      <c r="J898" s="13" t="n">
        <f aca="false">IF(ISNUMBER(MATCH(E898,'NCO-2015 scores'!$A$2:$A$131,0)),IF(ISNUMBER(INDEX('NCO-2015 scores'!$C$2:$C$131,MATCH(E898,'NCO-2015 scores'!$A$2:$A$131,0))),1,0),0)</f>
        <v>1</v>
      </c>
    </row>
    <row r="899" customFormat="false" ht="15" hidden="false" customHeight="false" outlineLevel="0" collapsed="false">
      <c r="A899" s="2" t="n">
        <v>897</v>
      </c>
      <c r="B899" s="2" t="s">
        <v>2943</v>
      </c>
      <c r="C899" s="2" t="s">
        <v>2944</v>
      </c>
      <c r="D899" s="2"/>
      <c r="E899" s="2" t="str">
        <f aca="false">LEFT(C899,3)</f>
        <v>311</v>
      </c>
      <c r="F899" s="2" t="str">
        <f aca="false">IF(D899="","",LEFT(D899,3))</f>
        <v/>
      </c>
      <c r="G899" s="2" t="str">
        <f aca="false">IF(F899="","",IF(E899=F899,"Yes","No"))</f>
        <v/>
      </c>
      <c r="H899" s="2" t="n">
        <f aca="false">IF(D899="",0,1/COUNTIF($D$2:$D$3451,D899))</f>
        <v>0</v>
      </c>
      <c r="I899" s="13" t="n">
        <f aca="false">IFERROR(INDEX('NCO-2015 scores'!$C$2:$C$131,MATCH(E899,'NCO-2015 scores'!$A$2:$A$131,0)),0)</f>
        <v>0.2956</v>
      </c>
      <c r="J899" s="13" t="n">
        <f aca="false">IF(ISNUMBER(MATCH(E899,'NCO-2015 scores'!$A$2:$A$131,0)),IF(ISNUMBER(INDEX('NCO-2015 scores'!$C$2:$C$131,MATCH(E899,'NCO-2015 scores'!$A$2:$A$131,0))),1,0),0)</f>
        <v>1</v>
      </c>
    </row>
    <row r="900" customFormat="false" ht="15" hidden="false" customHeight="false" outlineLevel="0" collapsed="false">
      <c r="A900" s="2" t="n">
        <v>898</v>
      </c>
      <c r="B900" s="2" t="s">
        <v>2945</v>
      </c>
      <c r="C900" s="2" t="s">
        <v>2946</v>
      </c>
      <c r="D900" s="2"/>
      <c r="E900" s="2" t="str">
        <f aca="false">LEFT(C900,3)</f>
        <v>311</v>
      </c>
      <c r="F900" s="2" t="str">
        <f aca="false">IF(D900="","",LEFT(D900,3))</f>
        <v/>
      </c>
      <c r="G900" s="2" t="str">
        <f aca="false">IF(F900="","",IF(E900=F900,"Yes","No"))</f>
        <v/>
      </c>
      <c r="H900" s="2" t="n">
        <f aca="false">IF(D900="",0,1/COUNTIF($D$2:$D$3451,D900))</f>
        <v>0</v>
      </c>
      <c r="I900" s="13" t="n">
        <f aca="false">IFERROR(INDEX('NCO-2015 scores'!$C$2:$C$131,MATCH(E900,'NCO-2015 scores'!$A$2:$A$131,0)),0)</f>
        <v>0.2956</v>
      </c>
      <c r="J900" s="13" t="n">
        <f aca="false">IF(ISNUMBER(MATCH(E900,'NCO-2015 scores'!$A$2:$A$131,0)),IF(ISNUMBER(INDEX('NCO-2015 scores'!$C$2:$C$131,MATCH(E900,'NCO-2015 scores'!$A$2:$A$131,0))),1,0),0)</f>
        <v>1</v>
      </c>
    </row>
    <row r="901" customFormat="false" ht="15" hidden="false" customHeight="false" outlineLevel="0" collapsed="false">
      <c r="A901" s="2" t="n">
        <v>899</v>
      </c>
      <c r="B901" s="2" t="s">
        <v>2947</v>
      </c>
      <c r="C901" s="2" t="s">
        <v>2948</v>
      </c>
      <c r="D901" s="2"/>
      <c r="E901" s="2" t="str">
        <f aca="false">LEFT(C901,3)</f>
        <v>311</v>
      </c>
      <c r="F901" s="2" t="str">
        <f aca="false">IF(D901="","",LEFT(D901,3))</f>
        <v/>
      </c>
      <c r="G901" s="2" t="str">
        <f aca="false">IF(F901="","",IF(E901=F901,"Yes","No"))</f>
        <v/>
      </c>
      <c r="H901" s="2" t="n">
        <f aca="false">IF(D901="",0,1/COUNTIF($D$2:$D$3451,D901))</f>
        <v>0</v>
      </c>
      <c r="I901" s="13" t="n">
        <f aca="false">IFERROR(INDEX('NCO-2015 scores'!$C$2:$C$131,MATCH(E901,'NCO-2015 scores'!$A$2:$A$131,0)),0)</f>
        <v>0.2956</v>
      </c>
      <c r="J901" s="13" t="n">
        <f aca="false">IF(ISNUMBER(MATCH(E901,'NCO-2015 scores'!$A$2:$A$131,0)),IF(ISNUMBER(INDEX('NCO-2015 scores'!$C$2:$C$131,MATCH(E901,'NCO-2015 scores'!$A$2:$A$131,0))),1,0),0)</f>
        <v>1</v>
      </c>
    </row>
    <row r="902" customFormat="false" ht="15" hidden="false" customHeight="false" outlineLevel="0" collapsed="false">
      <c r="A902" s="2" t="n">
        <v>900</v>
      </c>
      <c r="B902" s="2" t="s">
        <v>2949</v>
      </c>
      <c r="C902" s="2" t="s">
        <v>2950</v>
      </c>
      <c r="D902" s="2"/>
      <c r="E902" s="2" t="str">
        <f aca="false">LEFT(C902,3)</f>
        <v>311</v>
      </c>
      <c r="F902" s="2" t="str">
        <f aca="false">IF(D902="","",LEFT(D902,3))</f>
        <v/>
      </c>
      <c r="G902" s="2" t="str">
        <f aca="false">IF(F902="","",IF(E902=F902,"Yes","No"))</f>
        <v/>
      </c>
      <c r="H902" s="2" t="n">
        <f aca="false">IF(D902="",0,1/COUNTIF($D$2:$D$3451,D902))</f>
        <v>0</v>
      </c>
      <c r="I902" s="13" t="n">
        <f aca="false">IFERROR(INDEX('NCO-2015 scores'!$C$2:$C$131,MATCH(E902,'NCO-2015 scores'!$A$2:$A$131,0)),0)</f>
        <v>0.2956</v>
      </c>
      <c r="J902" s="13" t="n">
        <f aca="false">IF(ISNUMBER(MATCH(E902,'NCO-2015 scores'!$A$2:$A$131,0)),IF(ISNUMBER(INDEX('NCO-2015 scores'!$C$2:$C$131,MATCH(E902,'NCO-2015 scores'!$A$2:$A$131,0))),1,0),0)</f>
        <v>1</v>
      </c>
    </row>
    <row r="903" customFormat="false" ht="15" hidden="false" customHeight="false" outlineLevel="0" collapsed="false">
      <c r="A903" s="2" t="n">
        <v>901</v>
      </c>
      <c r="B903" s="2" t="s">
        <v>2951</v>
      </c>
      <c r="C903" s="2" t="s">
        <v>2952</v>
      </c>
      <c r="D903" s="2" t="s">
        <v>2953</v>
      </c>
      <c r="E903" s="2" t="str">
        <f aca="false">LEFT(C903,3)</f>
        <v>311</v>
      </c>
      <c r="F903" s="2" t="str">
        <f aca="false">IF(D903="","",LEFT(D903,3))</f>
        <v>311</v>
      </c>
      <c r="G903" s="2" t="str">
        <f aca="false">IF(F903="","",IF(E903=F903,"Yes","No"))</f>
        <v>Yes</v>
      </c>
      <c r="H903" s="2" t="n">
        <f aca="false">IF(D903="",0,1/COUNTIF($D$2:$D$3451,D903))</f>
        <v>1</v>
      </c>
      <c r="I903" s="13" t="n">
        <f aca="false">IFERROR(INDEX('NCO-2015 scores'!$C$2:$C$131,MATCH(E903,'NCO-2015 scores'!$A$2:$A$131,0)),0)</f>
        <v>0.2956</v>
      </c>
      <c r="J903" s="13" t="n">
        <f aca="false">IF(ISNUMBER(MATCH(E903,'NCO-2015 scores'!$A$2:$A$131,0)),IF(ISNUMBER(INDEX('NCO-2015 scores'!$C$2:$C$131,MATCH(E903,'NCO-2015 scores'!$A$2:$A$131,0))),1,0),0)</f>
        <v>1</v>
      </c>
    </row>
    <row r="904" customFormat="false" ht="15" hidden="false" customHeight="false" outlineLevel="0" collapsed="false">
      <c r="A904" s="2" t="n">
        <v>902</v>
      </c>
      <c r="B904" s="2" t="s">
        <v>2954</v>
      </c>
      <c r="C904" s="2" t="s">
        <v>2955</v>
      </c>
      <c r="D904" s="2" t="s">
        <v>2956</v>
      </c>
      <c r="E904" s="2" t="str">
        <f aca="false">LEFT(C904,3)</f>
        <v>215</v>
      </c>
      <c r="F904" s="2" t="str">
        <f aca="false">IF(D904="","",LEFT(D904,3))</f>
        <v>214</v>
      </c>
      <c r="G904" s="2" t="str">
        <f aca="false">IF(F904="","",IF(E904=F904,"Yes","No"))</f>
        <v>No</v>
      </c>
      <c r="H904" s="2" t="n">
        <f aca="false">IF(D904="",0,1/COUNTIF($D$2:$D$3451,D904))</f>
        <v>1</v>
      </c>
      <c r="I904" s="13" t="n">
        <f aca="false">IFERROR(INDEX('NCO-2015 scores'!$C$2:$C$131,MATCH(E904,'NCO-2015 scores'!$A$2:$A$131,0)),0)</f>
        <v>0.4033</v>
      </c>
      <c r="J904" s="13" t="n">
        <f aca="false">IF(ISNUMBER(MATCH(E904,'NCO-2015 scores'!$A$2:$A$131,0)),IF(ISNUMBER(INDEX('NCO-2015 scores'!$C$2:$C$131,MATCH(E904,'NCO-2015 scores'!$A$2:$A$131,0))),1,0),0)</f>
        <v>1</v>
      </c>
    </row>
    <row r="905" customFormat="false" ht="15" hidden="false" customHeight="false" outlineLevel="0" collapsed="false">
      <c r="A905" s="2" t="n">
        <v>903</v>
      </c>
      <c r="B905" s="2" t="s">
        <v>2957</v>
      </c>
      <c r="C905" s="2" t="s">
        <v>2958</v>
      </c>
      <c r="D905" s="2"/>
      <c r="E905" s="2" t="str">
        <f aca="false">LEFT(C905,3)</f>
        <v>215</v>
      </c>
      <c r="F905" s="2" t="str">
        <f aca="false">IF(D905="","",LEFT(D905,3))</f>
        <v/>
      </c>
      <c r="G905" s="2" t="str">
        <f aca="false">IF(F905="","",IF(E905=F905,"Yes","No"))</f>
        <v/>
      </c>
      <c r="H905" s="2" t="n">
        <f aca="false">IF(D905="",0,1/COUNTIF($D$2:$D$3451,D905))</f>
        <v>0</v>
      </c>
      <c r="I905" s="13" t="n">
        <f aca="false">IFERROR(INDEX('NCO-2015 scores'!$C$2:$C$131,MATCH(E905,'NCO-2015 scores'!$A$2:$A$131,0)),0)</f>
        <v>0.4033</v>
      </c>
      <c r="J905" s="13" t="n">
        <f aca="false">IF(ISNUMBER(MATCH(E905,'NCO-2015 scores'!$A$2:$A$131,0)),IF(ISNUMBER(INDEX('NCO-2015 scores'!$C$2:$C$131,MATCH(E905,'NCO-2015 scores'!$A$2:$A$131,0))),1,0),0)</f>
        <v>1</v>
      </c>
    </row>
    <row r="906" customFormat="false" ht="15" hidden="false" customHeight="false" outlineLevel="0" collapsed="false">
      <c r="A906" s="2" t="n">
        <v>904</v>
      </c>
      <c r="B906" s="2" t="s">
        <v>2959</v>
      </c>
      <c r="C906" s="2" t="s">
        <v>2960</v>
      </c>
      <c r="D906" s="2"/>
      <c r="E906" s="2" t="str">
        <f aca="false">LEFT(C906,3)</f>
        <v>215</v>
      </c>
      <c r="F906" s="2" t="str">
        <f aca="false">IF(D906="","",LEFT(D906,3))</f>
        <v/>
      </c>
      <c r="G906" s="2" t="str">
        <f aca="false">IF(F906="","",IF(E906=F906,"Yes","No"))</f>
        <v/>
      </c>
      <c r="H906" s="2" t="n">
        <f aca="false">IF(D906="",0,1/COUNTIF($D$2:$D$3451,D906))</f>
        <v>0</v>
      </c>
      <c r="I906" s="13" t="n">
        <f aca="false">IFERROR(INDEX('NCO-2015 scores'!$C$2:$C$131,MATCH(E906,'NCO-2015 scores'!$A$2:$A$131,0)),0)</f>
        <v>0.4033</v>
      </c>
      <c r="J906" s="13" t="n">
        <f aca="false">IF(ISNUMBER(MATCH(E906,'NCO-2015 scores'!$A$2:$A$131,0)),IF(ISNUMBER(INDEX('NCO-2015 scores'!$C$2:$C$131,MATCH(E906,'NCO-2015 scores'!$A$2:$A$131,0))),1,0),0)</f>
        <v>1</v>
      </c>
    </row>
    <row r="907" customFormat="false" ht="15" hidden="false" customHeight="false" outlineLevel="0" collapsed="false">
      <c r="A907" s="2" t="n">
        <v>905</v>
      </c>
      <c r="B907" s="2" t="s">
        <v>2961</v>
      </c>
      <c r="C907" s="2" t="s">
        <v>2962</v>
      </c>
      <c r="D907" s="2"/>
      <c r="E907" s="2" t="str">
        <f aca="false">LEFT(C907,3)</f>
        <v>215</v>
      </c>
      <c r="F907" s="2" t="str">
        <f aca="false">IF(D907="","",LEFT(D907,3))</f>
        <v/>
      </c>
      <c r="G907" s="2" t="str">
        <f aca="false">IF(F907="","",IF(E907=F907,"Yes","No"))</f>
        <v/>
      </c>
      <c r="H907" s="2" t="n">
        <f aca="false">IF(D907="",0,1/COUNTIF($D$2:$D$3451,D907))</f>
        <v>0</v>
      </c>
      <c r="I907" s="13" t="n">
        <f aca="false">IFERROR(INDEX('NCO-2015 scores'!$C$2:$C$131,MATCH(E907,'NCO-2015 scores'!$A$2:$A$131,0)),0)</f>
        <v>0.4033</v>
      </c>
      <c r="J907" s="13" t="n">
        <f aca="false">IF(ISNUMBER(MATCH(E907,'NCO-2015 scores'!$A$2:$A$131,0)),IF(ISNUMBER(INDEX('NCO-2015 scores'!$C$2:$C$131,MATCH(E907,'NCO-2015 scores'!$A$2:$A$131,0))),1,0),0)</f>
        <v>1</v>
      </c>
    </row>
    <row r="908" customFormat="false" ht="15" hidden="false" customHeight="false" outlineLevel="0" collapsed="false">
      <c r="A908" s="2" t="n">
        <v>906</v>
      </c>
      <c r="B908" s="2" t="s">
        <v>2963</v>
      </c>
      <c r="C908" s="2" t="s">
        <v>2964</v>
      </c>
      <c r="D908" s="2"/>
      <c r="E908" s="2" t="str">
        <f aca="false">LEFT(C908,3)</f>
        <v>215</v>
      </c>
      <c r="F908" s="2" t="str">
        <f aca="false">IF(D908="","",LEFT(D908,3))</f>
        <v/>
      </c>
      <c r="G908" s="2" t="str">
        <f aca="false">IF(F908="","",IF(E908=F908,"Yes","No"))</f>
        <v/>
      </c>
      <c r="H908" s="2" t="n">
        <f aca="false">IF(D908="",0,1/COUNTIF($D$2:$D$3451,D908))</f>
        <v>0</v>
      </c>
      <c r="I908" s="13" t="n">
        <f aca="false">IFERROR(INDEX('NCO-2015 scores'!$C$2:$C$131,MATCH(E908,'NCO-2015 scores'!$A$2:$A$131,0)),0)</f>
        <v>0.4033</v>
      </c>
      <c r="J908" s="13" t="n">
        <f aca="false">IF(ISNUMBER(MATCH(E908,'NCO-2015 scores'!$A$2:$A$131,0)),IF(ISNUMBER(INDEX('NCO-2015 scores'!$C$2:$C$131,MATCH(E908,'NCO-2015 scores'!$A$2:$A$131,0))),1,0),0)</f>
        <v>1</v>
      </c>
    </row>
    <row r="909" customFormat="false" ht="15" hidden="false" customHeight="false" outlineLevel="0" collapsed="false">
      <c r="A909" s="2" t="n">
        <v>907</v>
      </c>
      <c r="B909" s="2" t="s">
        <v>2965</v>
      </c>
      <c r="C909" s="2" t="s">
        <v>2966</v>
      </c>
      <c r="D909" s="2"/>
      <c r="E909" s="2" t="str">
        <f aca="false">LEFT(C909,3)</f>
        <v>215</v>
      </c>
      <c r="F909" s="2" t="str">
        <f aca="false">IF(D909="","",LEFT(D909,3))</f>
        <v/>
      </c>
      <c r="G909" s="2" t="str">
        <f aca="false">IF(F909="","",IF(E909=F909,"Yes","No"))</f>
        <v/>
      </c>
      <c r="H909" s="2" t="n">
        <f aca="false">IF(D909="",0,1/COUNTIF($D$2:$D$3451,D909))</f>
        <v>0</v>
      </c>
      <c r="I909" s="13" t="n">
        <f aca="false">IFERROR(INDEX('NCO-2015 scores'!$C$2:$C$131,MATCH(E909,'NCO-2015 scores'!$A$2:$A$131,0)),0)</f>
        <v>0.4033</v>
      </c>
      <c r="J909" s="13" t="n">
        <f aca="false">IF(ISNUMBER(MATCH(E909,'NCO-2015 scores'!$A$2:$A$131,0)),IF(ISNUMBER(INDEX('NCO-2015 scores'!$C$2:$C$131,MATCH(E909,'NCO-2015 scores'!$A$2:$A$131,0))),1,0),0)</f>
        <v>1</v>
      </c>
    </row>
    <row r="910" customFormat="false" ht="15" hidden="false" customHeight="false" outlineLevel="0" collapsed="false">
      <c r="A910" s="2" t="n">
        <v>908</v>
      </c>
      <c r="B910" s="2" t="s">
        <v>2967</v>
      </c>
      <c r="C910" s="2" t="s">
        <v>2968</v>
      </c>
      <c r="D910" s="2" t="s">
        <v>2969</v>
      </c>
      <c r="E910" s="2" t="str">
        <f aca="false">LEFT(C910,3)</f>
        <v>215</v>
      </c>
      <c r="F910" s="2" t="str">
        <f aca="false">IF(D910="","",LEFT(D910,3))</f>
        <v>214</v>
      </c>
      <c r="G910" s="2" t="str">
        <f aca="false">IF(F910="","",IF(E910=F910,"Yes","No"))</f>
        <v>No</v>
      </c>
      <c r="H910" s="2" t="n">
        <f aca="false">IF(D910="",0,1/COUNTIF($D$2:$D$3451,D910))</f>
        <v>1</v>
      </c>
      <c r="I910" s="13" t="n">
        <f aca="false">IFERROR(INDEX('NCO-2015 scores'!$C$2:$C$131,MATCH(E910,'NCO-2015 scores'!$A$2:$A$131,0)),0)</f>
        <v>0.4033</v>
      </c>
      <c r="J910" s="13" t="n">
        <f aca="false">IF(ISNUMBER(MATCH(E910,'NCO-2015 scores'!$A$2:$A$131,0)),IF(ISNUMBER(INDEX('NCO-2015 scores'!$C$2:$C$131,MATCH(E910,'NCO-2015 scores'!$A$2:$A$131,0))),1,0),0)</f>
        <v>1</v>
      </c>
    </row>
    <row r="911" customFormat="false" ht="15" hidden="false" customHeight="false" outlineLevel="0" collapsed="false">
      <c r="A911" s="2" t="n">
        <v>909</v>
      </c>
      <c r="B911" s="2" t="s">
        <v>2970</v>
      </c>
      <c r="C911" s="2" t="s">
        <v>2971</v>
      </c>
      <c r="D911" s="2" t="s">
        <v>2972</v>
      </c>
      <c r="E911" s="2" t="str">
        <f aca="false">LEFT(C911,3)</f>
        <v>215</v>
      </c>
      <c r="F911" s="2" t="str">
        <f aca="false">IF(D911="","",LEFT(D911,3))</f>
        <v>214</v>
      </c>
      <c r="G911" s="2" t="str">
        <f aca="false">IF(F911="","",IF(E911=F911,"Yes","No"))</f>
        <v>No</v>
      </c>
      <c r="H911" s="2" t="n">
        <f aca="false">IF(D911="",0,1/COUNTIF($D$2:$D$3451,D911))</f>
        <v>1</v>
      </c>
      <c r="I911" s="13" t="n">
        <f aca="false">IFERROR(INDEX('NCO-2015 scores'!$C$2:$C$131,MATCH(E911,'NCO-2015 scores'!$A$2:$A$131,0)),0)</f>
        <v>0.4033</v>
      </c>
      <c r="J911" s="13" t="n">
        <f aca="false">IF(ISNUMBER(MATCH(E911,'NCO-2015 scores'!$A$2:$A$131,0)),IF(ISNUMBER(INDEX('NCO-2015 scores'!$C$2:$C$131,MATCH(E911,'NCO-2015 scores'!$A$2:$A$131,0))),1,0),0)</f>
        <v>1</v>
      </c>
    </row>
    <row r="912" customFormat="false" ht="15" hidden="false" customHeight="false" outlineLevel="0" collapsed="false">
      <c r="A912" s="2" t="n">
        <v>910</v>
      </c>
      <c r="B912" s="2" t="s">
        <v>2194</v>
      </c>
      <c r="C912" s="2" t="s">
        <v>2973</v>
      </c>
      <c r="D912" s="2"/>
      <c r="E912" s="2" t="str">
        <f aca="false">LEFT(C912,3)</f>
        <v>215</v>
      </c>
      <c r="F912" s="2" t="str">
        <f aca="false">IF(D912="","",LEFT(D912,3))</f>
        <v/>
      </c>
      <c r="G912" s="2" t="str">
        <f aca="false">IF(F912="","",IF(E912=F912,"Yes","No"))</f>
        <v/>
      </c>
      <c r="H912" s="2" t="n">
        <f aca="false">IF(D912="",0,1/COUNTIF($D$2:$D$3451,D912))</f>
        <v>0</v>
      </c>
      <c r="I912" s="13" t="n">
        <f aca="false">IFERROR(INDEX('NCO-2015 scores'!$C$2:$C$131,MATCH(E912,'NCO-2015 scores'!$A$2:$A$131,0)),0)</f>
        <v>0.4033</v>
      </c>
      <c r="J912" s="13" t="n">
        <f aca="false">IF(ISNUMBER(MATCH(E912,'NCO-2015 scores'!$A$2:$A$131,0)),IF(ISNUMBER(INDEX('NCO-2015 scores'!$C$2:$C$131,MATCH(E912,'NCO-2015 scores'!$A$2:$A$131,0))),1,0),0)</f>
        <v>1</v>
      </c>
    </row>
    <row r="913" customFormat="false" ht="15" hidden="false" customHeight="false" outlineLevel="0" collapsed="false">
      <c r="A913" s="2" t="n">
        <v>911</v>
      </c>
      <c r="B913" s="2" t="s">
        <v>2974</v>
      </c>
      <c r="C913" s="2" t="s">
        <v>2975</v>
      </c>
      <c r="D913" s="2"/>
      <c r="E913" s="2" t="str">
        <f aca="false">LEFT(C913,3)</f>
        <v>215</v>
      </c>
      <c r="F913" s="2" t="str">
        <f aca="false">IF(D913="","",LEFT(D913,3))</f>
        <v/>
      </c>
      <c r="G913" s="2" t="str">
        <f aca="false">IF(F913="","",IF(E913=F913,"Yes","No"))</f>
        <v/>
      </c>
      <c r="H913" s="2" t="n">
        <f aca="false">IF(D913="",0,1/COUNTIF($D$2:$D$3451,D913))</f>
        <v>0</v>
      </c>
      <c r="I913" s="13" t="n">
        <f aca="false">IFERROR(INDEX('NCO-2015 scores'!$C$2:$C$131,MATCH(E913,'NCO-2015 scores'!$A$2:$A$131,0)),0)</f>
        <v>0.4033</v>
      </c>
      <c r="J913" s="13" t="n">
        <f aca="false">IF(ISNUMBER(MATCH(E913,'NCO-2015 scores'!$A$2:$A$131,0)),IF(ISNUMBER(INDEX('NCO-2015 scores'!$C$2:$C$131,MATCH(E913,'NCO-2015 scores'!$A$2:$A$131,0))),1,0),0)</f>
        <v>1</v>
      </c>
    </row>
    <row r="914" customFormat="false" ht="15" hidden="false" customHeight="false" outlineLevel="0" collapsed="false">
      <c r="A914" s="2" t="n">
        <v>912</v>
      </c>
      <c r="B914" s="2" t="s">
        <v>2976</v>
      </c>
      <c r="C914" s="2" t="s">
        <v>2977</v>
      </c>
      <c r="D914" s="2" t="s">
        <v>2978</v>
      </c>
      <c r="E914" s="2" t="str">
        <f aca="false">LEFT(C914,3)</f>
        <v>215</v>
      </c>
      <c r="F914" s="2" t="str">
        <f aca="false">IF(D914="","",LEFT(D914,3))</f>
        <v>214</v>
      </c>
      <c r="G914" s="2" t="str">
        <f aca="false">IF(F914="","",IF(E914=F914,"Yes","No"))</f>
        <v>No</v>
      </c>
      <c r="H914" s="2" t="n">
        <f aca="false">IF(D914="",0,1/COUNTIF($D$2:$D$3451,D914))</f>
        <v>1</v>
      </c>
      <c r="I914" s="13" t="n">
        <f aca="false">IFERROR(INDEX('NCO-2015 scores'!$C$2:$C$131,MATCH(E914,'NCO-2015 scores'!$A$2:$A$131,0)),0)</f>
        <v>0.4033</v>
      </c>
      <c r="J914" s="13" t="n">
        <f aca="false">IF(ISNUMBER(MATCH(E914,'NCO-2015 scores'!$A$2:$A$131,0)),IF(ISNUMBER(INDEX('NCO-2015 scores'!$C$2:$C$131,MATCH(E914,'NCO-2015 scores'!$A$2:$A$131,0))),1,0),0)</f>
        <v>1</v>
      </c>
    </row>
    <row r="915" customFormat="false" ht="15" hidden="false" customHeight="false" outlineLevel="0" collapsed="false">
      <c r="A915" s="2" t="n">
        <v>913</v>
      </c>
      <c r="B915" s="2" t="s">
        <v>2979</v>
      </c>
      <c r="C915" s="2" t="s">
        <v>2980</v>
      </c>
      <c r="D915" s="2" t="s">
        <v>2981</v>
      </c>
      <c r="E915" s="2" t="str">
        <f aca="false">LEFT(C915,3)</f>
        <v>215</v>
      </c>
      <c r="F915" s="2" t="str">
        <f aca="false">IF(D915="","",LEFT(D915,3))</f>
        <v>214</v>
      </c>
      <c r="G915" s="2" t="str">
        <f aca="false">IF(F915="","",IF(E915=F915,"Yes","No"))</f>
        <v>No</v>
      </c>
      <c r="H915" s="2" t="n">
        <f aca="false">IF(D915="",0,1/COUNTIF($D$2:$D$3451,D915))</f>
        <v>1</v>
      </c>
      <c r="I915" s="13" t="n">
        <f aca="false">IFERROR(INDEX('NCO-2015 scores'!$C$2:$C$131,MATCH(E915,'NCO-2015 scores'!$A$2:$A$131,0)),0)</f>
        <v>0.4033</v>
      </c>
      <c r="J915" s="13" t="n">
        <f aca="false">IF(ISNUMBER(MATCH(E915,'NCO-2015 scores'!$A$2:$A$131,0)),IF(ISNUMBER(INDEX('NCO-2015 scores'!$C$2:$C$131,MATCH(E915,'NCO-2015 scores'!$A$2:$A$131,0))),1,0),0)</f>
        <v>1</v>
      </c>
    </row>
    <row r="916" customFormat="false" ht="15" hidden="false" customHeight="false" outlineLevel="0" collapsed="false">
      <c r="A916" s="2" t="n">
        <v>914</v>
      </c>
      <c r="B916" s="2" t="s">
        <v>2982</v>
      </c>
      <c r="C916" s="2" t="s">
        <v>2983</v>
      </c>
      <c r="D916" s="2" t="s">
        <v>2984</v>
      </c>
      <c r="E916" s="2" t="str">
        <f aca="false">LEFT(C916,3)</f>
        <v>741</v>
      </c>
      <c r="F916" s="2" t="str">
        <f aca="false">IF(D916="","",LEFT(D916,3))</f>
        <v>724</v>
      </c>
      <c r="G916" s="2" t="str">
        <f aca="false">IF(F916="","",IF(E916=F916,"Yes","No"))</f>
        <v>No</v>
      </c>
      <c r="H916" s="2" t="n">
        <f aca="false">IF(D916="",0,1/COUNTIF($D$2:$D$3451,D916))</f>
        <v>1</v>
      </c>
      <c r="I916" s="13" t="n">
        <f aca="false">IFERROR(INDEX('NCO-2015 scores'!$C$2:$C$131,MATCH(E916,'NCO-2015 scores'!$A$2:$A$131,0)),0)</f>
        <v>0.17</v>
      </c>
      <c r="J916" s="13" t="n">
        <f aca="false">IF(ISNUMBER(MATCH(E916,'NCO-2015 scores'!$A$2:$A$131,0)),IF(ISNUMBER(INDEX('NCO-2015 scores'!$C$2:$C$131,MATCH(E916,'NCO-2015 scores'!$A$2:$A$131,0))),1,0),0)</f>
        <v>1</v>
      </c>
    </row>
    <row r="917" customFormat="false" ht="15" hidden="false" customHeight="false" outlineLevel="0" collapsed="false">
      <c r="A917" s="2" t="n">
        <v>915</v>
      </c>
      <c r="B917" s="2" t="s">
        <v>2985</v>
      </c>
      <c r="C917" s="2" t="s">
        <v>2986</v>
      </c>
      <c r="D917" s="2" t="s">
        <v>2987</v>
      </c>
      <c r="E917" s="2" t="str">
        <f aca="false">LEFT(C917,3)</f>
        <v>741</v>
      </c>
      <c r="F917" s="2" t="str">
        <f aca="false">IF(D917="","",LEFT(D917,3))</f>
        <v>724</v>
      </c>
      <c r="G917" s="2" t="str">
        <f aca="false">IF(F917="","",IF(E917=F917,"Yes","No"))</f>
        <v>No</v>
      </c>
      <c r="H917" s="2" t="n">
        <f aca="false">IF(D917="",0,1/COUNTIF($D$2:$D$3451,D917))</f>
        <v>1</v>
      </c>
      <c r="I917" s="13" t="n">
        <f aca="false">IFERROR(INDEX('NCO-2015 scores'!$C$2:$C$131,MATCH(E917,'NCO-2015 scores'!$A$2:$A$131,0)),0)</f>
        <v>0.17</v>
      </c>
      <c r="J917" s="13" t="n">
        <f aca="false">IF(ISNUMBER(MATCH(E917,'NCO-2015 scores'!$A$2:$A$131,0)),IF(ISNUMBER(INDEX('NCO-2015 scores'!$C$2:$C$131,MATCH(E917,'NCO-2015 scores'!$A$2:$A$131,0))),1,0),0)</f>
        <v>1</v>
      </c>
    </row>
    <row r="918" customFormat="false" ht="15" hidden="false" customHeight="false" outlineLevel="0" collapsed="false">
      <c r="A918" s="2" t="n">
        <v>916</v>
      </c>
      <c r="B918" s="2" t="s">
        <v>2988</v>
      </c>
      <c r="C918" s="2" t="s">
        <v>2989</v>
      </c>
      <c r="D918" s="2" t="s">
        <v>2990</v>
      </c>
      <c r="E918" s="2" t="str">
        <f aca="false">LEFT(C918,3)</f>
        <v>741</v>
      </c>
      <c r="F918" s="2" t="str">
        <f aca="false">IF(D918="","",LEFT(D918,3))</f>
        <v>724</v>
      </c>
      <c r="G918" s="2" t="str">
        <f aca="false">IF(F918="","",IF(E918=F918,"Yes","No"))</f>
        <v>No</v>
      </c>
      <c r="H918" s="2" t="n">
        <f aca="false">IF(D918="",0,1/COUNTIF($D$2:$D$3451,D918))</f>
        <v>1</v>
      </c>
      <c r="I918" s="13" t="n">
        <f aca="false">IFERROR(INDEX('NCO-2015 scores'!$C$2:$C$131,MATCH(E918,'NCO-2015 scores'!$A$2:$A$131,0)),0)</f>
        <v>0.17</v>
      </c>
      <c r="J918" s="13" t="n">
        <f aca="false">IF(ISNUMBER(MATCH(E918,'NCO-2015 scores'!$A$2:$A$131,0)),IF(ISNUMBER(INDEX('NCO-2015 scores'!$C$2:$C$131,MATCH(E918,'NCO-2015 scores'!$A$2:$A$131,0))),1,0),0)</f>
        <v>1</v>
      </c>
    </row>
    <row r="919" customFormat="false" ht="15" hidden="false" customHeight="false" outlineLevel="0" collapsed="false">
      <c r="A919" s="2" t="n">
        <v>917</v>
      </c>
      <c r="B919" s="2" t="s">
        <v>2991</v>
      </c>
      <c r="C919" s="2" t="s">
        <v>2992</v>
      </c>
      <c r="D919" s="2"/>
      <c r="E919" s="2" t="str">
        <f aca="false">LEFT(C919,3)</f>
        <v>741</v>
      </c>
      <c r="F919" s="2" t="str">
        <f aca="false">IF(D919="","",LEFT(D919,3))</f>
        <v/>
      </c>
      <c r="G919" s="2" t="str">
        <f aca="false">IF(F919="","",IF(E919=F919,"Yes","No"))</f>
        <v/>
      </c>
      <c r="H919" s="2" t="n">
        <f aca="false">IF(D919="",0,1/COUNTIF($D$2:$D$3451,D919))</f>
        <v>0</v>
      </c>
      <c r="I919" s="13" t="n">
        <f aca="false">IFERROR(INDEX('NCO-2015 scores'!$C$2:$C$131,MATCH(E919,'NCO-2015 scores'!$A$2:$A$131,0)),0)</f>
        <v>0.17</v>
      </c>
      <c r="J919" s="13" t="n">
        <f aca="false">IF(ISNUMBER(MATCH(E919,'NCO-2015 scores'!$A$2:$A$131,0)),IF(ISNUMBER(INDEX('NCO-2015 scores'!$C$2:$C$131,MATCH(E919,'NCO-2015 scores'!$A$2:$A$131,0))),1,0),0)</f>
        <v>1</v>
      </c>
    </row>
    <row r="920" customFormat="false" ht="15" hidden="false" customHeight="false" outlineLevel="0" collapsed="false">
      <c r="A920" s="2" t="n">
        <v>918</v>
      </c>
      <c r="B920" s="2" t="s">
        <v>2993</v>
      </c>
      <c r="C920" s="2" t="s">
        <v>2994</v>
      </c>
      <c r="D920" s="2"/>
      <c r="E920" s="2" t="str">
        <f aca="false">LEFT(C920,3)</f>
        <v>741</v>
      </c>
      <c r="F920" s="2" t="str">
        <f aca="false">IF(D920="","",LEFT(D920,3))</f>
        <v/>
      </c>
      <c r="G920" s="2" t="str">
        <f aca="false">IF(F920="","",IF(E920=F920,"Yes","No"))</f>
        <v/>
      </c>
      <c r="H920" s="2" t="n">
        <f aca="false">IF(D920="",0,1/COUNTIF($D$2:$D$3451,D920))</f>
        <v>0</v>
      </c>
      <c r="I920" s="13" t="n">
        <f aca="false">IFERROR(INDEX('NCO-2015 scores'!$C$2:$C$131,MATCH(E920,'NCO-2015 scores'!$A$2:$A$131,0)),0)</f>
        <v>0.17</v>
      </c>
      <c r="J920" s="13" t="n">
        <f aca="false">IF(ISNUMBER(MATCH(E920,'NCO-2015 scores'!$A$2:$A$131,0)),IF(ISNUMBER(INDEX('NCO-2015 scores'!$C$2:$C$131,MATCH(E920,'NCO-2015 scores'!$A$2:$A$131,0))),1,0),0)</f>
        <v>1</v>
      </c>
    </row>
    <row r="921" customFormat="false" ht="15" hidden="false" customHeight="false" outlineLevel="0" collapsed="false">
      <c r="A921" s="2" t="n">
        <v>919</v>
      </c>
      <c r="B921" s="2" t="s">
        <v>2995</v>
      </c>
      <c r="C921" s="2" t="s">
        <v>2996</v>
      </c>
      <c r="D921" s="2"/>
      <c r="E921" s="2" t="str">
        <f aca="false">LEFT(C921,3)</f>
        <v>741</v>
      </c>
      <c r="F921" s="2" t="str">
        <f aca="false">IF(D921="","",LEFT(D921,3))</f>
        <v/>
      </c>
      <c r="G921" s="2" t="str">
        <f aca="false">IF(F921="","",IF(E921=F921,"Yes","No"))</f>
        <v/>
      </c>
      <c r="H921" s="2" t="n">
        <f aca="false">IF(D921="",0,1/COUNTIF($D$2:$D$3451,D921))</f>
        <v>0</v>
      </c>
      <c r="I921" s="13" t="n">
        <f aca="false">IFERROR(INDEX('NCO-2015 scores'!$C$2:$C$131,MATCH(E921,'NCO-2015 scores'!$A$2:$A$131,0)),0)</f>
        <v>0.17</v>
      </c>
      <c r="J921" s="13" t="n">
        <f aca="false">IF(ISNUMBER(MATCH(E921,'NCO-2015 scores'!$A$2:$A$131,0)),IF(ISNUMBER(INDEX('NCO-2015 scores'!$C$2:$C$131,MATCH(E921,'NCO-2015 scores'!$A$2:$A$131,0))),1,0),0)</f>
        <v>1</v>
      </c>
    </row>
    <row r="922" customFormat="false" ht="15" hidden="false" customHeight="false" outlineLevel="0" collapsed="false">
      <c r="A922" s="2" t="n">
        <v>920</v>
      </c>
      <c r="B922" s="2" t="s">
        <v>2997</v>
      </c>
      <c r="C922" s="2" t="s">
        <v>2998</v>
      </c>
      <c r="D922" s="2" t="s">
        <v>2999</v>
      </c>
      <c r="E922" s="2" t="str">
        <f aca="false">LEFT(C922,3)</f>
        <v>741</v>
      </c>
      <c r="F922" s="2" t="str">
        <f aca="false">IF(D922="","",LEFT(D922,3))</f>
        <v>724</v>
      </c>
      <c r="G922" s="2" t="str">
        <f aca="false">IF(F922="","",IF(E922=F922,"Yes","No"))</f>
        <v>No</v>
      </c>
      <c r="H922" s="2" t="n">
        <f aca="false">IF(D922="",0,1/COUNTIF($D$2:$D$3451,D922))</f>
        <v>1</v>
      </c>
      <c r="I922" s="13" t="n">
        <f aca="false">IFERROR(INDEX('NCO-2015 scores'!$C$2:$C$131,MATCH(E922,'NCO-2015 scores'!$A$2:$A$131,0)),0)</f>
        <v>0.17</v>
      </c>
      <c r="J922" s="13" t="n">
        <f aca="false">IF(ISNUMBER(MATCH(E922,'NCO-2015 scores'!$A$2:$A$131,0)),IF(ISNUMBER(INDEX('NCO-2015 scores'!$C$2:$C$131,MATCH(E922,'NCO-2015 scores'!$A$2:$A$131,0))),1,0),0)</f>
        <v>1</v>
      </c>
    </row>
    <row r="923" customFormat="false" ht="15" hidden="false" customHeight="false" outlineLevel="0" collapsed="false">
      <c r="A923" s="2" t="n">
        <v>921</v>
      </c>
      <c r="B923" s="2" t="s">
        <v>3000</v>
      </c>
      <c r="C923" s="2" t="s">
        <v>3001</v>
      </c>
      <c r="D923" s="2" t="s">
        <v>3002</v>
      </c>
      <c r="E923" s="2" t="str">
        <f aca="false">LEFT(C923,3)</f>
        <v>741</v>
      </c>
      <c r="F923" s="2" t="str">
        <f aca="false">IF(D923="","",LEFT(D923,3))</f>
        <v>724</v>
      </c>
      <c r="G923" s="2" t="str">
        <f aca="false">IF(F923="","",IF(E923=F923,"Yes","No"))</f>
        <v>No</v>
      </c>
      <c r="H923" s="2" t="n">
        <f aca="false">IF(D923="",0,1/COUNTIF($D$2:$D$3451,D923))</f>
        <v>1</v>
      </c>
      <c r="I923" s="13" t="n">
        <f aca="false">IFERROR(INDEX('NCO-2015 scores'!$C$2:$C$131,MATCH(E923,'NCO-2015 scores'!$A$2:$A$131,0)),0)</f>
        <v>0.17</v>
      </c>
      <c r="J923" s="13" t="n">
        <f aca="false">IF(ISNUMBER(MATCH(E923,'NCO-2015 scores'!$A$2:$A$131,0)),IF(ISNUMBER(INDEX('NCO-2015 scores'!$C$2:$C$131,MATCH(E923,'NCO-2015 scores'!$A$2:$A$131,0))),1,0),0)</f>
        <v>1</v>
      </c>
    </row>
    <row r="924" customFormat="false" ht="15" hidden="false" customHeight="false" outlineLevel="0" collapsed="false">
      <c r="A924" s="2" t="n">
        <v>922</v>
      </c>
      <c r="B924" s="2" t="s">
        <v>3003</v>
      </c>
      <c r="C924" s="2" t="s">
        <v>3004</v>
      </c>
      <c r="D924" s="2" t="s">
        <v>3005</v>
      </c>
      <c r="E924" s="2" t="str">
        <f aca="false">LEFT(C924,3)</f>
        <v>741</v>
      </c>
      <c r="F924" s="2" t="str">
        <f aca="false">IF(D924="","",LEFT(D924,3))</f>
        <v>724</v>
      </c>
      <c r="G924" s="2" t="str">
        <f aca="false">IF(F924="","",IF(E924=F924,"Yes","No"))</f>
        <v>No</v>
      </c>
      <c r="H924" s="2" t="n">
        <f aca="false">IF(D924="",0,1/COUNTIF($D$2:$D$3451,D924))</f>
        <v>1</v>
      </c>
      <c r="I924" s="13" t="n">
        <f aca="false">IFERROR(INDEX('NCO-2015 scores'!$C$2:$C$131,MATCH(E924,'NCO-2015 scores'!$A$2:$A$131,0)),0)</f>
        <v>0.17</v>
      </c>
      <c r="J924" s="13" t="n">
        <f aca="false">IF(ISNUMBER(MATCH(E924,'NCO-2015 scores'!$A$2:$A$131,0)),IF(ISNUMBER(INDEX('NCO-2015 scores'!$C$2:$C$131,MATCH(E924,'NCO-2015 scores'!$A$2:$A$131,0))),1,0),0)</f>
        <v>1</v>
      </c>
    </row>
    <row r="925" customFormat="false" ht="15" hidden="false" customHeight="false" outlineLevel="0" collapsed="false">
      <c r="A925" s="2" t="n">
        <v>923</v>
      </c>
      <c r="B925" s="2" t="s">
        <v>3006</v>
      </c>
      <c r="C925" s="2" t="s">
        <v>3007</v>
      </c>
      <c r="D925" s="2" t="s">
        <v>3008</v>
      </c>
      <c r="E925" s="2" t="str">
        <f aca="false">LEFT(C925,3)</f>
        <v>741</v>
      </c>
      <c r="F925" s="2" t="str">
        <f aca="false">IF(D925="","",LEFT(D925,3))</f>
        <v>724</v>
      </c>
      <c r="G925" s="2" t="str">
        <f aca="false">IF(F925="","",IF(E925=F925,"Yes","No"))</f>
        <v>No</v>
      </c>
      <c r="H925" s="2" t="n">
        <f aca="false">IF(D925="",0,1/COUNTIF($D$2:$D$3451,D925))</f>
        <v>1</v>
      </c>
      <c r="I925" s="13" t="n">
        <f aca="false">IFERROR(INDEX('NCO-2015 scores'!$C$2:$C$131,MATCH(E925,'NCO-2015 scores'!$A$2:$A$131,0)),0)</f>
        <v>0.17</v>
      </c>
      <c r="J925" s="13" t="n">
        <f aca="false">IF(ISNUMBER(MATCH(E925,'NCO-2015 scores'!$A$2:$A$131,0)),IF(ISNUMBER(INDEX('NCO-2015 scores'!$C$2:$C$131,MATCH(E925,'NCO-2015 scores'!$A$2:$A$131,0))),1,0),0)</f>
        <v>1</v>
      </c>
    </row>
    <row r="926" customFormat="false" ht="15" hidden="false" customHeight="false" outlineLevel="0" collapsed="false">
      <c r="A926" s="2" t="n">
        <v>924</v>
      </c>
      <c r="B926" s="2" t="s">
        <v>3009</v>
      </c>
      <c r="C926" s="2" t="s">
        <v>3010</v>
      </c>
      <c r="D926" s="2" t="s">
        <v>3011</v>
      </c>
      <c r="E926" s="2" t="str">
        <f aca="false">LEFT(C926,3)</f>
        <v>741</v>
      </c>
      <c r="F926" s="2" t="str">
        <f aca="false">IF(D926="","",LEFT(D926,3))</f>
        <v>724</v>
      </c>
      <c r="G926" s="2" t="str">
        <f aca="false">IF(F926="","",IF(E926=F926,"Yes","No"))</f>
        <v>No</v>
      </c>
      <c r="H926" s="2" t="n">
        <f aca="false">IF(D926="",0,1/COUNTIF($D$2:$D$3451,D926))</f>
        <v>1</v>
      </c>
      <c r="I926" s="13" t="n">
        <f aca="false">IFERROR(INDEX('NCO-2015 scores'!$C$2:$C$131,MATCH(E926,'NCO-2015 scores'!$A$2:$A$131,0)),0)</f>
        <v>0.17</v>
      </c>
      <c r="J926" s="13" t="n">
        <f aca="false">IF(ISNUMBER(MATCH(E926,'NCO-2015 scores'!$A$2:$A$131,0)),IF(ISNUMBER(INDEX('NCO-2015 scores'!$C$2:$C$131,MATCH(E926,'NCO-2015 scores'!$A$2:$A$131,0))),1,0),0)</f>
        <v>1</v>
      </c>
    </row>
    <row r="927" customFormat="false" ht="15" hidden="false" customHeight="false" outlineLevel="0" collapsed="false">
      <c r="A927" s="2" t="n">
        <v>925</v>
      </c>
      <c r="B927" s="2" t="s">
        <v>3012</v>
      </c>
      <c r="C927" s="2" t="s">
        <v>3013</v>
      </c>
      <c r="D927" s="2"/>
      <c r="E927" s="2" t="str">
        <f aca="false">LEFT(C927,3)</f>
        <v>741</v>
      </c>
      <c r="F927" s="2" t="str">
        <f aca="false">IF(D927="","",LEFT(D927,3))</f>
        <v/>
      </c>
      <c r="G927" s="2" t="str">
        <f aca="false">IF(F927="","",IF(E927=F927,"Yes","No"))</f>
        <v/>
      </c>
      <c r="H927" s="2" t="n">
        <f aca="false">IF(D927="",0,1/COUNTIF($D$2:$D$3451,D927))</f>
        <v>0</v>
      </c>
      <c r="I927" s="13" t="n">
        <f aca="false">IFERROR(INDEX('NCO-2015 scores'!$C$2:$C$131,MATCH(E927,'NCO-2015 scores'!$A$2:$A$131,0)),0)</f>
        <v>0.17</v>
      </c>
      <c r="J927" s="13" t="n">
        <f aca="false">IF(ISNUMBER(MATCH(E927,'NCO-2015 scores'!$A$2:$A$131,0)),IF(ISNUMBER(INDEX('NCO-2015 scores'!$C$2:$C$131,MATCH(E927,'NCO-2015 scores'!$A$2:$A$131,0))),1,0),0)</f>
        <v>1</v>
      </c>
    </row>
    <row r="928" customFormat="false" ht="15" hidden="false" customHeight="false" outlineLevel="0" collapsed="false">
      <c r="A928" s="2" t="n">
        <v>926</v>
      </c>
      <c r="B928" s="2" t="s">
        <v>3014</v>
      </c>
      <c r="C928" s="2" t="s">
        <v>3015</v>
      </c>
      <c r="D928" s="2"/>
      <c r="E928" s="2" t="str">
        <f aca="false">LEFT(C928,3)</f>
        <v>741</v>
      </c>
      <c r="F928" s="2" t="str">
        <f aca="false">IF(D928="","",LEFT(D928,3))</f>
        <v/>
      </c>
      <c r="G928" s="2" t="str">
        <f aca="false">IF(F928="","",IF(E928=F928,"Yes","No"))</f>
        <v/>
      </c>
      <c r="H928" s="2" t="n">
        <f aca="false">IF(D928="",0,1/COUNTIF($D$2:$D$3451,D928))</f>
        <v>0</v>
      </c>
      <c r="I928" s="13" t="n">
        <f aca="false">IFERROR(INDEX('NCO-2015 scores'!$C$2:$C$131,MATCH(E928,'NCO-2015 scores'!$A$2:$A$131,0)),0)</f>
        <v>0.17</v>
      </c>
      <c r="J928" s="13" t="n">
        <f aca="false">IF(ISNUMBER(MATCH(E928,'NCO-2015 scores'!$A$2:$A$131,0)),IF(ISNUMBER(INDEX('NCO-2015 scores'!$C$2:$C$131,MATCH(E928,'NCO-2015 scores'!$A$2:$A$131,0))),1,0),0)</f>
        <v>1</v>
      </c>
    </row>
    <row r="929" customFormat="false" ht="15" hidden="false" customHeight="false" outlineLevel="0" collapsed="false">
      <c r="A929" s="2" t="n">
        <v>927</v>
      </c>
      <c r="B929" s="2" t="s">
        <v>3016</v>
      </c>
      <c r="C929" s="2" t="s">
        <v>3017</v>
      </c>
      <c r="D929" s="2" t="s">
        <v>3018</v>
      </c>
      <c r="E929" s="2" t="str">
        <f aca="false">LEFT(C929,3)</f>
        <v>741</v>
      </c>
      <c r="F929" s="2" t="str">
        <f aca="false">IF(D929="","",LEFT(D929,3))</f>
        <v>724</v>
      </c>
      <c r="G929" s="2" t="str">
        <f aca="false">IF(F929="","",IF(E929=F929,"Yes","No"))</f>
        <v>No</v>
      </c>
      <c r="H929" s="2" t="n">
        <f aca="false">IF(D929="",0,1/COUNTIF($D$2:$D$3451,D929))</f>
        <v>1</v>
      </c>
      <c r="I929" s="13" t="n">
        <f aca="false">IFERROR(INDEX('NCO-2015 scores'!$C$2:$C$131,MATCH(E929,'NCO-2015 scores'!$A$2:$A$131,0)),0)</f>
        <v>0.17</v>
      </c>
      <c r="J929" s="13" t="n">
        <f aca="false">IF(ISNUMBER(MATCH(E929,'NCO-2015 scores'!$A$2:$A$131,0)),IF(ISNUMBER(INDEX('NCO-2015 scores'!$C$2:$C$131,MATCH(E929,'NCO-2015 scores'!$A$2:$A$131,0))),1,0),0)</f>
        <v>1</v>
      </c>
    </row>
    <row r="930" customFormat="false" ht="15" hidden="false" customHeight="false" outlineLevel="0" collapsed="false">
      <c r="A930" s="2" t="n">
        <v>928</v>
      </c>
      <c r="B930" s="2" t="s">
        <v>3019</v>
      </c>
      <c r="C930" s="2" t="s">
        <v>3020</v>
      </c>
      <c r="D930" s="2"/>
      <c r="E930" s="2" t="str">
        <f aca="false">LEFT(C930,3)</f>
        <v>741</v>
      </c>
      <c r="F930" s="2" t="str">
        <f aca="false">IF(D930="","",LEFT(D930,3))</f>
        <v/>
      </c>
      <c r="G930" s="2" t="str">
        <f aca="false">IF(F930="","",IF(E930=F930,"Yes","No"))</f>
        <v/>
      </c>
      <c r="H930" s="2" t="n">
        <f aca="false">IF(D930="",0,1/COUNTIF($D$2:$D$3451,D930))</f>
        <v>0</v>
      </c>
      <c r="I930" s="13" t="n">
        <f aca="false">IFERROR(INDEX('NCO-2015 scores'!$C$2:$C$131,MATCH(E930,'NCO-2015 scores'!$A$2:$A$131,0)),0)</f>
        <v>0.17</v>
      </c>
      <c r="J930" s="13" t="n">
        <f aca="false">IF(ISNUMBER(MATCH(E930,'NCO-2015 scores'!$A$2:$A$131,0)),IF(ISNUMBER(INDEX('NCO-2015 scores'!$C$2:$C$131,MATCH(E930,'NCO-2015 scores'!$A$2:$A$131,0))),1,0),0)</f>
        <v>1</v>
      </c>
    </row>
    <row r="931" customFormat="false" ht="15" hidden="false" customHeight="false" outlineLevel="0" collapsed="false">
      <c r="A931" s="2" t="n">
        <v>929</v>
      </c>
      <c r="B931" s="2" t="s">
        <v>3021</v>
      </c>
      <c r="C931" s="2" t="s">
        <v>3022</v>
      </c>
      <c r="D931" s="2"/>
      <c r="E931" s="2" t="str">
        <f aca="false">LEFT(C931,3)</f>
        <v>741</v>
      </c>
      <c r="F931" s="2" t="str">
        <f aca="false">IF(D931="","",LEFT(D931,3))</f>
        <v/>
      </c>
      <c r="G931" s="2" t="str">
        <f aca="false">IF(F931="","",IF(E931=F931,"Yes","No"))</f>
        <v/>
      </c>
      <c r="H931" s="2" t="n">
        <f aca="false">IF(D931="",0,1/COUNTIF($D$2:$D$3451,D931))</f>
        <v>0</v>
      </c>
      <c r="I931" s="13" t="n">
        <f aca="false">IFERROR(INDEX('NCO-2015 scores'!$C$2:$C$131,MATCH(E931,'NCO-2015 scores'!$A$2:$A$131,0)),0)</f>
        <v>0.17</v>
      </c>
      <c r="J931" s="13" t="n">
        <f aca="false">IF(ISNUMBER(MATCH(E931,'NCO-2015 scores'!$A$2:$A$131,0)),IF(ISNUMBER(INDEX('NCO-2015 scores'!$C$2:$C$131,MATCH(E931,'NCO-2015 scores'!$A$2:$A$131,0))),1,0),0)</f>
        <v>1</v>
      </c>
    </row>
    <row r="932" customFormat="false" ht="15" hidden="false" customHeight="false" outlineLevel="0" collapsed="false">
      <c r="A932" s="2" t="n">
        <v>930</v>
      </c>
      <c r="B932" s="2" t="s">
        <v>3023</v>
      </c>
      <c r="C932" s="2" t="s">
        <v>3024</v>
      </c>
      <c r="D932" s="2"/>
      <c r="E932" s="2" t="str">
        <f aca="false">LEFT(C932,3)</f>
        <v>741</v>
      </c>
      <c r="F932" s="2" t="str">
        <f aca="false">IF(D932="","",LEFT(D932,3))</f>
        <v/>
      </c>
      <c r="G932" s="2" t="str">
        <f aca="false">IF(F932="","",IF(E932=F932,"Yes","No"))</f>
        <v/>
      </c>
      <c r="H932" s="2" t="n">
        <f aca="false">IF(D932="",0,1/COUNTIF($D$2:$D$3451,D932))</f>
        <v>0</v>
      </c>
      <c r="I932" s="13" t="n">
        <f aca="false">IFERROR(INDEX('NCO-2015 scores'!$C$2:$C$131,MATCH(E932,'NCO-2015 scores'!$A$2:$A$131,0)),0)</f>
        <v>0.17</v>
      </c>
      <c r="J932" s="13" t="n">
        <f aca="false">IF(ISNUMBER(MATCH(E932,'NCO-2015 scores'!$A$2:$A$131,0)),IF(ISNUMBER(INDEX('NCO-2015 scores'!$C$2:$C$131,MATCH(E932,'NCO-2015 scores'!$A$2:$A$131,0))),1,0),0)</f>
        <v>1</v>
      </c>
    </row>
    <row r="933" customFormat="false" ht="15" hidden="false" customHeight="false" outlineLevel="0" collapsed="false">
      <c r="A933" s="2" t="n">
        <v>931</v>
      </c>
      <c r="B933" s="2" t="s">
        <v>3025</v>
      </c>
      <c r="C933" s="2" t="s">
        <v>3026</v>
      </c>
      <c r="D933" s="2" t="s">
        <v>3027</v>
      </c>
      <c r="E933" s="2" t="str">
        <f aca="false">LEFT(C933,3)</f>
        <v>741</v>
      </c>
      <c r="F933" s="2" t="str">
        <f aca="false">IF(D933="","",LEFT(D933,3))</f>
        <v>724</v>
      </c>
      <c r="G933" s="2" t="str">
        <f aca="false">IF(F933="","",IF(E933=F933,"Yes","No"))</f>
        <v>No</v>
      </c>
      <c r="H933" s="2" t="n">
        <f aca="false">IF(D933="",0,1/COUNTIF($D$2:$D$3451,D933))</f>
        <v>1</v>
      </c>
      <c r="I933" s="13" t="n">
        <f aca="false">IFERROR(INDEX('NCO-2015 scores'!$C$2:$C$131,MATCH(E933,'NCO-2015 scores'!$A$2:$A$131,0)),0)</f>
        <v>0.17</v>
      </c>
      <c r="J933" s="13" t="n">
        <f aca="false">IF(ISNUMBER(MATCH(E933,'NCO-2015 scores'!$A$2:$A$131,0)),IF(ISNUMBER(INDEX('NCO-2015 scores'!$C$2:$C$131,MATCH(E933,'NCO-2015 scores'!$A$2:$A$131,0))),1,0),0)</f>
        <v>1</v>
      </c>
    </row>
    <row r="934" customFormat="false" ht="15" hidden="false" customHeight="false" outlineLevel="0" collapsed="false">
      <c r="A934" s="2" t="n">
        <v>932</v>
      </c>
      <c r="B934" s="2" t="s">
        <v>3028</v>
      </c>
      <c r="C934" s="2" t="s">
        <v>3029</v>
      </c>
      <c r="D934" s="2"/>
      <c r="E934" s="2" t="str">
        <f aca="false">LEFT(C934,3)</f>
        <v>741</v>
      </c>
      <c r="F934" s="2" t="str">
        <f aca="false">IF(D934="","",LEFT(D934,3))</f>
        <v/>
      </c>
      <c r="G934" s="2" t="str">
        <f aca="false">IF(F934="","",IF(E934=F934,"Yes","No"))</f>
        <v/>
      </c>
      <c r="H934" s="2" t="n">
        <f aca="false">IF(D934="",0,1/COUNTIF($D$2:$D$3451,D934))</f>
        <v>0</v>
      </c>
      <c r="I934" s="13" t="n">
        <f aca="false">IFERROR(INDEX('NCO-2015 scores'!$C$2:$C$131,MATCH(E934,'NCO-2015 scores'!$A$2:$A$131,0)),0)</f>
        <v>0.17</v>
      </c>
      <c r="J934" s="13" t="n">
        <f aca="false">IF(ISNUMBER(MATCH(E934,'NCO-2015 scores'!$A$2:$A$131,0)),IF(ISNUMBER(INDEX('NCO-2015 scores'!$C$2:$C$131,MATCH(E934,'NCO-2015 scores'!$A$2:$A$131,0))),1,0),0)</f>
        <v>1</v>
      </c>
    </row>
    <row r="935" customFormat="false" ht="15" hidden="false" customHeight="false" outlineLevel="0" collapsed="false">
      <c r="A935" s="2" t="n">
        <v>933</v>
      </c>
      <c r="B935" s="2" t="s">
        <v>3030</v>
      </c>
      <c r="C935" s="2" t="s">
        <v>3031</v>
      </c>
      <c r="D935" s="2"/>
      <c r="E935" s="2" t="str">
        <f aca="false">LEFT(C935,3)</f>
        <v>741</v>
      </c>
      <c r="F935" s="2" t="str">
        <f aca="false">IF(D935="","",LEFT(D935,3))</f>
        <v/>
      </c>
      <c r="G935" s="2" t="str">
        <f aca="false">IF(F935="","",IF(E935=F935,"Yes","No"))</f>
        <v/>
      </c>
      <c r="H935" s="2" t="n">
        <f aca="false">IF(D935="",0,1/COUNTIF($D$2:$D$3451,D935))</f>
        <v>0</v>
      </c>
      <c r="I935" s="13" t="n">
        <f aca="false">IFERROR(INDEX('NCO-2015 scores'!$C$2:$C$131,MATCH(E935,'NCO-2015 scores'!$A$2:$A$131,0)),0)</f>
        <v>0.17</v>
      </c>
      <c r="J935" s="13" t="n">
        <f aca="false">IF(ISNUMBER(MATCH(E935,'NCO-2015 scores'!$A$2:$A$131,0)),IF(ISNUMBER(INDEX('NCO-2015 scores'!$C$2:$C$131,MATCH(E935,'NCO-2015 scores'!$A$2:$A$131,0))),1,0),0)</f>
        <v>1</v>
      </c>
    </row>
    <row r="936" customFormat="false" ht="15" hidden="false" customHeight="false" outlineLevel="0" collapsed="false">
      <c r="A936" s="2" t="n">
        <v>934</v>
      </c>
      <c r="B936" s="2" t="s">
        <v>3032</v>
      </c>
      <c r="C936" s="2" t="s">
        <v>3033</v>
      </c>
      <c r="D936" s="2"/>
      <c r="E936" s="2" t="str">
        <f aca="false">LEFT(C936,3)</f>
        <v>741</v>
      </c>
      <c r="F936" s="2" t="str">
        <f aca="false">IF(D936="","",LEFT(D936,3))</f>
        <v/>
      </c>
      <c r="G936" s="2" t="str">
        <f aca="false">IF(F936="","",IF(E936=F936,"Yes","No"))</f>
        <v/>
      </c>
      <c r="H936" s="2" t="n">
        <f aca="false">IF(D936="",0,1/COUNTIF($D$2:$D$3451,D936))</f>
        <v>0</v>
      </c>
      <c r="I936" s="13" t="n">
        <f aca="false">IFERROR(INDEX('NCO-2015 scores'!$C$2:$C$131,MATCH(E936,'NCO-2015 scores'!$A$2:$A$131,0)),0)</f>
        <v>0.17</v>
      </c>
      <c r="J936" s="13" t="n">
        <f aca="false">IF(ISNUMBER(MATCH(E936,'NCO-2015 scores'!$A$2:$A$131,0)),IF(ISNUMBER(INDEX('NCO-2015 scores'!$C$2:$C$131,MATCH(E936,'NCO-2015 scores'!$A$2:$A$131,0))),1,0),0)</f>
        <v>1</v>
      </c>
    </row>
    <row r="937" customFormat="false" ht="15" hidden="false" customHeight="false" outlineLevel="0" collapsed="false">
      <c r="A937" s="2" t="n">
        <v>935</v>
      </c>
      <c r="B937" s="2" t="s">
        <v>3034</v>
      </c>
      <c r="C937" s="2" t="s">
        <v>3035</v>
      </c>
      <c r="D937" s="2"/>
      <c r="E937" s="2" t="str">
        <f aca="false">LEFT(C937,3)</f>
        <v>742</v>
      </c>
      <c r="F937" s="2" t="str">
        <f aca="false">IF(D937="","",LEFT(D937,3))</f>
        <v/>
      </c>
      <c r="G937" s="2" t="str">
        <f aca="false">IF(F937="","",IF(E937=F937,"Yes","No"))</f>
        <v/>
      </c>
      <c r="H937" s="2" t="n">
        <f aca="false">IF(D937="",0,1/COUNTIF($D$2:$D$3451,D937))</f>
        <v>0</v>
      </c>
      <c r="I937" s="13" t="n">
        <f aca="false">IFERROR(INDEX('NCO-2015 scores'!$C$2:$C$131,MATCH(E937,'NCO-2015 scores'!$A$2:$A$131,0)),0)</f>
        <v>0.245</v>
      </c>
      <c r="J937" s="13" t="n">
        <f aca="false">IF(ISNUMBER(MATCH(E937,'NCO-2015 scores'!$A$2:$A$131,0)),IF(ISNUMBER(INDEX('NCO-2015 scores'!$C$2:$C$131,MATCH(E937,'NCO-2015 scores'!$A$2:$A$131,0))),1,0),0)</f>
        <v>1</v>
      </c>
    </row>
    <row r="938" customFormat="false" ht="15" hidden="false" customHeight="false" outlineLevel="0" collapsed="false">
      <c r="A938" s="2" t="n">
        <v>936</v>
      </c>
      <c r="B938" s="2" t="s">
        <v>3036</v>
      </c>
      <c r="C938" s="2" t="s">
        <v>3037</v>
      </c>
      <c r="D938" s="2"/>
      <c r="E938" s="2" t="str">
        <f aca="false">LEFT(C938,3)</f>
        <v>742</v>
      </c>
      <c r="F938" s="2" t="str">
        <f aca="false">IF(D938="","",LEFT(D938,3))</f>
        <v/>
      </c>
      <c r="G938" s="2" t="str">
        <f aca="false">IF(F938="","",IF(E938=F938,"Yes","No"))</f>
        <v/>
      </c>
      <c r="H938" s="2" t="n">
        <f aca="false">IF(D938="",0,1/COUNTIF($D$2:$D$3451,D938))</f>
        <v>0</v>
      </c>
      <c r="I938" s="13" t="n">
        <f aca="false">IFERROR(INDEX('NCO-2015 scores'!$C$2:$C$131,MATCH(E938,'NCO-2015 scores'!$A$2:$A$131,0)),0)</f>
        <v>0.245</v>
      </c>
      <c r="J938" s="13" t="n">
        <f aca="false">IF(ISNUMBER(MATCH(E938,'NCO-2015 scores'!$A$2:$A$131,0)),IF(ISNUMBER(INDEX('NCO-2015 scores'!$C$2:$C$131,MATCH(E938,'NCO-2015 scores'!$A$2:$A$131,0))),1,0),0)</f>
        <v>1</v>
      </c>
    </row>
    <row r="939" customFormat="false" ht="15" hidden="false" customHeight="false" outlineLevel="0" collapsed="false">
      <c r="A939" s="2" t="n">
        <v>937</v>
      </c>
      <c r="B939" s="2" t="s">
        <v>3038</v>
      </c>
      <c r="C939" s="2" t="s">
        <v>3039</v>
      </c>
      <c r="D939" s="2"/>
      <c r="E939" s="2" t="str">
        <f aca="false">LEFT(C939,3)</f>
        <v>742</v>
      </c>
      <c r="F939" s="2" t="str">
        <f aca="false">IF(D939="","",LEFT(D939,3))</f>
        <v/>
      </c>
      <c r="G939" s="2" t="str">
        <f aca="false">IF(F939="","",IF(E939=F939,"Yes","No"))</f>
        <v/>
      </c>
      <c r="H939" s="2" t="n">
        <f aca="false">IF(D939="",0,1/COUNTIF($D$2:$D$3451,D939))</f>
        <v>0</v>
      </c>
      <c r="I939" s="13" t="n">
        <f aca="false">IFERROR(INDEX('NCO-2015 scores'!$C$2:$C$131,MATCH(E939,'NCO-2015 scores'!$A$2:$A$131,0)),0)</f>
        <v>0.245</v>
      </c>
      <c r="J939" s="13" t="n">
        <f aca="false">IF(ISNUMBER(MATCH(E939,'NCO-2015 scores'!$A$2:$A$131,0)),IF(ISNUMBER(INDEX('NCO-2015 scores'!$C$2:$C$131,MATCH(E939,'NCO-2015 scores'!$A$2:$A$131,0))),1,0),0)</f>
        <v>1</v>
      </c>
    </row>
    <row r="940" customFormat="false" ht="15" hidden="false" customHeight="false" outlineLevel="0" collapsed="false">
      <c r="A940" s="2" t="n">
        <v>938</v>
      </c>
      <c r="B940" s="2" t="s">
        <v>3040</v>
      </c>
      <c r="C940" s="2" t="s">
        <v>3041</v>
      </c>
      <c r="D940" s="2"/>
      <c r="E940" s="2" t="str">
        <f aca="false">LEFT(C940,3)</f>
        <v>742</v>
      </c>
      <c r="F940" s="2" t="str">
        <f aca="false">IF(D940="","",LEFT(D940,3))</f>
        <v/>
      </c>
      <c r="G940" s="2" t="str">
        <f aca="false">IF(F940="","",IF(E940=F940,"Yes","No"))</f>
        <v/>
      </c>
      <c r="H940" s="2" t="n">
        <f aca="false">IF(D940="",0,1/COUNTIF($D$2:$D$3451,D940))</f>
        <v>0</v>
      </c>
      <c r="I940" s="13" t="n">
        <f aca="false">IFERROR(INDEX('NCO-2015 scores'!$C$2:$C$131,MATCH(E940,'NCO-2015 scores'!$A$2:$A$131,0)),0)</f>
        <v>0.245</v>
      </c>
      <c r="J940" s="13" t="n">
        <f aca="false">IF(ISNUMBER(MATCH(E940,'NCO-2015 scores'!$A$2:$A$131,0)),IF(ISNUMBER(INDEX('NCO-2015 scores'!$C$2:$C$131,MATCH(E940,'NCO-2015 scores'!$A$2:$A$131,0))),1,0),0)</f>
        <v>1</v>
      </c>
    </row>
    <row r="941" customFormat="false" ht="15" hidden="false" customHeight="false" outlineLevel="0" collapsed="false">
      <c r="A941" s="2" t="n">
        <v>939</v>
      </c>
      <c r="B941" s="2" t="s">
        <v>3042</v>
      </c>
      <c r="C941" s="2" t="s">
        <v>3043</v>
      </c>
      <c r="D941" s="2"/>
      <c r="E941" s="2" t="str">
        <f aca="false">LEFT(C941,3)</f>
        <v>742</v>
      </c>
      <c r="F941" s="2" t="str">
        <f aca="false">IF(D941="","",LEFT(D941,3))</f>
        <v/>
      </c>
      <c r="G941" s="2" t="str">
        <f aca="false">IF(F941="","",IF(E941=F941,"Yes","No"))</f>
        <v/>
      </c>
      <c r="H941" s="2" t="n">
        <f aca="false">IF(D941="",0,1/COUNTIF($D$2:$D$3451,D941))</f>
        <v>0</v>
      </c>
      <c r="I941" s="13" t="n">
        <f aca="false">IFERROR(INDEX('NCO-2015 scores'!$C$2:$C$131,MATCH(E941,'NCO-2015 scores'!$A$2:$A$131,0)),0)</f>
        <v>0.245</v>
      </c>
      <c r="J941" s="13" t="n">
        <f aca="false">IF(ISNUMBER(MATCH(E941,'NCO-2015 scores'!$A$2:$A$131,0)),IF(ISNUMBER(INDEX('NCO-2015 scores'!$C$2:$C$131,MATCH(E941,'NCO-2015 scores'!$A$2:$A$131,0))),1,0),0)</f>
        <v>1</v>
      </c>
    </row>
    <row r="942" customFormat="false" ht="15" hidden="false" customHeight="false" outlineLevel="0" collapsed="false">
      <c r="A942" s="2" t="n">
        <v>940</v>
      </c>
      <c r="B942" s="2" t="s">
        <v>3044</v>
      </c>
      <c r="C942" s="2" t="s">
        <v>3045</v>
      </c>
      <c r="D942" s="2"/>
      <c r="E942" s="2" t="str">
        <f aca="false">LEFT(C942,3)</f>
        <v>742</v>
      </c>
      <c r="F942" s="2" t="str">
        <f aca="false">IF(D942="","",LEFT(D942,3))</f>
        <v/>
      </c>
      <c r="G942" s="2" t="str">
        <f aca="false">IF(F942="","",IF(E942=F942,"Yes","No"))</f>
        <v/>
      </c>
      <c r="H942" s="2" t="n">
        <f aca="false">IF(D942="",0,1/COUNTIF($D$2:$D$3451,D942))</f>
        <v>0</v>
      </c>
      <c r="I942" s="13" t="n">
        <f aca="false">IFERROR(INDEX('NCO-2015 scores'!$C$2:$C$131,MATCH(E942,'NCO-2015 scores'!$A$2:$A$131,0)),0)</f>
        <v>0.245</v>
      </c>
      <c r="J942" s="13" t="n">
        <f aca="false">IF(ISNUMBER(MATCH(E942,'NCO-2015 scores'!$A$2:$A$131,0)),IF(ISNUMBER(INDEX('NCO-2015 scores'!$C$2:$C$131,MATCH(E942,'NCO-2015 scores'!$A$2:$A$131,0))),1,0),0)</f>
        <v>1</v>
      </c>
    </row>
    <row r="943" customFormat="false" ht="15" hidden="false" customHeight="false" outlineLevel="0" collapsed="false">
      <c r="A943" s="2" t="n">
        <v>941</v>
      </c>
      <c r="B943" s="2" t="s">
        <v>3046</v>
      </c>
      <c r="C943" s="2" t="s">
        <v>3047</v>
      </c>
      <c r="D943" s="2"/>
      <c r="E943" s="2" t="str">
        <f aca="false">LEFT(C943,3)</f>
        <v>742</v>
      </c>
      <c r="F943" s="2" t="str">
        <f aca="false">IF(D943="","",LEFT(D943,3))</f>
        <v/>
      </c>
      <c r="G943" s="2" t="str">
        <f aca="false">IF(F943="","",IF(E943=F943,"Yes","No"))</f>
        <v/>
      </c>
      <c r="H943" s="2" t="n">
        <f aca="false">IF(D943="",0,1/COUNTIF($D$2:$D$3451,D943))</f>
        <v>0</v>
      </c>
      <c r="I943" s="13" t="n">
        <f aca="false">IFERROR(INDEX('NCO-2015 scores'!$C$2:$C$131,MATCH(E943,'NCO-2015 scores'!$A$2:$A$131,0)),0)</f>
        <v>0.245</v>
      </c>
      <c r="J943" s="13" t="n">
        <f aca="false">IF(ISNUMBER(MATCH(E943,'NCO-2015 scores'!$A$2:$A$131,0)),IF(ISNUMBER(INDEX('NCO-2015 scores'!$C$2:$C$131,MATCH(E943,'NCO-2015 scores'!$A$2:$A$131,0))),1,0),0)</f>
        <v>1</v>
      </c>
    </row>
    <row r="944" customFormat="false" ht="15" hidden="false" customHeight="false" outlineLevel="0" collapsed="false">
      <c r="A944" s="2" t="n">
        <v>942</v>
      </c>
      <c r="B944" s="2" t="s">
        <v>3048</v>
      </c>
      <c r="C944" s="2" t="s">
        <v>3049</v>
      </c>
      <c r="D944" s="2" t="s">
        <v>3050</v>
      </c>
      <c r="E944" s="2" t="str">
        <f aca="false">LEFT(C944,3)</f>
        <v>742</v>
      </c>
      <c r="F944" s="2" t="str">
        <f aca="false">IF(D944="","",LEFT(D944,3))</f>
        <v>724</v>
      </c>
      <c r="G944" s="2" t="str">
        <f aca="false">IF(F944="","",IF(E944=F944,"Yes","No"))</f>
        <v>No</v>
      </c>
      <c r="H944" s="2" t="n">
        <f aca="false">IF(D944="",0,1/COUNTIF($D$2:$D$3451,D944))</f>
        <v>1</v>
      </c>
      <c r="I944" s="13" t="n">
        <f aca="false">IFERROR(INDEX('NCO-2015 scores'!$C$2:$C$131,MATCH(E944,'NCO-2015 scores'!$A$2:$A$131,0)),0)</f>
        <v>0.245</v>
      </c>
      <c r="J944" s="13" t="n">
        <f aca="false">IF(ISNUMBER(MATCH(E944,'NCO-2015 scores'!$A$2:$A$131,0)),IF(ISNUMBER(INDEX('NCO-2015 scores'!$C$2:$C$131,MATCH(E944,'NCO-2015 scores'!$A$2:$A$131,0))),1,0),0)</f>
        <v>1</v>
      </c>
    </row>
    <row r="945" customFormat="false" ht="15" hidden="false" customHeight="false" outlineLevel="0" collapsed="false">
      <c r="A945" s="2" t="n">
        <v>943</v>
      </c>
      <c r="B945" s="2" t="s">
        <v>3051</v>
      </c>
      <c r="C945" s="2" t="s">
        <v>3052</v>
      </c>
      <c r="D945" s="2"/>
      <c r="E945" s="2" t="str">
        <f aca="false">LEFT(C945,3)</f>
        <v>742</v>
      </c>
      <c r="F945" s="2" t="str">
        <f aca="false">IF(D945="","",LEFT(D945,3))</f>
        <v/>
      </c>
      <c r="G945" s="2" t="str">
        <f aca="false">IF(F945="","",IF(E945=F945,"Yes","No"))</f>
        <v/>
      </c>
      <c r="H945" s="2" t="n">
        <f aca="false">IF(D945="",0,1/COUNTIF($D$2:$D$3451,D945))</f>
        <v>0</v>
      </c>
      <c r="I945" s="13" t="n">
        <f aca="false">IFERROR(INDEX('NCO-2015 scores'!$C$2:$C$131,MATCH(E945,'NCO-2015 scores'!$A$2:$A$131,0)),0)</f>
        <v>0.245</v>
      </c>
      <c r="J945" s="13" t="n">
        <f aca="false">IF(ISNUMBER(MATCH(E945,'NCO-2015 scores'!$A$2:$A$131,0)),IF(ISNUMBER(INDEX('NCO-2015 scores'!$C$2:$C$131,MATCH(E945,'NCO-2015 scores'!$A$2:$A$131,0))),1,0),0)</f>
        <v>1</v>
      </c>
    </row>
    <row r="946" customFormat="false" ht="15" hidden="false" customHeight="false" outlineLevel="0" collapsed="false">
      <c r="A946" s="2" t="n">
        <v>944</v>
      </c>
      <c r="B946" s="2" t="s">
        <v>3053</v>
      </c>
      <c r="C946" s="2" t="s">
        <v>3054</v>
      </c>
      <c r="D946" s="2" t="s">
        <v>3055</v>
      </c>
      <c r="E946" s="2" t="str">
        <f aca="false">LEFT(C946,3)</f>
        <v>742</v>
      </c>
      <c r="F946" s="2" t="str">
        <f aca="false">IF(D946="","",LEFT(D946,3))</f>
        <v>724</v>
      </c>
      <c r="G946" s="2" t="str">
        <f aca="false">IF(F946="","",IF(E946=F946,"Yes","No"))</f>
        <v>No</v>
      </c>
      <c r="H946" s="2" t="n">
        <f aca="false">IF(D946="",0,1/COUNTIF($D$2:$D$3451,D946))</f>
        <v>1</v>
      </c>
      <c r="I946" s="13" t="n">
        <f aca="false">IFERROR(INDEX('NCO-2015 scores'!$C$2:$C$131,MATCH(E946,'NCO-2015 scores'!$A$2:$A$131,0)),0)</f>
        <v>0.245</v>
      </c>
      <c r="J946" s="13" t="n">
        <f aca="false">IF(ISNUMBER(MATCH(E946,'NCO-2015 scores'!$A$2:$A$131,0)),IF(ISNUMBER(INDEX('NCO-2015 scores'!$C$2:$C$131,MATCH(E946,'NCO-2015 scores'!$A$2:$A$131,0))),1,0),0)</f>
        <v>1</v>
      </c>
    </row>
    <row r="947" customFormat="false" ht="15" hidden="false" customHeight="false" outlineLevel="0" collapsed="false">
      <c r="A947" s="2" t="n">
        <v>945</v>
      </c>
      <c r="B947" s="2" t="s">
        <v>3056</v>
      </c>
      <c r="C947" s="2" t="s">
        <v>3057</v>
      </c>
      <c r="D947" s="2"/>
      <c r="E947" s="2" t="str">
        <f aca="false">LEFT(C947,3)</f>
        <v>742</v>
      </c>
      <c r="F947" s="2" t="str">
        <f aca="false">IF(D947="","",LEFT(D947,3))</f>
        <v/>
      </c>
      <c r="G947" s="2" t="str">
        <f aca="false">IF(F947="","",IF(E947=F947,"Yes","No"))</f>
        <v/>
      </c>
      <c r="H947" s="2" t="n">
        <f aca="false">IF(D947="",0,1/COUNTIF($D$2:$D$3451,D947))</f>
        <v>0</v>
      </c>
      <c r="I947" s="13" t="n">
        <f aca="false">IFERROR(INDEX('NCO-2015 scores'!$C$2:$C$131,MATCH(E947,'NCO-2015 scores'!$A$2:$A$131,0)),0)</f>
        <v>0.245</v>
      </c>
      <c r="J947" s="13" t="n">
        <f aca="false">IF(ISNUMBER(MATCH(E947,'NCO-2015 scores'!$A$2:$A$131,0)),IF(ISNUMBER(INDEX('NCO-2015 scores'!$C$2:$C$131,MATCH(E947,'NCO-2015 scores'!$A$2:$A$131,0))),1,0),0)</f>
        <v>1</v>
      </c>
    </row>
    <row r="948" customFormat="false" ht="15" hidden="false" customHeight="false" outlineLevel="0" collapsed="false">
      <c r="A948" s="2" t="n">
        <v>946</v>
      </c>
      <c r="B948" s="2" t="s">
        <v>3058</v>
      </c>
      <c r="C948" s="2" t="s">
        <v>3059</v>
      </c>
      <c r="D948" s="2"/>
      <c r="E948" s="2" t="str">
        <f aca="false">LEFT(C948,3)</f>
        <v>742</v>
      </c>
      <c r="F948" s="2" t="str">
        <f aca="false">IF(D948="","",LEFT(D948,3))</f>
        <v/>
      </c>
      <c r="G948" s="2" t="str">
        <f aca="false">IF(F948="","",IF(E948=F948,"Yes","No"))</f>
        <v/>
      </c>
      <c r="H948" s="2" t="n">
        <f aca="false">IF(D948="",0,1/COUNTIF($D$2:$D$3451,D948))</f>
        <v>0</v>
      </c>
      <c r="I948" s="13" t="n">
        <f aca="false">IFERROR(INDEX('NCO-2015 scores'!$C$2:$C$131,MATCH(E948,'NCO-2015 scores'!$A$2:$A$131,0)),0)</f>
        <v>0.245</v>
      </c>
      <c r="J948" s="13" t="n">
        <f aca="false">IF(ISNUMBER(MATCH(E948,'NCO-2015 scores'!$A$2:$A$131,0)),IF(ISNUMBER(INDEX('NCO-2015 scores'!$C$2:$C$131,MATCH(E948,'NCO-2015 scores'!$A$2:$A$131,0))),1,0),0)</f>
        <v>1</v>
      </c>
    </row>
    <row r="949" customFormat="false" ht="15" hidden="false" customHeight="false" outlineLevel="0" collapsed="false">
      <c r="A949" s="2" t="n">
        <v>947</v>
      </c>
      <c r="B949" s="2" t="s">
        <v>3060</v>
      </c>
      <c r="C949" s="2" t="s">
        <v>3061</v>
      </c>
      <c r="D949" s="2"/>
      <c r="E949" s="2" t="str">
        <f aca="false">LEFT(C949,3)</f>
        <v>742</v>
      </c>
      <c r="F949" s="2" t="str">
        <f aca="false">IF(D949="","",LEFT(D949,3))</f>
        <v/>
      </c>
      <c r="G949" s="2" t="str">
        <f aca="false">IF(F949="","",IF(E949=F949,"Yes","No"))</f>
        <v/>
      </c>
      <c r="H949" s="2" t="n">
        <f aca="false">IF(D949="",0,1/COUNTIF($D$2:$D$3451,D949))</f>
        <v>0</v>
      </c>
      <c r="I949" s="13" t="n">
        <f aca="false">IFERROR(INDEX('NCO-2015 scores'!$C$2:$C$131,MATCH(E949,'NCO-2015 scores'!$A$2:$A$131,0)),0)</f>
        <v>0.245</v>
      </c>
      <c r="J949" s="13" t="n">
        <f aca="false">IF(ISNUMBER(MATCH(E949,'NCO-2015 scores'!$A$2:$A$131,0)),IF(ISNUMBER(INDEX('NCO-2015 scores'!$C$2:$C$131,MATCH(E949,'NCO-2015 scores'!$A$2:$A$131,0))),1,0),0)</f>
        <v>1</v>
      </c>
    </row>
    <row r="950" customFormat="false" ht="15" hidden="false" customHeight="false" outlineLevel="0" collapsed="false">
      <c r="A950" s="2" t="n">
        <v>948</v>
      </c>
      <c r="B950" s="2" t="s">
        <v>3062</v>
      </c>
      <c r="C950" s="2" t="s">
        <v>3063</v>
      </c>
      <c r="D950" s="2"/>
      <c r="E950" s="2" t="str">
        <f aca="false">LEFT(C950,3)</f>
        <v>742</v>
      </c>
      <c r="F950" s="2" t="str">
        <f aca="false">IF(D950="","",LEFT(D950,3))</f>
        <v/>
      </c>
      <c r="G950" s="2" t="str">
        <f aca="false">IF(F950="","",IF(E950=F950,"Yes","No"))</f>
        <v/>
      </c>
      <c r="H950" s="2" t="n">
        <f aca="false">IF(D950="",0,1/COUNTIF($D$2:$D$3451,D950))</f>
        <v>0</v>
      </c>
      <c r="I950" s="13" t="n">
        <f aca="false">IFERROR(INDEX('NCO-2015 scores'!$C$2:$C$131,MATCH(E950,'NCO-2015 scores'!$A$2:$A$131,0)),0)</f>
        <v>0.245</v>
      </c>
      <c r="J950" s="13" t="n">
        <f aca="false">IF(ISNUMBER(MATCH(E950,'NCO-2015 scores'!$A$2:$A$131,0)),IF(ISNUMBER(INDEX('NCO-2015 scores'!$C$2:$C$131,MATCH(E950,'NCO-2015 scores'!$A$2:$A$131,0))),1,0),0)</f>
        <v>1</v>
      </c>
    </row>
    <row r="951" customFormat="false" ht="15" hidden="false" customHeight="false" outlineLevel="0" collapsed="false">
      <c r="A951" s="2" t="n">
        <v>949</v>
      </c>
      <c r="B951" s="2" t="s">
        <v>3064</v>
      </c>
      <c r="C951" s="2" t="s">
        <v>3065</v>
      </c>
      <c r="D951" s="2" t="s">
        <v>3066</v>
      </c>
      <c r="E951" s="2" t="str">
        <f aca="false">LEFT(C951,3)</f>
        <v>742</v>
      </c>
      <c r="F951" s="2" t="str">
        <f aca="false">IF(D951="","",LEFT(D951,3))</f>
        <v>724</v>
      </c>
      <c r="G951" s="2" t="str">
        <f aca="false">IF(F951="","",IF(E951=F951,"Yes","No"))</f>
        <v>No</v>
      </c>
      <c r="H951" s="2" t="n">
        <f aca="false">IF(D951="",0,1/COUNTIF($D$2:$D$3451,D951))</f>
        <v>1</v>
      </c>
      <c r="I951" s="13" t="n">
        <f aca="false">IFERROR(INDEX('NCO-2015 scores'!$C$2:$C$131,MATCH(E951,'NCO-2015 scores'!$A$2:$A$131,0)),0)</f>
        <v>0.245</v>
      </c>
      <c r="J951" s="13" t="n">
        <f aca="false">IF(ISNUMBER(MATCH(E951,'NCO-2015 scores'!$A$2:$A$131,0)),IF(ISNUMBER(INDEX('NCO-2015 scores'!$C$2:$C$131,MATCH(E951,'NCO-2015 scores'!$A$2:$A$131,0))),1,0),0)</f>
        <v>1</v>
      </c>
    </row>
    <row r="952" customFormat="false" ht="15" hidden="false" customHeight="false" outlineLevel="0" collapsed="false">
      <c r="A952" s="2" t="n">
        <v>950</v>
      </c>
      <c r="B952" s="2" t="s">
        <v>3067</v>
      </c>
      <c r="C952" s="2" t="s">
        <v>3068</v>
      </c>
      <c r="D952" s="2"/>
      <c r="E952" s="2" t="str">
        <f aca="false">LEFT(C952,3)</f>
        <v>742</v>
      </c>
      <c r="F952" s="2" t="str">
        <f aca="false">IF(D952="","",LEFT(D952,3))</f>
        <v/>
      </c>
      <c r="G952" s="2" t="str">
        <f aca="false">IF(F952="","",IF(E952=F952,"Yes","No"))</f>
        <v/>
      </c>
      <c r="H952" s="2" t="n">
        <f aca="false">IF(D952="",0,1/COUNTIF($D$2:$D$3451,D952))</f>
        <v>0</v>
      </c>
      <c r="I952" s="13" t="n">
        <f aca="false">IFERROR(INDEX('NCO-2015 scores'!$C$2:$C$131,MATCH(E952,'NCO-2015 scores'!$A$2:$A$131,0)),0)</f>
        <v>0.245</v>
      </c>
      <c r="J952" s="13" t="n">
        <f aca="false">IF(ISNUMBER(MATCH(E952,'NCO-2015 scores'!$A$2:$A$131,0)),IF(ISNUMBER(INDEX('NCO-2015 scores'!$C$2:$C$131,MATCH(E952,'NCO-2015 scores'!$A$2:$A$131,0))),1,0),0)</f>
        <v>1</v>
      </c>
    </row>
    <row r="953" customFormat="false" ht="15" hidden="false" customHeight="false" outlineLevel="0" collapsed="false">
      <c r="A953" s="2" t="n">
        <v>951</v>
      </c>
      <c r="B953" s="2" t="s">
        <v>3069</v>
      </c>
      <c r="C953" s="2" t="s">
        <v>3070</v>
      </c>
      <c r="D953" s="2"/>
      <c r="E953" s="2" t="str">
        <f aca="false">LEFT(C953,3)</f>
        <v>742</v>
      </c>
      <c r="F953" s="2" t="str">
        <f aca="false">IF(D953="","",LEFT(D953,3))</f>
        <v/>
      </c>
      <c r="G953" s="2" t="str">
        <f aca="false">IF(F953="","",IF(E953=F953,"Yes","No"))</f>
        <v/>
      </c>
      <c r="H953" s="2" t="n">
        <f aca="false">IF(D953="",0,1/COUNTIF($D$2:$D$3451,D953))</f>
        <v>0</v>
      </c>
      <c r="I953" s="13" t="n">
        <f aca="false">IFERROR(INDEX('NCO-2015 scores'!$C$2:$C$131,MATCH(E953,'NCO-2015 scores'!$A$2:$A$131,0)),0)</f>
        <v>0.245</v>
      </c>
      <c r="J953" s="13" t="n">
        <f aca="false">IF(ISNUMBER(MATCH(E953,'NCO-2015 scores'!$A$2:$A$131,0)),IF(ISNUMBER(INDEX('NCO-2015 scores'!$C$2:$C$131,MATCH(E953,'NCO-2015 scores'!$A$2:$A$131,0))),1,0),0)</f>
        <v>1</v>
      </c>
    </row>
    <row r="954" customFormat="false" ht="15" hidden="false" customHeight="false" outlineLevel="0" collapsed="false">
      <c r="A954" s="2" t="n">
        <v>952</v>
      </c>
      <c r="B954" s="2" t="s">
        <v>3071</v>
      </c>
      <c r="C954" s="2" t="s">
        <v>3072</v>
      </c>
      <c r="D954" s="2"/>
      <c r="E954" s="2" t="str">
        <f aca="false">LEFT(C954,3)</f>
        <v>742</v>
      </c>
      <c r="F954" s="2" t="str">
        <f aca="false">IF(D954="","",LEFT(D954,3))</f>
        <v/>
      </c>
      <c r="G954" s="2" t="str">
        <f aca="false">IF(F954="","",IF(E954=F954,"Yes","No"))</f>
        <v/>
      </c>
      <c r="H954" s="2" t="n">
        <f aca="false">IF(D954="",0,1/COUNTIF($D$2:$D$3451,D954))</f>
        <v>0</v>
      </c>
      <c r="I954" s="13" t="n">
        <f aca="false">IFERROR(INDEX('NCO-2015 scores'!$C$2:$C$131,MATCH(E954,'NCO-2015 scores'!$A$2:$A$131,0)),0)</f>
        <v>0.245</v>
      </c>
      <c r="J954" s="13" t="n">
        <f aca="false">IF(ISNUMBER(MATCH(E954,'NCO-2015 scores'!$A$2:$A$131,0)),IF(ISNUMBER(INDEX('NCO-2015 scores'!$C$2:$C$131,MATCH(E954,'NCO-2015 scores'!$A$2:$A$131,0))),1,0),0)</f>
        <v>1</v>
      </c>
    </row>
    <row r="955" customFormat="false" ht="15" hidden="false" customHeight="false" outlineLevel="0" collapsed="false">
      <c r="A955" s="2" t="n">
        <v>953</v>
      </c>
      <c r="B955" s="2" t="s">
        <v>3073</v>
      </c>
      <c r="C955" s="2" t="s">
        <v>3074</v>
      </c>
      <c r="D955" s="2"/>
      <c r="E955" s="2" t="str">
        <f aca="false">LEFT(C955,3)</f>
        <v>742</v>
      </c>
      <c r="F955" s="2" t="str">
        <f aca="false">IF(D955="","",LEFT(D955,3))</f>
        <v/>
      </c>
      <c r="G955" s="2" t="str">
        <f aca="false">IF(F955="","",IF(E955=F955,"Yes","No"))</f>
        <v/>
      </c>
      <c r="H955" s="2" t="n">
        <f aca="false">IF(D955="",0,1/COUNTIF($D$2:$D$3451,D955))</f>
        <v>0</v>
      </c>
      <c r="I955" s="13" t="n">
        <f aca="false">IFERROR(INDEX('NCO-2015 scores'!$C$2:$C$131,MATCH(E955,'NCO-2015 scores'!$A$2:$A$131,0)),0)</f>
        <v>0.245</v>
      </c>
      <c r="J955" s="13" t="n">
        <f aca="false">IF(ISNUMBER(MATCH(E955,'NCO-2015 scores'!$A$2:$A$131,0)),IF(ISNUMBER(INDEX('NCO-2015 scores'!$C$2:$C$131,MATCH(E955,'NCO-2015 scores'!$A$2:$A$131,0))),1,0),0)</f>
        <v>1</v>
      </c>
    </row>
    <row r="956" customFormat="false" ht="15" hidden="false" customHeight="false" outlineLevel="0" collapsed="false">
      <c r="A956" s="2" t="n">
        <v>954</v>
      </c>
      <c r="B956" s="2" t="s">
        <v>3075</v>
      </c>
      <c r="C956" s="2" t="s">
        <v>3076</v>
      </c>
      <c r="D956" s="2"/>
      <c r="E956" s="2" t="str">
        <f aca="false">LEFT(C956,3)</f>
        <v>311</v>
      </c>
      <c r="F956" s="2" t="str">
        <f aca="false">IF(D956="","",LEFT(D956,3))</f>
        <v/>
      </c>
      <c r="G956" s="2" t="str">
        <f aca="false">IF(F956="","",IF(E956=F956,"Yes","No"))</f>
        <v/>
      </c>
      <c r="H956" s="2" t="n">
        <f aca="false">IF(D956="",0,1/COUNTIF($D$2:$D$3451,D956))</f>
        <v>0</v>
      </c>
      <c r="I956" s="13" t="n">
        <f aca="false">IFERROR(INDEX('NCO-2015 scores'!$C$2:$C$131,MATCH(E956,'NCO-2015 scores'!$A$2:$A$131,0)),0)</f>
        <v>0.2956</v>
      </c>
      <c r="J956" s="13" t="n">
        <f aca="false">IF(ISNUMBER(MATCH(E956,'NCO-2015 scores'!$A$2:$A$131,0)),IF(ISNUMBER(INDEX('NCO-2015 scores'!$C$2:$C$131,MATCH(E956,'NCO-2015 scores'!$A$2:$A$131,0))),1,0),0)</f>
        <v>1</v>
      </c>
    </row>
    <row r="957" customFormat="false" ht="15" hidden="false" customHeight="false" outlineLevel="0" collapsed="false">
      <c r="A957" s="2" t="n">
        <v>955</v>
      </c>
      <c r="B957" s="2" t="s">
        <v>3077</v>
      </c>
      <c r="C957" s="2" t="s">
        <v>3078</v>
      </c>
      <c r="D957" s="2"/>
      <c r="E957" s="2" t="str">
        <f aca="false">LEFT(C957,3)</f>
        <v>311</v>
      </c>
      <c r="F957" s="2" t="str">
        <f aca="false">IF(D957="","",LEFT(D957,3))</f>
        <v/>
      </c>
      <c r="G957" s="2" t="str">
        <f aca="false">IF(F957="","",IF(E957=F957,"Yes","No"))</f>
        <v/>
      </c>
      <c r="H957" s="2" t="n">
        <f aca="false">IF(D957="",0,1/COUNTIF($D$2:$D$3451,D957))</f>
        <v>0</v>
      </c>
      <c r="I957" s="13" t="n">
        <f aca="false">IFERROR(INDEX('NCO-2015 scores'!$C$2:$C$131,MATCH(E957,'NCO-2015 scores'!$A$2:$A$131,0)),0)</f>
        <v>0.2956</v>
      </c>
      <c r="J957" s="13" t="n">
        <f aca="false">IF(ISNUMBER(MATCH(E957,'NCO-2015 scores'!$A$2:$A$131,0)),IF(ISNUMBER(INDEX('NCO-2015 scores'!$C$2:$C$131,MATCH(E957,'NCO-2015 scores'!$A$2:$A$131,0))),1,0),0)</f>
        <v>1</v>
      </c>
    </row>
    <row r="958" customFormat="false" ht="15" hidden="false" customHeight="false" outlineLevel="0" collapsed="false">
      <c r="A958" s="2" t="n">
        <v>956</v>
      </c>
      <c r="B958" s="2" t="s">
        <v>3079</v>
      </c>
      <c r="C958" s="2" t="s">
        <v>3080</v>
      </c>
      <c r="D958" s="2"/>
      <c r="E958" s="2" t="str">
        <f aca="false">LEFT(C958,3)</f>
        <v>311</v>
      </c>
      <c r="F958" s="2" t="str">
        <f aca="false">IF(D958="","",LEFT(D958,3))</f>
        <v/>
      </c>
      <c r="G958" s="2" t="str">
        <f aca="false">IF(F958="","",IF(E958=F958,"Yes","No"))</f>
        <v/>
      </c>
      <c r="H958" s="2" t="n">
        <f aca="false">IF(D958="",0,1/COUNTIF($D$2:$D$3451,D958))</f>
        <v>0</v>
      </c>
      <c r="I958" s="13" t="n">
        <f aca="false">IFERROR(INDEX('NCO-2015 scores'!$C$2:$C$131,MATCH(E958,'NCO-2015 scores'!$A$2:$A$131,0)),0)</f>
        <v>0.2956</v>
      </c>
      <c r="J958" s="13" t="n">
        <f aca="false">IF(ISNUMBER(MATCH(E958,'NCO-2015 scores'!$A$2:$A$131,0)),IF(ISNUMBER(INDEX('NCO-2015 scores'!$C$2:$C$131,MATCH(E958,'NCO-2015 scores'!$A$2:$A$131,0))),1,0),0)</f>
        <v>1</v>
      </c>
    </row>
    <row r="959" customFormat="false" ht="15" hidden="false" customHeight="false" outlineLevel="0" collapsed="false">
      <c r="A959" s="2" t="n">
        <v>957</v>
      </c>
      <c r="B959" s="2" t="s">
        <v>3081</v>
      </c>
      <c r="C959" s="2" t="s">
        <v>3082</v>
      </c>
      <c r="D959" s="2"/>
      <c r="E959" s="2" t="str">
        <f aca="false">LEFT(C959,3)</f>
        <v>311</v>
      </c>
      <c r="F959" s="2" t="str">
        <f aca="false">IF(D959="","",LEFT(D959,3))</f>
        <v/>
      </c>
      <c r="G959" s="2" t="str">
        <f aca="false">IF(F959="","",IF(E959=F959,"Yes","No"))</f>
        <v/>
      </c>
      <c r="H959" s="2" t="n">
        <f aca="false">IF(D959="",0,1/COUNTIF($D$2:$D$3451,D959))</f>
        <v>0</v>
      </c>
      <c r="I959" s="13" t="n">
        <f aca="false">IFERROR(INDEX('NCO-2015 scores'!$C$2:$C$131,MATCH(E959,'NCO-2015 scores'!$A$2:$A$131,0)),0)</f>
        <v>0.2956</v>
      </c>
      <c r="J959" s="13" t="n">
        <f aca="false">IF(ISNUMBER(MATCH(E959,'NCO-2015 scores'!$A$2:$A$131,0)),IF(ISNUMBER(INDEX('NCO-2015 scores'!$C$2:$C$131,MATCH(E959,'NCO-2015 scores'!$A$2:$A$131,0))),1,0),0)</f>
        <v>1</v>
      </c>
    </row>
    <row r="960" customFormat="false" ht="15" hidden="false" customHeight="false" outlineLevel="0" collapsed="false">
      <c r="A960" s="2" t="n">
        <v>958</v>
      </c>
      <c r="B960" s="2" t="s">
        <v>3083</v>
      </c>
      <c r="C960" s="2" t="s">
        <v>3084</v>
      </c>
      <c r="D960" s="2" t="s">
        <v>3085</v>
      </c>
      <c r="E960" s="2" t="str">
        <f aca="false">LEFT(C960,3)</f>
        <v>311</v>
      </c>
      <c r="F960" s="2" t="str">
        <f aca="false">IF(D960="","",LEFT(D960,3))</f>
        <v>311</v>
      </c>
      <c r="G960" s="2" t="str">
        <f aca="false">IF(F960="","",IF(E960=F960,"Yes","No"))</f>
        <v>Yes</v>
      </c>
      <c r="H960" s="2" t="n">
        <f aca="false">IF(D960="",0,1/COUNTIF($D$2:$D$3451,D960))</f>
        <v>1</v>
      </c>
      <c r="I960" s="13" t="n">
        <f aca="false">IFERROR(INDEX('NCO-2015 scores'!$C$2:$C$131,MATCH(E960,'NCO-2015 scores'!$A$2:$A$131,0)),0)</f>
        <v>0.2956</v>
      </c>
      <c r="J960" s="13" t="n">
        <f aca="false">IF(ISNUMBER(MATCH(E960,'NCO-2015 scores'!$A$2:$A$131,0)),IF(ISNUMBER(INDEX('NCO-2015 scores'!$C$2:$C$131,MATCH(E960,'NCO-2015 scores'!$A$2:$A$131,0))),1,0),0)</f>
        <v>1</v>
      </c>
    </row>
    <row r="961" customFormat="false" ht="15" hidden="false" customHeight="false" outlineLevel="0" collapsed="false">
      <c r="A961" s="2" t="n">
        <v>959</v>
      </c>
      <c r="B961" s="2" t="s">
        <v>3086</v>
      </c>
      <c r="C961" s="2" t="s">
        <v>3087</v>
      </c>
      <c r="D961" s="2" t="s">
        <v>3088</v>
      </c>
      <c r="E961" s="2" t="str">
        <f aca="false">LEFT(C961,3)</f>
        <v>311</v>
      </c>
      <c r="F961" s="2" t="str">
        <f aca="false">IF(D961="","",LEFT(D961,3))</f>
        <v>315</v>
      </c>
      <c r="G961" s="2" t="str">
        <f aca="false">IF(F961="","",IF(E961=F961,"Yes","No"))</f>
        <v>No</v>
      </c>
      <c r="H961" s="2" t="n">
        <f aca="false">IF(D961="",0,1/COUNTIF($D$2:$D$3451,D961))</f>
        <v>1</v>
      </c>
      <c r="I961" s="13" t="n">
        <f aca="false">IFERROR(INDEX('NCO-2015 scores'!$C$2:$C$131,MATCH(E961,'NCO-2015 scores'!$A$2:$A$131,0)),0)</f>
        <v>0.2956</v>
      </c>
      <c r="J961" s="13" t="n">
        <f aca="false">IF(ISNUMBER(MATCH(E961,'NCO-2015 scores'!$A$2:$A$131,0)),IF(ISNUMBER(INDEX('NCO-2015 scores'!$C$2:$C$131,MATCH(E961,'NCO-2015 scores'!$A$2:$A$131,0))),1,0),0)</f>
        <v>1</v>
      </c>
    </row>
    <row r="962" customFormat="false" ht="15" hidden="false" customHeight="false" outlineLevel="0" collapsed="false">
      <c r="A962" s="2" t="n">
        <v>960</v>
      </c>
      <c r="B962" s="2" t="s">
        <v>3089</v>
      </c>
      <c r="C962" s="2" t="s">
        <v>3090</v>
      </c>
      <c r="D962" s="2"/>
      <c r="E962" s="2" t="str">
        <f aca="false">LEFT(C962,3)</f>
        <v>311</v>
      </c>
      <c r="F962" s="2" t="str">
        <f aca="false">IF(D962="","",LEFT(D962,3))</f>
        <v/>
      </c>
      <c r="G962" s="2" t="str">
        <f aca="false">IF(F962="","",IF(E962=F962,"Yes","No"))</f>
        <v/>
      </c>
      <c r="H962" s="2" t="n">
        <f aca="false">IF(D962="",0,1/COUNTIF($D$2:$D$3451,D962))</f>
        <v>0</v>
      </c>
      <c r="I962" s="13" t="n">
        <f aca="false">IFERROR(INDEX('NCO-2015 scores'!$C$2:$C$131,MATCH(E962,'NCO-2015 scores'!$A$2:$A$131,0)),0)</f>
        <v>0.2956</v>
      </c>
      <c r="J962" s="13" t="n">
        <f aca="false">IF(ISNUMBER(MATCH(E962,'NCO-2015 scores'!$A$2:$A$131,0)),IF(ISNUMBER(INDEX('NCO-2015 scores'!$C$2:$C$131,MATCH(E962,'NCO-2015 scores'!$A$2:$A$131,0))),1,0),0)</f>
        <v>1</v>
      </c>
    </row>
    <row r="963" customFormat="false" ht="15" hidden="false" customHeight="false" outlineLevel="0" collapsed="false">
      <c r="A963" s="2" t="n">
        <v>961</v>
      </c>
      <c r="B963" s="2" t="s">
        <v>3091</v>
      </c>
      <c r="C963" s="2" t="s">
        <v>3092</v>
      </c>
      <c r="D963" s="2"/>
      <c r="E963" s="2" t="str">
        <f aca="false">LEFT(C963,3)</f>
        <v>311</v>
      </c>
      <c r="F963" s="2" t="str">
        <f aca="false">IF(D963="","",LEFT(D963,3))</f>
        <v/>
      </c>
      <c r="G963" s="2" t="str">
        <f aca="false">IF(F963="","",IF(E963=F963,"Yes","No"))</f>
        <v/>
      </c>
      <c r="H963" s="2" t="n">
        <f aca="false">IF(D963="",0,1/COUNTIF($D$2:$D$3451,D963))</f>
        <v>0</v>
      </c>
      <c r="I963" s="13" t="n">
        <f aca="false">IFERROR(INDEX('NCO-2015 scores'!$C$2:$C$131,MATCH(E963,'NCO-2015 scores'!$A$2:$A$131,0)),0)</f>
        <v>0.2956</v>
      </c>
      <c r="J963" s="13" t="n">
        <f aca="false">IF(ISNUMBER(MATCH(E963,'NCO-2015 scores'!$A$2:$A$131,0)),IF(ISNUMBER(INDEX('NCO-2015 scores'!$C$2:$C$131,MATCH(E963,'NCO-2015 scores'!$A$2:$A$131,0))),1,0),0)</f>
        <v>1</v>
      </c>
    </row>
    <row r="964" customFormat="false" ht="15" hidden="false" customHeight="false" outlineLevel="0" collapsed="false">
      <c r="A964" s="2" t="n">
        <v>962</v>
      </c>
      <c r="B964" s="2" t="s">
        <v>3093</v>
      </c>
      <c r="C964" s="2" t="s">
        <v>3094</v>
      </c>
      <c r="D964" s="2"/>
      <c r="E964" s="2" t="str">
        <f aca="false">LEFT(C964,3)</f>
        <v>311</v>
      </c>
      <c r="F964" s="2" t="str">
        <f aca="false">IF(D964="","",LEFT(D964,3))</f>
        <v/>
      </c>
      <c r="G964" s="2" t="str">
        <f aca="false">IF(F964="","",IF(E964=F964,"Yes","No"))</f>
        <v/>
      </c>
      <c r="H964" s="2" t="n">
        <f aca="false">IF(D964="",0,1/COUNTIF($D$2:$D$3451,D964))</f>
        <v>0</v>
      </c>
      <c r="I964" s="13" t="n">
        <f aca="false">IFERROR(INDEX('NCO-2015 scores'!$C$2:$C$131,MATCH(E964,'NCO-2015 scores'!$A$2:$A$131,0)),0)</f>
        <v>0.2956</v>
      </c>
      <c r="J964" s="13" t="n">
        <f aca="false">IF(ISNUMBER(MATCH(E964,'NCO-2015 scores'!$A$2:$A$131,0)),IF(ISNUMBER(INDEX('NCO-2015 scores'!$C$2:$C$131,MATCH(E964,'NCO-2015 scores'!$A$2:$A$131,0))),1,0),0)</f>
        <v>1</v>
      </c>
    </row>
    <row r="965" customFormat="false" ht="15" hidden="false" customHeight="false" outlineLevel="0" collapsed="false">
      <c r="A965" s="2" t="n">
        <v>963</v>
      </c>
      <c r="B965" s="2" t="s">
        <v>3095</v>
      </c>
      <c r="C965" s="2" t="s">
        <v>3096</v>
      </c>
      <c r="D965" s="2"/>
      <c r="E965" s="2" t="str">
        <f aca="false">LEFT(C965,3)</f>
        <v>311</v>
      </c>
      <c r="F965" s="2" t="str">
        <f aca="false">IF(D965="","",LEFT(D965,3))</f>
        <v/>
      </c>
      <c r="G965" s="2" t="str">
        <f aca="false">IF(F965="","",IF(E965=F965,"Yes","No"))</f>
        <v/>
      </c>
      <c r="H965" s="2" t="n">
        <f aca="false">IF(D965="",0,1/COUNTIF($D$2:$D$3451,D965))</f>
        <v>0</v>
      </c>
      <c r="I965" s="13" t="n">
        <f aca="false">IFERROR(INDEX('NCO-2015 scores'!$C$2:$C$131,MATCH(E965,'NCO-2015 scores'!$A$2:$A$131,0)),0)</f>
        <v>0.2956</v>
      </c>
      <c r="J965" s="13" t="n">
        <f aca="false">IF(ISNUMBER(MATCH(E965,'NCO-2015 scores'!$A$2:$A$131,0)),IF(ISNUMBER(INDEX('NCO-2015 scores'!$C$2:$C$131,MATCH(E965,'NCO-2015 scores'!$A$2:$A$131,0))),1,0),0)</f>
        <v>1</v>
      </c>
    </row>
    <row r="966" customFormat="false" ht="15" hidden="false" customHeight="false" outlineLevel="0" collapsed="false">
      <c r="A966" s="2" t="n">
        <v>964</v>
      </c>
      <c r="B966" s="2" t="s">
        <v>3097</v>
      </c>
      <c r="C966" s="2" t="s">
        <v>3098</v>
      </c>
      <c r="D966" s="2" t="s">
        <v>3099</v>
      </c>
      <c r="E966" s="2" t="str">
        <f aca="false">LEFT(C966,3)</f>
        <v>311</v>
      </c>
      <c r="F966" s="2" t="str">
        <f aca="false">IF(D966="","",LEFT(D966,3))</f>
        <v>311</v>
      </c>
      <c r="G966" s="2" t="str">
        <f aca="false">IF(F966="","",IF(E966=F966,"Yes","No"))</f>
        <v>Yes</v>
      </c>
      <c r="H966" s="2" t="n">
        <f aca="false">IF(D966="",0,1/COUNTIF($D$2:$D$3451,D966))</f>
        <v>1</v>
      </c>
      <c r="I966" s="13" t="n">
        <f aca="false">IFERROR(INDEX('NCO-2015 scores'!$C$2:$C$131,MATCH(E966,'NCO-2015 scores'!$A$2:$A$131,0)),0)</f>
        <v>0.2956</v>
      </c>
      <c r="J966" s="13" t="n">
        <f aca="false">IF(ISNUMBER(MATCH(E966,'NCO-2015 scores'!$A$2:$A$131,0)),IF(ISNUMBER(INDEX('NCO-2015 scores'!$C$2:$C$131,MATCH(E966,'NCO-2015 scores'!$A$2:$A$131,0))),1,0),0)</f>
        <v>1</v>
      </c>
    </row>
    <row r="967" customFormat="false" ht="15" hidden="false" customHeight="false" outlineLevel="0" collapsed="false">
      <c r="A967" s="2" t="n">
        <v>965</v>
      </c>
      <c r="B967" s="2" t="s">
        <v>3100</v>
      </c>
      <c r="C967" s="2" t="s">
        <v>3101</v>
      </c>
      <c r="D967" s="2"/>
      <c r="E967" s="2" t="str">
        <f aca="false">LEFT(C967,3)</f>
        <v>311</v>
      </c>
      <c r="F967" s="2" t="str">
        <f aca="false">IF(D967="","",LEFT(D967,3))</f>
        <v/>
      </c>
      <c r="G967" s="2" t="str">
        <f aca="false">IF(F967="","",IF(E967=F967,"Yes","No"))</f>
        <v/>
      </c>
      <c r="H967" s="2" t="n">
        <f aca="false">IF(D967="",0,1/COUNTIF($D$2:$D$3451,D967))</f>
        <v>0</v>
      </c>
      <c r="I967" s="13" t="n">
        <f aca="false">IFERROR(INDEX('NCO-2015 scores'!$C$2:$C$131,MATCH(E967,'NCO-2015 scores'!$A$2:$A$131,0)),0)</f>
        <v>0.2956</v>
      </c>
      <c r="J967" s="13" t="n">
        <f aca="false">IF(ISNUMBER(MATCH(E967,'NCO-2015 scores'!$A$2:$A$131,0)),IF(ISNUMBER(INDEX('NCO-2015 scores'!$C$2:$C$131,MATCH(E967,'NCO-2015 scores'!$A$2:$A$131,0))),1,0),0)</f>
        <v>1</v>
      </c>
    </row>
    <row r="968" customFormat="false" ht="15" hidden="false" customHeight="false" outlineLevel="0" collapsed="false">
      <c r="A968" s="2" t="n">
        <v>966</v>
      </c>
      <c r="B968" s="2" t="s">
        <v>3102</v>
      </c>
      <c r="C968" s="2" t="s">
        <v>3103</v>
      </c>
      <c r="D968" s="2"/>
      <c r="E968" s="2" t="str">
        <f aca="false">LEFT(C968,3)</f>
        <v>311</v>
      </c>
      <c r="F968" s="2" t="str">
        <f aca="false">IF(D968="","",LEFT(D968,3))</f>
        <v/>
      </c>
      <c r="G968" s="2" t="str">
        <f aca="false">IF(F968="","",IF(E968=F968,"Yes","No"))</f>
        <v/>
      </c>
      <c r="H968" s="2" t="n">
        <f aca="false">IF(D968="",0,1/COUNTIF($D$2:$D$3451,D968))</f>
        <v>0</v>
      </c>
      <c r="I968" s="13" t="n">
        <f aca="false">IFERROR(INDEX('NCO-2015 scores'!$C$2:$C$131,MATCH(E968,'NCO-2015 scores'!$A$2:$A$131,0)),0)</f>
        <v>0.2956</v>
      </c>
      <c r="J968" s="13" t="n">
        <f aca="false">IF(ISNUMBER(MATCH(E968,'NCO-2015 scores'!$A$2:$A$131,0)),IF(ISNUMBER(INDEX('NCO-2015 scores'!$C$2:$C$131,MATCH(E968,'NCO-2015 scores'!$A$2:$A$131,0))),1,0),0)</f>
        <v>1</v>
      </c>
    </row>
    <row r="969" customFormat="false" ht="15" hidden="false" customHeight="false" outlineLevel="0" collapsed="false">
      <c r="A969" s="2" t="n">
        <v>967</v>
      </c>
      <c r="B969" s="2" t="s">
        <v>2194</v>
      </c>
      <c r="C969" s="2" t="s">
        <v>3104</v>
      </c>
      <c r="D969" s="2"/>
      <c r="E969" s="2" t="str">
        <f aca="false">LEFT(C969,3)</f>
        <v>215</v>
      </c>
      <c r="F969" s="2" t="str">
        <f aca="false">IF(D969="","",LEFT(D969,3))</f>
        <v/>
      </c>
      <c r="G969" s="2" t="str">
        <f aca="false">IF(F969="","",IF(E969=F969,"Yes","No"))</f>
        <v/>
      </c>
      <c r="H969" s="2" t="n">
        <f aca="false">IF(D969="",0,1/COUNTIF($D$2:$D$3451,D969))</f>
        <v>0</v>
      </c>
      <c r="I969" s="13" t="n">
        <f aca="false">IFERROR(INDEX('NCO-2015 scores'!$C$2:$C$131,MATCH(E969,'NCO-2015 scores'!$A$2:$A$131,0)),0)</f>
        <v>0.4033</v>
      </c>
      <c r="J969" s="13" t="n">
        <f aca="false">IF(ISNUMBER(MATCH(E969,'NCO-2015 scores'!$A$2:$A$131,0)),IF(ISNUMBER(INDEX('NCO-2015 scores'!$C$2:$C$131,MATCH(E969,'NCO-2015 scores'!$A$2:$A$131,0))),1,0),0)</f>
        <v>1</v>
      </c>
    </row>
    <row r="970" customFormat="false" ht="15" hidden="false" customHeight="false" outlineLevel="0" collapsed="false">
      <c r="A970" s="2" t="n">
        <v>968</v>
      </c>
      <c r="B970" s="2" t="s">
        <v>3105</v>
      </c>
      <c r="C970" s="2" t="s">
        <v>3106</v>
      </c>
      <c r="D970" s="2"/>
      <c r="E970" s="2" t="str">
        <f aca="false">LEFT(C970,3)</f>
        <v>215</v>
      </c>
      <c r="F970" s="2" t="str">
        <f aca="false">IF(D970="","",LEFT(D970,3))</f>
        <v/>
      </c>
      <c r="G970" s="2" t="str">
        <f aca="false">IF(F970="","",IF(E970=F970,"Yes","No"))</f>
        <v/>
      </c>
      <c r="H970" s="2" t="n">
        <f aca="false">IF(D970="",0,1/COUNTIF($D$2:$D$3451,D970))</f>
        <v>0</v>
      </c>
      <c r="I970" s="13" t="n">
        <f aca="false">IFERROR(INDEX('NCO-2015 scores'!$C$2:$C$131,MATCH(E970,'NCO-2015 scores'!$A$2:$A$131,0)),0)</f>
        <v>0.4033</v>
      </c>
      <c r="J970" s="13" t="n">
        <f aca="false">IF(ISNUMBER(MATCH(E970,'NCO-2015 scores'!$A$2:$A$131,0)),IF(ISNUMBER(INDEX('NCO-2015 scores'!$C$2:$C$131,MATCH(E970,'NCO-2015 scores'!$A$2:$A$131,0))),1,0),0)</f>
        <v>1</v>
      </c>
    </row>
    <row r="971" customFormat="false" ht="15" hidden="false" customHeight="false" outlineLevel="0" collapsed="false">
      <c r="A971" s="2" t="n">
        <v>969</v>
      </c>
      <c r="B971" s="2" t="s">
        <v>3107</v>
      </c>
      <c r="C971" s="2" t="s">
        <v>3108</v>
      </c>
      <c r="D971" s="2" t="s">
        <v>3109</v>
      </c>
      <c r="E971" s="2" t="str">
        <f aca="false">LEFT(C971,3)</f>
        <v>215</v>
      </c>
      <c r="F971" s="2" t="str">
        <f aca="false">IF(D971="","",LEFT(D971,3))</f>
        <v>214</v>
      </c>
      <c r="G971" s="2" t="str">
        <f aca="false">IF(F971="","",IF(E971=F971,"Yes","No"))</f>
        <v>No</v>
      </c>
      <c r="H971" s="2" t="n">
        <f aca="false">IF(D971="",0,1/COUNTIF($D$2:$D$3451,D971))</f>
        <v>1</v>
      </c>
      <c r="I971" s="13" t="n">
        <f aca="false">IFERROR(INDEX('NCO-2015 scores'!$C$2:$C$131,MATCH(E971,'NCO-2015 scores'!$A$2:$A$131,0)),0)</f>
        <v>0.4033</v>
      </c>
      <c r="J971" s="13" t="n">
        <f aca="false">IF(ISNUMBER(MATCH(E971,'NCO-2015 scores'!$A$2:$A$131,0)),IF(ISNUMBER(INDEX('NCO-2015 scores'!$C$2:$C$131,MATCH(E971,'NCO-2015 scores'!$A$2:$A$131,0))),1,0),0)</f>
        <v>1</v>
      </c>
    </row>
    <row r="972" customFormat="false" ht="15" hidden="false" customHeight="false" outlineLevel="0" collapsed="false">
      <c r="A972" s="2" t="n">
        <v>970</v>
      </c>
      <c r="B972" s="2" t="s">
        <v>3110</v>
      </c>
      <c r="C972" s="2" t="s">
        <v>3111</v>
      </c>
      <c r="D972" s="2" t="s">
        <v>3112</v>
      </c>
      <c r="E972" s="2" t="str">
        <f aca="false">LEFT(C972,3)</f>
        <v>215</v>
      </c>
      <c r="F972" s="2" t="str">
        <f aca="false">IF(D972="","",LEFT(D972,3))</f>
        <v>214</v>
      </c>
      <c r="G972" s="2" t="str">
        <f aca="false">IF(F972="","",IF(E972=F972,"Yes","No"))</f>
        <v>No</v>
      </c>
      <c r="H972" s="2" t="n">
        <f aca="false">IF(D972="",0,1/COUNTIF($D$2:$D$3451,D972))</f>
        <v>1</v>
      </c>
      <c r="I972" s="13" t="n">
        <f aca="false">IFERROR(INDEX('NCO-2015 scores'!$C$2:$C$131,MATCH(E972,'NCO-2015 scores'!$A$2:$A$131,0)),0)</f>
        <v>0.4033</v>
      </c>
      <c r="J972" s="13" t="n">
        <f aca="false">IF(ISNUMBER(MATCH(E972,'NCO-2015 scores'!$A$2:$A$131,0)),IF(ISNUMBER(INDEX('NCO-2015 scores'!$C$2:$C$131,MATCH(E972,'NCO-2015 scores'!$A$2:$A$131,0))),1,0),0)</f>
        <v>1</v>
      </c>
    </row>
    <row r="973" customFormat="false" ht="15" hidden="false" customHeight="false" outlineLevel="0" collapsed="false">
      <c r="A973" s="2" t="n">
        <v>971</v>
      </c>
      <c r="B973" s="2" t="s">
        <v>3113</v>
      </c>
      <c r="C973" s="2" t="s">
        <v>3114</v>
      </c>
      <c r="D973" s="2" t="s">
        <v>3115</v>
      </c>
      <c r="E973" s="2" t="str">
        <f aca="false">LEFT(C973,3)</f>
        <v>215</v>
      </c>
      <c r="F973" s="2" t="str">
        <f aca="false">IF(D973="","",LEFT(D973,3))</f>
        <v>214</v>
      </c>
      <c r="G973" s="2" t="str">
        <f aca="false">IF(F973="","",IF(E973=F973,"Yes","No"))</f>
        <v>No</v>
      </c>
      <c r="H973" s="2" t="n">
        <f aca="false">IF(D973="",0,1/COUNTIF($D$2:$D$3451,D973))</f>
        <v>1</v>
      </c>
      <c r="I973" s="13" t="n">
        <f aca="false">IFERROR(INDEX('NCO-2015 scores'!$C$2:$C$131,MATCH(E973,'NCO-2015 scores'!$A$2:$A$131,0)),0)</f>
        <v>0.4033</v>
      </c>
      <c r="J973" s="13" t="n">
        <f aca="false">IF(ISNUMBER(MATCH(E973,'NCO-2015 scores'!$A$2:$A$131,0)),IF(ISNUMBER(INDEX('NCO-2015 scores'!$C$2:$C$131,MATCH(E973,'NCO-2015 scores'!$A$2:$A$131,0))),1,0),0)</f>
        <v>1</v>
      </c>
    </row>
    <row r="974" customFormat="false" ht="15" hidden="false" customHeight="false" outlineLevel="0" collapsed="false">
      <c r="A974" s="2" t="n">
        <v>972</v>
      </c>
      <c r="B974" s="2" t="s">
        <v>3116</v>
      </c>
      <c r="C974" s="2" t="s">
        <v>3117</v>
      </c>
      <c r="D974" s="2"/>
      <c r="E974" s="2" t="str">
        <f aca="false">LEFT(C974,3)</f>
        <v>215</v>
      </c>
      <c r="F974" s="2" t="str">
        <f aca="false">IF(D974="","",LEFT(D974,3))</f>
        <v/>
      </c>
      <c r="G974" s="2" t="str">
        <f aca="false">IF(F974="","",IF(E974=F974,"Yes","No"))</f>
        <v/>
      </c>
      <c r="H974" s="2" t="n">
        <f aca="false">IF(D974="",0,1/COUNTIF($D$2:$D$3451,D974))</f>
        <v>0</v>
      </c>
      <c r="I974" s="13" t="n">
        <f aca="false">IFERROR(INDEX('NCO-2015 scores'!$C$2:$C$131,MATCH(E974,'NCO-2015 scores'!$A$2:$A$131,0)),0)</f>
        <v>0.4033</v>
      </c>
      <c r="J974" s="13" t="n">
        <f aca="false">IF(ISNUMBER(MATCH(E974,'NCO-2015 scores'!$A$2:$A$131,0)),IF(ISNUMBER(INDEX('NCO-2015 scores'!$C$2:$C$131,MATCH(E974,'NCO-2015 scores'!$A$2:$A$131,0))),1,0),0)</f>
        <v>1</v>
      </c>
    </row>
    <row r="975" customFormat="false" ht="15" hidden="false" customHeight="false" outlineLevel="0" collapsed="false">
      <c r="A975" s="2" t="n">
        <v>973</v>
      </c>
      <c r="B975" s="2" t="s">
        <v>3118</v>
      </c>
      <c r="C975" s="2" t="s">
        <v>3119</v>
      </c>
      <c r="D975" s="2"/>
      <c r="E975" s="2" t="str">
        <f aca="false">LEFT(C975,3)</f>
        <v>215</v>
      </c>
      <c r="F975" s="2" t="str">
        <f aca="false">IF(D975="","",LEFT(D975,3))</f>
        <v/>
      </c>
      <c r="G975" s="2" t="str">
        <f aca="false">IF(F975="","",IF(E975=F975,"Yes","No"))</f>
        <v/>
      </c>
      <c r="H975" s="2" t="n">
        <f aca="false">IF(D975="",0,1/COUNTIF($D$2:$D$3451,D975))</f>
        <v>0</v>
      </c>
      <c r="I975" s="13" t="n">
        <f aca="false">IFERROR(INDEX('NCO-2015 scores'!$C$2:$C$131,MATCH(E975,'NCO-2015 scores'!$A$2:$A$131,0)),0)</f>
        <v>0.4033</v>
      </c>
      <c r="J975" s="13" t="n">
        <f aca="false">IF(ISNUMBER(MATCH(E975,'NCO-2015 scores'!$A$2:$A$131,0)),IF(ISNUMBER(INDEX('NCO-2015 scores'!$C$2:$C$131,MATCH(E975,'NCO-2015 scores'!$A$2:$A$131,0))),1,0),0)</f>
        <v>1</v>
      </c>
    </row>
    <row r="976" customFormat="false" ht="15" hidden="false" customHeight="false" outlineLevel="0" collapsed="false">
      <c r="A976" s="2" t="n">
        <v>974</v>
      </c>
      <c r="B976" s="2" t="s">
        <v>3120</v>
      </c>
      <c r="C976" s="2" t="s">
        <v>3121</v>
      </c>
      <c r="D976" s="2"/>
      <c r="E976" s="2" t="str">
        <f aca="false">LEFT(C976,3)</f>
        <v>215</v>
      </c>
      <c r="F976" s="2" t="str">
        <f aca="false">IF(D976="","",LEFT(D976,3))</f>
        <v/>
      </c>
      <c r="G976" s="2" t="str">
        <f aca="false">IF(F976="","",IF(E976=F976,"Yes","No"))</f>
        <v/>
      </c>
      <c r="H976" s="2" t="n">
        <f aca="false">IF(D976="",0,1/COUNTIF($D$2:$D$3451,D976))</f>
        <v>0</v>
      </c>
      <c r="I976" s="13" t="n">
        <f aca="false">IFERROR(INDEX('NCO-2015 scores'!$C$2:$C$131,MATCH(E976,'NCO-2015 scores'!$A$2:$A$131,0)),0)</f>
        <v>0.4033</v>
      </c>
      <c r="J976" s="13" t="n">
        <f aca="false">IF(ISNUMBER(MATCH(E976,'NCO-2015 scores'!$A$2:$A$131,0)),IF(ISNUMBER(INDEX('NCO-2015 scores'!$C$2:$C$131,MATCH(E976,'NCO-2015 scores'!$A$2:$A$131,0))),1,0),0)</f>
        <v>1</v>
      </c>
    </row>
    <row r="977" customFormat="false" ht="15" hidden="false" customHeight="false" outlineLevel="0" collapsed="false">
      <c r="A977" s="2" t="n">
        <v>975</v>
      </c>
      <c r="B977" s="2" t="s">
        <v>3122</v>
      </c>
      <c r="C977" s="2" t="s">
        <v>3123</v>
      </c>
      <c r="D977" s="2"/>
      <c r="E977" s="2" t="str">
        <f aca="false">LEFT(C977,3)</f>
        <v>215</v>
      </c>
      <c r="F977" s="2" t="str">
        <f aca="false">IF(D977="","",LEFT(D977,3))</f>
        <v/>
      </c>
      <c r="G977" s="2" t="str">
        <f aca="false">IF(F977="","",IF(E977=F977,"Yes","No"))</f>
        <v/>
      </c>
      <c r="H977" s="2" t="n">
        <f aca="false">IF(D977="",0,1/COUNTIF($D$2:$D$3451,D977))</f>
        <v>0</v>
      </c>
      <c r="I977" s="13" t="n">
        <f aca="false">IFERROR(INDEX('NCO-2015 scores'!$C$2:$C$131,MATCH(E977,'NCO-2015 scores'!$A$2:$A$131,0)),0)</f>
        <v>0.4033</v>
      </c>
      <c r="J977" s="13" t="n">
        <f aca="false">IF(ISNUMBER(MATCH(E977,'NCO-2015 scores'!$A$2:$A$131,0)),IF(ISNUMBER(INDEX('NCO-2015 scores'!$C$2:$C$131,MATCH(E977,'NCO-2015 scores'!$A$2:$A$131,0))),1,0),0)</f>
        <v>1</v>
      </c>
    </row>
    <row r="978" customFormat="false" ht="15" hidden="false" customHeight="false" outlineLevel="0" collapsed="false">
      <c r="A978" s="2" t="n">
        <v>976</v>
      </c>
      <c r="B978" s="2" t="s">
        <v>3124</v>
      </c>
      <c r="C978" s="2" t="s">
        <v>3125</v>
      </c>
      <c r="D978" s="2" t="s">
        <v>3126</v>
      </c>
      <c r="E978" s="2" t="str">
        <f aca="false">LEFT(C978,3)</f>
        <v>215</v>
      </c>
      <c r="F978" s="2" t="str">
        <f aca="false">IF(D978="","",LEFT(D978,3))</f>
        <v>214</v>
      </c>
      <c r="G978" s="2" t="str">
        <f aca="false">IF(F978="","",IF(E978=F978,"Yes","No"))</f>
        <v>No</v>
      </c>
      <c r="H978" s="2" t="n">
        <f aca="false">IF(D978="",0,1/COUNTIF($D$2:$D$3451,D978))</f>
        <v>1</v>
      </c>
      <c r="I978" s="13" t="n">
        <f aca="false">IFERROR(INDEX('NCO-2015 scores'!$C$2:$C$131,MATCH(E978,'NCO-2015 scores'!$A$2:$A$131,0)),0)</f>
        <v>0.4033</v>
      </c>
      <c r="J978" s="13" t="n">
        <f aca="false">IF(ISNUMBER(MATCH(E978,'NCO-2015 scores'!$A$2:$A$131,0)),IF(ISNUMBER(INDEX('NCO-2015 scores'!$C$2:$C$131,MATCH(E978,'NCO-2015 scores'!$A$2:$A$131,0))),1,0),0)</f>
        <v>1</v>
      </c>
    </row>
    <row r="979" customFormat="false" ht="15" hidden="false" customHeight="false" outlineLevel="0" collapsed="false">
      <c r="A979" s="2" t="n">
        <v>977</v>
      </c>
      <c r="B979" s="2" t="s">
        <v>3127</v>
      </c>
      <c r="C979" s="2" t="s">
        <v>3128</v>
      </c>
      <c r="D979" s="2" t="s">
        <v>3129</v>
      </c>
      <c r="E979" s="2" t="str">
        <f aca="false">LEFT(C979,3)</f>
        <v>962</v>
      </c>
      <c r="F979" s="2" t="str">
        <f aca="false">IF(D979="","",LEFT(D979,3))</f>
        <v>915</v>
      </c>
      <c r="G979" s="2" t="str">
        <f aca="false">IF(F979="","",IF(E979=F979,"Yes","No"))</f>
        <v>No</v>
      </c>
      <c r="H979" s="2" t="n">
        <f aca="false">IF(D979="",0,1/COUNTIF($D$2:$D$3451,D979))</f>
        <v>1</v>
      </c>
      <c r="I979" s="13" t="n">
        <f aca="false">IFERROR(INDEX('NCO-2015 scores'!$C$2:$C$131,MATCH(E979,'NCO-2015 scores'!$A$2:$A$131,0)),0)</f>
        <v>0.248</v>
      </c>
      <c r="J979" s="13" t="n">
        <f aca="false">IF(ISNUMBER(MATCH(E979,'NCO-2015 scores'!$A$2:$A$131,0)),IF(ISNUMBER(INDEX('NCO-2015 scores'!$C$2:$C$131,MATCH(E979,'NCO-2015 scores'!$A$2:$A$131,0))),1,0),0)</f>
        <v>1</v>
      </c>
    </row>
    <row r="980" customFormat="false" ht="15" hidden="false" customHeight="false" outlineLevel="0" collapsed="false">
      <c r="A980" s="2" t="n">
        <v>978</v>
      </c>
      <c r="B980" s="2" t="s">
        <v>3130</v>
      </c>
      <c r="C980" s="2" t="s">
        <v>3131</v>
      </c>
      <c r="D980" s="2" t="s">
        <v>3132</v>
      </c>
      <c r="E980" s="2" t="str">
        <f aca="false">LEFT(C980,3)</f>
        <v>962</v>
      </c>
      <c r="F980" s="2" t="str">
        <f aca="false">IF(D980="","",LEFT(D980,3))</f>
        <v>915</v>
      </c>
      <c r="G980" s="2" t="str">
        <f aca="false">IF(F980="","",IF(E980=F980,"Yes","No"))</f>
        <v>No</v>
      </c>
      <c r="H980" s="2" t="n">
        <f aca="false">IF(D980="",0,1/COUNTIF($D$2:$D$3451,D980))</f>
        <v>1</v>
      </c>
      <c r="I980" s="13" t="n">
        <f aca="false">IFERROR(INDEX('NCO-2015 scores'!$C$2:$C$131,MATCH(E980,'NCO-2015 scores'!$A$2:$A$131,0)),0)</f>
        <v>0.248</v>
      </c>
      <c r="J980" s="13" t="n">
        <f aca="false">IF(ISNUMBER(MATCH(E980,'NCO-2015 scores'!$A$2:$A$131,0)),IF(ISNUMBER(INDEX('NCO-2015 scores'!$C$2:$C$131,MATCH(E980,'NCO-2015 scores'!$A$2:$A$131,0))),1,0),0)</f>
        <v>1</v>
      </c>
    </row>
    <row r="981" customFormat="false" ht="15" hidden="false" customHeight="false" outlineLevel="0" collapsed="false">
      <c r="A981" s="2" t="n">
        <v>979</v>
      </c>
      <c r="B981" s="2" t="s">
        <v>3133</v>
      </c>
      <c r="C981" s="2" t="s">
        <v>3134</v>
      </c>
      <c r="D981" s="2" t="s">
        <v>3135</v>
      </c>
      <c r="E981" s="2" t="str">
        <f aca="false">LEFT(C981,3)</f>
        <v>214</v>
      </c>
      <c r="F981" s="2" t="str">
        <f aca="false">IF(D981="","",LEFT(D981,3))</f>
        <v>214</v>
      </c>
      <c r="G981" s="2" t="str">
        <f aca="false">IF(F981="","",IF(E981=F981,"Yes","No"))</f>
        <v>Yes</v>
      </c>
      <c r="H981" s="2" t="n">
        <f aca="false">IF(D981="",0,1/COUNTIF($D$2:$D$3451,D981))</f>
        <v>1</v>
      </c>
      <c r="I981" s="13" t="n">
        <f aca="false">IFERROR(INDEX('NCO-2015 scores'!$C$2:$C$131,MATCH(E981,'NCO-2015 scores'!$A$2:$A$131,0)),0)</f>
        <v>0.33</v>
      </c>
      <c r="J981" s="13" t="n">
        <f aca="false">IF(ISNUMBER(MATCH(E981,'NCO-2015 scores'!$A$2:$A$131,0)),IF(ISNUMBER(INDEX('NCO-2015 scores'!$C$2:$C$131,MATCH(E981,'NCO-2015 scores'!$A$2:$A$131,0))),1,0),0)</f>
        <v>1</v>
      </c>
    </row>
    <row r="982" customFormat="false" ht="15" hidden="false" customHeight="false" outlineLevel="0" collapsed="false">
      <c r="A982" s="2" t="n">
        <v>980</v>
      </c>
      <c r="B982" s="2" t="s">
        <v>3136</v>
      </c>
      <c r="C982" s="2" t="s">
        <v>3137</v>
      </c>
      <c r="D982" s="2" t="s">
        <v>3138</v>
      </c>
      <c r="E982" s="2" t="str">
        <f aca="false">LEFT(C982,3)</f>
        <v>226</v>
      </c>
      <c r="F982" s="2" t="str">
        <f aca="false">IF(D982="","",LEFT(D982,3))</f>
        <v>315</v>
      </c>
      <c r="G982" s="2" t="str">
        <f aca="false">IF(F982="","",IF(E982=F982,"Yes","No"))</f>
        <v>No</v>
      </c>
      <c r="H982" s="2" t="n">
        <f aca="false">IF(D982="",0,1/COUNTIF($D$2:$D$3451,D982))</f>
        <v>1</v>
      </c>
      <c r="I982" s="13" t="n">
        <f aca="false">IFERROR(INDEX('NCO-2015 scores'!$C$2:$C$131,MATCH(E982,'NCO-2015 scores'!$A$2:$A$131,0)),0)</f>
        <v>0.2662</v>
      </c>
      <c r="J982" s="13" t="n">
        <f aca="false">IF(ISNUMBER(MATCH(E982,'NCO-2015 scores'!$A$2:$A$131,0)),IF(ISNUMBER(INDEX('NCO-2015 scores'!$C$2:$C$131,MATCH(E982,'NCO-2015 scores'!$A$2:$A$131,0))),1,0),0)</f>
        <v>1</v>
      </c>
    </row>
    <row r="983" customFormat="false" ht="15" hidden="false" customHeight="false" outlineLevel="0" collapsed="false">
      <c r="A983" s="2" t="n">
        <v>981</v>
      </c>
      <c r="B983" s="2" t="s">
        <v>3139</v>
      </c>
      <c r="C983" s="2" t="s">
        <v>3140</v>
      </c>
      <c r="D983" s="2" t="s">
        <v>3141</v>
      </c>
      <c r="E983" s="2" t="str">
        <f aca="false">LEFT(C983,3)</f>
        <v>226</v>
      </c>
      <c r="F983" s="2" t="str">
        <f aca="false">IF(D983="","",LEFT(D983,3))</f>
        <v>222</v>
      </c>
      <c r="G983" s="2" t="str">
        <f aca="false">IF(F983="","",IF(E983=F983,"Yes","No"))</f>
        <v>No</v>
      </c>
      <c r="H983" s="2" t="n">
        <f aca="false">IF(D983="",0,1/COUNTIF($D$2:$D$3451,D983))</f>
        <v>1</v>
      </c>
      <c r="I983" s="13" t="n">
        <f aca="false">IFERROR(INDEX('NCO-2015 scores'!$C$2:$C$131,MATCH(E983,'NCO-2015 scores'!$A$2:$A$131,0)),0)</f>
        <v>0.2662</v>
      </c>
      <c r="J983" s="13" t="n">
        <f aca="false">IF(ISNUMBER(MATCH(E983,'NCO-2015 scores'!$A$2:$A$131,0)),IF(ISNUMBER(INDEX('NCO-2015 scores'!$C$2:$C$131,MATCH(E983,'NCO-2015 scores'!$A$2:$A$131,0))),1,0),0)</f>
        <v>1</v>
      </c>
    </row>
    <row r="984" customFormat="false" ht="15" hidden="false" customHeight="false" outlineLevel="0" collapsed="false">
      <c r="A984" s="2" t="n">
        <v>982</v>
      </c>
      <c r="B984" s="2" t="s">
        <v>3142</v>
      </c>
      <c r="C984" s="2" t="s">
        <v>3143</v>
      </c>
      <c r="D984" s="2" t="s">
        <v>3144</v>
      </c>
      <c r="E984" s="2" t="str">
        <f aca="false">LEFT(C984,3)</f>
        <v>226</v>
      </c>
      <c r="F984" s="2" t="str">
        <f aca="false">IF(D984="","",LEFT(D984,3))</f>
        <v>222</v>
      </c>
      <c r="G984" s="2" t="str">
        <f aca="false">IF(F984="","",IF(E984=F984,"Yes","No"))</f>
        <v>No</v>
      </c>
      <c r="H984" s="2" t="n">
        <f aca="false">IF(D984="",0,1/COUNTIF($D$2:$D$3451,D984))</f>
        <v>1</v>
      </c>
      <c r="I984" s="13" t="n">
        <f aca="false">IFERROR(INDEX('NCO-2015 scores'!$C$2:$C$131,MATCH(E984,'NCO-2015 scores'!$A$2:$A$131,0)),0)</f>
        <v>0.2662</v>
      </c>
      <c r="J984" s="13" t="n">
        <f aca="false">IF(ISNUMBER(MATCH(E984,'NCO-2015 scores'!$A$2:$A$131,0)),IF(ISNUMBER(INDEX('NCO-2015 scores'!$C$2:$C$131,MATCH(E984,'NCO-2015 scores'!$A$2:$A$131,0))),1,0),0)</f>
        <v>1</v>
      </c>
    </row>
    <row r="985" customFormat="false" ht="15" hidden="false" customHeight="false" outlineLevel="0" collapsed="false">
      <c r="A985" s="2" t="n">
        <v>983</v>
      </c>
      <c r="B985" s="2" t="s">
        <v>3145</v>
      </c>
      <c r="C985" s="2" t="s">
        <v>3146</v>
      </c>
      <c r="D985" s="2" t="s">
        <v>3147</v>
      </c>
      <c r="E985" s="2" t="str">
        <f aca="false">LEFT(C985,3)</f>
        <v>325</v>
      </c>
      <c r="F985" s="2" t="str">
        <f aca="false">IF(D985="","",LEFT(D985,3))</f>
        <v>321</v>
      </c>
      <c r="G985" s="2" t="str">
        <f aca="false">IF(F985="","",IF(E985=F985,"Yes","No"))</f>
        <v>No</v>
      </c>
      <c r="H985" s="2" t="n">
        <f aca="false">IF(D985="",0,1/COUNTIF($D$2:$D$3451,D985))</f>
        <v>1</v>
      </c>
      <c r="I985" s="13" t="n">
        <f aca="false">IFERROR(INDEX('NCO-2015 scores'!$C$2:$C$131,MATCH(E985,'NCO-2015 scores'!$A$2:$A$131,0)),0)</f>
        <v>0.2689</v>
      </c>
      <c r="J985" s="13" t="n">
        <f aca="false">IF(ISNUMBER(MATCH(E985,'NCO-2015 scores'!$A$2:$A$131,0)),IF(ISNUMBER(INDEX('NCO-2015 scores'!$C$2:$C$131,MATCH(E985,'NCO-2015 scores'!$A$2:$A$131,0))),1,0),0)</f>
        <v>1</v>
      </c>
    </row>
    <row r="986" customFormat="false" ht="15" hidden="false" customHeight="false" outlineLevel="0" collapsed="false">
      <c r="A986" s="2" t="n">
        <v>984</v>
      </c>
      <c r="B986" s="2" t="s">
        <v>3148</v>
      </c>
      <c r="C986" s="2" t="s">
        <v>3149</v>
      </c>
      <c r="D986" s="2" t="s">
        <v>3150</v>
      </c>
      <c r="E986" s="2" t="str">
        <f aca="false">LEFT(C986,3)</f>
        <v>325</v>
      </c>
      <c r="F986" s="2" t="str">
        <f aca="false">IF(D986="","",LEFT(D986,3))</f>
        <v>321</v>
      </c>
      <c r="G986" s="2" t="str">
        <f aca="false">IF(F986="","",IF(E986=F986,"Yes","No"))</f>
        <v>No</v>
      </c>
      <c r="H986" s="2" t="n">
        <f aca="false">IF(D986="",0,1/COUNTIF($D$2:$D$3451,D986))</f>
        <v>1</v>
      </c>
      <c r="I986" s="13" t="n">
        <f aca="false">IFERROR(INDEX('NCO-2015 scores'!$C$2:$C$131,MATCH(E986,'NCO-2015 scores'!$A$2:$A$131,0)),0)</f>
        <v>0.2689</v>
      </c>
      <c r="J986" s="13" t="n">
        <f aca="false">IF(ISNUMBER(MATCH(E986,'NCO-2015 scores'!$A$2:$A$131,0)),IF(ISNUMBER(INDEX('NCO-2015 scores'!$C$2:$C$131,MATCH(E986,'NCO-2015 scores'!$A$2:$A$131,0))),1,0),0)</f>
        <v>1</v>
      </c>
    </row>
    <row r="987" customFormat="false" ht="15" hidden="false" customHeight="false" outlineLevel="0" collapsed="false">
      <c r="A987" s="2" t="n">
        <v>985</v>
      </c>
      <c r="B987" s="2" t="s">
        <v>3151</v>
      </c>
      <c r="C987" s="2" t="s">
        <v>3152</v>
      </c>
      <c r="D987" s="2" t="s">
        <v>3153</v>
      </c>
      <c r="E987" s="2" t="str">
        <f aca="false">LEFT(C987,3)</f>
        <v>325</v>
      </c>
      <c r="F987" s="2" t="str">
        <f aca="false">IF(D987="","",LEFT(D987,3))</f>
        <v>321</v>
      </c>
      <c r="G987" s="2" t="str">
        <f aca="false">IF(F987="","",IF(E987=F987,"Yes","No"))</f>
        <v>No</v>
      </c>
      <c r="H987" s="2" t="n">
        <f aca="false">IF(D987="",0,1/COUNTIF($D$2:$D$3451,D987))</f>
        <v>1</v>
      </c>
      <c r="I987" s="13" t="n">
        <f aca="false">IFERROR(INDEX('NCO-2015 scores'!$C$2:$C$131,MATCH(E987,'NCO-2015 scores'!$A$2:$A$131,0)),0)</f>
        <v>0.2689</v>
      </c>
      <c r="J987" s="13" t="n">
        <f aca="false">IF(ISNUMBER(MATCH(E987,'NCO-2015 scores'!$A$2:$A$131,0)),IF(ISNUMBER(INDEX('NCO-2015 scores'!$C$2:$C$131,MATCH(E987,'NCO-2015 scores'!$A$2:$A$131,0))),1,0),0)</f>
        <v>1</v>
      </c>
    </row>
    <row r="988" customFormat="false" ht="15" hidden="false" customHeight="false" outlineLevel="0" collapsed="false">
      <c r="A988" s="2" t="n">
        <v>986</v>
      </c>
      <c r="B988" s="2" t="s">
        <v>3154</v>
      </c>
      <c r="C988" s="2" t="s">
        <v>3155</v>
      </c>
      <c r="D988" s="2"/>
      <c r="E988" s="2" t="str">
        <f aca="false">LEFT(C988,3)</f>
        <v>325</v>
      </c>
      <c r="F988" s="2" t="str">
        <f aca="false">IF(D988="","",LEFT(D988,3))</f>
        <v/>
      </c>
      <c r="G988" s="2" t="str">
        <f aca="false">IF(F988="","",IF(E988=F988,"Yes","No"))</f>
        <v/>
      </c>
      <c r="H988" s="2" t="n">
        <f aca="false">IF(D988="",0,1/COUNTIF($D$2:$D$3451,D988))</f>
        <v>0</v>
      </c>
      <c r="I988" s="13" t="n">
        <f aca="false">IFERROR(INDEX('NCO-2015 scores'!$C$2:$C$131,MATCH(E988,'NCO-2015 scores'!$A$2:$A$131,0)),0)</f>
        <v>0.2689</v>
      </c>
      <c r="J988" s="13" t="n">
        <f aca="false">IF(ISNUMBER(MATCH(E988,'NCO-2015 scores'!$A$2:$A$131,0)),IF(ISNUMBER(INDEX('NCO-2015 scores'!$C$2:$C$131,MATCH(E988,'NCO-2015 scores'!$A$2:$A$131,0))),1,0),0)</f>
        <v>1</v>
      </c>
    </row>
    <row r="989" customFormat="false" ht="15" hidden="false" customHeight="false" outlineLevel="0" collapsed="false">
      <c r="A989" s="2" t="n">
        <v>987</v>
      </c>
      <c r="B989" s="2" t="s">
        <v>3156</v>
      </c>
      <c r="C989" s="2" t="s">
        <v>3157</v>
      </c>
      <c r="D989" s="2" t="s">
        <v>3158</v>
      </c>
      <c r="E989" s="2" t="str">
        <f aca="false">LEFT(C989,3)</f>
        <v>325</v>
      </c>
      <c r="F989" s="2" t="str">
        <f aca="false">IF(D989="","",LEFT(D989,3))</f>
        <v>321</v>
      </c>
      <c r="G989" s="2" t="str">
        <f aca="false">IF(F989="","",IF(E989=F989,"Yes","No"))</f>
        <v>No</v>
      </c>
      <c r="H989" s="2" t="n">
        <f aca="false">IF(D989="",0,1/COUNTIF($D$2:$D$3451,D989))</f>
        <v>1</v>
      </c>
      <c r="I989" s="13" t="n">
        <f aca="false">IFERROR(INDEX('NCO-2015 scores'!$C$2:$C$131,MATCH(E989,'NCO-2015 scores'!$A$2:$A$131,0)),0)</f>
        <v>0.2689</v>
      </c>
      <c r="J989" s="13" t="n">
        <f aca="false">IF(ISNUMBER(MATCH(E989,'NCO-2015 scores'!$A$2:$A$131,0)),IF(ISNUMBER(INDEX('NCO-2015 scores'!$C$2:$C$131,MATCH(E989,'NCO-2015 scores'!$A$2:$A$131,0))),1,0),0)</f>
        <v>1</v>
      </c>
    </row>
    <row r="990" customFormat="false" ht="15" hidden="false" customHeight="false" outlineLevel="0" collapsed="false">
      <c r="A990" s="2" t="n">
        <v>988</v>
      </c>
      <c r="B990" s="2" t="s">
        <v>3159</v>
      </c>
      <c r="C990" s="2" t="s">
        <v>3160</v>
      </c>
      <c r="D990" s="2" t="s">
        <v>3161</v>
      </c>
      <c r="E990" s="2" t="str">
        <f aca="false">LEFT(C990,3)</f>
        <v>325</v>
      </c>
      <c r="F990" s="2" t="str">
        <f aca="false">IF(D990="","",LEFT(D990,3))</f>
        <v>322</v>
      </c>
      <c r="G990" s="2" t="str">
        <f aca="false">IF(F990="","",IF(E990=F990,"Yes","No"))</f>
        <v>No</v>
      </c>
      <c r="H990" s="2" t="n">
        <f aca="false">IF(D990="",0,1/COUNTIF($D$2:$D$3451,D990))</f>
        <v>1</v>
      </c>
      <c r="I990" s="13" t="n">
        <f aca="false">IFERROR(INDEX('NCO-2015 scores'!$C$2:$C$131,MATCH(E990,'NCO-2015 scores'!$A$2:$A$131,0)),0)</f>
        <v>0.2689</v>
      </c>
      <c r="J990" s="13" t="n">
        <f aca="false">IF(ISNUMBER(MATCH(E990,'NCO-2015 scores'!$A$2:$A$131,0)),IF(ISNUMBER(INDEX('NCO-2015 scores'!$C$2:$C$131,MATCH(E990,'NCO-2015 scores'!$A$2:$A$131,0))),1,0),0)</f>
        <v>1</v>
      </c>
    </row>
    <row r="991" customFormat="false" ht="15" hidden="false" customHeight="false" outlineLevel="0" collapsed="false">
      <c r="A991" s="2" t="n">
        <v>989</v>
      </c>
      <c r="B991" s="2" t="s">
        <v>3162</v>
      </c>
      <c r="C991" s="2" t="s">
        <v>3163</v>
      </c>
      <c r="D991" s="2" t="s">
        <v>3164</v>
      </c>
      <c r="E991" s="2" t="str">
        <f aca="false">LEFT(C991,3)</f>
        <v>214</v>
      </c>
      <c r="F991" s="2" t="str">
        <f aca="false">IF(D991="","",LEFT(D991,3))</f>
        <v>214</v>
      </c>
      <c r="G991" s="2" t="str">
        <f aca="false">IF(F991="","",IF(E991=F991,"Yes","No"))</f>
        <v>Yes</v>
      </c>
      <c r="H991" s="2" t="n">
        <f aca="false">IF(D991="",0,1/COUNTIF($D$2:$D$3451,D991))</f>
        <v>1</v>
      </c>
      <c r="I991" s="13" t="n">
        <f aca="false">IFERROR(INDEX('NCO-2015 scores'!$C$2:$C$131,MATCH(E991,'NCO-2015 scores'!$A$2:$A$131,0)),0)</f>
        <v>0.33</v>
      </c>
      <c r="J991" s="13" t="n">
        <f aca="false">IF(ISNUMBER(MATCH(E991,'NCO-2015 scores'!$A$2:$A$131,0)),IF(ISNUMBER(INDEX('NCO-2015 scores'!$C$2:$C$131,MATCH(E991,'NCO-2015 scores'!$A$2:$A$131,0))),1,0),0)</f>
        <v>1</v>
      </c>
    </row>
    <row r="992" customFormat="false" ht="15" hidden="false" customHeight="false" outlineLevel="0" collapsed="false">
      <c r="A992" s="2" t="n">
        <v>990</v>
      </c>
      <c r="B992" s="2" t="s">
        <v>3165</v>
      </c>
      <c r="C992" s="2" t="s">
        <v>3166</v>
      </c>
      <c r="D992" s="2" t="s">
        <v>3167</v>
      </c>
      <c r="E992" s="2" t="str">
        <f aca="false">LEFT(C992,3)</f>
        <v>214</v>
      </c>
      <c r="F992" s="2" t="str">
        <f aca="false">IF(D992="","",LEFT(D992,3))</f>
        <v>214</v>
      </c>
      <c r="G992" s="2" t="str">
        <f aca="false">IF(F992="","",IF(E992=F992,"Yes","No"))</f>
        <v>Yes</v>
      </c>
      <c r="H992" s="2" t="n">
        <f aca="false">IF(D992="",0,1/COUNTIF($D$2:$D$3451,D992))</f>
        <v>1</v>
      </c>
      <c r="I992" s="13" t="n">
        <f aca="false">IFERROR(INDEX('NCO-2015 scores'!$C$2:$C$131,MATCH(E992,'NCO-2015 scores'!$A$2:$A$131,0)),0)</f>
        <v>0.33</v>
      </c>
      <c r="J992" s="13" t="n">
        <f aca="false">IF(ISNUMBER(MATCH(E992,'NCO-2015 scores'!$A$2:$A$131,0)),IF(ISNUMBER(INDEX('NCO-2015 scores'!$C$2:$C$131,MATCH(E992,'NCO-2015 scores'!$A$2:$A$131,0))),1,0),0)</f>
        <v>1</v>
      </c>
    </row>
    <row r="993" customFormat="false" ht="15" hidden="false" customHeight="false" outlineLevel="0" collapsed="false">
      <c r="A993" s="2" t="n">
        <v>991</v>
      </c>
      <c r="B993" s="2" t="s">
        <v>3168</v>
      </c>
      <c r="C993" s="2" t="s">
        <v>3169</v>
      </c>
      <c r="D993" s="2" t="s">
        <v>3170</v>
      </c>
      <c r="E993" s="2" t="str">
        <f aca="false">LEFT(C993,3)</f>
        <v>214</v>
      </c>
      <c r="F993" s="2" t="str">
        <f aca="false">IF(D993="","",LEFT(D993,3))</f>
        <v>214</v>
      </c>
      <c r="G993" s="2" t="str">
        <f aca="false">IF(F993="","",IF(E993=F993,"Yes","No"))</f>
        <v>Yes</v>
      </c>
      <c r="H993" s="2" t="n">
        <f aca="false">IF(D993="",0,1/COUNTIF($D$2:$D$3451,D993))</f>
        <v>1</v>
      </c>
      <c r="I993" s="13" t="n">
        <f aca="false">IFERROR(INDEX('NCO-2015 scores'!$C$2:$C$131,MATCH(E993,'NCO-2015 scores'!$A$2:$A$131,0)),0)</f>
        <v>0.33</v>
      </c>
      <c r="J993" s="13" t="n">
        <f aca="false">IF(ISNUMBER(MATCH(E993,'NCO-2015 scores'!$A$2:$A$131,0)),IF(ISNUMBER(INDEX('NCO-2015 scores'!$C$2:$C$131,MATCH(E993,'NCO-2015 scores'!$A$2:$A$131,0))),1,0),0)</f>
        <v>1</v>
      </c>
    </row>
    <row r="994" customFormat="false" ht="15" hidden="false" customHeight="false" outlineLevel="0" collapsed="false">
      <c r="A994" s="2" t="n">
        <v>992</v>
      </c>
      <c r="B994" s="2" t="s">
        <v>3171</v>
      </c>
      <c r="C994" s="2" t="s">
        <v>3172</v>
      </c>
      <c r="D994" s="2" t="s">
        <v>3173</v>
      </c>
      <c r="E994" s="2" t="str">
        <f aca="false">LEFT(C994,3)</f>
        <v>214</v>
      </c>
      <c r="F994" s="2" t="str">
        <f aca="false">IF(D994="","",LEFT(D994,3))</f>
        <v>214</v>
      </c>
      <c r="G994" s="2" t="str">
        <f aca="false">IF(F994="","",IF(E994=F994,"Yes","No"))</f>
        <v>Yes</v>
      </c>
      <c r="H994" s="2" t="n">
        <f aca="false">IF(D994="",0,1/COUNTIF($D$2:$D$3451,D994))</f>
        <v>1</v>
      </c>
      <c r="I994" s="13" t="n">
        <f aca="false">IFERROR(INDEX('NCO-2015 scores'!$C$2:$C$131,MATCH(E994,'NCO-2015 scores'!$A$2:$A$131,0)),0)</f>
        <v>0.33</v>
      </c>
      <c r="J994" s="13" t="n">
        <f aca="false">IF(ISNUMBER(MATCH(E994,'NCO-2015 scores'!$A$2:$A$131,0)),IF(ISNUMBER(INDEX('NCO-2015 scores'!$C$2:$C$131,MATCH(E994,'NCO-2015 scores'!$A$2:$A$131,0))),1,0),0)</f>
        <v>1</v>
      </c>
    </row>
    <row r="995" customFormat="false" ht="15" hidden="false" customHeight="false" outlineLevel="0" collapsed="false">
      <c r="A995" s="2" t="n">
        <v>993</v>
      </c>
      <c r="B995" s="2" t="s">
        <v>3174</v>
      </c>
      <c r="C995" s="2" t="s">
        <v>3175</v>
      </c>
      <c r="D995" s="2" t="s">
        <v>3176</v>
      </c>
      <c r="E995" s="2" t="str">
        <f aca="false">LEFT(C995,3)</f>
        <v>214</v>
      </c>
      <c r="F995" s="2" t="str">
        <f aca="false">IF(D995="","",LEFT(D995,3))</f>
        <v>214</v>
      </c>
      <c r="G995" s="2" t="str">
        <f aca="false">IF(F995="","",IF(E995=F995,"Yes","No"))</f>
        <v>Yes</v>
      </c>
      <c r="H995" s="2" t="n">
        <f aca="false">IF(D995="",0,1/COUNTIF($D$2:$D$3451,D995))</f>
        <v>1</v>
      </c>
      <c r="I995" s="13" t="n">
        <f aca="false">IFERROR(INDEX('NCO-2015 scores'!$C$2:$C$131,MATCH(E995,'NCO-2015 scores'!$A$2:$A$131,0)),0)</f>
        <v>0.33</v>
      </c>
      <c r="J995" s="13" t="n">
        <f aca="false">IF(ISNUMBER(MATCH(E995,'NCO-2015 scores'!$A$2:$A$131,0)),IF(ISNUMBER(INDEX('NCO-2015 scores'!$C$2:$C$131,MATCH(E995,'NCO-2015 scores'!$A$2:$A$131,0))),1,0),0)</f>
        <v>1</v>
      </c>
    </row>
    <row r="996" customFormat="false" ht="15" hidden="false" customHeight="false" outlineLevel="0" collapsed="false">
      <c r="A996" s="2" t="n">
        <v>994</v>
      </c>
      <c r="B996" s="2" t="s">
        <v>3177</v>
      </c>
      <c r="C996" s="2" t="s">
        <v>3178</v>
      </c>
      <c r="D996" s="2" t="s">
        <v>3179</v>
      </c>
      <c r="E996" s="2" t="str">
        <f aca="false">LEFT(C996,3)</f>
        <v>213</v>
      </c>
      <c r="F996" s="2" t="str">
        <f aca="false">IF(D996="","",LEFT(D996,3))</f>
        <v>221</v>
      </c>
      <c r="G996" s="2" t="str">
        <f aca="false">IF(F996="","",IF(E996=F996,"Yes","No"))</f>
        <v>No</v>
      </c>
      <c r="H996" s="2" t="n">
        <f aca="false">IF(D996="",0,1/COUNTIF($D$2:$D$3451,D996))</f>
        <v>1</v>
      </c>
      <c r="I996" s="13" t="n">
        <f aca="false">IFERROR(INDEX('NCO-2015 scores'!$C$2:$C$131,MATCH(E996,'NCO-2015 scores'!$A$2:$A$131,0)),0)</f>
        <v>0.3567</v>
      </c>
      <c r="J996" s="13" t="n">
        <f aca="false">IF(ISNUMBER(MATCH(E996,'NCO-2015 scores'!$A$2:$A$131,0)),IF(ISNUMBER(INDEX('NCO-2015 scores'!$C$2:$C$131,MATCH(E996,'NCO-2015 scores'!$A$2:$A$131,0))),1,0),0)</f>
        <v>1</v>
      </c>
    </row>
    <row r="997" customFormat="false" ht="15" hidden="false" customHeight="false" outlineLevel="0" collapsed="false">
      <c r="A997" s="2" t="n">
        <v>995</v>
      </c>
      <c r="B997" s="2" t="s">
        <v>3180</v>
      </c>
      <c r="C997" s="2" t="s">
        <v>3181</v>
      </c>
      <c r="D997" s="2" t="s">
        <v>3182</v>
      </c>
      <c r="E997" s="2" t="str">
        <f aca="false">LEFT(C997,3)</f>
        <v>213</v>
      </c>
      <c r="F997" s="2" t="str">
        <f aca="false">IF(D997="","",LEFT(D997,3))</f>
        <v>221</v>
      </c>
      <c r="G997" s="2" t="str">
        <f aca="false">IF(F997="","",IF(E997=F997,"Yes","No"))</f>
        <v>No</v>
      </c>
      <c r="H997" s="2" t="n">
        <f aca="false">IF(D997="",0,1/COUNTIF($D$2:$D$3451,D997))</f>
        <v>1</v>
      </c>
      <c r="I997" s="13" t="n">
        <f aca="false">IFERROR(INDEX('NCO-2015 scores'!$C$2:$C$131,MATCH(E997,'NCO-2015 scores'!$A$2:$A$131,0)),0)</f>
        <v>0.3567</v>
      </c>
      <c r="J997" s="13" t="n">
        <f aca="false">IF(ISNUMBER(MATCH(E997,'NCO-2015 scores'!$A$2:$A$131,0)),IF(ISNUMBER(INDEX('NCO-2015 scores'!$C$2:$C$131,MATCH(E997,'NCO-2015 scores'!$A$2:$A$131,0))),1,0),0)</f>
        <v>1</v>
      </c>
    </row>
    <row r="998" customFormat="false" ht="15" hidden="false" customHeight="false" outlineLevel="0" collapsed="false">
      <c r="A998" s="2" t="n">
        <v>996</v>
      </c>
      <c r="B998" s="2" t="s">
        <v>3183</v>
      </c>
      <c r="C998" s="2" t="s">
        <v>3184</v>
      </c>
      <c r="D998" s="2" t="s">
        <v>3185</v>
      </c>
      <c r="E998" s="2" t="str">
        <f aca="false">LEFT(C998,3)</f>
        <v>213</v>
      </c>
      <c r="F998" s="2" t="str">
        <f aca="false">IF(D998="","",LEFT(D998,3))</f>
        <v>221</v>
      </c>
      <c r="G998" s="2" t="str">
        <f aca="false">IF(F998="","",IF(E998=F998,"Yes","No"))</f>
        <v>No</v>
      </c>
      <c r="H998" s="2" t="n">
        <f aca="false">IF(D998="",0,1/COUNTIF($D$2:$D$3451,D998))</f>
        <v>1</v>
      </c>
      <c r="I998" s="13" t="n">
        <f aca="false">IFERROR(INDEX('NCO-2015 scores'!$C$2:$C$131,MATCH(E998,'NCO-2015 scores'!$A$2:$A$131,0)),0)</f>
        <v>0.3567</v>
      </c>
      <c r="J998" s="13" t="n">
        <f aca="false">IF(ISNUMBER(MATCH(E998,'NCO-2015 scores'!$A$2:$A$131,0)),IF(ISNUMBER(INDEX('NCO-2015 scores'!$C$2:$C$131,MATCH(E998,'NCO-2015 scores'!$A$2:$A$131,0))),1,0),0)</f>
        <v>1</v>
      </c>
    </row>
    <row r="999" customFormat="false" ht="15" hidden="false" customHeight="false" outlineLevel="0" collapsed="false">
      <c r="A999" s="2" t="n">
        <v>997</v>
      </c>
      <c r="B999" s="2" t="s">
        <v>3186</v>
      </c>
      <c r="C999" s="2" t="s">
        <v>3187</v>
      </c>
      <c r="D999" s="2" t="s">
        <v>3188</v>
      </c>
      <c r="E999" s="2" t="str">
        <f aca="false">LEFT(C999,3)</f>
        <v>213</v>
      </c>
      <c r="F999" s="2" t="str">
        <f aca="false">IF(D999="","",LEFT(D999,3))</f>
        <v>221</v>
      </c>
      <c r="G999" s="2" t="str">
        <f aca="false">IF(F999="","",IF(E999=F999,"Yes","No"))</f>
        <v>No</v>
      </c>
      <c r="H999" s="2" t="n">
        <f aca="false">IF(D999="",0,1/COUNTIF($D$2:$D$3451,D999))</f>
        <v>1</v>
      </c>
      <c r="I999" s="13" t="n">
        <f aca="false">IFERROR(INDEX('NCO-2015 scores'!$C$2:$C$131,MATCH(E999,'NCO-2015 scores'!$A$2:$A$131,0)),0)</f>
        <v>0.3567</v>
      </c>
      <c r="J999" s="13" t="n">
        <f aca="false">IF(ISNUMBER(MATCH(E999,'NCO-2015 scores'!$A$2:$A$131,0)),IF(ISNUMBER(INDEX('NCO-2015 scores'!$C$2:$C$131,MATCH(E999,'NCO-2015 scores'!$A$2:$A$131,0))),1,0),0)</f>
        <v>1</v>
      </c>
    </row>
    <row r="1000" customFormat="false" ht="15" hidden="false" customHeight="false" outlineLevel="0" collapsed="false">
      <c r="A1000" s="2" t="n">
        <v>998</v>
      </c>
      <c r="B1000" s="2" t="s">
        <v>3189</v>
      </c>
      <c r="C1000" s="2" t="s">
        <v>3190</v>
      </c>
      <c r="D1000" s="2" t="s">
        <v>3191</v>
      </c>
      <c r="E1000" s="2" t="str">
        <f aca="false">LEFT(C1000,3)</f>
        <v>213</v>
      </c>
      <c r="F1000" s="2" t="str">
        <f aca="false">IF(D1000="","",LEFT(D1000,3))</f>
        <v>221</v>
      </c>
      <c r="G1000" s="2" t="str">
        <f aca="false">IF(F1000="","",IF(E1000=F1000,"Yes","No"))</f>
        <v>No</v>
      </c>
      <c r="H1000" s="2" t="n">
        <f aca="false">IF(D1000="",0,1/COUNTIF($D$2:$D$3451,D1000))</f>
        <v>1</v>
      </c>
      <c r="I1000" s="13" t="n">
        <f aca="false">IFERROR(INDEX('NCO-2015 scores'!$C$2:$C$131,MATCH(E1000,'NCO-2015 scores'!$A$2:$A$131,0)),0)</f>
        <v>0.3567</v>
      </c>
      <c r="J1000" s="13" t="n">
        <f aca="false">IF(ISNUMBER(MATCH(E1000,'NCO-2015 scores'!$A$2:$A$131,0)),IF(ISNUMBER(INDEX('NCO-2015 scores'!$C$2:$C$131,MATCH(E1000,'NCO-2015 scores'!$A$2:$A$131,0))),1,0),0)</f>
        <v>1</v>
      </c>
    </row>
    <row r="1001" customFormat="false" ht="15" hidden="false" customHeight="false" outlineLevel="0" collapsed="false">
      <c r="A1001" s="2" t="n">
        <v>999</v>
      </c>
      <c r="B1001" s="2" t="s">
        <v>3192</v>
      </c>
      <c r="C1001" s="2" t="s">
        <v>3193</v>
      </c>
      <c r="D1001" s="2" t="s">
        <v>3194</v>
      </c>
      <c r="E1001" s="2" t="str">
        <f aca="false">LEFT(C1001,3)</f>
        <v>213</v>
      </c>
      <c r="F1001" s="2" t="str">
        <f aca="false">IF(D1001="","",LEFT(D1001,3))</f>
        <v>221</v>
      </c>
      <c r="G1001" s="2" t="str">
        <f aca="false">IF(F1001="","",IF(E1001=F1001,"Yes","No"))</f>
        <v>No</v>
      </c>
      <c r="H1001" s="2" t="n">
        <f aca="false">IF(D1001="",0,1/COUNTIF($D$2:$D$3451,D1001))</f>
        <v>0.5</v>
      </c>
      <c r="I1001" s="13" t="n">
        <f aca="false">IFERROR(INDEX('NCO-2015 scores'!$C$2:$C$131,MATCH(E1001,'NCO-2015 scores'!$A$2:$A$131,0)),0)</f>
        <v>0.3567</v>
      </c>
      <c r="J1001" s="13" t="n">
        <f aca="false">IF(ISNUMBER(MATCH(E1001,'NCO-2015 scores'!$A$2:$A$131,0)),IF(ISNUMBER(INDEX('NCO-2015 scores'!$C$2:$C$131,MATCH(E1001,'NCO-2015 scores'!$A$2:$A$131,0))),1,0),0)</f>
        <v>1</v>
      </c>
    </row>
    <row r="1002" customFormat="false" ht="15" hidden="false" customHeight="false" outlineLevel="0" collapsed="false">
      <c r="A1002" s="2" t="n">
        <v>1000</v>
      </c>
      <c r="B1002" s="2" t="s">
        <v>3195</v>
      </c>
      <c r="C1002" s="2" t="s">
        <v>3196</v>
      </c>
      <c r="D1002" s="2" t="s">
        <v>3197</v>
      </c>
      <c r="E1002" s="2" t="str">
        <f aca="false">LEFT(C1002,3)</f>
        <v>213</v>
      </c>
      <c r="F1002" s="2" t="str">
        <f aca="false">IF(D1002="","",LEFT(D1002,3))</f>
        <v>221</v>
      </c>
      <c r="G1002" s="2" t="str">
        <f aca="false">IF(F1002="","",IF(E1002=F1002,"Yes","No"))</f>
        <v>No</v>
      </c>
      <c r="H1002" s="2" t="n">
        <f aca="false">IF(D1002="",0,1/COUNTIF($D$2:$D$3451,D1002))</f>
        <v>1</v>
      </c>
      <c r="I1002" s="13" t="n">
        <f aca="false">IFERROR(INDEX('NCO-2015 scores'!$C$2:$C$131,MATCH(E1002,'NCO-2015 scores'!$A$2:$A$131,0)),0)</f>
        <v>0.3567</v>
      </c>
      <c r="J1002" s="13" t="n">
        <f aca="false">IF(ISNUMBER(MATCH(E1002,'NCO-2015 scores'!$A$2:$A$131,0)),IF(ISNUMBER(INDEX('NCO-2015 scores'!$C$2:$C$131,MATCH(E1002,'NCO-2015 scores'!$A$2:$A$131,0))),1,0),0)</f>
        <v>1</v>
      </c>
    </row>
    <row r="1003" customFormat="false" ht="15" hidden="false" customHeight="false" outlineLevel="0" collapsed="false">
      <c r="A1003" s="2" t="n">
        <v>1001</v>
      </c>
      <c r="B1003" s="2" t="s">
        <v>3198</v>
      </c>
      <c r="C1003" s="2" t="s">
        <v>3199</v>
      </c>
      <c r="D1003" s="2" t="s">
        <v>3200</v>
      </c>
      <c r="E1003" s="2" t="str">
        <f aca="false">LEFT(C1003,3)</f>
        <v>213</v>
      </c>
      <c r="F1003" s="2" t="str">
        <f aca="false">IF(D1003="","",LEFT(D1003,3))</f>
        <v>221</v>
      </c>
      <c r="G1003" s="2" t="str">
        <f aca="false">IF(F1003="","",IF(E1003=F1003,"Yes","No"))</f>
        <v>No</v>
      </c>
      <c r="H1003" s="2" t="n">
        <f aca="false">IF(D1003="",0,1/COUNTIF($D$2:$D$3451,D1003))</f>
        <v>1</v>
      </c>
      <c r="I1003" s="13" t="n">
        <f aca="false">IFERROR(INDEX('NCO-2015 scores'!$C$2:$C$131,MATCH(E1003,'NCO-2015 scores'!$A$2:$A$131,0)),0)</f>
        <v>0.3567</v>
      </c>
      <c r="J1003" s="13" t="n">
        <f aca="false">IF(ISNUMBER(MATCH(E1003,'NCO-2015 scores'!$A$2:$A$131,0)),IF(ISNUMBER(INDEX('NCO-2015 scores'!$C$2:$C$131,MATCH(E1003,'NCO-2015 scores'!$A$2:$A$131,0))),1,0),0)</f>
        <v>1</v>
      </c>
    </row>
    <row r="1004" customFormat="false" ht="15" hidden="false" customHeight="false" outlineLevel="0" collapsed="false">
      <c r="A1004" s="2" t="n">
        <v>1002</v>
      </c>
      <c r="B1004" s="2" t="s">
        <v>3201</v>
      </c>
      <c r="C1004" s="2" t="s">
        <v>3202</v>
      </c>
      <c r="D1004" s="2" t="s">
        <v>3203</v>
      </c>
      <c r="E1004" s="2" t="str">
        <f aca="false">LEFT(C1004,3)</f>
        <v>213</v>
      </c>
      <c r="F1004" s="2" t="str">
        <f aca="false">IF(D1004="","",LEFT(D1004,3))</f>
        <v>221</v>
      </c>
      <c r="G1004" s="2" t="str">
        <f aca="false">IF(F1004="","",IF(E1004=F1004,"Yes","No"))</f>
        <v>No</v>
      </c>
      <c r="H1004" s="2" t="n">
        <f aca="false">IF(D1004="",0,1/COUNTIF($D$2:$D$3451,D1004))</f>
        <v>1</v>
      </c>
      <c r="I1004" s="13" t="n">
        <f aca="false">IFERROR(INDEX('NCO-2015 scores'!$C$2:$C$131,MATCH(E1004,'NCO-2015 scores'!$A$2:$A$131,0)),0)</f>
        <v>0.3567</v>
      </c>
      <c r="J1004" s="13" t="n">
        <f aca="false">IF(ISNUMBER(MATCH(E1004,'NCO-2015 scores'!$A$2:$A$131,0)),IF(ISNUMBER(INDEX('NCO-2015 scores'!$C$2:$C$131,MATCH(E1004,'NCO-2015 scores'!$A$2:$A$131,0))),1,0),0)</f>
        <v>1</v>
      </c>
    </row>
    <row r="1005" customFormat="false" ht="15" hidden="false" customHeight="false" outlineLevel="0" collapsed="false">
      <c r="A1005" s="2" t="n">
        <v>1003</v>
      </c>
      <c r="B1005" s="2" t="s">
        <v>3204</v>
      </c>
      <c r="C1005" s="2" t="s">
        <v>3205</v>
      </c>
      <c r="D1005" s="2" t="s">
        <v>3206</v>
      </c>
      <c r="E1005" s="2" t="str">
        <f aca="false">LEFT(C1005,3)</f>
        <v>213</v>
      </c>
      <c r="F1005" s="2" t="str">
        <f aca="false">IF(D1005="","",LEFT(D1005,3))</f>
        <v>221</v>
      </c>
      <c r="G1005" s="2" t="str">
        <f aca="false">IF(F1005="","",IF(E1005=F1005,"Yes","No"))</f>
        <v>No</v>
      </c>
      <c r="H1005" s="2" t="n">
        <f aca="false">IF(D1005="",0,1/COUNTIF($D$2:$D$3451,D1005))</f>
        <v>1</v>
      </c>
      <c r="I1005" s="13" t="n">
        <f aca="false">IFERROR(INDEX('NCO-2015 scores'!$C$2:$C$131,MATCH(E1005,'NCO-2015 scores'!$A$2:$A$131,0)),0)</f>
        <v>0.3567</v>
      </c>
      <c r="J1005" s="13" t="n">
        <f aca="false">IF(ISNUMBER(MATCH(E1005,'NCO-2015 scores'!$A$2:$A$131,0)),IF(ISNUMBER(INDEX('NCO-2015 scores'!$C$2:$C$131,MATCH(E1005,'NCO-2015 scores'!$A$2:$A$131,0))),1,0),0)</f>
        <v>1</v>
      </c>
    </row>
    <row r="1006" customFormat="false" ht="15" hidden="false" customHeight="false" outlineLevel="0" collapsed="false">
      <c r="A1006" s="2" t="n">
        <v>1004</v>
      </c>
      <c r="B1006" s="2" t="s">
        <v>3207</v>
      </c>
      <c r="C1006" s="2" t="s">
        <v>3208</v>
      </c>
      <c r="D1006" s="2" t="s">
        <v>3209</v>
      </c>
      <c r="E1006" s="2" t="str">
        <f aca="false">LEFT(C1006,3)</f>
        <v>213</v>
      </c>
      <c r="F1006" s="2" t="str">
        <f aca="false">IF(D1006="","",LEFT(D1006,3))</f>
        <v>221</v>
      </c>
      <c r="G1006" s="2" t="str">
        <f aca="false">IF(F1006="","",IF(E1006=F1006,"Yes","No"))</f>
        <v>No</v>
      </c>
      <c r="H1006" s="2" t="n">
        <f aca="false">IF(D1006="",0,1/COUNTIF($D$2:$D$3451,D1006))</f>
        <v>1</v>
      </c>
      <c r="I1006" s="13" t="n">
        <f aca="false">IFERROR(INDEX('NCO-2015 scores'!$C$2:$C$131,MATCH(E1006,'NCO-2015 scores'!$A$2:$A$131,0)),0)</f>
        <v>0.3567</v>
      </c>
      <c r="J1006" s="13" t="n">
        <f aca="false">IF(ISNUMBER(MATCH(E1006,'NCO-2015 scores'!$A$2:$A$131,0)),IF(ISNUMBER(INDEX('NCO-2015 scores'!$C$2:$C$131,MATCH(E1006,'NCO-2015 scores'!$A$2:$A$131,0))),1,0),0)</f>
        <v>1</v>
      </c>
    </row>
    <row r="1007" customFormat="false" ht="15" hidden="false" customHeight="false" outlineLevel="0" collapsed="false">
      <c r="A1007" s="2" t="n">
        <v>1005</v>
      </c>
      <c r="B1007" s="2" t="s">
        <v>3210</v>
      </c>
      <c r="C1007" s="2" t="s">
        <v>3211</v>
      </c>
      <c r="D1007" s="2" t="s">
        <v>3212</v>
      </c>
      <c r="E1007" s="2" t="str">
        <f aca="false">LEFT(C1007,3)</f>
        <v>213</v>
      </c>
      <c r="F1007" s="2" t="str">
        <f aca="false">IF(D1007="","",LEFT(D1007,3))</f>
        <v>321</v>
      </c>
      <c r="G1007" s="2" t="str">
        <f aca="false">IF(F1007="","",IF(E1007=F1007,"Yes","No"))</f>
        <v>No</v>
      </c>
      <c r="H1007" s="2" t="n">
        <f aca="false">IF(D1007="",0,1/COUNTIF($D$2:$D$3451,D1007))</f>
        <v>1</v>
      </c>
      <c r="I1007" s="13" t="n">
        <f aca="false">IFERROR(INDEX('NCO-2015 scores'!$C$2:$C$131,MATCH(E1007,'NCO-2015 scores'!$A$2:$A$131,0)),0)</f>
        <v>0.3567</v>
      </c>
      <c r="J1007" s="13" t="n">
        <f aca="false">IF(ISNUMBER(MATCH(E1007,'NCO-2015 scores'!$A$2:$A$131,0)),IF(ISNUMBER(INDEX('NCO-2015 scores'!$C$2:$C$131,MATCH(E1007,'NCO-2015 scores'!$A$2:$A$131,0))),1,0),0)</f>
        <v>1</v>
      </c>
    </row>
    <row r="1008" customFormat="false" ht="15" hidden="false" customHeight="false" outlineLevel="0" collapsed="false">
      <c r="A1008" s="2" t="n">
        <v>1006</v>
      </c>
      <c r="B1008" s="2" t="s">
        <v>3213</v>
      </c>
      <c r="C1008" s="2" t="s">
        <v>3214</v>
      </c>
      <c r="D1008" s="2" t="s">
        <v>3215</v>
      </c>
      <c r="E1008" s="2" t="str">
        <f aca="false">LEFT(C1008,3)</f>
        <v>213</v>
      </c>
      <c r="F1008" s="2" t="str">
        <f aca="false">IF(D1008="","",LEFT(D1008,3))</f>
        <v>221</v>
      </c>
      <c r="G1008" s="2" t="str">
        <f aca="false">IF(F1008="","",IF(E1008=F1008,"Yes","No"))</f>
        <v>No</v>
      </c>
      <c r="H1008" s="2" t="n">
        <f aca="false">IF(D1008="",0,1/COUNTIF($D$2:$D$3451,D1008))</f>
        <v>1</v>
      </c>
      <c r="I1008" s="13" t="n">
        <f aca="false">IFERROR(INDEX('NCO-2015 scores'!$C$2:$C$131,MATCH(E1008,'NCO-2015 scores'!$A$2:$A$131,0)),0)</f>
        <v>0.3567</v>
      </c>
      <c r="J1008" s="13" t="n">
        <f aca="false">IF(ISNUMBER(MATCH(E1008,'NCO-2015 scores'!$A$2:$A$131,0)),IF(ISNUMBER(INDEX('NCO-2015 scores'!$C$2:$C$131,MATCH(E1008,'NCO-2015 scores'!$A$2:$A$131,0))),1,0),0)</f>
        <v>1</v>
      </c>
    </row>
    <row r="1009" customFormat="false" ht="15" hidden="false" customHeight="false" outlineLevel="0" collapsed="false">
      <c r="A1009" s="2" t="n">
        <v>1007</v>
      </c>
      <c r="B1009" s="2" t="s">
        <v>3216</v>
      </c>
      <c r="C1009" s="2" t="s">
        <v>3217</v>
      </c>
      <c r="D1009" s="2" t="s">
        <v>3218</v>
      </c>
      <c r="E1009" s="2" t="str">
        <f aca="false">LEFT(C1009,3)</f>
        <v>213</v>
      </c>
      <c r="F1009" s="2" t="str">
        <f aca="false">IF(D1009="","",LEFT(D1009,3))</f>
        <v>221</v>
      </c>
      <c r="G1009" s="2" t="str">
        <f aca="false">IF(F1009="","",IF(E1009=F1009,"Yes","No"))</f>
        <v>No</v>
      </c>
      <c r="H1009" s="2" t="n">
        <f aca="false">IF(D1009="",0,1/COUNTIF($D$2:$D$3451,D1009))</f>
        <v>1</v>
      </c>
      <c r="I1009" s="13" t="n">
        <f aca="false">IFERROR(INDEX('NCO-2015 scores'!$C$2:$C$131,MATCH(E1009,'NCO-2015 scores'!$A$2:$A$131,0)),0)</f>
        <v>0.3567</v>
      </c>
      <c r="J1009" s="13" t="n">
        <f aca="false">IF(ISNUMBER(MATCH(E1009,'NCO-2015 scores'!$A$2:$A$131,0)),IF(ISNUMBER(INDEX('NCO-2015 scores'!$C$2:$C$131,MATCH(E1009,'NCO-2015 scores'!$A$2:$A$131,0))),1,0),0)</f>
        <v>1</v>
      </c>
    </row>
    <row r="1010" customFormat="false" ht="15" hidden="false" customHeight="false" outlineLevel="0" collapsed="false">
      <c r="A1010" s="2" t="n">
        <v>1008</v>
      </c>
      <c r="B1010" s="2" t="s">
        <v>3192</v>
      </c>
      <c r="C1010" s="2" t="s">
        <v>3193</v>
      </c>
      <c r="D1010" s="2" t="s">
        <v>3194</v>
      </c>
      <c r="E1010" s="2" t="str">
        <f aca="false">LEFT(C1010,3)</f>
        <v>213</v>
      </c>
      <c r="F1010" s="2" t="str">
        <f aca="false">IF(D1010="","",LEFT(D1010,3))</f>
        <v>221</v>
      </c>
      <c r="G1010" s="2" t="str">
        <f aca="false">IF(F1010="","",IF(E1010=F1010,"Yes","No"))</f>
        <v>No</v>
      </c>
      <c r="H1010" s="2" t="n">
        <f aca="false">IF(D1010="",0,1/COUNTIF($D$2:$D$3451,D1010))</f>
        <v>0.5</v>
      </c>
      <c r="I1010" s="13" t="n">
        <f aca="false">IFERROR(INDEX('NCO-2015 scores'!$C$2:$C$131,MATCH(E1010,'NCO-2015 scores'!$A$2:$A$131,0)),0)</f>
        <v>0.3567</v>
      </c>
      <c r="J1010" s="13" t="n">
        <f aca="false">IF(ISNUMBER(MATCH(E1010,'NCO-2015 scores'!$A$2:$A$131,0)),IF(ISNUMBER(INDEX('NCO-2015 scores'!$C$2:$C$131,MATCH(E1010,'NCO-2015 scores'!$A$2:$A$131,0))),1,0),0)</f>
        <v>1</v>
      </c>
    </row>
    <row r="1011" customFormat="false" ht="15" hidden="false" customHeight="false" outlineLevel="0" collapsed="false">
      <c r="A1011" s="2" t="n">
        <v>1009</v>
      </c>
      <c r="B1011" s="2" t="s">
        <v>3219</v>
      </c>
      <c r="C1011" s="2" t="s">
        <v>3220</v>
      </c>
      <c r="D1011" s="2" t="s">
        <v>3221</v>
      </c>
      <c r="E1011" s="2" t="str">
        <f aca="false">LEFT(C1011,3)</f>
        <v>524</v>
      </c>
      <c r="F1011" s="2" t="str">
        <f aca="false">IF(D1011="","",LEFT(D1011,3))</f>
        <v>521</v>
      </c>
      <c r="G1011" s="2" t="str">
        <f aca="false">IF(F1011="","",IF(E1011=F1011,"Yes","No"))</f>
        <v>No</v>
      </c>
      <c r="H1011" s="2" t="n">
        <f aca="false">IF(D1011="",0,1/COUNTIF($D$2:$D$3451,D1011))</f>
        <v>1</v>
      </c>
      <c r="I1011" s="13" t="n">
        <f aca="false">IFERROR(INDEX('NCO-2015 scores'!$C$2:$C$131,MATCH(E1011,'NCO-2015 scores'!$A$2:$A$131,0)),0)</f>
        <v>0.37</v>
      </c>
      <c r="J1011" s="13" t="n">
        <f aca="false">IF(ISNUMBER(MATCH(E1011,'NCO-2015 scores'!$A$2:$A$131,0)),IF(ISNUMBER(INDEX('NCO-2015 scores'!$C$2:$C$131,MATCH(E1011,'NCO-2015 scores'!$A$2:$A$131,0))),1,0),0)</f>
        <v>1</v>
      </c>
    </row>
    <row r="1012" customFormat="false" ht="15" hidden="false" customHeight="false" outlineLevel="0" collapsed="false">
      <c r="A1012" s="2" t="n">
        <v>1010</v>
      </c>
      <c r="B1012" s="2" t="s">
        <v>3222</v>
      </c>
      <c r="C1012" s="2" t="s">
        <v>3223</v>
      </c>
      <c r="D1012" s="2" t="s">
        <v>3224</v>
      </c>
      <c r="E1012" s="2" t="str">
        <f aca="false">LEFT(C1012,3)</f>
        <v>524</v>
      </c>
      <c r="F1012" s="2" t="str">
        <f aca="false">IF(D1012="","",LEFT(D1012,3))</f>
        <v>521</v>
      </c>
      <c r="G1012" s="2" t="str">
        <f aca="false">IF(F1012="","",IF(E1012=F1012,"Yes","No"))</f>
        <v>No</v>
      </c>
      <c r="H1012" s="2" t="n">
        <f aca="false">IF(D1012="",0,1/COUNTIF($D$2:$D$3451,D1012))</f>
        <v>1</v>
      </c>
      <c r="I1012" s="13" t="n">
        <f aca="false">IFERROR(INDEX('NCO-2015 scores'!$C$2:$C$131,MATCH(E1012,'NCO-2015 scores'!$A$2:$A$131,0)),0)</f>
        <v>0.37</v>
      </c>
      <c r="J1012" s="13" t="n">
        <f aca="false">IF(ISNUMBER(MATCH(E1012,'NCO-2015 scores'!$A$2:$A$131,0)),IF(ISNUMBER(INDEX('NCO-2015 scores'!$C$2:$C$131,MATCH(E1012,'NCO-2015 scores'!$A$2:$A$131,0))),1,0),0)</f>
        <v>1</v>
      </c>
    </row>
    <row r="1013" customFormat="false" ht="15" hidden="false" customHeight="false" outlineLevel="0" collapsed="false">
      <c r="A1013" s="2" t="n">
        <v>1011</v>
      </c>
      <c r="B1013" s="2" t="s">
        <v>3225</v>
      </c>
      <c r="C1013" s="2" t="s">
        <v>3226</v>
      </c>
      <c r="D1013" s="2" t="s">
        <v>3227</v>
      </c>
      <c r="E1013" s="2" t="str">
        <f aca="false">LEFT(C1013,3)</f>
        <v>524</v>
      </c>
      <c r="F1013" s="2" t="str">
        <f aca="false">IF(D1013="","",LEFT(D1013,3))</f>
        <v>521</v>
      </c>
      <c r="G1013" s="2" t="str">
        <f aca="false">IF(F1013="","",IF(E1013=F1013,"Yes","No"))</f>
        <v>No</v>
      </c>
      <c r="H1013" s="2" t="n">
        <f aca="false">IF(D1013="",0,1/COUNTIF($D$2:$D$3451,D1013))</f>
        <v>1</v>
      </c>
      <c r="I1013" s="13" t="n">
        <f aca="false">IFERROR(INDEX('NCO-2015 scores'!$C$2:$C$131,MATCH(E1013,'NCO-2015 scores'!$A$2:$A$131,0)),0)</f>
        <v>0.37</v>
      </c>
      <c r="J1013" s="13" t="n">
        <f aca="false">IF(ISNUMBER(MATCH(E1013,'NCO-2015 scores'!$A$2:$A$131,0)),IF(ISNUMBER(INDEX('NCO-2015 scores'!$C$2:$C$131,MATCH(E1013,'NCO-2015 scores'!$A$2:$A$131,0))),1,0),0)</f>
        <v>1</v>
      </c>
    </row>
    <row r="1014" customFormat="false" ht="15" hidden="false" customHeight="false" outlineLevel="0" collapsed="false">
      <c r="A1014" s="2" t="n">
        <v>1012</v>
      </c>
      <c r="B1014" s="2" t="s">
        <v>3228</v>
      </c>
      <c r="C1014" s="2" t="s">
        <v>3229</v>
      </c>
      <c r="D1014" s="2" t="s">
        <v>3230</v>
      </c>
      <c r="E1014" s="2" t="str">
        <f aca="false">LEFT(C1014,3)</f>
        <v>815</v>
      </c>
      <c r="F1014" s="2" t="str">
        <f aca="false">IF(D1014="","",LEFT(D1014,3))</f>
        <v>826</v>
      </c>
      <c r="G1014" s="2" t="str">
        <f aca="false">IF(F1014="","",IF(E1014=F1014,"Yes","No"))</f>
        <v>No</v>
      </c>
      <c r="H1014" s="2" t="n">
        <f aca="false">IF(D1014="",0,1/COUNTIF($D$2:$D$3451,D1014))</f>
        <v>1</v>
      </c>
      <c r="I1014" s="13" t="n">
        <f aca="false">IFERROR(INDEX('NCO-2015 scores'!$C$2:$C$131,MATCH(E1014,'NCO-2015 scores'!$A$2:$A$131,0)),0)</f>
        <v>0.1625</v>
      </c>
      <c r="J1014" s="13" t="n">
        <f aca="false">IF(ISNUMBER(MATCH(E1014,'NCO-2015 scores'!$A$2:$A$131,0)),IF(ISNUMBER(INDEX('NCO-2015 scores'!$C$2:$C$131,MATCH(E1014,'NCO-2015 scores'!$A$2:$A$131,0))),1,0),0)</f>
        <v>1</v>
      </c>
    </row>
    <row r="1015" customFormat="false" ht="15" hidden="false" customHeight="false" outlineLevel="0" collapsed="false">
      <c r="A1015" s="2" t="n">
        <v>1013</v>
      </c>
      <c r="B1015" s="2" t="s">
        <v>3231</v>
      </c>
      <c r="C1015" s="2" t="s">
        <v>3232</v>
      </c>
      <c r="D1015" s="2" t="s">
        <v>3233</v>
      </c>
      <c r="E1015" s="2" t="str">
        <f aca="false">LEFT(C1015,3)</f>
        <v>815</v>
      </c>
      <c r="F1015" s="2" t="str">
        <f aca="false">IF(D1015="","",LEFT(D1015,3))</f>
        <v>826</v>
      </c>
      <c r="G1015" s="2" t="str">
        <f aca="false">IF(F1015="","",IF(E1015=F1015,"Yes","No"))</f>
        <v>No</v>
      </c>
      <c r="H1015" s="2" t="n">
        <f aca="false">IF(D1015="",0,1/COUNTIF($D$2:$D$3451,D1015))</f>
        <v>1</v>
      </c>
      <c r="I1015" s="13" t="n">
        <f aca="false">IFERROR(INDEX('NCO-2015 scores'!$C$2:$C$131,MATCH(E1015,'NCO-2015 scores'!$A$2:$A$131,0)),0)</f>
        <v>0.1625</v>
      </c>
      <c r="J1015" s="13" t="n">
        <f aca="false">IF(ISNUMBER(MATCH(E1015,'NCO-2015 scores'!$A$2:$A$131,0)),IF(ISNUMBER(INDEX('NCO-2015 scores'!$C$2:$C$131,MATCH(E1015,'NCO-2015 scores'!$A$2:$A$131,0))),1,0),0)</f>
        <v>1</v>
      </c>
    </row>
    <row r="1016" customFormat="false" ht="15" hidden="false" customHeight="false" outlineLevel="0" collapsed="false">
      <c r="A1016" s="2" t="n">
        <v>1014</v>
      </c>
      <c r="B1016" s="2" t="s">
        <v>3234</v>
      </c>
      <c r="C1016" s="2" t="s">
        <v>3235</v>
      </c>
      <c r="D1016" s="2" t="s">
        <v>3236</v>
      </c>
      <c r="E1016" s="2" t="str">
        <f aca="false">LEFT(C1016,3)</f>
        <v>815</v>
      </c>
      <c r="F1016" s="2" t="str">
        <f aca="false">IF(D1016="","",LEFT(D1016,3))</f>
        <v>826</v>
      </c>
      <c r="G1016" s="2" t="str">
        <f aca="false">IF(F1016="","",IF(E1016=F1016,"Yes","No"))</f>
        <v>No</v>
      </c>
      <c r="H1016" s="2" t="n">
        <f aca="false">IF(D1016="",0,1/COUNTIF($D$2:$D$3451,D1016))</f>
        <v>1</v>
      </c>
      <c r="I1016" s="13" t="n">
        <f aca="false">IFERROR(INDEX('NCO-2015 scores'!$C$2:$C$131,MATCH(E1016,'NCO-2015 scores'!$A$2:$A$131,0)),0)</f>
        <v>0.1625</v>
      </c>
      <c r="J1016" s="13" t="n">
        <f aca="false">IF(ISNUMBER(MATCH(E1016,'NCO-2015 scores'!$A$2:$A$131,0)),IF(ISNUMBER(INDEX('NCO-2015 scores'!$C$2:$C$131,MATCH(E1016,'NCO-2015 scores'!$A$2:$A$131,0))),1,0),0)</f>
        <v>1</v>
      </c>
    </row>
    <row r="1017" customFormat="false" ht="15" hidden="false" customHeight="false" outlineLevel="0" collapsed="false">
      <c r="A1017" s="2" t="n">
        <v>1015</v>
      </c>
      <c r="B1017" s="2" t="s">
        <v>3237</v>
      </c>
      <c r="C1017" s="2" t="s">
        <v>3238</v>
      </c>
      <c r="D1017" s="2" t="s">
        <v>3239</v>
      </c>
      <c r="E1017" s="2" t="str">
        <f aca="false">LEFT(C1017,3)</f>
        <v>815</v>
      </c>
      <c r="F1017" s="2" t="str">
        <f aca="false">IF(D1017="","",LEFT(D1017,3))</f>
        <v>826</v>
      </c>
      <c r="G1017" s="2" t="str">
        <f aca="false">IF(F1017="","",IF(E1017=F1017,"Yes","No"))</f>
        <v>No</v>
      </c>
      <c r="H1017" s="2" t="n">
        <f aca="false">IF(D1017="",0,1/COUNTIF($D$2:$D$3451,D1017))</f>
        <v>1</v>
      </c>
      <c r="I1017" s="13" t="n">
        <f aca="false">IFERROR(INDEX('NCO-2015 scores'!$C$2:$C$131,MATCH(E1017,'NCO-2015 scores'!$A$2:$A$131,0)),0)</f>
        <v>0.1625</v>
      </c>
      <c r="J1017" s="13" t="n">
        <f aca="false">IF(ISNUMBER(MATCH(E1017,'NCO-2015 scores'!$A$2:$A$131,0)),IF(ISNUMBER(INDEX('NCO-2015 scores'!$C$2:$C$131,MATCH(E1017,'NCO-2015 scores'!$A$2:$A$131,0))),1,0),0)</f>
        <v>1</v>
      </c>
    </row>
    <row r="1018" customFormat="false" ht="15" hidden="false" customHeight="false" outlineLevel="0" collapsed="false">
      <c r="A1018" s="2" t="n">
        <v>1016</v>
      </c>
      <c r="B1018" s="2" t="s">
        <v>3240</v>
      </c>
      <c r="C1018" s="2" t="s">
        <v>3241</v>
      </c>
      <c r="D1018" s="2" t="s">
        <v>3242</v>
      </c>
      <c r="E1018" s="2" t="str">
        <f aca="false">LEFT(C1018,3)</f>
        <v>815</v>
      </c>
      <c r="F1018" s="2" t="str">
        <f aca="false">IF(D1018="","",LEFT(D1018,3))</f>
        <v>826</v>
      </c>
      <c r="G1018" s="2" t="str">
        <f aca="false">IF(F1018="","",IF(E1018=F1018,"Yes","No"))</f>
        <v>No</v>
      </c>
      <c r="H1018" s="2" t="n">
        <f aca="false">IF(D1018="",0,1/COUNTIF($D$2:$D$3451,D1018))</f>
        <v>1</v>
      </c>
      <c r="I1018" s="13" t="n">
        <f aca="false">IFERROR(INDEX('NCO-2015 scores'!$C$2:$C$131,MATCH(E1018,'NCO-2015 scores'!$A$2:$A$131,0)),0)</f>
        <v>0.1625</v>
      </c>
      <c r="J1018" s="13" t="n">
        <f aca="false">IF(ISNUMBER(MATCH(E1018,'NCO-2015 scores'!$A$2:$A$131,0)),IF(ISNUMBER(INDEX('NCO-2015 scores'!$C$2:$C$131,MATCH(E1018,'NCO-2015 scores'!$A$2:$A$131,0))),1,0),0)</f>
        <v>1</v>
      </c>
    </row>
    <row r="1019" customFormat="false" ht="15" hidden="false" customHeight="false" outlineLevel="0" collapsed="false">
      <c r="A1019" s="2" t="n">
        <v>1017</v>
      </c>
      <c r="B1019" s="2" t="s">
        <v>3243</v>
      </c>
      <c r="C1019" s="2" t="s">
        <v>3244</v>
      </c>
      <c r="D1019" s="2" t="s">
        <v>3245</v>
      </c>
      <c r="E1019" s="2" t="str">
        <f aca="false">LEFT(C1019,3)</f>
        <v>815</v>
      </c>
      <c r="F1019" s="2" t="str">
        <f aca="false">IF(D1019="","",LEFT(D1019,3))</f>
        <v>826</v>
      </c>
      <c r="G1019" s="2" t="str">
        <f aca="false">IF(F1019="","",IF(E1019=F1019,"Yes","No"))</f>
        <v>No</v>
      </c>
      <c r="H1019" s="2" t="n">
        <f aca="false">IF(D1019="",0,1/COUNTIF($D$2:$D$3451,D1019))</f>
        <v>1</v>
      </c>
      <c r="I1019" s="13" t="n">
        <f aca="false">IFERROR(INDEX('NCO-2015 scores'!$C$2:$C$131,MATCH(E1019,'NCO-2015 scores'!$A$2:$A$131,0)),0)</f>
        <v>0.1625</v>
      </c>
      <c r="J1019" s="13" t="n">
        <f aca="false">IF(ISNUMBER(MATCH(E1019,'NCO-2015 scores'!$A$2:$A$131,0)),IF(ISNUMBER(INDEX('NCO-2015 scores'!$C$2:$C$131,MATCH(E1019,'NCO-2015 scores'!$A$2:$A$131,0))),1,0),0)</f>
        <v>1</v>
      </c>
    </row>
    <row r="1020" customFormat="false" ht="15" hidden="false" customHeight="false" outlineLevel="0" collapsed="false">
      <c r="A1020" s="2" t="n">
        <v>1018</v>
      </c>
      <c r="B1020" s="2" t="s">
        <v>3246</v>
      </c>
      <c r="C1020" s="2" t="s">
        <v>3247</v>
      </c>
      <c r="D1020" s="2" t="s">
        <v>3248</v>
      </c>
      <c r="E1020" s="2" t="str">
        <f aca="false">LEFT(C1020,3)</f>
        <v>815</v>
      </c>
      <c r="F1020" s="2" t="str">
        <f aca="false">IF(D1020="","",LEFT(D1020,3))</f>
        <v>826</v>
      </c>
      <c r="G1020" s="2" t="str">
        <f aca="false">IF(F1020="","",IF(E1020=F1020,"Yes","No"))</f>
        <v>No</v>
      </c>
      <c r="H1020" s="2" t="n">
        <f aca="false">IF(D1020="",0,1/COUNTIF($D$2:$D$3451,D1020))</f>
        <v>1</v>
      </c>
      <c r="I1020" s="13" t="n">
        <f aca="false">IFERROR(INDEX('NCO-2015 scores'!$C$2:$C$131,MATCH(E1020,'NCO-2015 scores'!$A$2:$A$131,0)),0)</f>
        <v>0.1625</v>
      </c>
      <c r="J1020" s="13" t="n">
        <f aca="false">IF(ISNUMBER(MATCH(E1020,'NCO-2015 scores'!$A$2:$A$131,0)),IF(ISNUMBER(INDEX('NCO-2015 scores'!$C$2:$C$131,MATCH(E1020,'NCO-2015 scores'!$A$2:$A$131,0))),1,0),0)</f>
        <v>1</v>
      </c>
    </row>
    <row r="1021" customFormat="false" ht="15" hidden="false" customHeight="false" outlineLevel="0" collapsed="false">
      <c r="A1021" s="2" t="n">
        <v>1019</v>
      </c>
      <c r="B1021" s="2" t="s">
        <v>3249</v>
      </c>
      <c r="C1021" s="2" t="s">
        <v>3250</v>
      </c>
      <c r="D1021" s="2" t="s">
        <v>3251</v>
      </c>
      <c r="E1021" s="2" t="str">
        <f aca="false">LEFT(C1021,3)</f>
        <v>815</v>
      </c>
      <c r="F1021" s="2" t="str">
        <f aca="false">IF(D1021="","",LEFT(D1021,3))</f>
        <v>826</v>
      </c>
      <c r="G1021" s="2" t="str">
        <f aca="false">IF(F1021="","",IF(E1021=F1021,"Yes","No"))</f>
        <v>No</v>
      </c>
      <c r="H1021" s="2" t="n">
        <f aca="false">IF(D1021="",0,1/COUNTIF($D$2:$D$3451,D1021))</f>
        <v>1</v>
      </c>
      <c r="I1021" s="13" t="n">
        <f aca="false">IFERROR(INDEX('NCO-2015 scores'!$C$2:$C$131,MATCH(E1021,'NCO-2015 scores'!$A$2:$A$131,0)),0)</f>
        <v>0.1625</v>
      </c>
      <c r="J1021" s="13" t="n">
        <f aca="false">IF(ISNUMBER(MATCH(E1021,'NCO-2015 scores'!$A$2:$A$131,0)),IF(ISNUMBER(INDEX('NCO-2015 scores'!$C$2:$C$131,MATCH(E1021,'NCO-2015 scores'!$A$2:$A$131,0))),1,0),0)</f>
        <v>1</v>
      </c>
    </row>
    <row r="1022" customFormat="false" ht="15" hidden="false" customHeight="false" outlineLevel="0" collapsed="false">
      <c r="A1022" s="2" t="n">
        <v>1020</v>
      </c>
      <c r="B1022" s="2" t="s">
        <v>3252</v>
      </c>
      <c r="C1022" s="2" t="s">
        <v>3253</v>
      </c>
      <c r="D1022" s="2" t="s">
        <v>3254</v>
      </c>
      <c r="E1022" s="2" t="str">
        <f aca="false">LEFT(C1022,3)</f>
        <v>815</v>
      </c>
      <c r="F1022" s="2" t="str">
        <f aca="false">IF(D1022="","",LEFT(D1022,3))</f>
        <v>826</v>
      </c>
      <c r="G1022" s="2" t="str">
        <f aca="false">IF(F1022="","",IF(E1022=F1022,"Yes","No"))</f>
        <v>No</v>
      </c>
      <c r="H1022" s="2" t="n">
        <f aca="false">IF(D1022="",0,1/COUNTIF($D$2:$D$3451,D1022))</f>
        <v>1</v>
      </c>
      <c r="I1022" s="13" t="n">
        <f aca="false">IFERROR(INDEX('NCO-2015 scores'!$C$2:$C$131,MATCH(E1022,'NCO-2015 scores'!$A$2:$A$131,0)),0)</f>
        <v>0.1625</v>
      </c>
      <c r="J1022" s="13" t="n">
        <f aca="false">IF(ISNUMBER(MATCH(E1022,'NCO-2015 scores'!$A$2:$A$131,0)),IF(ISNUMBER(INDEX('NCO-2015 scores'!$C$2:$C$131,MATCH(E1022,'NCO-2015 scores'!$A$2:$A$131,0))),1,0),0)</f>
        <v>1</v>
      </c>
    </row>
    <row r="1023" customFormat="false" ht="15" hidden="false" customHeight="false" outlineLevel="0" collapsed="false">
      <c r="A1023" s="2" t="n">
        <v>1021</v>
      </c>
      <c r="B1023" s="2" t="s">
        <v>3255</v>
      </c>
      <c r="C1023" s="2" t="s">
        <v>3256</v>
      </c>
      <c r="D1023" s="2" t="s">
        <v>3257</v>
      </c>
      <c r="E1023" s="2" t="str">
        <f aca="false">LEFT(C1023,3)</f>
        <v>815</v>
      </c>
      <c r="F1023" s="2" t="str">
        <f aca="false">IF(D1023="","",LEFT(D1023,3))</f>
        <v>826</v>
      </c>
      <c r="G1023" s="2" t="str">
        <f aca="false">IF(F1023="","",IF(E1023=F1023,"Yes","No"))</f>
        <v>No</v>
      </c>
      <c r="H1023" s="2" t="n">
        <f aca="false">IF(D1023="",0,1/COUNTIF($D$2:$D$3451,D1023))</f>
        <v>1</v>
      </c>
      <c r="I1023" s="13" t="n">
        <f aca="false">IFERROR(INDEX('NCO-2015 scores'!$C$2:$C$131,MATCH(E1023,'NCO-2015 scores'!$A$2:$A$131,0)),0)</f>
        <v>0.1625</v>
      </c>
      <c r="J1023" s="13" t="n">
        <f aca="false">IF(ISNUMBER(MATCH(E1023,'NCO-2015 scores'!$A$2:$A$131,0)),IF(ISNUMBER(INDEX('NCO-2015 scores'!$C$2:$C$131,MATCH(E1023,'NCO-2015 scores'!$A$2:$A$131,0))),1,0),0)</f>
        <v>1</v>
      </c>
    </row>
    <row r="1024" customFormat="false" ht="15" hidden="false" customHeight="false" outlineLevel="0" collapsed="false">
      <c r="A1024" s="2" t="n">
        <v>1022</v>
      </c>
      <c r="B1024" s="2" t="s">
        <v>3258</v>
      </c>
      <c r="C1024" s="2" t="s">
        <v>3259</v>
      </c>
      <c r="D1024" s="2" t="s">
        <v>3260</v>
      </c>
      <c r="E1024" s="2" t="str">
        <f aca="false">LEFT(C1024,3)</f>
        <v>815</v>
      </c>
      <c r="F1024" s="2" t="str">
        <f aca="false">IF(D1024="","",LEFT(D1024,3))</f>
        <v>826</v>
      </c>
      <c r="G1024" s="2" t="str">
        <f aca="false">IF(F1024="","",IF(E1024=F1024,"Yes","No"))</f>
        <v>No</v>
      </c>
      <c r="H1024" s="2" t="n">
        <f aca="false">IF(D1024="",0,1/COUNTIF($D$2:$D$3451,D1024))</f>
        <v>1</v>
      </c>
      <c r="I1024" s="13" t="n">
        <f aca="false">IFERROR(INDEX('NCO-2015 scores'!$C$2:$C$131,MATCH(E1024,'NCO-2015 scores'!$A$2:$A$131,0)),0)</f>
        <v>0.1625</v>
      </c>
      <c r="J1024" s="13" t="n">
        <f aca="false">IF(ISNUMBER(MATCH(E1024,'NCO-2015 scores'!$A$2:$A$131,0)),IF(ISNUMBER(INDEX('NCO-2015 scores'!$C$2:$C$131,MATCH(E1024,'NCO-2015 scores'!$A$2:$A$131,0))),1,0),0)</f>
        <v>1</v>
      </c>
    </row>
    <row r="1025" customFormat="false" ht="15" hidden="false" customHeight="false" outlineLevel="0" collapsed="false">
      <c r="A1025" s="2" t="n">
        <v>1023</v>
      </c>
      <c r="B1025" s="2" t="s">
        <v>3261</v>
      </c>
      <c r="C1025" s="2" t="s">
        <v>3262</v>
      </c>
      <c r="D1025" s="2" t="s">
        <v>3263</v>
      </c>
      <c r="E1025" s="2" t="str">
        <f aca="false">LEFT(C1025,3)</f>
        <v>815</v>
      </c>
      <c r="F1025" s="2" t="str">
        <f aca="false">IF(D1025="","",LEFT(D1025,3))</f>
        <v>826</v>
      </c>
      <c r="G1025" s="2" t="str">
        <f aca="false">IF(F1025="","",IF(E1025=F1025,"Yes","No"))</f>
        <v>No</v>
      </c>
      <c r="H1025" s="2" t="n">
        <f aca="false">IF(D1025="",0,1/COUNTIF($D$2:$D$3451,D1025))</f>
        <v>1</v>
      </c>
      <c r="I1025" s="13" t="n">
        <f aca="false">IFERROR(INDEX('NCO-2015 scores'!$C$2:$C$131,MATCH(E1025,'NCO-2015 scores'!$A$2:$A$131,0)),0)</f>
        <v>0.1625</v>
      </c>
      <c r="J1025" s="13" t="n">
        <f aca="false">IF(ISNUMBER(MATCH(E1025,'NCO-2015 scores'!$A$2:$A$131,0)),IF(ISNUMBER(INDEX('NCO-2015 scores'!$C$2:$C$131,MATCH(E1025,'NCO-2015 scores'!$A$2:$A$131,0))),1,0),0)</f>
        <v>1</v>
      </c>
    </row>
    <row r="1026" customFormat="false" ht="15" hidden="false" customHeight="false" outlineLevel="0" collapsed="false">
      <c r="A1026" s="2" t="n">
        <v>1024</v>
      </c>
      <c r="B1026" s="2" t="s">
        <v>3264</v>
      </c>
      <c r="C1026" s="2" t="s">
        <v>3265</v>
      </c>
      <c r="D1026" s="2" t="s">
        <v>3266</v>
      </c>
      <c r="E1026" s="2" t="str">
        <f aca="false">LEFT(C1026,3)</f>
        <v>815</v>
      </c>
      <c r="F1026" s="2" t="str">
        <f aca="false">IF(D1026="","",LEFT(D1026,3))</f>
        <v>826</v>
      </c>
      <c r="G1026" s="2" t="str">
        <f aca="false">IF(F1026="","",IF(E1026=F1026,"Yes","No"))</f>
        <v>No</v>
      </c>
      <c r="H1026" s="2" t="n">
        <f aca="false">IF(D1026="",0,1/COUNTIF($D$2:$D$3451,D1026))</f>
        <v>1</v>
      </c>
      <c r="I1026" s="13" t="n">
        <f aca="false">IFERROR(INDEX('NCO-2015 scores'!$C$2:$C$131,MATCH(E1026,'NCO-2015 scores'!$A$2:$A$131,0)),0)</f>
        <v>0.1625</v>
      </c>
      <c r="J1026" s="13" t="n">
        <f aca="false">IF(ISNUMBER(MATCH(E1026,'NCO-2015 scores'!$A$2:$A$131,0)),IF(ISNUMBER(INDEX('NCO-2015 scores'!$C$2:$C$131,MATCH(E1026,'NCO-2015 scores'!$A$2:$A$131,0))),1,0),0)</f>
        <v>1</v>
      </c>
    </row>
    <row r="1027" customFormat="false" ht="15" hidden="false" customHeight="false" outlineLevel="0" collapsed="false">
      <c r="A1027" s="2" t="n">
        <v>1025</v>
      </c>
      <c r="B1027" s="2" t="s">
        <v>3267</v>
      </c>
      <c r="C1027" s="2" t="s">
        <v>3268</v>
      </c>
      <c r="D1027" s="2" t="s">
        <v>3269</v>
      </c>
      <c r="E1027" s="2" t="str">
        <f aca="false">LEFT(C1027,3)</f>
        <v>815</v>
      </c>
      <c r="F1027" s="2" t="str">
        <f aca="false">IF(D1027="","",LEFT(D1027,3))</f>
        <v>826</v>
      </c>
      <c r="G1027" s="2" t="str">
        <f aca="false">IF(F1027="","",IF(E1027=F1027,"Yes","No"))</f>
        <v>No</v>
      </c>
      <c r="H1027" s="2" t="n">
        <f aca="false">IF(D1027="",0,1/COUNTIF($D$2:$D$3451,D1027))</f>
        <v>1</v>
      </c>
      <c r="I1027" s="13" t="n">
        <f aca="false">IFERROR(INDEX('NCO-2015 scores'!$C$2:$C$131,MATCH(E1027,'NCO-2015 scores'!$A$2:$A$131,0)),0)</f>
        <v>0.1625</v>
      </c>
      <c r="J1027" s="13" t="n">
        <f aca="false">IF(ISNUMBER(MATCH(E1027,'NCO-2015 scores'!$A$2:$A$131,0)),IF(ISNUMBER(INDEX('NCO-2015 scores'!$C$2:$C$131,MATCH(E1027,'NCO-2015 scores'!$A$2:$A$131,0))),1,0),0)</f>
        <v>1</v>
      </c>
    </row>
    <row r="1028" customFormat="false" ht="15" hidden="false" customHeight="false" outlineLevel="0" collapsed="false">
      <c r="A1028" s="2" t="n">
        <v>1026</v>
      </c>
      <c r="B1028" s="2" t="s">
        <v>3270</v>
      </c>
      <c r="C1028" s="2" t="s">
        <v>3271</v>
      </c>
      <c r="D1028" s="2" t="s">
        <v>3272</v>
      </c>
      <c r="E1028" s="2" t="str">
        <f aca="false">LEFT(C1028,3)</f>
        <v>815</v>
      </c>
      <c r="F1028" s="2" t="str">
        <f aca="false">IF(D1028="","",LEFT(D1028,3))</f>
        <v>826</v>
      </c>
      <c r="G1028" s="2" t="str">
        <f aca="false">IF(F1028="","",IF(E1028=F1028,"Yes","No"))</f>
        <v>No</v>
      </c>
      <c r="H1028" s="2" t="n">
        <f aca="false">IF(D1028="",0,1/COUNTIF($D$2:$D$3451,D1028))</f>
        <v>1</v>
      </c>
      <c r="I1028" s="13" t="n">
        <f aca="false">IFERROR(INDEX('NCO-2015 scores'!$C$2:$C$131,MATCH(E1028,'NCO-2015 scores'!$A$2:$A$131,0)),0)</f>
        <v>0.1625</v>
      </c>
      <c r="J1028" s="13" t="n">
        <f aca="false">IF(ISNUMBER(MATCH(E1028,'NCO-2015 scores'!$A$2:$A$131,0)),IF(ISNUMBER(INDEX('NCO-2015 scores'!$C$2:$C$131,MATCH(E1028,'NCO-2015 scores'!$A$2:$A$131,0))),1,0),0)</f>
        <v>1</v>
      </c>
    </row>
    <row r="1029" customFormat="false" ht="15" hidden="false" customHeight="false" outlineLevel="0" collapsed="false">
      <c r="A1029" s="2" t="n">
        <v>1027</v>
      </c>
      <c r="B1029" s="2" t="s">
        <v>3273</v>
      </c>
      <c r="C1029" s="2" t="s">
        <v>3274</v>
      </c>
      <c r="D1029" s="2" t="s">
        <v>3275</v>
      </c>
      <c r="E1029" s="2" t="str">
        <f aca="false">LEFT(C1029,3)</f>
        <v>815</v>
      </c>
      <c r="F1029" s="2" t="str">
        <f aca="false">IF(D1029="","",LEFT(D1029,3))</f>
        <v>826</v>
      </c>
      <c r="G1029" s="2" t="str">
        <f aca="false">IF(F1029="","",IF(E1029=F1029,"Yes","No"))</f>
        <v>No</v>
      </c>
      <c r="H1029" s="2" t="n">
        <f aca="false">IF(D1029="",0,1/COUNTIF($D$2:$D$3451,D1029))</f>
        <v>1</v>
      </c>
      <c r="I1029" s="13" t="n">
        <f aca="false">IFERROR(INDEX('NCO-2015 scores'!$C$2:$C$131,MATCH(E1029,'NCO-2015 scores'!$A$2:$A$131,0)),0)</f>
        <v>0.1625</v>
      </c>
      <c r="J1029" s="13" t="n">
        <f aca="false">IF(ISNUMBER(MATCH(E1029,'NCO-2015 scores'!$A$2:$A$131,0)),IF(ISNUMBER(INDEX('NCO-2015 scores'!$C$2:$C$131,MATCH(E1029,'NCO-2015 scores'!$A$2:$A$131,0))),1,0),0)</f>
        <v>1</v>
      </c>
    </row>
    <row r="1030" customFormat="false" ht="15" hidden="false" customHeight="false" outlineLevel="0" collapsed="false">
      <c r="A1030" s="2" t="n">
        <v>1028</v>
      </c>
      <c r="B1030" s="2" t="s">
        <v>3276</v>
      </c>
      <c r="C1030" s="2" t="s">
        <v>3277</v>
      </c>
      <c r="D1030" s="2" t="s">
        <v>3278</v>
      </c>
      <c r="E1030" s="2" t="str">
        <f aca="false">LEFT(C1030,3)</f>
        <v>815</v>
      </c>
      <c r="F1030" s="2" t="str">
        <f aca="false">IF(D1030="","",LEFT(D1030,3))</f>
        <v>826</v>
      </c>
      <c r="G1030" s="2" t="str">
        <f aca="false">IF(F1030="","",IF(E1030=F1030,"Yes","No"))</f>
        <v>No</v>
      </c>
      <c r="H1030" s="2" t="n">
        <f aca="false">IF(D1030="",0,1/COUNTIF($D$2:$D$3451,D1030))</f>
        <v>1</v>
      </c>
      <c r="I1030" s="13" t="n">
        <f aca="false">IFERROR(INDEX('NCO-2015 scores'!$C$2:$C$131,MATCH(E1030,'NCO-2015 scores'!$A$2:$A$131,0)),0)</f>
        <v>0.1625</v>
      </c>
      <c r="J1030" s="13" t="n">
        <f aca="false">IF(ISNUMBER(MATCH(E1030,'NCO-2015 scores'!$A$2:$A$131,0)),IF(ISNUMBER(INDEX('NCO-2015 scores'!$C$2:$C$131,MATCH(E1030,'NCO-2015 scores'!$A$2:$A$131,0))),1,0),0)</f>
        <v>1</v>
      </c>
    </row>
    <row r="1031" customFormat="false" ht="15" hidden="false" customHeight="false" outlineLevel="0" collapsed="false">
      <c r="A1031" s="2" t="n">
        <v>1029</v>
      </c>
      <c r="B1031" s="2" t="s">
        <v>3279</v>
      </c>
      <c r="C1031" s="2" t="s">
        <v>3280</v>
      </c>
      <c r="D1031" s="2" t="s">
        <v>3281</v>
      </c>
      <c r="E1031" s="2" t="str">
        <f aca="false">LEFT(C1031,3)</f>
        <v>815</v>
      </c>
      <c r="F1031" s="2" t="str">
        <f aca="false">IF(D1031="","",LEFT(D1031,3))</f>
        <v>826</v>
      </c>
      <c r="G1031" s="2" t="str">
        <f aca="false">IF(F1031="","",IF(E1031=F1031,"Yes","No"))</f>
        <v>No</v>
      </c>
      <c r="H1031" s="2" t="n">
        <f aca="false">IF(D1031="",0,1/COUNTIF($D$2:$D$3451,D1031))</f>
        <v>1</v>
      </c>
      <c r="I1031" s="13" t="n">
        <f aca="false">IFERROR(INDEX('NCO-2015 scores'!$C$2:$C$131,MATCH(E1031,'NCO-2015 scores'!$A$2:$A$131,0)),0)</f>
        <v>0.1625</v>
      </c>
      <c r="J1031" s="13" t="n">
        <f aca="false">IF(ISNUMBER(MATCH(E1031,'NCO-2015 scores'!$A$2:$A$131,0)),IF(ISNUMBER(INDEX('NCO-2015 scores'!$C$2:$C$131,MATCH(E1031,'NCO-2015 scores'!$A$2:$A$131,0))),1,0),0)</f>
        <v>1</v>
      </c>
    </row>
    <row r="1032" customFormat="false" ht="15" hidden="false" customHeight="false" outlineLevel="0" collapsed="false">
      <c r="A1032" s="2" t="n">
        <v>1030</v>
      </c>
      <c r="B1032" s="2" t="s">
        <v>3282</v>
      </c>
      <c r="C1032" s="2" t="s">
        <v>3283</v>
      </c>
      <c r="D1032" s="2" t="s">
        <v>3284</v>
      </c>
      <c r="E1032" s="2" t="str">
        <f aca="false">LEFT(C1032,3)</f>
        <v>815</v>
      </c>
      <c r="F1032" s="2" t="str">
        <f aca="false">IF(D1032="","",LEFT(D1032,3))</f>
        <v>826</v>
      </c>
      <c r="G1032" s="2" t="str">
        <f aca="false">IF(F1032="","",IF(E1032=F1032,"Yes","No"))</f>
        <v>No</v>
      </c>
      <c r="H1032" s="2" t="n">
        <f aca="false">IF(D1032="",0,1/COUNTIF($D$2:$D$3451,D1032))</f>
        <v>1</v>
      </c>
      <c r="I1032" s="13" t="n">
        <f aca="false">IFERROR(INDEX('NCO-2015 scores'!$C$2:$C$131,MATCH(E1032,'NCO-2015 scores'!$A$2:$A$131,0)),0)</f>
        <v>0.1625</v>
      </c>
      <c r="J1032" s="13" t="n">
        <f aca="false">IF(ISNUMBER(MATCH(E1032,'NCO-2015 scores'!$A$2:$A$131,0)),IF(ISNUMBER(INDEX('NCO-2015 scores'!$C$2:$C$131,MATCH(E1032,'NCO-2015 scores'!$A$2:$A$131,0))),1,0),0)</f>
        <v>1</v>
      </c>
    </row>
    <row r="1033" customFormat="false" ht="15" hidden="false" customHeight="false" outlineLevel="0" collapsed="false">
      <c r="A1033" s="2" t="n">
        <v>1031</v>
      </c>
      <c r="B1033" s="2" t="s">
        <v>3285</v>
      </c>
      <c r="C1033" s="2" t="s">
        <v>3286</v>
      </c>
      <c r="D1033" s="2" t="s">
        <v>3287</v>
      </c>
      <c r="E1033" s="2" t="str">
        <f aca="false">LEFT(C1033,3)</f>
        <v>815</v>
      </c>
      <c r="F1033" s="2" t="str">
        <f aca="false">IF(D1033="","",LEFT(D1033,3))</f>
        <v>826</v>
      </c>
      <c r="G1033" s="2" t="str">
        <f aca="false">IF(F1033="","",IF(E1033=F1033,"Yes","No"))</f>
        <v>No</v>
      </c>
      <c r="H1033" s="2" t="n">
        <f aca="false">IF(D1033="",0,1/COUNTIF($D$2:$D$3451,D1033))</f>
        <v>1</v>
      </c>
      <c r="I1033" s="13" t="n">
        <f aca="false">IFERROR(INDEX('NCO-2015 scores'!$C$2:$C$131,MATCH(E1033,'NCO-2015 scores'!$A$2:$A$131,0)),0)</f>
        <v>0.1625</v>
      </c>
      <c r="J1033" s="13" t="n">
        <f aca="false">IF(ISNUMBER(MATCH(E1033,'NCO-2015 scores'!$A$2:$A$131,0)),IF(ISNUMBER(INDEX('NCO-2015 scores'!$C$2:$C$131,MATCH(E1033,'NCO-2015 scores'!$A$2:$A$131,0))),1,0),0)</f>
        <v>1</v>
      </c>
    </row>
    <row r="1034" customFormat="false" ht="15" hidden="false" customHeight="false" outlineLevel="0" collapsed="false">
      <c r="A1034" s="2" t="n">
        <v>1032</v>
      </c>
      <c r="B1034" s="2" t="s">
        <v>3288</v>
      </c>
      <c r="C1034" s="2" t="s">
        <v>3289</v>
      </c>
      <c r="D1034" s="2" t="s">
        <v>3290</v>
      </c>
      <c r="E1034" s="2" t="str">
        <f aca="false">LEFT(C1034,3)</f>
        <v>611</v>
      </c>
      <c r="F1034" s="2" t="str">
        <f aca="false">IF(D1034="","",LEFT(D1034,3))</f>
        <v>611</v>
      </c>
      <c r="G1034" s="2" t="str">
        <f aca="false">IF(F1034="","",IF(E1034=F1034,"Yes","No"))</f>
        <v>Yes</v>
      </c>
      <c r="H1034" s="2" t="n">
        <f aca="false">IF(D1034="",0,1/COUNTIF($D$2:$D$3451,D1034))</f>
        <v>1</v>
      </c>
      <c r="I1034" s="13" t="n">
        <f aca="false">IFERROR(INDEX('NCO-2015 scores'!$C$2:$C$131,MATCH(E1034,'NCO-2015 scores'!$A$2:$A$131,0)),0)</f>
        <v>0.175</v>
      </c>
      <c r="J1034" s="13" t="n">
        <f aca="false">IF(ISNUMBER(MATCH(E1034,'NCO-2015 scores'!$A$2:$A$131,0)),IF(ISNUMBER(INDEX('NCO-2015 scores'!$C$2:$C$131,MATCH(E1034,'NCO-2015 scores'!$A$2:$A$131,0))),1,0),0)</f>
        <v>1</v>
      </c>
    </row>
    <row r="1035" customFormat="false" ht="15" hidden="false" customHeight="false" outlineLevel="0" collapsed="false">
      <c r="A1035" s="2" t="n">
        <v>1033</v>
      </c>
      <c r="B1035" s="2" t="s">
        <v>3291</v>
      </c>
      <c r="C1035" s="2" t="s">
        <v>3292</v>
      </c>
      <c r="D1035" s="2" t="s">
        <v>3293</v>
      </c>
      <c r="E1035" s="2" t="str">
        <f aca="false">LEFT(C1035,3)</f>
        <v>611</v>
      </c>
      <c r="F1035" s="2" t="str">
        <f aca="false">IF(D1035="","",LEFT(D1035,3))</f>
        <v>611</v>
      </c>
      <c r="G1035" s="2" t="str">
        <f aca="false">IF(F1035="","",IF(E1035=F1035,"Yes","No"))</f>
        <v>Yes</v>
      </c>
      <c r="H1035" s="2" t="n">
        <f aca="false">IF(D1035="",0,1/COUNTIF($D$2:$D$3451,D1035))</f>
        <v>1</v>
      </c>
      <c r="I1035" s="13" t="n">
        <f aca="false">IFERROR(INDEX('NCO-2015 scores'!$C$2:$C$131,MATCH(E1035,'NCO-2015 scores'!$A$2:$A$131,0)),0)</f>
        <v>0.175</v>
      </c>
      <c r="J1035" s="13" t="n">
        <f aca="false">IF(ISNUMBER(MATCH(E1035,'NCO-2015 scores'!$A$2:$A$131,0)),IF(ISNUMBER(INDEX('NCO-2015 scores'!$C$2:$C$131,MATCH(E1035,'NCO-2015 scores'!$A$2:$A$131,0))),1,0),0)</f>
        <v>1</v>
      </c>
    </row>
    <row r="1036" customFormat="false" ht="15" hidden="false" customHeight="false" outlineLevel="0" collapsed="false">
      <c r="A1036" s="2" t="n">
        <v>1034</v>
      </c>
      <c r="B1036" s="2" t="s">
        <v>3294</v>
      </c>
      <c r="C1036" s="2" t="s">
        <v>3295</v>
      </c>
      <c r="D1036" s="2"/>
      <c r="E1036" s="2" t="str">
        <f aca="false">LEFT(C1036,3)</f>
        <v>611</v>
      </c>
      <c r="F1036" s="2" t="str">
        <f aca="false">IF(D1036="","",LEFT(D1036,3))</f>
        <v/>
      </c>
      <c r="G1036" s="2" t="str">
        <f aca="false">IF(F1036="","",IF(E1036=F1036,"Yes","No"))</f>
        <v/>
      </c>
      <c r="H1036" s="2" t="n">
        <f aca="false">IF(D1036="",0,1/COUNTIF($D$2:$D$3451,D1036))</f>
        <v>0</v>
      </c>
      <c r="I1036" s="13" t="n">
        <f aca="false">IFERROR(INDEX('NCO-2015 scores'!$C$2:$C$131,MATCH(E1036,'NCO-2015 scores'!$A$2:$A$131,0)),0)</f>
        <v>0.175</v>
      </c>
      <c r="J1036" s="13" t="n">
        <f aca="false">IF(ISNUMBER(MATCH(E1036,'NCO-2015 scores'!$A$2:$A$131,0)),IF(ISNUMBER(INDEX('NCO-2015 scores'!$C$2:$C$131,MATCH(E1036,'NCO-2015 scores'!$A$2:$A$131,0))),1,0),0)</f>
        <v>1</v>
      </c>
    </row>
    <row r="1037" customFormat="false" ht="15" hidden="false" customHeight="false" outlineLevel="0" collapsed="false">
      <c r="A1037" s="2" t="n">
        <v>1035</v>
      </c>
      <c r="B1037" s="2" t="s">
        <v>3296</v>
      </c>
      <c r="C1037" s="2" t="s">
        <v>3297</v>
      </c>
      <c r="D1037" s="2"/>
      <c r="E1037" s="2" t="str">
        <f aca="false">LEFT(C1037,3)</f>
        <v>611</v>
      </c>
      <c r="F1037" s="2" t="str">
        <f aca="false">IF(D1037="","",LEFT(D1037,3))</f>
        <v/>
      </c>
      <c r="G1037" s="2" t="str">
        <f aca="false">IF(F1037="","",IF(E1037=F1037,"Yes","No"))</f>
        <v/>
      </c>
      <c r="H1037" s="2" t="n">
        <f aca="false">IF(D1037="",0,1/COUNTIF($D$2:$D$3451,D1037))</f>
        <v>0</v>
      </c>
      <c r="I1037" s="13" t="n">
        <f aca="false">IFERROR(INDEX('NCO-2015 scores'!$C$2:$C$131,MATCH(E1037,'NCO-2015 scores'!$A$2:$A$131,0)),0)</f>
        <v>0.175</v>
      </c>
      <c r="J1037" s="13" t="n">
        <f aca="false">IF(ISNUMBER(MATCH(E1037,'NCO-2015 scores'!$A$2:$A$131,0)),IF(ISNUMBER(INDEX('NCO-2015 scores'!$C$2:$C$131,MATCH(E1037,'NCO-2015 scores'!$A$2:$A$131,0))),1,0),0)</f>
        <v>1</v>
      </c>
    </row>
    <row r="1038" customFormat="false" ht="15" hidden="false" customHeight="false" outlineLevel="0" collapsed="false">
      <c r="A1038" s="2" t="n">
        <v>1036</v>
      </c>
      <c r="B1038" s="2" t="s">
        <v>3298</v>
      </c>
      <c r="C1038" s="2" t="s">
        <v>3299</v>
      </c>
      <c r="D1038" s="2"/>
      <c r="E1038" s="2" t="str">
        <f aca="false">LEFT(C1038,3)</f>
        <v>611</v>
      </c>
      <c r="F1038" s="2" t="str">
        <f aca="false">IF(D1038="","",LEFT(D1038,3))</f>
        <v/>
      </c>
      <c r="G1038" s="2" t="str">
        <f aca="false">IF(F1038="","",IF(E1038=F1038,"Yes","No"))</f>
        <v/>
      </c>
      <c r="H1038" s="2" t="n">
        <f aca="false">IF(D1038="",0,1/COUNTIF($D$2:$D$3451,D1038))</f>
        <v>0</v>
      </c>
      <c r="I1038" s="13" t="n">
        <f aca="false">IFERROR(INDEX('NCO-2015 scores'!$C$2:$C$131,MATCH(E1038,'NCO-2015 scores'!$A$2:$A$131,0)),0)</f>
        <v>0.175</v>
      </c>
      <c r="J1038" s="13" t="n">
        <f aca="false">IF(ISNUMBER(MATCH(E1038,'NCO-2015 scores'!$A$2:$A$131,0)),IF(ISNUMBER(INDEX('NCO-2015 scores'!$C$2:$C$131,MATCH(E1038,'NCO-2015 scores'!$A$2:$A$131,0))),1,0),0)</f>
        <v>1</v>
      </c>
    </row>
    <row r="1039" customFormat="false" ht="15" hidden="false" customHeight="false" outlineLevel="0" collapsed="false">
      <c r="A1039" s="2" t="n">
        <v>1037</v>
      </c>
      <c r="B1039" s="2" t="s">
        <v>3300</v>
      </c>
      <c r="C1039" s="2" t="s">
        <v>3301</v>
      </c>
      <c r="D1039" s="2"/>
      <c r="E1039" s="2" t="str">
        <f aca="false">LEFT(C1039,3)</f>
        <v>611</v>
      </c>
      <c r="F1039" s="2" t="str">
        <f aca="false">IF(D1039="","",LEFT(D1039,3))</f>
        <v/>
      </c>
      <c r="G1039" s="2" t="str">
        <f aca="false">IF(F1039="","",IF(E1039=F1039,"Yes","No"))</f>
        <v/>
      </c>
      <c r="H1039" s="2" t="n">
        <f aca="false">IF(D1039="",0,1/COUNTIF($D$2:$D$3451,D1039))</f>
        <v>0</v>
      </c>
      <c r="I1039" s="13" t="n">
        <f aca="false">IFERROR(INDEX('NCO-2015 scores'!$C$2:$C$131,MATCH(E1039,'NCO-2015 scores'!$A$2:$A$131,0)),0)</f>
        <v>0.175</v>
      </c>
      <c r="J1039" s="13" t="n">
        <f aca="false">IF(ISNUMBER(MATCH(E1039,'NCO-2015 scores'!$A$2:$A$131,0)),IF(ISNUMBER(INDEX('NCO-2015 scores'!$C$2:$C$131,MATCH(E1039,'NCO-2015 scores'!$A$2:$A$131,0))),1,0),0)</f>
        <v>1</v>
      </c>
    </row>
    <row r="1040" customFormat="false" ht="15" hidden="false" customHeight="false" outlineLevel="0" collapsed="false">
      <c r="A1040" s="2" t="n">
        <v>1038</v>
      </c>
      <c r="B1040" s="2" t="s">
        <v>3302</v>
      </c>
      <c r="C1040" s="2" t="s">
        <v>3303</v>
      </c>
      <c r="D1040" s="2" t="s">
        <v>3304</v>
      </c>
      <c r="E1040" s="2" t="str">
        <f aca="false">LEFT(C1040,3)</f>
        <v>611</v>
      </c>
      <c r="F1040" s="2" t="str">
        <f aca="false">IF(D1040="","",LEFT(D1040,3))</f>
        <v>611</v>
      </c>
      <c r="G1040" s="2" t="str">
        <f aca="false">IF(F1040="","",IF(E1040=F1040,"Yes","No"))</f>
        <v>Yes</v>
      </c>
      <c r="H1040" s="2" t="n">
        <f aca="false">IF(D1040="",0,1/COUNTIF($D$2:$D$3451,D1040))</f>
        <v>1</v>
      </c>
      <c r="I1040" s="13" t="n">
        <f aca="false">IFERROR(INDEX('NCO-2015 scores'!$C$2:$C$131,MATCH(E1040,'NCO-2015 scores'!$A$2:$A$131,0)),0)</f>
        <v>0.175</v>
      </c>
      <c r="J1040" s="13" t="n">
        <f aca="false">IF(ISNUMBER(MATCH(E1040,'NCO-2015 scores'!$A$2:$A$131,0)),IF(ISNUMBER(INDEX('NCO-2015 scores'!$C$2:$C$131,MATCH(E1040,'NCO-2015 scores'!$A$2:$A$131,0))),1,0),0)</f>
        <v>1</v>
      </c>
    </row>
    <row r="1041" customFormat="false" ht="15" hidden="false" customHeight="false" outlineLevel="0" collapsed="false">
      <c r="A1041" s="2" t="n">
        <v>1039</v>
      </c>
      <c r="B1041" s="2" t="s">
        <v>3305</v>
      </c>
      <c r="C1041" s="2" t="s">
        <v>3306</v>
      </c>
      <c r="D1041" s="2"/>
      <c r="E1041" s="2" t="str">
        <f aca="false">LEFT(C1041,3)</f>
        <v>611</v>
      </c>
      <c r="F1041" s="2" t="str">
        <f aca="false">IF(D1041="","",LEFT(D1041,3))</f>
        <v/>
      </c>
      <c r="G1041" s="2" t="str">
        <f aca="false">IF(F1041="","",IF(E1041=F1041,"Yes","No"))</f>
        <v/>
      </c>
      <c r="H1041" s="2" t="n">
        <f aca="false">IF(D1041="",0,1/COUNTIF($D$2:$D$3451,D1041))</f>
        <v>0</v>
      </c>
      <c r="I1041" s="13" t="n">
        <f aca="false">IFERROR(INDEX('NCO-2015 scores'!$C$2:$C$131,MATCH(E1041,'NCO-2015 scores'!$A$2:$A$131,0)),0)</f>
        <v>0.175</v>
      </c>
      <c r="J1041" s="13" t="n">
        <f aca="false">IF(ISNUMBER(MATCH(E1041,'NCO-2015 scores'!$A$2:$A$131,0)),IF(ISNUMBER(INDEX('NCO-2015 scores'!$C$2:$C$131,MATCH(E1041,'NCO-2015 scores'!$A$2:$A$131,0))),1,0),0)</f>
        <v>1</v>
      </c>
    </row>
    <row r="1042" customFormat="false" ht="15" hidden="false" customHeight="false" outlineLevel="0" collapsed="false">
      <c r="A1042" s="2" t="n">
        <v>1040</v>
      </c>
      <c r="B1042" s="2" t="s">
        <v>3307</v>
      </c>
      <c r="C1042" s="2" t="s">
        <v>3308</v>
      </c>
      <c r="D1042" s="2"/>
      <c r="E1042" s="2" t="str">
        <f aca="false">LEFT(C1042,3)</f>
        <v>611</v>
      </c>
      <c r="F1042" s="2" t="str">
        <f aca="false">IF(D1042="","",LEFT(D1042,3))</f>
        <v/>
      </c>
      <c r="G1042" s="2" t="str">
        <f aca="false">IF(F1042="","",IF(E1042=F1042,"Yes","No"))</f>
        <v/>
      </c>
      <c r="H1042" s="2" t="n">
        <f aca="false">IF(D1042="",0,1/COUNTIF($D$2:$D$3451,D1042))</f>
        <v>0</v>
      </c>
      <c r="I1042" s="13" t="n">
        <f aca="false">IFERROR(INDEX('NCO-2015 scores'!$C$2:$C$131,MATCH(E1042,'NCO-2015 scores'!$A$2:$A$131,0)),0)</f>
        <v>0.175</v>
      </c>
      <c r="J1042" s="13" t="n">
        <f aca="false">IF(ISNUMBER(MATCH(E1042,'NCO-2015 scores'!$A$2:$A$131,0)),IF(ISNUMBER(INDEX('NCO-2015 scores'!$C$2:$C$131,MATCH(E1042,'NCO-2015 scores'!$A$2:$A$131,0))),1,0),0)</f>
        <v>1</v>
      </c>
    </row>
    <row r="1043" customFormat="false" ht="15" hidden="false" customHeight="false" outlineLevel="0" collapsed="false">
      <c r="A1043" s="2" t="n">
        <v>1041</v>
      </c>
      <c r="B1043" s="2" t="s">
        <v>3309</v>
      </c>
      <c r="C1043" s="2" t="s">
        <v>3310</v>
      </c>
      <c r="D1043" s="2"/>
      <c r="E1043" s="2" t="str">
        <f aca="false">LEFT(C1043,3)</f>
        <v>611</v>
      </c>
      <c r="F1043" s="2" t="str">
        <f aca="false">IF(D1043="","",LEFT(D1043,3))</f>
        <v/>
      </c>
      <c r="G1043" s="2" t="str">
        <f aca="false">IF(F1043="","",IF(E1043=F1043,"Yes","No"))</f>
        <v/>
      </c>
      <c r="H1043" s="2" t="n">
        <f aca="false">IF(D1043="",0,1/COUNTIF($D$2:$D$3451,D1043))</f>
        <v>0</v>
      </c>
      <c r="I1043" s="13" t="n">
        <f aca="false">IFERROR(INDEX('NCO-2015 scores'!$C$2:$C$131,MATCH(E1043,'NCO-2015 scores'!$A$2:$A$131,0)),0)</f>
        <v>0.175</v>
      </c>
      <c r="J1043" s="13" t="n">
        <f aca="false">IF(ISNUMBER(MATCH(E1043,'NCO-2015 scores'!$A$2:$A$131,0)),IF(ISNUMBER(INDEX('NCO-2015 scores'!$C$2:$C$131,MATCH(E1043,'NCO-2015 scores'!$A$2:$A$131,0))),1,0),0)</f>
        <v>1</v>
      </c>
    </row>
    <row r="1044" customFormat="false" ht="15" hidden="false" customHeight="false" outlineLevel="0" collapsed="false">
      <c r="A1044" s="2" t="n">
        <v>1042</v>
      </c>
      <c r="B1044" s="2" t="s">
        <v>3311</v>
      </c>
      <c r="C1044" s="2" t="s">
        <v>3312</v>
      </c>
      <c r="D1044" s="2"/>
      <c r="E1044" s="2" t="str">
        <f aca="false">LEFT(C1044,3)</f>
        <v>611</v>
      </c>
      <c r="F1044" s="2" t="str">
        <f aca="false">IF(D1044="","",LEFT(D1044,3))</f>
        <v/>
      </c>
      <c r="G1044" s="2" t="str">
        <f aca="false">IF(F1044="","",IF(E1044=F1044,"Yes","No"))</f>
        <v/>
      </c>
      <c r="H1044" s="2" t="n">
        <f aca="false">IF(D1044="",0,1/COUNTIF($D$2:$D$3451,D1044))</f>
        <v>0</v>
      </c>
      <c r="I1044" s="13" t="n">
        <f aca="false">IFERROR(INDEX('NCO-2015 scores'!$C$2:$C$131,MATCH(E1044,'NCO-2015 scores'!$A$2:$A$131,0)),0)</f>
        <v>0.175</v>
      </c>
      <c r="J1044" s="13" t="n">
        <f aca="false">IF(ISNUMBER(MATCH(E1044,'NCO-2015 scores'!$A$2:$A$131,0)),IF(ISNUMBER(INDEX('NCO-2015 scores'!$C$2:$C$131,MATCH(E1044,'NCO-2015 scores'!$A$2:$A$131,0))),1,0),0)</f>
        <v>1</v>
      </c>
    </row>
    <row r="1045" customFormat="false" ht="15" hidden="false" customHeight="false" outlineLevel="0" collapsed="false">
      <c r="A1045" s="2" t="n">
        <v>1043</v>
      </c>
      <c r="B1045" s="2" t="s">
        <v>3313</v>
      </c>
      <c r="C1045" s="2" t="s">
        <v>3314</v>
      </c>
      <c r="D1045" s="2"/>
      <c r="E1045" s="2" t="str">
        <f aca="false">LEFT(C1045,3)</f>
        <v>611</v>
      </c>
      <c r="F1045" s="2" t="str">
        <f aca="false">IF(D1045="","",LEFT(D1045,3))</f>
        <v/>
      </c>
      <c r="G1045" s="2" t="str">
        <f aca="false">IF(F1045="","",IF(E1045=F1045,"Yes","No"))</f>
        <v/>
      </c>
      <c r="H1045" s="2" t="n">
        <f aca="false">IF(D1045="",0,1/COUNTIF($D$2:$D$3451,D1045))</f>
        <v>0</v>
      </c>
      <c r="I1045" s="13" t="n">
        <f aca="false">IFERROR(INDEX('NCO-2015 scores'!$C$2:$C$131,MATCH(E1045,'NCO-2015 scores'!$A$2:$A$131,0)),0)</f>
        <v>0.175</v>
      </c>
      <c r="J1045" s="13" t="n">
        <f aca="false">IF(ISNUMBER(MATCH(E1045,'NCO-2015 scores'!$A$2:$A$131,0)),IF(ISNUMBER(INDEX('NCO-2015 scores'!$C$2:$C$131,MATCH(E1045,'NCO-2015 scores'!$A$2:$A$131,0))),1,0),0)</f>
        <v>1</v>
      </c>
    </row>
    <row r="1046" customFormat="false" ht="15" hidden="false" customHeight="false" outlineLevel="0" collapsed="false">
      <c r="A1046" s="2" t="n">
        <v>1044</v>
      </c>
      <c r="B1046" s="2" t="s">
        <v>3315</v>
      </c>
      <c r="C1046" s="2" t="s">
        <v>3316</v>
      </c>
      <c r="D1046" s="2"/>
      <c r="E1046" s="2" t="str">
        <f aca="false">LEFT(C1046,3)</f>
        <v>611</v>
      </c>
      <c r="F1046" s="2" t="str">
        <f aca="false">IF(D1046="","",LEFT(D1046,3))</f>
        <v/>
      </c>
      <c r="G1046" s="2" t="str">
        <f aca="false">IF(F1046="","",IF(E1046=F1046,"Yes","No"))</f>
        <v/>
      </c>
      <c r="H1046" s="2" t="n">
        <f aca="false">IF(D1046="",0,1/COUNTIF($D$2:$D$3451,D1046))</f>
        <v>0</v>
      </c>
      <c r="I1046" s="13" t="n">
        <f aca="false">IFERROR(INDEX('NCO-2015 scores'!$C$2:$C$131,MATCH(E1046,'NCO-2015 scores'!$A$2:$A$131,0)),0)</f>
        <v>0.175</v>
      </c>
      <c r="J1046" s="13" t="n">
        <f aca="false">IF(ISNUMBER(MATCH(E1046,'NCO-2015 scores'!$A$2:$A$131,0)),IF(ISNUMBER(INDEX('NCO-2015 scores'!$C$2:$C$131,MATCH(E1046,'NCO-2015 scores'!$A$2:$A$131,0))),1,0),0)</f>
        <v>1</v>
      </c>
    </row>
    <row r="1047" customFormat="false" ht="15" hidden="false" customHeight="false" outlineLevel="0" collapsed="false">
      <c r="A1047" s="2" t="n">
        <v>1045</v>
      </c>
      <c r="B1047" s="2" t="s">
        <v>3317</v>
      </c>
      <c r="C1047" s="2" t="s">
        <v>3318</v>
      </c>
      <c r="D1047" s="2"/>
      <c r="E1047" s="2" t="str">
        <f aca="false">LEFT(C1047,3)</f>
        <v>611</v>
      </c>
      <c r="F1047" s="2" t="str">
        <f aca="false">IF(D1047="","",LEFT(D1047,3))</f>
        <v/>
      </c>
      <c r="G1047" s="2" t="str">
        <f aca="false">IF(F1047="","",IF(E1047=F1047,"Yes","No"))</f>
        <v/>
      </c>
      <c r="H1047" s="2" t="n">
        <f aca="false">IF(D1047="",0,1/COUNTIF($D$2:$D$3451,D1047))</f>
        <v>0</v>
      </c>
      <c r="I1047" s="13" t="n">
        <f aca="false">IFERROR(INDEX('NCO-2015 scores'!$C$2:$C$131,MATCH(E1047,'NCO-2015 scores'!$A$2:$A$131,0)),0)</f>
        <v>0.175</v>
      </c>
      <c r="J1047" s="13" t="n">
        <f aca="false">IF(ISNUMBER(MATCH(E1047,'NCO-2015 scores'!$A$2:$A$131,0)),IF(ISNUMBER(INDEX('NCO-2015 scores'!$C$2:$C$131,MATCH(E1047,'NCO-2015 scores'!$A$2:$A$131,0))),1,0),0)</f>
        <v>1</v>
      </c>
    </row>
    <row r="1048" customFormat="false" ht="15" hidden="false" customHeight="false" outlineLevel="0" collapsed="false">
      <c r="A1048" s="2" t="n">
        <v>1046</v>
      </c>
      <c r="B1048" s="2" t="s">
        <v>3319</v>
      </c>
      <c r="C1048" s="2" t="s">
        <v>3320</v>
      </c>
      <c r="D1048" s="2"/>
      <c r="E1048" s="2" t="str">
        <f aca="false">LEFT(C1048,3)</f>
        <v>611</v>
      </c>
      <c r="F1048" s="2" t="str">
        <f aca="false">IF(D1048="","",LEFT(D1048,3))</f>
        <v/>
      </c>
      <c r="G1048" s="2" t="str">
        <f aca="false">IF(F1048="","",IF(E1048=F1048,"Yes","No"))</f>
        <v/>
      </c>
      <c r="H1048" s="2" t="n">
        <f aca="false">IF(D1048="",0,1/COUNTIF($D$2:$D$3451,D1048))</f>
        <v>0</v>
      </c>
      <c r="I1048" s="13" t="n">
        <f aca="false">IFERROR(INDEX('NCO-2015 scores'!$C$2:$C$131,MATCH(E1048,'NCO-2015 scores'!$A$2:$A$131,0)),0)</f>
        <v>0.175</v>
      </c>
      <c r="J1048" s="13" t="n">
        <f aca="false">IF(ISNUMBER(MATCH(E1048,'NCO-2015 scores'!$A$2:$A$131,0)),IF(ISNUMBER(INDEX('NCO-2015 scores'!$C$2:$C$131,MATCH(E1048,'NCO-2015 scores'!$A$2:$A$131,0))),1,0),0)</f>
        <v>1</v>
      </c>
    </row>
    <row r="1049" customFormat="false" ht="15" hidden="false" customHeight="false" outlineLevel="0" collapsed="false">
      <c r="A1049" s="2" t="n">
        <v>1047</v>
      </c>
      <c r="B1049" s="2" t="s">
        <v>3321</v>
      </c>
      <c r="C1049" s="2" t="s">
        <v>3322</v>
      </c>
      <c r="D1049" s="2"/>
      <c r="E1049" s="2" t="str">
        <f aca="false">LEFT(C1049,3)</f>
        <v>611</v>
      </c>
      <c r="F1049" s="2" t="str">
        <f aca="false">IF(D1049="","",LEFT(D1049,3))</f>
        <v/>
      </c>
      <c r="G1049" s="2" t="str">
        <f aca="false">IF(F1049="","",IF(E1049=F1049,"Yes","No"))</f>
        <v/>
      </c>
      <c r="H1049" s="2" t="n">
        <f aca="false">IF(D1049="",0,1/COUNTIF($D$2:$D$3451,D1049))</f>
        <v>0</v>
      </c>
      <c r="I1049" s="13" t="n">
        <f aca="false">IFERROR(INDEX('NCO-2015 scores'!$C$2:$C$131,MATCH(E1049,'NCO-2015 scores'!$A$2:$A$131,0)),0)</f>
        <v>0.175</v>
      </c>
      <c r="J1049" s="13" t="n">
        <f aca="false">IF(ISNUMBER(MATCH(E1049,'NCO-2015 scores'!$A$2:$A$131,0)),IF(ISNUMBER(INDEX('NCO-2015 scores'!$C$2:$C$131,MATCH(E1049,'NCO-2015 scores'!$A$2:$A$131,0))),1,0),0)</f>
        <v>1</v>
      </c>
    </row>
    <row r="1050" customFormat="false" ht="15" hidden="false" customHeight="false" outlineLevel="0" collapsed="false">
      <c r="A1050" s="2" t="n">
        <v>1048</v>
      </c>
      <c r="B1050" s="2" t="s">
        <v>3323</v>
      </c>
      <c r="C1050" s="2" t="s">
        <v>3324</v>
      </c>
      <c r="D1050" s="2" t="s">
        <v>3325</v>
      </c>
      <c r="E1050" s="2" t="str">
        <f aca="false">LEFT(C1050,3)</f>
        <v>611</v>
      </c>
      <c r="F1050" s="2" t="str">
        <f aca="false">IF(D1050="","",LEFT(D1050,3))</f>
        <v>611</v>
      </c>
      <c r="G1050" s="2" t="str">
        <f aca="false">IF(F1050="","",IF(E1050=F1050,"Yes","No"))</f>
        <v>Yes</v>
      </c>
      <c r="H1050" s="2" t="n">
        <f aca="false">IF(D1050="",0,1/COUNTIF($D$2:$D$3451,D1050))</f>
        <v>1</v>
      </c>
      <c r="I1050" s="13" t="n">
        <f aca="false">IFERROR(INDEX('NCO-2015 scores'!$C$2:$C$131,MATCH(E1050,'NCO-2015 scores'!$A$2:$A$131,0)),0)</f>
        <v>0.175</v>
      </c>
      <c r="J1050" s="13" t="n">
        <f aca="false">IF(ISNUMBER(MATCH(E1050,'NCO-2015 scores'!$A$2:$A$131,0)),IF(ISNUMBER(INDEX('NCO-2015 scores'!$C$2:$C$131,MATCH(E1050,'NCO-2015 scores'!$A$2:$A$131,0))),1,0),0)</f>
        <v>1</v>
      </c>
    </row>
    <row r="1051" customFormat="false" ht="15" hidden="false" customHeight="false" outlineLevel="0" collapsed="false">
      <c r="A1051" s="2" t="n">
        <v>1049</v>
      </c>
      <c r="B1051" s="2" t="s">
        <v>3326</v>
      </c>
      <c r="C1051" s="2" t="s">
        <v>3327</v>
      </c>
      <c r="D1051" s="2" t="s">
        <v>3328</v>
      </c>
      <c r="E1051" s="2" t="str">
        <f aca="false">LEFT(C1051,3)</f>
        <v>611</v>
      </c>
      <c r="F1051" s="2" t="str">
        <f aca="false">IF(D1051="","",LEFT(D1051,3))</f>
        <v>611</v>
      </c>
      <c r="G1051" s="2" t="str">
        <f aca="false">IF(F1051="","",IF(E1051=F1051,"Yes","No"))</f>
        <v>Yes</v>
      </c>
      <c r="H1051" s="2" t="n">
        <f aca="false">IF(D1051="",0,1/COUNTIF($D$2:$D$3451,D1051))</f>
        <v>1</v>
      </c>
      <c r="I1051" s="13" t="n">
        <f aca="false">IFERROR(INDEX('NCO-2015 scores'!$C$2:$C$131,MATCH(E1051,'NCO-2015 scores'!$A$2:$A$131,0)),0)</f>
        <v>0.175</v>
      </c>
      <c r="J1051" s="13" t="n">
        <f aca="false">IF(ISNUMBER(MATCH(E1051,'NCO-2015 scores'!$A$2:$A$131,0)),IF(ISNUMBER(INDEX('NCO-2015 scores'!$C$2:$C$131,MATCH(E1051,'NCO-2015 scores'!$A$2:$A$131,0))),1,0),0)</f>
        <v>1</v>
      </c>
    </row>
    <row r="1052" customFormat="false" ht="15" hidden="false" customHeight="false" outlineLevel="0" collapsed="false">
      <c r="A1052" s="2" t="n">
        <v>1050</v>
      </c>
      <c r="B1052" s="2" t="s">
        <v>3329</v>
      </c>
      <c r="C1052" s="2" t="s">
        <v>3330</v>
      </c>
      <c r="D1052" s="2"/>
      <c r="E1052" s="2" t="str">
        <f aca="false">LEFT(C1052,3)</f>
        <v>611</v>
      </c>
      <c r="F1052" s="2" t="str">
        <f aca="false">IF(D1052="","",LEFT(D1052,3))</f>
        <v/>
      </c>
      <c r="G1052" s="2" t="str">
        <f aca="false">IF(F1052="","",IF(E1052=F1052,"Yes","No"))</f>
        <v/>
      </c>
      <c r="H1052" s="2" t="n">
        <f aca="false">IF(D1052="",0,1/COUNTIF($D$2:$D$3451,D1052))</f>
        <v>0</v>
      </c>
      <c r="I1052" s="13" t="n">
        <f aca="false">IFERROR(INDEX('NCO-2015 scores'!$C$2:$C$131,MATCH(E1052,'NCO-2015 scores'!$A$2:$A$131,0)),0)</f>
        <v>0.175</v>
      </c>
      <c r="J1052" s="13" t="n">
        <f aca="false">IF(ISNUMBER(MATCH(E1052,'NCO-2015 scores'!$A$2:$A$131,0)),IF(ISNUMBER(INDEX('NCO-2015 scores'!$C$2:$C$131,MATCH(E1052,'NCO-2015 scores'!$A$2:$A$131,0))),1,0),0)</f>
        <v>1</v>
      </c>
    </row>
    <row r="1053" customFormat="false" ht="15" hidden="false" customHeight="false" outlineLevel="0" collapsed="false">
      <c r="A1053" s="2" t="n">
        <v>1051</v>
      </c>
      <c r="B1053" s="2" t="s">
        <v>3331</v>
      </c>
      <c r="C1053" s="2" t="s">
        <v>3332</v>
      </c>
      <c r="D1053" s="2"/>
      <c r="E1053" s="2" t="str">
        <f aca="false">LEFT(C1053,3)</f>
        <v>611</v>
      </c>
      <c r="F1053" s="2" t="str">
        <f aca="false">IF(D1053="","",LEFT(D1053,3))</f>
        <v/>
      </c>
      <c r="G1053" s="2" t="str">
        <f aca="false">IF(F1053="","",IF(E1053=F1053,"Yes","No"))</f>
        <v/>
      </c>
      <c r="H1053" s="2" t="n">
        <f aca="false">IF(D1053="",0,1/COUNTIF($D$2:$D$3451,D1053))</f>
        <v>0</v>
      </c>
      <c r="I1053" s="13" t="n">
        <f aca="false">IFERROR(INDEX('NCO-2015 scores'!$C$2:$C$131,MATCH(E1053,'NCO-2015 scores'!$A$2:$A$131,0)),0)</f>
        <v>0.175</v>
      </c>
      <c r="J1053" s="13" t="n">
        <f aca="false">IF(ISNUMBER(MATCH(E1053,'NCO-2015 scores'!$A$2:$A$131,0)),IF(ISNUMBER(INDEX('NCO-2015 scores'!$C$2:$C$131,MATCH(E1053,'NCO-2015 scores'!$A$2:$A$131,0))),1,0),0)</f>
        <v>1</v>
      </c>
    </row>
    <row r="1054" customFormat="false" ht="15" hidden="false" customHeight="false" outlineLevel="0" collapsed="false">
      <c r="A1054" s="2" t="n">
        <v>1052</v>
      </c>
      <c r="B1054" s="2" t="s">
        <v>3333</v>
      </c>
      <c r="C1054" s="2" t="s">
        <v>3334</v>
      </c>
      <c r="D1054" s="2"/>
      <c r="E1054" s="2" t="str">
        <f aca="false">LEFT(C1054,3)</f>
        <v>611</v>
      </c>
      <c r="F1054" s="2" t="str">
        <f aca="false">IF(D1054="","",LEFT(D1054,3))</f>
        <v/>
      </c>
      <c r="G1054" s="2" t="str">
        <f aca="false">IF(F1054="","",IF(E1054=F1054,"Yes","No"))</f>
        <v/>
      </c>
      <c r="H1054" s="2" t="n">
        <f aca="false">IF(D1054="",0,1/COUNTIF($D$2:$D$3451,D1054))</f>
        <v>0</v>
      </c>
      <c r="I1054" s="13" t="n">
        <f aca="false">IFERROR(INDEX('NCO-2015 scores'!$C$2:$C$131,MATCH(E1054,'NCO-2015 scores'!$A$2:$A$131,0)),0)</f>
        <v>0.175</v>
      </c>
      <c r="J1054" s="13" t="n">
        <f aca="false">IF(ISNUMBER(MATCH(E1054,'NCO-2015 scores'!$A$2:$A$131,0)),IF(ISNUMBER(INDEX('NCO-2015 scores'!$C$2:$C$131,MATCH(E1054,'NCO-2015 scores'!$A$2:$A$131,0))),1,0),0)</f>
        <v>1</v>
      </c>
    </row>
    <row r="1055" customFormat="false" ht="15" hidden="false" customHeight="false" outlineLevel="0" collapsed="false">
      <c r="A1055" s="2" t="n">
        <v>1053</v>
      </c>
      <c r="B1055" s="2" t="s">
        <v>3335</v>
      </c>
      <c r="C1055" s="2" t="s">
        <v>3336</v>
      </c>
      <c r="D1055" s="2"/>
      <c r="E1055" s="2" t="str">
        <f aca="false">LEFT(C1055,3)</f>
        <v>611</v>
      </c>
      <c r="F1055" s="2" t="str">
        <f aca="false">IF(D1055="","",LEFT(D1055,3))</f>
        <v/>
      </c>
      <c r="G1055" s="2" t="str">
        <f aca="false">IF(F1055="","",IF(E1055=F1055,"Yes","No"))</f>
        <v/>
      </c>
      <c r="H1055" s="2" t="n">
        <f aca="false">IF(D1055="",0,1/COUNTIF($D$2:$D$3451,D1055))</f>
        <v>0</v>
      </c>
      <c r="I1055" s="13" t="n">
        <f aca="false">IFERROR(INDEX('NCO-2015 scores'!$C$2:$C$131,MATCH(E1055,'NCO-2015 scores'!$A$2:$A$131,0)),0)</f>
        <v>0.175</v>
      </c>
      <c r="J1055" s="13" t="n">
        <f aca="false">IF(ISNUMBER(MATCH(E1055,'NCO-2015 scores'!$A$2:$A$131,0)),IF(ISNUMBER(INDEX('NCO-2015 scores'!$C$2:$C$131,MATCH(E1055,'NCO-2015 scores'!$A$2:$A$131,0))),1,0),0)</f>
        <v>1</v>
      </c>
    </row>
    <row r="1056" customFormat="false" ht="15" hidden="false" customHeight="false" outlineLevel="0" collapsed="false">
      <c r="A1056" s="2" t="n">
        <v>1054</v>
      </c>
      <c r="B1056" s="2" t="s">
        <v>3337</v>
      </c>
      <c r="C1056" s="2" t="s">
        <v>3338</v>
      </c>
      <c r="D1056" s="2" t="s">
        <v>3339</v>
      </c>
      <c r="E1056" s="2" t="str">
        <f aca="false">LEFT(C1056,3)</f>
        <v>611</v>
      </c>
      <c r="F1056" s="2" t="str">
        <f aca="false">IF(D1056="","",LEFT(D1056,3))</f>
        <v>611</v>
      </c>
      <c r="G1056" s="2" t="str">
        <f aca="false">IF(F1056="","",IF(E1056=F1056,"Yes","No"))</f>
        <v>Yes</v>
      </c>
      <c r="H1056" s="2" t="n">
        <f aca="false">IF(D1056="",0,1/COUNTIF($D$2:$D$3451,D1056))</f>
        <v>1</v>
      </c>
      <c r="I1056" s="13" t="n">
        <f aca="false">IFERROR(INDEX('NCO-2015 scores'!$C$2:$C$131,MATCH(E1056,'NCO-2015 scores'!$A$2:$A$131,0)),0)</f>
        <v>0.175</v>
      </c>
      <c r="J1056" s="13" t="n">
        <f aca="false">IF(ISNUMBER(MATCH(E1056,'NCO-2015 scores'!$A$2:$A$131,0)),IF(ISNUMBER(INDEX('NCO-2015 scores'!$C$2:$C$131,MATCH(E1056,'NCO-2015 scores'!$A$2:$A$131,0))),1,0),0)</f>
        <v>1</v>
      </c>
    </row>
    <row r="1057" customFormat="false" ht="15" hidden="false" customHeight="false" outlineLevel="0" collapsed="false">
      <c r="A1057" s="2" t="n">
        <v>1055</v>
      </c>
      <c r="B1057" s="2" t="s">
        <v>3340</v>
      </c>
      <c r="C1057" s="2" t="s">
        <v>3341</v>
      </c>
      <c r="D1057" s="2" t="s">
        <v>3342</v>
      </c>
      <c r="E1057" s="2" t="str">
        <f aca="false">LEFT(C1057,3)</f>
        <v>611</v>
      </c>
      <c r="F1057" s="2" t="str">
        <f aca="false">IF(D1057="","",LEFT(D1057,3))</f>
        <v>611</v>
      </c>
      <c r="G1057" s="2" t="str">
        <f aca="false">IF(F1057="","",IF(E1057=F1057,"Yes","No"))</f>
        <v>Yes</v>
      </c>
      <c r="H1057" s="2" t="n">
        <f aca="false">IF(D1057="",0,1/COUNTIF($D$2:$D$3451,D1057))</f>
        <v>1</v>
      </c>
      <c r="I1057" s="13" t="n">
        <f aca="false">IFERROR(INDEX('NCO-2015 scores'!$C$2:$C$131,MATCH(E1057,'NCO-2015 scores'!$A$2:$A$131,0)),0)</f>
        <v>0.175</v>
      </c>
      <c r="J1057" s="13" t="n">
        <f aca="false">IF(ISNUMBER(MATCH(E1057,'NCO-2015 scores'!$A$2:$A$131,0)),IF(ISNUMBER(INDEX('NCO-2015 scores'!$C$2:$C$131,MATCH(E1057,'NCO-2015 scores'!$A$2:$A$131,0))),1,0),0)</f>
        <v>1</v>
      </c>
    </row>
    <row r="1058" customFormat="false" ht="15" hidden="false" customHeight="false" outlineLevel="0" collapsed="false">
      <c r="A1058" s="2" t="n">
        <v>1056</v>
      </c>
      <c r="B1058" s="2" t="s">
        <v>3343</v>
      </c>
      <c r="C1058" s="2" t="s">
        <v>3344</v>
      </c>
      <c r="D1058" s="2" t="s">
        <v>3345</v>
      </c>
      <c r="E1058" s="2" t="str">
        <f aca="false">LEFT(C1058,3)</f>
        <v>265</v>
      </c>
      <c r="F1058" s="2" t="str">
        <f aca="false">IF(D1058="","",LEFT(D1058,3))</f>
        <v>245</v>
      </c>
      <c r="G1058" s="2" t="str">
        <f aca="false">IF(F1058="","",IF(E1058=F1058,"Yes","No"))</f>
        <v>No</v>
      </c>
      <c r="H1058" s="2" t="n">
        <f aca="false">IF(D1058="",0,1/COUNTIF($D$2:$D$3451,D1058))</f>
        <v>1</v>
      </c>
      <c r="I1058" s="13" t="n">
        <f aca="false">IFERROR(INDEX('NCO-2015 scores'!$C$2:$C$131,MATCH(E1058,'NCO-2015 scores'!$A$2:$A$131,0)),0)</f>
        <v>0.28</v>
      </c>
      <c r="J1058" s="13" t="n">
        <f aca="false">IF(ISNUMBER(MATCH(E1058,'NCO-2015 scores'!$A$2:$A$131,0)),IF(ISNUMBER(INDEX('NCO-2015 scores'!$C$2:$C$131,MATCH(E1058,'NCO-2015 scores'!$A$2:$A$131,0))),1,0),0)</f>
        <v>1</v>
      </c>
    </row>
    <row r="1059" customFormat="false" ht="15" hidden="false" customHeight="false" outlineLevel="0" collapsed="false">
      <c r="A1059" s="2" t="n">
        <v>1057</v>
      </c>
      <c r="B1059" s="2" t="s">
        <v>3346</v>
      </c>
      <c r="C1059" s="2" t="s">
        <v>3347</v>
      </c>
      <c r="D1059" s="2" t="s">
        <v>3348</v>
      </c>
      <c r="E1059" s="2" t="str">
        <f aca="false">LEFT(C1059,3)</f>
        <v>265</v>
      </c>
      <c r="F1059" s="2" t="str">
        <f aca="false">IF(D1059="","",LEFT(D1059,3))</f>
        <v>245</v>
      </c>
      <c r="G1059" s="2" t="str">
        <f aca="false">IF(F1059="","",IF(E1059=F1059,"Yes","No"))</f>
        <v>No</v>
      </c>
      <c r="H1059" s="2" t="n">
        <f aca="false">IF(D1059="",0,1/COUNTIF($D$2:$D$3451,D1059))</f>
        <v>1</v>
      </c>
      <c r="I1059" s="13" t="n">
        <f aca="false">IFERROR(INDEX('NCO-2015 scores'!$C$2:$C$131,MATCH(E1059,'NCO-2015 scores'!$A$2:$A$131,0)),0)</f>
        <v>0.28</v>
      </c>
      <c r="J1059" s="13" t="n">
        <f aca="false">IF(ISNUMBER(MATCH(E1059,'NCO-2015 scores'!$A$2:$A$131,0)),IF(ISNUMBER(INDEX('NCO-2015 scores'!$C$2:$C$131,MATCH(E1059,'NCO-2015 scores'!$A$2:$A$131,0))),1,0),0)</f>
        <v>1</v>
      </c>
    </row>
    <row r="1060" customFormat="false" ht="15" hidden="false" customHeight="false" outlineLevel="0" collapsed="false">
      <c r="A1060" s="2" t="n">
        <v>1058</v>
      </c>
      <c r="B1060" s="2" t="s">
        <v>3349</v>
      </c>
      <c r="C1060" s="2" t="s">
        <v>3350</v>
      </c>
      <c r="D1060" s="2" t="s">
        <v>3351</v>
      </c>
      <c r="E1060" s="2" t="str">
        <f aca="false">LEFT(C1060,3)</f>
        <v>265</v>
      </c>
      <c r="F1060" s="2" t="str">
        <f aca="false">IF(D1060="","",LEFT(D1060,3))</f>
        <v>245</v>
      </c>
      <c r="G1060" s="2" t="str">
        <f aca="false">IF(F1060="","",IF(E1060=F1060,"Yes","No"))</f>
        <v>No</v>
      </c>
      <c r="H1060" s="2" t="n">
        <f aca="false">IF(D1060="",0,1/COUNTIF($D$2:$D$3451,D1060))</f>
        <v>1</v>
      </c>
      <c r="I1060" s="13" t="n">
        <f aca="false">IFERROR(INDEX('NCO-2015 scores'!$C$2:$C$131,MATCH(E1060,'NCO-2015 scores'!$A$2:$A$131,0)),0)</f>
        <v>0.28</v>
      </c>
      <c r="J1060" s="13" t="n">
        <f aca="false">IF(ISNUMBER(MATCH(E1060,'NCO-2015 scores'!$A$2:$A$131,0)),IF(ISNUMBER(INDEX('NCO-2015 scores'!$C$2:$C$131,MATCH(E1060,'NCO-2015 scores'!$A$2:$A$131,0))),1,0),0)</f>
        <v>1</v>
      </c>
    </row>
    <row r="1061" customFormat="false" ht="15" hidden="false" customHeight="false" outlineLevel="0" collapsed="false">
      <c r="A1061" s="2" t="n">
        <v>1059</v>
      </c>
      <c r="B1061" s="2" t="s">
        <v>3352</v>
      </c>
      <c r="C1061" s="2" t="s">
        <v>3353</v>
      </c>
      <c r="D1061" s="2"/>
      <c r="E1061" s="2" t="str">
        <f aca="false">LEFT(C1061,3)</f>
        <v>265</v>
      </c>
      <c r="F1061" s="2" t="str">
        <f aca="false">IF(D1061="","",LEFT(D1061,3))</f>
        <v/>
      </c>
      <c r="G1061" s="2" t="str">
        <f aca="false">IF(F1061="","",IF(E1061=F1061,"Yes","No"))</f>
        <v/>
      </c>
      <c r="H1061" s="2" t="n">
        <f aca="false">IF(D1061="",0,1/COUNTIF($D$2:$D$3451,D1061))</f>
        <v>0</v>
      </c>
      <c r="I1061" s="13" t="n">
        <f aca="false">IFERROR(INDEX('NCO-2015 scores'!$C$2:$C$131,MATCH(E1061,'NCO-2015 scores'!$A$2:$A$131,0)),0)</f>
        <v>0.28</v>
      </c>
      <c r="J1061" s="13" t="n">
        <f aca="false">IF(ISNUMBER(MATCH(E1061,'NCO-2015 scores'!$A$2:$A$131,0)),IF(ISNUMBER(INDEX('NCO-2015 scores'!$C$2:$C$131,MATCH(E1061,'NCO-2015 scores'!$A$2:$A$131,0))),1,0),0)</f>
        <v>1</v>
      </c>
    </row>
    <row r="1062" customFormat="false" ht="15" hidden="false" customHeight="false" outlineLevel="0" collapsed="false">
      <c r="A1062" s="2" t="n">
        <v>1060</v>
      </c>
      <c r="B1062" s="2" t="s">
        <v>3354</v>
      </c>
      <c r="C1062" s="2" t="s">
        <v>3355</v>
      </c>
      <c r="D1062" s="2" t="s">
        <v>3356</v>
      </c>
      <c r="E1062" s="2" t="str">
        <f aca="false">LEFT(C1062,3)</f>
        <v>265</v>
      </c>
      <c r="F1062" s="2" t="str">
        <f aca="false">IF(D1062="","",LEFT(D1062,3))</f>
        <v>245</v>
      </c>
      <c r="G1062" s="2" t="str">
        <f aca="false">IF(F1062="","",IF(E1062=F1062,"Yes","No"))</f>
        <v>No</v>
      </c>
      <c r="H1062" s="2" t="n">
        <f aca="false">IF(D1062="",0,1/COUNTIF($D$2:$D$3451,D1062))</f>
        <v>1</v>
      </c>
      <c r="I1062" s="13" t="n">
        <f aca="false">IFERROR(INDEX('NCO-2015 scores'!$C$2:$C$131,MATCH(E1062,'NCO-2015 scores'!$A$2:$A$131,0)),0)</f>
        <v>0.28</v>
      </c>
      <c r="J1062" s="13" t="n">
        <f aca="false">IF(ISNUMBER(MATCH(E1062,'NCO-2015 scores'!$A$2:$A$131,0)),IF(ISNUMBER(INDEX('NCO-2015 scores'!$C$2:$C$131,MATCH(E1062,'NCO-2015 scores'!$A$2:$A$131,0))),1,0),0)</f>
        <v>1</v>
      </c>
    </row>
    <row r="1063" customFormat="false" ht="15" hidden="false" customHeight="false" outlineLevel="0" collapsed="false">
      <c r="A1063" s="2" t="n">
        <v>1061</v>
      </c>
      <c r="B1063" s="2" t="s">
        <v>3357</v>
      </c>
      <c r="C1063" s="2" t="s">
        <v>3358</v>
      </c>
      <c r="D1063" s="2" t="s">
        <v>3359</v>
      </c>
      <c r="E1063" s="2" t="str">
        <f aca="false">LEFT(C1063,3)</f>
        <v>265</v>
      </c>
      <c r="F1063" s="2" t="str">
        <f aca="false">IF(D1063="","",LEFT(D1063,3))</f>
        <v>122</v>
      </c>
      <c r="G1063" s="2" t="str">
        <f aca="false">IF(F1063="","",IF(E1063=F1063,"Yes","No"))</f>
        <v>No</v>
      </c>
      <c r="H1063" s="2" t="n">
        <f aca="false">IF(D1063="",0,1/COUNTIF($D$2:$D$3451,D1063))</f>
        <v>1</v>
      </c>
      <c r="I1063" s="13" t="n">
        <f aca="false">IFERROR(INDEX('NCO-2015 scores'!$C$2:$C$131,MATCH(E1063,'NCO-2015 scores'!$A$2:$A$131,0)),0)</f>
        <v>0.28</v>
      </c>
      <c r="J1063" s="13" t="n">
        <f aca="false">IF(ISNUMBER(MATCH(E1063,'NCO-2015 scores'!$A$2:$A$131,0)),IF(ISNUMBER(INDEX('NCO-2015 scores'!$C$2:$C$131,MATCH(E1063,'NCO-2015 scores'!$A$2:$A$131,0))),1,0),0)</f>
        <v>1</v>
      </c>
    </row>
    <row r="1064" customFormat="false" ht="15" hidden="false" customHeight="false" outlineLevel="0" collapsed="false">
      <c r="A1064" s="2" t="n">
        <v>1062</v>
      </c>
      <c r="B1064" s="2" t="s">
        <v>3360</v>
      </c>
      <c r="C1064" s="2" t="s">
        <v>3361</v>
      </c>
      <c r="D1064" s="2" t="s">
        <v>3362</v>
      </c>
      <c r="E1064" s="2" t="str">
        <f aca="false">LEFT(C1064,3)</f>
        <v>265</v>
      </c>
      <c r="F1064" s="2" t="str">
        <f aca="false">IF(D1064="","",LEFT(D1064,3))</f>
        <v>122</v>
      </c>
      <c r="G1064" s="2" t="str">
        <f aca="false">IF(F1064="","",IF(E1064=F1064,"Yes","No"))</f>
        <v>No</v>
      </c>
      <c r="H1064" s="2" t="n">
        <f aca="false">IF(D1064="",0,1/COUNTIF($D$2:$D$3451,D1064))</f>
        <v>1</v>
      </c>
      <c r="I1064" s="13" t="n">
        <f aca="false">IFERROR(INDEX('NCO-2015 scores'!$C$2:$C$131,MATCH(E1064,'NCO-2015 scores'!$A$2:$A$131,0)),0)</f>
        <v>0.28</v>
      </c>
      <c r="J1064" s="13" t="n">
        <f aca="false">IF(ISNUMBER(MATCH(E1064,'NCO-2015 scores'!$A$2:$A$131,0)),IF(ISNUMBER(INDEX('NCO-2015 scores'!$C$2:$C$131,MATCH(E1064,'NCO-2015 scores'!$A$2:$A$131,0))),1,0),0)</f>
        <v>1</v>
      </c>
    </row>
    <row r="1065" customFormat="false" ht="15" hidden="false" customHeight="false" outlineLevel="0" collapsed="false">
      <c r="A1065" s="2" t="n">
        <v>1063</v>
      </c>
      <c r="B1065" s="2" t="s">
        <v>3363</v>
      </c>
      <c r="C1065" s="2" t="s">
        <v>3364</v>
      </c>
      <c r="D1065" s="2" t="s">
        <v>3365</v>
      </c>
      <c r="E1065" s="2" t="str">
        <f aca="false">LEFT(C1065,3)</f>
        <v>265</v>
      </c>
      <c r="F1065" s="2" t="str">
        <f aca="false">IF(D1065="","",LEFT(D1065,3))</f>
        <v>245</v>
      </c>
      <c r="G1065" s="2" t="str">
        <f aca="false">IF(F1065="","",IF(E1065=F1065,"Yes","No"))</f>
        <v>No</v>
      </c>
      <c r="H1065" s="2" t="n">
        <f aca="false">IF(D1065="",0,1/COUNTIF($D$2:$D$3451,D1065))</f>
        <v>1</v>
      </c>
      <c r="I1065" s="13" t="n">
        <f aca="false">IFERROR(INDEX('NCO-2015 scores'!$C$2:$C$131,MATCH(E1065,'NCO-2015 scores'!$A$2:$A$131,0)),0)</f>
        <v>0.28</v>
      </c>
      <c r="J1065" s="13" t="n">
        <f aca="false">IF(ISNUMBER(MATCH(E1065,'NCO-2015 scores'!$A$2:$A$131,0)),IF(ISNUMBER(INDEX('NCO-2015 scores'!$C$2:$C$131,MATCH(E1065,'NCO-2015 scores'!$A$2:$A$131,0))),1,0),0)</f>
        <v>1</v>
      </c>
    </row>
    <row r="1066" customFormat="false" ht="15" hidden="false" customHeight="false" outlineLevel="0" collapsed="false">
      <c r="A1066" s="2" t="n">
        <v>1064</v>
      </c>
      <c r="B1066" s="2" t="s">
        <v>3366</v>
      </c>
      <c r="C1066" s="2" t="s">
        <v>3367</v>
      </c>
      <c r="D1066" s="2" t="s">
        <v>3368</v>
      </c>
      <c r="E1066" s="2" t="str">
        <f aca="false">LEFT(C1066,3)</f>
        <v>265</v>
      </c>
      <c r="F1066" s="2" t="str">
        <f aca="false">IF(D1066="","",LEFT(D1066,3))</f>
        <v>122</v>
      </c>
      <c r="G1066" s="2" t="str">
        <f aca="false">IF(F1066="","",IF(E1066=F1066,"Yes","No"))</f>
        <v>No</v>
      </c>
      <c r="H1066" s="2" t="n">
        <f aca="false">IF(D1066="",0,1/COUNTIF($D$2:$D$3451,D1066))</f>
        <v>1</v>
      </c>
      <c r="I1066" s="13" t="n">
        <f aca="false">IFERROR(INDEX('NCO-2015 scores'!$C$2:$C$131,MATCH(E1066,'NCO-2015 scores'!$A$2:$A$131,0)),0)</f>
        <v>0.28</v>
      </c>
      <c r="J1066" s="13" t="n">
        <f aca="false">IF(ISNUMBER(MATCH(E1066,'NCO-2015 scores'!$A$2:$A$131,0)),IF(ISNUMBER(INDEX('NCO-2015 scores'!$C$2:$C$131,MATCH(E1066,'NCO-2015 scores'!$A$2:$A$131,0))),1,0),0)</f>
        <v>1</v>
      </c>
    </row>
    <row r="1067" customFormat="false" ht="15" hidden="false" customHeight="false" outlineLevel="0" collapsed="false">
      <c r="A1067" s="2" t="n">
        <v>1065</v>
      </c>
      <c r="B1067" s="2" t="s">
        <v>3369</v>
      </c>
      <c r="C1067" s="2" t="s">
        <v>3370</v>
      </c>
      <c r="D1067" s="2" t="s">
        <v>3371</v>
      </c>
      <c r="E1067" s="2" t="str">
        <f aca="false">LEFT(C1067,3)</f>
        <v>265</v>
      </c>
      <c r="F1067" s="2" t="str">
        <f aca="false">IF(D1067="","",LEFT(D1067,3))</f>
        <v>122</v>
      </c>
      <c r="G1067" s="2" t="str">
        <f aca="false">IF(F1067="","",IF(E1067=F1067,"Yes","No"))</f>
        <v>No</v>
      </c>
      <c r="H1067" s="2" t="n">
        <f aca="false">IF(D1067="",0,1/COUNTIF($D$2:$D$3451,D1067))</f>
        <v>1</v>
      </c>
      <c r="I1067" s="13" t="n">
        <f aca="false">IFERROR(INDEX('NCO-2015 scores'!$C$2:$C$131,MATCH(E1067,'NCO-2015 scores'!$A$2:$A$131,0)),0)</f>
        <v>0.28</v>
      </c>
      <c r="J1067" s="13" t="n">
        <f aca="false">IF(ISNUMBER(MATCH(E1067,'NCO-2015 scores'!$A$2:$A$131,0)),IF(ISNUMBER(INDEX('NCO-2015 scores'!$C$2:$C$131,MATCH(E1067,'NCO-2015 scores'!$A$2:$A$131,0))),1,0),0)</f>
        <v>1</v>
      </c>
    </row>
    <row r="1068" customFormat="false" ht="15" hidden="false" customHeight="false" outlineLevel="0" collapsed="false">
      <c r="A1068" s="2" t="n">
        <v>1066</v>
      </c>
      <c r="B1068" s="2" t="s">
        <v>3372</v>
      </c>
      <c r="C1068" s="2" t="s">
        <v>3373</v>
      </c>
      <c r="D1068" s="2"/>
      <c r="E1068" s="2" t="str">
        <f aca="false">LEFT(C1068,3)</f>
        <v>265</v>
      </c>
      <c r="F1068" s="2" t="str">
        <f aca="false">IF(D1068="","",LEFT(D1068,3))</f>
        <v/>
      </c>
      <c r="G1068" s="2" t="str">
        <f aca="false">IF(F1068="","",IF(E1068=F1068,"Yes","No"))</f>
        <v/>
      </c>
      <c r="H1068" s="2" t="n">
        <f aca="false">IF(D1068="",0,1/COUNTIF($D$2:$D$3451,D1068))</f>
        <v>0</v>
      </c>
      <c r="I1068" s="13" t="n">
        <f aca="false">IFERROR(INDEX('NCO-2015 scores'!$C$2:$C$131,MATCH(E1068,'NCO-2015 scores'!$A$2:$A$131,0)),0)</f>
        <v>0.28</v>
      </c>
      <c r="J1068" s="13" t="n">
        <f aca="false">IF(ISNUMBER(MATCH(E1068,'NCO-2015 scores'!$A$2:$A$131,0)),IF(ISNUMBER(INDEX('NCO-2015 scores'!$C$2:$C$131,MATCH(E1068,'NCO-2015 scores'!$A$2:$A$131,0))),1,0),0)</f>
        <v>1</v>
      </c>
    </row>
    <row r="1069" customFormat="false" ht="15" hidden="false" customHeight="false" outlineLevel="0" collapsed="false">
      <c r="A1069" s="2" t="n">
        <v>1067</v>
      </c>
      <c r="B1069" s="2" t="s">
        <v>3374</v>
      </c>
      <c r="C1069" s="2" t="s">
        <v>3375</v>
      </c>
      <c r="D1069" s="2" t="s">
        <v>3376</v>
      </c>
      <c r="E1069" s="2" t="str">
        <f aca="false">LEFT(C1069,3)</f>
        <v>121</v>
      </c>
      <c r="F1069" s="2" t="str">
        <f aca="false">IF(D1069="","",LEFT(D1069,3))</f>
        <v>130</v>
      </c>
      <c r="G1069" s="2" t="str">
        <f aca="false">IF(F1069="","",IF(E1069=F1069,"Yes","No"))</f>
        <v>No</v>
      </c>
      <c r="H1069" s="2" t="n">
        <f aca="false">IF(D1069="",0,1/COUNTIF($D$2:$D$3451,D1069))</f>
        <v>1</v>
      </c>
      <c r="I1069" s="13" t="n">
        <f aca="false">IFERROR(INDEX('NCO-2015 scores'!$C$2:$C$131,MATCH(E1069,'NCO-2015 scores'!$A$2:$A$131,0)),0)</f>
        <v>0.3775</v>
      </c>
      <c r="J1069" s="13" t="n">
        <f aca="false">IF(ISNUMBER(MATCH(E1069,'NCO-2015 scores'!$A$2:$A$131,0)),IF(ISNUMBER(INDEX('NCO-2015 scores'!$C$2:$C$131,MATCH(E1069,'NCO-2015 scores'!$A$2:$A$131,0))),1,0),0)</f>
        <v>1</v>
      </c>
    </row>
    <row r="1070" customFormat="false" ht="15" hidden="false" customHeight="false" outlineLevel="0" collapsed="false">
      <c r="A1070" s="2" t="n">
        <v>1068</v>
      </c>
      <c r="B1070" s="2" t="s">
        <v>3377</v>
      </c>
      <c r="C1070" s="2" t="s">
        <v>3378</v>
      </c>
      <c r="D1070" s="2" t="s">
        <v>3379</v>
      </c>
      <c r="E1070" s="2" t="str">
        <f aca="false">LEFT(C1070,3)</f>
        <v>121</v>
      </c>
      <c r="F1070" s="2" t="str">
        <f aca="false">IF(D1070="","",LEFT(D1070,3))</f>
        <v>130</v>
      </c>
      <c r="G1070" s="2" t="str">
        <f aca="false">IF(F1070="","",IF(E1070=F1070,"Yes","No"))</f>
        <v>No</v>
      </c>
      <c r="H1070" s="2" t="n">
        <f aca="false">IF(D1070="",0,1/COUNTIF($D$2:$D$3451,D1070))</f>
        <v>1</v>
      </c>
      <c r="I1070" s="13" t="n">
        <f aca="false">IFERROR(INDEX('NCO-2015 scores'!$C$2:$C$131,MATCH(E1070,'NCO-2015 scores'!$A$2:$A$131,0)),0)</f>
        <v>0.3775</v>
      </c>
      <c r="J1070" s="13" t="n">
        <f aca="false">IF(ISNUMBER(MATCH(E1070,'NCO-2015 scores'!$A$2:$A$131,0)),IF(ISNUMBER(INDEX('NCO-2015 scores'!$C$2:$C$131,MATCH(E1070,'NCO-2015 scores'!$A$2:$A$131,0))),1,0),0)</f>
        <v>1</v>
      </c>
    </row>
    <row r="1071" customFormat="false" ht="15" hidden="false" customHeight="false" outlineLevel="0" collapsed="false">
      <c r="A1071" s="2" t="n">
        <v>1069</v>
      </c>
      <c r="B1071" s="2" t="s">
        <v>3380</v>
      </c>
      <c r="C1071" s="2" t="s">
        <v>3381</v>
      </c>
      <c r="D1071" s="2" t="s">
        <v>3382</v>
      </c>
      <c r="E1071" s="2" t="str">
        <f aca="false">LEFT(C1071,3)</f>
        <v>121</v>
      </c>
      <c r="F1071" s="2" t="str">
        <f aca="false">IF(D1071="","",LEFT(D1071,3))</f>
        <v>123</v>
      </c>
      <c r="G1071" s="2" t="str">
        <f aca="false">IF(F1071="","",IF(E1071=F1071,"Yes","No"))</f>
        <v>No</v>
      </c>
      <c r="H1071" s="2" t="n">
        <f aca="false">IF(D1071="",0,1/COUNTIF($D$2:$D$3451,D1071))</f>
        <v>1</v>
      </c>
      <c r="I1071" s="13" t="n">
        <f aca="false">IFERROR(INDEX('NCO-2015 scores'!$C$2:$C$131,MATCH(E1071,'NCO-2015 scores'!$A$2:$A$131,0)),0)</f>
        <v>0.3775</v>
      </c>
      <c r="J1071" s="13" t="n">
        <f aca="false">IF(ISNUMBER(MATCH(E1071,'NCO-2015 scores'!$A$2:$A$131,0)),IF(ISNUMBER(INDEX('NCO-2015 scores'!$C$2:$C$131,MATCH(E1071,'NCO-2015 scores'!$A$2:$A$131,0))),1,0),0)</f>
        <v>1</v>
      </c>
    </row>
    <row r="1072" customFormat="false" ht="15" hidden="false" customHeight="false" outlineLevel="0" collapsed="false">
      <c r="A1072" s="2" t="n">
        <v>1070</v>
      </c>
      <c r="B1072" s="2" t="s">
        <v>3383</v>
      </c>
      <c r="C1072" s="2" t="s">
        <v>3384</v>
      </c>
      <c r="D1072" s="2" t="s">
        <v>3385</v>
      </c>
      <c r="E1072" s="2" t="str">
        <f aca="false">LEFT(C1072,3)</f>
        <v>121</v>
      </c>
      <c r="F1072" s="2" t="str">
        <f aca="false">IF(D1072="","",LEFT(D1072,3))</f>
        <v>123</v>
      </c>
      <c r="G1072" s="2" t="str">
        <f aca="false">IF(F1072="","",IF(E1072=F1072,"Yes","No"))</f>
        <v>No</v>
      </c>
      <c r="H1072" s="2" t="n">
        <f aca="false">IF(D1072="",0,1/COUNTIF($D$2:$D$3451,D1072))</f>
        <v>1</v>
      </c>
      <c r="I1072" s="13" t="n">
        <f aca="false">IFERROR(INDEX('NCO-2015 scores'!$C$2:$C$131,MATCH(E1072,'NCO-2015 scores'!$A$2:$A$131,0)),0)</f>
        <v>0.3775</v>
      </c>
      <c r="J1072" s="13" t="n">
        <f aca="false">IF(ISNUMBER(MATCH(E1072,'NCO-2015 scores'!$A$2:$A$131,0)),IF(ISNUMBER(INDEX('NCO-2015 scores'!$C$2:$C$131,MATCH(E1072,'NCO-2015 scores'!$A$2:$A$131,0))),1,0),0)</f>
        <v>1</v>
      </c>
    </row>
    <row r="1073" customFormat="false" ht="15" hidden="false" customHeight="false" outlineLevel="0" collapsed="false">
      <c r="A1073" s="2" t="n">
        <v>1071</v>
      </c>
      <c r="B1073" s="2" t="s">
        <v>3386</v>
      </c>
      <c r="C1073" s="2" t="s">
        <v>3387</v>
      </c>
      <c r="D1073" s="2" t="s">
        <v>3388</v>
      </c>
      <c r="E1073" s="2" t="str">
        <f aca="false">LEFT(C1073,3)</f>
        <v>134</v>
      </c>
      <c r="F1073" s="2" t="str">
        <f aca="false">IF(D1073="","",LEFT(D1073,3))</f>
        <v>122</v>
      </c>
      <c r="G1073" s="2" t="str">
        <f aca="false">IF(F1073="","",IF(E1073=F1073,"Yes","No"))</f>
        <v>No</v>
      </c>
      <c r="H1073" s="2" t="n">
        <f aca="false">IF(D1073="",0,1/COUNTIF($D$2:$D$3451,D1073))</f>
        <v>1</v>
      </c>
      <c r="I1073" s="13" t="n">
        <f aca="false">IFERROR(INDEX('NCO-2015 scores'!$C$2:$C$131,MATCH(E1073,'NCO-2015 scores'!$A$2:$A$131,0)),0)</f>
        <v>0.3686</v>
      </c>
      <c r="J1073" s="13" t="n">
        <f aca="false">IF(ISNUMBER(MATCH(E1073,'NCO-2015 scores'!$A$2:$A$131,0)),IF(ISNUMBER(INDEX('NCO-2015 scores'!$C$2:$C$131,MATCH(E1073,'NCO-2015 scores'!$A$2:$A$131,0))),1,0),0)</f>
        <v>1</v>
      </c>
    </row>
    <row r="1074" customFormat="false" ht="15" hidden="false" customHeight="false" outlineLevel="0" collapsed="false">
      <c r="A1074" s="2" t="n">
        <v>1072</v>
      </c>
      <c r="B1074" s="2" t="s">
        <v>3389</v>
      </c>
      <c r="C1074" s="2" t="s">
        <v>3390</v>
      </c>
      <c r="D1074" s="2" t="s">
        <v>3391</v>
      </c>
      <c r="E1074" s="2" t="str">
        <f aca="false">LEFT(C1074,3)</f>
        <v>134</v>
      </c>
      <c r="F1074" s="2" t="str">
        <f aca="false">IF(D1074="","",LEFT(D1074,3))</f>
        <v>122</v>
      </c>
      <c r="G1074" s="2" t="str">
        <f aca="false">IF(F1074="","",IF(E1074=F1074,"Yes","No"))</f>
        <v>No</v>
      </c>
      <c r="H1074" s="2" t="n">
        <f aca="false">IF(D1074="",0,1/COUNTIF($D$2:$D$3451,D1074))</f>
        <v>1</v>
      </c>
      <c r="I1074" s="13" t="n">
        <f aca="false">IFERROR(INDEX('NCO-2015 scores'!$C$2:$C$131,MATCH(E1074,'NCO-2015 scores'!$A$2:$A$131,0)),0)</f>
        <v>0.3686</v>
      </c>
      <c r="J1074" s="13" t="n">
        <f aca="false">IF(ISNUMBER(MATCH(E1074,'NCO-2015 scores'!$A$2:$A$131,0)),IF(ISNUMBER(INDEX('NCO-2015 scores'!$C$2:$C$131,MATCH(E1074,'NCO-2015 scores'!$A$2:$A$131,0))),1,0),0)</f>
        <v>1</v>
      </c>
    </row>
    <row r="1075" customFormat="false" ht="15" hidden="false" customHeight="false" outlineLevel="0" collapsed="false">
      <c r="A1075" s="2" t="n">
        <v>1073</v>
      </c>
      <c r="B1075" s="2" t="s">
        <v>3392</v>
      </c>
      <c r="C1075" s="2" t="s">
        <v>3393</v>
      </c>
      <c r="D1075" s="2" t="s">
        <v>3394</v>
      </c>
      <c r="E1075" s="2" t="str">
        <f aca="false">LEFT(C1075,3)</f>
        <v>134</v>
      </c>
      <c r="F1075" s="2" t="str">
        <f aca="false">IF(D1075="","",LEFT(D1075,3))</f>
        <v>122</v>
      </c>
      <c r="G1075" s="2" t="str">
        <f aca="false">IF(F1075="","",IF(E1075=F1075,"Yes","No"))</f>
        <v>No</v>
      </c>
      <c r="H1075" s="2" t="n">
        <f aca="false">IF(D1075="",0,1/COUNTIF($D$2:$D$3451,D1075))</f>
        <v>1</v>
      </c>
      <c r="I1075" s="13" t="n">
        <f aca="false">IFERROR(INDEX('NCO-2015 scores'!$C$2:$C$131,MATCH(E1075,'NCO-2015 scores'!$A$2:$A$131,0)),0)</f>
        <v>0.3686</v>
      </c>
      <c r="J1075" s="13" t="n">
        <f aca="false">IF(ISNUMBER(MATCH(E1075,'NCO-2015 scores'!$A$2:$A$131,0)),IF(ISNUMBER(INDEX('NCO-2015 scores'!$C$2:$C$131,MATCH(E1075,'NCO-2015 scores'!$A$2:$A$131,0))),1,0),0)</f>
        <v>1</v>
      </c>
    </row>
    <row r="1076" customFormat="false" ht="15" hidden="false" customHeight="false" outlineLevel="0" collapsed="false">
      <c r="A1076" s="2" t="n">
        <v>1074</v>
      </c>
      <c r="B1076" s="2" t="s">
        <v>3395</v>
      </c>
      <c r="C1076" s="2" t="s">
        <v>3396</v>
      </c>
      <c r="D1076" s="2" t="s">
        <v>3397</v>
      </c>
      <c r="E1076" s="2" t="str">
        <f aca="false">LEFT(C1076,3)</f>
        <v>241</v>
      </c>
      <c r="F1076" s="2" t="str">
        <f aca="false">IF(D1076="","",LEFT(D1076,3))</f>
        <v>241</v>
      </c>
      <c r="G1076" s="2" t="str">
        <f aca="false">IF(F1076="","",IF(E1076=F1076,"Yes","No"))</f>
        <v>Yes</v>
      </c>
      <c r="H1076" s="2" t="n">
        <f aca="false">IF(D1076="",0,1/COUNTIF($D$2:$D$3451,D1076))</f>
        <v>1</v>
      </c>
      <c r="I1076" s="13" t="n">
        <f aca="false">IFERROR(INDEX('NCO-2015 scores'!$C$2:$C$131,MATCH(E1076,'NCO-2015 scores'!$A$2:$A$131,0)),0)</f>
        <v>0.5667</v>
      </c>
      <c r="J1076" s="13" t="n">
        <f aca="false">IF(ISNUMBER(MATCH(E1076,'NCO-2015 scores'!$A$2:$A$131,0)),IF(ISNUMBER(INDEX('NCO-2015 scores'!$C$2:$C$131,MATCH(E1076,'NCO-2015 scores'!$A$2:$A$131,0))),1,0),0)</f>
        <v>1</v>
      </c>
    </row>
    <row r="1077" customFormat="false" ht="15" hidden="false" customHeight="false" outlineLevel="0" collapsed="false">
      <c r="A1077" s="2" t="n">
        <v>1075</v>
      </c>
      <c r="B1077" s="2" t="s">
        <v>3398</v>
      </c>
      <c r="C1077" s="2" t="s">
        <v>3399</v>
      </c>
      <c r="D1077" s="2" t="s">
        <v>3400</v>
      </c>
      <c r="E1077" s="2" t="str">
        <f aca="false">LEFT(C1077,3)</f>
        <v>241</v>
      </c>
      <c r="F1077" s="2" t="str">
        <f aca="false">IF(D1077="","",LEFT(D1077,3))</f>
        <v>241</v>
      </c>
      <c r="G1077" s="2" t="str">
        <f aca="false">IF(F1077="","",IF(E1077=F1077,"Yes","No"))</f>
        <v>Yes</v>
      </c>
      <c r="H1077" s="2" t="n">
        <f aca="false">IF(D1077="",0,1/COUNTIF($D$2:$D$3451,D1077))</f>
        <v>1</v>
      </c>
      <c r="I1077" s="13" t="n">
        <f aca="false">IFERROR(INDEX('NCO-2015 scores'!$C$2:$C$131,MATCH(E1077,'NCO-2015 scores'!$A$2:$A$131,0)),0)</f>
        <v>0.5667</v>
      </c>
      <c r="J1077" s="13" t="n">
        <f aca="false">IF(ISNUMBER(MATCH(E1077,'NCO-2015 scores'!$A$2:$A$131,0)),IF(ISNUMBER(INDEX('NCO-2015 scores'!$C$2:$C$131,MATCH(E1077,'NCO-2015 scores'!$A$2:$A$131,0))),1,0),0)</f>
        <v>1</v>
      </c>
    </row>
    <row r="1078" customFormat="false" ht="15" hidden="false" customHeight="false" outlineLevel="0" collapsed="false">
      <c r="A1078" s="2" t="n">
        <v>1076</v>
      </c>
      <c r="B1078" s="2" t="s">
        <v>3401</v>
      </c>
      <c r="C1078" s="2" t="s">
        <v>3402</v>
      </c>
      <c r="D1078" s="2" t="s">
        <v>3403</v>
      </c>
      <c r="E1078" s="2" t="str">
        <f aca="false">LEFT(C1078,3)</f>
        <v>241</v>
      </c>
      <c r="F1078" s="2" t="str">
        <f aca="false">IF(D1078="","",LEFT(D1078,3))</f>
        <v>241</v>
      </c>
      <c r="G1078" s="2" t="str">
        <f aca="false">IF(F1078="","",IF(E1078=F1078,"Yes","No"))</f>
        <v>Yes</v>
      </c>
      <c r="H1078" s="2" t="n">
        <f aca="false">IF(D1078="",0,1/COUNTIF($D$2:$D$3451,D1078))</f>
        <v>1</v>
      </c>
      <c r="I1078" s="13" t="n">
        <f aca="false">IFERROR(INDEX('NCO-2015 scores'!$C$2:$C$131,MATCH(E1078,'NCO-2015 scores'!$A$2:$A$131,0)),0)</f>
        <v>0.5667</v>
      </c>
      <c r="J1078" s="13" t="n">
        <f aca="false">IF(ISNUMBER(MATCH(E1078,'NCO-2015 scores'!$A$2:$A$131,0)),IF(ISNUMBER(INDEX('NCO-2015 scores'!$C$2:$C$131,MATCH(E1078,'NCO-2015 scores'!$A$2:$A$131,0))),1,0),0)</f>
        <v>1</v>
      </c>
    </row>
    <row r="1079" customFormat="false" ht="15" hidden="false" customHeight="false" outlineLevel="0" collapsed="false">
      <c r="A1079" s="2" t="n">
        <v>1077</v>
      </c>
      <c r="B1079" s="2" t="s">
        <v>3404</v>
      </c>
      <c r="C1079" s="2" t="s">
        <v>3405</v>
      </c>
      <c r="D1079" s="2" t="s">
        <v>3406</v>
      </c>
      <c r="E1079" s="2" t="str">
        <f aca="false">LEFT(C1079,3)</f>
        <v>241</v>
      </c>
      <c r="F1079" s="2" t="str">
        <f aca="false">IF(D1079="","",LEFT(D1079,3))</f>
        <v>241</v>
      </c>
      <c r="G1079" s="2" t="str">
        <f aca="false">IF(F1079="","",IF(E1079=F1079,"Yes","No"))</f>
        <v>Yes</v>
      </c>
      <c r="H1079" s="2" t="n">
        <f aca="false">IF(D1079="",0,1/COUNTIF($D$2:$D$3451,D1079))</f>
        <v>1</v>
      </c>
      <c r="I1079" s="13" t="n">
        <f aca="false">IFERROR(INDEX('NCO-2015 scores'!$C$2:$C$131,MATCH(E1079,'NCO-2015 scores'!$A$2:$A$131,0)),0)</f>
        <v>0.5667</v>
      </c>
      <c r="J1079" s="13" t="n">
        <f aca="false">IF(ISNUMBER(MATCH(E1079,'NCO-2015 scores'!$A$2:$A$131,0)),IF(ISNUMBER(INDEX('NCO-2015 scores'!$C$2:$C$131,MATCH(E1079,'NCO-2015 scores'!$A$2:$A$131,0))),1,0),0)</f>
        <v>1</v>
      </c>
    </row>
    <row r="1080" customFormat="false" ht="15" hidden="false" customHeight="false" outlineLevel="0" collapsed="false">
      <c r="A1080" s="2" t="n">
        <v>1078</v>
      </c>
      <c r="B1080" s="2" t="s">
        <v>3407</v>
      </c>
      <c r="C1080" s="2" t="s">
        <v>3408</v>
      </c>
      <c r="D1080" s="2"/>
      <c r="E1080" s="2" t="str">
        <f aca="false">LEFT(C1080,3)</f>
        <v>241</v>
      </c>
      <c r="F1080" s="2" t="str">
        <f aca="false">IF(D1080="","",LEFT(D1080,3))</f>
        <v/>
      </c>
      <c r="G1080" s="2" t="str">
        <f aca="false">IF(F1080="","",IF(E1080=F1080,"Yes","No"))</f>
        <v/>
      </c>
      <c r="H1080" s="2" t="n">
        <f aca="false">IF(D1080="",0,1/COUNTIF($D$2:$D$3451,D1080))</f>
        <v>0</v>
      </c>
      <c r="I1080" s="13" t="n">
        <f aca="false">IFERROR(INDEX('NCO-2015 scores'!$C$2:$C$131,MATCH(E1080,'NCO-2015 scores'!$A$2:$A$131,0)),0)</f>
        <v>0.5667</v>
      </c>
      <c r="J1080" s="13" t="n">
        <f aca="false">IF(ISNUMBER(MATCH(E1080,'NCO-2015 scores'!$A$2:$A$131,0)),IF(ISNUMBER(INDEX('NCO-2015 scores'!$C$2:$C$131,MATCH(E1080,'NCO-2015 scores'!$A$2:$A$131,0))),1,0),0)</f>
        <v>1</v>
      </c>
    </row>
    <row r="1081" customFormat="false" ht="15" hidden="false" customHeight="false" outlineLevel="0" collapsed="false">
      <c r="A1081" s="2" t="n">
        <v>1079</v>
      </c>
      <c r="B1081" s="2" t="s">
        <v>3409</v>
      </c>
      <c r="C1081" s="2" t="s">
        <v>3410</v>
      </c>
      <c r="D1081" s="2" t="s">
        <v>3411</v>
      </c>
      <c r="E1081" s="2" t="str">
        <f aca="false">LEFT(C1081,3)</f>
        <v>241</v>
      </c>
      <c r="F1081" s="2" t="str">
        <f aca="false">IF(D1081="","",LEFT(D1081,3))</f>
        <v>341</v>
      </c>
      <c r="G1081" s="2" t="str">
        <f aca="false">IF(F1081="","",IF(E1081=F1081,"Yes","No"))</f>
        <v>No</v>
      </c>
      <c r="H1081" s="2" t="n">
        <f aca="false">IF(D1081="",0,1/COUNTIF($D$2:$D$3451,D1081))</f>
        <v>1</v>
      </c>
      <c r="I1081" s="13" t="n">
        <f aca="false">IFERROR(INDEX('NCO-2015 scores'!$C$2:$C$131,MATCH(E1081,'NCO-2015 scores'!$A$2:$A$131,0)),0)</f>
        <v>0.5667</v>
      </c>
      <c r="J1081" s="13" t="n">
        <f aca="false">IF(ISNUMBER(MATCH(E1081,'NCO-2015 scores'!$A$2:$A$131,0)),IF(ISNUMBER(INDEX('NCO-2015 scores'!$C$2:$C$131,MATCH(E1081,'NCO-2015 scores'!$A$2:$A$131,0))),1,0),0)</f>
        <v>1</v>
      </c>
    </row>
    <row r="1082" customFormat="false" ht="15" hidden="false" customHeight="false" outlineLevel="0" collapsed="false">
      <c r="A1082" s="2" t="n">
        <v>1080</v>
      </c>
      <c r="B1082" s="2" t="s">
        <v>3412</v>
      </c>
      <c r="C1082" s="2" t="s">
        <v>3413</v>
      </c>
      <c r="D1082" s="2" t="s">
        <v>3414</v>
      </c>
      <c r="E1082" s="2" t="str">
        <f aca="false">LEFT(C1082,3)</f>
        <v>241</v>
      </c>
      <c r="F1082" s="2" t="str">
        <f aca="false">IF(D1082="","",LEFT(D1082,3))</f>
        <v>241</v>
      </c>
      <c r="G1082" s="2" t="str">
        <f aca="false">IF(F1082="","",IF(E1082=F1082,"Yes","No"))</f>
        <v>Yes</v>
      </c>
      <c r="H1082" s="2" t="n">
        <f aca="false">IF(D1082="",0,1/COUNTIF($D$2:$D$3451,D1082))</f>
        <v>1</v>
      </c>
      <c r="I1082" s="13" t="n">
        <f aca="false">IFERROR(INDEX('NCO-2015 scores'!$C$2:$C$131,MATCH(E1082,'NCO-2015 scores'!$A$2:$A$131,0)),0)</f>
        <v>0.5667</v>
      </c>
      <c r="J1082" s="13" t="n">
        <f aca="false">IF(ISNUMBER(MATCH(E1082,'NCO-2015 scores'!$A$2:$A$131,0)),IF(ISNUMBER(INDEX('NCO-2015 scores'!$C$2:$C$131,MATCH(E1082,'NCO-2015 scores'!$A$2:$A$131,0))),1,0),0)</f>
        <v>1</v>
      </c>
    </row>
    <row r="1083" customFormat="false" ht="15" hidden="false" customHeight="false" outlineLevel="0" collapsed="false">
      <c r="A1083" s="2" t="n">
        <v>1081</v>
      </c>
      <c r="B1083" s="2" t="s">
        <v>3415</v>
      </c>
      <c r="C1083" s="2" t="s">
        <v>3416</v>
      </c>
      <c r="D1083" s="2" t="s">
        <v>3417</v>
      </c>
      <c r="E1083" s="2" t="str">
        <f aca="false">LEFT(C1083,3)</f>
        <v>541</v>
      </c>
      <c r="F1083" s="2" t="str">
        <f aca="false">IF(D1083="","",LEFT(D1083,3))</f>
        <v>516</v>
      </c>
      <c r="G1083" s="2" t="str">
        <f aca="false">IF(F1083="","",IF(E1083=F1083,"Yes","No"))</f>
        <v>No</v>
      </c>
      <c r="H1083" s="2" t="n">
        <f aca="false">IF(D1083="",0,1/COUNTIF($D$2:$D$3451,D1083))</f>
        <v>1</v>
      </c>
      <c r="I1083" s="13" t="n">
        <f aca="false">IFERROR(INDEX('NCO-2015 scores'!$C$2:$C$131,MATCH(E1083,'NCO-2015 scores'!$A$2:$A$131,0)),0)</f>
        <v>0.172</v>
      </c>
      <c r="J1083" s="13" t="n">
        <f aca="false">IF(ISNUMBER(MATCH(E1083,'NCO-2015 scores'!$A$2:$A$131,0)),IF(ISNUMBER(INDEX('NCO-2015 scores'!$C$2:$C$131,MATCH(E1083,'NCO-2015 scores'!$A$2:$A$131,0))),1,0),0)</f>
        <v>1</v>
      </c>
    </row>
    <row r="1084" customFormat="false" ht="15" hidden="false" customHeight="false" outlineLevel="0" collapsed="false">
      <c r="A1084" s="2" t="n">
        <v>1082</v>
      </c>
      <c r="B1084" s="2" t="s">
        <v>3418</v>
      </c>
      <c r="C1084" s="2" t="s">
        <v>3419</v>
      </c>
      <c r="D1084" s="2" t="s">
        <v>3420</v>
      </c>
      <c r="E1084" s="2" t="str">
        <f aca="false">LEFT(C1084,3)</f>
        <v>541</v>
      </c>
      <c r="F1084" s="2" t="str">
        <f aca="false">IF(D1084="","",LEFT(D1084,3))</f>
        <v>516</v>
      </c>
      <c r="G1084" s="2" t="str">
        <f aca="false">IF(F1084="","",IF(E1084=F1084,"Yes","No"))</f>
        <v>No</v>
      </c>
      <c r="H1084" s="2" t="n">
        <f aca="false">IF(D1084="",0,1/COUNTIF($D$2:$D$3451,D1084))</f>
        <v>1</v>
      </c>
      <c r="I1084" s="13" t="n">
        <f aca="false">IFERROR(INDEX('NCO-2015 scores'!$C$2:$C$131,MATCH(E1084,'NCO-2015 scores'!$A$2:$A$131,0)),0)</f>
        <v>0.172</v>
      </c>
      <c r="J1084" s="13" t="n">
        <f aca="false">IF(ISNUMBER(MATCH(E1084,'NCO-2015 scores'!$A$2:$A$131,0)),IF(ISNUMBER(INDEX('NCO-2015 scores'!$C$2:$C$131,MATCH(E1084,'NCO-2015 scores'!$A$2:$A$131,0))),1,0),0)</f>
        <v>1</v>
      </c>
    </row>
    <row r="1085" customFormat="false" ht="15" hidden="false" customHeight="false" outlineLevel="0" collapsed="false">
      <c r="A1085" s="2" t="n">
        <v>1083</v>
      </c>
      <c r="B1085" s="2" t="s">
        <v>3421</v>
      </c>
      <c r="C1085" s="2" t="s">
        <v>3422</v>
      </c>
      <c r="D1085" s="2"/>
      <c r="E1085" s="2" t="str">
        <f aca="false">LEFT(C1085,3)</f>
        <v>342</v>
      </c>
      <c r="F1085" s="2" t="str">
        <f aca="false">IF(D1085="","",LEFT(D1085,3))</f>
        <v/>
      </c>
      <c r="G1085" s="2" t="str">
        <f aca="false">IF(F1085="","",IF(E1085=F1085,"Yes","No"))</f>
        <v/>
      </c>
      <c r="H1085" s="2" t="n">
        <f aca="false">IF(D1085="",0,1/COUNTIF($D$2:$D$3451,D1085))</f>
        <v>0</v>
      </c>
      <c r="I1085" s="13" t="n">
        <f aca="false">IFERROR(INDEX('NCO-2015 scores'!$C$2:$C$131,MATCH(E1085,'NCO-2015 scores'!$A$2:$A$131,0)),0)</f>
        <v>0.2833</v>
      </c>
      <c r="J1085" s="13" t="n">
        <f aca="false">IF(ISNUMBER(MATCH(E1085,'NCO-2015 scores'!$A$2:$A$131,0)),IF(ISNUMBER(INDEX('NCO-2015 scores'!$C$2:$C$131,MATCH(E1085,'NCO-2015 scores'!$A$2:$A$131,0))),1,0),0)</f>
        <v>1</v>
      </c>
    </row>
    <row r="1086" customFormat="false" ht="15" hidden="false" customHeight="false" outlineLevel="0" collapsed="false">
      <c r="A1086" s="2" t="n">
        <v>1084</v>
      </c>
      <c r="B1086" s="2" t="s">
        <v>3423</v>
      </c>
      <c r="C1086" s="2" t="s">
        <v>3424</v>
      </c>
      <c r="D1086" s="2" t="s">
        <v>3425</v>
      </c>
      <c r="E1086" s="2" t="str">
        <f aca="false">LEFT(C1086,3)</f>
        <v>342</v>
      </c>
      <c r="F1086" s="2" t="str">
        <f aca="false">IF(D1086="","",LEFT(D1086,3))</f>
        <v>347</v>
      </c>
      <c r="G1086" s="2" t="str">
        <f aca="false">IF(F1086="","",IF(E1086=F1086,"Yes","No"))</f>
        <v>No</v>
      </c>
      <c r="H1086" s="2" t="n">
        <f aca="false">IF(D1086="",0,1/COUNTIF($D$2:$D$3451,D1086))</f>
        <v>1</v>
      </c>
      <c r="I1086" s="13" t="n">
        <f aca="false">IFERROR(INDEX('NCO-2015 scores'!$C$2:$C$131,MATCH(E1086,'NCO-2015 scores'!$A$2:$A$131,0)),0)</f>
        <v>0.2833</v>
      </c>
      <c r="J1086" s="13" t="n">
        <f aca="false">IF(ISNUMBER(MATCH(E1086,'NCO-2015 scores'!$A$2:$A$131,0)),IF(ISNUMBER(INDEX('NCO-2015 scores'!$C$2:$C$131,MATCH(E1086,'NCO-2015 scores'!$A$2:$A$131,0))),1,0),0)</f>
        <v>1</v>
      </c>
    </row>
    <row r="1087" customFormat="false" ht="15" hidden="false" customHeight="false" outlineLevel="0" collapsed="false">
      <c r="A1087" s="2" t="n">
        <v>1085</v>
      </c>
      <c r="B1087" s="2" t="s">
        <v>3426</v>
      </c>
      <c r="C1087" s="2" t="s">
        <v>3427</v>
      </c>
      <c r="D1087" s="2"/>
      <c r="E1087" s="2" t="str">
        <f aca="false">LEFT(C1087,3)</f>
        <v>342</v>
      </c>
      <c r="F1087" s="2" t="str">
        <f aca="false">IF(D1087="","",LEFT(D1087,3))</f>
        <v/>
      </c>
      <c r="G1087" s="2" t="str">
        <f aca="false">IF(F1087="","",IF(E1087=F1087,"Yes","No"))</f>
        <v/>
      </c>
      <c r="H1087" s="2" t="n">
        <f aca="false">IF(D1087="",0,1/COUNTIF($D$2:$D$3451,D1087))</f>
        <v>0</v>
      </c>
      <c r="I1087" s="13" t="n">
        <f aca="false">IFERROR(INDEX('NCO-2015 scores'!$C$2:$C$131,MATCH(E1087,'NCO-2015 scores'!$A$2:$A$131,0)),0)</f>
        <v>0.2833</v>
      </c>
      <c r="J1087" s="13" t="n">
        <f aca="false">IF(ISNUMBER(MATCH(E1087,'NCO-2015 scores'!$A$2:$A$131,0)),IF(ISNUMBER(INDEX('NCO-2015 scores'!$C$2:$C$131,MATCH(E1087,'NCO-2015 scores'!$A$2:$A$131,0))),1,0),0)</f>
        <v>1</v>
      </c>
    </row>
    <row r="1088" customFormat="false" ht="15" hidden="false" customHeight="false" outlineLevel="0" collapsed="false">
      <c r="A1088" s="2" t="n">
        <v>1086</v>
      </c>
      <c r="B1088" s="2" t="s">
        <v>3428</v>
      </c>
      <c r="C1088" s="2" t="s">
        <v>3429</v>
      </c>
      <c r="D1088" s="2"/>
      <c r="E1088" s="2" t="str">
        <f aca="false">LEFT(C1088,3)</f>
        <v>342</v>
      </c>
      <c r="F1088" s="2" t="str">
        <f aca="false">IF(D1088="","",LEFT(D1088,3))</f>
        <v/>
      </c>
      <c r="G1088" s="2" t="str">
        <f aca="false">IF(F1088="","",IF(E1088=F1088,"Yes","No"))</f>
        <v/>
      </c>
      <c r="H1088" s="2" t="n">
        <f aca="false">IF(D1088="",0,1/COUNTIF($D$2:$D$3451,D1088))</f>
        <v>0</v>
      </c>
      <c r="I1088" s="13" t="n">
        <f aca="false">IFERROR(INDEX('NCO-2015 scores'!$C$2:$C$131,MATCH(E1088,'NCO-2015 scores'!$A$2:$A$131,0)),0)</f>
        <v>0.2833</v>
      </c>
      <c r="J1088" s="13" t="n">
        <f aca="false">IF(ISNUMBER(MATCH(E1088,'NCO-2015 scores'!$A$2:$A$131,0)),IF(ISNUMBER(INDEX('NCO-2015 scores'!$C$2:$C$131,MATCH(E1088,'NCO-2015 scores'!$A$2:$A$131,0))),1,0),0)</f>
        <v>1</v>
      </c>
    </row>
    <row r="1089" customFormat="false" ht="15" hidden="false" customHeight="false" outlineLevel="0" collapsed="false">
      <c r="A1089" s="2" t="n">
        <v>1087</v>
      </c>
      <c r="B1089" s="2" t="s">
        <v>3430</v>
      </c>
      <c r="C1089" s="2" t="s">
        <v>3431</v>
      </c>
      <c r="D1089" s="2" t="s">
        <v>3432</v>
      </c>
      <c r="E1089" s="2" t="str">
        <f aca="false">LEFT(C1089,3)</f>
        <v>712</v>
      </c>
      <c r="F1089" s="2" t="str">
        <f aca="false">IF(D1089="","",LEFT(D1089,3))</f>
        <v>713</v>
      </c>
      <c r="G1089" s="2" t="str">
        <f aca="false">IF(F1089="","",IF(E1089=F1089,"Yes","No"))</f>
        <v>No</v>
      </c>
      <c r="H1089" s="2" t="n">
        <f aca="false">IF(D1089="",0,1/COUNTIF($D$2:$D$3451,D1089))</f>
        <v>1</v>
      </c>
      <c r="I1089" s="13" t="n">
        <f aca="false">IFERROR(INDEX('NCO-2015 scores'!$C$2:$C$131,MATCH(E1089,'NCO-2015 scores'!$A$2:$A$131,0)),0)</f>
        <v>0.1429</v>
      </c>
      <c r="J1089" s="13" t="n">
        <f aca="false">IF(ISNUMBER(MATCH(E1089,'NCO-2015 scores'!$A$2:$A$131,0)),IF(ISNUMBER(INDEX('NCO-2015 scores'!$C$2:$C$131,MATCH(E1089,'NCO-2015 scores'!$A$2:$A$131,0))),1,0),0)</f>
        <v>1</v>
      </c>
    </row>
    <row r="1090" customFormat="false" ht="15" hidden="false" customHeight="false" outlineLevel="0" collapsed="false">
      <c r="A1090" s="2" t="n">
        <v>1088</v>
      </c>
      <c r="B1090" s="2" t="s">
        <v>3433</v>
      </c>
      <c r="C1090" s="2" t="s">
        <v>3434</v>
      </c>
      <c r="D1090" s="2" t="s">
        <v>3435</v>
      </c>
      <c r="E1090" s="2" t="str">
        <f aca="false">LEFT(C1090,3)</f>
        <v>712</v>
      </c>
      <c r="F1090" s="2" t="str">
        <f aca="false">IF(D1090="","",LEFT(D1090,3))</f>
        <v>713</v>
      </c>
      <c r="G1090" s="2" t="str">
        <f aca="false">IF(F1090="","",IF(E1090=F1090,"Yes","No"))</f>
        <v>No</v>
      </c>
      <c r="H1090" s="2" t="n">
        <f aca="false">IF(D1090="",0,1/COUNTIF($D$2:$D$3451,D1090))</f>
        <v>1</v>
      </c>
      <c r="I1090" s="13" t="n">
        <f aca="false">IFERROR(INDEX('NCO-2015 scores'!$C$2:$C$131,MATCH(E1090,'NCO-2015 scores'!$A$2:$A$131,0)),0)</f>
        <v>0.1429</v>
      </c>
      <c r="J1090" s="13" t="n">
        <f aca="false">IF(ISNUMBER(MATCH(E1090,'NCO-2015 scores'!$A$2:$A$131,0)),IF(ISNUMBER(INDEX('NCO-2015 scores'!$C$2:$C$131,MATCH(E1090,'NCO-2015 scores'!$A$2:$A$131,0))),1,0),0)</f>
        <v>1</v>
      </c>
    </row>
    <row r="1091" customFormat="false" ht="15" hidden="false" customHeight="false" outlineLevel="0" collapsed="false">
      <c r="A1091" s="2" t="n">
        <v>1089</v>
      </c>
      <c r="B1091" s="2" t="s">
        <v>3436</v>
      </c>
      <c r="C1091" s="2" t="s">
        <v>3437</v>
      </c>
      <c r="D1091" s="2" t="s">
        <v>3438</v>
      </c>
      <c r="E1091" s="2" t="str">
        <f aca="false">LEFT(C1091,3)</f>
        <v>712</v>
      </c>
      <c r="F1091" s="2" t="str">
        <f aca="false">IF(D1091="","",LEFT(D1091,3))</f>
        <v>713</v>
      </c>
      <c r="G1091" s="2" t="str">
        <f aca="false">IF(F1091="","",IF(E1091=F1091,"Yes","No"))</f>
        <v>No</v>
      </c>
      <c r="H1091" s="2" t="n">
        <f aca="false">IF(D1091="",0,1/COUNTIF($D$2:$D$3451,D1091))</f>
        <v>1</v>
      </c>
      <c r="I1091" s="13" t="n">
        <f aca="false">IFERROR(INDEX('NCO-2015 scores'!$C$2:$C$131,MATCH(E1091,'NCO-2015 scores'!$A$2:$A$131,0)),0)</f>
        <v>0.1429</v>
      </c>
      <c r="J1091" s="13" t="n">
        <f aca="false">IF(ISNUMBER(MATCH(E1091,'NCO-2015 scores'!$A$2:$A$131,0)),IF(ISNUMBER(INDEX('NCO-2015 scores'!$C$2:$C$131,MATCH(E1091,'NCO-2015 scores'!$A$2:$A$131,0))),1,0),0)</f>
        <v>1</v>
      </c>
    </row>
    <row r="1092" customFormat="false" ht="15" hidden="false" customHeight="false" outlineLevel="0" collapsed="false">
      <c r="A1092" s="2" t="n">
        <v>1090</v>
      </c>
      <c r="B1092" s="2" t="s">
        <v>3439</v>
      </c>
      <c r="C1092" s="2" t="s">
        <v>3440</v>
      </c>
      <c r="D1092" s="2" t="s">
        <v>3441</v>
      </c>
      <c r="E1092" s="2" t="str">
        <f aca="false">LEFT(C1092,3)</f>
        <v>712</v>
      </c>
      <c r="F1092" s="2" t="str">
        <f aca="false">IF(D1092="","",LEFT(D1092,3))</f>
        <v>713</v>
      </c>
      <c r="G1092" s="2" t="str">
        <f aca="false">IF(F1092="","",IF(E1092=F1092,"Yes","No"))</f>
        <v>No</v>
      </c>
      <c r="H1092" s="2" t="n">
        <f aca="false">IF(D1092="",0,1/COUNTIF($D$2:$D$3451,D1092))</f>
        <v>1</v>
      </c>
      <c r="I1092" s="13" t="n">
        <f aca="false">IFERROR(INDEX('NCO-2015 scores'!$C$2:$C$131,MATCH(E1092,'NCO-2015 scores'!$A$2:$A$131,0)),0)</f>
        <v>0.1429</v>
      </c>
      <c r="J1092" s="13" t="n">
        <f aca="false">IF(ISNUMBER(MATCH(E1092,'NCO-2015 scores'!$A$2:$A$131,0)),IF(ISNUMBER(INDEX('NCO-2015 scores'!$C$2:$C$131,MATCH(E1092,'NCO-2015 scores'!$A$2:$A$131,0))),1,0),0)</f>
        <v>1</v>
      </c>
    </row>
    <row r="1093" customFormat="false" ht="15" hidden="false" customHeight="false" outlineLevel="0" collapsed="false">
      <c r="A1093" s="2" t="n">
        <v>1091</v>
      </c>
      <c r="B1093" s="2" t="s">
        <v>3442</v>
      </c>
      <c r="C1093" s="2" t="s">
        <v>3443</v>
      </c>
      <c r="D1093" s="2" t="s">
        <v>3444</v>
      </c>
      <c r="E1093" s="2" t="str">
        <f aca="false">LEFT(C1093,3)</f>
        <v>712</v>
      </c>
      <c r="F1093" s="2" t="str">
        <f aca="false">IF(D1093="","",LEFT(D1093,3))</f>
        <v>713</v>
      </c>
      <c r="G1093" s="2" t="str">
        <f aca="false">IF(F1093="","",IF(E1093=F1093,"Yes","No"))</f>
        <v>No</v>
      </c>
      <c r="H1093" s="2" t="n">
        <f aca="false">IF(D1093="",0,1/COUNTIF($D$2:$D$3451,D1093))</f>
        <v>1</v>
      </c>
      <c r="I1093" s="13" t="n">
        <f aca="false">IFERROR(INDEX('NCO-2015 scores'!$C$2:$C$131,MATCH(E1093,'NCO-2015 scores'!$A$2:$A$131,0)),0)</f>
        <v>0.1429</v>
      </c>
      <c r="J1093" s="13" t="n">
        <f aca="false">IF(ISNUMBER(MATCH(E1093,'NCO-2015 scores'!$A$2:$A$131,0)),IF(ISNUMBER(INDEX('NCO-2015 scores'!$C$2:$C$131,MATCH(E1093,'NCO-2015 scores'!$A$2:$A$131,0))),1,0),0)</f>
        <v>1</v>
      </c>
    </row>
    <row r="1094" customFormat="false" ht="15" hidden="false" customHeight="false" outlineLevel="0" collapsed="false">
      <c r="A1094" s="2" t="n">
        <v>1092</v>
      </c>
      <c r="B1094" s="2" t="s">
        <v>3445</v>
      </c>
      <c r="C1094" s="2" t="s">
        <v>3446</v>
      </c>
      <c r="D1094" s="2" t="s">
        <v>3447</v>
      </c>
      <c r="E1094" s="2" t="str">
        <f aca="false">LEFT(C1094,3)</f>
        <v>712</v>
      </c>
      <c r="F1094" s="2" t="str">
        <f aca="false">IF(D1094="","",LEFT(D1094,3))</f>
        <v>713</v>
      </c>
      <c r="G1094" s="2" t="str">
        <f aca="false">IF(F1094="","",IF(E1094=F1094,"Yes","No"))</f>
        <v>No</v>
      </c>
      <c r="H1094" s="2" t="n">
        <f aca="false">IF(D1094="",0,1/COUNTIF($D$2:$D$3451,D1094))</f>
        <v>1</v>
      </c>
      <c r="I1094" s="13" t="n">
        <f aca="false">IFERROR(INDEX('NCO-2015 scores'!$C$2:$C$131,MATCH(E1094,'NCO-2015 scores'!$A$2:$A$131,0)),0)</f>
        <v>0.1429</v>
      </c>
      <c r="J1094" s="13" t="n">
        <f aca="false">IF(ISNUMBER(MATCH(E1094,'NCO-2015 scores'!$A$2:$A$131,0)),IF(ISNUMBER(INDEX('NCO-2015 scores'!$C$2:$C$131,MATCH(E1094,'NCO-2015 scores'!$A$2:$A$131,0))),1,0),0)</f>
        <v>1</v>
      </c>
    </row>
    <row r="1095" customFormat="false" ht="15" hidden="false" customHeight="false" outlineLevel="0" collapsed="false">
      <c r="A1095" s="2" t="n">
        <v>1093</v>
      </c>
      <c r="B1095" s="2" t="s">
        <v>3448</v>
      </c>
      <c r="C1095" s="2" t="s">
        <v>3449</v>
      </c>
      <c r="D1095" s="2" t="s">
        <v>3450</v>
      </c>
      <c r="E1095" s="2" t="str">
        <f aca="false">LEFT(C1095,3)</f>
        <v>712</v>
      </c>
      <c r="F1095" s="2" t="str">
        <f aca="false">IF(D1095="","",LEFT(D1095,3))</f>
        <v>713</v>
      </c>
      <c r="G1095" s="2" t="str">
        <f aca="false">IF(F1095="","",IF(E1095=F1095,"Yes","No"))</f>
        <v>No</v>
      </c>
      <c r="H1095" s="2" t="n">
        <f aca="false">IF(D1095="",0,1/COUNTIF($D$2:$D$3451,D1095))</f>
        <v>1</v>
      </c>
      <c r="I1095" s="13" t="n">
        <f aca="false">IFERROR(INDEX('NCO-2015 scores'!$C$2:$C$131,MATCH(E1095,'NCO-2015 scores'!$A$2:$A$131,0)),0)</f>
        <v>0.1429</v>
      </c>
      <c r="J1095" s="13" t="n">
        <f aca="false">IF(ISNUMBER(MATCH(E1095,'NCO-2015 scores'!$A$2:$A$131,0)),IF(ISNUMBER(INDEX('NCO-2015 scores'!$C$2:$C$131,MATCH(E1095,'NCO-2015 scores'!$A$2:$A$131,0))),1,0),0)</f>
        <v>1</v>
      </c>
    </row>
    <row r="1096" customFormat="false" ht="15" hidden="false" customHeight="false" outlineLevel="0" collapsed="false">
      <c r="A1096" s="2" t="n">
        <v>1094</v>
      </c>
      <c r="B1096" s="2" t="s">
        <v>3451</v>
      </c>
      <c r="C1096" s="2" t="s">
        <v>3452</v>
      </c>
      <c r="D1096" s="2" t="s">
        <v>3453</v>
      </c>
      <c r="E1096" s="2" t="str">
        <f aca="false">LEFT(C1096,3)</f>
        <v>751</v>
      </c>
      <c r="F1096" s="2" t="str">
        <f aca="false">IF(D1096="","",LEFT(D1096,3))</f>
        <v>741</v>
      </c>
      <c r="G1096" s="2" t="str">
        <f aca="false">IF(F1096="","",IF(E1096=F1096,"Yes","No"))</f>
        <v>No</v>
      </c>
      <c r="H1096" s="2" t="n">
        <f aca="false">IF(D1096="",0,1/COUNTIF($D$2:$D$3451,D1096))</f>
        <v>1</v>
      </c>
      <c r="I1096" s="13" t="n">
        <f aca="false">IFERROR(INDEX('NCO-2015 scores'!$C$2:$C$131,MATCH(E1096,'NCO-2015 scores'!$A$2:$A$131,0)),0)</f>
        <v>0.1867</v>
      </c>
      <c r="J1096" s="13" t="n">
        <f aca="false">IF(ISNUMBER(MATCH(E1096,'NCO-2015 scores'!$A$2:$A$131,0)),IF(ISNUMBER(INDEX('NCO-2015 scores'!$C$2:$C$131,MATCH(E1096,'NCO-2015 scores'!$A$2:$A$131,0))),1,0),0)</f>
        <v>1</v>
      </c>
    </row>
    <row r="1097" customFormat="false" ht="15" hidden="false" customHeight="false" outlineLevel="0" collapsed="false">
      <c r="A1097" s="2" t="n">
        <v>1095</v>
      </c>
      <c r="B1097" s="2" t="s">
        <v>3454</v>
      </c>
      <c r="C1097" s="2" t="s">
        <v>3455</v>
      </c>
      <c r="D1097" s="2" t="s">
        <v>3456</v>
      </c>
      <c r="E1097" s="2" t="str">
        <f aca="false">LEFT(C1097,3)</f>
        <v>751</v>
      </c>
      <c r="F1097" s="2" t="str">
        <f aca="false">IF(D1097="","",LEFT(D1097,3))</f>
        <v>741</v>
      </c>
      <c r="G1097" s="2" t="str">
        <f aca="false">IF(F1097="","",IF(E1097=F1097,"Yes","No"))</f>
        <v>No</v>
      </c>
      <c r="H1097" s="2" t="n">
        <f aca="false">IF(D1097="",0,1/COUNTIF($D$2:$D$3451,D1097))</f>
        <v>1</v>
      </c>
      <c r="I1097" s="13" t="n">
        <f aca="false">IFERROR(INDEX('NCO-2015 scores'!$C$2:$C$131,MATCH(E1097,'NCO-2015 scores'!$A$2:$A$131,0)),0)</f>
        <v>0.1867</v>
      </c>
      <c r="J1097" s="13" t="n">
        <f aca="false">IF(ISNUMBER(MATCH(E1097,'NCO-2015 scores'!$A$2:$A$131,0)),IF(ISNUMBER(INDEX('NCO-2015 scores'!$C$2:$C$131,MATCH(E1097,'NCO-2015 scores'!$A$2:$A$131,0))),1,0),0)</f>
        <v>1</v>
      </c>
    </row>
    <row r="1098" customFormat="false" ht="15" hidden="false" customHeight="false" outlineLevel="0" collapsed="false">
      <c r="A1098" s="2" t="n">
        <v>1096</v>
      </c>
      <c r="B1098" s="2" t="s">
        <v>3457</v>
      </c>
      <c r="C1098" s="2" t="s">
        <v>3458</v>
      </c>
      <c r="D1098" s="2" t="s">
        <v>3459</v>
      </c>
      <c r="E1098" s="2" t="str">
        <f aca="false">LEFT(C1098,3)</f>
        <v>751</v>
      </c>
      <c r="F1098" s="2" t="str">
        <f aca="false">IF(D1098="","",LEFT(D1098,3))</f>
        <v>741</v>
      </c>
      <c r="G1098" s="2" t="str">
        <f aca="false">IF(F1098="","",IF(E1098=F1098,"Yes","No"))</f>
        <v>No</v>
      </c>
      <c r="H1098" s="2" t="n">
        <f aca="false">IF(D1098="",0,1/COUNTIF($D$2:$D$3451,D1098))</f>
        <v>1</v>
      </c>
      <c r="I1098" s="13" t="n">
        <f aca="false">IFERROR(INDEX('NCO-2015 scores'!$C$2:$C$131,MATCH(E1098,'NCO-2015 scores'!$A$2:$A$131,0)),0)</f>
        <v>0.1867</v>
      </c>
      <c r="J1098" s="13" t="n">
        <f aca="false">IF(ISNUMBER(MATCH(E1098,'NCO-2015 scores'!$A$2:$A$131,0)),IF(ISNUMBER(INDEX('NCO-2015 scores'!$C$2:$C$131,MATCH(E1098,'NCO-2015 scores'!$A$2:$A$131,0))),1,0),0)</f>
        <v>1</v>
      </c>
    </row>
    <row r="1099" customFormat="false" ht="15" hidden="false" customHeight="false" outlineLevel="0" collapsed="false">
      <c r="A1099" s="2" t="n">
        <v>1097</v>
      </c>
      <c r="B1099" s="2" t="s">
        <v>3460</v>
      </c>
      <c r="C1099" s="2" t="s">
        <v>3461</v>
      </c>
      <c r="D1099" s="2" t="s">
        <v>3462</v>
      </c>
      <c r="E1099" s="2" t="str">
        <f aca="false">LEFT(C1099,3)</f>
        <v>751</v>
      </c>
      <c r="F1099" s="2" t="str">
        <f aca="false">IF(D1099="","",LEFT(D1099,3))</f>
        <v>741</v>
      </c>
      <c r="G1099" s="2" t="str">
        <f aca="false">IF(F1099="","",IF(E1099=F1099,"Yes","No"))</f>
        <v>No</v>
      </c>
      <c r="H1099" s="2" t="n">
        <f aca="false">IF(D1099="",0,1/COUNTIF($D$2:$D$3451,D1099))</f>
        <v>1</v>
      </c>
      <c r="I1099" s="13" t="n">
        <f aca="false">IFERROR(INDEX('NCO-2015 scores'!$C$2:$C$131,MATCH(E1099,'NCO-2015 scores'!$A$2:$A$131,0)),0)</f>
        <v>0.1867</v>
      </c>
      <c r="J1099" s="13" t="n">
        <f aca="false">IF(ISNUMBER(MATCH(E1099,'NCO-2015 scores'!$A$2:$A$131,0)),IF(ISNUMBER(INDEX('NCO-2015 scores'!$C$2:$C$131,MATCH(E1099,'NCO-2015 scores'!$A$2:$A$131,0))),1,0),0)</f>
        <v>1</v>
      </c>
    </row>
    <row r="1100" customFormat="false" ht="15" hidden="false" customHeight="false" outlineLevel="0" collapsed="false">
      <c r="A1100" s="2" t="n">
        <v>1098</v>
      </c>
      <c r="B1100" s="2" t="s">
        <v>3463</v>
      </c>
      <c r="C1100" s="2" t="s">
        <v>3464</v>
      </c>
      <c r="D1100" s="2" t="s">
        <v>3465</v>
      </c>
      <c r="E1100" s="2" t="str">
        <f aca="false">LEFT(C1100,3)</f>
        <v>751</v>
      </c>
      <c r="F1100" s="2" t="str">
        <f aca="false">IF(D1100="","",LEFT(D1100,3))</f>
        <v>741</v>
      </c>
      <c r="G1100" s="2" t="str">
        <f aca="false">IF(F1100="","",IF(E1100=F1100,"Yes","No"))</f>
        <v>No</v>
      </c>
      <c r="H1100" s="2" t="n">
        <f aca="false">IF(D1100="",0,1/COUNTIF($D$2:$D$3451,D1100))</f>
        <v>1</v>
      </c>
      <c r="I1100" s="13" t="n">
        <f aca="false">IFERROR(INDEX('NCO-2015 scores'!$C$2:$C$131,MATCH(E1100,'NCO-2015 scores'!$A$2:$A$131,0)),0)</f>
        <v>0.1867</v>
      </c>
      <c r="J1100" s="13" t="n">
        <f aca="false">IF(ISNUMBER(MATCH(E1100,'NCO-2015 scores'!$A$2:$A$131,0)),IF(ISNUMBER(INDEX('NCO-2015 scores'!$C$2:$C$131,MATCH(E1100,'NCO-2015 scores'!$A$2:$A$131,0))),1,0),0)</f>
        <v>1</v>
      </c>
    </row>
    <row r="1101" customFormat="false" ht="15" hidden="false" customHeight="false" outlineLevel="0" collapsed="false">
      <c r="A1101" s="2" t="n">
        <v>1099</v>
      </c>
      <c r="B1101" s="2" t="s">
        <v>3466</v>
      </c>
      <c r="C1101" s="2" t="s">
        <v>3467</v>
      </c>
      <c r="D1101" s="2" t="s">
        <v>3468</v>
      </c>
      <c r="E1101" s="2" t="str">
        <f aca="false">LEFT(C1101,3)</f>
        <v>816</v>
      </c>
      <c r="F1101" s="2" t="str">
        <f aca="false">IF(D1101="","",LEFT(D1101,3))</f>
        <v>827</v>
      </c>
      <c r="G1101" s="2" t="str">
        <f aca="false">IF(F1101="","",IF(E1101=F1101,"Yes","No"))</f>
        <v>No</v>
      </c>
      <c r="H1101" s="2" t="n">
        <f aca="false">IF(D1101="",0,1/COUNTIF($D$2:$D$3451,D1101))</f>
        <v>1</v>
      </c>
      <c r="I1101" s="13" t="n">
        <f aca="false">IFERROR(INDEX('NCO-2015 scores'!$C$2:$C$131,MATCH(E1101,'NCO-2015 scores'!$A$2:$A$131,0)),0)</f>
        <v>0.15</v>
      </c>
      <c r="J1101" s="13" t="n">
        <f aca="false">IF(ISNUMBER(MATCH(E1101,'NCO-2015 scores'!$A$2:$A$131,0)),IF(ISNUMBER(INDEX('NCO-2015 scores'!$C$2:$C$131,MATCH(E1101,'NCO-2015 scores'!$A$2:$A$131,0))),1,0),0)</f>
        <v>1</v>
      </c>
    </row>
    <row r="1102" customFormat="false" ht="15" hidden="false" customHeight="false" outlineLevel="0" collapsed="false">
      <c r="A1102" s="2" t="n">
        <v>1100</v>
      </c>
      <c r="B1102" s="2" t="s">
        <v>3469</v>
      </c>
      <c r="C1102" s="2" t="s">
        <v>3470</v>
      </c>
      <c r="D1102" s="2" t="s">
        <v>3471</v>
      </c>
      <c r="E1102" s="2" t="str">
        <f aca="false">LEFT(C1102,3)</f>
        <v>816</v>
      </c>
      <c r="F1102" s="2" t="str">
        <f aca="false">IF(D1102="","",LEFT(D1102,3))</f>
        <v>827</v>
      </c>
      <c r="G1102" s="2" t="str">
        <f aca="false">IF(F1102="","",IF(E1102=F1102,"Yes","No"))</f>
        <v>No</v>
      </c>
      <c r="H1102" s="2" t="n">
        <f aca="false">IF(D1102="",0,1/COUNTIF($D$2:$D$3451,D1102))</f>
        <v>1</v>
      </c>
      <c r="I1102" s="13" t="n">
        <f aca="false">IFERROR(INDEX('NCO-2015 scores'!$C$2:$C$131,MATCH(E1102,'NCO-2015 scores'!$A$2:$A$131,0)),0)</f>
        <v>0.15</v>
      </c>
      <c r="J1102" s="13" t="n">
        <f aca="false">IF(ISNUMBER(MATCH(E1102,'NCO-2015 scores'!$A$2:$A$131,0)),IF(ISNUMBER(INDEX('NCO-2015 scores'!$C$2:$C$131,MATCH(E1102,'NCO-2015 scores'!$A$2:$A$131,0))),1,0),0)</f>
        <v>1</v>
      </c>
    </row>
    <row r="1103" customFormat="false" ht="15" hidden="false" customHeight="false" outlineLevel="0" collapsed="false">
      <c r="A1103" s="2" t="n">
        <v>1101</v>
      </c>
      <c r="B1103" s="2" t="s">
        <v>3472</v>
      </c>
      <c r="C1103" s="2" t="s">
        <v>3473</v>
      </c>
      <c r="D1103" s="2" t="s">
        <v>3474</v>
      </c>
      <c r="E1103" s="2" t="str">
        <f aca="false">LEFT(C1103,3)</f>
        <v>816</v>
      </c>
      <c r="F1103" s="2" t="str">
        <f aca="false">IF(D1103="","",LEFT(D1103,3))</f>
        <v>827</v>
      </c>
      <c r="G1103" s="2" t="str">
        <f aca="false">IF(F1103="","",IF(E1103=F1103,"Yes","No"))</f>
        <v>No</v>
      </c>
      <c r="H1103" s="2" t="n">
        <f aca="false">IF(D1103="",0,1/COUNTIF($D$2:$D$3451,D1103))</f>
        <v>1</v>
      </c>
      <c r="I1103" s="13" t="n">
        <f aca="false">IFERROR(INDEX('NCO-2015 scores'!$C$2:$C$131,MATCH(E1103,'NCO-2015 scores'!$A$2:$A$131,0)),0)</f>
        <v>0.15</v>
      </c>
      <c r="J1103" s="13" t="n">
        <f aca="false">IF(ISNUMBER(MATCH(E1103,'NCO-2015 scores'!$A$2:$A$131,0)),IF(ISNUMBER(INDEX('NCO-2015 scores'!$C$2:$C$131,MATCH(E1103,'NCO-2015 scores'!$A$2:$A$131,0))),1,0),0)</f>
        <v>1</v>
      </c>
    </row>
    <row r="1104" customFormat="false" ht="15" hidden="false" customHeight="false" outlineLevel="0" collapsed="false">
      <c r="A1104" s="2" t="n">
        <v>1102</v>
      </c>
      <c r="B1104" s="2" t="s">
        <v>3475</v>
      </c>
      <c r="C1104" s="2" t="s">
        <v>3476</v>
      </c>
      <c r="D1104" s="2" t="s">
        <v>3477</v>
      </c>
      <c r="E1104" s="2" t="str">
        <f aca="false">LEFT(C1104,3)</f>
        <v>816</v>
      </c>
      <c r="F1104" s="2" t="str">
        <f aca="false">IF(D1104="","",LEFT(D1104,3))</f>
        <v>827</v>
      </c>
      <c r="G1104" s="2" t="str">
        <f aca="false">IF(F1104="","",IF(E1104=F1104,"Yes","No"))</f>
        <v>No</v>
      </c>
      <c r="H1104" s="2" t="n">
        <f aca="false">IF(D1104="",0,1/COUNTIF($D$2:$D$3451,D1104))</f>
        <v>1</v>
      </c>
      <c r="I1104" s="13" t="n">
        <f aca="false">IFERROR(INDEX('NCO-2015 scores'!$C$2:$C$131,MATCH(E1104,'NCO-2015 scores'!$A$2:$A$131,0)),0)</f>
        <v>0.15</v>
      </c>
      <c r="J1104" s="13" t="n">
        <f aca="false">IF(ISNUMBER(MATCH(E1104,'NCO-2015 scores'!$A$2:$A$131,0)),IF(ISNUMBER(INDEX('NCO-2015 scores'!$C$2:$C$131,MATCH(E1104,'NCO-2015 scores'!$A$2:$A$131,0))),1,0),0)</f>
        <v>1</v>
      </c>
    </row>
    <row r="1105" customFormat="false" ht="15" hidden="false" customHeight="false" outlineLevel="0" collapsed="false">
      <c r="A1105" s="2" t="n">
        <v>1103</v>
      </c>
      <c r="B1105" s="2" t="s">
        <v>3478</v>
      </c>
      <c r="C1105" s="2" t="s">
        <v>3479</v>
      </c>
      <c r="D1105" s="2" t="s">
        <v>3480</v>
      </c>
      <c r="E1105" s="2" t="str">
        <f aca="false">LEFT(C1105,3)</f>
        <v>816</v>
      </c>
      <c r="F1105" s="2" t="str">
        <f aca="false">IF(D1105="","",LEFT(D1105,3))</f>
        <v>827</v>
      </c>
      <c r="G1105" s="2" t="str">
        <f aca="false">IF(F1105="","",IF(E1105=F1105,"Yes","No"))</f>
        <v>No</v>
      </c>
      <c r="H1105" s="2" t="n">
        <f aca="false">IF(D1105="",0,1/COUNTIF($D$2:$D$3451,D1105))</f>
        <v>1</v>
      </c>
      <c r="I1105" s="13" t="n">
        <f aca="false">IFERROR(INDEX('NCO-2015 scores'!$C$2:$C$131,MATCH(E1105,'NCO-2015 scores'!$A$2:$A$131,0)),0)</f>
        <v>0.15</v>
      </c>
      <c r="J1105" s="13" t="n">
        <f aca="false">IF(ISNUMBER(MATCH(E1105,'NCO-2015 scores'!$A$2:$A$131,0)),IF(ISNUMBER(INDEX('NCO-2015 scores'!$C$2:$C$131,MATCH(E1105,'NCO-2015 scores'!$A$2:$A$131,0))),1,0),0)</f>
        <v>1</v>
      </c>
    </row>
    <row r="1106" customFormat="false" ht="15" hidden="false" customHeight="false" outlineLevel="0" collapsed="false">
      <c r="A1106" s="2" t="n">
        <v>1104</v>
      </c>
      <c r="B1106" s="2" t="s">
        <v>3481</v>
      </c>
      <c r="C1106" s="2" t="s">
        <v>3482</v>
      </c>
      <c r="D1106" s="2" t="s">
        <v>3483</v>
      </c>
      <c r="E1106" s="2" t="str">
        <f aca="false">LEFT(C1106,3)</f>
        <v>816</v>
      </c>
      <c r="F1106" s="2" t="str">
        <f aca="false">IF(D1106="","",LEFT(D1106,3))</f>
        <v>827</v>
      </c>
      <c r="G1106" s="2" t="str">
        <f aca="false">IF(F1106="","",IF(E1106=F1106,"Yes","No"))</f>
        <v>No</v>
      </c>
      <c r="H1106" s="2" t="n">
        <f aca="false">IF(D1106="",0,1/COUNTIF($D$2:$D$3451,D1106))</f>
        <v>1</v>
      </c>
      <c r="I1106" s="13" t="n">
        <f aca="false">IFERROR(INDEX('NCO-2015 scores'!$C$2:$C$131,MATCH(E1106,'NCO-2015 scores'!$A$2:$A$131,0)),0)</f>
        <v>0.15</v>
      </c>
      <c r="J1106" s="13" t="n">
        <f aca="false">IF(ISNUMBER(MATCH(E1106,'NCO-2015 scores'!$A$2:$A$131,0)),IF(ISNUMBER(INDEX('NCO-2015 scores'!$C$2:$C$131,MATCH(E1106,'NCO-2015 scores'!$A$2:$A$131,0))),1,0),0)</f>
        <v>1</v>
      </c>
    </row>
    <row r="1107" customFormat="false" ht="15" hidden="false" customHeight="false" outlineLevel="0" collapsed="false">
      <c r="A1107" s="2" t="n">
        <v>1105</v>
      </c>
      <c r="B1107" s="2" t="s">
        <v>3484</v>
      </c>
      <c r="C1107" s="2" t="s">
        <v>3485</v>
      </c>
      <c r="D1107" s="2" t="s">
        <v>3486</v>
      </c>
      <c r="E1107" s="2" t="str">
        <f aca="false">LEFT(C1107,3)</f>
        <v>816</v>
      </c>
      <c r="F1107" s="2" t="str">
        <f aca="false">IF(D1107="","",LEFT(D1107,3))</f>
        <v>827</v>
      </c>
      <c r="G1107" s="2" t="str">
        <f aca="false">IF(F1107="","",IF(E1107=F1107,"Yes","No"))</f>
        <v>No</v>
      </c>
      <c r="H1107" s="2" t="n">
        <f aca="false">IF(D1107="",0,1/COUNTIF($D$2:$D$3451,D1107))</f>
        <v>1</v>
      </c>
      <c r="I1107" s="13" t="n">
        <f aca="false">IFERROR(INDEX('NCO-2015 scores'!$C$2:$C$131,MATCH(E1107,'NCO-2015 scores'!$A$2:$A$131,0)),0)</f>
        <v>0.15</v>
      </c>
      <c r="J1107" s="13" t="n">
        <f aca="false">IF(ISNUMBER(MATCH(E1107,'NCO-2015 scores'!$A$2:$A$131,0)),IF(ISNUMBER(INDEX('NCO-2015 scores'!$C$2:$C$131,MATCH(E1107,'NCO-2015 scores'!$A$2:$A$131,0))),1,0),0)</f>
        <v>1</v>
      </c>
    </row>
    <row r="1108" customFormat="false" ht="15" hidden="false" customHeight="false" outlineLevel="0" collapsed="false">
      <c r="A1108" s="2" t="n">
        <v>1106</v>
      </c>
      <c r="B1108" s="2" t="s">
        <v>3487</v>
      </c>
      <c r="C1108" s="2" t="s">
        <v>3488</v>
      </c>
      <c r="D1108" s="2" t="s">
        <v>3489</v>
      </c>
      <c r="E1108" s="2" t="str">
        <f aca="false">LEFT(C1108,3)</f>
        <v>816</v>
      </c>
      <c r="F1108" s="2" t="str">
        <f aca="false">IF(D1108="","",LEFT(D1108,3))</f>
        <v>827</v>
      </c>
      <c r="G1108" s="2" t="str">
        <f aca="false">IF(F1108="","",IF(E1108=F1108,"Yes","No"))</f>
        <v>No</v>
      </c>
      <c r="H1108" s="2" t="n">
        <f aca="false">IF(D1108="",0,1/COUNTIF($D$2:$D$3451,D1108))</f>
        <v>1</v>
      </c>
      <c r="I1108" s="13" t="n">
        <f aca="false">IFERROR(INDEX('NCO-2015 scores'!$C$2:$C$131,MATCH(E1108,'NCO-2015 scores'!$A$2:$A$131,0)),0)</f>
        <v>0.15</v>
      </c>
      <c r="J1108" s="13" t="n">
        <f aca="false">IF(ISNUMBER(MATCH(E1108,'NCO-2015 scores'!$A$2:$A$131,0)),IF(ISNUMBER(INDEX('NCO-2015 scores'!$C$2:$C$131,MATCH(E1108,'NCO-2015 scores'!$A$2:$A$131,0))),1,0),0)</f>
        <v>1</v>
      </c>
    </row>
    <row r="1109" customFormat="false" ht="15" hidden="false" customHeight="false" outlineLevel="0" collapsed="false">
      <c r="A1109" s="2" t="n">
        <v>1107</v>
      </c>
      <c r="B1109" s="2" t="s">
        <v>3490</v>
      </c>
      <c r="C1109" s="2" t="s">
        <v>3491</v>
      </c>
      <c r="D1109" s="2" t="s">
        <v>3492</v>
      </c>
      <c r="E1109" s="2" t="str">
        <f aca="false">LEFT(C1109,3)</f>
        <v>816</v>
      </c>
      <c r="F1109" s="2" t="str">
        <f aca="false">IF(D1109="","",LEFT(D1109,3))</f>
        <v>827</v>
      </c>
      <c r="G1109" s="2" t="str">
        <f aca="false">IF(F1109="","",IF(E1109=F1109,"Yes","No"))</f>
        <v>No</v>
      </c>
      <c r="H1109" s="2" t="n">
        <f aca="false">IF(D1109="",0,1/COUNTIF($D$2:$D$3451,D1109))</f>
        <v>1</v>
      </c>
      <c r="I1109" s="13" t="n">
        <f aca="false">IFERROR(INDEX('NCO-2015 scores'!$C$2:$C$131,MATCH(E1109,'NCO-2015 scores'!$A$2:$A$131,0)),0)</f>
        <v>0.15</v>
      </c>
      <c r="J1109" s="13" t="n">
        <f aca="false">IF(ISNUMBER(MATCH(E1109,'NCO-2015 scores'!$A$2:$A$131,0)),IF(ISNUMBER(INDEX('NCO-2015 scores'!$C$2:$C$131,MATCH(E1109,'NCO-2015 scores'!$A$2:$A$131,0))),1,0),0)</f>
        <v>1</v>
      </c>
    </row>
    <row r="1110" customFormat="false" ht="15" hidden="false" customHeight="false" outlineLevel="0" collapsed="false">
      <c r="A1110" s="2" t="n">
        <v>1108</v>
      </c>
      <c r="B1110" s="2" t="s">
        <v>3493</v>
      </c>
      <c r="C1110" s="2" t="s">
        <v>3494</v>
      </c>
      <c r="D1110" s="2" t="s">
        <v>3495</v>
      </c>
      <c r="E1110" s="2" t="str">
        <f aca="false">LEFT(C1110,3)</f>
        <v>816</v>
      </c>
      <c r="F1110" s="2" t="str">
        <f aca="false">IF(D1110="","",LEFT(D1110,3))</f>
        <v>827</v>
      </c>
      <c r="G1110" s="2" t="str">
        <f aca="false">IF(F1110="","",IF(E1110=F1110,"Yes","No"))</f>
        <v>No</v>
      </c>
      <c r="H1110" s="2" t="n">
        <f aca="false">IF(D1110="",0,1/COUNTIF($D$2:$D$3451,D1110))</f>
        <v>1</v>
      </c>
      <c r="I1110" s="13" t="n">
        <f aca="false">IFERROR(INDEX('NCO-2015 scores'!$C$2:$C$131,MATCH(E1110,'NCO-2015 scores'!$A$2:$A$131,0)),0)</f>
        <v>0.15</v>
      </c>
      <c r="J1110" s="13" t="n">
        <f aca="false">IF(ISNUMBER(MATCH(E1110,'NCO-2015 scores'!$A$2:$A$131,0)),IF(ISNUMBER(INDEX('NCO-2015 scores'!$C$2:$C$131,MATCH(E1110,'NCO-2015 scores'!$A$2:$A$131,0))),1,0),0)</f>
        <v>1</v>
      </c>
    </row>
    <row r="1111" customFormat="false" ht="15" hidden="false" customHeight="false" outlineLevel="0" collapsed="false">
      <c r="A1111" s="2" t="n">
        <v>1109</v>
      </c>
      <c r="B1111" s="2" t="s">
        <v>3496</v>
      </c>
      <c r="C1111" s="2" t="s">
        <v>3497</v>
      </c>
      <c r="D1111" s="2" t="s">
        <v>3498</v>
      </c>
      <c r="E1111" s="2" t="str">
        <f aca="false">LEFT(C1111,3)</f>
        <v>816</v>
      </c>
      <c r="F1111" s="2" t="str">
        <f aca="false">IF(D1111="","",LEFT(D1111,3))</f>
        <v>827</v>
      </c>
      <c r="G1111" s="2" t="str">
        <f aca="false">IF(F1111="","",IF(E1111=F1111,"Yes","No"))</f>
        <v>No</v>
      </c>
      <c r="H1111" s="2" t="n">
        <f aca="false">IF(D1111="",0,1/COUNTIF($D$2:$D$3451,D1111))</f>
        <v>1</v>
      </c>
      <c r="I1111" s="13" t="n">
        <f aca="false">IFERROR(INDEX('NCO-2015 scores'!$C$2:$C$131,MATCH(E1111,'NCO-2015 scores'!$A$2:$A$131,0)),0)</f>
        <v>0.15</v>
      </c>
      <c r="J1111" s="13" t="n">
        <f aca="false">IF(ISNUMBER(MATCH(E1111,'NCO-2015 scores'!$A$2:$A$131,0)),IF(ISNUMBER(INDEX('NCO-2015 scores'!$C$2:$C$131,MATCH(E1111,'NCO-2015 scores'!$A$2:$A$131,0))),1,0),0)</f>
        <v>1</v>
      </c>
    </row>
    <row r="1112" customFormat="false" ht="15" hidden="false" customHeight="false" outlineLevel="0" collapsed="false">
      <c r="A1112" s="2" t="n">
        <v>1110</v>
      </c>
      <c r="B1112" s="2" t="s">
        <v>3499</v>
      </c>
      <c r="C1112" s="2" t="s">
        <v>3500</v>
      </c>
      <c r="D1112" s="2" t="s">
        <v>3501</v>
      </c>
      <c r="E1112" s="2" t="str">
        <f aca="false">LEFT(C1112,3)</f>
        <v>816</v>
      </c>
      <c r="F1112" s="2" t="str">
        <f aca="false">IF(D1112="","",LEFT(D1112,3))</f>
        <v>827</v>
      </c>
      <c r="G1112" s="2" t="str">
        <f aca="false">IF(F1112="","",IF(E1112=F1112,"Yes","No"))</f>
        <v>No</v>
      </c>
      <c r="H1112" s="2" t="n">
        <f aca="false">IF(D1112="",0,1/COUNTIF($D$2:$D$3451,D1112))</f>
        <v>1</v>
      </c>
      <c r="I1112" s="13" t="n">
        <f aca="false">IFERROR(INDEX('NCO-2015 scores'!$C$2:$C$131,MATCH(E1112,'NCO-2015 scores'!$A$2:$A$131,0)),0)</f>
        <v>0.15</v>
      </c>
      <c r="J1112" s="13" t="n">
        <f aca="false">IF(ISNUMBER(MATCH(E1112,'NCO-2015 scores'!$A$2:$A$131,0)),IF(ISNUMBER(INDEX('NCO-2015 scores'!$C$2:$C$131,MATCH(E1112,'NCO-2015 scores'!$A$2:$A$131,0))),1,0),0)</f>
        <v>1</v>
      </c>
    </row>
    <row r="1113" customFormat="false" ht="15" hidden="false" customHeight="false" outlineLevel="0" collapsed="false">
      <c r="A1113" s="2" t="n">
        <v>1111</v>
      </c>
      <c r="B1113" s="2" t="s">
        <v>3502</v>
      </c>
      <c r="C1113" s="2" t="s">
        <v>3503</v>
      </c>
      <c r="D1113" s="2" t="s">
        <v>3504</v>
      </c>
      <c r="E1113" s="2" t="str">
        <f aca="false">LEFT(C1113,3)</f>
        <v>816</v>
      </c>
      <c r="F1113" s="2" t="str">
        <f aca="false">IF(D1113="","",LEFT(D1113,3))</f>
        <v>827</v>
      </c>
      <c r="G1113" s="2" t="str">
        <f aca="false">IF(F1113="","",IF(E1113=F1113,"Yes","No"))</f>
        <v>No</v>
      </c>
      <c r="H1113" s="2" t="n">
        <f aca="false">IF(D1113="",0,1/COUNTIF($D$2:$D$3451,D1113))</f>
        <v>1</v>
      </c>
      <c r="I1113" s="13" t="n">
        <f aca="false">IFERROR(INDEX('NCO-2015 scores'!$C$2:$C$131,MATCH(E1113,'NCO-2015 scores'!$A$2:$A$131,0)),0)</f>
        <v>0.15</v>
      </c>
      <c r="J1113" s="13" t="n">
        <f aca="false">IF(ISNUMBER(MATCH(E1113,'NCO-2015 scores'!$A$2:$A$131,0)),IF(ISNUMBER(INDEX('NCO-2015 scores'!$C$2:$C$131,MATCH(E1113,'NCO-2015 scores'!$A$2:$A$131,0))),1,0),0)</f>
        <v>1</v>
      </c>
    </row>
    <row r="1114" customFormat="false" ht="15" hidden="false" customHeight="false" outlineLevel="0" collapsed="false">
      <c r="A1114" s="2" t="n">
        <v>1112</v>
      </c>
      <c r="B1114" s="2" t="s">
        <v>3505</v>
      </c>
      <c r="C1114" s="2" t="s">
        <v>3506</v>
      </c>
      <c r="D1114" s="2" t="s">
        <v>3507</v>
      </c>
      <c r="E1114" s="2" t="str">
        <f aca="false">LEFT(C1114,3)</f>
        <v>816</v>
      </c>
      <c r="F1114" s="2" t="str">
        <f aca="false">IF(D1114="","",LEFT(D1114,3))</f>
        <v>827</v>
      </c>
      <c r="G1114" s="2" t="str">
        <f aca="false">IF(F1114="","",IF(E1114=F1114,"Yes","No"))</f>
        <v>No</v>
      </c>
      <c r="H1114" s="2" t="n">
        <f aca="false">IF(D1114="",0,1/COUNTIF($D$2:$D$3451,D1114))</f>
        <v>1</v>
      </c>
      <c r="I1114" s="13" t="n">
        <f aca="false">IFERROR(INDEX('NCO-2015 scores'!$C$2:$C$131,MATCH(E1114,'NCO-2015 scores'!$A$2:$A$131,0)),0)</f>
        <v>0.15</v>
      </c>
      <c r="J1114" s="13" t="n">
        <f aca="false">IF(ISNUMBER(MATCH(E1114,'NCO-2015 scores'!$A$2:$A$131,0)),IF(ISNUMBER(INDEX('NCO-2015 scores'!$C$2:$C$131,MATCH(E1114,'NCO-2015 scores'!$A$2:$A$131,0))),1,0),0)</f>
        <v>1</v>
      </c>
    </row>
    <row r="1115" customFormat="false" ht="15" hidden="false" customHeight="false" outlineLevel="0" collapsed="false">
      <c r="A1115" s="2" t="n">
        <v>1113</v>
      </c>
      <c r="B1115" s="2" t="s">
        <v>3508</v>
      </c>
      <c r="C1115" s="2" t="s">
        <v>3509</v>
      </c>
      <c r="D1115" s="2" t="s">
        <v>3510</v>
      </c>
      <c r="E1115" s="2" t="str">
        <f aca="false">LEFT(C1115,3)</f>
        <v>816</v>
      </c>
      <c r="F1115" s="2" t="str">
        <f aca="false">IF(D1115="","",LEFT(D1115,3))</f>
        <v>827</v>
      </c>
      <c r="G1115" s="2" t="str">
        <f aca="false">IF(F1115="","",IF(E1115=F1115,"Yes","No"))</f>
        <v>No</v>
      </c>
      <c r="H1115" s="2" t="n">
        <f aca="false">IF(D1115="",0,1/COUNTIF($D$2:$D$3451,D1115))</f>
        <v>1</v>
      </c>
      <c r="I1115" s="13" t="n">
        <f aca="false">IFERROR(INDEX('NCO-2015 scores'!$C$2:$C$131,MATCH(E1115,'NCO-2015 scores'!$A$2:$A$131,0)),0)</f>
        <v>0.15</v>
      </c>
      <c r="J1115" s="13" t="n">
        <f aca="false">IF(ISNUMBER(MATCH(E1115,'NCO-2015 scores'!$A$2:$A$131,0)),IF(ISNUMBER(INDEX('NCO-2015 scores'!$C$2:$C$131,MATCH(E1115,'NCO-2015 scores'!$A$2:$A$131,0))),1,0),0)</f>
        <v>1</v>
      </c>
    </row>
    <row r="1116" customFormat="false" ht="15" hidden="false" customHeight="false" outlineLevel="0" collapsed="false">
      <c r="A1116" s="2" t="n">
        <v>1114</v>
      </c>
      <c r="B1116" s="2" t="s">
        <v>3511</v>
      </c>
      <c r="C1116" s="2" t="s">
        <v>3512</v>
      </c>
      <c r="D1116" s="2" t="s">
        <v>3513</v>
      </c>
      <c r="E1116" s="2" t="str">
        <f aca="false">LEFT(C1116,3)</f>
        <v>816</v>
      </c>
      <c r="F1116" s="2" t="str">
        <f aca="false">IF(D1116="","",LEFT(D1116,3))</f>
        <v>827</v>
      </c>
      <c r="G1116" s="2" t="str">
        <f aca="false">IF(F1116="","",IF(E1116=F1116,"Yes","No"))</f>
        <v>No</v>
      </c>
      <c r="H1116" s="2" t="n">
        <f aca="false">IF(D1116="",0,1/COUNTIF($D$2:$D$3451,D1116))</f>
        <v>1</v>
      </c>
      <c r="I1116" s="13" t="n">
        <f aca="false">IFERROR(INDEX('NCO-2015 scores'!$C$2:$C$131,MATCH(E1116,'NCO-2015 scores'!$A$2:$A$131,0)),0)</f>
        <v>0.15</v>
      </c>
      <c r="J1116" s="13" t="n">
        <f aca="false">IF(ISNUMBER(MATCH(E1116,'NCO-2015 scores'!$A$2:$A$131,0)),IF(ISNUMBER(INDEX('NCO-2015 scores'!$C$2:$C$131,MATCH(E1116,'NCO-2015 scores'!$A$2:$A$131,0))),1,0),0)</f>
        <v>1</v>
      </c>
    </row>
    <row r="1117" customFormat="false" ht="15" hidden="false" customHeight="false" outlineLevel="0" collapsed="false">
      <c r="A1117" s="2" t="n">
        <v>1115</v>
      </c>
      <c r="B1117" s="2" t="s">
        <v>3514</v>
      </c>
      <c r="C1117" s="2" t="s">
        <v>3515</v>
      </c>
      <c r="D1117" s="2" t="s">
        <v>3516</v>
      </c>
      <c r="E1117" s="2" t="str">
        <f aca="false">LEFT(C1117,3)</f>
        <v>816</v>
      </c>
      <c r="F1117" s="2" t="str">
        <f aca="false">IF(D1117="","",LEFT(D1117,3))</f>
        <v>827</v>
      </c>
      <c r="G1117" s="2" t="str">
        <f aca="false">IF(F1117="","",IF(E1117=F1117,"Yes","No"))</f>
        <v>No</v>
      </c>
      <c r="H1117" s="2" t="n">
        <f aca="false">IF(D1117="",0,1/COUNTIF($D$2:$D$3451,D1117))</f>
        <v>1</v>
      </c>
      <c r="I1117" s="13" t="n">
        <f aca="false">IFERROR(INDEX('NCO-2015 scores'!$C$2:$C$131,MATCH(E1117,'NCO-2015 scores'!$A$2:$A$131,0)),0)</f>
        <v>0.15</v>
      </c>
      <c r="J1117" s="13" t="n">
        <f aca="false">IF(ISNUMBER(MATCH(E1117,'NCO-2015 scores'!$A$2:$A$131,0)),IF(ISNUMBER(INDEX('NCO-2015 scores'!$C$2:$C$131,MATCH(E1117,'NCO-2015 scores'!$A$2:$A$131,0))),1,0),0)</f>
        <v>1</v>
      </c>
    </row>
    <row r="1118" customFormat="false" ht="15" hidden="false" customHeight="false" outlineLevel="0" collapsed="false">
      <c r="A1118" s="2" t="n">
        <v>1116</v>
      </c>
      <c r="B1118" s="2" t="s">
        <v>3517</v>
      </c>
      <c r="C1118" s="2" t="s">
        <v>3518</v>
      </c>
      <c r="D1118" s="2" t="s">
        <v>3519</v>
      </c>
      <c r="E1118" s="2" t="str">
        <f aca="false">LEFT(C1118,3)</f>
        <v>816</v>
      </c>
      <c r="F1118" s="2" t="str">
        <f aca="false">IF(D1118="","",LEFT(D1118,3))</f>
        <v>827</v>
      </c>
      <c r="G1118" s="2" t="str">
        <f aca="false">IF(F1118="","",IF(E1118=F1118,"Yes","No"))</f>
        <v>No</v>
      </c>
      <c r="H1118" s="2" t="n">
        <f aca="false">IF(D1118="",0,1/COUNTIF($D$2:$D$3451,D1118))</f>
        <v>1</v>
      </c>
      <c r="I1118" s="13" t="n">
        <f aca="false">IFERROR(INDEX('NCO-2015 scores'!$C$2:$C$131,MATCH(E1118,'NCO-2015 scores'!$A$2:$A$131,0)),0)</f>
        <v>0.15</v>
      </c>
      <c r="J1118" s="13" t="n">
        <f aca="false">IF(ISNUMBER(MATCH(E1118,'NCO-2015 scores'!$A$2:$A$131,0)),IF(ISNUMBER(INDEX('NCO-2015 scores'!$C$2:$C$131,MATCH(E1118,'NCO-2015 scores'!$A$2:$A$131,0))),1,0),0)</f>
        <v>1</v>
      </c>
    </row>
    <row r="1119" customFormat="false" ht="15" hidden="false" customHeight="false" outlineLevel="0" collapsed="false">
      <c r="A1119" s="2" t="n">
        <v>1117</v>
      </c>
      <c r="B1119" s="2" t="s">
        <v>3520</v>
      </c>
      <c r="C1119" s="2" t="s">
        <v>3521</v>
      </c>
      <c r="D1119" s="2" t="s">
        <v>3522</v>
      </c>
      <c r="E1119" s="2" t="str">
        <f aca="false">LEFT(C1119,3)</f>
        <v>816</v>
      </c>
      <c r="F1119" s="2" t="str">
        <f aca="false">IF(D1119="","",LEFT(D1119,3))</f>
        <v>827</v>
      </c>
      <c r="G1119" s="2" t="str">
        <f aca="false">IF(F1119="","",IF(E1119=F1119,"Yes","No"))</f>
        <v>No</v>
      </c>
      <c r="H1119" s="2" t="n">
        <f aca="false">IF(D1119="",0,1/COUNTIF($D$2:$D$3451,D1119))</f>
        <v>1</v>
      </c>
      <c r="I1119" s="13" t="n">
        <f aca="false">IFERROR(INDEX('NCO-2015 scores'!$C$2:$C$131,MATCH(E1119,'NCO-2015 scores'!$A$2:$A$131,0)),0)</f>
        <v>0.15</v>
      </c>
      <c r="J1119" s="13" t="n">
        <f aca="false">IF(ISNUMBER(MATCH(E1119,'NCO-2015 scores'!$A$2:$A$131,0)),IF(ISNUMBER(INDEX('NCO-2015 scores'!$C$2:$C$131,MATCH(E1119,'NCO-2015 scores'!$A$2:$A$131,0))),1,0),0)</f>
        <v>1</v>
      </c>
    </row>
    <row r="1120" customFormat="false" ht="15" hidden="false" customHeight="false" outlineLevel="0" collapsed="false">
      <c r="A1120" s="2" t="n">
        <v>1118</v>
      </c>
      <c r="B1120" s="2" t="s">
        <v>3523</v>
      </c>
      <c r="C1120" s="2" t="s">
        <v>3524</v>
      </c>
      <c r="D1120" s="2" t="s">
        <v>3525</v>
      </c>
      <c r="E1120" s="2" t="str">
        <f aca="false">LEFT(C1120,3)</f>
        <v>816</v>
      </c>
      <c r="F1120" s="2" t="str">
        <f aca="false">IF(D1120="","",LEFT(D1120,3))</f>
        <v>827</v>
      </c>
      <c r="G1120" s="2" t="str">
        <f aca="false">IF(F1120="","",IF(E1120=F1120,"Yes","No"))</f>
        <v>No</v>
      </c>
      <c r="H1120" s="2" t="n">
        <f aca="false">IF(D1120="",0,1/COUNTIF($D$2:$D$3451,D1120))</f>
        <v>1</v>
      </c>
      <c r="I1120" s="13" t="n">
        <f aca="false">IFERROR(INDEX('NCO-2015 scores'!$C$2:$C$131,MATCH(E1120,'NCO-2015 scores'!$A$2:$A$131,0)),0)</f>
        <v>0.15</v>
      </c>
      <c r="J1120" s="13" t="n">
        <f aca="false">IF(ISNUMBER(MATCH(E1120,'NCO-2015 scores'!$A$2:$A$131,0)),IF(ISNUMBER(INDEX('NCO-2015 scores'!$C$2:$C$131,MATCH(E1120,'NCO-2015 scores'!$A$2:$A$131,0))),1,0),0)</f>
        <v>1</v>
      </c>
    </row>
    <row r="1121" customFormat="false" ht="15" hidden="false" customHeight="false" outlineLevel="0" collapsed="false">
      <c r="A1121" s="2" t="n">
        <v>1119</v>
      </c>
      <c r="B1121" s="2" t="s">
        <v>3526</v>
      </c>
      <c r="C1121" s="2" t="s">
        <v>3527</v>
      </c>
      <c r="D1121" s="2" t="s">
        <v>3528</v>
      </c>
      <c r="E1121" s="2" t="str">
        <f aca="false">LEFT(C1121,3)</f>
        <v>816</v>
      </c>
      <c r="F1121" s="2" t="str">
        <f aca="false">IF(D1121="","",LEFT(D1121,3))</f>
        <v>827</v>
      </c>
      <c r="G1121" s="2" t="str">
        <f aca="false">IF(F1121="","",IF(E1121=F1121,"Yes","No"))</f>
        <v>No</v>
      </c>
      <c r="H1121" s="2" t="n">
        <f aca="false">IF(D1121="",0,1/COUNTIF($D$2:$D$3451,D1121))</f>
        <v>1</v>
      </c>
      <c r="I1121" s="13" t="n">
        <f aca="false">IFERROR(INDEX('NCO-2015 scores'!$C$2:$C$131,MATCH(E1121,'NCO-2015 scores'!$A$2:$A$131,0)),0)</f>
        <v>0.15</v>
      </c>
      <c r="J1121" s="13" t="n">
        <f aca="false">IF(ISNUMBER(MATCH(E1121,'NCO-2015 scores'!$A$2:$A$131,0)),IF(ISNUMBER(INDEX('NCO-2015 scores'!$C$2:$C$131,MATCH(E1121,'NCO-2015 scores'!$A$2:$A$131,0))),1,0),0)</f>
        <v>1</v>
      </c>
    </row>
    <row r="1122" customFormat="false" ht="15" hidden="false" customHeight="false" outlineLevel="0" collapsed="false">
      <c r="A1122" s="2" t="n">
        <v>1120</v>
      </c>
      <c r="B1122" s="2" t="s">
        <v>3529</v>
      </c>
      <c r="C1122" s="2" t="s">
        <v>3530</v>
      </c>
      <c r="D1122" s="2" t="s">
        <v>3531</v>
      </c>
      <c r="E1122" s="2" t="str">
        <f aca="false">LEFT(C1122,3)</f>
        <v>816</v>
      </c>
      <c r="F1122" s="2" t="str">
        <f aca="false">IF(D1122="","",LEFT(D1122,3))</f>
        <v>827</v>
      </c>
      <c r="G1122" s="2" t="str">
        <f aca="false">IF(F1122="","",IF(E1122=F1122,"Yes","No"))</f>
        <v>No</v>
      </c>
      <c r="H1122" s="2" t="n">
        <f aca="false">IF(D1122="",0,1/COUNTIF($D$2:$D$3451,D1122))</f>
        <v>1</v>
      </c>
      <c r="I1122" s="13" t="n">
        <f aca="false">IFERROR(INDEX('NCO-2015 scores'!$C$2:$C$131,MATCH(E1122,'NCO-2015 scores'!$A$2:$A$131,0)),0)</f>
        <v>0.15</v>
      </c>
      <c r="J1122" s="13" t="n">
        <f aca="false">IF(ISNUMBER(MATCH(E1122,'NCO-2015 scores'!$A$2:$A$131,0)),IF(ISNUMBER(INDEX('NCO-2015 scores'!$C$2:$C$131,MATCH(E1122,'NCO-2015 scores'!$A$2:$A$131,0))),1,0),0)</f>
        <v>1</v>
      </c>
    </row>
    <row r="1123" customFormat="false" ht="15" hidden="false" customHeight="false" outlineLevel="0" collapsed="false">
      <c r="A1123" s="2" t="n">
        <v>1121</v>
      </c>
      <c r="B1123" s="2" t="s">
        <v>3532</v>
      </c>
      <c r="C1123" s="2" t="s">
        <v>3533</v>
      </c>
      <c r="D1123" s="2" t="s">
        <v>3534</v>
      </c>
      <c r="E1123" s="2" t="str">
        <f aca="false">LEFT(C1123,3)</f>
        <v>816</v>
      </c>
      <c r="F1123" s="2" t="str">
        <f aca="false">IF(D1123="","",LEFT(D1123,3))</f>
        <v>827</v>
      </c>
      <c r="G1123" s="2" t="str">
        <f aca="false">IF(F1123="","",IF(E1123=F1123,"Yes","No"))</f>
        <v>No</v>
      </c>
      <c r="H1123" s="2" t="n">
        <f aca="false">IF(D1123="",0,1/COUNTIF($D$2:$D$3451,D1123))</f>
        <v>1</v>
      </c>
      <c r="I1123" s="13" t="n">
        <f aca="false">IFERROR(INDEX('NCO-2015 scores'!$C$2:$C$131,MATCH(E1123,'NCO-2015 scores'!$A$2:$A$131,0)),0)</f>
        <v>0.15</v>
      </c>
      <c r="J1123" s="13" t="n">
        <f aca="false">IF(ISNUMBER(MATCH(E1123,'NCO-2015 scores'!$A$2:$A$131,0)),IF(ISNUMBER(INDEX('NCO-2015 scores'!$C$2:$C$131,MATCH(E1123,'NCO-2015 scores'!$A$2:$A$131,0))),1,0),0)</f>
        <v>1</v>
      </c>
    </row>
    <row r="1124" customFormat="false" ht="15" hidden="false" customHeight="false" outlineLevel="0" collapsed="false">
      <c r="A1124" s="2" t="n">
        <v>1122</v>
      </c>
      <c r="B1124" s="2" t="s">
        <v>3535</v>
      </c>
      <c r="C1124" s="2" t="s">
        <v>3536</v>
      </c>
      <c r="D1124" s="2" t="s">
        <v>3537</v>
      </c>
      <c r="E1124" s="2" t="str">
        <f aca="false">LEFT(C1124,3)</f>
        <v>816</v>
      </c>
      <c r="F1124" s="2" t="str">
        <f aca="false">IF(D1124="","",LEFT(D1124,3))</f>
        <v>827</v>
      </c>
      <c r="G1124" s="2" t="str">
        <f aca="false">IF(F1124="","",IF(E1124=F1124,"Yes","No"))</f>
        <v>No</v>
      </c>
      <c r="H1124" s="2" t="n">
        <f aca="false">IF(D1124="",0,1/COUNTIF($D$2:$D$3451,D1124))</f>
        <v>1</v>
      </c>
      <c r="I1124" s="13" t="n">
        <f aca="false">IFERROR(INDEX('NCO-2015 scores'!$C$2:$C$131,MATCH(E1124,'NCO-2015 scores'!$A$2:$A$131,0)),0)</f>
        <v>0.15</v>
      </c>
      <c r="J1124" s="13" t="n">
        <f aca="false">IF(ISNUMBER(MATCH(E1124,'NCO-2015 scores'!$A$2:$A$131,0)),IF(ISNUMBER(INDEX('NCO-2015 scores'!$C$2:$C$131,MATCH(E1124,'NCO-2015 scores'!$A$2:$A$131,0))),1,0),0)</f>
        <v>1</v>
      </c>
    </row>
    <row r="1125" customFormat="false" ht="15" hidden="false" customHeight="false" outlineLevel="0" collapsed="false">
      <c r="A1125" s="2" t="n">
        <v>1123</v>
      </c>
      <c r="B1125" s="2" t="s">
        <v>3538</v>
      </c>
      <c r="C1125" s="2" t="s">
        <v>3539</v>
      </c>
      <c r="D1125" s="2" t="s">
        <v>3540</v>
      </c>
      <c r="E1125" s="2" t="str">
        <f aca="false">LEFT(C1125,3)</f>
        <v>816</v>
      </c>
      <c r="F1125" s="2" t="str">
        <f aca="false">IF(D1125="","",LEFT(D1125,3))</f>
        <v>827</v>
      </c>
      <c r="G1125" s="2" t="str">
        <f aca="false">IF(F1125="","",IF(E1125=F1125,"Yes","No"))</f>
        <v>No</v>
      </c>
      <c r="H1125" s="2" t="n">
        <f aca="false">IF(D1125="",0,1/COUNTIF($D$2:$D$3451,D1125))</f>
        <v>1</v>
      </c>
      <c r="I1125" s="13" t="n">
        <f aca="false">IFERROR(INDEX('NCO-2015 scores'!$C$2:$C$131,MATCH(E1125,'NCO-2015 scores'!$A$2:$A$131,0)),0)</f>
        <v>0.15</v>
      </c>
      <c r="J1125" s="13" t="n">
        <f aca="false">IF(ISNUMBER(MATCH(E1125,'NCO-2015 scores'!$A$2:$A$131,0)),IF(ISNUMBER(INDEX('NCO-2015 scores'!$C$2:$C$131,MATCH(E1125,'NCO-2015 scores'!$A$2:$A$131,0))),1,0),0)</f>
        <v>1</v>
      </c>
    </row>
    <row r="1126" customFormat="false" ht="15" hidden="false" customHeight="false" outlineLevel="0" collapsed="false">
      <c r="A1126" s="2" t="n">
        <v>1124</v>
      </c>
      <c r="B1126" s="2" t="s">
        <v>3541</v>
      </c>
      <c r="C1126" s="2" t="s">
        <v>3542</v>
      </c>
      <c r="D1126" s="2" t="s">
        <v>3543</v>
      </c>
      <c r="E1126" s="2" t="str">
        <f aca="false">LEFT(C1126,3)</f>
        <v>816</v>
      </c>
      <c r="F1126" s="2" t="str">
        <f aca="false">IF(D1126="","",LEFT(D1126,3))</f>
        <v>827</v>
      </c>
      <c r="G1126" s="2" t="str">
        <f aca="false">IF(F1126="","",IF(E1126=F1126,"Yes","No"))</f>
        <v>No</v>
      </c>
      <c r="H1126" s="2" t="n">
        <f aca="false">IF(D1126="",0,1/COUNTIF($D$2:$D$3451,D1126))</f>
        <v>1</v>
      </c>
      <c r="I1126" s="13" t="n">
        <f aca="false">IFERROR(INDEX('NCO-2015 scores'!$C$2:$C$131,MATCH(E1126,'NCO-2015 scores'!$A$2:$A$131,0)),0)</f>
        <v>0.15</v>
      </c>
      <c r="J1126" s="13" t="n">
        <f aca="false">IF(ISNUMBER(MATCH(E1126,'NCO-2015 scores'!$A$2:$A$131,0)),IF(ISNUMBER(INDEX('NCO-2015 scores'!$C$2:$C$131,MATCH(E1126,'NCO-2015 scores'!$A$2:$A$131,0))),1,0),0)</f>
        <v>1</v>
      </c>
    </row>
    <row r="1127" customFormat="false" ht="15" hidden="false" customHeight="false" outlineLevel="0" collapsed="false">
      <c r="A1127" s="2" t="n">
        <v>1125</v>
      </c>
      <c r="B1127" s="2" t="s">
        <v>3544</v>
      </c>
      <c r="C1127" s="2" t="s">
        <v>3545</v>
      </c>
      <c r="D1127" s="2" t="s">
        <v>3546</v>
      </c>
      <c r="E1127" s="2" t="str">
        <f aca="false">LEFT(C1127,3)</f>
        <v>816</v>
      </c>
      <c r="F1127" s="2" t="str">
        <f aca="false">IF(D1127="","",LEFT(D1127,3))</f>
        <v>827</v>
      </c>
      <c r="G1127" s="2" t="str">
        <f aca="false">IF(F1127="","",IF(E1127=F1127,"Yes","No"))</f>
        <v>No</v>
      </c>
      <c r="H1127" s="2" t="n">
        <f aca="false">IF(D1127="",0,1/COUNTIF($D$2:$D$3451,D1127))</f>
        <v>1</v>
      </c>
      <c r="I1127" s="13" t="n">
        <f aca="false">IFERROR(INDEX('NCO-2015 scores'!$C$2:$C$131,MATCH(E1127,'NCO-2015 scores'!$A$2:$A$131,0)),0)</f>
        <v>0.15</v>
      </c>
      <c r="J1127" s="13" t="n">
        <f aca="false">IF(ISNUMBER(MATCH(E1127,'NCO-2015 scores'!$A$2:$A$131,0)),IF(ISNUMBER(INDEX('NCO-2015 scores'!$C$2:$C$131,MATCH(E1127,'NCO-2015 scores'!$A$2:$A$131,0))),1,0),0)</f>
        <v>1</v>
      </c>
    </row>
    <row r="1128" customFormat="false" ht="15" hidden="false" customHeight="false" outlineLevel="0" collapsed="false">
      <c r="A1128" s="2" t="n">
        <v>1126</v>
      </c>
      <c r="B1128" s="2" t="s">
        <v>3547</v>
      </c>
      <c r="C1128" s="2" t="s">
        <v>3548</v>
      </c>
      <c r="D1128" s="2" t="s">
        <v>3549</v>
      </c>
      <c r="E1128" s="2" t="str">
        <f aca="false">LEFT(C1128,3)</f>
        <v>816</v>
      </c>
      <c r="F1128" s="2" t="str">
        <f aca="false">IF(D1128="","",LEFT(D1128,3))</f>
        <v>827</v>
      </c>
      <c r="G1128" s="2" t="str">
        <f aca="false">IF(F1128="","",IF(E1128=F1128,"Yes","No"))</f>
        <v>No</v>
      </c>
      <c r="H1128" s="2" t="n">
        <f aca="false">IF(D1128="",0,1/COUNTIF($D$2:$D$3451,D1128))</f>
        <v>1</v>
      </c>
      <c r="I1128" s="13" t="n">
        <f aca="false">IFERROR(INDEX('NCO-2015 scores'!$C$2:$C$131,MATCH(E1128,'NCO-2015 scores'!$A$2:$A$131,0)),0)</f>
        <v>0.15</v>
      </c>
      <c r="J1128" s="13" t="n">
        <f aca="false">IF(ISNUMBER(MATCH(E1128,'NCO-2015 scores'!$A$2:$A$131,0)),IF(ISNUMBER(INDEX('NCO-2015 scores'!$C$2:$C$131,MATCH(E1128,'NCO-2015 scores'!$A$2:$A$131,0))),1,0),0)</f>
        <v>1</v>
      </c>
    </row>
    <row r="1129" customFormat="false" ht="15" hidden="false" customHeight="false" outlineLevel="0" collapsed="false">
      <c r="A1129" s="2" t="n">
        <v>1127</v>
      </c>
      <c r="B1129" s="2" t="s">
        <v>3550</v>
      </c>
      <c r="C1129" s="2" t="s">
        <v>3551</v>
      </c>
      <c r="D1129" s="2" t="s">
        <v>3552</v>
      </c>
      <c r="E1129" s="2" t="str">
        <f aca="false">LEFT(C1129,3)</f>
        <v>816</v>
      </c>
      <c r="F1129" s="2" t="str">
        <f aca="false">IF(D1129="","",LEFT(D1129,3))</f>
        <v>827</v>
      </c>
      <c r="G1129" s="2" t="str">
        <f aca="false">IF(F1129="","",IF(E1129=F1129,"Yes","No"))</f>
        <v>No</v>
      </c>
      <c r="H1129" s="2" t="n">
        <f aca="false">IF(D1129="",0,1/COUNTIF($D$2:$D$3451,D1129))</f>
        <v>1</v>
      </c>
      <c r="I1129" s="13" t="n">
        <f aca="false">IFERROR(INDEX('NCO-2015 scores'!$C$2:$C$131,MATCH(E1129,'NCO-2015 scores'!$A$2:$A$131,0)),0)</f>
        <v>0.15</v>
      </c>
      <c r="J1129" s="13" t="n">
        <f aca="false">IF(ISNUMBER(MATCH(E1129,'NCO-2015 scores'!$A$2:$A$131,0)),IF(ISNUMBER(INDEX('NCO-2015 scores'!$C$2:$C$131,MATCH(E1129,'NCO-2015 scores'!$A$2:$A$131,0))),1,0),0)</f>
        <v>1</v>
      </c>
    </row>
    <row r="1130" customFormat="false" ht="15" hidden="false" customHeight="false" outlineLevel="0" collapsed="false">
      <c r="A1130" s="2" t="n">
        <v>1128</v>
      </c>
      <c r="B1130" s="2" t="s">
        <v>3553</v>
      </c>
      <c r="C1130" s="2" t="s">
        <v>3554</v>
      </c>
      <c r="D1130" s="2" t="s">
        <v>3555</v>
      </c>
      <c r="E1130" s="2" t="str">
        <f aca="false">LEFT(C1130,3)</f>
        <v>816</v>
      </c>
      <c r="F1130" s="2" t="str">
        <f aca="false">IF(D1130="","",LEFT(D1130,3))</f>
        <v>827</v>
      </c>
      <c r="G1130" s="2" t="str">
        <f aca="false">IF(F1130="","",IF(E1130=F1130,"Yes","No"))</f>
        <v>No</v>
      </c>
      <c r="H1130" s="2" t="n">
        <f aca="false">IF(D1130="",0,1/COUNTIF($D$2:$D$3451,D1130))</f>
        <v>1</v>
      </c>
      <c r="I1130" s="13" t="n">
        <f aca="false">IFERROR(INDEX('NCO-2015 scores'!$C$2:$C$131,MATCH(E1130,'NCO-2015 scores'!$A$2:$A$131,0)),0)</f>
        <v>0.15</v>
      </c>
      <c r="J1130" s="13" t="n">
        <f aca="false">IF(ISNUMBER(MATCH(E1130,'NCO-2015 scores'!$A$2:$A$131,0)),IF(ISNUMBER(INDEX('NCO-2015 scores'!$C$2:$C$131,MATCH(E1130,'NCO-2015 scores'!$A$2:$A$131,0))),1,0),0)</f>
        <v>1</v>
      </c>
    </row>
    <row r="1131" customFormat="false" ht="15" hidden="false" customHeight="false" outlineLevel="0" collapsed="false">
      <c r="A1131" s="2" t="n">
        <v>1129</v>
      </c>
      <c r="B1131" s="2" t="s">
        <v>3556</v>
      </c>
      <c r="C1131" s="2" t="s">
        <v>3557</v>
      </c>
      <c r="D1131" s="2" t="s">
        <v>3558</v>
      </c>
      <c r="E1131" s="2" t="str">
        <f aca="false">LEFT(C1131,3)</f>
        <v>816</v>
      </c>
      <c r="F1131" s="2" t="str">
        <f aca="false">IF(D1131="","",LEFT(D1131,3))</f>
        <v>827</v>
      </c>
      <c r="G1131" s="2" t="str">
        <f aca="false">IF(F1131="","",IF(E1131=F1131,"Yes","No"))</f>
        <v>No</v>
      </c>
      <c r="H1131" s="2" t="n">
        <f aca="false">IF(D1131="",0,1/COUNTIF($D$2:$D$3451,D1131))</f>
        <v>1</v>
      </c>
      <c r="I1131" s="13" t="n">
        <f aca="false">IFERROR(INDEX('NCO-2015 scores'!$C$2:$C$131,MATCH(E1131,'NCO-2015 scores'!$A$2:$A$131,0)),0)</f>
        <v>0.15</v>
      </c>
      <c r="J1131" s="13" t="n">
        <f aca="false">IF(ISNUMBER(MATCH(E1131,'NCO-2015 scores'!$A$2:$A$131,0)),IF(ISNUMBER(INDEX('NCO-2015 scores'!$C$2:$C$131,MATCH(E1131,'NCO-2015 scores'!$A$2:$A$131,0))),1,0),0)</f>
        <v>1</v>
      </c>
    </row>
    <row r="1132" customFormat="false" ht="15" hidden="false" customHeight="false" outlineLevel="0" collapsed="false">
      <c r="A1132" s="2" t="n">
        <v>1130</v>
      </c>
      <c r="B1132" s="2" t="s">
        <v>3559</v>
      </c>
      <c r="C1132" s="2" t="s">
        <v>3560</v>
      </c>
      <c r="D1132" s="2" t="s">
        <v>3561</v>
      </c>
      <c r="E1132" s="2" t="str">
        <f aca="false">LEFT(C1132,3)</f>
        <v>816</v>
      </c>
      <c r="F1132" s="2" t="str">
        <f aca="false">IF(D1132="","",LEFT(D1132,3))</f>
        <v>827</v>
      </c>
      <c r="G1132" s="2" t="str">
        <f aca="false">IF(F1132="","",IF(E1132=F1132,"Yes","No"))</f>
        <v>No</v>
      </c>
      <c r="H1132" s="2" t="n">
        <f aca="false">IF(D1132="",0,1/COUNTIF($D$2:$D$3451,D1132))</f>
        <v>1</v>
      </c>
      <c r="I1132" s="13" t="n">
        <f aca="false">IFERROR(INDEX('NCO-2015 scores'!$C$2:$C$131,MATCH(E1132,'NCO-2015 scores'!$A$2:$A$131,0)),0)</f>
        <v>0.15</v>
      </c>
      <c r="J1132" s="13" t="n">
        <f aca="false">IF(ISNUMBER(MATCH(E1132,'NCO-2015 scores'!$A$2:$A$131,0)),IF(ISNUMBER(INDEX('NCO-2015 scores'!$C$2:$C$131,MATCH(E1132,'NCO-2015 scores'!$A$2:$A$131,0))),1,0),0)</f>
        <v>1</v>
      </c>
    </row>
    <row r="1133" customFormat="false" ht="15" hidden="false" customHeight="false" outlineLevel="0" collapsed="false">
      <c r="A1133" s="2" t="n">
        <v>1131</v>
      </c>
      <c r="B1133" s="2" t="s">
        <v>3562</v>
      </c>
      <c r="C1133" s="2" t="s">
        <v>3563</v>
      </c>
      <c r="D1133" s="2" t="s">
        <v>3564</v>
      </c>
      <c r="E1133" s="2" t="str">
        <f aca="false">LEFT(C1133,3)</f>
        <v>816</v>
      </c>
      <c r="F1133" s="2" t="str">
        <f aca="false">IF(D1133="","",LEFT(D1133,3))</f>
        <v>827</v>
      </c>
      <c r="G1133" s="2" t="str">
        <f aca="false">IF(F1133="","",IF(E1133=F1133,"Yes","No"))</f>
        <v>No</v>
      </c>
      <c r="H1133" s="2" t="n">
        <f aca="false">IF(D1133="",0,1/COUNTIF($D$2:$D$3451,D1133))</f>
        <v>1</v>
      </c>
      <c r="I1133" s="13" t="n">
        <f aca="false">IFERROR(INDEX('NCO-2015 scores'!$C$2:$C$131,MATCH(E1133,'NCO-2015 scores'!$A$2:$A$131,0)),0)</f>
        <v>0.15</v>
      </c>
      <c r="J1133" s="13" t="n">
        <f aca="false">IF(ISNUMBER(MATCH(E1133,'NCO-2015 scores'!$A$2:$A$131,0)),IF(ISNUMBER(INDEX('NCO-2015 scores'!$C$2:$C$131,MATCH(E1133,'NCO-2015 scores'!$A$2:$A$131,0))),1,0),0)</f>
        <v>1</v>
      </c>
    </row>
    <row r="1134" customFormat="false" ht="15" hidden="false" customHeight="false" outlineLevel="0" collapsed="false">
      <c r="A1134" s="2" t="n">
        <v>1132</v>
      </c>
      <c r="B1134" s="2" t="s">
        <v>3565</v>
      </c>
      <c r="C1134" s="2" t="s">
        <v>3566</v>
      </c>
      <c r="D1134" s="2" t="s">
        <v>3567</v>
      </c>
      <c r="E1134" s="2" t="str">
        <f aca="false">LEFT(C1134,3)</f>
        <v>816</v>
      </c>
      <c r="F1134" s="2" t="str">
        <f aca="false">IF(D1134="","",LEFT(D1134,3))</f>
        <v>827</v>
      </c>
      <c r="G1134" s="2" t="str">
        <f aca="false">IF(F1134="","",IF(E1134=F1134,"Yes","No"))</f>
        <v>No</v>
      </c>
      <c r="H1134" s="2" t="n">
        <f aca="false">IF(D1134="",0,1/COUNTIF($D$2:$D$3451,D1134))</f>
        <v>1</v>
      </c>
      <c r="I1134" s="13" t="n">
        <f aca="false">IFERROR(INDEX('NCO-2015 scores'!$C$2:$C$131,MATCH(E1134,'NCO-2015 scores'!$A$2:$A$131,0)),0)</f>
        <v>0.15</v>
      </c>
      <c r="J1134" s="13" t="n">
        <f aca="false">IF(ISNUMBER(MATCH(E1134,'NCO-2015 scores'!$A$2:$A$131,0)),IF(ISNUMBER(INDEX('NCO-2015 scores'!$C$2:$C$131,MATCH(E1134,'NCO-2015 scores'!$A$2:$A$131,0))),1,0),0)</f>
        <v>1</v>
      </c>
    </row>
    <row r="1135" customFormat="false" ht="15" hidden="false" customHeight="false" outlineLevel="0" collapsed="false">
      <c r="A1135" s="2" t="n">
        <v>1133</v>
      </c>
      <c r="B1135" s="2" t="s">
        <v>3568</v>
      </c>
      <c r="C1135" s="2" t="s">
        <v>3569</v>
      </c>
      <c r="D1135" s="2" t="s">
        <v>3570</v>
      </c>
      <c r="E1135" s="2" t="str">
        <f aca="false">LEFT(C1135,3)</f>
        <v>816</v>
      </c>
      <c r="F1135" s="2" t="str">
        <f aca="false">IF(D1135="","",LEFT(D1135,3))</f>
        <v>827</v>
      </c>
      <c r="G1135" s="2" t="str">
        <f aca="false">IF(F1135="","",IF(E1135=F1135,"Yes","No"))</f>
        <v>No</v>
      </c>
      <c r="H1135" s="2" t="n">
        <f aca="false">IF(D1135="",0,1/COUNTIF($D$2:$D$3451,D1135))</f>
        <v>1</v>
      </c>
      <c r="I1135" s="13" t="n">
        <f aca="false">IFERROR(INDEX('NCO-2015 scores'!$C$2:$C$131,MATCH(E1135,'NCO-2015 scores'!$A$2:$A$131,0)),0)</f>
        <v>0.15</v>
      </c>
      <c r="J1135" s="13" t="n">
        <f aca="false">IF(ISNUMBER(MATCH(E1135,'NCO-2015 scores'!$A$2:$A$131,0)),IF(ISNUMBER(INDEX('NCO-2015 scores'!$C$2:$C$131,MATCH(E1135,'NCO-2015 scores'!$A$2:$A$131,0))),1,0),0)</f>
        <v>1</v>
      </c>
    </row>
    <row r="1136" customFormat="false" ht="15" hidden="false" customHeight="false" outlineLevel="0" collapsed="false">
      <c r="A1136" s="2" t="n">
        <v>1134</v>
      </c>
      <c r="B1136" s="2" t="s">
        <v>3571</v>
      </c>
      <c r="C1136" s="2" t="s">
        <v>3572</v>
      </c>
      <c r="D1136" s="2" t="s">
        <v>3573</v>
      </c>
      <c r="E1136" s="2" t="str">
        <f aca="false">LEFT(C1136,3)</f>
        <v>816</v>
      </c>
      <c r="F1136" s="2" t="str">
        <f aca="false">IF(D1136="","",LEFT(D1136,3))</f>
        <v>827</v>
      </c>
      <c r="G1136" s="2" t="str">
        <f aca="false">IF(F1136="","",IF(E1136=F1136,"Yes","No"))</f>
        <v>No</v>
      </c>
      <c r="H1136" s="2" t="n">
        <f aca="false">IF(D1136="",0,1/COUNTIF($D$2:$D$3451,D1136))</f>
        <v>1</v>
      </c>
      <c r="I1136" s="13" t="n">
        <f aca="false">IFERROR(INDEX('NCO-2015 scores'!$C$2:$C$131,MATCH(E1136,'NCO-2015 scores'!$A$2:$A$131,0)),0)</f>
        <v>0.15</v>
      </c>
      <c r="J1136" s="13" t="n">
        <f aca="false">IF(ISNUMBER(MATCH(E1136,'NCO-2015 scores'!$A$2:$A$131,0)),IF(ISNUMBER(INDEX('NCO-2015 scores'!$C$2:$C$131,MATCH(E1136,'NCO-2015 scores'!$A$2:$A$131,0))),1,0),0)</f>
        <v>1</v>
      </c>
    </row>
    <row r="1137" customFormat="false" ht="15" hidden="false" customHeight="false" outlineLevel="0" collapsed="false">
      <c r="A1137" s="2" t="n">
        <v>1135</v>
      </c>
      <c r="B1137" s="2" t="s">
        <v>3574</v>
      </c>
      <c r="C1137" s="2" t="s">
        <v>3575</v>
      </c>
      <c r="D1137" s="2" t="s">
        <v>3576</v>
      </c>
      <c r="E1137" s="2" t="str">
        <f aca="false">LEFT(C1137,3)</f>
        <v>816</v>
      </c>
      <c r="F1137" s="2" t="str">
        <f aca="false">IF(D1137="","",LEFT(D1137,3))</f>
        <v>827</v>
      </c>
      <c r="G1137" s="2" t="str">
        <f aca="false">IF(F1137="","",IF(E1137=F1137,"Yes","No"))</f>
        <v>No</v>
      </c>
      <c r="H1137" s="2" t="n">
        <f aca="false">IF(D1137="",0,1/COUNTIF($D$2:$D$3451,D1137))</f>
        <v>1</v>
      </c>
      <c r="I1137" s="13" t="n">
        <f aca="false">IFERROR(INDEX('NCO-2015 scores'!$C$2:$C$131,MATCH(E1137,'NCO-2015 scores'!$A$2:$A$131,0)),0)</f>
        <v>0.15</v>
      </c>
      <c r="J1137" s="13" t="n">
        <f aca="false">IF(ISNUMBER(MATCH(E1137,'NCO-2015 scores'!$A$2:$A$131,0)),IF(ISNUMBER(INDEX('NCO-2015 scores'!$C$2:$C$131,MATCH(E1137,'NCO-2015 scores'!$A$2:$A$131,0))),1,0),0)</f>
        <v>1</v>
      </c>
    </row>
    <row r="1138" customFormat="false" ht="15" hidden="false" customHeight="false" outlineLevel="0" collapsed="false">
      <c r="A1138" s="2" t="n">
        <v>1136</v>
      </c>
      <c r="B1138" s="2" t="s">
        <v>3577</v>
      </c>
      <c r="C1138" s="2" t="s">
        <v>3578</v>
      </c>
      <c r="D1138" s="2" t="s">
        <v>3579</v>
      </c>
      <c r="E1138" s="2" t="str">
        <f aca="false">LEFT(C1138,3)</f>
        <v>816</v>
      </c>
      <c r="F1138" s="2" t="str">
        <f aca="false">IF(D1138="","",LEFT(D1138,3))</f>
        <v>827</v>
      </c>
      <c r="G1138" s="2" t="str">
        <f aca="false">IF(F1138="","",IF(E1138=F1138,"Yes","No"))</f>
        <v>No</v>
      </c>
      <c r="H1138" s="2" t="n">
        <f aca="false">IF(D1138="",0,1/COUNTIF($D$2:$D$3451,D1138))</f>
        <v>1</v>
      </c>
      <c r="I1138" s="13" t="n">
        <f aca="false">IFERROR(INDEX('NCO-2015 scores'!$C$2:$C$131,MATCH(E1138,'NCO-2015 scores'!$A$2:$A$131,0)),0)</f>
        <v>0.15</v>
      </c>
      <c r="J1138" s="13" t="n">
        <f aca="false">IF(ISNUMBER(MATCH(E1138,'NCO-2015 scores'!$A$2:$A$131,0)),IF(ISNUMBER(INDEX('NCO-2015 scores'!$C$2:$C$131,MATCH(E1138,'NCO-2015 scores'!$A$2:$A$131,0))),1,0),0)</f>
        <v>1</v>
      </c>
    </row>
    <row r="1139" customFormat="false" ht="15" hidden="false" customHeight="false" outlineLevel="0" collapsed="false">
      <c r="A1139" s="2" t="n">
        <v>1137</v>
      </c>
      <c r="B1139" s="2" t="s">
        <v>3580</v>
      </c>
      <c r="C1139" s="2" t="s">
        <v>3581</v>
      </c>
      <c r="D1139" s="2" t="s">
        <v>3582</v>
      </c>
      <c r="E1139" s="2" t="str">
        <f aca="false">LEFT(C1139,3)</f>
        <v>816</v>
      </c>
      <c r="F1139" s="2" t="str">
        <f aca="false">IF(D1139="","",LEFT(D1139,3))</f>
        <v>827</v>
      </c>
      <c r="G1139" s="2" t="str">
        <f aca="false">IF(F1139="","",IF(E1139=F1139,"Yes","No"))</f>
        <v>No</v>
      </c>
      <c r="H1139" s="2" t="n">
        <f aca="false">IF(D1139="",0,1/COUNTIF($D$2:$D$3451,D1139))</f>
        <v>1</v>
      </c>
      <c r="I1139" s="13" t="n">
        <f aca="false">IFERROR(INDEX('NCO-2015 scores'!$C$2:$C$131,MATCH(E1139,'NCO-2015 scores'!$A$2:$A$131,0)),0)</f>
        <v>0.15</v>
      </c>
      <c r="J1139" s="13" t="n">
        <f aca="false">IF(ISNUMBER(MATCH(E1139,'NCO-2015 scores'!$A$2:$A$131,0)),IF(ISNUMBER(INDEX('NCO-2015 scores'!$C$2:$C$131,MATCH(E1139,'NCO-2015 scores'!$A$2:$A$131,0))),1,0),0)</f>
        <v>1</v>
      </c>
    </row>
    <row r="1140" customFormat="false" ht="15" hidden="false" customHeight="false" outlineLevel="0" collapsed="false">
      <c r="A1140" s="2" t="n">
        <v>1138</v>
      </c>
      <c r="B1140" s="2" t="s">
        <v>3583</v>
      </c>
      <c r="C1140" s="2" t="s">
        <v>3584</v>
      </c>
      <c r="D1140" s="2" t="s">
        <v>3585</v>
      </c>
      <c r="E1140" s="2" t="str">
        <f aca="false">LEFT(C1140,3)</f>
        <v>816</v>
      </c>
      <c r="F1140" s="2" t="str">
        <f aca="false">IF(D1140="","",LEFT(D1140,3))</f>
        <v>827</v>
      </c>
      <c r="G1140" s="2" t="str">
        <f aca="false">IF(F1140="","",IF(E1140=F1140,"Yes","No"))</f>
        <v>No</v>
      </c>
      <c r="H1140" s="2" t="n">
        <f aca="false">IF(D1140="",0,1/COUNTIF($D$2:$D$3451,D1140))</f>
        <v>1</v>
      </c>
      <c r="I1140" s="13" t="n">
        <f aca="false">IFERROR(INDEX('NCO-2015 scores'!$C$2:$C$131,MATCH(E1140,'NCO-2015 scores'!$A$2:$A$131,0)),0)</f>
        <v>0.15</v>
      </c>
      <c r="J1140" s="13" t="n">
        <f aca="false">IF(ISNUMBER(MATCH(E1140,'NCO-2015 scores'!$A$2:$A$131,0)),IF(ISNUMBER(INDEX('NCO-2015 scores'!$C$2:$C$131,MATCH(E1140,'NCO-2015 scores'!$A$2:$A$131,0))),1,0),0)</f>
        <v>1</v>
      </c>
    </row>
    <row r="1141" customFormat="false" ht="15" hidden="false" customHeight="false" outlineLevel="0" collapsed="false">
      <c r="A1141" s="2" t="n">
        <v>1139</v>
      </c>
      <c r="B1141" s="2" t="s">
        <v>3586</v>
      </c>
      <c r="C1141" s="2" t="s">
        <v>3587</v>
      </c>
      <c r="D1141" s="2" t="s">
        <v>3588</v>
      </c>
      <c r="E1141" s="2" t="str">
        <f aca="false">LEFT(C1141,3)</f>
        <v>816</v>
      </c>
      <c r="F1141" s="2" t="str">
        <f aca="false">IF(D1141="","",LEFT(D1141,3))</f>
        <v>827</v>
      </c>
      <c r="G1141" s="2" t="str">
        <f aca="false">IF(F1141="","",IF(E1141=F1141,"Yes","No"))</f>
        <v>No</v>
      </c>
      <c r="H1141" s="2" t="n">
        <f aca="false">IF(D1141="",0,1/COUNTIF($D$2:$D$3451,D1141))</f>
        <v>1</v>
      </c>
      <c r="I1141" s="13" t="n">
        <f aca="false">IFERROR(INDEX('NCO-2015 scores'!$C$2:$C$131,MATCH(E1141,'NCO-2015 scores'!$A$2:$A$131,0)),0)</f>
        <v>0.15</v>
      </c>
      <c r="J1141" s="13" t="n">
        <f aca="false">IF(ISNUMBER(MATCH(E1141,'NCO-2015 scores'!$A$2:$A$131,0)),IF(ISNUMBER(INDEX('NCO-2015 scores'!$C$2:$C$131,MATCH(E1141,'NCO-2015 scores'!$A$2:$A$131,0))),1,0),0)</f>
        <v>1</v>
      </c>
    </row>
    <row r="1142" customFormat="false" ht="15" hidden="false" customHeight="false" outlineLevel="0" collapsed="false">
      <c r="A1142" s="2" t="n">
        <v>1140</v>
      </c>
      <c r="B1142" s="2" t="s">
        <v>3589</v>
      </c>
      <c r="C1142" s="2" t="s">
        <v>3590</v>
      </c>
      <c r="D1142" s="2" t="s">
        <v>3591</v>
      </c>
      <c r="E1142" s="2" t="str">
        <f aca="false">LEFT(C1142,3)</f>
        <v>816</v>
      </c>
      <c r="F1142" s="2" t="str">
        <f aca="false">IF(D1142="","",LEFT(D1142,3))</f>
        <v>827</v>
      </c>
      <c r="G1142" s="2" t="str">
        <f aca="false">IF(F1142="","",IF(E1142=F1142,"Yes","No"))</f>
        <v>No</v>
      </c>
      <c r="H1142" s="2" t="n">
        <f aca="false">IF(D1142="",0,1/COUNTIF($D$2:$D$3451,D1142))</f>
        <v>1</v>
      </c>
      <c r="I1142" s="13" t="n">
        <f aca="false">IFERROR(INDEX('NCO-2015 scores'!$C$2:$C$131,MATCH(E1142,'NCO-2015 scores'!$A$2:$A$131,0)),0)</f>
        <v>0.15</v>
      </c>
      <c r="J1142" s="13" t="n">
        <f aca="false">IF(ISNUMBER(MATCH(E1142,'NCO-2015 scores'!$A$2:$A$131,0)),IF(ISNUMBER(INDEX('NCO-2015 scores'!$C$2:$C$131,MATCH(E1142,'NCO-2015 scores'!$A$2:$A$131,0))),1,0),0)</f>
        <v>1</v>
      </c>
    </row>
    <row r="1143" customFormat="false" ht="15" hidden="false" customHeight="false" outlineLevel="0" collapsed="false">
      <c r="A1143" s="2" t="n">
        <v>1141</v>
      </c>
      <c r="B1143" s="2" t="s">
        <v>3592</v>
      </c>
      <c r="C1143" s="2" t="s">
        <v>3593</v>
      </c>
      <c r="D1143" s="2" t="s">
        <v>3594</v>
      </c>
      <c r="E1143" s="2" t="str">
        <f aca="false">LEFT(C1143,3)</f>
        <v>816</v>
      </c>
      <c r="F1143" s="2" t="str">
        <f aca="false">IF(D1143="","",LEFT(D1143,3))</f>
        <v>827</v>
      </c>
      <c r="G1143" s="2" t="str">
        <f aca="false">IF(F1143="","",IF(E1143=F1143,"Yes","No"))</f>
        <v>No</v>
      </c>
      <c r="H1143" s="2" t="n">
        <f aca="false">IF(D1143="",0,1/COUNTIF($D$2:$D$3451,D1143))</f>
        <v>1</v>
      </c>
      <c r="I1143" s="13" t="n">
        <f aca="false">IFERROR(INDEX('NCO-2015 scores'!$C$2:$C$131,MATCH(E1143,'NCO-2015 scores'!$A$2:$A$131,0)),0)</f>
        <v>0.15</v>
      </c>
      <c r="J1143" s="13" t="n">
        <f aca="false">IF(ISNUMBER(MATCH(E1143,'NCO-2015 scores'!$A$2:$A$131,0)),IF(ISNUMBER(INDEX('NCO-2015 scores'!$C$2:$C$131,MATCH(E1143,'NCO-2015 scores'!$A$2:$A$131,0))),1,0),0)</f>
        <v>1</v>
      </c>
    </row>
    <row r="1144" customFormat="false" ht="15" hidden="false" customHeight="false" outlineLevel="0" collapsed="false">
      <c r="A1144" s="2" t="n">
        <v>1142</v>
      </c>
      <c r="B1144" s="2" t="s">
        <v>3595</v>
      </c>
      <c r="C1144" s="2" t="s">
        <v>3596</v>
      </c>
      <c r="D1144" s="2" t="s">
        <v>3597</v>
      </c>
      <c r="E1144" s="2" t="str">
        <f aca="false">LEFT(C1144,3)</f>
        <v>816</v>
      </c>
      <c r="F1144" s="2" t="str">
        <f aca="false">IF(D1144="","",LEFT(D1144,3))</f>
        <v>827</v>
      </c>
      <c r="G1144" s="2" t="str">
        <f aca="false">IF(F1144="","",IF(E1144=F1144,"Yes","No"))</f>
        <v>No</v>
      </c>
      <c r="H1144" s="2" t="n">
        <f aca="false">IF(D1144="",0,1/COUNTIF($D$2:$D$3451,D1144))</f>
        <v>1</v>
      </c>
      <c r="I1144" s="13" t="n">
        <f aca="false">IFERROR(INDEX('NCO-2015 scores'!$C$2:$C$131,MATCH(E1144,'NCO-2015 scores'!$A$2:$A$131,0)),0)</f>
        <v>0.15</v>
      </c>
      <c r="J1144" s="13" t="n">
        <f aca="false">IF(ISNUMBER(MATCH(E1144,'NCO-2015 scores'!$A$2:$A$131,0)),IF(ISNUMBER(INDEX('NCO-2015 scores'!$C$2:$C$131,MATCH(E1144,'NCO-2015 scores'!$A$2:$A$131,0))),1,0),0)</f>
        <v>1</v>
      </c>
    </row>
    <row r="1145" customFormat="false" ht="15" hidden="false" customHeight="false" outlineLevel="0" collapsed="false">
      <c r="A1145" s="2" t="n">
        <v>1143</v>
      </c>
      <c r="B1145" s="2" t="s">
        <v>3598</v>
      </c>
      <c r="C1145" s="2" t="s">
        <v>3599</v>
      </c>
      <c r="D1145" s="2" t="s">
        <v>3600</v>
      </c>
      <c r="E1145" s="2" t="str">
        <f aca="false">LEFT(C1145,3)</f>
        <v>816</v>
      </c>
      <c r="F1145" s="2" t="str">
        <f aca="false">IF(D1145="","",LEFT(D1145,3))</f>
        <v>827</v>
      </c>
      <c r="G1145" s="2" t="str">
        <f aca="false">IF(F1145="","",IF(E1145=F1145,"Yes","No"))</f>
        <v>No</v>
      </c>
      <c r="H1145" s="2" t="n">
        <f aca="false">IF(D1145="",0,1/COUNTIF($D$2:$D$3451,D1145))</f>
        <v>1</v>
      </c>
      <c r="I1145" s="13" t="n">
        <f aca="false">IFERROR(INDEX('NCO-2015 scores'!$C$2:$C$131,MATCH(E1145,'NCO-2015 scores'!$A$2:$A$131,0)),0)</f>
        <v>0.15</v>
      </c>
      <c r="J1145" s="13" t="n">
        <f aca="false">IF(ISNUMBER(MATCH(E1145,'NCO-2015 scores'!$A$2:$A$131,0)),IF(ISNUMBER(INDEX('NCO-2015 scores'!$C$2:$C$131,MATCH(E1145,'NCO-2015 scores'!$A$2:$A$131,0))),1,0),0)</f>
        <v>1</v>
      </c>
    </row>
    <row r="1146" customFormat="false" ht="15" hidden="false" customHeight="false" outlineLevel="0" collapsed="false">
      <c r="A1146" s="2" t="n">
        <v>1144</v>
      </c>
      <c r="B1146" s="2" t="s">
        <v>3601</v>
      </c>
      <c r="C1146" s="2" t="s">
        <v>3602</v>
      </c>
      <c r="D1146" s="2" t="s">
        <v>3603</v>
      </c>
      <c r="E1146" s="2" t="str">
        <f aca="false">LEFT(C1146,3)</f>
        <v>816</v>
      </c>
      <c r="F1146" s="2" t="str">
        <f aca="false">IF(D1146="","",LEFT(D1146,3))</f>
        <v>827</v>
      </c>
      <c r="G1146" s="2" t="str">
        <f aca="false">IF(F1146="","",IF(E1146=F1146,"Yes","No"))</f>
        <v>No</v>
      </c>
      <c r="H1146" s="2" t="n">
        <f aca="false">IF(D1146="",0,1/COUNTIF($D$2:$D$3451,D1146))</f>
        <v>1</v>
      </c>
      <c r="I1146" s="13" t="n">
        <f aca="false">IFERROR(INDEX('NCO-2015 scores'!$C$2:$C$131,MATCH(E1146,'NCO-2015 scores'!$A$2:$A$131,0)),0)</f>
        <v>0.15</v>
      </c>
      <c r="J1146" s="13" t="n">
        <f aca="false">IF(ISNUMBER(MATCH(E1146,'NCO-2015 scores'!$A$2:$A$131,0)),IF(ISNUMBER(INDEX('NCO-2015 scores'!$C$2:$C$131,MATCH(E1146,'NCO-2015 scores'!$A$2:$A$131,0))),1,0),0)</f>
        <v>1</v>
      </c>
    </row>
    <row r="1147" customFormat="false" ht="15" hidden="false" customHeight="false" outlineLevel="0" collapsed="false">
      <c r="A1147" s="2" t="n">
        <v>1145</v>
      </c>
      <c r="B1147" s="2" t="s">
        <v>3604</v>
      </c>
      <c r="C1147" s="2" t="s">
        <v>3605</v>
      </c>
      <c r="D1147" s="2" t="s">
        <v>3606</v>
      </c>
      <c r="E1147" s="2" t="str">
        <f aca="false">LEFT(C1147,3)</f>
        <v>816</v>
      </c>
      <c r="F1147" s="2" t="str">
        <f aca="false">IF(D1147="","",LEFT(D1147,3))</f>
        <v>827</v>
      </c>
      <c r="G1147" s="2" t="str">
        <f aca="false">IF(F1147="","",IF(E1147=F1147,"Yes","No"))</f>
        <v>No</v>
      </c>
      <c r="H1147" s="2" t="n">
        <f aca="false">IF(D1147="",0,1/COUNTIF($D$2:$D$3451,D1147))</f>
        <v>1</v>
      </c>
      <c r="I1147" s="13" t="n">
        <f aca="false">IFERROR(INDEX('NCO-2015 scores'!$C$2:$C$131,MATCH(E1147,'NCO-2015 scores'!$A$2:$A$131,0)),0)</f>
        <v>0.15</v>
      </c>
      <c r="J1147" s="13" t="n">
        <f aca="false">IF(ISNUMBER(MATCH(E1147,'NCO-2015 scores'!$A$2:$A$131,0)),IF(ISNUMBER(INDEX('NCO-2015 scores'!$C$2:$C$131,MATCH(E1147,'NCO-2015 scores'!$A$2:$A$131,0))),1,0),0)</f>
        <v>1</v>
      </c>
    </row>
    <row r="1148" customFormat="false" ht="15" hidden="false" customHeight="false" outlineLevel="0" collapsed="false">
      <c r="A1148" s="2" t="n">
        <v>1146</v>
      </c>
      <c r="B1148" s="2" t="s">
        <v>3607</v>
      </c>
      <c r="C1148" s="2" t="s">
        <v>3608</v>
      </c>
      <c r="D1148" s="2" t="s">
        <v>3609</v>
      </c>
      <c r="E1148" s="2" t="str">
        <f aca="false">LEFT(C1148,3)</f>
        <v>816</v>
      </c>
      <c r="F1148" s="2" t="str">
        <f aca="false">IF(D1148="","",LEFT(D1148,3))</f>
        <v>827</v>
      </c>
      <c r="G1148" s="2" t="str">
        <f aca="false">IF(F1148="","",IF(E1148=F1148,"Yes","No"))</f>
        <v>No</v>
      </c>
      <c r="H1148" s="2" t="n">
        <f aca="false">IF(D1148="",0,1/COUNTIF($D$2:$D$3451,D1148))</f>
        <v>1</v>
      </c>
      <c r="I1148" s="13" t="n">
        <f aca="false">IFERROR(INDEX('NCO-2015 scores'!$C$2:$C$131,MATCH(E1148,'NCO-2015 scores'!$A$2:$A$131,0)),0)</f>
        <v>0.15</v>
      </c>
      <c r="J1148" s="13" t="n">
        <f aca="false">IF(ISNUMBER(MATCH(E1148,'NCO-2015 scores'!$A$2:$A$131,0)),IF(ISNUMBER(INDEX('NCO-2015 scores'!$C$2:$C$131,MATCH(E1148,'NCO-2015 scores'!$A$2:$A$131,0))),1,0),0)</f>
        <v>1</v>
      </c>
    </row>
    <row r="1149" customFormat="false" ht="15" hidden="false" customHeight="false" outlineLevel="0" collapsed="false">
      <c r="A1149" s="2" t="n">
        <v>1147</v>
      </c>
      <c r="B1149" s="2" t="s">
        <v>3610</v>
      </c>
      <c r="C1149" s="2" t="s">
        <v>3611</v>
      </c>
      <c r="D1149" s="2" t="s">
        <v>3612</v>
      </c>
      <c r="E1149" s="2" t="str">
        <f aca="false">LEFT(C1149,3)</f>
        <v>816</v>
      </c>
      <c r="F1149" s="2" t="str">
        <f aca="false">IF(D1149="","",LEFT(D1149,3))</f>
        <v>827</v>
      </c>
      <c r="G1149" s="2" t="str">
        <f aca="false">IF(F1149="","",IF(E1149=F1149,"Yes","No"))</f>
        <v>No</v>
      </c>
      <c r="H1149" s="2" t="n">
        <f aca="false">IF(D1149="",0,1/COUNTIF($D$2:$D$3451,D1149))</f>
        <v>1</v>
      </c>
      <c r="I1149" s="13" t="n">
        <f aca="false">IFERROR(INDEX('NCO-2015 scores'!$C$2:$C$131,MATCH(E1149,'NCO-2015 scores'!$A$2:$A$131,0)),0)</f>
        <v>0.15</v>
      </c>
      <c r="J1149" s="13" t="n">
        <f aca="false">IF(ISNUMBER(MATCH(E1149,'NCO-2015 scores'!$A$2:$A$131,0)),IF(ISNUMBER(INDEX('NCO-2015 scores'!$C$2:$C$131,MATCH(E1149,'NCO-2015 scores'!$A$2:$A$131,0))),1,0),0)</f>
        <v>1</v>
      </c>
    </row>
    <row r="1150" customFormat="false" ht="15" hidden="false" customHeight="false" outlineLevel="0" collapsed="false">
      <c r="A1150" s="2" t="n">
        <v>1148</v>
      </c>
      <c r="B1150" s="2" t="s">
        <v>3613</v>
      </c>
      <c r="C1150" s="2" t="s">
        <v>3614</v>
      </c>
      <c r="D1150" s="2" t="s">
        <v>3615</v>
      </c>
      <c r="E1150" s="2" t="str">
        <f aca="false">LEFT(C1150,3)</f>
        <v>816</v>
      </c>
      <c r="F1150" s="2" t="str">
        <f aca="false">IF(D1150="","",LEFT(D1150,3))</f>
        <v>827</v>
      </c>
      <c r="G1150" s="2" t="str">
        <f aca="false">IF(F1150="","",IF(E1150=F1150,"Yes","No"))</f>
        <v>No</v>
      </c>
      <c r="H1150" s="2" t="n">
        <f aca="false">IF(D1150="",0,1/COUNTIF($D$2:$D$3451,D1150))</f>
        <v>1</v>
      </c>
      <c r="I1150" s="13" t="n">
        <f aca="false">IFERROR(INDEX('NCO-2015 scores'!$C$2:$C$131,MATCH(E1150,'NCO-2015 scores'!$A$2:$A$131,0)),0)</f>
        <v>0.15</v>
      </c>
      <c r="J1150" s="13" t="n">
        <f aca="false">IF(ISNUMBER(MATCH(E1150,'NCO-2015 scores'!$A$2:$A$131,0)),IF(ISNUMBER(INDEX('NCO-2015 scores'!$C$2:$C$131,MATCH(E1150,'NCO-2015 scores'!$A$2:$A$131,0))),1,0),0)</f>
        <v>1</v>
      </c>
    </row>
    <row r="1151" customFormat="false" ht="15" hidden="false" customHeight="false" outlineLevel="0" collapsed="false">
      <c r="A1151" s="2" t="n">
        <v>1149</v>
      </c>
      <c r="B1151" s="2" t="s">
        <v>3616</v>
      </c>
      <c r="C1151" s="2" t="s">
        <v>3617</v>
      </c>
      <c r="D1151" s="2" t="s">
        <v>3618</v>
      </c>
      <c r="E1151" s="2" t="str">
        <f aca="false">LEFT(C1151,3)</f>
        <v>816</v>
      </c>
      <c r="F1151" s="2" t="str">
        <f aca="false">IF(D1151="","",LEFT(D1151,3))</f>
        <v>827</v>
      </c>
      <c r="G1151" s="2" t="str">
        <f aca="false">IF(F1151="","",IF(E1151=F1151,"Yes","No"))</f>
        <v>No</v>
      </c>
      <c r="H1151" s="2" t="n">
        <f aca="false">IF(D1151="",0,1/COUNTIF($D$2:$D$3451,D1151))</f>
        <v>1</v>
      </c>
      <c r="I1151" s="13" t="n">
        <f aca="false">IFERROR(INDEX('NCO-2015 scores'!$C$2:$C$131,MATCH(E1151,'NCO-2015 scores'!$A$2:$A$131,0)),0)</f>
        <v>0.15</v>
      </c>
      <c r="J1151" s="13" t="n">
        <f aca="false">IF(ISNUMBER(MATCH(E1151,'NCO-2015 scores'!$A$2:$A$131,0)),IF(ISNUMBER(INDEX('NCO-2015 scores'!$C$2:$C$131,MATCH(E1151,'NCO-2015 scores'!$A$2:$A$131,0))),1,0),0)</f>
        <v>1</v>
      </c>
    </row>
    <row r="1152" customFormat="false" ht="15" hidden="false" customHeight="false" outlineLevel="0" collapsed="false">
      <c r="A1152" s="2" t="n">
        <v>1150</v>
      </c>
      <c r="B1152" s="2" t="s">
        <v>3619</v>
      </c>
      <c r="C1152" s="2" t="s">
        <v>3620</v>
      </c>
      <c r="D1152" s="2" t="s">
        <v>3621</v>
      </c>
      <c r="E1152" s="2" t="str">
        <f aca="false">LEFT(C1152,3)</f>
        <v>816</v>
      </c>
      <c r="F1152" s="2" t="str">
        <f aca="false">IF(D1152="","",LEFT(D1152,3))</f>
        <v>827</v>
      </c>
      <c r="G1152" s="2" t="str">
        <f aca="false">IF(F1152="","",IF(E1152=F1152,"Yes","No"))</f>
        <v>No</v>
      </c>
      <c r="H1152" s="2" t="n">
        <f aca="false">IF(D1152="",0,1/COUNTIF($D$2:$D$3451,D1152))</f>
        <v>1</v>
      </c>
      <c r="I1152" s="13" t="n">
        <f aca="false">IFERROR(INDEX('NCO-2015 scores'!$C$2:$C$131,MATCH(E1152,'NCO-2015 scores'!$A$2:$A$131,0)),0)</f>
        <v>0.15</v>
      </c>
      <c r="J1152" s="13" t="n">
        <f aca="false">IF(ISNUMBER(MATCH(E1152,'NCO-2015 scores'!$A$2:$A$131,0)),IF(ISNUMBER(INDEX('NCO-2015 scores'!$C$2:$C$131,MATCH(E1152,'NCO-2015 scores'!$A$2:$A$131,0))),1,0),0)</f>
        <v>1</v>
      </c>
    </row>
    <row r="1153" customFormat="false" ht="15" hidden="false" customHeight="false" outlineLevel="0" collapsed="false">
      <c r="A1153" s="2" t="n">
        <v>1151</v>
      </c>
      <c r="B1153" s="2" t="s">
        <v>3622</v>
      </c>
      <c r="C1153" s="2" t="s">
        <v>3623</v>
      </c>
      <c r="D1153" s="2" t="s">
        <v>3624</v>
      </c>
      <c r="E1153" s="2" t="str">
        <f aca="false">LEFT(C1153,3)</f>
        <v>816</v>
      </c>
      <c r="F1153" s="2" t="str">
        <f aca="false">IF(D1153="","",LEFT(D1153,3))</f>
        <v>827</v>
      </c>
      <c r="G1153" s="2" t="str">
        <f aca="false">IF(F1153="","",IF(E1153=F1153,"Yes","No"))</f>
        <v>No</v>
      </c>
      <c r="H1153" s="2" t="n">
        <f aca="false">IF(D1153="",0,1/COUNTIF($D$2:$D$3451,D1153))</f>
        <v>1</v>
      </c>
      <c r="I1153" s="13" t="n">
        <f aca="false">IFERROR(INDEX('NCO-2015 scores'!$C$2:$C$131,MATCH(E1153,'NCO-2015 scores'!$A$2:$A$131,0)),0)</f>
        <v>0.15</v>
      </c>
      <c r="J1153" s="13" t="n">
        <f aca="false">IF(ISNUMBER(MATCH(E1153,'NCO-2015 scores'!$A$2:$A$131,0)),IF(ISNUMBER(INDEX('NCO-2015 scores'!$C$2:$C$131,MATCH(E1153,'NCO-2015 scores'!$A$2:$A$131,0))),1,0),0)</f>
        <v>1</v>
      </c>
    </row>
    <row r="1154" customFormat="false" ht="15" hidden="false" customHeight="false" outlineLevel="0" collapsed="false">
      <c r="A1154" s="2" t="n">
        <v>1152</v>
      </c>
      <c r="B1154" s="2" t="s">
        <v>3625</v>
      </c>
      <c r="C1154" s="2" t="s">
        <v>3626</v>
      </c>
      <c r="D1154" s="2" t="s">
        <v>3627</v>
      </c>
      <c r="E1154" s="2" t="str">
        <f aca="false">LEFT(C1154,3)</f>
        <v>816</v>
      </c>
      <c r="F1154" s="2" t="str">
        <f aca="false">IF(D1154="","",LEFT(D1154,3))</f>
        <v>827</v>
      </c>
      <c r="G1154" s="2" t="str">
        <f aca="false">IF(F1154="","",IF(E1154=F1154,"Yes","No"))</f>
        <v>No</v>
      </c>
      <c r="H1154" s="2" t="n">
        <f aca="false">IF(D1154="",0,1/COUNTIF($D$2:$D$3451,D1154))</f>
        <v>1</v>
      </c>
      <c r="I1154" s="13" t="n">
        <f aca="false">IFERROR(INDEX('NCO-2015 scores'!$C$2:$C$131,MATCH(E1154,'NCO-2015 scores'!$A$2:$A$131,0)),0)</f>
        <v>0.15</v>
      </c>
      <c r="J1154" s="13" t="n">
        <f aca="false">IF(ISNUMBER(MATCH(E1154,'NCO-2015 scores'!$A$2:$A$131,0)),IF(ISNUMBER(INDEX('NCO-2015 scores'!$C$2:$C$131,MATCH(E1154,'NCO-2015 scores'!$A$2:$A$131,0))),1,0),0)</f>
        <v>1</v>
      </c>
    </row>
    <row r="1155" customFormat="false" ht="15" hidden="false" customHeight="false" outlineLevel="0" collapsed="false">
      <c r="A1155" s="2" t="n">
        <v>1153</v>
      </c>
      <c r="B1155" s="2" t="s">
        <v>3628</v>
      </c>
      <c r="C1155" s="2" t="s">
        <v>3629</v>
      </c>
      <c r="D1155" s="2" t="s">
        <v>3630</v>
      </c>
      <c r="E1155" s="2" t="str">
        <f aca="false">LEFT(C1155,3)</f>
        <v>816</v>
      </c>
      <c r="F1155" s="2" t="str">
        <f aca="false">IF(D1155="","",LEFT(D1155,3))</f>
        <v>827</v>
      </c>
      <c r="G1155" s="2" t="str">
        <f aca="false">IF(F1155="","",IF(E1155=F1155,"Yes","No"))</f>
        <v>No</v>
      </c>
      <c r="H1155" s="2" t="n">
        <f aca="false">IF(D1155="",0,1/COUNTIF($D$2:$D$3451,D1155))</f>
        <v>0.5</v>
      </c>
      <c r="I1155" s="13" t="n">
        <f aca="false">IFERROR(INDEX('NCO-2015 scores'!$C$2:$C$131,MATCH(E1155,'NCO-2015 scores'!$A$2:$A$131,0)),0)</f>
        <v>0.15</v>
      </c>
      <c r="J1155" s="13" t="n">
        <f aca="false">IF(ISNUMBER(MATCH(E1155,'NCO-2015 scores'!$A$2:$A$131,0)),IF(ISNUMBER(INDEX('NCO-2015 scores'!$C$2:$C$131,MATCH(E1155,'NCO-2015 scores'!$A$2:$A$131,0))),1,0),0)</f>
        <v>1</v>
      </c>
    </row>
    <row r="1156" customFormat="false" ht="15" hidden="false" customHeight="false" outlineLevel="0" collapsed="false">
      <c r="A1156" s="2" t="n">
        <v>1154</v>
      </c>
      <c r="B1156" s="2" t="s">
        <v>3631</v>
      </c>
      <c r="C1156" s="2" t="s">
        <v>3632</v>
      </c>
      <c r="D1156" s="2" t="s">
        <v>3633</v>
      </c>
      <c r="E1156" s="2" t="str">
        <f aca="false">LEFT(C1156,3)</f>
        <v>816</v>
      </c>
      <c r="F1156" s="2" t="str">
        <f aca="false">IF(D1156="","",LEFT(D1156,3))</f>
        <v>827</v>
      </c>
      <c r="G1156" s="2" t="str">
        <f aca="false">IF(F1156="","",IF(E1156=F1156,"Yes","No"))</f>
        <v>No</v>
      </c>
      <c r="H1156" s="2" t="n">
        <f aca="false">IF(D1156="",0,1/COUNTIF($D$2:$D$3451,D1156))</f>
        <v>1</v>
      </c>
      <c r="I1156" s="13" t="n">
        <f aca="false">IFERROR(INDEX('NCO-2015 scores'!$C$2:$C$131,MATCH(E1156,'NCO-2015 scores'!$A$2:$A$131,0)),0)</f>
        <v>0.15</v>
      </c>
      <c r="J1156" s="13" t="n">
        <f aca="false">IF(ISNUMBER(MATCH(E1156,'NCO-2015 scores'!$A$2:$A$131,0)),IF(ISNUMBER(INDEX('NCO-2015 scores'!$C$2:$C$131,MATCH(E1156,'NCO-2015 scores'!$A$2:$A$131,0))),1,0),0)</f>
        <v>1</v>
      </c>
    </row>
    <row r="1157" customFormat="false" ht="15" hidden="false" customHeight="false" outlineLevel="0" collapsed="false">
      <c r="A1157" s="2" t="n">
        <v>1155</v>
      </c>
      <c r="B1157" s="2" t="s">
        <v>3634</v>
      </c>
      <c r="C1157" s="2" t="s">
        <v>3635</v>
      </c>
      <c r="D1157" s="2" t="s">
        <v>3636</v>
      </c>
      <c r="E1157" s="2" t="str">
        <f aca="false">LEFT(C1157,3)</f>
        <v>816</v>
      </c>
      <c r="F1157" s="2" t="str">
        <f aca="false">IF(D1157="","",LEFT(D1157,3))</f>
        <v>827</v>
      </c>
      <c r="G1157" s="2" t="str">
        <f aca="false">IF(F1157="","",IF(E1157=F1157,"Yes","No"))</f>
        <v>No</v>
      </c>
      <c r="H1157" s="2" t="n">
        <f aca="false">IF(D1157="",0,1/COUNTIF($D$2:$D$3451,D1157))</f>
        <v>1</v>
      </c>
      <c r="I1157" s="13" t="n">
        <f aca="false">IFERROR(INDEX('NCO-2015 scores'!$C$2:$C$131,MATCH(E1157,'NCO-2015 scores'!$A$2:$A$131,0)),0)</f>
        <v>0.15</v>
      </c>
      <c r="J1157" s="13" t="n">
        <f aca="false">IF(ISNUMBER(MATCH(E1157,'NCO-2015 scores'!$A$2:$A$131,0)),IF(ISNUMBER(INDEX('NCO-2015 scores'!$C$2:$C$131,MATCH(E1157,'NCO-2015 scores'!$A$2:$A$131,0))),1,0),0)</f>
        <v>1</v>
      </c>
    </row>
    <row r="1158" customFormat="false" ht="15" hidden="false" customHeight="false" outlineLevel="0" collapsed="false">
      <c r="A1158" s="2" t="n">
        <v>1156</v>
      </c>
      <c r="B1158" s="2" t="s">
        <v>3637</v>
      </c>
      <c r="C1158" s="2" t="s">
        <v>3638</v>
      </c>
      <c r="D1158" s="2" t="s">
        <v>3639</v>
      </c>
      <c r="E1158" s="2" t="str">
        <f aca="false">LEFT(C1158,3)</f>
        <v>816</v>
      </c>
      <c r="F1158" s="2" t="str">
        <f aca="false">IF(D1158="","",LEFT(D1158,3))</f>
        <v>827</v>
      </c>
      <c r="G1158" s="2" t="str">
        <f aca="false">IF(F1158="","",IF(E1158=F1158,"Yes","No"))</f>
        <v>No</v>
      </c>
      <c r="H1158" s="2" t="n">
        <f aca="false">IF(D1158="",0,1/COUNTIF($D$2:$D$3451,D1158))</f>
        <v>1</v>
      </c>
      <c r="I1158" s="13" t="n">
        <f aca="false">IFERROR(INDEX('NCO-2015 scores'!$C$2:$C$131,MATCH(E1158,'NCO-2015 scores'!$A$2:$A$131,0)),0)</f>
        <v>0.15</v>
      </c>
      <c r="J1158" s="13" t="n">
        <f aca="false">IF(ISNUMBER(MATCH(E1158,'NCO-2015 scores'!$A$2:$A$131,0)),IF(ISNUMBER(INDEX('NCO-2015 scores'!$C$2:$C$131,MATCH(E1158,'NCO-2015 scores'!$A$2:$A$131,0))),1,0),0)</f>
        <v>1</v>
      </c>
    </row>
    <row r="1159" customFormat="false" ht="15" hidden="false" customHeight="false" outlineLevel="0" collapsed="false">
      <c r="A1159" s="2" t="n">
        <v>1157</v>
      </c>
      <c r="B1159" s="2" t="s">
        <v>3640</v>
      </c>
      <c r="C1159" s="2" t="s">
        <v>3641</v>
      </c>
      <c r="D1159" s="2" t="s">
        <v>3642</v>
      </c>
      <c r="E1159" s="2" t="str">
        <f aca="false">LEFT(C1159,3)</f>
        <v>816</v>
      </c>
      <c r="F1159" s="2" t="str">
        <f aca="false">IF(D1159="","",LEFT(D1159,3))</f>
        <v>827</v>
      </c>
      <c r="G1159" s="2" t="str">
        <f aca="false">IF(F1159="","",IF(E1159=F1159,"Yes","No"))</f>
        <v>No</v>
      </c>
      <c r="H1159" s="2" t="n">
        <f aca="false">IF(D1159="",0,1/COUNTIF($D$2:$D$3451,D1159))</f>
        <v>1</v>
      </c>
      <c r="I1159" s="13" t="n">
        <f aca="false">IFERROR(INDEX('NCO-2015 scores'!$C$2:$C$131,MATCH(E1159,'NCO-2015 scores'!$A$2:$A$131,0)),0)</f>
        <v>0.15</v>
      </c>
      <c r="J1159" s="13" t="n">
        <f aca="false">IF(ISNUMBER(MATCH(E1159,'NCO-2015 scores'!$A$2:$A$131,0)),IF(ISNUMBER(INDEX('NCO-2015 scores'!$C$2:$C$131,MATCH(E1159,'NCO-2015 scores'!$A$2:$A$131,0))),1,0),0)</f>
        <v>1</v>
      </c>
    </row>
    <row r="1160" customFormat="false" ht="15" hidden="false" customHeight="false" outlineLevel="0" collapsed="false">
      <c r="A1160" s="2" t="n">
        <v>1158</v>
      </c>
      <c r="B1160" s="2" t="s">
        <v>3643</v>
      </c>
      <c r="C1160" s="2" t="s">
        <v>3644</v>
      </c>
      <c r="D1160" s="2" t="s">
        <v>3645</v>
      </c>
      <c r="E1160" s="2" t="str">
        <f aca="false">LEFT(C1160,3)</f>
        <v>816</v>
      </c>
      <c r="F1160" s="2" t="str">
        <f aca="false">IF(D1160="","",LEFT(D1160,3))</f>
        <v>827</v>
      </c>
      <c r="G1160" s="2" t="str">
        <f aca="false">IF(F1160="","",IF(E1160=F1160,"Yes","No"))</f>
        <v>No</v>
      </c>
      <c r="H1160" s="2" t="n">
        <f aca="false">IF(D1160="",0,1/COUNTIF($D$2:$D$3451,D1160))</f>
        <v>1</v>
      </c>
      <c r="I1160" s="13" t="n">
        <f aca="false">IFERROR(INDEX('NCO-2015 scores'!$C$2:$C$131,MATCH(E1160,'NCO-2015 scores'!$A$2:$A$131,0)),0)</f>
        <v>0.15</v>
      </c>
      <c r="J1160" s="13" t="n">
        <f aca="false">IF(ISNUMBER(MATCH(E1160,'NCO-2015 scores'!$A$2:$A$131,0)),IF(ISNUMBER(INDEX('NCO-2015 scores'!$C$2:$C$131,MATCH(E1160,'NCO-2015 scores'!$A$2:$A$131,0))),1,0),0)</f>
        <v>1</v>
      </c>
    </row>
    <row r="1161" customFormat="false" ht="15" hidden="false" customHeight="false" outlineLevel="0" collapsed="false">
      <c r="A1161" s="2" t="n">
        <v>1159</v>
      </c>
      <c r="B1161" s="2" t="s">
        <v>3646</v>
      </c>
      <c r="C1161" s="2" t="s">
        <v>3647</v>
      </c>
      <c r="D1161" s="2" t="s">
        <v>3648</v>
      </c>
      <c r="E1161" s="2" t="str">
        <f aca="false">LEFT(C1161,3)</f>
        <v>816</v>
      </c>
      <c r="F1161" s="2" t="str">
        <f aca="false">IF(D1161="","",LEFT(D1161,3))</f>
        <v>827</v>
      </c>
      <c r="G1161" s="2" t="str">
        <f aca="false">IF(F1161="","",IF(E1161=F1161,"Yes","No"))</f>
        <v>No</v>
      </c>
      <c r="H1161" s="2" t="n">
        <f aca="false">IF(D1161="",0,1/COUNTIF($D$2:$D$3451,D1161))</f>
        <v>1</v>
      </c>
      <c r="I1161" s="13" t="n">
        <f aca="false">IFERROR(INDEX('NCO-2015 scores'!$C$2:$C$131,MATCH(E1161,'NCO-2015 scores'!$A$2:$A$131,0)),0)</f>
        <v>0.15</v>
      </c>
      <c r="J1161" s="13" t="n">
        <f aca="false">IF(ISNUMBER(MATCH(E1161,'NCO-2015 scores'!$A$2:$A$131,0)),IF(ISNUMBER(INDEX('NCO-2015 scores'!$C$2:$C$131,MATCH(E1161,'NCO-2015 scores'!$A$2:$A$131,0))),1,0),0)</f>
        <v>1</v>
      </c>
    </row>
    <row r="1162" customFormat="false" ht="15" hidden="false" customHeight="false" outlineLevel="0" collapsed="false">
      <c r="A1162" s="2" t="n">
        <v>1160</v>
      </c>
      <c r="B1162" s="2" t="s">
        <v>3649</v>
      </c>
      <c r="C1162" s="2" t="s">
        <v>3650</v>
      </c>
      <c r="D1162" s="2" t="s">
        <v>3651</v>
      </c>
      <c r="E1162" s="2" t="str">
        <f aca="false">LEFT(C1162,3)</f>
        <v>816</v>
      </c>
      <c r="F1162" s="2" t="str">
        <f aca="false">IF(D1162="","",LEFT(D1162,3))</f>
        <v>827</v>
      </c>
      <c r="G1162" s="2" t="str">
        <f aca="false">IF(F1162="","",IF(E1162=F1162,"Yes","No"))</f>
        <v>No</v>
      </c>
      <c r="H1162" s="2" t="n">
        <f aca="false">IF(D1162="",0,1/COUNTIF($D$2:$D$3451,D1162))</f>
        <v>1</v>
      </c>
      <c r="I1162" s="13" t="n">
        <f aca="false">IFERROR(INDEX('NCO-2015 scores'!$C$2:$C$131,MATCH(E1162,'NCO-2015 scores'!$A$2:$A$131,0)),0)</f>
        <v>0.15</v>
      </c>
      <c r="J1162" s="13" t="n">
        <f aca="false">IF(ISNUMBER(MATCH(E1162,'NCO-2015 scores'!$A$2:$A$131,0)),IF(ISNUMBER(INDEX('NCO-2015 scores'!$C$2:$C$131,MATCH(E1162,'NCO-2015 scores'!$A$2:$A$131,0))),1,0),0)</f>
        <v>1</v>
      </c>
    </row>
    <row r="1163" customFormat="false" ht="15" hidden="false" customHeight="false" outlineLevel="0" collapsed="false">
      <c r="A1163" s="2" t="n">
        <v>1161</v>
      </c>
      <c r="B1163" s="2" t="s">
        <v>3652</v>
      </c>
      <c r="C1163" s="2" t="s">
        <v>3653</v>
      </c>
      <c r="D1163" s="2" t="s">
        <v>3654</v>
      </c>
      <c r="E1163" s="2" t="str">
        <f aca="false">LEFT(C1163,3)</f>
        <v>816</v>
      </c>
      <c r="F1163" s="2" t="str">
        <f aca="false">IF(D1163="","",LEFT(D1163,3))</f>
        <v>827</v>
      </c>
      <c r="G1163" s="2" t="str">
        <f aca="false">IF(F1163="","",IF(E1163=F1163,"Yes","No"))</f>
        <v>No</v>
      </c>
      <c r="H1163" s="2" t="n">
        <f aca="false">IF(D1163="",0,1/COUNTIF($D$2:$D$3451,D1163))</f>
        <v>1</v>
      </c>
      <c r="I1163" s="13" t="n">
        <f aca="false">IFERROR(INDEX('NCO-2015 scores'!$C$2:$C$131,MATCH(E1163,'NCO-2015 scores'!$A$2:$A$131,0)),0)</f>
        <v>0.15</v>
      </c>
      <c r="J1163" s="13" t="n">
        <f aca="false">IF(ISNUMBER(MATCH(E1163,'NCO-2015 scores'!$A$2:$A$131,0)),IF(ISNUMBER(INDEX('NCO-2015 scores'!$C$2:$C$131,MATCH(E1163,'NCO-2015 scores'!$A$2:$A$131,0))),1,0),0)</f>
        <v>1</v>
      </c>
    </row>
    <row r="1164" customFormat="false" ht="15" hidden="false" customHeight="false" outlineLevel="0" collapsed="false">
      <c r="A1164" s="2" t="n">
        <v>1162</v>
      </c>
      <c r="B1164" s="2" t="s">
        <v>3655</v>
      </c>
      <c r="C1164" s="2" t="s">
        <v>3656</v>
      </c>
      <c r="D1164" s="2" t="s">
        <v>3657</v>
      </c>
      <c r="E1164" s="2" t="str">
        <f aca="false">LEFT(C1164,3)</f>
        <v>816</v>
      </c>
      <c r="F1164" s="2" t="str">
        <f aca="false">IF(D1164="","",LEFT(D1164,3))</f>
        <v>827</v>
      </c>
      <c r="G1164" s="2" t="str">
        <f aca="false">IF(F1164="","",IF(E1164=F1164,"Yes","No"))</f>
        <v>No</v>
      </c>
      <c r="H1164" s="2" t="n">
        <f aca="false">IF(D1164="",0,1/COUNTIF($D$2:$D$3451,D1164))</f>
        <v>1</v>
      </c>
      <c r="I1164" s="13" t="n">
        <f aca="false">IFERROR(INDEX('NCO-2015 scores'!$C$2:$C$131,MATCH(E1164,'NCO-2015 scores'!$A$2:$A$131,0)),0)</f>
        <v>0.15</v>
      </c>
      <c r="J1164" s="13" t="n">
        <f aca="false">IF(ISNUMBER(MATCH(E1164,'NCO-2015 scores'!$A$2:$A$131,0)),IF(ISNUMBER(INDEX('NCO-2015 scores'!$C$2:$C$131,MATCH(E1164,'NCO-2015 scores'!$A$2:$A$131,0))),1,0),0)</f>
        <v>1</v>
      </c>
    </row>
    <row r="1165" customFormat="false" ht="15" hidden="false" customHeight="false" outlineLevel="0" collapsed="false">
      <c r="A1165" s="2" t="n">
        <v>1163</v>
      </c>
      <c r="B1165" s="2" t="s">
        <v>3658</v>
      </c>
      <c r="C1165" s="2" t="s">
        <v>3659</v>
      </c>
      <c r="D1165" s="2" t="s">
        <v>3660</v>
      </c>
      <c r="E1165" s="2" t="str">
        <f aca="false">LEFT(C1165,3)</f>
        <v>816</v>
      </c>
      <c r="F1165" s="2" t="str">
        <f aca="false">IF(D1165="","",LEFT(D1165,3))</f>
        <v>827</v>
      </c>
      <c r="G1165" s="2" t="str">
        <f aca="false">IF(F1165="","",IF(E1165=F1165,"Yes","No"))</f>
        <v>No</v>
      </c>
      <c r="H1165" s="2" t="n">
        <f aca="false">IF(D1165="",0,1/COUNTIF($D$2:$D$3451,D1165))</f>
        <v>1</v>
      </c>
      <c r="I1165" s="13" t="n">
        <f aca="false">IFERROR(INDEX('NCO-2015 scores'!$C$2:$C$131,MATCH(E1165,'NCO-2015 scores'!$A$2:$A$131,0)),0)</f>
        <v>0.15</v>
      </c>
      <c r="J1165" s="13" t="n">
        <f aca="false">IF(ISNUMBER(MATCH(E1165,'NCO-2015 scores'!$A$2:$A$131,0)),IF(ISNUMBER(INDEX('NCO-2015 scores'!$C$2:$C$131,MATCH(E1165,'NCO-2015 scores'!$A$2:$A$131,0))),1,0),0)</f>
        <v>1</v>
      </c>
    </row>
    <row r="1166" customFormat="false" ht="15" hidden="false" customHeight="false" outlineLevel="0" collapsed="false">
      <c r="A1166" s="2" t="n">
        <v>1164</v>
      </c>
      <c r="B1166" s="2" t="s">
        <v>3661</v>
      </c>
      <c r="C1166" s="2" t="s">
        <v>3662</v>
      </c>
      <c r="D1166" s="2" t="s">
        <v>3663</v>
      </c>
      <c r="E1166" s="2" t="str">
        <f aca="false">LEFT(C1166,3)</f>
        <v>816</v>
      </c>
      <c r="F1166" s="2" t="str">
        <f aca="false">IF(D1166="","",LEFT(D1166,3))</f>
        <v>827</v>
      </c>
      <c r="G1166" s="2" t="str">
        <f aca="false">IF(F1166="","",IF(E1166=F1166,"Yes","No"))</f>
        <v>No</v>
      </c>
      <c r="H1166" s="2" t="n">
        <f aca="false">IF(D1166="",0,1/COUNTIF($D$2:$D$3451,D1166))</f>
        <v>1</v>
      </c>
      <c r="I1166" s="13" t="n">
        <f aca="false">IFERROR(INDEX('NCO-2015 scores'!$C$2:$C$131,MATCH(E1166,'NCO-2015 scores'!$A$2:$A$131,0)),0)</f>
        <v>0.15</v>
      </c>
      <c r="J1166" s="13" t="n">
        <f aca="false">IF(ISNUMBER(MATCH(E1166,'NCO-2015 scores'!$A$2:$A$131,0)),IF(ISNUMBER(INDEX('NCO-2015 scores'!$C$2:$C$131,MATCH(E1166,'NCO-2015 scores'!$A$2:$A$131,0))),1,0),0)</f>
        <v>1</v>
      </c>
    </row>
    <row r="1167" customFormat="false" ht="15" hidden="false" customHeight="false" outlineLevel="0" collapsed="false">
      <c r="A1167" s="2" t="n">
        <v>1165</v>
      </c>
      <c r="B1167" s="2" t="s">
        <v>3664</v>
      </c>
      <c r="C1167" s="2" t="s">
        <v>3665</v>
      </c>
      <c r="D1167" s="2" t="s">
        <v>3666</v>
      </c>
      <c r="E1167" s="2" t="str">
        <f aca="false">LEFT(C1167,3)</f>
        <v>816</v>
      </c>
      <c r="F1167" s="2" t="str">
        <f aca="false">IF(D1167="","",LEFT(D1167,3))</f>
        <v>827</v>
      </c>
      <c r="G1167" s="2" t="str">
        <f aca="false">IF(F1167="","",IF(E1167=F1167,"Yes","No"))</f>
        <v>No</v>
      </c>
      <c r="H1167" s="2" t="n">
        <f aca="false">IF(D1167="",0,1/COUNTIF($D$2:$D$3451,D1167))</f>
        <v>1</v>
      </c>
      <c r="I1167" s="13" t="n">
        <f aca="false">IFERROR(INDEX('NCO-2015 scores'!$C$2:$C$131,MATCH(E1167,'NCO-2015 scores'!$A$2:$A$131,0)),0)</f>
        <v>0.15</v>
      </c>
      <c r="J1167" s="13" t="n">
        <f aca="false">IF(ISNUMBER(MATCH(E1167,'NCO-2015 scores'!$A$2:$A$131,0)),IF(ISNUMBER(INDEX('NCO-2015 scores'!$C$2:$C$131,MATCH(E1167,'NCO-2015 scores'!$A$2:$A$131,0))),1,0),0)</f>
        <v>1</v>
      </c>
    </row>
    <row r="1168" customFormat="false" ht="15" hidden="false" customHeight="false" outlineLevel="0" collapsed="false">
      <c r="A1168" s="2" t="n">
        <v>1166</v>
      </c>
      <c r="B1168" s="2" t="s">
        <v>3667</v>
      </c>
      <c r="C1168" s="2" t="s">
        <v>3668</v>
      </c>
      <c r="D1168" s="2" t="s">
        <v>3669</v>
      </c>
      <c r="E1168" s="2" t="str">
        <f aca="false">LEFT(C1168,3)</f>
        <v>816</v>
      </c>
      <c r="F1168" s="2" t="str">
        <f aca="false">IF(D1168="","",LEFT(D1168,3))</f>
        <v>827</v>
      </c>
      <c r="G1168" s="2" t="str">
        <f aca="false">IF(F1168="","",IF(E1168=F1168,"Yes","No"))</f>
        <v>No</v>
      </c>
      <c r="H1168" s="2" t="n">
        <f aca="false">IF(D1168="",0,1/COUNTIF($D$2:$D$3451,D1168))</f>
        <v>1</v>
      </c>
      <c r="I1168" s="13" t="n">
        <f aca="false">IFERROR(INDEX('NCO-2015 scores'!$C$2:$C$131,MATCH(E1168,'NCO-2015 scores'!$A$2:$A$131,0)),0)</f>
        <v>0.15</v>
      </c>
      <c r="J1168" s="13" t="n">
        <f aca="false">IF(ISNUMBER(MATCH(E1168,'NCO-2015 scores'!$A$2:$A$131,0)),IF(ISNUMBER(INDEX('NCO-2015 scores'!$C$2:$C$131,MATCH(E1168,'NCO-2015 scores'!$A$2:$A$131,0))),1,0),0)</f>
        <v>1</v>
      </c>
    </row>
    <row r="1169" customFormat="false" ht="15" hidden="false" customHeight="false" outlineLevel="0" collapsed="false">
      <c r="A1169" s="2" t="n">
        <v>1167</v>
      </c>
      <c r="B1169" s="2" t="s">
        <v>3670</v>
      </c>
      <c r="C1169" s="2" t="s">
        <v>3671</v>
      </c>
      <c r="D1169" s="2" t="s">
        <v>3672</v>
      </c>
      <c r="E1169" s="2" t="str">
        <f aca="false">LEFT(C1169,3)</f>
        <v>816</v>
      </c>
      <c r="F1169" s="2" t="str">
        <f aca="false">IF(D1169="","",LEFT(D1169,3))</f>
        <v>827</v>
      </c>
      <c r="G1169" s="2" t="str">
        <f aca="false">IF(F1169="","",IF(E1169=F1169,"Yes","No"))</f>
        <v>No</v>
      </c>
      <c r="H1169" s="2" t="n">
        <f aca="false">IF(D1169="",0,1/COUNTIF($D$2:$D$3451,D1169))</f>
        <v>1</v>
      </c>
      <c r="I1169" s="13" t="n">
        <f aca="false">IFERROR(INDEX('NCO-2015 scores'!$C$2:$C$131,MATCH(E1169,'NCO-2015 scores'!$A$2:$A$131,0)),0)</f>
        <v>0.15</v>
      </c>
      <c r="J1169" s="13" t="n">
        <f aca="false">IF(ISNUMBER(MATCH(E1169,'NCO-2015 scores'!$A$2:$A$131,0)),IF(ISNUMBER(INDEX('NCO-2015 scores'!$C$2:$C$131,MATCH(E1169,'NCO-2015 scores'!$A$2:$A$131,0))),1,0),0)</f>
        <v>1</v>
      </c>
    </row>
    <row r="1170" customFormat="false" ht="15" hidden="false" customHeight="false" outlineLevel="0" collapsed="false">
      <c r="A1170" s="2" t="n">
        <v>1168</v>
      </c>
      <c r="B1170" s="2" t="s">
        <v>3673</v>
      </c>
      <c r="C1170" s="2" t="s">
        <v>3674</v>
      </c>
      <c r="D1170" s="2" t="s">
        <v>3675</v>
      </c>
      <c r="E1170" s="2" t="str">
        <f aca="false">LEFT(C1170,3)</f>
        <v>816</v>
      </c>
      <c r="F1170" s="2" t="str">
        <f aca="false">IF(D1170="","",LEFT(D1170,3))</f>
        <v>827</v>
      </c>
      <c r="G1170" s="2" t="str">
        <f aca="false">IF(F1170="","",IF(E1170=F1170,"Yes","No"))</f>
        <v>No</v>
      </c>
      <c r="H1170" s="2" t="n">
        <f aca="false">IF(D1170="",0,1/COUNTIF($D$2:$D$3451,D1170))</f>
        <v>1</v>
      </c>
      <c r="I1170" s="13" t="n">
        <f aca="false">IFERROR(INDEX('NCO-2015 scores'!$C$2:$C$131,MATCH(E1170,'NCO-2015 scores'!$A$2:$A$131,0)),0)</f>
        <v>0.15</v>
      </c>
      <c r="J1170" s="13" t="n">
        <f aca="false">IF(ISNUMBER(MATCH(E1170,'NCO-2015 scores'!$A$2:$A$131,0)),IF(ISNUMBER(INDEX('NCO-2015 scores'!$C$2:$C$131,MATCH(E1170,'NCO-2015 scores'!$A$2:$A$131,0))),1,0),0)</f>
        <v>1</v>
      </c>
    </row>
    <row r="1171" customFormat="false" ht="15" hidden="false" customHeight="false" outlineLevel="0" collapsed="false">
      <c r="A1171" s="2" t="n">
        <v>1169</v>
      </c>
      <c r="B1171" s="2" t="s">
        <v>3676</v>
      </c>
      <c r="C1171" s="2" t="s">
        <v>3677</v>
      </c>
      <c r="D1171" s="2" t="s">
        <v>3678</v>
      </c>
      <c r="E1171" s="2" t="str">
        <f aca="false">LEFT(C1171,3)</f>
        <v>816</v>
      </c>
      <c r="F1171" s="2" t="str">
        <f aca="false">IF(D1171="","",LEFT(D1171,3))</f>
        <v>827</v>
      </c>
      <c r="G1171" s="2" t="str">
        <f aca="false">IF(F1171="","",IF(E1171=F1171,"Yes","No"))</f>
        <v>No</v>
      </c>
      <c r="H1171" s="2" t="n">
        <f aca="false">IF(D1171="",0,1/COUNTIF($D$2:$D$3451,D1171))</f>
        <v>1</v>
      </c>
      <c r="I1171" s="13" t="n">
        <f aca="false">IFERROR(INDEX('NCO-2015 scores'!$C$2:$C$131,MATCH(E1171,'NCO-2015 scores'!$A$2:$A$131,0)),0)</f>
        <v>0.15</v>
      </c>
      <c r="J1171" s="13" t="n">
        <f aca="false">IF(ISNUMBER(MATCH(E1171,'NCO-2015 scores'!$A$2:$A$131,0)),IF(ISNUMBER(INDEX('NCO-2015 scores'!$C$2:$C$131,MATCH(E1171,'NCO-2015 scores'!$A$2:$A$131,0))),1,0),0)</f>
        <v>1</v>
      </c>
    </row>
    <row r="1172" customFormat="false" ht="15" hidden="false" customHeight="false" outlineLevel="0" collapsed="false">
      <c r="A1172" s="2" t="n">
        <v>1170</v>
      </c>
      <c r="B1172" s="2" t="s">
        <v>3679</v>
      </c>
      <c r="C1172" s="2" t="s">
        <v>3680</v>
      </c>
      <c r="D1172" s="2" t="s">
        <v>3681</v>
      </c>
      <c r="E1172" s="2" t="str">
        <f aca="false">LEFT(C1172,3)</f>
        <v>816</v>
      </c>
      <c r="F1172" s="2" t="str">
        <f aca="false">IF(D1172="","",LEFT(D1172,3))</f>
        <v>827</v>
      </c>
      <c r="G1172" s="2" t="str">
        <f aca="false">IF(F1172="","",IF(E1172=F1172,"Yes","No"))</f>
        <v>No</v>
      </c>
      <c r="H1172" s="2" t="n">
        <f aca="false">IF(D1172="",0,1/COUNTIF($D$2:$D$3451,D1172))</f>
        <v>1</v>
      </c>
      <c r="I1172" s="13" t="n">
        <f aca="false">IFERROR(INDEX('NCO-2015 scores'!$C$2:$C$131,MATCH(E1172,'NCO-2015 scores'!$A$2:$A$131,0)),0)</f>
        <v>0.15</v>
      </c>
      <c r="J1172" s="13" t="n">
        <f aca="false">IF(ISNUMBER(MATCH(E1172,'NCO-2015 scores'!$A$2:$A$131,0)),IF(ISNUMBER(INDEX('NCO-2015 scores'!$C$2:$C$131,MATCH(E1172,'NCO-2015 scores'!$A$2:$A$131,0))),1,0),0)</f>
        <v>1</v>
      </c>
    </row>
    <row r="1173" customFormat="false" ht="15" hidden="false" customHeight="false" outlineLevel="0" collapsed="false">
      <c r="A1173" s="2" t="n">
        <v>1171</v>
      </c>
      <c r="B1173" s="2" t="s">
        <v>3682</v>
      </c>
      <c r="C1173" s="2" t="s">
        <v>3683</v>
      </c>
      <c r="D1173" s="2" t="s">
        <v>3684</v>
      </c>
      <c r="E1173" s="2" t="str">
        <f aca="false">LEFT(C1173,3)</f>
        <v>816</v>
      </c>
      <c r="F1173" s="2" t="str">
        <f aca="false">IF(D1173="","",LEFT(D1173,3))</f>
        <v>827</v>
      </c>
      <c r="G1173" s="2" t="str">
        <f aca="false">IF(F1173="","",IF(E1173=F1173,"Yes","No"))</f>
        <v>No</v>
      </c>
      <c r="H1173" s="2" t="n">
        <f aca="false">IF(D1173="",0,1/COUNTIF($D$2:$D$3451,D1173))</f>
        <v>1</v>
      </c>
      <c r="I1173" s="13" t="n">
        <f aca="false">IFERROR(INDEX('NCO-2015 scores'!$C$2:$C$131,MATCH(E1173,'NCO-2015 scores'!$A$2:$A$131,0)),0)</f>
        <v>0.15</v>
      </c>
      <c r="J1173" s="13" t="n">
        <f aca="false">IF(ISNUMBER(MATCH(E1173,'NCO-2015 scores'!$A$2:$A$131,0)),IF(ISNUMBER(INDEX('NCO-2015 scores'!$C$2:$C$131,MATCH(E1173,'NCO-2015 scores'!$A$2:$A$131,0))),1,0),0)</f>
        <v>1</v>
      </c>
    </row>
    <row r="1174" customFormat="false" ht="15" hidden="false" customHeight="false" outlineLevel="0" collapsed="false">
      <c r="A1174" s="2" t="n">
        <v>1172</v>
      </c>
      <c r="B1174" s="2" t="s">
        <v>3685</v>
      </c>
      <c r="C1174" s="2" t="s">
        <v>3686</v>
      </c>
      <c r="D1174" s="2" t="s">
        <v>3687</v>
      </c>
      <c r="E1174" s="2" t="str">
        <f aca="false">LEFT(C1174,3)</f>
        <v>816</v>
      </c>
      <c r="F1174" s="2" t="str">
        <f aca="false">IF(D1174="","",LEFT(D1174,3))</f>
        <v>827</v>
      </c>
      <c r="G1174" s="2" t="str">
        <f aca="false">IF(F1174="","",IF(E1174=F1174,"Yes","No"))</f>
        <v>No</v>
      </c>
      <c r="H1174" s="2" t="n">
        <f aca="false">IF(D1174="",0,1/COUNTIF($D$2:$D$3451,D1174))</f>
        <v>1</v>
      </c>
      <c r="I1174" s="13" t="n">
        <f aca="false">IFERROR(INDEX('NCO-2015 scores'!$C$2:$C$131,MATCH(E1174,'NCO-2015 scores'!$A$2:$A$131,0)),0)</f>
        <v>0.15</v>
      </c>
      <c r="J1174" s="13" t="n">
        <f aca="false">IF(ISNUMBER(MATCH(E1174,'NCO-2015 scores'!$A$2:$A$131,0)),IF(ISNUMBER(INDEX('NCO-2015 scores'!$C$2:$C$131,MATCH(E1174,'NCO-2015 scores'!$A$2:$A$131,0))),1,0),0)</f>
        <v>1</v>
      </c>
    </row>
    <row r="1175" customFormat="false" ht="15" hidden="false" customHeight="false" outlineLevel="0" collapsed="false">
      <c r="A1175" s="2" t="n">
        <v>1173</v>
      </c>
      <c r="B1175" s="2" t="s">
        <v>3688</v>
      </c>
      <c r="C1175" s="2" t="s">
        <v>3689</v>
      </c>
      <c r="D1175" s="2" t="s">
        <v>3690</v>
      </c>
      <c r="E1175" s="2" t="str">
        <f aca="false">LEFT(C1175,3)</f>
        <v>816</v>
      </c>
      <c r="F1175" s="2" t="str">
        <f aca="false">IF(D1175="","",LEFT(D1175,3))</f>
        <v>827</v>
      </c>
      <c r="G1175" s="2" t="str">
        <f aca="false">IF(F1175="","",IF(E1175=F1175,"Yes","No"))</f>
        <v>No</v>
      </c>
      <c r="H1175" s="2" t="n">
        <f aca="false">IF(D1175="",0,1/COUNTIF($D$2:$D$3451,D1175))</f>
        <v>1</v>
      </c>
      <c r="I1175" s="13" t="n">
        <f aca="false">IFERROR(INDEX('NCO-2015 scores'!$C$2:$C$131,MATCH(E1175,'NCO-2015 scores'!$A$2:$A$131,0)),0)</f>
        <v>0.15</v>
      </c>
      <c r="J1175" s="13" t="n">
        <f aca="false">IF(ISNUMBER(MATCH(E1175,'NCO-2015 scores'!$A$2:$A$131,0)),IF(ISNUMBER(INDEX('NCO-2015 scores'!$C$2:$C$131,MATCH(E1175,'NCO-2015 scores'!$A$2:$A$131,0))),1,0),0)</f>
        <v>1</v>
      </c>
    </row>
    <row r="1176" customFormat="false" ht="15" hidden="false" customHeight="false" outlineLevel="0" collapsed="false">
      <c r="A1176" s="2" t="n">
        <v>1174</v>
      </c>
      <c r="B1176" s="2" t="s">
        <v>3691</v>
      </c>
      <c r="C1176" s="2" t="s">
        <v>3692</v>
      </c>
      <c r="D1176" s="2" t="s">
        <v>3693</v>
      </c>
      <c r="E1176" s="2" t="str">
        <f aca="false">LEFT(C1176,3)</f>
        <v>816</v>
      </c>
      <c r="F1176" s="2" t="str">
        <f aca="false">IF(D1176="","",LEFT(D1176,3))</f>
        <v>827</v>
      </c>
      <c r="G1176" s="2" t="str">
        <f aca="false">IF(F1176="","",IF(E1176=F1176,"Yes","No"))</f>
        <v>No</v>
      </c>
      <c r="H1176" s="2" t="n">
        <f aca="false">IF(D1176="",0,1/COUNTIF($D$2:$D$3451,D1176))</f>
        <v>1</v>
      </c>
      <c r="I1176" s="13" t="n">
        <f aca="false">IFERROR(INDEX('NCO-2015 scores'!$C$2:$C$131,MATCH(E1176,'NCO-2015 scores'!$A$2:$A$131,0)),0)</f>
        <v>0.15</v>
      </c>
      <c r="J1176" s="13" t="n">
        <f aca="false">IF(ISNUMBER(MATCH(E1176,'NCO-2015 scores'!$A$2:$A$131,0)),IF(ISNUMBER(INDEX('NCO-2015 scores'!$C$2:$C$131,MATCH(E1176,'NCO-2015 scores'!$A$2:$A$131,0))),1,0),0)</f>
        <v>1</v>
      </c>
    </row>
    <row r="1177" customFormat="false" ht="15" hidden="false" customHeight="false" outlineLevel="0" collapsed="false">
      <c r="A1177" s="2" t="n">
        <v>1175</v>
      </c>
      <c r="B1177" s="2" t="s">
        <v>3694</v>
      </c>
      <c r="C1177" s="2" t="s">
        <v>3695</v>
      </c>
      <c r="D1177" s="2" t="s">
        <v>3696</v>
      </c>
      <c r="E1177" s="2" t="str">
        <f aca="false">LEFT(C1177,3)</f>
        <v>816</v>
      </c>
      <c r="F1177" s="2" t="str">
        <f aca="false">IF(D1177="","",LEFT(D1177,3))</f>
        <v>827</v>
      </c>
      <c r="G1177" s="2" t="str">
        <f aca="false">IF(F1177="","",IF(E1177=F1177,"Yes","No"))</f>
        <v>No</v>
      </c>
      <c r="H1177" s="2" t="n">
        <f aca="false">IF(D1177="",0,1/COUNTIF($D$2:$D$3451,D1177))</f>
        <v>1</v>
      </c>
      <c r="I1177" s="13" t="n">
        <f aca="false">IFERROR(INDEX('NCO-2015 scores'!$C$2:$C$131,MATCH(E1177,'NCO-2015 scores'!$A$2:$A$131,0)),0)</f>
        <v>0.15</v>
      </c>
      <c r="J1177" s="13" t="n">
        <f aca="false">IF(ISNUMBER(MATCH(E1177,'NCO-2015 scores'!$A$2:$A$131,0)),IF(ISNUMBER(INDEX('NCO-2015 scores'!$C$2:$C$131,MATCH(E1177,'NCO-2015 scores'!$A$2:$A$131,0))),1,0),0)</f>
        <v>1</v>
      </c>
    </row>
    <row r="1178" customFormat="false" ht="15" hidden="false" customHeight="false" outlineLevel="0" collapsed="false">
      <c r="A1178" s="2" t="n">
        <v>1176</v>
      </c>
      <c r="B1178" s="2" t="s">
        <v>3697</v>
      </c>
      <c r="C1178" s="2" t="s">
        <v>3698</v>
      </c>
      <c r="D1178" s="2" t="s">
        <v>3699</v>
      </c>
      <c r="E1178" s="2" t="str">
        <f aca="false">LEFT(C1178,3)</f>
        <v>816</v>
      </c>
      <c r="F1178" s="2" t="str">
        <f aca="false">IF(D1178="","",LEFT(D1178,3))</f>
        <v>827</v>
      </c>
      <c r="G1178" s="2" t="str">
        <f aca="false">IF(F1178="","",IF(E1178=F1178,"Yes","No"))</f>
        <v>No</v>
      </c>
      <c r="H1178" s="2" t="n">
        <f aca="false">IF(D1178="",0,1/COUNTIF($D$2:$D$3451,D1178))</f>
        <v>1</v>
      </c>
      <c r="I1178" s="13" t="n">
        <f aca="false">IFERROR(INDEX('NCO-2015 scores'!$C$2:$C$131,MATCH(E1178,'NCO-2015 scores'!$A$2:$A$131,0)),0)</f>
        <v>0.15</v>
      </c>
      <c r="J1178" s="13" t="n">
        <f aca="false">IF(ISNUMBER(MATCH(E1178,'NCO-2015 scores'!$A$2:$A$131,0)),IF(ISNUMBER(INDEX('NCO-2015 scores'!$C$2:$C$131,MATCH(E1178,'NCO-2015 scores'!$A$2:$A$131,0))),1,0),0)</f>
        <v>1</v>
      </c>
    </row>
    <row r="1179" customFormat="false" ht="15" hidden="false" customHeight="false" outlineLevel="0" collapsed="false">
      <c r="A1179" s="2" t="n">
        <v>1177</v>
      </c>
      <c r="B1179" s="2" t="s">
        <v>3700</v>
      </c>
      <c r="C1179" s="2" t="s">
        <v>3701</v>
      </c>
      <c r="D1179" s="2" t="s">
        <v>3702</v>
      </c>
      <c r="E1179" s="2" t="str">
        <f aca="false">LEFT(C1179,3)</f>
        <v>816</v>
      </c>
      <c r="F1179" s="2" t="str">
        <f aca="false">IF(D1179="","",LEFT(D1179,3))</f>
        <v>827</v>
      </c>
      <c r="G1179" s="2" t="str">
        <f aca="false">IF(F1179="","",IF(E1179=F1179,"Yes","No"))</f>
        <v>No</v>
      </c>
      <c r="H1179" s="2" t="n">
        <f aca="false">IF(D1179="",0,1/COUNTIF($D$2:$D$3451,D1179))</f>
        <v>1</v>
      </c>
      <c r="I1179" s="13" t="n">
        <f aca="false">IFERROR(INDEX('NCO-2015 scores'!$C$2:$C$131,MATCH(E1179,'NCO-2015 scores'!$A$2:$A$131,0)),0)</f>
        <v>0.15</v>
      </c>
      <c r="J1179" s="13" t="n">
        <f aca="false">IF(ISNUMBER(MATCH(E1179,'NCO-2015 scores'!$A$2:$A$131,0)),IF(ISNUMBER(INDEX('NCO-2015 scores'!$C$2:$C$131,MATCH(E1179,'NCO-2015 scores'!$A$2:$A$131,0))),1,0),0)</f>
        <v>1</v>
      </c>
    </row>
    <row r="1180" customFormat="false" ht="15" hidden="false" customHeight="false" outlineLevel="0" collapsed="false">
      <c r="A1180" s="2" t="n">
        <v>1178</v>
      </c>
      <c r="B1180" s="2" t="s">
        <v>3703</v>
      </c>
      <c r="C1180" s="2" t="s">
        <v>3704</v>
      </c>
      <c r="D1180" s="2" t="s">
        <v>3705</v>
      </c>
      <c r="E1180" s="2" t="str">
        <f aca="false">LEFT(C1180,3)</f>
        <v>816</v>
      </c>
      <c r="F1180" s="2" t="str">
        <f aca="false">IF(D1180="","",LEFT(D1180,3))</f>
        <v>827</v>
      </c>
      <c r="G1180" s="2" t="str">
        <f aca="false">IF(F1180="","",IF(E1180=F1180,"Yes","No"))</f>
        <v>No</v>
      </c>
      <c r="H1180" s="2" t="n">
        <f aca="false">IF(D1180="",0,1/COUNTIF($D$2:$D$3451,D1180))</f>
        <v>1</v>
      </c>
      <c r="I1180" s="13" t="n">
        <f aca="false">IFERROR(INDEX('NCO-2015 scores'!$C$2:$C$131,MATCH(E1180,'NCO-2015 scores'!$A$2:$A$131,0)),0)</f>
        <v>0.15</v>
      </c>
      <c r="J1180" s="13" t="n">
        <f aca="false">IF(ISNUMBER(MATCH(E1180,'NCO-2015 scores'!$A$2:$A$131,0)),IF(ISNUMBER(INDEX('NCO-2015 scores'!$C$2:$C$131,MATCH(E1180,'NCO-2015 scores'!$A$2:$A$131,0))),1,0),0)</f>
        <v>1</v>
      </c>
    </row>
    <row r="1181" customFormat="false" ht="15" hidden="false" customHeight="false" outlineLevel="0" collapsed="false">
      <c r="A1181" s="2" t="n">
        <v>1179</v>
      </c>
      <c r="B1181" s="2" t="s">
        <v>3706</v>
      </c>
      <c r="C1181" s="2" t="s">
        <v>3707</v>
      </c>
      <c r="D1181" s="2"/>
      <c r="E1181" s="2" t="str">
        <f aca="false">LEFT(C1181,3)</f>
        <v>816</v>
      </c>
      <c r="F1181" s="2" t="str">
        <f aca="false">IF(D1181="","",LEFT(D1181,3))</f>
        <v/>
      </c>
      <c r="G1181" s="2" t="str">
        <f aca="false">IF(F1181="","",IF(E1181=F1181,"Yes","No"))</f>
        <v/>
      </c>
      <c r="H1181" s="2" t="n">
        <f aca="false">IF(D1181="",0,1/COUNTIF($D$2:$D$3451,D1181))</f>
        <v>0</v>
      </c>
      <c r="I1181" s="13" t="n">
        <f aca="false">IFERROR(INDEX('NCO-2015 scores'!$C$2:$C$131,MATCH(E1181,'NCO-2015 scores'!$A$2:$A$131,0)),0)</f>
        <v>0.15</v>
      </c>
      <c r="J1181" s="13" t="n">
        <f aca="false">IF(ISNUMBER(MATCH(E1181,'NCO-2015 scores'!$A$2:$A$131,0)),IF(ISNUMBER(INDEX('NCO-2015 scores'!$C$2:$C$131,MATCH(E1181,'NCO-2015 scores'!$A$2:$A$131,0))),1,0),0)</f>
        <v>1</v>
      </c>
    </row>
    <row r="1182" customFormat="false" ht="15" hidden="false" customHeight="false" outlineLevel="0" collapsed="false">
      <c r="A1182" s="2" t="n">
        <v>1180</v>
      </c>
      <c r="B1182" s="2" t="s">
        <v>3708</v>
      </c>
      <c r="C1182" s="2" t="s">
        <v>3709</v>
      </c>
      <c r="D1182" s="2" t="s">
        <v>3710</v>
      </c>
      <c r="E1182" s="2" t="str">
        <f aca="false">LEFT(C1182,3)</f>
        <v>816</v>
      </c>
      <c r="F1182" s="2" t="str">
        <f aca="false">IF(D1182="","",LEFT(D1182,3))</f>
        <v>827</v>
      </c>
      <c r="G1182" s="2" t="str">
        <f aca="false">IF(F1182="","",IF(E1182=F1182,"Yes","No"))</f>
        <v>No</v>
      </c>
      <c r="H1182" s="2" t="n">
        <f aca="false">IF(D1182="",0,1/COUNTIF($D$2:$D$3451,D1182))</f>
        <v>1</v>
      </c>
      <c r="I1182" s="13" t="n">
        <f aca="false">IFERROR(INDEX('NCO-2015 scores'!$C$2:$C$131,MATCH(E1182,'NCO-2015 scores'!$A$2:$A$131,0)),0)</f>
        <v>0.15</v>
      </c>
      <c r="J1182" s="13" t="n">
        <f aca="false">IF(ISNUMBER(MATCH(E1182,'NCO-2015 scores'!$A$2:$A$131,0)),IF(ISNUMBER(INDEX('NCO-2015 scores'!$C$2:$C$131,MATCH(E1182,'NCO-2015 scores'!$A$2:$A$131,0))),1,0),0)</f>
        <v>1</v>
      </c>
    </row>
    <row r="1183" customFormat="false" ht="15" hidden="false" customHeight="false" outlineLevel="0" collapsed="false">
      <c r="A1183" s="2" t="n">
        <v>1181</v>
      </c>
      <c r="B1183" s="2" t="s">
        <v>3628</v>
      </c>
      <c r="C1183" s="2" t="s">
        <v>3629</v>
      </c>
      <c r="D1183" s="2" t="s">
        <v>3630</v>
      </c>
      <c r="E1183" s="2" t="str">
        <f aca="false">LEFT(C1183,3)</f>
        <v>816</v>
      </c>
      <c r="F1183" s="2" t="str">
        <f aca="false">IF(D1183="","",LEFT(D1183,3))</f>
        <v>827</v>
      </c>
      <c r="G1183" s="2" t="str">
        <f aca="false">IF(F1183="","",IF(E1183=F1183,"Yes","No"))</f>
        <v>No</v>
      </c>
      <c r="H1183" s="2" t="n">
        <f aca="false">IF(D1183="",0,1/COUNTIF($D$2:$D$3451,D1183))</f>
        <v>0.5</v>
      </c>
      <c r="I1183" s="13" t="n">
        <f aca="false">IFERROR(INDEX('NCO-2015 scores'!$C$2:$C$131,MATCH(E1183,'NCO-2015 scores'!$A$2:$A$131,0)),0)</f>
        <v>0.15</v>
      </c>
      <c r="J1183" s="13" t="n">
        <f aca="false">IF(ISNUMBER(MATCH(E1183,'NCO-2015 scores'!$A$2:$A$131,0)),IF(ISNUMBER(INDEX('NCO-2015 scores'!$C$2:$C$131,MATCH(E1183,'NCO-2015 scores'!$A$2:$A$131,0))),1,0),0)</f>
        <v>1</v>
      </c>
    </row>
    <row r="1184" customFormat="false" ht="15" hidden="false" customHeight="false" outlineLevel="0" collapsed="false">
      <c r="A1184" s="2" t="n">
        <v>1182</v>
      </c>
      <c r="B1184" s="2" t="s">
        <v>3711</v>
      </c>
      <c r="C1184" s="2" t="s">
        <v>3712</v>
      </c>
      <c r="D1184" s="2" t="s">
        <v>3713</v>
      </c>
      <c r="E1184" s="2" t="str">
        <f aca="false">LEFT(C1184,3)</f>
        <v>621</v>
      </c>
      <c r="F1184" s="2" t="str">
        <f aca="false">IF(D1184="","",LEFT(D1184,3))</f>
        <v>614</v>
      </c>
      <c r="G1184" s="2" t="str">
        <f aca="false">IF(F1184="","",IF(E1184=F1184,"Yes","No"))</f>
        <v>No</v>
      </c>
      <c r="H1184" s="2" t="n">
        <f aca="false">IF(D1184="",0,1/COUNTIF($D$2:$D$3451,D1184))</f>
        <v>1</v>
      </c>
      <c r="I1184" s="13" t="n">
        <f aca="false">IFERROR(INDEX('NCO-2015 scores'!$C$2:$C$131,MATCH(E1184,'NCO-2015 scores'!$A$2:$A$131,0)),0)</f>
        <v>0.12</v>
      </c>
      <c r="J1184" s="13" t="n">
        <f aca="false">IF(ISNUMBER(MATCH(E1184,'NCO-2015 scores'!$A$2:$A$131,0)),IF(ISNUMBER(INDEX('NCO-2015 scores'!$C$2:$C$131,MATCH(E1184,'NCO-2015 scores'!$A$2:$A$131,0))),1,0),0)</f>
        <v>1</v>
      </c>
    </row>
    <row r="1185" customFormat="false" ht="15" hidden="false" customHeight="false" outlineLevel="0" collapsed="false">
      <c r="A1185" s="2" t="n">
        <v>1183</v>
      </c>
      <c r="B1185" s="2" t="s">
        <v>3714</v>
      </c>
      <c r="C1185" s="2" t="s">
        <v>3715</v>
      </c>
      <c r="D1185" s="2" t="s">
        <v>3716</v>
      </c>
      <c r="E1185" s="2" t="str">
        <f aca="false">LEFT(C1185,3)</f>
        <v>621</v>
      </c>
      <c r="F1185" s="2" t="str">
        <f aca="false">IF(D1185="","",LEFT(D1185,3))</f>
        <v>614</v>
      </c>
      <c r="G1185" s="2" t="str">
        <f aca="false">IF(F1185="","",IF(E1185=F1185,"Yes","No"))</f>
        <v>No</v>
      </c>
      <c r="H1185" s="2" t="n">
        <f aca="false">IF(D1185="",0,1/COUNTIF($D$2:$D$3451,D1185))</f>
        <v>1</v>
      </c>
      <c r="I1185" s="13" t="n">
        <f aca="false">IFERROR(INDEX('NCO-2015 scores'!$C$2:$C$131,MATCH(E1185,'NCO-2015 scores'!$A$2:$A$131,0)),0)</f>
        <v>0.12</v>
      </c>
      <c r="J1185" s="13" t="n">
        <f aca="false">IF(ISNUMBER(MATCH(E1185,'NCO-2015 scores'!$A$2:$A$131,0)),IF(ISNUMBER(INDEX('NCO-2015 scores'!$C$2:$C$131,MATCH(E1185,'NCO-2015 scores'!$A$2:$A$131,0))),1,0),0)</f>
        <v>1</v>
      </c>
    </row>
    <row r="1186" customFormat="false" ht="15" hidden="false" customHeight="false" outlineLevel="0" collapsed="false">
      <c r="A1186" s="2" t="n">
        <v>1184</v>
      </c>
      <c r="B1186" s="2" t="s">
        <v>3717</v>
      </c>
      <c r="C1186" s="2" t="s">
        <v>3718</v>
      </c>
      <c r="D1186" s="2" t="s">
        <v>3719</v>
      </c>
      <c r="E1186" s="2" t="str">
        <f aca="false">LEFT(C1186,3)</f>
        <v>621</v>
      </c>
      <c r="F1186" s="2" t="str">
        <f aca="false">IF(D1186="","",LEFT(D1186,3))</f>
        <v>614</v>
      </c>
      <c r="G1186" s="2" t="str">
        <f aca="false">IF(F1186="","",IF(E1186=F1186,"Yes","No"))</f>
        <v>No</v>
      </c>
      <c r="H1186" s="2" t="n">
        <f aca="false">IF(D1186="",0,1/COUNTIF($D$2:$D$3451,D1186))</f>
        <v>1</v>
      </c>
      <c r="I1186" s="13" t="n">
        <f aca="false">IFERROR(INDEX('NCO-2015 scores'!$C$2:$C$131,MATCH(E1186,'NCO-2015 scores'!$A$2:$A$131,0)),0)</f>
        <v>0.12</v>
      </c>
      <c r="J1186" s="13" t="n">
        <f aca="false">IF(ISNUMBER(MATCH(E1186,'NCO-2015 scores'!$A$2:$A$131,0)),IF(ISNUMBER(INDEX('NCO-2015 scores'!$C$2:$C$131,MATCH(E1186,'NCO-2015 scores'!$A$2:$A$131,0))),1,0),0)</f>
        <v>1</v>
      </c>
    </row>
    <row r="1187" customFormat="false" ht="15" hidden="false" customHeight="false" outlineLevel="0" collapsed="false">
      <c r="A1187" s="2" t="n">
        <v>1185</v>
      </c>
      <c r="B1187" s="2" t="s">
        <v>3720</v>
      </c>
      <c r="C1187" s="2" t="s">
        <v>3721</v>
      </c>
      <c r="D1187" s="2" t="s">
        <v>3722</v>
      </c>
      <c r="E1187" s="2" t="str">
        <f aca="false">LEFT(C1187,3)</f>
        <v>621</v>
      </c>
      <c r="F1187" s="2" t="str">
        <f aca="false">IF(D1187="","",LEFT(D1187,3))</f>
        <v>614</v>
      </c>
      <c r="G1187" s="2" t="str">
        <f aca="false">IF(F1187="","",IF(E1187=F1187,"Yes","No"))</f>
        <v>No</v>
      </c>
      <c r="H1187" s="2" t="n">
        <f aca="false">IF(D1187="",0,1/COUNTIF($D$2:$D$3451,D1187))</f>
        <v>1</v>
      </c>
      <c r="I1187" s="13" t="n">
        <f aca="false">IFERROR(INDEX('NCO-2015 scores'!$C$2:$C$131,MATCH(E1187,'NCO-2015 scores'!$A$2:$A$131,0)),0)</f>
        <v>0.12</v>
      </c>
      <c r="J1187" s="13" t="n">
        <f aca="false">IF(ISNUMBER(MATCH(E1187,'NCO-2015 scores'!$A$2:$A$131,0)),IF(ISNUMBER(INDEX('NCO-2015 scores'!$C$2:$C$131,MATCH(E1187,'NCO-2015 scores'!$A$2:$A$131,0))),1,0),0)</f>
        <v>1</v>
      </c>
    </row>
    <row r="1188" customFormat="false" ht="15" hidden="false" customHeight="false" outlineLevel="0" collapsed="false">
      <c r="A1188" s="2" t="n">
        <v>1186</v>
      </c>
      <c r="B1188" s="2" t="s">
        <v>3723</v>
      </c>
      <c r="C1188" s="2" t="s">
        <v>3724</v>
      </c>
      <c r="D1188" s="2" t="s">
        <v>3725</v>
      </c>
      <c r="E1188" s="2" t="str">
        <f aca="false">LEFT(C1188,3)</f>
        <v>621</v>
      </c>
      <c r="F1188" s="2" t="str">
        <f aca="false">IF(D1188="","",LEFT(D1188,3))</f>
        <v>614</v>
      </c>
      <c r="G1188" s="2" t="str">
        <f aca="false">IF(F1188="","",IF(E1188=F1188,"Yes","No"))</f>
        <v>No</v>
      </c>
      <c r="H1188" s="2" t="n">
        <f aca="false">IF(D1188="",0,1/COUNTIF($D$2:$D$3451,D1188))</f>
        <v>1</v>
      </c>
      <c r="I1188" s="13" t="n">
        <f aca="false">IFERROR(INDEX('NCO-2015 scores'!$C$2:$C$131,MATCH(E1188,'NCO-2015 scores'!$A$2:$A$131,0)),0)</f>
        <v>0.12</v>
      </c>
      <c r="J1188" s="13" t="n">
        <f aca="false">IF(ISNUMBER(MATCH(E1188,'NCO-2015 scores'!$A$2:$A$131,0)),IF(ISNUMBER(INDEX('NCO-2015 scores'!$C$2:$C$131,MATCH(E1188,'NCO-2015 scores'!$A$2:$A$131,0))),1,0),0)</f>
        <v>1</v>
      </c>
    </row>
    <row r="1189" customFormat="false" ht="15" hidden="false" customHeight="false" outlineLevel="0" collapsed="false">
      <c r="A1189" s="2" t="n">
        <v>1187</v>
      </c>
      <c r="B1189" s="2" t="s">
        <v>3726</v>
      </c>
      <c r="C1189" s="2" t="s">
        <v>3727</v>
      </c>
      <c r="D1189" s="2" t="s">
        <v>3728</v>
      </c>
      <c r="E1189" s="2" t="str">
        <f aca="false">LEFT(C1189,3)</f>
        <v>621</v>
      </c>
      <c r="F1189" s="2" t="str">
        <f aca="false">IF(D1189="","",LEFT(D1189,3))</f>
        <v>614</v>
      </c>
      <c r="G1189" s="2" t="str">
        <f aca="false">IF(F1189="","",IF(E1189=F1189,"Yes","No"))</f>
        <v>No</v>
      </c>
      <c r="H1189" s="2" t="n">
        <f aca="false">IF(D1189="",0,1/COUNTIF($D$2:$D$3451,D1189))</f>
        <v>1</v>
      </c>
      <c r="I1189" s="13" t="n">
        <f aca="false">IFERROR(INDEX('NCO-2015 scores'!$C$2:$C$131,MATCH(E1189,'NCO-2015 scores'!$A$2:$A$131,0)),0)</f>
        <v>0.12</v>
      </c>
      <c r="J1189" s="13" t="n">
        <f aca="false">IF(ISNUMBER(MATCH(E1189,'NCO-2015 scores'!$A$2:$A$131,0)),IF(ISNUMBER(INDEX('NCO-2015 scores'!$C$2:$C$131,MATCH(E1189,'NCO-2015 scores'!$A$2:$A$131,0))),1,0),0)</f>
        <v>1</v>
      </c>
    </row>
    <row r="1190" customFormat="false" ht="15" hidden="false" customHeight="false" outlineLevel="0" collapsed="false">
      <c r="A1190" s="2" t="n">
        <v>1188</v>
      </c>
      <c r="B1190" s="2" t="s">
        <v>3729</v>
      </c>
      <c r="C1190" s="2" t="s">
        <v>3730</v>
      </c>
      <c r="D1190" s="2" t="s">
        <v>3731</v>
      </c>
      <c r="E1190" s="2" t="str">
        <f aca="false">LEFT(C1190,3)</f>
        <v>621</v>
      </c>
      <c r="F1190" s="2" t="str">
        <f aca="false">IF(D1190="","",LEFT(D1190,3))</f>
        <v>614</v>
      </c>
      <c r="G1190" s="2" t="str">
        <f aca="false">IF(F1190="","",IF(E1190=F1190,"Yes","No"))</f>
        <v>No</v>
      </c>
      <c r="H1190" s="2" t="n">
        <f aca="false">IF(D1190="",0,1/COUNTIF($D$2:$D$3451,D1190))</f>
        <v>1</v>
      </c>
      <c r="I1190" s="13" t="n">
        <f aca="false">IFERROR(INDEX('NCO-2015 scores'!$C$2:$C$131,MATCH(E1190,'NCO-2015 scores'!$A$2:$A$131,0)),0)</f>
        <v>0.12</v>
      </c>
      <c r="J1190" s="13" t="n">
        <f aca="false">IF(ISNUMBER(MATCH(E1190,'NCO-2015 scores'!$A$2:$A$131,0)),IF(ISNUMBER(INDEX('NCO-2015 scores'!$C$2:$C$131,MATCH(E1190,'NCO-2015 scores'!$A$2:$A$131,0))),1,0),0)</f>
        <v>1</v>
      </c>
    </row>
    <row r="1191" customFormat="false" ht="15" hidden="false" customHeight="false" outlineLevel="0" collapsed="false">
      <c r="A1191" s="2" t="n">
        <v>1189</v>
      </c>
      <c r="B1191" s="2" t="s">
        <v>3732</v>
      </c>
      <c r="C1191" s="2" t="s">
        <v>3733</v>
      </c>
      <c r="D1191" s="2" t="s">
        <v>3734</v>
      </c>
      <c r="E1191" s="2" t="str">
        <f aca="false">LEFT(C1191,3)</f>
        <v>621</v>
      </c>
      <c r="F1191" s="2" t="str">
        <f aca="false">IF(D1191="","",LEFT(D1191,3))</f>
        <v>614</v>
      </c>
      <c r="G1191" s="2" t="str">
        <f aca="false">IF(F1191="","",IF(E1191=F1191,"Yes","No"))</f>
        <v>No</v>
      </c>
      <c r="H1191" s="2" t="n">
        <f aca="false">IF(D1191="",0,1/COUNTIF($D$2:$D$3451,D1191))</f>
        <v>1</v>
      </c>
      <c r="I1191" s="13" t="n">
        <f aca="false">IFERROR(INDEX('NCO-2015 scores'!$C$2:$C$131,MATCH(E1191,'NCO-2015 scores'!$A$2:$A$131,0)),0)</f>
        <v>0.12</v>
      </c>
      <c r="J1191" s="13" t="n">
        <f aca="false">IF(ISNUMBER(MATCH(E1191,'NCO-2015 scores'!$A$2:$A$131,0)),IF(ISNUMBER(INDEX('NCO-2015 scores'!$C$2:$C$131,MATCH(E1191,'NCO-2015 scores'!$A$2:$A$131,0))),1,0),0)</f>
        <v>1</v>
      </c>
    </row>
    <row r="1192" customFormat="false" ht="15" hidden="false" customHeight="false" outlineLevel="0" collapsed="false">
      <c r="A1192" s="2" t="n">
        <v>1190</v>
      </c>
      <c r="B1192" s="2" t="s">
        <v>3735</v>
      </c>
      <c r="C1192" s="2" t="s">
        <v>3736</v>
      </c>
      <c r="D1192" s="2" t="s">
        <v>3737</v>
      </c>
      <c r="E1192" s="2" t="str">
        <f aca="false">LEFT(C1192,3)</f>
        <v>621</v>
      </c>
      <c r="F1192" s="2" t="str">
        <f aca="false">IF(D1192="","",LEFT(D1192,3))</f>
        <v>614</v>
      </c>
      <c r="G1192" s="2" t="str">
        <f aca="false">IF(F1192="","",IF(E1192=F1192,"Yes","No"))</f>
        <v>No</v>
      </c>
      <c r="H1192" s="2" t="n">
        <f aca="false">IF(D1192="",0,1/COUNTIF($D$2:$D$3451,D1192))</f>
        <v>1</v>
      </c>
      <c r="I1192" s="13" t="n">
        <f aca="false">IFERROR(INDEX('NCO-2015 scores'!$C$2:$C$131,MATCH(E1192,'NCO-2015 scores'!$A$2:$A$131,0)),0)</f>
        <v>0.12</v>
      </c>
      <c r="J1192" s="13" t="n">
        <f aca="false">IF(ISNUMBER(MATCH(E1192,'NCO-2015 scores'!$A$2:$A$131,0)),IF(ISNUMBER(INDEX('NCO-2015 scores'!$C$2:$C$131,MATCH(E1192,'NCO-2015 scores'!$A$2:$A$131,0))),1,0),0)</f>
        <v>1</v>
      </c>
    </row>
    <row r="1193" customFormat="false" ht="15" hidden="false" customHeight="false" outlineLevel="0" collapsed="false">
      <c r="A1193" s="2" t="n">
        <v>1191</v>
      </c>
      <c r="B1193" s="2" t="s">
        <v>3738</v>
      </c>
      <c r="C1193" s="2" t="s">
        <v>3739</v>
      </c>
      <c r="D1193" s="2" t="s">
        <v>3740</v>
      </c>
      <c r="E1193" s="2" t="str">
        <f aca="false">LEFT(C1193,3)</f>
        <v>621</v>
      </c>
      <c r="F1193" s="2" t="str">
        <f aca="false">IF(D1193="","",LEFT(D1193,3))</f>
        <v>614</v>
      </c>
      <c r="G1193" s="2" t="str">
        <f aca="false">IF(F1193="","",IF(E1193=F1193,"Yes","No"))</f>
        <v>No</v>
      </c>
      <c r="H1193" s="2" t="n">
        <f aca="false">IF(D1193="",0,1/COUNTIF($D$2:$D$3451,D1193))</f>
        <v>1</v>
      </c>
      <c r="I1193" s="13" t="n">
        <f aca="false">IFERROR(INDEX('NCO-2015 scores'!$C$2:$C$131,MATCH(E1193,'NCO-2015 scores'!$A$2:$A$131,0)),0)</f>
        <v>0.12</v>
      </c>
      <c r="J1193" s="13" t="n">
        <f aca="false">IF(ISNUMBER(MATCH(E1193,'NCO-2015 scores'!$A$2:$A$131,0)),IF(ISNUMBER(INDEX('NCO-2015 scores'!$C$2:$C$131,MATCH(E1193,'NCO-2015 scores'!$A$2:$A$131,0))),1,0),0)</f>
        <v>1</v>
      </c>
    </row>
    <row r="1194" customFormat="false" ht="15" hidden="false" customHeight="false" outlineLevel="0" collapsed="false">
      <c r="A1194" s="2" t="n">
        <v>1192</v>
      </c>
      <c r="B1194" s="2" t="s">
        <v>3741</v>
      </c>
      <c r="C1194" s="2" t="s">
        <v>3742</v>
      </c>
      <c r="D1194" s="2" t="s">
        <v>3743</v>
      </c>
      <c r="E1194" s="2" t="str">
        <f aca="false">LEFT(C1194,3)</f>
        <v>621</v>
      </c>
      <c r="F1194" s="2" t="str">
        <f aca="false">IF(D1194="","",LEFT(D1194,3))</f>
        <v>614</v>
      </c>
      <c r="G1194" s="2" t="str">
        <f aca="false">IF(F1194="","",IF(E1194=F1194,"Yes","No"))</f>
        <v>No</v>
      </c>
      <c r="H1194" s="2" t="n">
        <f aca="false">IF(D1194="",0,1/COUNTIF($D$2:$D$3451,D1194))</f>
        <v>1</v>
      </c>
      <c r="I1194" s="13" t="n">
        <f aca="false">IFERROR(INDEX('NCO-2015 scores'!$C$2:$C$131,MATCH(E1194,'NCO-2015 scores'!$A$2:$A$131,0)),0)</f>
        <v>0.12</v>
      </c>
      <c r="J1194" s="13" t="n">
        <f aca="false">IF(ISNUMBER(MATCH(E1194,'NCO-2015 scores'!$A$2:$A$131,0)),IF(ISNUMBER(INDEX('NCO-2015 scores'!$C$2:$C$131,MATCH(E1194,'NCO-2015 scores'!$A$2:$A$131,0))),1,0),0)</f>
        <v>1</v>
      </c>
    </row>
    <row r="1195" customFormat="false" ht="15" hidden="false" customHeight="false" outlineLevel="0" collapsed="false">
      <c r="A1195" s="2" t="n">
        <v>1193</v>
      </c>
      <c r="B1195" s="2" t="s">
        <v>3744</v>
      </c>
      <c r="C1195" s="2" t="s">
        <v>3745</v>
      </c>
      <c r="D1195" s="2" t="s">
        <v>3746</v>
      </c>
      <c r="E1195" s="2" t="str">
        <f aca="false">LEFT(C1195,3)</f>
        <v>621</v>
      </c>
      <c r="F1195" s="2" t="str">
        <f aca="false">IF(D1195="","",LEFT(D1195,3))</f>
        <v>614</v>
      </c>
      <c r="G1195" s="2" t="str">
        <f aca="false">IF(F1195="","",IF(E1195=F1195,"Yes","No"))</f>
        <v>No</v>
      </c>
      <c r="H1195" s="2" t="n">
        <f aca="false">IF(D1195="",0,1/COUNTIF($D$2:$D$3451,D1195))</f>
        <v>1</v>
      </c>
      <c r="I1195" s="13" t="n">
        <f aca="false">IFERROR(INDEX('NCO-2015 scores'!$C$2:$C$131,MATCH(E1195,'NCO-2015 scores'!$A$2:$A$131,0)),0)</f>
        <v>0.12</v>
      </c>
      <c r="J1195" s="13" t="n">
        <f aca="false">IF(ISNUMBER(MATCH(E1195,'NCO-2015 scores'!$A$2:$A$131,0)),IF(ISNUMBER(INDEX('NCO-2015 scores'!$C$2:$C$131,MATCH(E1195,'NCO-2015 scores'!$A$2:$A$131,0))),1,0),0)</f>
        <v>1</v>
      </c>
    </row>
    <row r="1196" customFormat="false" ht="15" hidden="false" customHeight="false" outlineLevel="0" collapsed="false">
      <c r="A1196" s="2" t="n">
        <v>1194</v>
      </c>
      <c r="B1196" s="2" t="s">
        <v>3747</v>
      </c>
      <c r="C1196" s="2" t="s">
        <v>3748</v>
      </c>
      <c r="D1196" s="2" t="s">
        <v>3749</v>
      </c>
      <c r="E1196" s="2" t="str">
        <f aca="false">LEFT(C1196,3)</f>
        <v>621</v>
      </c>
      <c r="F1196" s="2" t="str">
        <f aca="false">IF(D1196="","",LEFT(D1196,3))</f>
        <v>614</v>
      </c>
      <c r="G1196" s="2" t="str">
        <f aca="false">IF(F1196="","",IF(E1196=F1196,"Yes","No"))</f>
        <v>No</v>
      </c>
      <c r="H1196" s="2" t="n">
        <f aca="false">IF(D1196="",0,1/COUNTIF($D$2:$D$3451,D1196))</f>
        <v>1</v>
      </c>
      <c r="I1196" s="13" t="n">
        <f aca="false">IFERROR(INDEX('NCO-2015 scores'!$C$2:$C$131,MATCH(E1196,'NCO-2015 scores'!$A$2:$A$131,0)),0)</f>
        <v>0.12</v>
      </c>
      <c r="J1196" s="13" t="n">
        <f aca="false">IF(ISNUMBER(MATCH(E1196,'NCO-2015 scores'!$A$2:$A$131,0)),IF(ISNUMBER(INDEX('NCO-2015 scores'!$C$2:$C$131,MATCH(E1196,'NCO-2015 scores'!$A$2:$A$131,0))),1,0),0)</f>
        <v>1</v>
      </c>
    </row>
    <row r="1197" customFormat="false" ht="15" hidden="false" customHeight="false" outlineLevel="0" collapsed="false">
      <c r="A1197" s="2" t="n">
        <v>1195</v>
      </c>
      <c r="B1197" s="2" t="s">
        <v>3750</v>
      </c>
      <c r="C1197" s="2" t="s">
        <v>3751</v>
      </c>
      <c r="D1197" s="2" t="s">
        <v>3752</v>
      </c>
      <c r="E1197" s="2" t="str">
        <f aca="false">LEFT(C1197,3)</f>
        <v>621</v>
      </c>
      <c r="F1197" s="2" t="str">
        <f aca="false">IF(D1197="","",LEFT(D1197,3))</f>
        <v>614</v>
      </c>
      <c r="G1197" s="2" t="str">
        <f aca="false">IF(F1197="","",IF(E1197=F1197,"Yes","No"))</f>
        <v>No</v>
      </c>
      <c r="H1197" s="2" t="n">
        <f aca="false">IF(D1197="",0,1/COUNTIF($D$2:$D$3451,D1197))</f>
        <v>1</v>
      </c>
      <c r="I1197" s="13" t="n">
        <f aca="false">IFERROR(INDEX('NCO-2015 scores'!$C$2:$C$131,MATCH(E1197,'NCO-2015 scores'!$A$2:$A$131,0)),0)</f>
        <v>0.12</v>
      </c>
      <c r="J1197" s="13" t="n">
        <f aca="false">IF(ISNUMBER(MATCH(E1197,'NCO-2015 scores'!$A$2:$A$131,0)),IF(ISNUMBER(INDEX('NCO-2015 scores'!$C$2:$C$131,MATCH(E1197,'NCO-2015 scores'!$A$2:$A$131,0))),1,0),0)</f>
        <v>1</v>
      </c>
    </row>
    <row r="1198" customFormat="false" ht="15" hidden="false" customHeight="false" outlineLevel="0" collapsed="false">
      <c r="A1198" s="2" t="n">
        <v>1196</v>
      </c>
      <c r="B1198" s="2" t="s">
        <v>3753</v>
      </c>
      <c r="C1198" s="2" t="s">
        <v>3754</v>
      </c>
      <c r="D1198" s="2" t="s">
        <v>3755</v>
      </c>
      <c r="E1198" s="2" t="str">
        <f aca="false">LEFT(C1198,3)</f>
        <v>621</v>
      </c>
      <c r="F1198" s="2" t="str">
        <f aca="false">IF(D1198="","",LEFT(D1198,3))</f>
        <v>614</v>
      </c>
      <c r="G1198" s="2" t="str">
        <f aca="false">IF(F1198="","",IF(E1198=F1198,"Yes","No"))</f>
        <v>No</v>
      </c>
      <c r="H1198" s="2" t="n">
        <f aca="false">IF(D1198="",0,1/COUNTIF($D$2:$D$3451,D1198))</f>
        <v>1</v>
      </c>
      <c r="I1198" s="13" t="n">
        <f aca="false">IFERROR(INDEX('NCO-2015 scores'!$C$2:$C$131,MATCH(E1198,'NCO-2015 scores'!$A$2:$A$131,0)),0)</f>
        <v>0.12</v>
      </c>
      <c r="J1198" s="13" t="n">
        <f aca="false">IF(ISNUMBER(MATCH(E1198,'NCO-2015 scores'!$A$2:$A$131,0)),IF(ISNUMBER(INDEX('NCO-2015 scores'!$C$2:$C$131,MATCH(E1198,'NCO-2015 scores'!$A$2:$A$131,0))),1,0),0)</f>
        <v>1</v>
      </c>
    </row>
    <row r="1199" customFormat="false" ht="15" hidden="false" customHeight="false" outlineLevel="0" collapsed="false">
      <c r="A1199" s="2" t="n">
        <v>1197</v>
      </c>
      <c r="B1199" s="2" t="s">
        <v>3756</v>
      </c>
      <c r="C1199" s="2" t="s">
        <v>3757</v>
      </c>
      <c r="D1199" s="2" t="s">
        <v>3758</v>
      </c>
      <c r="E1199" s="2" t="str">
        <f aca="false">LEFT(C1199,3)</f>
        <v>621</v>
      </c>
      <c r="F1199" s="2" t="str">
        <f aca="false">IF(D1199="","",LEFT(D1199,3))</f>
        <v>614</v>
      </c>
      <c r="G1199" s="2" t="str">
        <f aca="false">IF(F1199="","",IF(E1199=F1199,"Yes","No"))</f>
        <v>No</v>
      </c>
      <c r="H1199" s="2" t="n">
        <f aca="false">IF(D1199="",0,1/COUNTIF($D$2:$D$3451,D1199))</f>
        <v>1</v>
      </c>
      <c r="I1199" s="13" t="n">
        <f aca="false">IFERROR(INDEX('NCO-2015 scores'!$C$2:$C$131,MATCH(E1199,'NCO-2015 scores'!$A$2:$A$131,0)),0)</f>
        <v>0.12</v>
      </c>
      <c r="J1199" s="13" t="n">
        <f aca="false">IF(ISNUMBER(MATCH(E1199,'NCO-2015 scores'!$A$2:$A$131,0)),IF(ISNUMBER(INDEX('NCO-2015 scores'!$C$2:$C$131,MATCH(E1199,'NCO-2015 scores'!$A$2:$A$131,0))),1,0),0)</f>
        <v>1</v>
      </c>
    </row>
    <row r="1200" customFormat="false" ht="15" hidden="false" customHeight="false" outlineLevel="0" collapsed="false">
      <c r="A1200" s="2" t="n">
        <v>1198</v>
      </c>
      <c r="B1200" s="2" t="s">
        <v>3759</v>
      </c>
      <c r="C1200" s="2" t="s">
        <v>3760</v>
      </c>
      <c r="D1200" s="2" t="s">
        <v>3761</v>
      </c>
      <c r="E1200" s="2" t="str">
        <f aca="false">LEFT(C1200,3)</f>
        <v>621</v>
      </c>
      <c r="F1200" s="2" t="str">
        <f aca="false">IF(D1200="","",LEFT(D1200,3))</f>
        <v>614</v>
      </c>
      <c r="G1200" s="2" t="str">
        <f aca="false">IF(F1200="","",IF(E1200=F1200,"Yes","No"))</f>
        <v>No</v>
      </c>
      <c r="H1200" s="2" t="n">
        <f aca="false">IF(D1200="",0,1/COUNTIF($D$2:$D$3451,D1200))</f>
        <v>1</v>
      </c>
      <c r="I1200" s="13" t="n">
        <f aca="false">IFERROR(INDEX('NCO-2015 scores'!$C$2:$C$131,MATCH(E1200,'NCO-2015 scores'!$A$2:$A$131,0)),0)</f>
        <v>0.12</v>
      </c>
      <c r="J1200" s="13" t="n">
        <f aca="false">IF(ISNUMBER(MATCH(E1200,'NCO-2015 scores'!$A$2:$A$131,0)),IF(ISNUMBER(INDEX('NCO-2015 scores'!$C$2:$C$131,MATCH(E1200,'NCO-2015 scores'!$A$2:$A$131,0))),1,0),0)</f>
        <v>1</v>
      </c>
    </row>
    <row r="1201" customFormat="false" ht="15" hidden="false" customHeight="false" outlineLevel="0" collapsed="false">
      <c r="A1201" s="2" t="n">
        <v>1199</v>
      </c>
      <c r="B1201" s="2" t="s">
        <v>3762</v>
      </c>
      <c r="C1201" s="2" t="s">
        <v>3763</v>
      </c>
      <c r="D1201" s="2" t="s">
        <v>3764</v>
      </c>
      <c r="E1201" s="2" t="str">
        <f aca="false">LEFT(C1201,3)</f>
        <v>621</v>
      </c>
      <c r="F1201" s="2" t="str">
        <f aca="false">IF(D1201="","",LEFT(D1201,3))</f>
        <v>614</v>
      </c>
      <c r="G1201" s="2" t="str">
        <f aca="false">IF(F1201="","",IF(E1201=F1201,"Yes","No"))</f>
        <v>No</v>
      </c>
      <c r="H1201" s="2" t="n">
        <f aca="false">IF(D1201="",0,1/COUNTIF($D$2:$D$3451,D1201))</f>
        <v>1</v>
      </c>
      <c r="I1201" s="13" t="n">
        <f aca="false">IFERROR(INDEX('NCO-2015 scores'!$C$2:$C$131,MATCH(E1201,'NCO-2015 scores'!$A$2:$A$131,0)),0)</f>
        <v>0.12</v>
      </c>
      <c r="J1201" s="13" t="n">
        <f aca="false">IF(ISNUMBER(MATCH(E1201,'NCO-2015 scores'!$A$2:$A$131,0)),IF(ISNUMBER(INDEX('NCO-2015 scores'!$C$2:$C$131,MATCH(E1201,'NCO-2015 scores'!$A$2:$A$131,0))),1,0),0)</f>
        <v>1</v>
      </c>
    </row>
    <row r="1202" customFormat="false" ht="15" hidden="false" customHeight="false" outlineLevel="0" collapsed="false">
      <c r="A1202" s="2" t="n">
        <v>1200</v>
      </c>
      <c r="B1202" s="2" t="s">
        <v>3765</v>
      </c>
      <c r="C1202" s="2" t="s">
        <v>3766</v>
      </c>
      <c r="D1202" s="2" t="s">
        <v>3767</v>
      </c>
      <c r="E1202" s="2" t="str">
        <f aca="false">LEFT(C1202,3)</f>
        <v>621</v>
      </c>
      <c r="F1202" s="2" t="str">
        <f aca="false">IF(D1202="","",LEFT(D1202,3))</f>
        <v>614</v>
      </c>
      <c r="G1202" s="2" t="str">
        <f aca="false">IF(F1202="","",IF(E1202=F1202,"Yes","No"))</f>
        <v>No</v>
      </c>
      <c r="H1202" s="2" t="n">
        <f aca="false">IF(D1202="",0,1/COUNTIF($D$2:$D$3451,D1202))</f>
        <v>1</v>
      </c>
      <c r="I1202" s="13" t="n">
        <f aca="false">IFERROR(INDEX('NCO-2015 scores'!$C$2:$C$131,MATCH(E1202,'NCO-2015 scores'!$A$2:$A$131,0)),0)</f>
        <v>0.12</v>
      </c>
      <c r="J1202" s="13" t="n">
        <f aca="false">IF(ISNUMBER(MATCH(E1202,'NCO-2015 scores'!$A$2:$A$131,0)),IF(ISNUMBER(INDEX('NCO-2015 scores'!$C$2:$C$131,MATCH(E1202,'NCO-2015 scores'!$A$2:$A$131,0))),1,0),0)</f>
        <v>1</v>
      </c>
    </row>
    <row r="1203" customFormat="false" ht="15" hidden="false" customHeight="false" outlineLevel="0" collapsed="false">
      <c r="A1203" s="2" t="n">
        <v>1201</v>
      </c>
      <c r="B1203" s="2" t="s">
        <v>3768</v>
      </c>
      <c r="C1203" s="2" t="s">
        <v>3769</v>
      </c>
      <c r="D1203" s="2" t="s">
        <v>3770</v>
      </c>
      <c r="E1203" s="2" t="str">
        <f aca="false">LEFT(C1203,3)</f>
        <v>621</v>
      </c>
      <c r="F1203" s="2" t="str">
        <f aca="false">IF(D1203="","",LEFT(D1203,3))</f>
        <v>614</v>
      </c>
      <c r="G1203" s="2" t="str">
        <f aca="false">IF(F1203="","",IF(E1203=F1203,"Yes","No"))</f>
        <v>No</v>
      </c>
      <c r="H1203" s="2" t="n">
        <f aca="false">IF(D1203="",0,1/COUNTIF($D$2:$D$3451,D1203))</f>
        <v>1</v>
      </c>
      <c r="I1203" s="13" t="n">
        <f aca="false">IFERROR(INDEX('NCO-2015 scores'!$C$2:$C$131,MATCH(E1203,'NCO-2015 scores'!$A$2:$A$131,0)),0)</f>
        <v>0.12</v>
      </c>
      <c r="J1203" s="13" t="n">
        <f aca="false">IF(ISNUMBER(MATCH(E1203,'NCO-2015 scores'!$A$2:$A$131,0)),IF(ISNUMBER(INDEX('NCO-2015 scores'!$C$2:$C$131,MATCH(E1203,'NCO-2015 scores'!$A$2:$A$131,0))),1,0),0)</f>
        <v>1</v>
      </c>
    </row>
    <row r="1204" customFormat="false" ht="15" hidden="false" customHeight="false" outlineLevel="0" collapsed="false">
      <c r="A1204" s="2" t="n">
        <v>1202</v>
      </c>
      <c r="B1204" s="2" t="s">
        <v>3771</v>
      </c>
      <c r="C1204" s="2" t="s">
        <v>3772</v>
      </c>
      <c r="D1204" s="2" t="s">
        <v>3773</v>
      </c>
      <c r="E1204" s="2" t="str">
        <f aca="false">LEFT(C1204,3)</f>
        <v>621</v>
      </c>
      <c r="F1204" s="2" t="str">
        <f aca="false">IF(D1204="","",LEFT(D1204,3))</f>
        <v>614</v>
      </c>
      <c r="G1204" s="2" t="str">
        <f aca="false">IF(F1204="","",IF(E1204=F1204,"Yes","No"))</f>
        <v>No</v>
      </c>
      <c r="H1204" s="2" t="n">
        <f aca="false">IF(D1204="",0,1/COUNTIF($D$2:$D$3451,D1204))</f>
        <v>1</v>
      </c>
      <c r="I1204" s="13" t="n">
        <f aca="false">IFERROR(INDEX('NCO-2015 scores'!$C$2:$C$131,MATCH(E1204,'NCO-2015 scores'!$A$2:$A$131,0)),0)</f>
        <v>0.12</v>
      </c>
      <c r="J1204" s="13" t="n">
        <f aca="false">IF(ISNUMBER(MATCH(E1204,'NCO-2015 scores'!$A$2:$A$131,0)),IF(ISNUMBER(INDEX('NCO-2015 scores'!$C$2:$C$131,MATCH(E1204,'NCO-2015 scores'!$A$2:$A$131,0))),1,0),0)</f>
        <v>1</v>
      </c>
    </row>
    <row r="1205" customFormat="false" ht="15" hidden="false" customHeight="false" outlineLevel="0" collapsed="false">
      <c r="A1205" s="2" t="n">
        <v>1203</v>
      </c>
      <c r="B1205" s="2" t="s">
        <v>3774</v>
      </c>
      <c r="C1205" s="2" t="s">
        <v>3775</v>
      </c>
      <c r="D1205" s="2" t="s">
        <v>3776</v>
      </c>
      <c r="E1205" s="2" t="str">
        <f aca="false">LEFT(C1205,3)</f>
        <v>921</v>
      </c>
      <c r="F1205" s="2" t="str">
        <f aca="false">IF(D1205="","",LEFT(D1205,3))</f>
        <v>920</v>
      </c>
      <c r="G1205" s="2" t="str">
        <f aca="false">IF(F1205="","",IF(E1205=F1205,"Yes","No"))</f>
        <v>No</v>
      </c>
      <c r="H1205" s="2" t="n">
        <f aca="false">IF(D1205="",0,1/COUNTIF($D$2:$D$3451,D1205))</f>
        <v>1</v>
      </c>
      <c r="I1205" s="13" t="n">
        <f aca="false">IFERROR(INDEX('NCO-2015 scores'!$C$2:$C$131,MATCH(E1205,'NCO-2015 scores'!$A$2:$A$131,0)),0)</f>
        <v>0.1067</v>
      </c>
      <c r="J1205" s="13" t="n">
        <f aca="false">IF(ISNUMBER(MATCH(E1205,'NCO-2015 scores'!$A$2:$A$131,0)),IF(ISNUMBER(INDEX('NCO-2015 scores'!$C$2:$C$131,MATCH(E1205,'NCO-2015 scores'!$A$2:$A$131,0))),1,0),0)</f>
        <v>1</v>
      </c>
    </row>
    <row r="1206" customFormat="false" ht="15" hidden="false" customHeight="false" outlineLevel="0" collapsed="false">
      <c r="A1206" s="2" t="n">
        <v>1204</v>
      </c>
      <c r="B1206" s="2" t="s">
        <v>3777</v>
      </c>
      <c r="C1206" s="2" t="s">
        <v>3778</v>
      </c>
      <c r="D1206" s="2" t="s">
        <v>3779</v>
      </c>
      <c r="E1206" s="2" t="str">
        <f aca="false">LEFT(C1206,3)</f>
        <v>921</v>
      </c>
      <c r="F1206" s="2" t="str">
        <f aca="false">IF(D1206="","",LEFT(D1206,3))</f>
        <v>920</v>
      </c>
      <c r="G1206" s="2" t="str">
        <f aca="false">IF(F1206="","",IF(E1206=F1206,"Yes","No"))</f>
        <v>No</v>
      </c>
      <c r="H1206" s="2" t="n">
        <f aca="false">IF(D1206="",0,1/COUNTIF($D$2:$D$3451,D1206))</f>
        <v>1</v>
      </c>
      <c r="I1206" s="13" t="n">
        <f aca="false">IFERROR(INDEX('NCO-2015 scores'!$C$2:$C$131,MATCH(E1206,'NCO-2015 scores'!$A$2:$A$131,0)),0)</f>
        <v>0.1067</v>
      </c>
      <c r="J1206" s="13" t="n">
        <f aca="false">IF(ISNUMBER(MATCH(E1206,'NCO-2015 scores'!$A$2:$A$131,0)),IF(ISNUMBER(INDEX('NCO-2015 scores'!$C$2:$C$131,MATCH(E1206,'NCO-2015 scores'!$A$2:$A$131,0))),1,0),0)</f>
        <v>1</v>
      </c>
    </row>
    <row r="1207" customFormat="false" ht="15" hidden="false" customHeight="false" outlineLevel="0" collapsed="false">
      <c r="A1207" s="2" t="n">
        <v>1205</v>
      </c>
      <c r="B1207" s="2" t="s">
        <v>3780</v>
      </c>
      <c r="C1207" s="2" t="s">
        <v>3781</v>
      </c>
      <c r="D1207" s="2" t="s">
        <v>3782</v>
      </c>
      <c r="E1207" s="2" t="str">
        <f aca="false">LEFT(C1207,3)</f>
        <v>921</v>
      </c>
      <c r="F1207" s="2" t="str">
        <f aca="false">IF(D1207="","",LEFT(D1207,3))</f>
        <v>920</v>
      </c>
      <c r="G1207" s="2" t="str">
        <f aca="false">IF(F1207="","",IF(E1207=F1207,"Yes","No"))</f>
        <v>No</v>
      </c>
      <c r="H1207" s="2" t="n">
        <f aca="false">IF(D1207="",0,1/COUNTIF($D$2:$D$3451,D1207))</f>
        <v>1</v>
      </c>
      <c r="I1207" s="13" t="n">
        <f aca="false">IFERROR(INDEX('NCO-2015 scores'!$C$2:$C$131,MATCH(E1207,'NCO-2015 scores'!$A$2:$A$131,0)),0)</f>
        <v>0.1067</v>
      </c>
      <c r="J1207" s="13" t="n">
        <f aca="false">IF(ISNUMBER(MATCH(E1207,'NCO-2015 scores'!$A$2:$A$131,0)),IF(ISNUMBER(INDEX('NCO-2015 scores'!$C$2:$C$131,MATCH(E1207,'NCO-2015 scores'!$A$2:$A$131,0))),1,0),0)</f>
        <v>1</v>
      </c>
    </row>
    <row r="1208" customFormat="false" ht="15" hidden="false" customHeight="false" outlineLevel="0" collapsed="false">
      <c r="A1208" s="2" t="n">
        <v>1206</v>
      </c>
      <c r="B1208" s="2" t="s">
        <v>3783</v>
      </c>
      <c r="C1208" s="2" t="s">
        <v>3784</v>
      </c>
      <c r="D1208" s="2"/>
      <c r="E1208" s="2" t="str">
        <f aca="false">LEFT(C1208,3)</f>
        <v>933</v>
      </c>
      <c r="F1208" s="2" t="str">
        <f aca="false">IF(D1208="","",LEFT(D1208,3))</f>
        <v/>
      </c>
      <c r="G1208" s="2" t="str">
        <f aca="false">IF(F1208="","",IF(E1208=F1208,"Yes","No"))</f>
        <v/>
      </c>
      <c r="H1208" s="2" t="n">
        <f aca="false">IF(D1208="",0,1/COUNTIF($D$2:$D$3451,D1208))</f>
        <v>0</v>
      </c>
      <c r="I1208" s="13" t="n">
        <f aca="false">IFERROR(INDEX('NCO-2015 scores'!$C$2:$C$131,MATCH(E1208,'NCO-2015 scores'!$A$2:$A$131,0)),0)</f>
        <v>0.17</v>
      </c>
      <c r="J1208" s="13" t="n">
        <f aca="false">IF(ISNUMBER(MATCH(E1208,'NCO-2015 scores'!$A$2:$A$131,0)),IF(ISNUMBER(INDEX('NCO-2015 scores'!$C$2:$C$131,MATCH(E1208,'NCO-2015 scores'!$A$2:$A$131,0))),1,0),0)</f>
        <v>1</v>
      </c>
    </row>
    <row r="1209" customFormat="false" ht="15" hidden="false" customHeight="false" outlineLevel="0" collapsed="false">
      <c r="A1209" s="2" t="n">
        <v>1207</v>
      </c>
      <c r="B1209" s="2" t="s">
        <v>3785</v>
      </c>
      <c r="C1209" s="2" t="s">
        <v>3786</v>
      </c>
      <c r="D1209" s="2" t="s">
        <v>3787</v>
      </c>
      <c r="E1209" s="2" t="str">
        <f aca="false">LEFT(C1209,3)</f>
        <v>933</v>
      </c>
      <c r="F1209" s="2" t="str">
        <f aca="false">IF(D1209="","",LEFT(D1209,3))</f>
        <v>933</v>
      </c>
      <c r="G1209" s="2" t="str">
        <f aca="false">IF(F1209="","",IF(E1209=F1209,"Yes","No"))</f>
        <v>Yes</v>
      </c>
      <c r="H1209" s="2" t="n">
        <f aca="false">IF(D1209="",0,1/COUNTIF($D$2:$D$3451,D1209))</f>
        <v>1</v>
      </c>
      <c r="I1209" s="13" t="n">
        <f aca="false">IFERROR(INDEX('NCO-2015 scores'!$C$2:$C$131,MATCH(E1209,'NCO-2015 scores'!$A$2:$A$131,0)),0)</f>
        <v>0.17</v>
      </c>
      <c r="J1209" s="13" t="n">
        <f aca="false">IF(ISNUMBER(MATCH(E1209,'NCO-2015 scores'!$A$2:$A$131,0)),IF(ISNUMBER(INDEX('NCO-2015 scores'!$C$2:$C$131,MATCH(E1209,'NCO-2015 scores'!$A$2:$A$131,0))),1,0),0)</f>
        <v>1</v>
      </c>
    </row>
    <row r="1210" customFormat="false" ht="15" hidden="false" customHeight="false" outlineLevel="0" collapsed="false">
      <c r="A1210" s="2" t="n">
        <v>1208</v>
      </c>
      <c r="B1210" s="2" t="s">
        <v>3788</v>
      </c>
      <c r="C1210" s="2" t="s">
        <v>3789</v>
      </c>
      <c r="D1210" s="2" t="s">
        <v>3790</v>
      </c>
      <c r="E1210" s="2" t="str">
        <f aca="false">LEFT(C1210,3)</f>
        <v>933</v>
      </c>
      <c r="F1210" s="2" t="str">
        <f aca="false">IF(D1210="","",LEFT(D1210,3))</f>
        <v>933</v>
      </c>
      <c r="G1210" s="2" t="str">
        <f aca="false">IF(F1210="","",IF(E1210=F1210,"Yes","No"))</f>
        <v>Yes</v>
      </c>
      <c r="H1210" s="2" t="n">
        <f aca="false">IF(D1210="",0,1/COUNTIF($D$2:$D$3451,D1210))</f>
        <v>1</v>
      </c>
      <c r="I1210" s="13" t="n">
        <f aca="false">IFERROR(INDEX('NCO-2015 scores'!$C$2:$C$131,MATCH(E1210,'NCO-2015 scores'!$A$2:$A$131,0)),0)</f>
        <v>0.17</v>
      </c>
      <c r="J1210" s="13" t="n">
        <f aca="false">IF(ISNUMBER(MATCH(E1210,'NCO-2015 scores'!$A$2:$A$131,0)),IF(ISNUMBER(INDEX('NCO-2015 scores'!$C$2:$C$131,MATCH(E1210,'NCO-2015 scores'!$A$2:$A$131,0))),1,0),0)</f>
        <v>1</v>
      </c>
    </row>
    <row r="1211" customFormat="false" ht="15" hidden="false" customHeight="false" outlineLevel="0" collapsed="false">
      <c r="A1211" s="2" t="n">
        <v>1209</v>
      </c>
      <c r="B1211" s="2" t="s">
        <v>3791</v>
      </c>
      <c r="C1211" s="2" t="s">
        <v>3792</v>
      </c>
      <c r="D1211" s="2"/>
      <c r="E1211" s="2" t="str">
        <f aca="false">LEFT(C1211,3)</f>
        <v>933</v>
      </c>
      <c r="F1211" s="2" t="str">
        <f aca="false">IF(D1211="","",LEFT(D1211,3))</f>
        <v/>
      </c>
      <c r="G1211" s="2" t="str">
        <f aca="false">IF(F1211="","",IF(E1211=F1211,"Yes","No"))</f>
        <v/>
      </c>
      <c r="H1211" s="2" t="n">
        <f aca="false">IF(D1211="",0,1/COUNTIF($D$2:$D$3451,D1211))</f>
        <v>0</v>
      </c>
      <c r="I1211" s="13" t="n">
        <f aca="false">IFERROR(INDEX('NCO-2015 scores'!$C$2:$C$131,MATCH(E1211,'NCO-2015 scores'!$A$2:$A$131,0)),0)</f>
        <v>0.17</v>
      </c>
      <c r="J1211" s="13" t="n">
        <f aca="false">IF(ISNUMBER(MATCH(E1211,'NCO-2015 scores'!$A$2:$A$131,0)),IF(ISNUMBER(INDEX('NCO-2015 scores'!$C$2:$C$131,MATCH(E1211,'NCO-2015 scores'!$A$2:$A$131,0))),1,0),0)</f>
        <v>1</v>
      </c>
    </row>
    <row r="1212" customFormat="false" ht="15" hidden="false" customHeight="false" outlineLevel="0" collapsed="false">
      <c r="A1212" s="2" t="n">
        <v>1210</v>
      </c>
      <c r="B1212" s="2" t="s">
        <v>3793</v>
      </c>
      <c r="C1212" s="2" t="s">
        <v>3794</v>
      </c>
      <c r="D1212" s="2"/>
      <c r="E1212" s="2" t="str">
        <f aca="false">LEFT(C1212,3)</f>
        <v>933</v>
      </c>
      <c r="F1212" s="2" t="str">
        <f aca="false">IF(D1212="","",LEFT(D1212,3))</f>
        <v/>
      </c>
      <c r="G1212" s="2" t="str">
        <f aca="false">IF(F1212="","",IF(E1212=F1212,"Yes","No"))</f>
        <v/>
      </c>
      <c r="H1212" s="2" t="n">
        <f aca="false">IF(D1212="",0,1/COUNTIF($D$2:$D$3451,D1212))</f>
        <v>0</v>
      </c>
      <c r="I1212" s="13" t="n">
        <f aca="false">IFERROR(INDEX('NCO-2015 scores'!$C$2:$C$131,MATCH(E1212,'NCO-2015 scores'!$A$2:$A$131,0)),0)</f>
        <v>0.17</v>
      </c>
      <c r="J1212" s="13" t="n">
        <f aca="false">IF(ISNUMBER(MATCH(E1212,'NCO-2015 scores'!$A$2:$A$131,0)),IF(ISNUMBER(INDEX('NCO-2015 scores'!$C$2:$C$131,MATCH(E1212,'NCO-2015 scores'!$A$2:$A$131,0))),1,0),0)</f>
        <v>1</v>
      </c>
    </row>
    <row r="1213" customFormat="false" ht="15" hidden="false" customHeight="false" outlineLevel="0" collapsed="false">
      <c r="A1213" s="2" t="n">
        <v>1211</v>
      </c>
      <c r="B1213" s="2" t="s">
        <v>3795</v>
      </c>
      <c r="C1213" s="2" t="s">
        <v>3796</v>
      </c>
      <c r="D1213" s="2" t="s">
        <v>3797</v>
      </c>
      <c r="E1213" s="2" t="str">
        <f aca="false">LEFT(C1213,3)</f>
        <v>751</v>
      </c>
      <c r="F1213" s="2" t="str">
        <f aca="false">IF(D1213="","",LEFT(D1213,3))</f>
        <v>741</v>
      </c>
      <c r="G1213" s="2" t="str">
        <f aca="false">IF(F1213="","",IF(E1213=F1213,"Yes","No"))</f>
        <v>No</v>
      </c>
      <c r="H1213" s="2" t="n">
        <f aca="false">IF(D1213="",0,1/COUNTIF($D$2:$D$3451,D1213))</f>
        <v>1</v>
      </c>
      <c r="I1213" s="13" t="n">
        <f aca="false">IFERROR(INDEX('NCO-2015 scores'!$C$2:$C$131,MATCH(E1213,'NCO-2015 scores'!$A$2:$A$131,0)),0)</f>
        <v>0.1867</v>
      </c>
      <c r="J1213" s="13" t="n">
        <f aca="false">IF(ISNUMBER(MATCH(E1213,'NCO-2015 scores'!$A$2:$A$131,0)),IF(ISNUMBER(INDEX('NCO-2015 scores'!$C$2:$C$131,MATCH(E1213,'NCO-2015 scores'!$A$2:$A$131,0))),1,0),0)</f>
        <v>1</v>
      </c>
    </row>
    <row r="1214" customFormat="false" ht="15" hidden="false" customHeight="false" outlineLevel="0" collapsed="false">
      <c r="A1214" s="2" t="n">
        <v>1212</v>
      </c>
      <c r="B1214" s="2" t="s">
        <v>3798</v>
      </c>
      <c r="C1214" s="2" t="s">
        <v>3799</v>
      </c>
      <c r="D1214" s="2" t="s">
        <v>3800</v>
      </c>
      <c r="E1214" s="2" t="str">
        <f aca="false">LEFT(C1214,3)</f>
        <v>751</v>
      </c>
      <c r="F1214" s="2" t="str">
        <f aca="false">IF(D1214="","",LEFT(D1214,3))</f>
        <v>741</v>
      </c>
      <c r="G1214" s="2" t="str">
        <f aca="false">IF(F1214="","",IF(E1214=F1214,"Yes","No"))</f>
        <v>No</v>
      </c>
      <c r="H1214" s="2" t="n">
        <f aca="false">IF(D1214="",0,1/COUNTIF($D$2:$D$3451,D1214))</f>
        <v>1</v>
      </c>
      <c r="I1214" s="13" t="n">
        <f aca="false">IFERROR(INDEX('NCO-2015 scores'!$C$2:$C$131,MATCH(E1214,'NCO-2015 scores'!$A$2:$A$131,0)),0)</f>
        <v>0.1867</v>
      </c>
      <c r="J1214" s="13" t="n">
        <f aca="false">IF(ISNUMBER(MATCH(E1214,'NCO-2015 scores'!$A$2:$A$131,0)),IF(ISNUMBER(INDEX('NCO-2015 scores'!$C$2:$C$131,MATCH(E1214,'NCO-2015 scores'!$A$2:$A$131,0))),1,0),0)</f>
        <v>1</v>
      </c>
    </row>
    <row r="1215" customFormat="false" ht="15" hidden="false" customHeight="false" outlineLevel="0" collapsed="false">
      <c r="A1215" s="2" t="n">
        <v>1213</v>
      </c>
      <c r="B1215" s="2" t="s">
        <v>3801</v>
      </c>
      <c r="C1215" s="2" t="s">
        <v>3802</v>
      </c>
      <c r="D1215" s="2" t="s">
        <v>3803</v>
      </c>
      <c r="E1215" s="2" t="str">
        <f aca="false">LEFT(C1215,3)</f>
        <v>751</v>
      </c>
      <c r="F1215" s="2" t="str">
        <f aca="false">IF(D1215="","",LEFT(D1215,3))</f>
        <v>741</v>
      </c>
      <c r="G1215" s="2" t="str">
        <f aca="false">IF(F1215="","",IF(E1215=F1215,"Yes","No"))</f>
        <v>No</v>
      </c>
      <c r="H1215" s="2" t="n">
        <f aca="false">IF(D1215="",0,1/COUNTIF($D$2:$D$3451,D1215))</f>
        <v>1</v>
      </c>
      <c r="I1215" s="13" t="n">
        <f aca="false">IFERROR(INDEX('NCO-2015 scores'!$C$2:$C$131,MATCH(E1215,'NCO-2015 scores'!$A$2:$A$131,0)),0)</f>
        <v>0.1867</v>
      </c>
      <c r="J1215" s="13" t="n">
        <f aca="false">IF(ISNUMBER(MATCH(E1215,'NCO-2015 scores'!$A$2:$A$131,0)),IF(ISNUMBER(INDEX('NCO-2015 scores'!$C$2:$C$131,MATCH(E1215,'NCO-2015 scores'!$A$2:$A$131,0))),1,0),0)</f>
        <v>1</v>
      </c>
    </row>
    <row r="1216" customFormat="false" ht="15" hidden="false" customHeight="false" outlineLevel="0" collapsed="false">
      <c r="A1216" s="2" t="n">
        <v>1214</v>
      </c>
      <c r="B1216" s="2" t="s">
        <v>3804</v>
      </c>
      <c r="C1216" s="2" t="s">
        <v>3805</v>
      </c>
      <c r="D1216" s="2" t="s">
        <v>3806</v>
      </c>
      <c r="E1216" s="2" t="str">
        <f aca="false">LEFT(C1216,3)</f>
        <v>751</v>
      </c>
      <c r="F1216" s="2" t="str">
        <f aca="false">IF(D1216="","",LEFT(D1216,3))</f>
        <v>741</v>
      </c>
      <c r="G1216" s="2" t="str">
        <f aca="false">IF(F1216="","",IF(E1216=F1216,"Yes","No"))</f>
        <v>No</v>
      </c>
      <c r="H1216" s="2" t="n">
        <f aca="false">IF(D1216="",0,1/COUNTIF($D$2:$D$3451,D1216))</f>
        <v>1</v>
      </c>
      <c r="I1216" s="13" t="n">
        <f aca="false">IFERROR(INDEX('NCO-2015 scores'!$C$2:$C$131,MATCH(E1216,'NCO-2015 scores'!$A$2:$A$131,0)),0)</f>
        <v>0.1867</v>
      </c>
      <c r="J1216" s="13" t="n">
        <f aca="false">IF(ISNUMBER(MATCH(E1216,'NCO-2015 scores'!$A$2:$A$131,0)),IF(ISNUMBER(INDEX('NCO-2015 scores'!$C$2:$C$131,MATCH(E1216,'NCO-2015 scores'!$A$2:$A$131,0))),1,0),0)</f>
        <v>1</v>
      </c>
    </row>
    <row r="1217" customFormat="false" ht="15" hidden="false" customHeight="false" outlineLevel="0" collapsed="false">
      <c r="A1217" s="2" t="n">
        <v>1215</v>
      </c>
      <c r="B1217" s="2" t="s">
        <v>3807</v>
      </c>
      <c r="C1217" s="2" t="s">
        <v>3808</v>
      </c>
      <c r="D1217" s="2" t="s">
        <v>3809</v>
      </c>
      <c r="E1217" s="2" t="str">
        <f aca="false">LEFT(C1217,3)</f>
        <v>751</v>
      </c>
      <c r="F1217" s="2" t="str">
        <f aca="false">IF(D1217="","",LEFT(D1217,3))</f>
        <v>741</v>
      </c>
      <c r="G1217" s="2" t="str">
        <f aca="false">IF(F1217="","",IF(E1217=F1217,"Yes","No"))</f>
        <v>No</v>
      </c>
      <c r="H1217" s="2" t="n">
        <f aca="false">IF(D1217="",0,1/COUNTIF($D$2:$D$3451,D1217))</f>
        <v>1</v>
      </c>
      <c r="I1217" s="13" t="n">
        <f aca="false">IFERROR(INDEX('NCO-2015 scores'!$C$2:$C$131,MATCH(E1217,'NCO-2015 scores'!$A$2:$A$131,0)),0)</f>
        <v>0.1867</v>
      </c>
      <c r="J1217" s="13" t="n">
        <f aca="false">IF(ISNUMBER(MATCH(E1217,'NCO-2015 scores'!$A$2:$A$131,0)),IF(ISNUMBER(INDEX('NCO-2015 scores'!$C$2:$C$131,MATCH(E1217,'NCO-2015 scores'!$A$2:$A$131,0))),1,0),0)</f>
        <v>1</v>
      </c>
    </row>
    <row r="1218" customFormat="false" ht="15" hidden="false" customHeight="false" outlineLevel="0" collapsed="false">
      <c r="A1218" s="2" t="n">
        <v>1216</v>
      </c>
      <c r="B1218" s="2" t="s">
        <v>3810</v>
      </c>
      <c r="C1218" s="2" t="s">
        <v>3811</v>
      </c>
      <c r="D1218" s="2" t="s">
        <v>3812</v>
      </c>
      <c r="E1218" s="2" t="str">
        <f aca="false">LEFT(C1218,3)</f>
        <v>751</v>
      </c>
      <c r="F1218" s="2" t="str">
        <f aca="false">IF(D1218="","",LEFT(D1218,3))</f>
        <v>741</v>
      </c>
      <c r="G1218" s="2" t="str">
        <f aca="false">IF(F1218="","",IF(E1218=F1218,"Yes","No"))</f>
        <v>No</v>
      </c>
      <c r="H1218" s="2" t="n">
        <f aca="false">IF(D1218="",0,1/COUNTIF($D$2:$D$3451,D1218))</f>
        <v>1</v>
      </c>
      <c r="I1218" s="13" t="n">
        <f aca="false">IFERROR(INDEX('NCO-2015 scores'!$C$2:$C$131,MATCH(E1218,'NCO-2015 scores'!$A$2:$A$131,0)),0)</f>
        <v>0.1867</v>
      </c>
      <c r="J1218" s="13" t="n">
        <f aca="false">IF(ISNUMBER(MATCH(E1218,'NCO-2015 scores'!$A$2:$A$131,0)),IF(ISNUMBER(INDEX('NCO-2015 scores'!$C$2:$C$131,MATCH(E1218,'NCO-2015 scores'!$A$2:$A$131,0))),1,0),0)</f>
        <v>1</v>
      </c>
    </row>
    <row r="1219" customFormat="false" ht="15" hidden="false" customHeight="false" outlineLevel="0" collapsed="false">
      <c r="A1219" s="2" t="n">
        <v>1217</v>
      </c>
      <c r="B1219" s="2" t="s">
        <v>3813</v>
      </c>
      <c r="C1219" s="2" t="s">
        <v>3814</v>
      </c>
      <c r="D1219" s="2" t="s">
        <v>3815</v>
      </c>
      <c r="E1219" s="2" t="str">
        <f aca="false">LEFT(C1219,3)</f>
        <v>751</v>
      </c>
      <c r="F1219" s="2" t="str">
        <f aca="false">IF(D1219="","",LEFT(D1219,3))</f>
        <v>741</v>
      </c>
      <c r="G1219" s="2" t="str">
        <f aca="false">IF(F1219="","",IF(E1219=F1219,"Yes","No"))</f>
        <v>No</v>
      </c>
      <c r="H1219" s="2" t="n">
        <f aca="false">IF(D1219="",0,1/COUNTIF($D$2:$D$3451,D1219))</f>
        <v>1</v>
      </c>
      <c r="I1219" s="13" t="n">
        <f aca="false">IFERROR(INDEX('NCO-2015 scores'!$C$2:$C$131,MATCH(E1219,'NCO-2015 scores'!$A$2:$A$131,0)),0)</f>
        <v>0.1867</v>
      </c>
      <c r="J1219" s="13" t="n">
        <f aca="false">IF(ISNUMBER(MATCH(E1219,'NCO-2015 scores'!$A$2:$A$131,0)),IF(ISNUMBER(INDEX('NCO-2015 scores'!$C$2:$C$131,MATCH(E1219,'NCO-2015 scores'!$A$2:$A$131,0))),1,0),0)</f>
        <v>1</v>
      </c>
    </row>
    <row r="1220" customFormat="false" ht="15" hidden="false" customHeight="false" outlineLevel="0" collapsed="false">
      <c r="A1220" s="2" t="n">
        <v>1218</v>
      </c>
      <c r="B1220" s="2" t="s">
        <v>3816</v>
      </c>
      <c r="C1220" s="2" t="s">
        <v>3817</v>
      </c>
      <c r="D1220" s="2" t="s">
        <v>3818</v>
      </c>
      <c r="E1220" s="2" t="str">
        <f aca="false">LEFT(C1220,3)</f>
        <v>751</v>
      </c>
      <c r="F1220" s="2" t="str">
        <f aca="false">IF(D1220="","",LEFT(D1220,3))</f>
        <v>741</v>
      </c>
      <c r="G1220" s="2" t="str">
        <f aca="false">IF(F1220="","",IF(E1220=F1220,"Yes","No"))</f>
        <v>No</v>
      </c>
      <c r="H1220" s="2" t="n">
        <f aca="false">IF(D1220="",0,1/COUNTIF($D$2:$D$3451,D1220))</f>
        <v>1</v>
      </c>
      <c r="I1220" s="13" t="n">
        <f aca="false">IFERROR(INDEX('NCO-2015 scores'!$C$2:$C$131,MATCH(E1220,'NCO-2015 scores'!$A$2:$A$131,0)),0)</f>
        <v>0.1867</v>
      </c>
      <c r="J1220" s="13" t="n">
        <f aca="false">IF(ISNUMBER(MATCH(E1220,'NCO-2015 scores'!$A$2:$A$131,0)),IF(ISNUMBER(INDEX('NCO-2015 scores'!$C$2:$C$131,MATCH(E1220,'NCO-2015 scores'!$A$2:$A$131,0))),1,0),0)</f>
        <v>1</v>
      </c>
    </row>
    <row r="1221" customFormat="false" ht="15" hidden="false" customHeight="false" outlineLevel="0" collapsed="false">
      <c r="A1221" s="2" t="n">
        <v>1219</v>
      </c>
      <c r="B1221" s="2" t="s">
        <v>3819</v>
      </c>
      <c r="C1221" s="2" t="s">
        <v>3820</v>
      </c>
      <c r="D1221" s="2" t="s">
        <v>3821</v>
      </c>
      <c r="E1221" s="2" t="str">
        <f aca="false">LEFT(C1221,3)</f>
        <v>751</v>
      </c>
      <c r="F1221" s="2" t="str">
        <f aca="false">IF(D1221="","",LEFT(D1221,3))</f>
        <v>741</v>
      </c>
      <c r="G1221" s="2" t="str">
        <f aca="false">IF(F1221="","",IF(E1221=F1221,"Yes","No"))</f>
        <v>No</v>
      </c>
      <c r="H1221" s="2" t="n">
        <f aca="false">IF(D1221="",0,1/COUNTIF($D$2:$D$3451,D1221))</f>
        <v>1</v>
      </c>
      <c r="I1221" s="13" t="n">
        <f aca="false">IFERROR(INDEX('NCO-2015 scores'!$C$2:$C$131,MATCH(E1221,'NCO-2015 scores'!$A$2:$A$131,0)),0)</f>
        <v>0.1867</v>
      </c>
      <c r="J1221" s="13" t="n">
        <f aca="false">IF(ISNUMBER(MATCH(E1221,'NCO-2015 scores'!$A$2:$A$131,0)),IF(ISNUMBER(INDEX('NCO-2015 scores'!$C$2:$C$131,MATCH(E1221,'NCO-2015 scores'!$A$2:$A$131,0))),1,0),0)</f>
        <v>1</v>
      </c>
    </row>
    <row r="1222" customFormat="false" ht="15" hidden="false" customHeight="false" outlineLevel="0" collapsed="false">
      <c r="A1222" s="2" t="n">
        <v>1220</v>
      </c>
      <c r="B1222" s="2" t="s">
        <v>3822</v>
      </c>
      <c r="C1222" s="2" t="s">
        <v>3823</v>
      </c>
      <c r="D1222" s="2" t="s">
        <v>3824</v>
      </c>
      <c r="E1222" s="2" t="str">
        <f aca="false">LEFT(C1222,3)</f>
        <v>751</v>
      </c>
      <c r="F1222" s="2" t="str">
        <f aca="false">IF(D1222="","",LEFT(D1222,3))</f>
        <v>741</v>
      </c>
      <c r="G1222" s="2" t="str">
        <f aca="false">IF(F1222="","",IF(E1222=F1222,"Yes","No"))</f>
        <v>No</v>
      </c>
      <c r="H1222" s="2" t="n">
        <f aca="false">IF(D1222="",0,1/COUNTIF($D$2:$D$3451,D1222))</f>
        <v>1</v>
      </c>
      <c r="I1222" s="13" t="n">
        <f aca="false">IFERROR(INDEX('NCO-2015 scores'!$C$2:$C$131,MATCH(E1222,'NCO-2015 scores'!$A$2:$A$131,0)),0)</f>
        <v>0.1867</v>
      </c>
      <c r="J1222" s="13" t="n">
        <f aca="false">IF(ISNUMBER(MATCH(E1222,'NCO-2015 scores'!$A$2:$A$131,0)),IF(ISNUMBER(INDEX('NCO-2015 scores'!$C$2:$C$131,MATCH(E1222,'NCO-2015 scores'!$A$2:$A$131,0))),1,0),0)</f>
        <v>1</v>
      </c>
    </row>
    <row r="1223" customFormat="false" ht="15" hidden="false" customHeight="false" outlineLevel="0" collapsed="false">
      <c r="A1223" s="2" t="n">
        <v>1221</v>
      </c>
      <c r="B1223" s="2" t="s">
        <v>3825</v>
      </c>
      <c r="C1223" s="2" t="s">
        <v>3826</v>
      </c>
      <c r="D1223" s="2" t="s">
        <v>3827</v>
      </c>
      <c r="E1223" s="2" t="str">
        <f aca="false">LEFT(C1223,3)</f>
        <v>751</v>
      </c>
      <c r="F1223" s="2" t="str">
        <f aca="false">IF(D1223="","",LEFT(D1223,3))</f>
        <v>741</v>
      </c>
      <c r="G1223" s="2" t="str">
        <f aca="false">IF(F1223="","",IF(E1223=F1223,"Yes","No"))</f>
        <v>No</v>
      </c>
      <c r="H1223" s="2" t="n">
        <f aca="false">IF(D1223="",0,1/COUNTIF($D$2:$D$3451,D1223))</f>
        <v>1</v>
      </c>
      <c r="I1223" s="13" t="n">
        <f aca="false">IFERROR(INDEX('NCO-2015 scores'!$C$2:$C$131,MATCH(E1223,'NCO-2015 scores'!$A$2:$A$131,0)),0)</f>
        <v>0.1867</v>
      </c>
      <c r="J1223" s="13" t="n">
        <f aca="false">IF(ISNUMBER(MATCH(E1223,'NCO-2015 scores'!$A$2:$A$131,0)),IF(ISNUMBER(INDEX('NCO-2015 scores'!$C$2:$C$131,MATCH(E1223,'NCO-2015 scores'!$A$2:$A$131,0))),1,0),0)</f>
        <v>1</v>
      </c>
    </row>
    <row r="1224" customFormat="false" ht="15" hidden="false" customHeight="false" outlineLevel="0" collapsed="false">
      <c r="A1224" s="2" t="n">
        <v>1222</v>
      </c>
      <c r="B1224" s="2" t="s">
        <v>3828</v>
      </c>
      <c r="C1224" s="2" t="s">
        <v>3829</v>
      </c>
      <c r="D1224" s="2" t="s">
        <v>3830</v>
      </c>
      <c r="E1224" s="2" t="str">
        <f aca="false">LEFT(C1224,3)</f>
        <v>751</v>
      </c>
      <c r="F1224" s="2" t="str">
        <f aca="false">IF(D1224="","",LEFT(D1224,3))</f>
        <v>741</v>
      </c>
      <c r="G1224" s="2" t="str">
        <f aca="false">IF(F1224="","",IF(E1224=F1224,"Yes","No"))</f>
        <v>No</v>
      </c>
      <c r="H1224" s="2" t="n">
        <f aca="false">IF(D1224="",0,1/COUNTIF($D$2:$D$3451,D1224))</f>
        <v>1</v>
      </c>
      <c r="I1224" s="13" t="n">
        <f aca="false">IFERROR(INDEX('NCO-2015 scores'!$C$2:$C$131,MATCH(E1224,'NCO-2015 scores'!$A$2:$A$131,0)),0)</f>
        <v>0.1867</v>
      </c>
      <c r="J1224" s="13" t="n">
        <f aca="false">IF(ISNUMBER(MATCH(E1224,'NCO-2015 scores'!$A$2:$A$131,0)),IF(ISNUMBER(INDEX('NCO-2015 scores'!$C$2:$C$131,MATCH(E1224,'NCO-2015 scores'!$A$2:$A$131,0))),1,0),0)</f>
        <v>1</v>
      </c>
    </row>
    <row r="1225" customFormat="false" ht="15" hidden="false" customHeight="false" outlineLevel="0" collapsed="false">
      <c r="A1225" s="2" t="n">
        <v>1223</v>
      </c>
      <c r="B1225" s="2" t="s">
        <v>3831</v>
      </c>
      <c r="C1225" s="2" t="s">
        <v>3832</v>
      </c>
      <c r="D1225" s="2" t="s">
        <v>3833</v>
      </c>
      <c r="E1225" s="2" t="str">
        <f aca="false">LEFT(C1225,3)</f>
        <v>815</v>
      </c>
      <c r="F1225" s="2" t="str">
        <f aca="false">IF(D1225="","",LEFT(D1225,3))</f>
        <v>826</v>
      </c>
      <c r="G1225" s="2" t="str">
        <f aca="false">IF(F1225="","",IF(E1225=F1225,"Yes","No"))</f>
        <v>No</v>
      </c>
      <c r="H1225" s="2" t="n">
        <f aca="false">IF(D1225="",0,1/COUNTIF($D$2:$D$3451,D1225))</f>
        <v>0.5</v>
      </c>
      <c r="I1225" s="13" t="n">
        <f aca="false">IFERROR(INDEX('NCO-2015 scores'!$C$2:$C$131,MATCH(E1225,'NCO-2015 scores'!$A$2:$A$131,0)),0)</f>
        <v>0.1625</v>
      </c>
      <c r="J1225" s="13" t="n">
        <f aca="false">IF(ISNUMBER(MATCH(E1225,'NCO-2015 scores'!$A$2:$A$131,0)),IF(ISNUMBER(INDEX('NCO-2015 scores'!$C$2:$C$131,MATCH(E1225,'NCO-2015 scores'!$A$2:$A$131,0))),1,0),0)</f>
        <v>1</v>
      </c>
    </row>
    <row r="1226" customFormat="false" ht="15" hidden="false" customHeight="false" outlineLevel="0" collapsed="false">
      <c r="A1226" s="2" t="n">
        <v>1224</v>
      </c>
      <c r="B1226" s="2" t="s">
        <v>3834</v>
      </c>
      <c r="C1226" s="2" t="s">
        <v>3835</v>
      </c>
      <c r="D1226" s="2" t="s">
        <v>3836</v>
      </c>
      <c r="E1226" s="2" t="str">
        <f aca="false">LEFT(C1226,3)</f>
        <v>815</v>
      </c>
      <c r="F1226" s="2" t="str">
        <f aca="false">IF(D1226="","",LEFT(D1226,3))</f>
        <v>826</v>
      </c>
      <c r="G1226" s="2" t="str">
        <f aca="false">IF(F1226="","",IF(E1226=F1226,"Yes","No"))</f>
        <v>No</v>
      </c>
      <c r="H1226" s="2" t="n">
        <f aca="false">IF(D1226="",0,1/COUNTIF($D$2:$D$3451,D1226))</f>
        <v>0.5</v>
      </c>
      <c r="I1226" s="13" t="n">
        <f aca="false">IFERROR(INDEX('NCO-2015 scores'!$C$2:$C$131,MATCH(E1226,'NCO-2015 scores'!$A$2:$A$131,0)),0)</f>
        <v>0.1625</v>
      </c>
      <c r="J1226" s="13" t="n">
        <f aca="false">IF(ISNUMBER(MATCH(E1226,'NCO-2015 scores'!$A$2:$A$131,0)),IF(ISNUMBER(INDEX('NCO-2015 scores'!$C$2:$C$131,MATCH(E1226,'NCO-2015 scores'!$A$2:$A$131,0))),1,0),0)</f>
        <v>1</v>
      </c>
    </row>
    <row r="1227" customFormat="false" ht="15" hidden="false" customHeight="false" outlineLevel="0" collapsed="false">
      <c r="A1227" s="2" t="n">
        <v>1225</v>
      </c>
      <c r="B1227" s="2" t="s">
        <v>3837</v>
      </c>
      <c r="C1227" s="2" t="s">
        <v>3838</v>
      </c>
      <c r="D1227" s="2" t="s">
        <v>3839</v>
      </c>
      <c r="E1227" s="2" t="str">
        <f aca="false">LEFT(C1227,3)</f>
        <v>815</v>
      </c>
      <c r="F1227" s="2" t="str">
        <f aca="false">IF(D1227="","",LEFT(D1227,3))</f>
        <v>826</v>
      </c>
      <c r="G1227" s="2" t="str">
        <f aca="false">IF(F1227="","",IF(E1227=F1227,"Yes","No"))</f>
        <v>No</v>
      </c>
      <c r="H1227" s="2" t="n">
        <f aca="false">IF(D1227="",0,1/COUNTIF($D$2:$D$3451,D1227))</f>
        <v>0.5</v>
      </c>
      <c r="I1227" s="13" t="n">
        <f aca="false">IFERROR(INDEX('NCO-2015 scores'!$C$2:$C$131,MATCH(E1227,'NCO-2015 scores'!$A$2:$A$131,0)),0)</f>
        <v>0.1625</v>
      </c>
      <c r="J1227" s="13" t="n">
        <f aca="false">IF(ISNUMBER(MATCH(E1227,'NCO-2015 scores'!$A$2:$A$131,0)),IF(ISNUMBER(INDEX('NCO-2015 scores'!$C$2:$C$131,MATCH(E1227,'NCO-2015 scores'!$A$2:$A$131,0))),1,0),0)</f>
        <v>1</v>
      </c>
    </row>
    <row r="1228" customFormat="false" ht="15" hidden="false" customHeight="false" outlineLevel="0" collapsed="false">
      <c r="A1228" s="2" t="n">
        <v>1226</v>
      </c>
      <c r="B1228" s="2" t="s">
        <v>3840</v>
      </c>
      <c r="C1228" s="2" t="s">
        <v>3841</v>
      </c>
      <c r="D1228" s="2" t="s">
        <v>3842</v>
      </c>
      <c r="E1228" s="2" t="str">
        <f aca="false">LEFT(C1228,3)</f>
        <v>815</v>
      </c>
      <c r="F1228" s="2" t="str">
        <f aca="false">IF(D1228="","",LEFT(D1228,3))</f>
        <v>826</v>
      </c>
      <c r="G1228" s="2" t="str">
        <f aca="false">IF(F1228="","",IF(E1228=F1228,"Yes","No"))</f>
        <v>No</v>
      </c>
      <c r="H1228" s="2" t="n">
        <f aca="false">IF(D1228="",0,1/COUNTIF($D$2:$D$3451,D1228))</f>
        <v>0.5</v>
      </c>
      <c r="I1228" s="13" t="n">
        <f aca="false">IFERROR(INDEX('NCO-2015 scores'!$C$2:$C$131,MATCH(E1228,'NCO-2015 scores'!$A$2:$A$131,0)),0)</f>
        <v>0.1625</v>
      </c>
      <c r="J1228" s="13" t="n">
        <f aca="false">IF(ISNUMBER(MATCH(E1228,'NCO-2015 scores'!$A$2:$A$131,0)),IF(ISNUMBER(INDEX('NCO-2015 scores'!$C$2:$C$131,MATCH(E1228,'NCO-2015 scores'!$A$2:$A$131,0))),1,0),0)</f>
        <v>1</v>
      </c>
    </row>
    <row r="1229" customFormat="false" ht="15" hidden="false" customHeight="false" outlineLevel="0" collapsed="false">
      <c r="A1229" s="2" t="n">
        <v>1227</v>
      </c>
      <c r="B1229" s="2" t="s">
        <v>3843</v>
      </c>
      <c r="C1229" s="2" t="s">
        <v>3844</v>
      </c>
      <c r="D1229" s="2"/>
      <c r="E1229" s="2" t="str">
        <f aca="false">LEFT(C1229,3)</f>
        <v>815</v>
      </c>
      <c r="F1229" s="2" t="str">
        <f aca="false">IF(D1229="","",LEFT(D1229,3))</f>
        <v/>
      </c>
      <c r="G1229" s="2" t="str">
        <f aca="false">IF(F1229="","",IF(E1229=F1229,"Yes","No"))</f>
        <v/>
      </c>
      <c r="H1229" s="2" t="n">
        <f aca="false">IF(D1229="",0,1/COUNTIF($D$2:$D$3451,D1229))</f>
        <v>0</v>
      </c>
      <c r="I1229" s="13" t="n">
        <f aca="false">IFERROR(INDEX('NCO-2015 scores'!$C$2:$C$131,MATCH(E1229,'NCO-2015 scores'!$A$2:$A$131,0)),0)</f>
        <v>0.1625</v>
      </c>
      <c r="J1229" s="13" t="n">
        <f aca="false">IF(ISNUMBER(MATCH(E1229,'NCO-2015 scores'!$A$2:$A$131,0)),IF(ISNUMBER(INDEX('NCO-2015 scores'!$C$2:$C$131,MATCH(E1229,'NCO-2015 scores'!$A$2:$A$131,0))),1,0),0)</f>
        <v>1</v>
      </c>
    </row>
    <row r="1230" customFormat="false" ht="15" hidden="false" customHeight="false" outlineLevel="0" collapsed="false">
      <c r="A1230" s="2" t="n">
        <v>1228</v>
      </c>
      <c r="B1230" s="2" t="s">
        <v>3845</v>
      </c>
      <c r="C1230" s="2" t="s">
        <v>3846</v>
      </c>
      <c r="D1230" s="2" t="s">
        <v>3847</v>
      </c>
      <c r="E1230" s="2" t="str">
        <f aca="false">LEFT(C1230,3)</f>
        <v>815</v>
      </c>
      <c r="F1230" s="2" t="str">
        <f aca="false">IF(D1230="","",LEFT(D1230,3))</f>
        <v>826</v>
      </c>
      <c r="G1230" s="2" t="str">
        <f aca="false">IF(F1230="","",IF(E1230=F1230,"Yes","No"))</f>
        <v>No</v>
      </c>
      <c r="H1230" s="2" t="n">
        <f aca="false">IF(D1230="",0,1/COUNTIF($D$2:$D$3451,D1230))</f>
        <v>0.5</v>
      </c>
      <c r="I1230" s="13" t="n">
        <f aca="false">IFERROR(INDEX('NCO-2015 scores'!$C$2:$C$131,MATCH(E1230,'NCO-2015 scores'!$A$2:$A$131,0)),0)</f>
        <v>0.1625</v>
      </c>
      <c r="J1230" s="13" t="n">
        <f aca="false">IF(ISNUMBER(MATCH(E1230,'NCO-2015 scores'!$A$2:$A$131,0)),IF(ISNUMBER(INDEX('NCO-2015 scores'!$C$2:$C$131,MATCH(E1230,'NCO-2015 scores'!$A$2:$A$131,0))),1,0),0)</f>
        <v>1</v>
      </c>
    </row>
    <row r="1231" customFormat="false" ht="15" hidden="false" customHeight="false" outlineLevel="0" collapsed="false">
      <c r="A1231" s="2" t="n">
        <v>1229</v>
      </c>
      <c r="B1231" s="2" t="s">
        <v>3848</v>
      </c>
      <c r="C1231" s="2" t="s">
        <v>3849</v>
      </c>
      <c r="D1231" s="2" t="s">
        <v>3850</v>
      </c>
      <c r="E1231" s="2" t="str">
        <f aca="false">LEFT(C1231,3)</f>
        <v>815</v>
      </c>
      <c r="F1231" s="2" t="str">
        <f aca="false">IF(D1231="","",LEFT(D1231,3))</f>
        <v>826</v>
      </c>
      <c r="G1231" s="2" t="str">
        <f aca="false">IF(F1231="","",IF(E1231=F1231,"Yes","No"))</f>
        <v>No</v>
      </c>
      <c r="H1231" s="2" t="n">
        <f aca="false">IF(D1231="",0,1/COUNTIF($D$2:$D$3451,D1231))</f>
        <v>0.5</v>
      </c>
      <c r="I1231" s="13" t="n">
        <f aca="false">IFERROR(INDEX('NCO-2015 scores'!$C$2:$C$131,MATCH(E1231,'NCO-2015 scores'!$A$2:$A$131,0)),0)</f>
        <v>0.1625</v>
      </c>
      <c r="J1231" s="13" t="n">
        <f aca="false">IF(ISNUMBER(MATCH(E1231,'NCO-2015 scores'!$A$2:$A$131,0)),IF(ISNUMBER(INDEX('NCO-2015 scores'!$C$2:$C$131,MATCH(E1231,'NCO-2015 scores'!$A$2:$A$131,0))),1,0),0)</f>
        <v>1</v>
      </c>
    </row>
    <row r="1232" customFormat="false" ht="15" hidden="false" customHeight="false" outlineLevel="0" collapsed="false">
      <c r="A1232" s="2" t="n">
        <v>1230</v>
      </c>
      <c r="B1232" s="2" t="s">
        <v>3851</v>
      </c>
      <c r="C1232" s="2" t="s">
        <v>3852</v>
      </c>
      <c r="D1232" s="2" t="s">
        <v>3853</v>
      </c>
      <c r="E1232" s="2" t="str">
        <f aca="false">LEFT(C1232,3)</f>
        <v>815</v>
      </c>
      <c r="F1232" s="2" t="str">
        <f aca="false">IF(D1232="","",LEFT(D1232,3))</f>
        <v>826</v>
      </c>
      <c r="G1232" s="2" t="str">
        <f aca="false">IF(F1232="","",IF(E1232=F1232,"Yes","No"))</f>
        <v>No</v>
      </c>
      <c r="H1232" s="2" t="n">
        <f aca="false">IF(D1232="",0,1/COUNTIF($D$2:$D$3451,D1232))</f>
        <v>0.5</v>
      </c>
      <c r="I1232" s="13" t="n">
        <f aca="false">IFERROR(INDEX('NCO-2015 scores'!$C$2:$C$131,MATCH(E1232,'NCO-2015 scores'!$A$2:$A$131,0)),0)</f>
        <v>0.1625</v>
      </c>
      <c r="J1232" s="13" t="n">
        <f aca="false">IF(ISNUMBER(MATCH(E1232,'NCO-2015 scores'!$A$2:$A$131,0)),IF(ISNUMBER(INDEX('NCO-2015 scores'!$C$2:$C$131,MATCH(E1232,'NCO-2015 scores'!$A$2:$A$131,0))),1,0),0)</f>
        <v>1</v>
      </c>
    </row>
    <row r="1233" customFormat="false" ht="15" hidden="false" customHeight="false" outlineLevel="0" collapsed="false">
      <c r="A1233" s="2" t="n">
        <v>1231</v>
      </c>
      <c r="B1233" s="2" t="s">
        <v>3854</v>
      </c>
      <c r="C1233" s="2" t="s">
        <v>3855</v>
      </c>
      <c r="D1233" s="2"/>
      <c r="E1233" s="2" t="str">
        <f aca="false">LEFT(C1233,3)</f>
        <v>815</v>
      </c>
      <c r="F1233" s="2" t="str">
        <f aca="false">IF(D1233="","",LEFT(D1233,3))</f>
        <v/>
      </c>
      <c r="G1233" s="2" t="str">
        <f aca="false">IF(F1233="","",IF(E1233=F1233,"Yes","No"))</f>
        <v/>
      </c>
      <c r="H1233" s="2" t="n">
        <f aca="false">IF(D1233="",0,1/COUNTIF($D$2:$D$3451,D1233))</f>
        <v>0</v>
      </c>
      <c r="I1233" s="13" t="n">
        <f aca="false">IFERROR(INDEX('NCO-2015 scores'!$C$2:$C$131,MATCH(E1233,'NCO-2015 scores'!$A$2:$A$131,0)),0)</f>
        <v>0.1625</v>
      </c>
      <c r="J1233" s="13" t="n">
        <f aca="false">IF(ISNUMBER(MATCH(E1233,'NCO-2015 scores'!$A$2:$A$131,0)),IF(ISNUMBER(INDEX('NCO-2015 scores'!$C$2:$C$131,MATCH(E1233,'NCO-2015 scores'!$A$2:$A$131,0))),1,0),0)</f>
        <v>1</v>
      </c>
    </row>
    <row r="1234" customFormat="false" ht="15" hidden="false" customHeight="false" outlineLevel="0" collapsed="false">
      <c r="A1234" s="2" t="n">
        <v>1232</v>
      </c>
      <c r="B1234" s="2" t="s">
        <v>3856</v>
      </c>
      <c r="C1234" s="2" t="s">
        <v>3857</v>
      </c>
      <c r="D1234" s="2" t="s">
        <v>3858</v>
      </c>
      <c r="E1234" s="2" t="str">
        <f aca="false">LEFT(C1234,3)</f>
        <v>815</v>
      </c>
      <c r="F1234" s="2" t="str">
        <f aca="false">IF(D1234="","",LEFT(D1234,3))</f>
        <v>826</v>
      </c>
      <c r="G1234" s="2" t="str">
        <f aca="false">IF(F1234="","",IF(E1234=F1234,"Yes","No"))</f>
        <v>No</v>
      </c>
      <c r="H1234" s="2" t="n">
        <f aca="false">IF(D1234="",0,1/COUNTIF($D$2:$D$3451,D1234))</f>
        <v>1</v>
      </c>
      <c r="I1234" s="13" t="n">
        <f aca="false">IFERROR(INDEX('NCO-2015 scores'!$C$2:$C$131,MATCH(E1234,'NCO-2015 scores'!$A$2:$A$131,0)),0)</f>
        <v>0.1625</v>
      </c>
      <c r="J1234" s="13" t="n">
        <f aca="false">IF(ISNUMBER(MATCH(E1234,'NCO-2015 scores'!$A$2:$A$131,0)),IF(ISNUMBER(INDEX('NCO-2015 scores'!$C$2:$C$131,MATCH(E1234,'NCO-2015 scores'!$A$2:$A$131,0))),1,0),0)</f>
        <v>1</v>
      </c>
    </row>
    <row r="1235" customFormat="false" ht="15" hidden="false" customHeight="false" outlineLevel="0" collapsed="false">
      <c r="A1235" s="2" t="n">
        <v>1233</v>
      </c>
      <c r="B1235" s="2" t="s">
        <v>3859</v>
      </c>
      <c r="C1235" s="2" t="s">
        <v>3860</v>
      </c>
      <c r="D1235" s="2" t="s">
        <v>3861</v>
      </c>
      <c r="E1235" s="2" t="str">
        <f aca="false">LEFT(C1235,3)</f>
        <v>815</v>
      </c>
      <c r="F1235" s="2" t="str">
        <f aca="false">IF(D1235="","",LEFT(D1235,3))</f>
        <v>826</v>
      </c>
      <c r="G1235" s="2" t="str">
        <f aca="false">IF(F1235="","",IF(E1235=F1235,"Yes","No"))</f>
        <v>No</v>
      </c>
      <c r="H1235" s="2" t="n">
        <f aca="false">IF(D1235="",0,1/COUNTIF($D$2:$D$3451,D1235))</f>
        <v>1</v>
      </c>
      <c r="I1235" s="13" t="n">
        <f aca="false">IFERROR(INDEX('NCO-2015 scores'!$C$2:$C$131,MATCH(E1235,'NCO-2015 scores'!$A$2:$A$131,0)),0)</f>
        <v>0.1625</v>
      </c>
      <c r="J1235" s="13" t="n">
        <f aca="false">IF(ISNUMBER(MATCH(E1235,'NCO-2015 scores'!$A$2:$A$131,0)),IF(ISNUMBER(INDEX('NCO-2015 scores'!$C$2:$C$131,MATCH(E1235,'NCO-2015 scores'!$A$2:$A$131,0))),1,0),0)</f>
        <v>1</v>
      </c>
    </row>
    <row r="1236" customFormat="false" ht="15" hidden="false" customHeight="false" outlineLevel="0" collapsed="false">
      <c r="A1236" s="2" t="n">
        <v>1234</v>
      </c>
      <c r="B1236" s="2" t="s">
        <v>3862</v>
      </c>
      <c r="C1236" s="2" t="s">
        <v>3863</v>
      </c>
      <c r="D1236" s="2" t="s">
        <v>3864</v>
      </c>
      <c r="E1236" s="2" t="str">
        <f aca="false">LEFT(C1236,3)</f>
        <v>815</v>
      </c>
      <c r="F1236" s="2" t="str">
        <f aca="false">IF(D1236="","",LEFT(D1236,3))</f>
        <v>826</v>
      </c>
      <c r="G1236" s="2" t="str">
        <f aca="false">IF(F1236="","",IF(E1236=F1236,"Yes","No"))</f>
        <v>No</v>
      </c>
      <c r="H1236" s="2" t="n">
        <f aca="false">IF(D1236="",0,1/COUNTIF($D$2:$D$3451,D1236))</f>
        <v>1</v>
      </c>
      <c r="I1236" s="13" t="n">
        <f aca="false">IFERROR(INDEX('NCO-2015 scores'!$C$2:$C$131,MATCH(E1236,'NCO-2015 scores'!$A$2:$A$131,0)),0)</f>
        <v>0.1625</v>
      </c>
      <c r="J1236" s="13" t="n">
        <f aca="false">IF(ISNUMBER(MATCH(E1236,'NCO-2015 scores'!$A$2:$A$131,0)),IF(ISNUMBER(INDEX('NCO-2015 scores'!$C$2:$C$131,MATCH(E1236,'NCO-2015 scores'!$A$2:$A$131,0))),1,0),0)</f>
        <v>1</v>
      </c>
    </row>
    <row r="1237" customFormat="false" ht="15" hidden="false" customHeight="false" outlineLevel="0" collapsed="false">
      <c r="A1237" s="2" t="n">
        <v>1235</v>
      </c>
      <c r="B1237" s="2" t="s">
        <v>3865</v>
      </c>
      <c r="C1237" s="2" t="s">
        <v>3866</v>
      </c>
      <c r="D1237" s="2" t="s">
        <v>3867</v>
      </c>
      <c r="E1237" s="2" t="str">
        <f aca="false">LEFT(C1237,3)</f>
        <v>815</v>
      </c>
      <c r="F1237" s="2" t="str">
        <f aca="false">IF(D1237="","",LEFT(D1237,3))</f>
        <v>826</v>
      </c>
      <c r="G1237" s="2" t="str">
        <f aca="false">IF(F1237="","",IF(E1237=F1237,"Yes","No"))</f>
        <v>No</v>
      </c>
      <c r="H1237" s="2" t="n">
        <f aca="false">IF(D1237="",0,1/COUNTIF($D$2:$D$3451,D1237))</f>
        <v>1</v>
      </c>
      <c r="I1237" s="13" t="n">
        <f aca="false">IFERROR(INDEX('NCO-2015 scores'!$C$2:$C$131,MATCH(E1237,'NCO-2015 scores'!$A$2:$A$131,0)),0)</f>
        <v>0.1625</v>
      </c>
      <c r="J1237" s="13" t="n">
        <f aca="false">IF(ISNUMBER(MATCH(E1237,'NCO-2015 scores'!$A$2:$A$131,0)),IF(ISNUMBER(INDEX('NCO-2015 scores'!$C$2:$C$131,MATCH(E1237,'NCO-2015 scores'!$A$2:$A$131,0))),1,0),0)</f>
        <v>1</v>
      </c>
    </row>
    <row r="1238" customFormat="false" ht="15" hidden="false" customHeight="false" outlineLevel="0" collapsed="false">
      <c r="A1238" s="2" t="n">
        <v>1236</v>
      </c>
      <c r="B1238" s="2" t="s">
        <v>3868</v>
      </c>
      <c r="C1238" s="2" t="s">
        <v>3869</v>
      </c>
      <c r="D1238" s="2" t="s">
        <v>3870</v>
      </c>
      <c r="E1238" s="2" t="str">
        <f aca="false">LEFT(C1238,3)</f>
        <v>815</v>
      </c>
      <c r="F1238" s="2" t="str">
        <f aca="false">IF(D1238="","",LEFT(D1238,3))</f>
        <v>826</v>
      </c>
      <c r="G1238" s="2" t="str">
        <f aca="false">IF(F1238="","",IF(E1238=F1238,"Yes","No"))</f>
        <v>No</v>
      </c>
      <c r="H1238" s="2" t="n">
        <f aca="false">IF(D1238="",0,1/COUNTIF($D$2:$D$3451,D1238))</f>
        <v>1</v>
      </c>
      <c r="I1238" s="13" t="n">
        <f aca="false">IFERROR(INDEX('NCO-2015 scores'!$C$2:$C$131,MATCH(E1238,'NCO-2015 scores'!$A$2:$A$131,0)),0)</f>
        <v>0.1625</v>
      </c>
      <c r="J1238" s="13" t="n">
        <f aca="false">IF(ISNUMBER(MATCH(E1238,'NCO-2015 scores'!$A$2:$A$131,0)),IF(ISNUMBER(INDEX('NCO-2015 scores'!$C$2:$C$131,MATCH(E1238,'NCO-2015 scores'!$A$2:$A$131,0))),1,0),0)</f>
        <v>1</v>
      </c>
    </row>
    <row r="1239" customFormat="false" ht="15" hidden="false" customHeight="false" outlineLevel="0" collapsed="false">
      <c r="A1239" s="2" t="n">
        <v>1237</v>
      </c>
      <c r="B1239" s="2" t="s">
        <v>3871</v>
      </c>
      <c r="C1239" s="2" t="s">
        <v>3872</v>
      </c>
      <c r="D1239" s="2" t="s">
        <v>3873</v>
      </c>
      <c r="E1239" s="2" t="str">
        <f aca="false">LEFT(C1239,3)</f>
        <v>815</v>
      </c>
      <c r="F1239" s="2" t="str">
        <f aca="false">IF(D1239="","",LEFT(D1239,3))</f>
        <v>826</v>
      </c>
      <c r="G1239" s="2" t="str">
        <f aca="false">IF(F1239="","",IF(E1239=F1239,"Yes","No"))</f>
        <v>No</v>
      </c>
      <c r="H1239" s="2" t="n">
        <f aca="false">IF(D1239="",0,1/COUNTIF($D$2:$D$3451,D1239))</f>
        <v>1</v>
      </c>
      <c r="I1239" s="13" t="n">
        <f aca="false">IFERROR(INDEX('NCO-2015 scores'!$C$2:$C$131,MATCH(E1239,'NCO-2015 scores'!$A$2:$A$131,0)),0)</f>
        <v>0.1625</v>
      </c>
      <c r="J1239" s="13" t="n">
        <f aca="false">IF(ISNUMBER(MATCH(E1239,'NCO-2015 scores'!$A$2:$A$131,0)),IF(ISNUMBER(INDEX('NCO-2015 scores'!$C$2:$C$131,MATCH(E1239,'NCO-2015 scores'!$A$2:$A$131,0))),1,0),0)</f>
        <v>1</v>
      </c>
    </row>
    <row r="1240" customFormat="false" ht="15" hidden="false" customHeight="false" outlineLevel="0" collapsed="false">
      <c r="A1240" s="2" t="n">
        <v>1238</v>
      </c>
      <c r="B1240" s="2" t="s">
        <v>3874</v>
      </c>
      <c r="C1240" s="2" t="s">
        <v>3832</v>
      </c>
      <c r="D1240" s="2" t="s">
        <v>3833</v>
      </c>
      <c r="E1240" s="2" t="str">
        <f aca="false">LEFT(C1240,3)</f>
        <v>815</v>
      </c>
      <c r="F1240" s="2" t="str">
        <f aca="false">IF(D1240="","",LEFT(D1240,3))</f>
        <v>826</v>
      </c>
      <c r="G1240" s="2" t="str">
        <f aca="false">IF(F1240="","",IF(E1240=F1240,"Yes","No"))</f>
        <v>No</v>
      </c>
      <c r="H1240" s="2" t="n">
        <f aca="false">IF(D1240="",0,1/COUNTIF($D$2:$D$3451,D1240))</f>
        <v>0.5</v>
      </c>
      <c r="I1240" s="13" t="n">
        <f aca="false">IFERROR(INDEX('NCO-2015 scores'!$C$2:$C$131,MATCH(E1240,'NCO-2015 scores'!$A$2:$A$131,0)),0)</f>
        <v>0.1625</v>
      </c>
      <c r="J1240" s="13" t="n">
        <f aca="false">IF(ISNUMBER(MATCH(E1240,'NCO-2015 scores'!$A$2:$A$131,0)),IF(ISNUMBER(INDEX('NCO-2015 scores'!$C$2:$C$131,MATCH(E1240,'NCO-2015 scores'!$A$2:$A$131,0))),1,0),0)</f>
        <v>1</v>
      </c>
    </row>
    <row r="1241" customFormat="false" ht="15" hidden="false" customHeight="false" outlineLevel="0" collapsed="false">
      <c r="A1241" s="2" t="n">
        <v>1239</v>
      </c>
      <c r="B1241" s="2" t="s">
        <v>3851</v>
      </c>
      <c r="C1241" s="2" t="s">
        <v>3852</v>
      </c>
      <c r="D1241" s="2" t="s">
        <v>3853</v>
      </c>
      <c r="E1241" s="2" t="str">
        <f aca="false">LEFT(C1241,3)</f>
        <v>815</v>
      </c>
      <c r="F1241" s="2" t="str">
        <f aca="false">IF(D1241="","",LEFT(D1241,3))</f>
        <v>826</v>
      </c>
      <c r="G1241" s="2" t="str">
        <f aca="false">IF(F1241="","",IF(E1241=F1241,"Yes","No"))</f>
        <v>No</v>
      </c>
      <c r="H1241" s="2" t="n">
        <f aca="false">IF(D1241="",0,1/COUNTIF($D$2:$D$3451,D1241))</f>
        <v>0.5</v>
      </c>
      <c r="I1241" s="13" t="n">
        <f aca="false">IFERROR(INDEX('NCO-2015 scores'!$C$2:$C$131,MATCH(E1241,'NCO-2015 scores'!$A$2:$A$131,0)),0)</f>
        <v>0.1625</v>
      </c>
      <c r="J1241" s="13" t="n">
        <f aca="false">IF(ISNUMBER(MATCH(E1241,'NCO-2015 scores'!$A$2:$A$131,0)),IF(ISNUMBER(INDEX('NCO-2015 scores'!$C$2:$C$131,MATCH(E1241,'NCO-2015 scores'!$A$2:$A$131,0))),1,0),0)</f>
        <v>1</v>
      </c>
    </row>
    <row r="1242" customFormat="false" ht="15" hidden="false" customHeight="false" outlineLevel="0" collapsed="false">
      <c r="A1242" s="2" t="n">
        <v>1240</v>
      </c>
      <c r="B1242" s="2" t="s">
        <v>3834</v>
      </c>
      <c r="C1242" s="2" t="s">
        <v>3835</v>
      </c>
      <c r="D1242" s="2" t="s">
        <v>3836</v>
      </c>
      <c r="E1242" s="2" t="str">
        <f aca="false">LEFT(C1242,3)</f>
        <v>815</v>
      </c>
      <c r="F1242" s="2" t="str">
        <f aca="false">IF(D1242="","",LEFT(D1242,3))</f>
        <v>826</v>
      </c>
      <c r="G1242" s="2" t="str">
        <f aca="false">IF(F1242="","",IF(E1242=F1242,"Yes","No"))</f>
        <v>No</v>
      </c>
      <c r="H1242" s="2" t="n">
        <f aca="false">IF(D1242="",0,1/COUNTIF($D$2:$D$3451,D1242))</f>
        <v>0.5</v>
      </c>
      <c r="I1242" s="13" t="n">
        <f aca="false">IFERROR(INDEX('NCO-2015 scores'!$C$2:$C$131,MATCH(E1242,'NCO-2015 scores'!$A$2:$A$131,0)),0)</f>
        <v>0.1625</v>
      </c>
      <c r="J1242" s="13" t="n">
        <f aca="false">IF(ISNUMBER(MATCH(E1242,'NCO-2015 scores'!$A$2:$A$131,0)),IF(ISNUMBER(INDEX('NCO-2015 scores'!$C$2:$C$131,MATCH(E1242,'NCO-2015 scores'!$A$2:$A$131,0))),1,0),0)</f>
        <v>1</v>
      </c>
    </row>
    <row r="1243" customFormat="false" ht="15" hidden="false" customHeight="false" outlineLevel="0" collapsed="false">
      <c r="A1243" s="2" t="n">
        <v>1241</v>
      </c>
      <c r="B1243" s="2" t="s">
        <v>3837</v>
      </c>
      <c r="C1243" s="2" t="s">
        <v>3838</v>
      </c>
      <c r="D1243" s="2" t="s">
        <v>3839</v>
      </c>
      <c r="E1243" s="2" t="str">
        <f aca="false">LEFT(C1243,3)</f>
        <v>815</v>
      </c>
      <c r="F1243" s="2" t="str">
        <f aca="false">IF(D1243="","",LEFT(D1243,3))</f>
        <v>826</v>
      </c>
      <c r="G1243" s="2" t="str">
        <f aca="false">IF(F1243="","",IF(E1243=F1243,"Yes","No"))</f>
        <v>No</v>
      </c>
      <c r="H1243" s="2" t="n">
        <f aca="false">IF(D1243="",0,1/COUNTIF($D$2:$D$3451,D1243))</f>
        <v>0.5</v>
      </c>
      <c r="I1243" s="13" t="n">
        <f aca="false">IFERROR(INDEX('NCO-2015 scores'!$C$2:$C$131,MATCH(E1243,'NCO-2015 scores'!$A$2:$A$131,0)),0)</f>
        <v>0.1625</v>
      </c>
      <c r="J1243" s="13" t="n">
        <f aca="false">IF(ISNUMBER(MATCH(E1243,'NCO-2015 scores'!$A$2:$A$131,0)),IF(ISNUMBER(INDEX('NCO-2015 scores'!$C$2:$C$131,MATCH(E1243,'NCO-2015 scores'!$A$2:$A$131,0))),1,0),0)</f>
        <v>1</v>
      </c>
    </row>
    <row r="1244" customFormat="false" ht="15" hidden="false" customHeight="false" outlineLevel="0" collapsed="false">
      <c r="A1244" s="2" t="n">
        <v>1242</v>
      </c>
      <c r="B1244" s="2" t="s">
        <v>3840</v>
      </c>
      <c r="C1244" s="2" t="s">
        <v>3841</v>
      </c>
      <c r="D1244" s="2" t="s">
        <v>3842</v>
      </c>
      <c r="E1244" s="2" t="str">
        <f aca="false">LEFT(C1244,3)</f>
        <v>815</v>
      </c>
      <c r="F1244" s="2" t="str">
        <f aca="false">IF(D1244="","",LEFT(D1244,3))</f>
        <v>826</v>
      </c>
      <c r="G1244" s="2" t="str">
        <f aca="false">IF(F1244="","",IF(E1244=F1244,"Yes","No"))</f>
        <v>No</v>
      </c>
      <c r="H1244" s="2" t="n">
        <f aca="false">IF(D1244="",0,1/COUNTIF($D$2:$D$3451,D1244))</f>
        <v>0.5</v>
      </c>
      <c r="I1244" s="13" t="n">
        <f aca="false">IFERROR(INDEX('NCO-2015 scores'!$C$2:$C$131,MATCH(E1244,'NCO-2015 scores'!$A$2:$A$131,0)),0)</f>
        <v>0.1625</v>
      </c>
      <c r="J1244" s="13" t="n">
        <f aca="false">IF(ISNUMBER(MATCH(E1244,'NCO-2015 scores'!$A$2:$A$131,0)),IF(ISNUMBER(INDEX('NCO-2015 scores'!$C$2:$C$131,MATCH(E1244,'NCO-2015 scores'!$A$2:$A$131,0))),1,0),0)</f>
        <v>1</v>
      </c>
    </row>
    <row r="1245" customFormat="false" ht="15" hidden="false" customHeight="false" outlineLevel="0" collapsed="false">
      <c r="A1245" s="2" t="n">
        <v>1243</v>
      </c>
      <c r="B1245" s="2" t="s">
        <v>3848</v>
      </c>
      <c r="C1245" s="2" t="s">
        <v>3849</v>
      </c>
      <c r="D1245" s="2" t="s">
        <v>3850</v>
      </c>
      <c r="E1245" s="2" t="str">
        <f aca="false">LEFT(C1245,3)</f>
        <v>815</v>
      </c>
      <c r="F1245" s="2" t="str">
        <f aca="false">IF(D1245="","",LEFT(D1245,3))</f>
        <v>826</v>
      </c>
      <c r="G1245" s="2" t="str">
        <f aca="false">IF(F1245="","",IF(E1245=F1245,"Yes","No"))</f>
        <v>No</v>
      </c>
      <c r="H1245" s="2" t="n">
        <f aca="false">IF(D1245="",0,1/COUNTIF($D$2:$D$3451,D1245))</f>
        <v>0.5</v>
      </c>
      <c r="I1245" s="13" t="n">
        <f aca="false">IFERROR(INDEX('NCO-2015 scores'!$C$2:$C$131,MATCH(E1245,'NCO-2015 scores'!$A$2:$A$131,0)),0)</f>
        <v>0.1625</v>
      </c>
      <c r="J1245" s="13" t="n">
        <f aca="false">IF(ISNUMBER(MATCH(E1245,'NCO-2015 scores'!$A$2:$A$131,0)),IF(ISNUMBER(INDEX('NCO-2015 scores'!$C$2:$C$131,MATCH(E1245,'NCO-2015 scores'!$A$2:$A$131,0))),1,0),0)</f>
        <v>1</v>
      </c>
    </row>
    <row r="1246" customFormat="false" ht="15" hidden="false" customHeight="false" outlineLevel="0" collapsed="false">
      <c r="A1246" s="2" t="n">
        <v>1244</v>
      </c>
      <c r="B1246" s="2" t="s">
        <v>3843</v>
      </c>
      <c r="C1246" s="2" t="s">
        <v>3844</v>
      </c>
      <c r="D1246" s="2"/>
      <c r="E1246" s="2" t="str">
        <f aca="false">LEFT(C1246,3)</f>
        <v>815</v>
      </c>
      <c r="F1246" s="2" t="str">
        <f aca="false">IF(D1246="","",LEFT(D1246,3))</f>
        <v/>
      </c>
      <c r="G1246" s="2" t="str">
        <f aca="false">IF(F1246="","",IF(E1246=F1246,"Yes","No"))</f>
        <v/>
      </c>
      <c r="H1246" s="2" t="n">
        <f aca="false">IF(D1246="",0,1/COUNTIF($D$2:$D$3451,D1246))</f>
        <v>0</v>
      </c>
      <c r="I1246" s="13" t="n">
        <f aca="false">IFERROR(INDEX('NCO-2015 scores'!$C$2:$C$131,MATCH(E1246,'NCO-2015 scores'!$A$2:$A$131,0)),0)</f>
        <v>0.1625</v>
      </c>
      <c r="J1246" s="13" t="n">
        <f aca="false">IF(ISNUMBER(MATCH(E1246,'NCO-2015 scores'!$A$2:$A$131,0)),IF(ISNUMBER(INDEX('NCO-2015 scores'!$C$2:$C$131,MATCH(E1246,'NCO-2015 scores'!$A$2:$A$131,0))),1,0),0)</f>
        <v>1</v>
      </c>
    </row>
    <row r="1247" customFormat="false" ht="15" hidden="false" customHeight="false" outlineLevel="0" collapsed="false">
      <c r="A1247" s="2" t="n">
        <v>1245</v>
      </c>
      <c r="B1247" s="2" t="s">
        <v>3845</v>
      </c>
      <c r="C1247" s="2" t="s">
        <v>3846</v>
      </c>
      <c r="D1247" s="2" t="s">
        <v>3847</v>
      </c>
      <c r="E1247" s="2" t="str">
        <f aca="false">LEFT(C1247,3)</f>
        <v>815</v>
      </c>
      <c r="F1247" s="2" t="str">
        <f aca="false">IF(D1247="","",LEFT(D1247,3))</f>
        <v>826</v>
      </c>
      <c r="G1247" s="2" t="str">
        <f aca="false">IF(F1247="","",IF(E1247=F1247,"Yes","No"))</f>
        <v>No</v>
      </c>
      <c r="H1247" s="2" t="n">
        <f aca="false">IF(D1247="",0,1/COUNTIF($D$2:$D$3451,D1247))</f>
        <v>0.5</v>
      </c>
      <c r="I1247" s="13" t="n">
        <f aca="false">IFERROR(INDEX('NCO-2015 scores'!$C$2:$C$131,MATCH(E1247,'NCO-2015 scores'!$A$2:$A$131,0)),0)</f>
        <v>0.1625</v>
      </c>
      <c r="J1247" s="13" t="n">
        <f aca="false">IF(ISNUMBER(MATCH(E1247,'NCO-2015 scores'!$A$2:$A$131,0)),IF(ISNUMBER(INDEX('NCO-2015 scores'!$C$2:$C$131,MATCH(E1247,'NCO-2015 scores'!$A$2:$A$131,0))),1,0),0)</f>
        <v>1</v>
      </c>
    </row>
    <row r="1248" customFormat="false" ht="15" hidden="false" customHeight="false" outlineLevel="0" collapsed="false">
      <c r="A1248" s="2" t="n">
        <v>1246</v>
      </c>
      <c r="B1248" s="2" t="s">
        <v>3875</v>
      </c>
      <c r="C1248" s="2" t="s">
        <v>3876</v>
      </c>
      <c r="D1248" s="2" t="s">
        <v>3877</v>
      </c>
      <c r="E1248" s="2" t="str">
        <f aca="false">LEFT(C1248,3)</f>
        <v>961</v>
      </c>
      <c r="F1248" s="2" t="str">
        <f aca="false">IF(D1248="","",LEFT(D1248,3))</f>
        <v>916</v>
      </c>
      <c r="G1248" s="2" t="str">
        <f aca="false">IF(F1248="","",IF(E1248=F1248,"Yes","No"))</f>
        <v>No</v>
      </c>
      <c r="H1248" s="2" t="n">
        <f aca="false">IF(D1248="",0,1/COUNTIF($D$2:$D$3451,D1248))</f>
        <v>1</v>
      </c>
      <c r="I1248" s="13" t="n">
        <f aca="false">IFERROR(INDEX('NCO-2015 scores'!$C$2:$C$131,MATCH(E1248,'NCO-2015 scores'!$A$2:$A$131,0)),0)</f>
        <v>0.12</v>
      </c>
      <c r="J1248" s="13" t="n">
        <f aca="false">IF(ISNUMBER(MATCH(E1248,'NCO-2015 scores'!$A$2:$A$131,0)),IF(ISNUMBER(INDEX('NCO-2015 scores'!$C$2:$C$131,MATCH(E1248,'NCO-2015 scores'!$A$2:$A$131,0))),1,0),0)</f>
        <v>1</v>
      </c>
    </row>
    <row r="1249" customFormat="false" ht="15" hidden="false" customHeight="false" outlineLevel="0" collapsed="false">
      <c r="A1249" s="2" t="n">
        <v>1247</v>
      </c>
      <c r="B1249" s="2" t="s">
        <v>3878</v>
      </c>
      <c r="C1249" s="2" t="s">
        <v>3879</v>
      </c>
      <c r="D1249" s="2" t="s">
        <v>3880</v>
      </c>
      <c r="E1249" s="2" t="str">
        <f aca="false">LEFT(C1249,3)</f>
        <v>961</v>
      </c>
      <c r="F1249" s="2" t="str">
        <f aca="false">IF(D1249="","",LEFT(D1249,3))</f>
        <v>916</v>
      </c>
      <c r="G1249" s="2" t="str">
        <f aca="false">IF(F1249="","",IF(E1249=F1249,"Yes","No"))</f>
        <v>No</v>
      </c>
      <c r="H1249" s="2" t="n">
        <f aca="false">IF(D1249="",0,1/COUNTIF($D$2:$D$3451,D1249))</f>
        <v>1</v>
      </c>
      <c r="I1249" s="13" t="n">
        <f aca="false">IFERROR(INDEX('NCO-2015 scores'!$C$2:$C$131,MATCH(E1249,'NCO-2015 scores'!$A$2:$A$131,0)),0)</f>
        <v>0.12</v>
      </c>
      <c r="J1249" s="13" t="n">
        <f aca="false">IF(ISNUMBER(MATCH(E1249,'NCO-2015 scores'!$A$2:$A$131,0)),IF(ISNUMBER(INDEX('NCO-2015 scores'!$C$2:$C$131,MATCH(E1249,'NCO-2015 scores'!$A$2:$A$131,0))),1,0),0)</f>
        <v>1</v>
      </c>
    </row>
    <row r="1250" customFormat="false" ht="15" hidden="false" customHeight="false" outlineLevel="0" collapsed="false">
      <c r="A1250" s="2" t="n">
        <v>1248</v>
      </c>
      <c r="B1250" s="2" t="s">
        <v>3881</v>
      </c>
      <c r="C1250" s="2" t="s">
        <v>3882</v>
      </c>
      <c r="D1250" s="2"/>
      <c r="E1250" s="2" t="str">
        <f aca="false">LEFT(C1250,3)</f>
        <v>961</v>
      </c>
      <c r="F1250" s="2" t="str">
        <f aca="false">IF(D1250="","",LEFT(D1250,3))</f>
        <v/>
      </c>
      <c r="G1250" s="2" t="str">
        <f aca="false">IF(F1250="","",IF(E1250=F1250,"Yes","No"))</f>
        <v/>
      </c>
      <c r="H1250" s="2" t="n">
        <f aca="false">IF(D1250="",0,1/COUNTIF($D$2:$D$3451,D1250))</f>
        <v>0</v>
      </c>
      <c r="I1250" s="13" t="n">
        <f aca="false">IFERROR(INDEX('NCO-2015 scores'!$C$2:$C$131,MATCH(E1250,'NCO-2015 scores'!$A$2:$A$131,0)),0)</f>
        <v>0.12</v>
      </c>
      <c r="J1250" s="13" t="n">
        <f aca="false">IF(ISNUMBER(MATCH(E1250,'NCO-2015 scores'!$A$2:$A$131,0)),IF(ISNUMBER(INDEX('NCO-2015 scores'!$C$2:$C$131,MATCH(E1250,'NCO-2015 scores'!$A$2:$A$131,0))),1,0),0)</f>
        <v>1</v>
      </c>
    </row>
    <row r="1251" customFormat="false" ht="15" hidden="false" customHeight="false" outlineLevel="0" collapsed="false">
      <c r="A1251" s="2" t="n">
        <v>1249</v>
      </c>
      <c r="B1251" s="2" t="s">
        <v>3883</v>
      </c>
      <c r="C1251" s="2" t="s">
        <v>3884</v>
      </c>
      <c r="D1251" s="2" t="s">
        <v>3885</v>
      </c>
      <c r="E1251" s="2" t="str">
        <f aca="false">LEFT(C1251,3)</f>
        <v>611</v>
      </c>
      <c r="F1251" s="2" t="str">
        <f aca="false">IF(D1251="","",LEFT(D1251,3))</f>
        <v>611</v>
      </c>
      <c r="G1251" s="2" t="str">
        <f aca="false">IF(F1251="","",IF(E1251=F1251,"Yes","No"))</f>
        <v>Yes</v>
      </c>
      <c r="H1251" s="2" t="n">
        <f aca="false">IF(D1251="",0,1/COUNTIF($D$2:$D$3451,D1251))</f>
        <v>1</v>
      </c>
      <c r="I1251" s="13" t="n">
        <f aca="false">IFERROR(INDEX('NCO-2015 scores'!$C$2:$C$131,MATCH(E1251,'NCO-2015 scores'!$A$2:$A$131,0)),0)</f>
        <v>0.175</v>
      </c>
      <c r="J1251" s="13" t="n">
        <f aca="false">IF(ISNUMBER(MATCH(E1251,'NCO-2015 scores'!$A$2:$A$131,0)),IF(ISNUMBER(INDEX('NCO-2015 scores'!$C$2:$C$131,MATCH(E1251,'NCO-2015 scores'!$A$2:$A$131,0))),1,0),0)</f>
        <v>1</v>
      </c>
    </row>
    <row r="1252" customFormat="false" ht="15" hidden="false" customHeight="false" outlineLevel="0" collapsed="false">
      <c r="A1252" s="2" t="n">
        <v>1250</v>
      </c>
      <c r="B1252" s="2" t="s">
        <v>3886</v>
      </c>
      <c r="C1252" s="2" t="s">
        <v>3887</v>
      </c>
      <c r="D1252" s="2" t="s">
        <v>3888</v>
      </c>
      <c r="E1252" s="2" t="str">
        <f aca="false">LEFT(C1252,3)</f>
        <v>611</v>
      </c>
      <c r="F1252" s="2" t="str">
        <f aca="false">IF(D1252="","",LEFT(D1252,3))</f>
        <v>611</v>
      </c>
      <c r="G1252" s="2" t="str">
        <f aca="false">IF(F1252="","",IF(E1252=F1252,"Yes","No"))</f>
        <v>Yes</v>
      </c>
      <c r="H1252" s="2" t="n">
        <f aca="false">IF(D1252="",0,1/COUNTIF($D$2:$D$3451,D1252))</f>
        <v>1</v>
      </c>
      <c r="I1252" s="13" t="n">
        <f aca="false">IFERROR(INDEX('NCO-2015 scores'!$C$2:$C$131,MATCH(E1252,'NCO-2015 scores'!$A$2:$A$131,0)),0)</f>
        <v>0.175</v>
      </c>
      <c r="J1252" s="13" t="n">
        <f aca="false">IF(ISNUMBER(MATCH(E1252,'NCO-2015 scores'!$A$2:$A$131,0)),IF(ISNUMBER(INDEX('NCO-2015 scores'!$C$2:$C$131,MATCH(E1252,'NCO-2015 scores'!$A$2:$A$131,0))),1,0),0)</f>
        <v>1</v>
      </c>
    </row>
    <row r="1253" customFormat="false" ht="15" hidden="false" customHeight="false" outlineLevel="0" collapsed="false">
      <c r="A1253" s="2" t="n">
        <v>1251</v>
      </c>
      <c r="B1253" s="2" t="s">
        <v>3889</v>
      </c>
      <c r="C1253" s="2" t="s">
        <v>3890</v>
      </c>
      <c r="D1253" s="2" t="s">
        <v>3891</v>
      </c>
      <c r="E1253" s="2" t="str">
        <f aca="false">LEFT(C1253,3)</f>
        <v>611</v>
      </c>
      <c r="F1253" s="2" t="str">
        <f aca="false">IF(D1253="","",LEFT(D1253,3))</f>
        <v>611</v>
      </c>
      <c r="G1253" s="2" t="str">
        <f aca="false">IF(F1253="","",IF(E1253=F1253,"Yes","No"))</f>
        <v>Yes</v>
      </c>
      <c r="H1253" s="2" t="n">
        <f aca="false">IF(D1253="",0,1/COUNTIF($D$2:$D$3451,D1253))</f>
        <v>1</v>
      </c>
      <c r="I1253" s="13" t="n">
        <f aca="false">IFERROR(INDEX('NCO-2015 scores'!$C$2:$C$131,MATCH(E1253,'NCO-2015 scores'!$A$2:$A$131,0)),0)</f>
        <v>0.175</v>
      </c>
      <c r="J1253" s="13" t="n">
        <f aca="false">IF(ISNUMBER(MATCH(E1253,'NCO-2015 scores'!$A$2:$A$131,0)),IF(ISNUMBER(INDEX('NCO-2015 scores'!$C$2:$C$131,MATCH(E1253,'NCO-2015 scores'!$A$2:$A$131,0))),1,0),0)</f>
        <v>1</v>
      </c>
    </row>
    <row r="1254" customFormat="false" ht="15" hidden="false" customHeight="false" outlineLevel="0" collapsed="false">
      <c r="A1254" s="2" t="n">
        <v>1252</v>
      </c>
      <c r="B1254" s="2" t="s">
        <v>3892</v>
      </c>
      <c r="C1254" s="2" t="s">
        <v>3893</v>
      </c>
      <c r="D1254" s="2" t="s">
        <v>3894</v>
      </c>
      <c r="E1254" s="2" t="str">
        <f aca="false">LEFT(C1254,3)</f>
        <v>611</v>
      </c>
      <c r="F1254" s="2" t="str">
        <f aca="false">IF(D1254="","",LEFT(D1254,3))</f>
        <v>611</v>
      </c>
      <c r="G1254" s="2" t="str">
        <f aca="false">IF(F1254="","",IF(E1254=F1254,"Yes","No"))</f>
        <v>Yes</v>
      </c>
      <c r="H1254" s="2" t="n">
        <f aca="false">IF(D1254="",0,1/COUNTIF($D$2:$D$3451,D1254))</f>
        <v>1</v>
      </c>
      <c r="I1254" s="13" t="n">
        <f aca="false">IFERROR(INDEX('NCO-2015 scores'!$C$2:$C$131,MATCH(E1254,'NCO-2015 scores'!$A$2:$A$131,0)),0)</f>
        <v>0.175</v>
      </c>
      <c r="J1254" s="13" t="n">
        <f aca="false">IF(ISNUMBER(MATCH(E1254,'NCO-2015 scores'!$A$2:$A$131,0)),IF(ISNUMBER(INDEX('NCO-2015 scores'!$C$2:$C$131,MATCH(E1254,'NCO-2015 scores'!$A$2:$A$131,0))),1,0),0)</f>
        <v>1</v>
      </c>
    </row>
    <row r="1255" customFormat="false" ht="15" hidden="false" customHeight="false" outlineLevel="0" collapsed="false">
      <c r="A1255" s="2" t="n">
        <v>1253</v>
      </c>
      <c r="B1255" s="2" t="s">
        <v>3895</v>
      </c>
      <c r="C1255" s="2" t="s">
        <v>3896</v>
      </c>
      <c r="D1255" s="2"/>
      <c r="E1255" s="2" t="str">
        <f aca="false">LEFT(C1255,3)</f>
        <v>611</v>
      </c>
      <c r="F1255" s="2" t="str">
        <f aca="false">IF(D1255="","",LEFT(D1255,3))</f>
        <v/>
      </c>
      <c r="G1255" s="2" t="str">
        <f aca="false">IF(F1255="","",IF(E1255=F1255,"Yes","No"))</f>
        <v/>
      </c>
      <c r="H1255" s="2" t="n">
        <f aca="false">IF(D1255="",0,1/COUNTIF($D$2:$D$3451,D1255))</f>
        <v>0</v>
      </c>
      <c r="I1255" s="13" t="n">
        <f aca="false">IFERROR(INDEX('NCO-2015 scores'!$C$2:$C$131,MATCH(E1255,'NCO-2015 scores'!$A$2:$A$131,0)),0)</f>
        <v>0.175</v>
      </c>
      <c r="J1255" s="13" t="n">
        <f aca="false">IF(ISNUMBER(MATCH(E1255,'NCO-2015 scores'!$A$2:$A$131,0)),IF(ISNUMBER(INDEX('NCO-2015 scores'!$C$2:$C$131,MATCH(E1255,'NCO-2015 scores'!$A$2:$A$131,0))),1,0),0)</f>
        <v>1</v>
      </c>
    </row>
    <row r="1256" customFormat="false" ht="15" hidden="false" customHeight="false" outlineLevel="0" collapsed="false">
      <c r="A1256" s="2" t="n">
        <v>1254</v>
      </c>
      <c r="B1256" s="2" t="s">
        <v>3897</v>
      </c>
      <c r="C1256" s="2" t="s">
        <v>3898</v>
      </c>
      <c r="D1256" s="2" t="s">
        <v>3899</v>
      </c>
      <c r="E1256" s="2" t="str">
        <f aca="false">LEFT(C1256,3)</f>
        <v>611</v>
      </c>
      <c r="F1256" s="2" t="str">
        <f aca="false">IF(D1256="","",LEFT(D1256,3))</f>
        <v>611</v>
      </c>
      <c r="G1256" s="2" t="str">
        <f aca="false">IF(F1256="","",IF(E1256=F1256,"Yes","No"))</f>
        <v>Yes</v>
      </c>
      <c r="H1256" s="2" t="n">
        <f aca="false">IF(D1256="",0,1/COUNTIF($D$2:$D$3451,D1256))</f>
        <v>1</v>
      </c>
      <c r="I1256" s="13" t="n">
        <f aca="false">IFERROR(INDEX('NCO-2015 scores'!$C$2:$C$131,MATCH(E1256,'NCO-2015 scores'!$A$2:$A$131,0)),0)</f>
        <v>0.175</v>
      </c>
      <c r="J1256" s="13" t="n">
        <f aca="false">IF(ISNUMBER(MATCH(E1256,'NCO-2015 scores'!$A$2:$A$131,0)),IF(ISNUMBER(INDEX('NCO-2015 scores'!$C$2:$C$131,MATCH(E1256,'NCO-2015 scores'!$A$2:$A$131,0))),1,0),0)</f>
        <v>1</v>
      </c>
    </row>
    <row r="1257" customFormat="false" ht="15" hidden="false" customHeight="false" outlineLevel="0" collapsed="false">
      <c r="A1257" s="2" t="n">
        <v>1255</v>
      </c>
      <c r="B1257" s="2" t="s">
        <v>3900</v>
      </c>
      <c r="C1257" s="2" t="s">
        <v>3901</v>
      </c>
      <c r="D1257" s="2"/>
      <c r="E1257" s="2" t="str">
        <f aca="false">LEFT(C1257,3)</f>
        <v>611</v>
      </c>
      <c r="F1257" s="2" t="str">
        <f aca="false">IF(D1257="","",LEFT(D1257,3))</f>
        <v/>
      </c>
      <c r="G1257" s="2" t="str">
        <f aca="false">IF(F1257="","",IF(E1257=F1257,"Yes","No"))</f>
        <v/>
      </c>
      <c r="H1257" s="2" t="n">
        <f aca="false">IF(D1257="",0,1/COUNTIF($D$2:$D$3451,D1257))</f>
        <v>0</v>
      </c>
      <c r="I1257" s="13" t="n">
        <f aca="false">IFERROR(INDEX('NCO-2015 scores'!$C$2:$C$131,MATCH(E1257,'NCO-2015 scores'!$A$2:$A$131,0)),0)</f>
        <v>0.175</v>
      </c>
      <c r="J1257" s="13" t="n">
        <f aca="false">IF(ISNUMBER(MATCH(E1257,'NCO-2015 scores'!$A$2:$A$131,0)),IF(ISNUMBER(INDEX('NCO-2015 scores'!$C$2:$C$131,MATCH(E1257,'NCO-2015 scores'!$A$2:$A$131,0))),1,0),0)</f>
        <v>1</v>
      </c>
    </row>
    <row r="1258" customFormat="false" ht="15" hidden="false" customHeight="false" outlineLevel="0" collapsed="false">
      <c r="A1258" s="2" t="n">
        <v>1256</v>
      </c>
      <c r="B1258" s="2" t="s">
        <v>3902</v>
      </c>
      <c r="C1258" s="2" t="s">
        <v>3903</v>
      </c>
      <c r="D1258" s="2"/>
      <c r="E1258" s="2" t="str">
        <f aca="false">LEFT(C1258,3)</f>
        <v>611</v>
      </c>
      <c r="F1258" s="2" t="str">
        <f aca="false">IF(D1258="","",LEFT(D1258,3))</f>
        <v/>
      </c>
      <c r="G1258" s="2" t="str">
        <f aca="false">IF(F1258="","",IF(E1258=F1258,"Yes","No"))</f>
        <v/>
      </c>
      <c r="H1258" s="2" t="n">
        <f aca="false">IF(D1258="",0,1/COUNTIF($D$2:$D$3451,D1258))</f>
        <v>0</v>
      </c>
      <c r="I1258" s="13" t="n">
        <f aca="false">IFERROR(INDEX('NCO-2015 scores'!$C$2:$C$131,MATCH(E1258,'NCO-2015 scores'!$A$2:$A$131,0)),0)</f>
        <v>0.175</v>
      </c>
      <c r="J1258" s="13" t="n">
        <f aca="false">IF(ISNUMBER(MATCH(E1258,'NCO-2015 scores'!$A$2:$A$131,0)),IF(ISNUMBER(INDEX('NCO-2015 scores'!$C$2:$C$131,MATCH(E1258,'NCO-2015 scores'!$A$2:$A$131,0))),1,0),0)</f>
        <v>1</v>
      </c>
    </row>
    <row r="1259" customFormat="false" ht="15" hidden="false" customHeight="false" outlineLevel="0" collapsed="false">
      <c r="A1259" s="2" t="n">
        <v>1257</v>
      </c>
      <c r="B1259" s="2" t="s">
        <v>3904</v>
      </c>
      <c r="C1259" s="2" t="s">
        <v>3905</v>
      </c>
      <c r="D1259" s="2" t="s">
        <v>3906</v>
      </c>
      <c r="E1259" s="2" t="str">
        <f aca="false">LEFT(C1259,3)</f>
        <v>753</v>
      </c>
      <c r="F1259" s="2" t="str">
        <f aca="false">IF(D1259="","",LEFT(D1259,3))</f>
        <v>743</v>
      </c>
      <c r="G1259" s="2" t="str">
        <f aca="false">IF(F1259="","",IF(E1259=F1259,"Yes","No"))</f>
        <v>No</v>
      </c>
      <c r="H1259" s="2" t="n">
        <f aca="false">IF(D1259="",0,1/COUNTIF($D$2:$D$3451,D1259))</f>
        <v>1</v>
      </c>
      <c r="I1259" s="13" t="n">
        <f aca="false">IFERROR(INDEX('NCO-2015 scores'!$C$2:$C$131,MATCH(E1259,'NCO-2015 scores'!$A$2:$A$131,0)),0)</f>
        <v>0.15</v>
      </c>
      <c r="J1259" s="13" t="n">
        <f aca="false">IF(ISNUMBER(MATCH(E1259,'NCO-2015 scores'!$A$2:$A$131,0)),IF(ISNUMBER(INDEX('NCO-2015 scores'!$C$2:$C$131,MATCH(E1259,'NCO-2015 scores'!$A$2:$A$131,0))),1,0),0)</f>
        <v>1</v>
      </c>
    </row>
    <row r="1260" customFormat="false" ht="15" hidden="false" customHeight="false" outlineLevel="0" collapsed="false">
      <c r="A1260" s="2" t="n">
        <v>1258</v>
      </c>
      <c r="B1260" s="2" t="s">
        <v>3907</v>
      </c>
      <c r="C1260" s="2" t="s">
        <v>3908</v>
      </c>
      <c r="D1260" s="2" t="s">
        <v>3909</v>
      </c>
      <c r="E1260" s="2" t="str">
        <f aca="false">LEFT(C1260,3)</f>
        <v>753</v>
      </c>
      <c r="F1260" s="2" t="str">
        <f aca="false">IF(D1260="","",LEFT(D1260,3))</f>
        <v>743</v>
      </c>
      <c r="G1260" s="2" t="str">
        <f aca="false">IF(F1260="","",IF(E1260=F1260,"Yes","No"))</f>
        <v>No</v>
      </c>
      <c r="H1260" s="2" t="n">
        <f aca="false">IF(D1260="",0,1/COUNTIF($D$2:$D$3451,D1260))</f>
        <v>1</v>
      </c>
      <c r="I1260" s="13" t="n">
        <f aca="false">IFERROR(INDEX('NCO-2015 scores'!$C$2:$C$131,MATCH(E1260,'NCO-2015 scores'!$A$2:$A$131,0)),0)</f>
        <v>0.15</v>
      </c>
      <c r="J1260" s="13" t="n">
        <f aca="false">IF(ISNUMBER(MATCH(E1260,'NCO-2015 scores'!$A$2:$A$131,0)),IF(ISNUMBER(INDEX('NCO-2015 scores'!$C$2:$C$131,MATCH(E1260,'NCO-2015 scores'!$A$2:$A$131,0))),1,0),0)</f>
        <v>1</v>
      </c>
    </row>
    <row r="1261" customFormat="false" ht="15" hidden="false" customHeight="false" outlineLevel="0" collapsed="false">
      <c r="A1261" s="2" t="n">
        <v>1259</v>
      </c>
      <c r="B1261" s="2" t="s">
        <v>3910</v>
      </c>
      <c r="C1261" s="2" t="s">
        <v>3911</v>
      </c>
      <c r="D1261" s="2" t="s">
        <v>3912</v>
      </c>
      <c r="E1261" s="2" t="str">
        <f aca="false">LEFT(C1261,3)</f>
        <v>753</v>
      </c>
      <c r="F1261" s="2" t="str">
        <f aca="false">IF(D1261="","",LEFT(D1261,3))</f>
        <v>743</v>
      </c>
      <c r="G1261" s="2" t="str">
        <f aca="false">IF(F1261="","",IF(E1261=F1261,"Yes","No"))</f>
        <v>No</v>
      </c>
      <c r="H1261" s="2" t="n">
        <f aca="false">IF(D1261="",0,1/COUNTIF($D$2:$D$3451,D1261))</f>
        <v>1</v>
      </c>
      <c r="I1261" s="13" t="n">
        <f aca="false">IFERROR(INDEX('NCO-2015 scores'!$C$2:$C$131,MATCH(E1261,'NCO-2015 scores'!$A$2:$A$131,0)),0)</f>
        <v>0.15</v>
      </c>
      <c r="J1261" s="13" t="n">
        <f aca="false">IF(ISNUMBER(MATCH(E1261,'NCO-2015 scores'!$A$2:$A$131,0)),IF(ISNUMBER(INDEX('NCO-2015 scores'!$C$2:$C$131,MATCH(E1261,'NCO-2015 scores'!$A$2:$A$131,0))),1,0),0)</f>
        <v>1</v>
      </c>
    </row>
    <row r="1262" customFormat="false" ht="15" hidden="false" customHeight="false" outlineLevel="0" collapsed="false">
      <c r="A1262" s="2" t="n">
        <v>1260</v>
      </c>
      <c r="B1262" s="2" t="s">
        <v>3913</v>
      </c>
      <c r="C1262" s="2" t="s">
        <v>3914</v>
      </c>
      <c r="D1262" s="2"/>
      <c r="E1262" s="2" t="str">
        <f aca="false">LEFT(C1262,3)</f>
        <v>753</v>
      </c>
      <c r="F1262" s="2" t="str">
        <f aca="false">IF(D1262="","",LEFT(D1262,3))</f>
        <v/>
      </c>
      <c r="G1262" s="2" t="str">
        <f aca="false">IF(F1262="","",IF(E1262=F1262,"Yes","No"))</f>
        <v/>
      </c>
      <c r="H1262" s="2" t="n">
        <f aca="false">IF(D1262="",0,1/COUNTIF($D$2:$D$3451,D1262))</f>
        <v>0</v>
      </c>
      <c r="I1262" s="13" t="n">
        <f aca="false">IFERROR(INDEX('NCO-2015 scores'!$C$2:$C$131,MATCH(E1262,'NCO-2015 scores'!$A$2:$A$131,0)),0)</f>
        <v>0.15</v>
      </c>
      <c r="J1262" s="13" t="n">
        <f aca="false">IF(ISNUMBER(MATCH(E1262,'NCO-2015 scores'!$A$2:$A$131,0)),IF(ISNUMBER(INDEX('NCO-2015 scores'!$C$2:$C$131,MATCH(E1262,'NCO-2015 scores'!$A$2:$A$131,0))),1,0),0)</f>
        <v>1</v>
      </c>
    </row>
    <row r="1263" customFormat="false" ht="15" hidden="false" customHeight="false" outlineLevel="0" collapsed="false">
      <c r="A1263" s="2" t="n">
        <v>1261</v>
      </c>
      <c r="B1263" s="2" t="s">
        <v>3915</v>
      </c>
      <c r="C1263" s="2" t="s">
        <v>3916</v>
      </c>
      <c r="D1263" s="2" t="s">
        <v>3917</v>
      </c>
      <c r="E1263" s="2" t="str">
        <f aca="false">LEFT(C1263,3)</f>
        <v>753</v>
      </c>
      <c r="F1263" s="2" t="str">
        <f aca="false">IF(D1263="","",LEFT(D1263,3))</f>
        <v>743</v>
      </c>
      <c r="G1263" s="2" t="str">
        <f aca="false">IF(F1263="","",IF(E1263=F1263,"Yes","No"))</f>
        <v>No</v>
      </c>
      <c r="H1263" s="2" t="n">
        <f aca="false">IF(D1263="",0,1/COUNTIF($D$2:$D$3451,D1263))</f>
        <v>1</v>
      </c>
      <c r="I1263" s="13" t="n">
        <f aca="false">IFERROR(INDEX('NCO-2015 scores'!$C$2:$C$131,MATCH(E1263,'NCO-2015 scores'!$A$2:$A$131,0)),0)</f>
        <v>0.15</v>
      </c>
      <c r="J1263" s="13" t="n">
        <f aca="false">IF(ISNUMBER(MATCH(E1263,'NCO-2015 scores'!$A$2:$A$131,0)),IF(ISNUMBER(INDEX('NCO-2015 scores'!$C$2:$C$131,MATCH(E1263,'NCO-2015 scores'!$A$2:$A$131,0))),1,0),0)</f>
        <v>1</v>
      </c>
    </row>
    <row r="1264" customFormat="false" ht="15" hidden="false" customHeight="false" outlineLevel="0" collapsed="false">
      <c r="A1264" s="2" t="n">
        <v>1262</v>
      </c>
      <c r="B1264" s="2" t="s">
        <v>3918</v>
      </c>
      <c r="C1264" s="2" t="s">
        <v>3919</v>
      </c>
      <c r="D1264" s="2"/>
      <c r="E1264" s="2" t="str">
        <f aca="false">LEFT(C1264,3)</f>
        <v>753</v>
      </c>
      <c r="F1264" s="2" t="str">
        <f aca="false">IF(D1264="","",LEFT(D1264,3))</f>
        <v/>
      </c>
      <c r="G1264" s="2" t="str">
        <f aca="false">IF(F1264="","",IF(E1264=F1264,"Yes","No"))</f>
        <v/>
      </c>
      <c r="H1264" s="2" t="n">
        <f aca="false">IF(D1264="",0,1/COUNTIF($D$2:$D$3451,D1264))</f>
        <v>0</v>
      </c>
      <c r="I1264" s="13" t="n">
        <f aca="false">IFERROR(INDEX('NCO-2015 scores'!$C$2:$C$131,MATCH(E1264,'NCO-2015 scores'!$A$2:$A$131,0)),0)</f>
        <v>0.15</v>
      </c>
      <c r="J1264" s="13" t="n">
        <f aca="false">IF(ISNUMBER(MATCH(E1264,'NCO-2015 scores'!$A$2:$A$131,0)),IF(ISNUMBER(INDEX('NCO-2015 scores'!$C$2:$C$131,MATCH(E1264,'NCO-2015 scores'!$A$2:$A$131,0))),1,0),0)</f>
        <v>1</v>
      </c>
    </row>
    <row r="1265" customFormat="false" ht="15" hidden="false" customHeight="false" outlineLevel="0" collapsed="false">
      <c r="A1265" s="2" t="n">
        <v>1263</v>
      </c>
      <c r="B1265" s="2" t="s">
        <v>3920</v>
      </c>
      <c r="C1265" s="2" t="s">
        <v>3921</v>
      </c>
      <c r="D1265" s="2" t="s">
        <v>3922</v>
      </c>
      <c r="E1265" s="2" t="str">
        <f aca="false">LEFT(C1265,3)</f>
        <v>753</v>
      </c>
      <c r="F1265" s="2" t="str">
        <f aca="false">IF(D1265="","",LEFT(D1265,3))</f>
        <v>743</v>
      </c>
      <c r="G1265" s="2" t="str">
        <f aca="false">IF(F1265="","",IF(E1265=F1265,"Yes","No"))</f>
        <v>No</v>
      </c>
      <c r="H1265" s="2" t="n">
        <f aca="false">IF(D1265="",0,1/COUNTIF($D$2:$D$3451,D1265))</f>
        <v>1</v>
      </c>
      <c r="I1265" s="13" t="n">
        <f aca="false">IFERROR(INDEX('NCO-2015 scores'!$C$2:$C$131,MATCH(E1265,'NCO-2015 scores'!$A$2:$A$131,0)),0)</f>
        <v>0.15</v>
      </c>
      <c r="J1265" s="13" t="n">
        <f aca="false">IF(ISNUMBER(MATCH(E1265,'NCO-2015 scores'!$A$2:$A$131,0)),IF(ISNUMBER(INDEX('NCO-2015 scores'!$C$2:$C$131,MATCH(E1265,'NCO-2015 scores'!$A$2:$A$131,0))),1,0),0)</f>
        <v>1</v>
      </c>
    </row>
    <row r="1266" customFormat="false" ht="15" hidden="false" customHeight="false" outlineLevel="0" collapsed="false">
      <c r="A1266" s="2" t="n">
        <v>1264</v>
      </c>
      <c r="B1266" s="2" t="s">
        <v>3923</v>
      </c>
      <c r="C1266" s="2" t="s">
        <v>3924</v>
      </c>
      <c r="D1266" s="2" t="s">
        <v>3925</v>
      </c>
      <c r="E1266" s="2" t="str">
        <f aca="false">LEFT(C1266,3)</f>
        <v>753</v>
      </c>
      <c r="F1266" s="2" t="str">
        <f aca="false">IF(D1266="","",LEFT(D1266,3))</f>
        <v>743</v>
      </c>
      <c r="G1266" s="2" t="str">
        <f aca="false">IF(F1266="","",IF(E1266=F1266,"Yes","No"))</f>
        <v>No</v>
      </c>
      <c r="H1266" s="2" t="n">
        <f aca="false">IF(D1266="",0,1/COUNTIF($D$2:$D$3451,D1266))</f>
        <v>1</v>
      </c>
      <c r="I1266" s="13" t="n">
        <f aca="false">IFERROR(INDEX('NCO-2015 scores'!$C$2:$C$131,MATCH(E1266,'NCO-2015 scores'!$A$2:$A$131,0)),0)</f>
        <v>0.15</v>
      </c>
      <c r="J1266" s="13" t="n">
        <f aca="false">IF(ISNUMBER(MATCH(E1266,'NCO-2015 scores'!$A$2:$A$131,0)),IF(ISNUMBER(INDEX('NCO-2015 scores'!$C$2:$C$131,MATCH(E1266,'NCO-2015 scores'!$A$2:$A$131,0))),1,0),0)</f>
        <v>1</v>
      </c>
    </row>
    <row r="1267" customFormat="false" ht="15" hidden="false" customHeight="false" outlineLevel="0" collapsed="false">
      <c r="A1267" s="2" t="n">
        <v>1265</v>
      </c>
      <c r="B1267" s="2" t="s">
        <v>3926</v>
      </c>
      <c r="C1267" s="2" t="s">
        <v>3927</v>
      </c>
      <c r="D1267" s="2" t="s">
        <v>3928</v>
      </c>
      <c r="E1267" s="2" t="str">
        <f aca="false">LEFT(C1267,3)</f>
        <v>753</v>
      </c>
      <c r="F1267" s="2" t="str">
        <f aca="false">IF(D1267="","",LEFT(D1267,3))</f>
        <v>743</v>
      </c>
      <c r="G1267" s="2" t="str">
        <f aca="false">IF(F1267="","",IF(E1267=F1267,"Yes","No"))</f>
        <v>No</v>
      </c>
      <c r="H1267" s="2" t="n">
        <f aca="false">IF(D1267="",0,1/COUNTIF($D$2:$D$3451,D1267))</f>
        <v>1</v>
      </c>
      <c r="I1267" s="13" t="n">
        <f aca="false">IFERROR(INDEX('NCO-2015 scores'!$C$2:$C$131,MATCH(E1267,'NCO-2015 scores'!$A$2:$A$131,0)),0)</f>
        <v>0.15</v>
      </c>
      <c r="J1267" s="13" t="n">
        <f aca="false">IF(ISNUMBER(MATCH(E1267,'NCO-2015 scores'!$A$2:$A$131,0)),IF(ISNUMBER(INDEX('NCO-2015 scores'!$C$2:$C$131,MATCH(E1267,'NCO-2015 scores'!$A$2:$A$131,0))),1,0),0)</f>
        <v>1</v>
      </c>
    </row>
    <row r="1268" customFormat="false" ht="15" hidden="false" customHeight="false" outlineLevel="0" collapsed="false">
      <c r="A1268" s="2" t="n">
        <v>1266</v>
      </c>
      <c r="B1268" s="2" t="s">
        <v>3929</v>
      </c>
      <c r="C1268" s="2" t="s">
        <v>3930</v>
      </c>
      <c r="D1268" s="2" t="s">
        <v>3931</v>
      </c>
      <c r="E1268" s="2" t="str">
        <f aca="false">LEFT(C1268,3)</f>
        <v>753</v>
      </c>
      <c r="F1268" s="2" t="str">
        <f aca="false">IF(D1268="","",LEFT(D1268,3))</f>
        <v>743</v>
      </c>
      <c r="G1268" s="2" t="str">
        <f aca="false">IF(F1268="","",IF(E1268=F1268,"Yes","No"))</f>
        <v>No</v>
      </c>
      <c r="H1268" s="2" t="n">
        <f aca="false">IF(D1268="",0,1/COUNTIF($D$2:$D$3451,D1268))</f>
        <v>1</v>
      </c>
      <c r="I1268" s="13" t="n">
        <f aca="false">IFERROR(INDEX('NCO-2015 scores'!$C$2:$C$131,MATCH(E1268,'NCO-2015 scores'!$A$2:$A$131,0)),0)</f>
        <v>0.15</v>
      </c>
      <c r="J1268" s="13" t="n">
        <f aca="false">IF(ISNUMBER(MATCH(E1268,'NCO-2015 scores'!$A$2:$A$131,0)),IF(ISNUMBER(INDEX('NCO-2015 scores'!$C$2:$C$131,MATCH(E1268,'NCO-2015 scores'!$A$2:$A$131,0))),1,0),0)</f>
        <v>1</v>
      </c>
    </row>
    <row r="1269" customFormat="false" ht="15" hidden="false" customHeight="false" outlineLevel="0" collapsed="false">
      <c r="A1269" s="2" t="n">
        <v>1267</v>
      </c>
      <c r="B1269" s="2" t="s">
        <v>3932</v>
      </c>
      <c r="C1269" s="2" t="s">
        <v>3933</v>
      </c>
      <c r="D1269" s="2" t="s">
        <v>3934</v>
      </c>
      <c r="E1269" s="2" t="str">
        <f aca="false">LEFT(C1269,3)</f>
        <v>753</v>
      </c>
      <c r="F1269" s="2" t="str">
        <f aca="false">IF(D1269="","",LEFT(D1269,3))</f>
        <v>743</v>
      </c>
      <c r="G1269" s="2" t="str">
        <f aca="false">IF(F1269="","",IF(E1269=F1269,"Yes","No"))</f>
        <v>No</v>
      </c>
      <c r="H1269" s="2" t="n">
        <f aca="false">IF(D1269="",0,1/COUNTIF($D$2:$D$3451,D1269))</f>
        <v>1</v>
      </c>
      <c r="I1269" s="13" t="n">
        <f aca="false">IFERROR(INDEX('NCO-2015 scores'!$C$2:$C$131,MATCH(E1269,'NCO-2015 scores'!$A$2:$A$131,0)),0)</f>
        <v>0.15</v>
      </c>
      <c r="J1269" s="13" t="n">
        <f aca="false">IF(ISNUMBER(MATCH(E1269,'NCO-2015 scores'!$A$2:$A$131,0)),IF(ISNUMBER(INDEX('NCO-2015 scores'!$C$2:$C$131,MATCH(E1269,'NCO-2015 scores'!$A$2:$A$131,0))),1,0),0)</f>
        <v>1</v>
      </c>
    </row>
    <row r="1270" customFormat="false" ht="15" hidden="false" customHeight="false" outlineLevel="0" collapsed="false">
      <c r="A1270" s="2" t="n">
        <v>1268</v>
      </c>
      <c r="B1270" s="2" t="s">
        <v>3935</v>
      </c>
      <c r="C1270" s="2" t="s">
        <v>3936</v>
      </c>
      <c r="D1270" s="2" t="s">
        <v>3937</v>
      </c>
      <c r="E1270" s="2" t="str">
        <f aca="false">LEFT(C1270,3)</f>
        <v>753</v>
      </c>
      <c r="F1270" s="2" t="str">
        <f aca="false">IF(D1270="","",LEFT(D1270,3))</f>
        <v>743</v>
      </c>
      <c r="G1270" s="2" t="str">
        <f aca="false">IF(F1270="","",IF(E1270=F1270,"Yes","No"))</f>
        <v>No</v>
      </c>
      <c r="H1270" s="2" t="n">
        <f aca="false">IF(D1270="",0,1/COUNTIF($D$2:$D$3451,D1270))</f>
        <v>1</v>
      </c>
      <c r="I1270" s="13" t="n">
        <f aca="false">IFERROR(INDEX('NCO-2015 scores'!$C$2:$C$131,MATCH(E1270,'NCO-2015 scores'!$A$2:$A$131,0)),0)</f>
        <v>0.15</v>
      </c>
      <c r="J1270" s="13" t="n">
        <f aca="false">IF(ISNUMBER(MATCH(E1270,'NCO-2015 scores'!$A$2:$A$131,0)),IF(ISNUMBER(INDEX('NCO-2015 scores'!$C$2:$C$131,MATCH(E1270,'NCO-2015 scores'!$A$2:$A$131,0))),1,0),0)</f>
        <v>1</v>
      </c>
    </row>
    <row r="1271" customFormat="false" ht="15" hidden="false" customHeight="false" outlineLevel="0" collapsed="false">
      <c r="A1271" s="2" t="n">
        <v>1269</v>
      </c>
      <c r="B1271" s="2" t="s">
        <v>3938</v>
      </c>
      <c r="C1271" s="2" t="s">
        <v>3939</v>
      </c>
      <c r="D1271" s="2" t="s">
        <v>3940</v>
      </c>
      <c r="E1271" s="2" t="str">
        <f aca="false">LEFT(C1271,3)</f>
        <v>753</v>
      </c>
      <c r="F1271" s="2" t="str">
        <f aca="false">IF(D1271="","",LEFT(D1271,3))</f>
        <v>743</v>
      </c>
      <c r="G1271" s="2" t="str">
        <f aca="false">IF(F1271="","",IF(E1271=F1271,"Yes","No"))</f>
        <v>No</v>
      </c>
      <c r="H1271" s="2" t="n">
        <f aca="false">IF(D1271="",0,1/COUNTIF($D$2:$D$3451,D1271))</f>
        <v>1</v>
      </c>
      <c r="I1271" s="13" t="n">
        <f aca="false">IFERROR(INDEX('NCO-2015 scores'!$C$2:$C$131,MATCH(E1271,'NCO-2015 scores'!$A$2:$A$131,0)),0)</f>
        <v>0.15</v>
      </c>
      <c r="J1271" s="13" t="n">
        <f aca="false">IF(ISNUMBER(MATCH(E1271,'NCO-2015 scores'!$A$2:$A$131,0)),IF(ISNUMBER(INDEX('NCO-2015 scores'!$C$2:$C$131,MATCH(E1271,'NCO-2015 scores'!$A$2:$A$131,0))),1,0),0)</f>
        <v>1</v>
      </c>
    </row>
    <row r="1272" customFormat="false" ht="15" hidden="false" customHeight="false" outlineLevel="0" collapsed="false">
      <c r="A1272" s="2" t="n">
        <v>1270</v>
      </c>
      <c r="B1272" s="2" t="s">
        <v>3941</v>
      </c>
      <c r="C1272" s="2" t="s">
        <v>3942</v>
      </c>
      <c r="D1272" s="2" t="s">
        <v>3943</v>
      </c>
      <c r="E1272" s="2" t="str">
        <f aca="false">LEFT(C1272,3)</f>
        <v>753</v>
      </c>
      <c r="F1272" s="2" t="str">
        <f aca="false">IF(D1272="","",LEFT(D1272,3))</f>
        <v>743</v>
      </c>
      <c r="G1272" s="2" t="str">
        <f aca="false">IF(F1272="","",IF(E1272=F1272,"Yes","No"))</f>
        <v>No</v>
      </c>
      <c r="H1272" s="2" t="n">
        <f aca="false">IF(D1272="",0,1/COUNTIF($D$2:$D$3451,D1272))</f>
        <v>1</v>
      </c>
      <c r="I1272" s="13" t="n">
        <f aca="false">IFERROR(INDEX('NCO-2015 scores'!$C$2:$C$131,MATCH(E1272,'NCO-2015 scores'!$A$2:$A$131,0)),0)</f>
        <v>0.15</v>
      </c>
      <c r="J1272" s="13" t="n">
        <f aca="false">IF(ISNUMBER(MATCH(E1272,'NCO-2015 scores'!$A$2:$A$131,0)),IF(ISNUMBER(INDEX('NCO-2015 scores'!$C$2:$C$131,MATCH(E1272,'NCO-2015 scores'!$A$2:$A$131,0))),1,0),0)</f>
        <v>1</v>
      </c>
    </row>
    <row r="1273" customFormat="false" ht="15" hidden="false" customHeight="false" outlineLevel="0" collapsed="false">
      <c r="A1273" s="2" t="n">
        <v>1271</v>
      </c>
      <c r="B1273" s="2" t="s">
        <v>3944</v>
      </c>
      <c r="C1273" s="2" t="s">
        <v>3945</v>
      </c>
      <c r="D1273" s="2"/>
      <c r="E1273" s="2" t="str">
        <f aca="false">LEFT(C1273,3)</f>
        <v>753</v>
      </c>
      <c r="F1273" s="2" t="str">
        <f aca="false">IF(D1273="","",LEFT(D1273,3))</f>
        <v/>
      </c>
      <c r="G1273" s="2" t="str">
        <f aca="false">IF(F1273="","",IF(E1273=F1273,"Yes","No"))</f>
        <v/>
      </c>
      <c r="H1273" s="2" t="n">
        <f aca="false">IF(D1273="",0,1/COUNTIF($D$2:$D$3451,D1273))</f>
        <v>0</v>
      </c>
      <c r="I1273" s="13" t="n">
        <f aca="false">IFERROR(INDEX('NCO-2015 scores'!$C$2:$C$131,MATCH(E1273,'NCO-2015 scores'!$A$2:$A$131,0)),0)</f>
        <v>0.15</v>
      </c>
      <c r="J1273" s="13" t="n">
        <f aca="false">IF(ISNUMBER(MATCH(E1273,'NCO-2015 scores'!$A$2:$A$131,0)),IF(ISNUMBER(INDEX('NCO-2015 scores'!$C$2:$C$131,MATCH(E1273,'NCO-2015 scores'!$A$2:$A$131,0))),1,0),0)</f>
        <v>1</v>
      </c>
    </row>
    <row r="1274" customFormat="false" ht="15" hidden="false" customHeight="false" outlineLevel="0" collapsed="false">
      <c r="A1274" s="2" t="n">
        <v>1272</v>
      </c>
      <c r="B1274" s="2" t="s">
        <v>3946</v>
      </c>
      <c r="C1274" s="2" t="s">
        <v>3947</v>
      </c>
      <c r="D1274" s="2"/>
      <c r="E1274" s="2" t="str">
        <f aca="false">LEFT(C1274,3)</f>
        <v>753</v>
      </c>
      <c r="F1274" s="2" t="str">
        <f aca="false">IF(D1274="","",LEFT(D1274,3))</f>
        <v/>
      </c>
      <c r="G1274" s="2" t="str">
        <f aca="false">IF(F1274="","",IF(E1274=F1274,"Yes","No"))</f>
        <v/>
      </c>
      <c r="H1274" s="2" t="n">
        <f aca="false">IF(D1274="",0,1/COUNTIF($D$2:$D$3451,D1274))</f>
        <v>0</v>
      </c>
      <c r="I1274" s="13" t="n">
        <f aca="false">IFERROR(INDEX('NCO-2015 scores'!$C$2:$C$131,MATCH(E1274,'NCO-2015 scores'!$A$2:$A$131,0)),0)</f>
        <v>0.15</v>
      </c>
      <c r="J1274" s="13" t="n">
        <f aca="false">IF(ISNUMBER(MATCH(E1274,'NCO-2015 scores'!$A$2:$A$131,0)),IF(ISNUMBER(INDEX('NCO-2015 scores'!$C$2:$C$131,MATCH(E1274,'NCO-2015 scores'!$A$2:$A$131,0))),1,0),0)</f>
        <v>1</v>
      </c>
    </row>
    <row r="1275" customFormat="false" ht="15" hidden="false" customHeight="false" outlineLevel="0" collapsed="false">
      <c r="A1275" s="2" t="n">
        <v>1273</v>
      </c>
      <c r="B1275" s="2" t="s">
        <v>3948</v>
      </c>
      <c r="C1275" s="2" t="s">
        <v>3949</v>
      </c>
      <c r="D1275" s="2"/>
      <c r="E1275" s="2" t="str">
        <f aca="false">LEFT(C1275,3)</f>
        <v>818</v>
      </c>
      <c r="F1275" s="2" t="str">
        <f aca="false">IF(D1275="","",LEFT(D1275,3))</f>
        <v/>
      </c>
      <c r="G1275" s="2" t="str">
        <f aca="false">IF(F1275="","",IF(E1275=F1275,"Yes","No"))</f>
        <v/>
      </c>
      <c r="H1275" s="2" t="n">
        <f aca="false">IF(D1275="",0,1/COUNTIF($D$2:$D$3451,D1275))</f>
        <v>0</v>
      </c>
      <c r="I1275" s="13" t="n">
        <f aca="false">IFERROR(INDEX('NCO-2015 scores'!$C$2:$C$131,MATCH(E1275,'NCO-2015 scores'!$A$2:$A$131,0)),0)</f>
        <v>0.1967</v>
      </c>
      <c r="J1275" s="13" t="n">
        <f aca="false">IF(ISNUMBER(MATCH(E1275,'NCO-2015 scores'!$A$2:$A$131,0)),IF(ISNUMBER(INDEX('NCO-2015 scores'!$C$2:$C$131,MATCH(E1275,'NCO-2015 scores'!$A$2:$A$131,0))),1,0),0)</f>
        <v>1</v>
      </c>
    </row>
    <row r="1276" customFormat="false" ht="15" hidden="false" customHeight="false" outlineLevel="0" collapsed="false">
      <c r="A1276" s="2" t="n">
        <v>1274</v>
      </c>
      <c r="B1276" s="2" t="s">
        <v>3950</v>
      </c>
      <c r="C1276" s="2" t="s">
        <v>3951</v>
      </c>
      <c r="D1276" s="2"/>
      <c r="E1276" s="2" t="str">
        <f aca="false">LEFT(C1276,3)</f>
        <v>818</v>
      </c>
      <c r="F1276" s="2" t="str">
        <f aca="false">IF(D1276="","",LEFT(D1276,3))</f>
        <v/>
      </c>
      <c r="G1276" s="2" t="str">
        <f aca="false">IF(F1276="","",IF(E1276=F1276,"Yes","No"))</f>
        <v/>
      </c>
      <c r="H1276" s="2" t="n">
        <f aca="false">IF(D1276="",0,1/COUNTIF($D$2:$D$3451,D1276))</f>
        <v>0</v>
      </c>
      <c r="I1276" s="13" t="n">
        <f aca="false">IFERROR(INDEX('NCO-2015 scores'!$C$2:$C$131,MATCH(E1276,'NCO-2015 scores'!$A$2:$A$131,0)),0)</f>
        <v>0.1967</v>
      </c>
      <c r="J1276" s="13" t="n">
        <f aca="false">IF(ISNUMBER(MATCH(E1276,'NCO-2015 scores'!$A$2:$A$131,0)),IF(ISNUMBER(INDEX('NCO-2015 scores'!$C$2:$C$131,MATCH(E1276,'NCO-2015 scores'!$A$2:$A$131,0))),1,0),0)</f>
        <v>1</v>
      </c>
    </row>
    <row r="1277" customFormat="false" ht="15" hidden="false" customHeight="false" outlineLevel="0" collapsed="false">
      <c r="A1277" s="2" t="n">
        <v>1275</v>
      </c>
      <c r="B1277" s="2" t="s">
        <v>3952</v>
      </c>
      <c r="C1277" s="2" t="s">
        <v>3953</v>
      </c>
      <c r="D1277" s="2"/>
      <c r="E1277" s="2" t="str">
        <f aca="false">LEFT(C1277,3)</f>
        <v>818</v>
      </c>
      <c r="F1277" s="2" t="str">
        <f aca="false">IF(D1277="","",LEFT(D1277,3))</f>
        <v/>
      </c>
      <c r="G1277" s="2" t="str">
        <f aca="false">IF(F1277="","",IF(E1277=F1277,"Yes","No"))</f>
        <v/>
      </c>
      <c r="H1277" s="2" t="n">
        <f aca="false">IF(D1277="",0,1/COUNTIF($D$2:$D$3451,D1277))</f>
        <v>0</v>
      </c>
      <c r="I1277" s="13" t="n">
        <f aca="false">IFERROR(INDEX('NCO-2015 scores'!$C$2:$C$131,MATCH(E1277,'NCO-2015 scores'!$A$2:$A$131,0)),0)</f>
        <v>0.1967</v>
      </c>
      <c r="J1277" s="13" t="n">
        <f aca="false">IF(ISNUMBER(MATCH(E1277,'NCO-2015 scores'!$A$2:$A$131,0)),IF(ISNUMBER(INDEX('NCO-2015 scores'!$C$2:$C$131,MATCH(E1277,'NCO-2015 scores'!$A$2:$A$131,0))),1,0),0)</f>
        <v>1</v>
      </c>
    </row>
    <row r="1278" customFormat="false" ht="15" hidden="false" customHeight="false" outlineLevel="0" collapsed="false">
      <c r="A1278" s="2" t="n">
        <v>1276</v>
      </c>
      <c r="B1278" s="2" t="s">
        <v>3954</v>
      </c>
      <c r="C1278" s="2" t="s">
        <v>3955</v>
      </c>
      <c r="D1278" s="2"/>
      <c r="E1278" s="2" t="str">
        <f aca="false">LEFT(C1278,3)</f>
        <v>818</v>
      </c>
      <c r="F1278" s="2" t="str">
        <f aca="false">IF(D1278="","",LEFT(D1278,3))</f>
        <v/>
      </c>
      <c r="G1278" s="2" t="str">
        <f aca="false">IF(F1278="","",IF(E1278=F1278,"Yes","No"))</f>
        <v/>
      </c>
      <c r="H1278" s="2" t="n">
        <f aca="false">IF(D1278="",0,1/COUNTIF($D$2:$D$3451,D1278))</f>
        <v>0</v>
      </c>
      <c r="I1278" s="13" t="n">
        <f aca="false">IFERROR(INDEX('NCO-2015 scores'!$C$2:$C$131,MATCH(E1278,'NCO-2015 scores'!$A$2:$A$131,0)),0)</f>
        <v>0.1967</v>
      </c>
      <c r="J1278" s="13" t="n">
        <f aca="false">IF(ISNUMBER(MATCH(E1278,'NCO-2015 scores'!$A$2:$A$131,0)),IF(ISNUMBER(INDEX('NCO-2015 scores'!$C$2:$C$131,MATCH(E1278,'NCO-2015 scores'!$A$2:$A$131,0))),1,0),0)</f>
        <v>1</v>
      </c>
    </row>
    <row r="1279" customFormat="false" ht="15" hidden="false" customHeight="false" outlineLevel="0" collapsed="false">
      <c r="A1279" s="2" t="n">
        <v>1277</v>
      </c>
      <c r="B1279" s="2" t="s">
        <v>3956</v>
      </c>
      <c r="C1279" s="2" t="s">
        <v>3957</v>
      </c>
      <c r="D1279" s="2" t="s">
        <v>3958</v>
      </c>
      <c r="E1279" s="2" t="str">
        <f aca="false">LEFT(C1279,3)</f>
        <v>818</v>
      </c>
      <c r="F1279" s="2" t="str">
        <f aca="false">IF(D1279="","",LEFT(D1279,3))</f>
        <v>731</v>
      </c>
      <c r="G1279" s="2" t="str">
        <f aca="false">IF(F1279="","",IF(E1279=F1279,"Yes","No"))</f>
        <v>No</v>
      </c>
      <c r="H1279" s="2" t="n">
        <f aca="false">IF(D1279="",0,1/COUNTIF($D$2:$D$3451,D1279))</f>
        <v>1</v>
      </c>
      <c r="I1279" s="13" t="n">
        <f aca="false">IFERROR(INDEX('NCO-2015 scores'!$C$2:$C$131,MATCH(E1279,'NCO-2015 scores'!$A$2:$A$131,0)),0)</f>
        <v>0.1967</v>
      </c>
      <c r="J1279" s="13" t="n">
        <f aca="false">IF(ISNUMBER(MATCH(E1279,'NCO-2015 scores'!$A$2:$A$131,0)),IF(ISNUMBER(INDEX('NCO-2015 scores'!$C$2:$C$131,MATCH(E1279,'NCO-2015 scores'!$A$2:$A$131,0))),1,0),0)</f>
        <v>1</v>
      </c>
    </row>
    <row r="1280" customFormat="false" ht="15" hidden="false" customHeight="false" outlineLevel="0" collapsed="false">
      <c r="A1280" s="2" t="n">
        <v>1278</v>
      </c>
      <c r="B1280" s="2" t="s">
        <v>3959</v>
      </c>
      <c r="C1280" s="2" t="s">
        <v>3960</v>
      </c>
      <c r="D1280" s="2" t="s">
        <v>3961</v>
      </c>
      <c r="E1280" s="2" t="str">
        <f aca="false">LEFT(C1280,3)</f>
        <v>818</v>
      </c>
      <c r="F1280" s="2" t="str">
        <f aca="false">IF(D1280="","",LEFT(D1280,3))</f>
        <v>829</v>
      </c>
      <c r="G1280" s="2" t="str">
        <f aca="false">IF(F1280="","",IF(E1280=F1280,"Yes","No"))</f>
        <v>No</v>
      </c>
      <c r="H1280" s="2" t="n">
        <f aca="false">IF(D1280="",0,1/COUNTIF($D$2:$D$3451,D1280))</f>
        <v>1</v>
      </c>
      <c r="I1280" s="13" t="n">
        <f aca="false">IFERROR(INDEX('NCO-2015 scores'!$C$2:$C$131,MATCH(E1280,'NCO-2015 scores'!$A$2:$A$131,0)),0)</f>
        <v>0.1967</v>
      </c>
      <c r="J1280" s="13" t="n">
        <f aca="false">IF(ISNUMBER(MATCH(E1280,'NCO-2015 scores'!$A$2:$A$131,0)),IF(ISNUMBER(INDEX('NCO-2015 scores'!$C$2:$C$131,MATCH(E1280,'NCO-2015 scores'!$A$2:$A$131,0))),1,0),0)</f>
        <v>1</v>
      </c>
    </row>
    <row r="1281" customFormat="false" ht="15" hidden="false" customHeight="false" outlineLevel="0" collapsed="false">
      <c r="A1281" s="2" t="n">
        <v>1279</v>
      </c>
      <c r="B1281" s="2" t="s">
        <v>3962</v>
      </c>
      <c r="C1281" s="2" t="s">
        <v>3963</v>
      </c>
      <c r="D1281" s="2" t="s">
        <v>3964</v>
      </c>
      <c r="E1281" s="2" t="str">
        <f aca="false">LEFT(C1281,3)</f>
        <v>818</v>
      </c>
      <c r="F1281" s="2" t="str">
        <f aca="false">IF(D1281="","",LEFT(D1281,3))</f>
        <v>829</v>
      </c>
      <c r="G1281" s="2" t="str">
        <f aca="false">IF(F1281="","",IF(E1281=F1281,"Yes","No"))</f>
        <v>No</v>
      </c>
      <c r="H1281" s="2" t="n">
        <f aca="false">IF(D1281="",0,1/COUNTIF($D$2:$D$3451,D1281))</f>
        <v>1</v>
      </c>
      <c r="I1281" s="13" t="n">
        <f aca="false">IFERROR(INDEX('NCO-2015 scores'!$C$2:$C$131,MATCH(E1281,'NCO-2015 scores'!$A$2:$A$131,0)),0)</f>
        <v>0.1967</v>
      </c>
      <c r="J1281" s="13" t="n">
        <f aca="false">IF(ISNUMBER(MATCH(E1281,'NCO-2015 scores'!$A$2:$A$131,0)),IF(ISNUMBER(INDEX('NCO-2015 scores'!$C$2:$C$131,MATCH(E1281,'NCO-2015 scores'!$A$2:$A$131,0))),1,0),0)</f>
        <v>1</v>
      </c>
    </row>
    <row r="1282" customFormat="false" ht="15" hidden="false" customHeight="false" outlineLevel="0" collapsed="false">
      <c r="A1282" s="2" t="n">
        <v>1280</v>
      </c>
      <c r="B1282" s="2" t="s">
        <v>3965</v>
      </c>
      <c r="C1282" s="2" t="s">
        <v>3966</v>
      </c>
      <c r="D1282" s="2"/>
      <c r="E1282" s="2" t="str">
        <f aca="false">LEFT(C1282,3)</f>
        <v>818</v>
      </c>
      <c r="F1282" s="2" t="str">
        <f aca="false">IF(D1282="","",LEFT(D1282,3))</f>
        <v/>
      </c>
      <c r="G1282" s="2" t="str">
        <f aca="false">IF(F1282="","",IF(E1282=F1282,"Yes","No"))</f>
        <v/>
      </c>
      <c r="H1282" s="2" t="n">
        <f aca="false">IF(D1282="",0,1/COUNTIF($D$2:$D$3451,D1282))</f>
        <v>0</v>
      </c>
      <c r="I1282" s="13" t="n">
        <f aca="false">IFERROR(INDEX('NCO-2015 scores'!$C$2:$C$131,MATCH(E1282,'NCO-2015 scores'!$A$2:$A$131,0)),0)</f>
        <v>0.1967</v>
      </c>
      <c r="J1282" s="13" t="n">
        <f aca="false">IF(ISNUMBER(MATCH(E1282,'NCO-2015 scores'!$A$2:$A$131,0)),IF(ISNUMBER(INDEX('NCO-2015 scores'!$C$2:$C$131,MATCH(E1282,'NCO-2015 scores'!$A$2:$A$131,0))),1,0),0)</f>
        <v>1</v>
      </c>
    </row>
    <row r="1283" customFormat="false" ht="15" hidden="false" customHeight="false" outlineLevel="0" collapsed="false">
      <c r="A1283" s="2" t="n">
        <v>1281</v>
      </c>
      <c r="B1283" s="2" t="s">
        <v>3967</v>
      </c>
      <c r="C1283" s="2" t="s">
        <v>3968</v>
      </c>
      <c r="D1283" s="2" t="s">
        <v>3969</v>
      </c>
      <c r="E1283" s="2" t="str">
        <f aca="false">LEFT(C1283,3)</f>
        <v>819</v>
      </c>
      <c r="F1283" s="2" t="str">
        <f aca="false">IF(D1283="","",LEFT(D1283,3))</f>
        <v>829</v>
      </c>
      <c r="G1283" s="2" t="str">
        <f aca="false">IF(F1283="","",IF(E1283=F1283,"Yes","No"))</f>
        <v>No</v>
      </c>
      <c r="H1283" s="2" t="n">
        <f aca="false">IF(D1283="",0,1/COUNTIF($D$2:$D$3451,D1283))</f>
        <v>1</v>
      </c>
      <c r="I1283" s="13" t="n">
        <f aca="false">IFERROR(INDEX('NCO-2015 scores'!$C$2:$C$131,MATCH(E1283,'NCO-2015 scores'!$A$2:$A$131,0)),0)</f>
        <v>0</v>
      </c>
      <c r="J1283" s="13" t="n">
        <f aca="false">IF(ISNUMBER(MATCH(E1283,'NCO-2015 scores'!$A$2:$A$131,0)),IF(ISNUMBER(INDEX('NCO-2015 scores'!$C$2:$C$131,MATCH(E1283,'NCO-2015 scores'!$A$2:$A$131,0))),1,0),0)</f>
        <v>0</v>
      </c>
    </row>
    <row r="1284" customFormat="false" ht="15" hidden="false" customHeight="false" outlineLevel="0" collapsed="false">
      <c r="A1284" s="2" t="n">
        <v>1282</v>
      </c>
      <c r="B1284" s="2" t="s">
        <v>3970</v>
      </c>
      <c r="C1284" s="2" t="s">
        <v>3971</v>
      </c>
      <c r="D1284" s="2" t="s">
        <v>3972</v>
      </c>
      <c r="E1284" s="2" t="str">
        <f aca="false">LEFT(C1284,3)</f>
        <v>411</v>
      </c>
      <c r="F1284" s="2" t="str">
        <f aca="false">IF(D1284="","",LEFT(D1284,3))</f>
        <v>419</v>
      </c>
      <c r="G1284" s="2" t="str">
        <f aca="false">IF(F1284="","",IF(E1284=F1284,"Yes","No"))</f>
        <v>No</v>
      </c>
      <c r="H1284" s="2" t="n">
        <f aca="false">IF(D1284="",0,1/COUNTIF($D$2:$D$3451,D1284))</f>
        <v>1</v>
      </c>
      <c r="I1284" s="13" t="n">
        <f aca="false">IFERROR(INDEX('NCO-2015 scores'!$C$2:$C$131,MATCH(E1284,'NCO-2015 scores'!$A$2:$A$131,0)),0)</f>
        <v>0.6</v>
      </c>
      <c r="J1284" s="13" t="n">
        <f aca="false">IF(ISNUMBER(MATCH(E1284,'NCO-2015 scores'!$A$2:$A$131,0)),IF(ISNUMBER(INDEX('NCO-2015 scores'!$C$2:$C$131,MATCH(E1284,'NCO-2015 scores'!$A$2:$A$131,0))),1,0),0)</f>
        <v>1</v>
      </c>
    </row>
    <row r="1285" customFormat="false" ht="15" hidden="false" customHeight="false" outlineLevel="0" collapsed="false">
      <c r="A1285" s="2" t="n">
        <v>1283</v>
      </c>
      <c r="B1285" s="2" t="s">
        <v>3973</v>
      </c>
      <c r="C1285" s="2" t="s">
        <v>3974</v>
      </c>
      <c r="D1285" s="2" t="s">
        <v>3975</v>
      </c>
      <c r="E1285" s="2" t="str">
        <f aca="false">LEFT(C1285,3)</f>
        <v>411</v>
      </c>
      <c r="F1285" s="2" t="str">
        <f aca="false">IF(D1285="","",LEFT(D1285,3))</f>
        <v>419</v>
      </c>
      <c r="G1285" s="2" t="str">
        <f aca="false">IF(F1285="","",IF(E1285=F1285,"Yes","No"))</f>
        <v>No</v>
      </c>
      <c r="H1285" s="2" t="n">
        <f aca="false">IF(D1285="",0,1/COUNTIF($D$2:$D$3451,D1285))</f>
        <v>1</v>
      </c>
      <c r="I1285" s="13" t="n">
        <f aca="false">IFERROR(INDEX('NCO-2015 scores'!$C$2:$C$131,MATCH(E1285,'NCO-2015 scores'!$A$2:$A$131,0)),0)</f>
        <v>0.6</v>
      </c>
      <c r="J1285" s="13" t="n">
        <f aca="false">IF(ISNUMBER(MATCH(E1285,'NCO-2015 scores'!$A$2:$A$131,0)),IF(ISNUMBER(INDEX('NCO-2015 scores'!$C$2:$C$131,MATCH(E1285,'NCO-2015 scores'!$A$2:$A$131,0))),1,0),0)</f>
        <v>1</v>
      </c>
    </row>
    <row r="1286" customFormat="false" ht="15" hidden="false" customHeight="false" outlineLevel="0" collapsed="false">
      <c r="A1286" s="2" t="n">
        <v>1284</v>
      </c>
      <c r="B1286" s="2" t="s">
        <v>3976</v>
      </c>
      <c r="C1286" s="2" t="s">
        <v>3977</v>
      </c>
      <c r="D1286" s="2" t="s">
        <v>3978</v>
      </c>
      <c r="E1286" s="2" t="str">
        <f aca="false">LEFT(C1286,3)</f>
        <v>411</v>
      </c>
      <c r="F1286" s="2" t="str">
        <f aca="false">IF(D1286="","",LEFT(D1286,3))</f>
        <v>419</v>
      </c>
      <c r="G1286" s="2" t="str">
        <f aca="false">IF(F1286="","",IF(E1286=F1286,"Yes","No"))</f>
        <v>No</v>
      </c>
      <c r="H1286" s="2" t="n">
        <f aca="false">IF(D1286="",0,1/COUNTIF($D$2:$D$3451,D1286))</f>
        <v>1</v>
      </c>
      <c r="I1286" s="13" t="n">
        <f aca="false">IFERROR(INDEX('NCO-2015 scores'!$C$2:$C$131,MATCH(E1286,'NCO-2015 scores'!$A$2:$A$131,0)),0)</f>
        <v>0.6</v>
      </c>
      <c r="J1286" s="13" t="n">
        <f aca="false">IF(ISNUMBER(MATCH(E1286,'NCO-2015 scores'!$A$2:$A$131,0)),IF(ISNUMBER(INDEX('NCO-2015 scores'!$C$2:$C$131,MATCH(E1286,'NCO-2015 scores'!$A$2:$A$131,0))),1,0),0)</f>
        <v>1</v>
      </c>
    </row>
    <row r="1287" customFormat="false" ht="15" hidden="false" customHeight="false" outlineLevel="0" collapsed="false">
      <c r="A1287" s="2" t="n">
        <v>1285</v>
      </c>
      <c r="B1287" s="2" t="s">
        <v>3979</v>
      </c>
      <c r="C1287" s="2" t="s">
        <v>3980</v>
      </c>
      <c r="D1287" s="2" t="s">
        <v>3981</v>
      </c>
      <c r="E1287" s="2" t="str">
        <f aca="false">LEFT(C1287,3)</f>
        <v>411</v>
      </c>
      <c r="F1287" s="2" t="str">
        <f aca="false">IF(D1287="","",LEFT(D1287,3))</f>
        <v>419</v>
      </c>
      <c r="G1287" s="2" t="str">
        <f aca="false">IF(F1287="","",IF(E1287=F1287,"Yes","No"))</f>
        <v>No</v>
      </c>
      <c r="H1287" s="2" t="n">
        <f aca="false">IF(D1287="",0,1/COUNTIF($D$2:$D$3451,D1287))</f>
        <v>1</v>
      </c>
      <c r="I1287" s="13" t="n">
        <f aca="false">IFERROR(INDEX('NCO-2015 scores'!$C$2:$C$131,MATCH(E1287,'NCO-2015 scores'!$A$2:$A$131,0)),0)</f>
        <v>0.6</v>
      </c>
      <c r="J1287" s="13" t="n">
        <f aca="false">IF(ISNUMBER(MATCH(E1287,'NCO-2015 scores'!$A$2:$A$131,0)),IF(ISNUMBER(INDEX('NCO-2015 scores'!$C$2:$C$131,MATCH(E1287,'NCO-2015 scores'!$A$2:$A$131,0))),1,0),0)</f>
        <v>1</v>
      </c>
    </row>
    <row r="1288" customFormat="false" ht="15" hidden="false" customHeight="false" outlineLevel="0" collapsed="false">
      <c r="A1288" s="2" t="n">
        <v>1286</v>
      </c>
      <c r="B1288" s="2" t="s">
        <v>3982</v>
      </c>
      <c r="C1288" s="2" t="s">
        <v>3983</v>
      </c>
      <c r="D1288" s="2" t="s">
        <v>3984</v>
      </c>
      <c r="E1288" s="2" t="str">
        <f aca="false">LEFT(C1288,3)</f>
        <v>411</v>
      </c>
      <c r="F1288" s="2" t="str">
        <f aca="false">IF(D1288="","",LEFT(D1288,3))</f>
        <v>419</v>
      </c>
      <c r="G1288" s="2" t="str">
        <f aca="false">IF(F1288="","",IF(E1288=F1288,"Yes","No"))</f>
        <v>No</v>
      </c>
      <c r="H1288" s="2" t="n">
        <f aca="false">IF(D1288="",0,1/COUNTIF($D$2:$D$3451,D1288))</f>
        <v>1</v>
      </c>
      <c r="I1288" s="13" t="n">
        <f aca="false">IFERROR(INDEX('NCO-2015 scores'!$C$2:$C$131,MATCH(E1288,'NCO-2015 scores'!$A$2:$A$131,0)),0)</f>
        <v>0.6</v>
      </c>
      <c r="J1288" s="13" t="n">
        <f aca="false">IF(ISNUMBER(MATCH(E1288,'NCO-2015 scores'!$A$2:$A$131,0)),IF(ISNUMBER(INDEX('NCO-2015 scores'!$C$2:$C$131,MATCH(E1288,'NCO-2015 scores'!$A$2:$A$131,0))),1,0),0)</f>
        <v>1</v>
      </c>
    </row>
    <row r="1289" customFormat="false" ht="15" hidden="false" customHeight="false" outlineLevel="0" collapsed="false">
      <c r="A1289" s="2" t="n">
        <v>1287</v>
      </c>
      <c r="B1289" s="2" t="s">
        <v>3985</v>
      </c>
      <c r="C1289" s="2" t="s">
        <v>3986</v>
      </c>
      <c r="D1289" s="2" t="s">
        <v>3987</v>
      </c>
      <c r="E1289" s="2" t="str">
        <f aca="false">LEFT(C1289,3)</f>
        <v>411</v>
      </c>
      <c r="F1289" s="2" t="str">
        <f aca="false">IF(D1289="","",LEFT(D1289,3))</f>
        <v>419</v>
      </c>
      <c r="G1289" s="2" t="str">
        <f aca="false">IF(F1289="","",IF(E1289=F1289,"Yes","No"))</f>
        <v>No</v>
      </c>
      <c r="H1289" s="2" t="n">
        <f aca="false">IF(D1289="",0,1/COUNTIF($D$2:$D$3451,D1289))</f>
        <v>1</v>
      </c>
      <c r="I1289" s="13" t="n">
        <f aca="false">IFERROR(INDEX('NCO-2015 scores'!$C$2:$C$131,MATCH(E1289,'NCO-2015 scores'!$A$2:$A$131,0)),0)</f>
        <v>0.6</v>
      </c>
      <c r="J1289" s="13" t="n">
        <f aca="false">IF(ISNUMBER(MATCH(E1289,'NCO-2015 scores'!$A$2:$A$131,0)),IF(ISNUMBER(INDEX('NCO-2015 scores'!$C$2:$C$131,MATCH(E1289,'NCO-2015 scores'!$A$2:$A$131,0))),1,0),0)</f>
        <v>1</v>
      </c>
    </row>
    <row r="1290" customFormat="false" ht="15" hidden="false" customHeight="false" outlineLevel="0" collapsed="false">
      <c r="A1290" s="2" t="n">
        <v>1288</v>
      </c>
      <c r="B1290" s="2" t="s">
        <v>3988</v>
      </c>
      <c r="C1290" s="2" t="s">
        <v>3989</v>
      </c>
      <c r="D1290" s="2" t="s">
        <v>3990</v>
      </c>
      <c r="E1290" s="2" t="str">
        <f aca="false">LEFT(C1290,3)</f>
        <v>221</v>
      </c>
      <c r="F1290" s="2" t="str">
        <f aca="false">IF(D1290="","",LEFT(D1290,3))</f>
        <v>222</v>
      </c>
      <c r="G1290" s="2" t="str">
        <f aca="false">IF(F1290="","",IF(E1290=F1290,"Yes","No"))</f>
        <v>No</v>
      </c>
      <c r="H1290" s="2" t="n">
        <f aca="false">IF(D1290="",0,1/COUNTIF($D$2:$D$3451,D1290))</f>
        <v>1</v>
      </c>
      <c r="I1290" s="13" t="n">
        <f aca="false">IFERROR(INDEX('NCO-2015 scores'!$C$2:$C$131,MATCH(E1290,'NCO-2015 scores'!$A$2:$A$131,0)),0)</f>
        <v>0.28</v>
      </c>
      <c r="J1290" s="13" t="n">
        <f aca="false">IF(ISNUMBER(MATCH(E1290,'NCO-2015 scores'!$A$2:$A$131,0)),IF(ISNUMBER(INDEX('NCO-2015 scores'!$C$2:$C$131,MATCH(E1290,'NCO-2015 scores'!$A$2:$A$131,0))),1,0),0)</f>
        <v>1</v>
      </c>
    </row>
    <row r="1291" customFormat="false" ht="15" hidden="false" customHeight="false" outlineLevel="0" collapsed="false">
      <c r="A1291" s="2" t="n">
        <v>1289</v>
      </c>
      <c r="B1291" s="2" t="s">
        <v>3991</v>
      </c>
      <c r="C1291" s="2" t="s">
        <v>3992</v>
      </c>
      <c r="D1291" s="2" t="s">
        <v>3993</v>
      </c>
      <c r="E1291" s="2" t="str">
        <f aca="false">LEFT(C1291,3)</f>
        <v>221</v>
      </c>
      <c r="F1291" s="2" t="str">
        <f aca="false">IF(D1291="","",LEFT(D1291,3))</f>
        <v>222</v>
      </c>
      <c r="G1291" s="2" t="str">
        <f aca="false">IF(F1291="","",IF(E1291=F1291,"Yes","No"))</f>
        <v>No</v>
      </c>
      <c r="H1291" s="2" t="n">
        <f aca="false">IF(D1291="",0,1/COUNTIF($D$2:$D$3451,D1291))</f>
        <v>1</v>
      </c>
      <c r="I1291" s="13" t="n">
        <f aca="false">IFERROR(INDEX('NCO-2015 scores'!$C$2:$C$131,MATCH(E1291,'NCO-2015 scores'!$A$2:$A$131,0)),0)</f>
        <v>0.28</v>
      </c>
      <c r="J1291" s="13" t="n">
        <f aca="false">IF(ISNUMBER(MATCH(E1291,'NCO-2015 scores'!$A$2:$A$131,0)),IF(ISNUMBER(INDEX('NCO-2015 scores'!$C$2:$C$131,MATCH(E1291,'NCO-2015 scores'!$A$2:$A$131,0))),1,0),0)</f>
        <v>1</v>
      </c>
    </row>
    <row r="1292" customFormat="false" ht="15" hidden="false" customHeight="false" outlineLevel="0" collapsed="false">
      <c r="A1292" s="2" t="n">
        <v>1290</v>
      </c>
      <c r="B1292" s="2" t="s">
        <v>3994</v>
      </c>
      <c r="C1292" s="2" t="s">
        <v>3995</v>
      </c>
      <c r="D1292" s="2" t="s">
        <v>3996</v>
      </c>
      <c r="E1292" s="2" t="str">
        <f aca="false">LEFT(C1292,3)</f>
        <v>221</v>
      </c>
      <c r="F1292" s="2" t="str">
        <f aca="false">IF(D1292="","",LEFT(D1292,3))</f>
        <v>222</v>
      </c>
      <c r="G1292" s="2" t="str">
        <f aca="false">IF(F1292="","",IF(E1292=F1292,"Yes","No"))</f>
        <v>No</v>
      </c>
      <c r="H1292" s="2" t="n">
        <f aca="false">IF(D1292="",0,1/COUNTIF($D$2:$D$3451,D1292))</f>
        <v>1</v>
      </c>
      <c r="I1292" s="13" t="n">
        <f aca="false">IFERROR(INDEX('NCO-2015 scores'!$C$2:$C$131,MATCH(E1292,'NCO-2015 scores'!$A$2:$A$131,0)),0)</f>
        <v>0.28</v>
      </c>
      <c r="J1292" s="13" t="n">
        <f aca="false">IF(ISNUMBER(MATCH(E1292,'NCO-2015 scores'!$A$2:$A$131,0)),IF(ISNUMBER(INDEX('NCO-2015 scores'!$C$2:$C$131,MATCH(E1292,'NCO-2015 scores'!$A$2:$A$131,0))),1,0),0)</f>
        <v>1</v>
      </c>
    </row>
    <row r="1293" customFormat="false" ht="15" hidden="false" customHeight="false" outlineLevel="0" collapsed="false">
      <c r="A1293" s="2" t="n">
        <v>1291</v>
      </c>
      <c r="B1293" s="2" t="s">
        <v>3997</v>
      </c>
      <c r="C1293" s="2" t="s">
        <v>3998</v>
      </c>
      <c r="D1293" s="2" t="s">
        <v>3999</v>
      </c>
      <c r="E1293" s="2" t="str">
        <f aca="false">LEFT(C1293,3)</f>
        <v>221</v>
      </c>
      <c r="F1293" s="2" t="str">
        <f aca="false">IF(D1293="","",LEFT(D1293,3))</f>
        <v>222</v>
      </c>
      <c r="G1293" s="2" t="str">
        <f aca="false">IF(F1293="","",IF(E1293=F1293,"Yes","No"))</f>
        <v>No</v>
      </c>
      <c r="H1293" s="2" t="n">
        <f aca="false">IF(D1293="",0,1/COUNTIF($D$2:$D$3451,D1293))</f>
        <v>1</v>
      </c>
      <c r="I1293" s="13" t="n">
        <f aca="false">IFERROR(INDEX('NCO-2015 scores'!$C$2:$C$131,MATCH(E1293,'NCO-2015 scores'!$A$2:$A$131,0)),0)</f>
        <v>0.28</v>
      </c>
      <c r="J1293" s="13" t="n">
        <f aca="false">IF(ISNUMBER(MATCH(E1293,'NCO-2015 scores'!$A$2:$A$131,0)),IF(ISNUMBER(INDEX('NCO-2015 scores'!$C$2:$C$131,MATCH(E1293,'NCO-2015 scores'!$A$2:$A$131,0))),1,0),0)</f>
        <v>1</v>
      </c>
    </row>
    <row r="1294" customFormat="false" ht="15" hidden="false" customHeight="false" outlineLevel="0" collapsed="false">
      <c r="A1294" s="2" t="n">
        <v>1292</v>
      </c>
      <c r="B1294" s="2" t="s">
        <v>4000</v>
      </c>
      <c r="C1294" s="2" t="s">
        <v>4001</v>
      </c>
      <c r="D1294" s="2" t="s">
        <v>4002</v>
      </c>
      <c r="E1294" s="2" t="str">
        <f aca="false">LEFT(C1294,3)</f>
        <v>221</v>
      </c>
      <c r="F1294" s="2" t="str">
        <f aca="false">IF(D1294="","",LEFT(D1294,3))</f>
        <v>222</v>
      </c>
      <c r="G1294" s="2" t="str">
        <f aca="false">IF(F1294="","",IF(E1294=F1294,"Yes","No"))</f>
        <v>No</v>
      </c>
      <c r="H1294" s="2" t="n">
        <f aca="false">IF(D1294="",0,1/COUNTIF($D$2:$D$3451,D1294))</f>
        <v>1</v>
      </c>
      <c r="I1294" s="13" t="n">
        <f aca="false">IFERROR(INDEX('NCO-2015 scores'!$C$2:$C$131,MATCH(E1294,'NCO-2015 scores'!$A$2:$A$131,0)),0)</f>
        <v>0.28</v>
      </c>
      <c r="J1294" s="13" t="n">
        <f aca="false">IF(ISNUMBER(MATCH(E1294,'NCO-2015 scores'!$A$2:$A$131,0)),IF(ISNUMBER(INDEX('NCO-2015 scores'!$C$2:$C$131,MATCH(E1294,'NCO-2015 scores'!$A$2:$A$131,0))),1,0),0)</f>
        <v>1</v>
      </c>
    </row>
    <row r="1295" customFormat="false" ht="15" hidden="false" customHeight="false" outlineLevel="0" collapsed="false">
      <c r="A1295" s="2" t="n">
        <v>1293</v>
      </c>
      <c r="B1295" s="2" t="s">
        <v>4003</v>
      </c>
      <c r="C1295" s="2" t="s">
        <v>4004</v>
      </c>
      <c r="D1295" s="2" t="s">
        <v>4005</v>
      </c>
      <c r="E1295" s="2" t="str">
        <f aca="false">LEFT(C1295,3)</f>
        <v>221</v>
      </c>
      <c r="F1295" s="2" t="str">
        <f aca="false">IF(D1295="","",LEFT(D1295,3))</f>
        <v>222</v>
      </c>
      <c r="G1295" s="2" t="str">
        <f aca="false">IF(F1295="","",IF(E1295=F1295,"Yes","No"))</f>
        <v>No</v>
      </c>
      <c r="H1295" s="2" t="n">
        <f aca="false">IF(D1295="",0,1/COUNTIF($D$2:$D$3451,D1295))</f>
        <v>1</v>
      </c>
      <c r="I1295" s="13" t="n">
        <f aca="false">IFERROR(INDEX('NCO-2015 scores'!$C$2:$C$131,MATCH(E1295,'NCO-2015 scores'!$A$2:$A$131,0)),0)</f>
        <v>0.28</v>
      </c>
      <c r="J1295" s="13" t="n">
        <f aca="false">IF(ISNUMBER(MATCH(E1295,'NCO-2015 scores'!$A$2:$A$131,0)),IF(ISNUMBER(INDEX('NCO-2015 scores'!$C$2:$C$131,MATCH(E1295,'NCO-2015 scores'!$A$2:$A$131,0))),1,0),0)</f>
        <v>1</v>
      </c>
    </row>
    <row r="1296" customFormat="false" ht="15" hidden="false" customHeight="false" outlineLevel="0" collapsed="false">
      <c r="A1296" s="2" t="n">
        <v>1294</v>
      </c>
      <c r="B1296" s="2" t="s">
        <v>4006</v>
      </c>
      <c r="C1296" s="2" t="s">
        <v>4007</v>
      </c>
      <c r="D1296" s="2" t="s">
        <v>4008</v>
      </c>
      <c r="E1296" s="2" t="str">
        <f aca="false">LEFT(C1296,3)</f>
        <v>211</v>
      </c>
      <c r="F1296" s="2" t="str">
        <f aca="false">IF(D1296="","",LEFT(D1296,3))</f>
        <v>211</v>
      </c>
      <c r="G1296" s="2" t="str">
        <f aca="false">IF(F1296="","",IF(E1296=F1296,"Yes","No"))</f>
        <v>Yes</v>
      </c>
      <c r="H1296" s="2" t="n">
        <f aca="false">IF(D1296="",0,1/COUNTIF($D$2:$D$3451,D1296))</f>
        <v>1</v>
      </c>
      <c r="I1296" s="13" t="n">
        <f aca="false">IFERROR(INDEX('NCO-2015 scores'!$C$2:$C$131,MATCH(E1296,'NCO-2015 scores'!$A$2:$A$131,0)),0)</f>
        <v>0.4175</v>
      </c>
      <c r="J1296" s="13" t="n">
        <f aca="false">IF(ISNUMBER(MATCH(E1296,'NCO-2015 scores'!$A$2:$A$131,0)),IF(ISNUMBER(INDEX('NCO-2015 scores'!$C$2:$C$131,MATCH(E1296,'NCO-2015 scores'!$A$2:$A$131,0))),1,0),0)</f>
        <v>1</v>
      </c>
    </row>
    <row r="1297" customFormat="false" ht="15" hidden="false" customHeight="false" outlineLevel="0" collapsed="false">
      <c r="A1297" s="2" t="n">
        <v>1295</v>
      </c>
      <c r="B1297" s="2" t="s">
        <v>4009</v>
      </c>
      <c r="C1297" s="2" t="s">
        <v>4010</v>
      </c>
      <c r="D1297" s="2" t="s">
        <v>4011</v>
      </c>
      <c r="E1297" s="2" t="str">
        <f aca="false">LEFT(C1297,3)</f>
        <v>211</v>
      </c>
      <c r="F1297" s="2" t="str">
        <f aca="false">IF(D1297="","",LEFT(D1297,3))</f>
        <v>211</v>
      </c>
      <c r="G1297" s="2" t="str">
        <f aca="false">IF(F1297="","",IF(E1297=F1297,"Yes","No"))</f>
        <v>Yes</v>
      </c>
      <c r="H1297" s="2" t="n">
        <f aca="false">IF(D1297="",0,1/COUNTIF($D$2:$D$3451,D1297))</f>
        <v>1</v>
      </c>
      <c r="I1297" s="13" t="n">
        <f aca="false">IFERROR(INDEX('NCO-2015 scores'!$C$2:$C$131,MATCH(E1297,'NCO-2015 scores'!$A$2:$A$131,0)),0)</f>
        <v>0.4175</v>
      </c>
      <c r="J1297" s="13" t="n">
        <f aca="false">IF(ISNUMBER(MATCH(E1297,'NCO-2015 scores'!$A$2:$A$131,0)),IF(ISNUMBER(INDEX('NCO-2015 scores'!$C$2:$C$131,MATCH(E1297,'NCO-2015 scores'!$A$2:$A$131,0))),1,0),0)</f>
        <v>1</v>
      </c>
    </row>
    <row r="1298" customFormat="false" ht="15" hidden="false" customHeight="false" outlineLevel="0" collapsed="false">
      <c r="A1298" s="2" t="n">
        <v>1296</v>
      </c>
      <c r="B1298" s="2" t="s">
        <v>4012</v>
      </c>
      <c r="C1298" s="2" t="s">
        <v>4013</v>
      </c>
      <c r="D1298" s="2" t="s">
        <v>4014</v>
      </c>
      <c r="E1298" s="2" t="str">
        <f aca="false">LEFT(C1298,3)</f>
        <v>211</v>
      </c>
      <c r="F1298" s="2" t="str">
        <f aca="false">IF(D1298="","",LEFT(D1298,3))</f>
        <v>211</v>
      </c>
      <c r="G1298" s="2" t="str">
        <f aca="false">IF(F1298="","",IF(E1298=F1298,"Yes","No"))</f>
        <v>Yes</v>
      </c>
      <c r="H1298" s="2" t="n">
        <f aca="false">IF(D1298="",0,1/COUNTIF($D$2:$D$3451,D1298))</f>
        <v>1</v>
      </c>
      <c r="I1298" s="13" t="n">
        <f aca="false">IFERROR(INDEX('NCO-2015 scores'!$C$2:$C$131,MATCH(E1298,'NCO-2015 scores'!$A$2:$A$131,0)),0)</f>
        <v>0.4175</v>
      </c>
      <c r="J1298" s="13" t="n">
        <f aca="false">IF(ISNUMBER(MATCH(E1298,'NCO-2015 scores'!$A$2:$A$131,0)),IF(ISNUMBER(INDEX('NCO-2015 scores'!$C$2:$C$131,MATCH(E1298,'NCO-2015 scores'!$A$2:$A$131,0))),1,0),0)</f>
        <v>1</v>
      </c>
    </row>
    <row r="1299" customFormat="false" ht="15" hidden="false" customHeight="false" outlineLevel="0" collapsed="false">
      <c r="A1299" s="2" t="n">
        <v>1297</v>
      </c>
      <c r="B1299" s="2" t="s">
        <v>4015</v>
      </c>
      <c r="C1299" s="2" t="s">
        <v>4016</v>
      </c>
      <c r="D1299" s="2" t="s">
        <v>4017</v>
      </c>
      <c r="E1299" s="2" t="str">
        <f aca="false">LEFT(C1299,3)</f>
        <v>211</v>
      </c>
      <c r="F1299" s="2" t="str">
        <f aca="false">IF(D1299="","",LEFT(D1299,3))</f>
        <v>211</v>
      </c>
      <c r="G1299" s="2" t="str">
        <f aca="false">IF(F1299="","",IF(E1299=F1299,"Yes","No"))</f>
        <v>Yes</v>
      </c>
      <c r="H1299" s="2" t="n">
        <f aca="false">IF(D1299="",0,1/COUNTIF($D$2:$D$3451,D1299))</f>
        <v>1</v>
      </c>
      <c r="I1299" s="13" t="n">
        <f aca="false">IFERROR(INDEX('NCO-2015 scores'!$C$2:$C$131,MATCH(E1299,'NCO-2015 scores'!$A$2:$A$131,0)),0)</f>
        <v>0.4175</v>
      </c>
      <c r="J1299" s="13" t="n">
        <f aca="false">IF(ISNUMBER(MATCH(E1299,'NCO-2015 scores'!$A$2:$A$131,0)),IF(ISNUMBER(INDEX('NCO-2015 scores'!$C$2:$C$131,MATCH(E1299,'NCO-2015 scores'!$A$2:$A$131,0))),1,0),0)</f>
        <v>1</v>
      </c>
    </row>
    <row r="1300" customFormat="false" ht="15" hidden="false" customHeight="false" outlineLevel="0" collapsed="false">
      <c r="A1300" s="2" t="n">
        <v>1298</v>
      </c>
      <c r="B1300" s="2" t="s">
        <v>4018</v>
      </c>
      <c r="C1300" s="2" t="s">
        <v>4019</v>
      </c>
      <c r="D1300" s="2" t="s">
        <v>4020</v>
      </c>
      <c r="E1300" s="2" t="str">
        <f aca="false">LEFT(C1300,3)</f>
        <v>211</v>
      </c>
      <c r="F1300" s="2" t="str">
        <f aca="false">IF(D1300="","",LEFT(D1300,3))</f>
        <v>211</v>
      </c>
      <c r="G1300" s="2" t="str">
        <f aca="false">IF(F1300="","",IF(E1300=F1300,"Yes","No"))</f>
        <v>Yes</v>
      </c>
      <c r="H1300" s="2" t="n">
        <f aca="false">IF(D1300="",0,1/COUNTIF($D$2:$D$3451,D1300))</f>
        <v>1</v>
      </c>
      <c r="I1300" s="13" t="n">
        <f aca="false">IFERROR(INDEX('NCO-2015 scores'!$C$2:$C$131,MATCH(E1300,'NCO-2015 scores'!$A$2:$A$131,0)),0)</f>
        <v>0.4175</v>
      </c>
      <c r="J1300" s="13" t="n">
        <f aca="false">IF(ISNUMBER(MATCH(E1300,'NCO-2015 scores'!$A$2:$A$131,0)),IF(ISNUMBER(INDEX('NCO-2015 scores'!$C$2:$C$131,MATCH(E1300,'NCO-2015 scores'!$A$2:$A$131,0))),1,0),0)</f>
        <v>1</v>
      </c>
    </row>
    <row r="1301" customFormat="false" ht="15" hidden="false" customHeight="false" outlineLevel="0" collapsed="false">
      <c r="A1301" s="2" t="n">
        <v>1299</v>
      </c>
      <c r="B1301" s="2" t="s">
        <v>4021</v>
      </c>
      <c r="C1301" s="2" t="s">
        <v>4022</v>
      </c>
      <c r="D1301" s="2" t="s">
        <v>4023</v>
      </c>
      <c r="E1301" s="2" t="str">
        <f aca="false">LEFT(C1301,3)</f>
        <v>211</v>
      </c>
      <c r="F1301" s="2" t="str">
        <f aca="false">IF(D1301="","",LEFT(D1301,3))</f>
        <v>211</v>
      </c>
      <c r="G1301" s="2" t="str">
        <f aca="false">IF(F1301="","",IF(E1301=F1301,"Yes","No"))</f>
        <v>Yes</v>
      </c>
      <c r="H1301" s="2" t="n">
        <f aca="false">IF(D1301="",0,1/COUNTIF($D$2:$D$3451,D1301))</f>
        <v>1</v>
      </c>
      <c r="I1301" s="13" t="n">
        <f aca="false">IFERROR(INDEX('NCO-2015 scores'!$C$2:$C$131,MATCH(E1301,'NCO-2015 scores'!$A$2:$A$131,0)),0)</f>
        <v>0.4175</v>
      </c>
      <c r="J1301" s="13" t="n">
        <f aca="false">IF(ISNUMBER(MATCH(E1301,'NCO-2015 scores'!$A$2:$A$131,0)),IF(ISNUMBER(INDEX('NCO-2015 scores'!$C$2:$C$131,MATCH(E1301,'NCO-2015 scores'!$A$2:$A$131,0))),1,0),0)</f>
        <v>1</v>
      </c>
    </row>
    <row r="1302" customFormat="false" ht="15" hidden="false" customHeight="false" outlineLevel="0" collapsed="false">
      <c r="A1302" s="2" t="n">
        <v>1300</v>
      </c>
      <c r="B1302" s="2" t="s">
        <v>4024</v>
      </c>
      <c r="C1302" s="2" t="s">
        <v>4025</v>
      </c>
      <c r="D1302" s="2" t="s">
        <v>4026</v>
      </c>
      <c r="E1302" s="2" t="str">
        <f aca="false">LEFT(C1302,3)</f>
        <v>211</v>
      </c>
      <c r="F1302" s="2" t="str">
        <f aca="false">IF(D1302="","",LEFT(D1302,3))</f>
        <v>211</v>
      </c>
      <c r="G1302" s="2" t="str">
        <f aca="false">IF(F1302="","",IF(E1302=F1302,"Yes","No"))</f>
        <v>Yes</v>
      </c>
      <c r="H1302" s="2" t="n">
        <f aca="false">IF(D1302="",0,1/COUNTIF($D$2:$D$3451,D1302))</f>
        <v>1</v>
      </c>
      <c r="I1302" s="13" t="n">
        <f aca="false">IFERROR(INDEX('NCO-2015 scores'!$C$2:$C$131,MATCH(E1302,'NCO-2015 scores'!$A$2:$A$131,0)),0)</f>
        <v>0.4175</v>
      </c>
      <c r="J1302" s="13" t="n">
        <f aca="false">IF(ISNUMBER(MATCH(E1302,'NCO-2015 scores'!$A$2:$A$131,0)),IF(ISNUMBER(INDEX('NCO-2015 scores'!$C$2:$C$131,MATCH(E1302,'NCO-2015 scores'!$A$2:$A$131,0))),1,0),0)</f>
        <v>1</v>
      </c>
    </row>
    <row r="1303" customFormat="false" ht="15" hidden="false" customHeight="false" outlineLevel="0" collapsed="false">
      <c r="A1303" s="2" t="n">
        <v>1301</v>
      </c>
      <c r="B1303" s="2" t="s">
        <v>4027</v>
      </c>
      <c r="C1303" s="2" t="s">
        <v>4028</v>
      </c>
      <c r="D1303" s="2" t="s">
        <v>4029</v>
      </c>
      <c r="E1303" s="2" t="str">
        <f aca="false">LEFT(C1303,3)</f>
        <v>211</v>
      </c>
      <c r="F1303" s="2" t="str">
        <f aca="false">IF(D1303="","",LEFT(D1303,3))</f>
        <v>211</v>
      </c>
      <c r="G1303" s="2" t="str">
        <f aca="false">IF(F1303="","",IF(E1303=F1303,"Yes","No"))</f>
        <v>Yes</v>
      </c>
      <c r="H1303" s="2" t="n">
        <f aca="false">IF(D1303="",0,1/COUNTIF($D$2:$D$3451,D1303))</f>
        <v>1</v>
      </c>
      <c r="I1303" s="13" t="n">
        <f aca="false">IFERROR(INDEX('NCO-2015 scores'!$C$2:$C$131,MATCH(E1303,'NCO-2015 scores'!$A$2:$A$131,0)),0)</f>
        <v>0.4175</v>
      </c>
      <c r="J1303" s="13" t="n">
        <f aca="false">IF(ISNUMBER(MATCH(E1303,'NCO-2015 scores'!$A$2:$A$131,0)),IF(ISNUMBER(INDEX('NCO-2015 scores'!$C$2:$C$131,MATCH(E1303,'NCO-2015 scores'!$A$2:$A$131,0))),1,0),0)</f>
        <v>1</v>
      </c>
    </row>
    <row r="1304" customFormat="false" ht="15" hidden="false" customHeight="false" outlineLevel="0" collapsed="false">
      <c r="A1304" s="2" t="n">
        <v>1302</v>
      </c>
      <c r="B1304" s="2" t="s">
        <v>4030</v>
      </c>
      <c r="C1304" s="2" t="s">
        <v>4031</v>
      </c>
      <c r="D1304" s="2" t="s">
        <v>4032</v>
      </c>
      <c r="E1304" s="2" t="str">
        <f aca="false">LEFT(C1304,3)</f>
        <v>211</v>
      </c>
      <c r="F1304" s="2" t="str">
        <f aca="false">IF(D1304="","",LEFT(D1304,3))</f>
        <v>211</v>
      </c>
      <c r="G1304" s="2" t="str">
        <f aca="false">IF(F1304="","",IF(E1304=F1304,"Yes","No"))</f>
        <v>Yes</v>
      </c>
      <c r="H1304" s="2" t="n">
        <f aca="false">IF(D1304="",0,1/COUNTIF($D$2:$D$3451,D1304))</f>
        <v>1</v>
      </c>
      <c r="I1304" s="13" t="n">
        <f aca="false">IFERROR(INDEX('NCO-2015 scores'!$C$2:$C$131,MATCH(E1304,'NCO-2015 scores'!$A$2:$A$131,0)),0)</f>
        <v>0.4175</v>
      </c>
      <c r="J1304" s="13" t="n">
        <f aca="false">IF(ISNUMBER(MATCH(E1304,'NCO-2015 scores'!$A$2:$A$131,0)),IF(ISNUMBER(INDEX('NCO-2015 scores'!$C$2:$C$131,MATCH(E1304,'NCO-2015 scores'!$A$2:$A$131,0))),1,0),0)</f>
        <v>1</v>
      </c>
    </row>
    <row r="1305" customFormat="false" ht="15" hidden="false" customHeight="false" outlineLevel="0" collapsed="false">
      <c r="A1305" s="2" t="n">
        <v>1303</v>
      </c>
      <c r="B1305" s="2" t="s">
        <v>4033</v>
      </c>
      <c r="C1305" s="2" t="s">
        <v>4034</v>
      </c>
      <c r="D1305" s="2" t="s">
        <v>4035</v>
      </c>
      <c r="E1305" s="2" t="str">
        <f aca="false">LEFT(C1305,3)</f>
        <v>211</v>
      </c>
      <c r="F1305" s="2" t="str">
        <f aca="false">IF(D1305="","",LEFT(D1305,3))</f>
        <v>211</v>
      </c>
      <c r="G1305" s="2" t="str">
        <f aca="false">IF(F1305="","",IF(E1305=F1305,"Yes","No"))</f>
        <v>Yes</v>
      </c>
      <c r="H1305" s="2" t="n">
        <f aca="false">IF(D1305="",0,1/COUNTIF($D$2:$D$3451,D1305))</f>
        <v>1</v>
      </c>
      <c r="I1305" s="13" t="n">
        <f aca="false">IFERROR(INDEX('NCO-2015 scores'!$C$2:$C$131,MATCH(E1305,'NCO-2015 scores'!$A$2:$A$131,0)),0)</f>
        <v>0.4175</v>
      </c>
      <c r="J1305" s="13" t="n">
        <f aca="false">IF(ISNUMBER(MATCH(E1305,'NCO-2015 scores'!$A$2:$A$131,0)),IF(ISNUMBER(INDEX('NCO-2015 scores'!$C$2:$C$131,MATCH(E1305,'NCO-2015 scores'!$A$2:$A$131,0))),1,0),0)</f>
        <v>1</v>
      </c>
    </row>
    <row r="1306" customFormat="false" ht="15" hidden="false" customHeight="false" outlineLevel="0" collapsed="false">
      <c r="A1306" s="2" t="n">
        <v>1304</v>
      </c>
      <c r="B1306" s="2" t="s">
        <v>4036</v>
      </c>
      <c r="C1306" s="2" t="s">
        <v>4037</v>
      </c>
      <c r="D1306" s="2" t="s">
        <v>4038</v>
      </c>
      <c r="E1306" s="2" t="str">
        <f aca="false">LEFT(C1306,3)</f>
        <v>211</v>
      </c>
      <c r="F1306" s="2" t="str">
        <f aca="false">IF(D1306="","",LEFT(D1306,3))</f>
        <v>211</v>
      </c>
      <c r="G1306" s="2" t="str">
        <f aca="false">IF(F1306="","",IF(E1306=F1306,"Yes","No"))</f>
        <v>Yes</v>
      </c>
      <c r="H1306" s="2" t="n">
        <f aca="false">IF(D1306="",0,1/COUNTIF($D$2:$D$3451,D1306))</f>
        <v>1</v>
      </c>
      <c r="I1306" s="13" t="n">
        <f aca="false">IFERROR(INDEX('NCO-2015 scores'!$C$2:$C$131,MATCH(E1306,'NCO-2015 scores'!$A$2:$A$131,0)),0)</f>
        <v>0.4175</v>
      </c>
      <c r="J1306" s="13" t="n">
        <f aca="false">IF(ISNUMBER(MATCH(E1306,'NCO-2015 scores'!$A$2:$A$131,0)),IF(ISNUMBER(INDEX('NCO-2015 scores'!$C$2:$C$131,MATCH(E1306,'NCO-2015 scores'!$A$2:$A$131,0))),1,0),0)</f>
        <v>1</v>
      </c>
    </row>
    <row r="1307" customFormat="false" ht="15" hidden="false" customHeight="false" outlineLevel="0" collapsed="false">
      <c r="A1307" s="2" t="n">
        <v>1305</v>
      </c>
      <c r="B1307" s="2" t="s">
        <v>4039</v>
      </c>
      <c r="C1307" s="2" t="s">
        <v>4040</v>
      </c>
      <c r="D1307" s="2" t="s">
        <v>4041</v>
      </c>
      <c r="E1307" s="2" t="str">
        <f aca="false">LEFT(C1307,3)</f>
        <v>818</v>
      </c>
      <c r="F1307" s="2" t="str">
        <f aca="false">IF(D1307="","",LEFT(D1307,3))</f>
        <v>813</v>
      </c>
      <c r="G1307" s="2" t="str">
        <f aca="false">IF(F1307="","",IF(E1307=F1307,"Yes","No"))</f>
        <v>No</v>
      </c>
      <c r="H1307" s="2" t="n">
        <f aca="false">IF(D1307="",0,1/COUNTIF($D$2:$D$3451,D1307))</f>
        <v>1</v>
      </c>
      <c r="I1307" s="13" t="n">
        <f aca="false">IFERROR(INDEX('NCO-2015 scores'!$C$2:$C$131,MATCH(E1307,'NCO-2015 scores'!$A$2:$A$131,0)),0)</f>
        <v>0.1967</v>
      </c>
      <c r="J1307" s="13" t="n">
        <f aca="false">IF(ISNUMBER(MATCH(E1307,'NCO-2015 scores'!$A$2:$A$131,0)),IF(ISNUMBER(INDEX('NCO-2015 scores'!$C$2:$C$131,MATCH(E1307,'NCO-2015 scores'!$A$2:$A$131,0))),1,0),0)</f>
        <v>1</v>
      </c>
    </row>
    <row r="1308" customFormat="false" ht="15" hidden="false" customHeight="false" outlineLevel="0" collapsed="false">
      <c r="A1308" s="2" t="n">
        <v>1306</v>
      </c>
      <c r="B1308" s="2" t="s">
        <v>4042</v>
      </c>
      <c r="C1308" s="2" t="s">
        <v>4043</v>
      </c>
      <c r="D1308" s="2" t="s">
        <v>4044</v>
      </c>
      <c r="E1308" s="2" t="str">
        <f aca="false">LEFT(C1308,3)</f>
        <v>818</v>
      </c>
      <c r="F1308" s="2" t="str">
        <f aca="false">IF(D1308="","",LEFT(D1308,3))</f>
        <v>813</v>
      </c>
      <c r="G1308" s="2" t="str">
        <f aca="false">IF(F1308="","",IF(E1308=F1308,"Yes","No"))</f>
        <v>No</v>
      </c>
      <c r="H1308" s="2" t="n">
        <f aca="false">IF(D1308="",0,1/COUNTIF($D$2:$D$3451,D1308))</f>
        <v>1</v>
      </c>
      <c r="I1308" s="13" t="n">
        <f aca="false">IFERROR(INDEX('NCO-2015 scores'!$C$2:$C$131,MATCH(E1308,'NCO-2015 scores'!$A$2:$A$131,0)),0)</f>
        <v>0.1967</v>
      </c>
      <c r="J1308" s="13" t="n">
        <f aca="false">IF(ISNUMBER(MATCH(E1308,'NCO-2015 scores'!$A$2:$A$131,0)),IF(ISNUMBER(INDEX('NCO-2015 scores'!$C$2:$C$131,MATCH(E1308,'NCO-2015 scores'!$A$2:$A$131,0))),1,0),0)</f>
        <v>1</v>
      </c>
    </row>
    <row r="1309" customFormat="false" ht="15" hidden="false" customHeight="false" outlineLevel="0" collapsed="false">
      <c r="A1309" s="2" t="n">
        <v>1307</v>
      </c>
      <c r="B1309" s="2" t="s">
        <v>4045</v>
      </c>
      <c r="C1309" s="2" t="s">
        <v>4046</v>
      </c>
      <c r="D1309" s="2" t="s">
        <v>4047</v>
      </c>
      <c r="E1309" s="2" t="str">
        <f aca="false">LEFT(C1309,3)</f>
        <v>818</v>
      </c>
      <c r="F1309" s="2" t="str">
        <f aca="false">IF(D1309="","",LEFT(D1309,3))</f>
        <v>813</v>
      </c>
      <c r="G1309" s="2" t="str">
        <f aca="false">IF(F1309="","",IF(E1309=F1309,"Yes","No"))</f>
        <v>No</v>
      </c>
      <c r="H1309" s="2" t="n">
        <f aca="false">IF(D1309="",0,1/COUNTIF($D$2:$D$3451,D1309))</f>
        <v>1</v>
      </c>
      <c r="I1309" s="13" t="n">
        <f aca="false">IFERROR(INDEX('NCO-2015 scores'!$C$2:$C$131,MATCH(E1309,'NCO-2015 scores'!$A$2:$A$131,0)),0)</f>
        <v>0.1967</v>
      </c>
      <c r="J1309" s="13" t="n">
        <f aca="false">IF(ISNUMBER(MATCH(E1309,'NCO-2015 scores'!$A$2:$A$131,0)),IF(ISNUMBER(INDEX('NCO-2015 scores'!$C$2:$C$131,MATCH(E1309,'NCO-2015 scores'!$A$2:$A$131,0))),1,0),0)</f>
        <v>1</v>
      </c>
    </row>
    <row r="1310" customFormat="false" ht="15" hidden="false" customHeight="false" outlineLevel="0" collapsed="false">
      <c r="A1310" s="2" t="n">
        <v>1308</v>
      </c>
      <c r="B1310" s="2" t="s">
        <v>4048</v>
      </c>
      <c r="C1310" s="2" t="s">
        <v>4049</v>
      </c>
      <c r="D1310" s="2" t="s">
        <v>4050</v>
      </c>
      <c r="E1310" s="2" t="str">
        <f aca="false">LEFT(C1310,3)</f>
        <v>818</v>
      </c>
      <c r="F1310" s="2" t="str">
        <f aca="false">IF(D1310="","",LEFT(D1310,3))</f>
        <v>813</v>
      </c>
      <c r="G1310" s="2" t="str">
        <f aca="false">IF(F1310="","",IF(E1310=F1310,"Yes","No"))</f>
        <v>No</v>
      </c>
      <c r="H1310" s="2" t="n">
        <f aca="false">IF(D1310="",0,1/COUNTIF($D$2:$D$3451,D1310))</f>
        <v>1</v>
      </c>
      <c r="I1310" s="13" t="n">
        <f aca="false">IFERROR(INDEX('NCO-2015 scores'!$C$2:$C$131,MATCH(E1310,'NCO-2015 scores'!$A$2:$A$131,0)),0)</f>
        <v>0.1967</v>
      </c>
      <c r="J1310" s="13" t="n">
        <f aca="false">IF(ISNUMBER(MATCH(E1310,'NCO-2015 scores'!$A$2:$A$131,0)),IF(ISNUMBER(INDEX('NCO-2015 scores'!$C$2:$C$131,MATCH(E1310,'NCO-2015 scores'!$A$2:$A$131,0))),1,0),0)</f>
        <v>1</v>
      </c>
    </row>
    <row r="1311" customFormat="false" ht="15" hidden="false" customHeight="false" outlineLevel="0" collapsed="false">
      <c r="A1311" s="2" t="n">
        <v>1309</v>
      </c>
      <c r="B1311" s="2" t="s">
        <v>4051</v>
      </c>
      <c r="C1311" s="2" t="s">
        <v>4052</v>
      </c>
      <c r="D1311" s="2" t="s">
        <v>4053</v>
      </c>
      <c r="E1311" s="2" t="str">
        <f aca="false">LEFT(C1311,3)</f>
        <v>818</v>
      </c>
      <c r="F1311" s="2" t="str">
        <f aca="false">IF(D1311="","",LEFT(D1311,3))</f>
        <v>813</v>
      </c>
      <c r="G1311" s="2" t="str">
        <f aca="false">IF(F1311="","",IF(E1311=F1311,"Yes","No"))</f>
        <v>No</v>
      </c>
      <c r="H1311" s="2" t="n">
        <f aca="false">IF(D1311="",0,1/COUNTIF($D$2:$D$3451,D1311))</f>
        <v>1</v>
      </c>
      <c r="I1311" s="13" t="n">
        <f aca="false">IFERROR(INDEX('NCO-2015 scores'!$C$2:$C$131,MATCH(E1311,'NCO-2015 scores'!$A$2:$A$131,0)),0)</f>
        <v>0.1967</v>
      </c>
      <c r="J1311" s="13" t="n">
        <f aca="false">IF(ISNUMBER(MATCH(E1311,'NCO-2015 scores'!$A$2:$A$131,0)),IF(ISNUMBER(INDEX('NCO-2015 scores'!$C$2:$C$131,MATCH(E1311,'NCO-2015 scores'!$A$2:$A$131,0))),1,0),0)</f>
        <v>1</v>
      </c>
    </row>
    <row r="1312" customFormat="false" ht="15" hidden="false" customHeight="false" outlineLevel="0" collapsed="false">
      <c r="A1312" s="2" t="n">
        <v>1310</v>
      </c>
      <c r="B1312" s="2" t="s">
        <v>4054</v>
      </c>
      <c r="C1312" s="2" t="s">
        <v>4055</v>
      </c>
      <c r="D1312" s="2" t="s">
        <v>4056</v>
      </c>
      <c r="E1312" s="2" t="str">
        <f aca="false">LEFT(C1312,3)</f>
        <v>818</v>
      </c>
      <c r="F1312" s="2" t="str">
        <f aca="false">IF(D1312="","",LEFT(D1312,3))</f>
        <v>813</v>
      </c>
      <c r="G1312" s="2" t="str">
        <f aca="false">IF(F1312="","",IF(E1312=F1312,"Yes","No"))</f>
        <v>No</v>
      </c>
      <c r="H1312" s="2" t="n">
        <f aca="false">IF(D1312="",0,1/COUNTIF($D$2:$D$3451,D1312))</f>
        <v>1</v>
      </c>
      <c r="I1312" s="13" t="n">
        <f aca="false">IFERROR(INDEX('NCO-2015 scores'!$C$2:$C$131,MATCH(E1312,'NCO-2015 scores'!$A$2:$A$131,0)),0)</f>
        <v>0.1967</v>
      </c>
      <c r="J1312" s="13" t="n">
        <f aca="false">IF(ISNUMBER(MATCH(E1312,'NCO-2015 scores'!$A$2:$A$131,0)),IF(ISNUMBER(INDEX('NCO-2015 scores'!$C$2:$C$131,MATCH(E1312,'NCO-2015 scores'!$A$2:$A$131,0))),1,0),0)</f>
        <v>1</v>
      </c>
    </row>
    <row r="1313" customFormat="false" ht="15" hidden="false" customHeight="false" outlineLevel="0" collapsed="false">
      <c r="A1313" s="2" t="n">
        <v>1311</v>
      </c>
      <c r="B1313" s="2" t="s">
        <v>4057</v>
      </c>
      <c r="C1313" s="2" t="s">
        <v>4058</v>
      </c>
      <c r="D1313" s="2" t="s">
        <v>4059</v>
      </c>
      <c r="E1313" s="2" t="str">
        <f aca="false">LEFT(C1313,3)</f>
        <v>818</v>
      </c>
      <c r="F1313" s="2" t="str">
        <f aca="false">IF(D1313="","",LEFT(D1313,3))</f>
        <v>813</v>
      </c>
      <c r="G1313" s="2" t="str">
        <f aca="false">IF(F1313="","",IF(E1313=F1313,"Yes","No"))</f>
        <v>No</v>
      </c>
      <c r="H1313" s="2" t="n">
        <f aca="false">IF(D1313="",0,1/COUNTIF($D$2:$D$3451,D1313))</f>
        <v>1</v>
      </c>
      <c r="I1313" s="13" t="n">
        <f aca="false">IFERROR(INDEX('NCO-2015 scores'!$C$2:$C$131,MATCH(E1313,'NCO-2015 scores'!$A$2:$A$131,0)),0)</f>
        <v>0.1967</v>
      </c>
      <c r="J1313" s="13" t="n">
        <f aca="false">IF(ISNUMBER(MATCH(E1313,'NCO-2015 scores'!$A$2:$A$131,0)),IF(ISNUMBER(INDEX('NCO-2015 scores'!$C$2:$C$131,MATCH(E1313,'NCO-2015 scores'!$A$2:$A$131,0))),1,0),0)</f>
        <v>1</v>
      </c>
    </row>
    <row r="1314" customFormat="false" ht="15" hidden="false" customHeight="false" outlineLevel="0" collapsed="false">
      <c r="A1314" s="2" t="n">
        <v>1312</v>
      </c>
      <c r="B1314" s="2" t="s">
        <v>4060</v>
      </c>
      <c r="C1314" s="2" t="s">
        <v>4061</v>
      </c>
      <c r="D1314" s="2" t="s">
        <v>4062</v>
      </c>
      <c r="E1314" s="2" t="str">
        <f aca="false">LEFT(C1314,3)</f>
        <v>818</v>
      </c>
      <c r="F1314" s="2" t="str">
        <f aca="false">IF(D1314="","",LEFT(D1314,3))</f>
        <v>813</v>
      </c>
      <c r="G1314" s="2" t="str">
        <f aca="false">IF(F1314="","",IF(E1314=F1314,"Yes","No"))</f>
        <v>No</v>
      </c>
      <c r="H1314" s="2" t="n">
        <f aca="false">IF(D1314="",0,1/COUNTIF($D$2:$D$3451,D1314))</f>
        <v>1</v>
      </c>
      <c r="I1314" s="13" t="n">
        <f aca="false">IFERROR(INDEX('NCO-2015 scores'!$C$2:$C$131,MATCH(E1314,'NCO-2015 scores'!$A$2:$A$131,0)),0)</f>
        <v>0.1967</v>
      </c>
      <c r="J1314" s="13" t="n">
        <f aca="false">IF(ISNUMBER(MATCH(E1314,'NCO-2015 scores'!$A$2:$A$131,0)),IF(ISNUMBER(INDEX('NCO-2015 scores'!$C$2:$C$131,MATCH(E1314,'NCO-2015 scores'!$A$2:$A$131,0))),1,0),0)</f>
        <v>1</v>
      </c>
    </row>
    <row r="1315" customFormat="false" ht="15" hidden="false" customHeight="false" outlineLevel="0" collapsed="false">
      <c r="A1315" s="2" t="n">
        <v>1313</v>
      </c>
      <c r="B1315" s="2" t="s">
        <v>4063</v>
      </c>
      <c r="C1315" s="2" t="s">
        <v>4064</v>
      </c>
      <c r="D1315" s="2" t="s">
        <v>4065</v>
      </c>
      <c r="E1315" s="2" t="str">
        <f aca="false">LEFT(C1315,3)</f>
        <v>818</v>
      </c>
      <c r="F1315" s="2" t="str">
        <f aca="false">IF(D1315="","",LEFT(D1315,3))</f>
        <v>813</v>
      </c>
      <c r="G1315" s="2" t="str">
        <f aca="false">IF(F1315="","",IF(E1315=F1315,"Yes","No"))</f>
        <v>No</v>
      </c>
      <c r="H1315" s="2" t="n">
        <f aca="false">IF(D1315="",0,1/COUNTIF($D$2:$D$3451,D1315))</f>
        <v>1</v>
      </c>
      <c r="I1315" s="13" t="n">
        <f aca="false">IFERROR(INDEX('NCO-2015 scores'!$C$2:$C$131,MATCH(E1315,'NCO-2015 scores'!$A$2:$A$131,0)),0)</f>
        <v>0.1967</v>
      </c>
      <c r="J1315" s="13" t="n">
        <f aca="false">IF(ISNUMBER(MATCH(E1315,'NCO-2015 scores'!$A$2:$A$131,0)),IF(ISNUMBER(INDEX('NCO-2015 scores'!$C$2:$C$131,MATCH(E1315,'NCO-2015 scores'!$A$2:$A$131,0))),1,0),0)</f>
        <v>1</v>
      </c>
    </row>
    <row r="1316" customFormat="false" ht="15" hidden="false" customHeight="false" outlineLevel="0" collapsed="false">
      <c r="A1316" s="2" t="n">
        <v>1314</v>
      </c>
      <c r="B1316" s="2" t="s">
        <v>4066</v>
      </c>
      <c r="C1316" s="2" t="s">
        <v>4067</v>
      </c>
      <c r="D1316" s="2" t="s">
        <v>4068</v>
      </c>
      <c r="E1316" s="2" t="str">
        <f aca="false">LEFT(C1316,3)</f>
        <v>818</v>
      </c>
      <c r="F1316" s="2" t="str">
        <f aca="false">IF(D1316="","",LEFT(D1316,3))</f>
        <v>813</v>
      </c>
      <c r="G1316" s="2" t="str">
        <f aca="false">IF(F1316="","",IF(E1316=F1316,"Yes","No"))</f>
        <v>No</v>
      </c>
      <c r="H1316" s="2" t="n">
        <f aca="false">IF(D1316="",0,1/COUNTIF($D$2:$D$3451,D1316))</f>
        <v>1</v>
      </c>
      <c r="I1316" s="13" t="n">
        <f aca="false">IFERROR(INDEX('NCO-2015 scores'!$C$2:$C$131,MATCH(E1316,'NCO-2015 scores'!$A$2:$A$131,0)),0)</f>
        <v>0.1967</v>
      </c>
      <c r="J1316" s="13" t="n">
        <f aca="false">IF(ISNUMBER(MATCH(E1316,'NCO-2015 scores'!$A$2:$A$131,0)),IF(ISNUMBER(INDEX('NCO-2015 scores'!$C$2:$C$131,MATCH(E1316,'NCO-2015 scores'!$A$2:$A$131,0))),1,0),0)</f>
        <v>1</v>
      </c>
    </row>
    <row r="1317" customFormat="false" ht="15" hidden="false" customHeight="false" outlineLevel="0" collapsed="false">
      <c r="A1317" s="2" t="n">
        <v>1315</v>
      </c>
      <c r="B1317" s="2" t="s">
        <v>4069</v>
      </c>
      <c r="C1317" s="2" t="s">
        <v>4070</v>
      </c>
      <c r="D1317" s="2" t="s">
        <v>4071</v>
      </c>
      <c r="E1317" s="2" t="str">
        <f aca="false">LEFT(C1317,3)</f>
        <v>818</v>
      </c>
      <c r="F1317" s="2" t="str">
        <f aca="false">IF(D1317="","",LEFT(D1317,3))</f>
        <v>813</v>
      </c>
      <c r="G1317" s="2" t="str">
        <f aca="false">IF(F1317="","",IF(E1317=F1317,"Yes","No"))</f>
        <v>No</v>
      </c>
      <c r="H1317" s="2" t="n">
        <f aca="false">IF(D1317="",0,1/COUNTIF($D$2:$D$3451,D1317))</f>
        <v>1</v>
      </c>
      <c r="I1317" s="13" t="n">
        <f aca="false">IFERROR(INDEX('NCO-2015 scores'!$C$2:$C$131,MATCH(E1317,'NCO-2015 scores'!$A$2:$A$131,0)),0)</f>
        <v>0.1967</v>
      </c>
      <c r="J1317" s="13" t="n">
        <f aca="false">IF(ISNUMBER(MATCH(E1317,'NCO-2015 scores'!$A$2:$A$131,0)),IF(ISNUMBER(INDEX('NCO-2015 scores'!$C$2:$C$131,MATCH(E1317,'NCO-2015 scores'!$A$2:$A$131,0))),1,0),0)</f>
        <v>1</v>
      </c>
    </row>
    <row r="1318" customFormat="false" ht="15" hidden="false" customHeight="false" outlineLevel="0" collapsed="false">
      <c r="A1318" s="2" t="n">
        <v>1316</v>
      </c>
      <c r="B1318" s="2" t="s">
        <v>4072</v>
      </c>
      <c r="C1318" s="2" t="s">
        <v>4073</v>
      </c>
      <c r="D1318" s="2" t="s">
        <v>4074</v>
      </c>
      <c r="E1318" s="2" t="str">
        <f aca="false">LEFT(C1318,3)</f>
        <v>818</v>
      </c>
      <c r="F1318" s="2" t="str">
        <f aca="false">IF(D1318="","",LEFT(D1318,3))</f>
        <v>813</v>
      </c>
      <c r="G1318" s="2" t="str">
        <f aca="false">IF(F1318="","",IF(E1318=F1318,"Yes","No"))</f>
        <v>No</v>
      </c>
      <c r="H1318" s="2" t="n">
        <f aca="false">IF(D1318="",0,1/COUNTIF($D$2:$D$3451,D1318))</f>
        <v>1</v>
      </c>
      <c r="I1318" s="13" t="n">
        <f aca="false">IFERROR(INDEX('NCO-2015 scores'!$C$2:$C$131,MATCH(E1318,'NCO-2015 scores'!$A$2:$A$131,0)),0)</f>
        <v>0.1967</v>
      </c>
      <c r="J1318" s="13" t="n">
        <f aca="false">IF(ISNUMBER(MATCH(E1318,'NCO-2015 scores'!$A$2:$A$131,0)),IF(ISNUMBER(INDEX('NCO-2015 scores'!$C$2:$C$131,MATCH(E1318,'NCO-2015 scores'!$A$2:$A$131,0))),1,0),0)</f>
        <v>1</v>
      </c>
    </row>
    <row r="1319" customFormat="false" ht="15" hidden="false" customHeight="false" outlineLevel="0" collapsed="false">
      <c r="A1319" s="2" t="n">
        <v>1317</v>
      </c>
      <c r="B1319" s="2" t="s">
        <v>4075</v>
      </c>
      <c r="C1319" s="2" t="s">
        <v>4076</v>
      </c>
      <c r="D1319" s="2" t="s">
        <v>4077</v>
      </c>
      <c r="E1319" s="2" t="str">
        <f aca="false">LEFT(C1319,3)</f>
        <v>818</v>
      </c>
      <c r="F1319" s="2" t="str">
        <f aca="false">IF(D1319="","",LEFT(D1319,3))</f>
        <v>813</v>
      </c>
      <c r="G1319" s="2" t="str">
        <f aca="false">IF(F1319="","",IF(E1319=F1319,"Yes","No"))</f>
        <v>No</v>
      </c>
      <c r="H1319" s="2" t="n">
        <f aca="false">IF(D1319="",0,1/COUNTIF($D$2:$D$3451,D1319))</f>
        <v>1</v>
      </c>
      <c r="I1319" s="13" t="n">
        <f aca="false">IFERROR(INDEX('NCO-2015 scores'!$C$2:$C$131,MATCH(E1319,'NCO-2015 scores'!$A$2:$A$131,0)),0)</f>
        <v>0.1967</v>
      </c>
      <c r="J1319" s="13" t="n">
        <f aca="false">IF(ISNUMBER(MATCH(E1319,'NCO-2015 scores'!$A$2:$A$131,0)),IF(ISNUMBER(INDEX('NCO-2015 scores'!$C$2:$C$131,MATCH(E1319,'NCO-2015 scores'!$A$2:$A$131,0))),1,0),0)</f>
        <v>1</v>
      </c>
    </row>
    <row r="1320" customFormat="false" ht="15" hidden="false" customHeight="false" outlineLevel="0" collapsed="false">
      <c r="A1320" s="2" t="n">
        <v>1318</v>
      </c>
      <c r="B1320" s="2" t="s">
        <v>4078</v>
      </c>
      <c r="C1320" s="2" t="s">
        <v>4079</v>
      </c>
      <c r="D1320" s="2" t="s">
        <v>4080</v>
      </c>
      <c r="E1320" s="2" t="str">
        <f aca="false">LEFT(C1320,3)</f>
        <v>818</v>
      </c>
      <c r="F1320" s="2" t="str">
        <f aca="false">IF(D1320="","",LEFT(D1320,3))</f>
        <v>813</v>
      </c>
      <c r="G1320" s="2" t="str">
        <f aca="false">IF(F1320="","",IF(E1320=F1320,"Yes","No"))</f>
        <v>No</v>
      </c>
      <c r="H1320" s="2" t="n">
        <f aca="false">IF(D1320="",0,1/COUNTIF($D$2:$D$3451,D1320))</f>
        <v>1</v>
      </c>
      <c r="I1320" s="13" t="n">
        <f aca="false">IFERROR(INDEX('NCO-2015 scores'!$C$2:$C$131,MATCH(E1320,'NCO-2015 scores'!$A$2:$A$131,0)),0)</f>
        <v>0.1967</v>
      </c>
      <c r="J1320" s="13" t="n">
        <f aca="false">IF(ISNUMBER(MATCH(E1320,'NCO-2015 scores'!$A$2:$A$131,0)),IF(ISNUMBER(INDEX('NCO-2015 scores'!$C$2:$C$131,MATCH(E1320,'NCO-2015 scores'!$A$2:$A$131,0))),1,0),0)</f>
        <v>1</v>
      </c>
    </row>
    <row r="1321" customFormat="false" ht="15" hidden="false" customHeight="false" outlineLevel="0" collapsed="false">
      <c r="A1321" s="2" t="n">
        <v>1319</v>
      </c>
      <c r="B1321" s="2" t="s">
        <v>4081</v>
      </c>
      <c r="C1321" s="2" t="s">
        <v>4082</v>
      </c>
      <c r="D1321" s="2" t="s">
        <v>4083</v>
      </c>
      <c r="E1321" s="2" t="str">
        <f aca="false">LEFT(C1321,3)</f>
        <v>818</v>
      </c>
      <c r="F1321" s="2" t="str">
        <f aca="false">IF(D1321="","",LEFT(D1321,3))</f>
        <v>813</v>
      </c>
      <c r="G1321" s="2" t="str">
        <f aca="false">IF(F1321="","",IF(E1321=F1321,"Yes","No"))</f>
        <v>No</v>
      </c>
      <c r="H1321" s="2" t="n">
        <f aca="false">IF(D1321="",0,1/COUNTIF($D$2:$D$3451,D1321))</f>
        <v>1</v>
      </c>
      <c r="I1321" s="13" t="n">
        <f aca="false">IFERROR(INDEX('NCO-2015 scores'!$C$2:$C$131,MATCH(E1321,'NCO-2015 scores'!$A$2:$A$131,0)),0)</f>
        <v>0.1967</v>
      </c>
      <c r="J1321" s="13" t="n">
        <f aca="false">IF(ISNUMBER(MATCH(E1321,'NCO-2015 scores'!$A$2:$A$131,0)),IF(ISNUMBER(INDEX('NCO-2015 scores'!$C$2:$C$131,MATCH(E1321,'NCO-2015 scores'!$A$2:$A$131,0))),1,0),0)</f>
        <v>1</v>
      </c>
    </row>
    <row r="1322" customFormat="false" ht="15" hidden="false" customHeight="false" outlineLevel="0" collapsed="false">
      <c r="A1322" s="2" t="n">
        <v>1320</v>
      </c>
      <c r="B1322" s="2" t="s">
        <v>4084</v>
      </c>
      <c r="C1322" s="2" t="s">
        <v>4085</v>
      </c>
      <c r="D1322" s="2" t="s">
        <v>4086</v>
      </c>
      <c r="E1322" s="2" t="str">
        <f aca="false">LEFT(C1322,3)</f>
        <v>818</v>
      </c>
      <c r="F1322" s="2" t="str">
        <f aca="false">IF(D1322="","",LEFT(D1322,3))</f>
        <v>813</v>
      </c>
      <c r="G1322" s="2" t="str">
        <f aca="false">IF(F1322="","",IF(E1322=F1322,"Yes","No"))</f>
        <v>No</v>
      </c>
      <c r="H1322" s="2" t="n">
        <f aca="false">IF(D1322="",0,1/COUNTIF($D$2:$D$3451,D1322))</f>
        <v>1</v>
      </c>
      <c r="I1322" s="13" t="n">
        <f aca="false">IFERROR(INDEX('NCO-2015 scores'!$C$2:$C$131,MATCH(E1322,'NCO-2015 scores'!$A$2:$A$131,0)),0)</f>
        <v>0.1967</v>
      </c>
      <c r="J1322" s="13" t="n">
        <f aca="false">IF(ISNUMBER(MATCH(E1322,'NCO-2015 scores'!$A$2:$A$131,0)),IF(ISNUMBER(INDEX('NCO-2015 scores'!$C$2:$C$131,MATCH(E1322,'NCO-2015 scores'!$A$2:$A$131,0))),1,0),0)</f>
        <v>1</v>
      </c>
    </row>
    <row r="1323" customFormat="false" ht="15" hidden="false" customHeight="false" outlineLevel="0" collapsed="false">
      <c r="A1323" s="2" t="n">
        <v>1321</v>
      </c>
      <c r="B1323" s="2" t="s">
        <v>4087</v>
      </c>
      <c r="C1323" s="2" t="s">
        <v>4088</v>
      </c>
      <c r="D1323" s="2" t="s">
        <v>4089</v>
      </c>
      <c r="E1323" s="2" t="str">
        <f aca="false">LEFT(C1323,3)</f>
        <v>818</v>
      </c>
      <c r="F1323" s="2" t="str">
        <f aca="false">IF(D1323="","",LEFT(D1323,3))</f>
        <v>813</v>
      </c>
      <c r="G1323" s="2" t="str">
        <f aca="false">IF(F1323="","",IF(E1323=F1323,"Yes","No"))</f>
        <v>No</v>
      </c>
      <c r="H1323" s="2" t="n">
        <f aca="false">IF(D1323="",0,1/COUNTIF($D$2:$D$3451,D1323))</f>
        <v>1</v>
      </c>
      <c r="I1323" s="13" t="n">
        <f aca="false">IFERROR(INDEX('NCO-2015 scores'!$C$2:$C$131,MATCH(E1323,'NCO-2015 scores'!$A$2:$A$131,0)),0)</f>
        <v>0.1967</v>
      </c>
      <c r="J1323" s="13" t="n">
        <f aca="false">IF(ISNUMBER(MATCH(E1323,'NCO-2015 scores'!$A$2:$A$131,0)),IF(ISNUMBER(INDEX('NCO-2015 scores'!$C$2:$C$131,MATCH(E1323,'NCO-2015 scores'!$A$2:$A$131,0))),1,0),0)</f>
        <v>1</v>
      </c>
    </row>
    <row r="1324" customFormat="false" ht="15" hidden="false" customHeight="false" outlineLevel="0" collapsed="false">
      <c r="A1324" s="2" t="n">
        <v>1322</v>
      </c>
      <c r="B1324" s="2" t="s">
        <v>4090</v>
      </c>
      <c r="C1324" s="2" t="s">
        <v>4091</v>
      </c>
      <c r="D1324" s="2" t="s">
        <v>4092</v>
      </c>
      <c r="E1324" s="2" t="str">
        <f aca="false">LEFT(C1324,3)</f>
        <v>818</v>
      </c>
      <c r="F1324" s="2" t="str">
        <f aca="false">IF(D1324="","",LEFT(D1324,3))</f>
        <v>813</v>
      </c>
      <c r="G1324" s="2" t="str">
        <f aca="false">IF(F1324="","",IF(E1324=F1324,"Yes","No"))</f>
        <v>No</v>
      </c>
      <c r="H1324" s="2" t="n">
        <f aca="false">IF(D1324="",0,1/COUNTIF($D$2:$D$3451,D1324))</f>
        <v>1</v>
      </c>
      <c r="I1324" s="13" t="n">
        <f aca="false">IFERROR(INDEX('NCO-2015 scores'!$C$2:$C$131,MATCH(E1324,'NCO-2015 scores'!$A$2:$A$131,0)),0)</f>
        <v>0.1967</v>
      </c>
      <c r="J1324" s="13" t="n">
        <f aca="false">IF(ISNUMBER(MATCH(E1324,'NCO-2015 scores'!$A$2:$A$131,0)),IF(ISNUMBER(INDEX('NCO-2015 scores'!$C$2:$C$131,MATCH(E1324,'NCO-2015 scores'!$A$2:$A$131,0))),1,0),0)</f>
        <v>1</v>
      </c>
    </row>
    <row r="1325" customFormat="false" ht="15" hidden="false" customHeight="false" outlineLevel="0" collapsed="false">
      <c r="A1325" s="2" t="n">
        <v>1323</v>
      </c>
      <c r="B1325" s="2" t="s">
        <v>4093</v>
      </c>
      <c r="C1325" s="2" t="s">
        <v>4094</v>
      </c>
      <c r="D1325" s="2" t="s">
        <v>4095</v>
      </c>
      <c r="E1325" s="2" t="str">
        <f aca="false">LEFT(C1325,3)</f>
        <v>818</v>
      </c>
      <c r="F1325" s="2" t="str">
        <f aca="false">IF(D1325="","",LEFT(D1325,3))</f>
        <v>813</v>
      </c>
      <c r="G1325" s="2" t="str">
        <f aca="false">IF(F1325="","",IF(E1325=F1325,"Yes","No"))</f>
        <v>No</v>
      </c>
      <c r="H1325" s="2" t="n">
        <f aca="false">IF(D1325="",0,1/COUNTIF($D$2:$D$3451,D1325))</f>
        <v>1</v>
      </c>
      <c r="I1325" s="13" t="n">
        <f aca="false">IFERROR(INDEX('NCO-2015 scores'!$C$2:$C$131,MATCH(E1325,'NCO-2015 scores'!$A$2:$A$131,0)),0)</f>
        <v>0.1967</v>
      </c>
      <c r="J1325" s="13" t="n">
        <f aca="false">IF(ISNUMBER(MATCH(E1325,'NCO-2015 scores'!$A$2:$A$131,0)),IF(ISNUMBER(INDEX('NCO-2015 scores'!$C$2:$C$131,MATCH(E1325,'NCO-2015 scores'!$A$2:$A$131,0))),1,0),0)</f>
        <v>1</v>
      </c>
    </row>
    <row r="1326" customFormat="false" ht="15" hidden="false" customHeight="false" outlineLevel="0" collapsed="false">
      <c r="A1326" s="2" t="n">
        <v>1324</v>
      </c>
      <c r="B1326" s="2" t="s">
        <v>4096</v>
      </c>
      <c r="C1326" s="2" t="s">
        <v>4097</v>
      </c>
      <c r="D1326" s="2" t="s">
        <v>4098</v>
      </c>
      <c r="E1326" s="2" t="str">
        <f aca="false">LEFT(C1326,3)</f>
        <v>818</v>
      </c>
      <c r="F1326" s="2" t="str">
        <f aca="false">IF(D1326="","",LEFT(D1326,3))</f>
        <v>813</v>
      </c>
      <c r="G1326" s="2" t="str">
        <f aca="false">IF(F1326="","",IF(E1326=F1326,"Yes","No"))</f>
        <v>No</v>
      </c>
      <c r="H1326" s="2" t="n">
        <f aca="false">IF(D1326="",0,1/COUNTIF($D$2:$D$3451,D1326))</f>
        <v>1</v>
      </c>
      <c r="I1326" s="13" t="n">
        <f aca="false">IFERROR(INDEX('NCO-2015 scores'!$C$2:$C$131,MATCH(E1326,'NCO-2015 scores'!$A$2:$A$131,0)),0)</f>
        <v>0.1967</v>
      </c>
      <c r="J1326" s="13" t="n">
        <f aca="false">IF(ISNUMBER(MATCH(E1326,'NCO-2015 scores'!$A$2:$A$131,0)),IF(ISNUMBER(INDEX('NCO-2015 scores'!$C$2:$C$131,MATCH(E1326,'NCO-2015 scores'!$A$2:$A$131,0))),1,0),0)</f>
        <v>1</v>
      </c>
    </row>
    <row r="1327" customFormat="false" ht="15" hidden="false" customHeight="false" outlineLevel="0" collapsed="false">
      <c r="A1327" s="2" t="n">
        <v>1325</v>
      </c>
      <c r="B1327" s="2" t="s">
        <v>4099</v>
      </c>
      <c r="C1327" s="2" t="s">
        <v>4100</v>
      </c>
      <c r="D1327" s="2" t="s">
        <v>4101</v>
      </c>
      <c r="E1327" s="2" t="str">
        <f aca="false">LEFT(C1327,3)</f>
        <v>818</v>
      </c>
      <c r="F1327" s="2" t="str">
        <f aca="false">IF(D1327="","",LEFT(D1327,3))</f>
        <v>813</v>
      </c>
      <c r="G1327" s="2" t="str">
        <f aca="false">IF(F1327="","",IF(E1327=F1327,"Yes","No"))</f>
        <v>No</v>
      </c>
      <c r="H1327" s="2" t="n">
        <f aca="false">IF(D1327="",0,1/COUNTIF($D$2:$D$3451,D1327))</f>
        <v>1</v>
      </c>
      <c r="I1327" s="13" t="n">
        <f aca="false">IFERROR(INDEX('NCO-2015 scores'!$C$2:$C$131,MATCH(E1327,'NCO-2015 scores'!$A$2:$A$131,0)),0)</f>
        <v>0.1967</v>
      </c>
      <c r="J1327" s="13" t="n">
        <f aca="false">IF(ISNUMBER(MATCH(E1327,'NCO-2015 scores'!$A$2:$A$131,0)),IF(ISNUMBER(INDEX('NCO-2015 scores'!$C$2:$C$131,MATCH(E1327,'NCO-2015 scores'!$A$2:$A$131,0))),1,0),0)</f>
        <v>1</v>
      </c>
    </row>
    <row r="1328" customFormat="false" ht="15" hidden="false" customHeight="false" outlineLevel="0" collapsed="false">
      <c r="A1328" s="2" t="n">
        <v>1326</v>
      </c>
      <c r="B1328" s="2" t="s">
        <v>4102</v>
      </c>
      <c r="C1328" s="2" t="s">
        <v>4103</v>
      </c>
      <c r="D1328" s="2" t="s">
        <v>4104</v>
      </c>
      <c r="E1328" s="2" t="str">
        <f aca="false">LEFT(C1328,3)</f>
        <v>818</v>
      </c>
      <c r="F1328" s="2" t="str">
        <f aca="false">IF(D1328="","",LEFT(D1328,3))</f>
        <v>813</v>
      </c>
      <c r="G1328" s="2" t="str">
        <f aca="false">IF(F1328="","",IF(E1328=F1328,"Yes","No"))</f>
        <v>No</v>
      </c>
      <c r="H1328" s="2" t="n">
        <f aca="false">IF(D1328="",0,1/COUNTIF($D$2:$D$3451,D1328))</f>
        <v>1</v>
      </c>
      <c r="I1328" s="13" t="n">
        <f aca="false">IFERROR(INDEX('NCO-2015 scores'!$C$2:$C$131,MATCH(E1328,'NCO-2015 scores'!$A$2:$A$131,0)),0)</f>
        <v>0.1967</v>
      </c>
      <c r="J1328" s="13" t="n">
        <f aca="false">IF(ISNUMBER(MATCH(E1328,'NCO-2015 scores'!$A$2:$A$131,0)),IF(ISNUMBER(INDEX('NCO-2015 scores'!$C$2:$C$131,MATCH(E1328,'NCO-2015 scores'!$A$2:$A$131,0))),1,0),0)</f>
        <v>1</v>
      </c>
    </row>
    <row r="1329" customFormat="false" ht="15" hidden="false" customHeight="false" outlineLevel="0" collapsed="false">
      <c r="A1329" s="2" t="n">
        <v>1327</v>
      </c>
      <c r="B1329" s="2" t="s">
        <v>4105</v>
      </c>
      <c r="C1329" s="2" t="s">
        <v>4106</v>
      </c>
      <c r="D1329" s="2" t="s">
        <v>4107</v>
      </c>
      <c r="E1329" s="2" t="str">
        <f aca="false">LEFT(C1329,3)</f>
        <v>818</v>
      </c>
      <c r="F1329" s="2" t="str">
        <f aca="false">IF(D1329="","",LEFT(D1329,3))</f>
        <v>813</v>
      </c>
      <c r="G1329" s="2" t="str">
        <f aca="false">IF(F1329="","",IF(E1329=F1329,"Yes","No"))</f>
        <v>No</v>
      </c>
      <c r="H1329" s="2" t="n">
        <f aca="false">IF(D1329="",0,1/COUNTIF($D$2:$D$3451,D1329))</f>
        <v>1</v>
      </c>
      <c r="I1329" s="13" t="n">
        <f aca="false">IFERROR(INDEX('NCO-2015 scores'!$C$2:$C$131,MATCH(E1329,'NCO-2015 scores'!$A$2:$A$131,0)),0)</f>
        <v>0.1967</v>
      </c>
      <c r="J1329" s="13" t="n">
        <f aca="false">IF(ISNUMBER(MATCH(E1329,'NCO-2015 scores'!$A$2:$A$131,0)),IF(ISNUMBER(INDEX('NCO-2015 scores'!$C$2:$C$131,MATCH(E1329,'NCO-2015 scores'!$A$2:$A$131,0))),1,0),0)</f>
        <v>1</v>
      </c>
    </row>
    <row r="1330" customFormat="false" ht="15" hidden="false" customHeight="false" outlineLevel="0" collapsed="false">
      <c r="A1330" s="2" t="n">
        <v>1328</v>
      </c>
      <c r="B1330" s="2" t="s">
        <v>4108</v>
      </c>
      <c r="C1330" s="2" t="s">
        <v>4109</v>
      </c>
      <c r="D1330" s="2" t="s">
        <v>4110</v>
      </c>
      <c r="E1330" s="2" t="str">
        <f aca="false">LEFT(C1330,3)</f>
        <v>818</v>
      </c>
      <c r="F1330" s="2" t="str">
        <f aca="false">IF(D1330="","",LEFT(D1330,3))</f>
        <v>813</v>
      </c>
      <c r="G1330" s="2" t="str">
        <f aca="false">IF(F1330="","",IF(E1330=F1330,"Yes","No"))</f>
        <v>No</v>
      </c>
      <c r="H1330" s="2" t="n">
        <f aca="false">IF(D1330="",0,1/COUNTIF($D$2:$D$3451,D1330))</f>
        <v>1</v>
      </c>
      <c r="I1330" s="13" t="n">
        <f aca="false">IFERROR(INDEX('NCO-2015 scores'!$C$2:$C$131,MATCH(E1330,'NCO-2015 scores'!$A$2:$A$131,0)),0)</f>
        <v>0.1967</v>
      </c>
      <c r="J1330" s="13" t="n">
        <f aca="false">IF(ISNUMBER(MATCH(E1330,'NCO-2015 scores'!$A$2:$A$131,0)),IF(ISNUMBER(INDEX('NCO-2015 scores'!$C$2:$C$131,MATCH(E1330,'NCO-2015 scores'!$A$2:$A$131,0))),1,0),0)</f>
        <v>1</v>
      </c>
    </row>
    <row r="1331" customFormat="false" ht="15" hidden="false" customHeight="false" outlineLevel="0" collapsed="false">
      <c r="A1331" s="2" t="n">
        <v>1329</v>
      </c>
      <c r="B1331" s="2" t="s">
        <v>4111</v>
      </c>
      <c r="C1331" s="2" t="s">
        <v>4112</v>
      </c>
      <c r="D1331" s="2" t="s">
        <v>4113</v>
      </c>
      <c r="E1331" s="2" t="str">
        <f aca="false">LEFT(C1331,3)</f>
        <v>818</v>
      </c>
      <c r="F1331" s="2" t="str">
        <f aca="false">IF(D1331="","",LEFT(D1331,3))</f>
        <v>813</v>
      </c>
      <c r="G1331" s="2" t="str">
        <f aca="false">IF(F1331="","",IF(E1331=F1331,"Yes","No"))</f>
        <v>No</v>
      </c>
      <c r="H1331" s="2" t="n">
        <f aca="false">IF(D1331="",0,1/COUNTIF($D$2:$D$3451,D1331))</f>
        <v>1</v>
      </c>
      <c r="I1331" s="13" t="n">
        <f aca="false">IFERROR(INDEX('NCO-2015 scores'!$C$2:$C$131,MATCH(E1331,'NCO-2015 scores'!$A$2:$A$131,0)),0)</f>
        <v>0.1967</v>
      </c>
      <c r="J1331" s="13" t="n">
        <f aca="false">IF(ISNUMBER(MATCH(E1331,'NCO-2015 scores'!$A$2:$A$131,0)),IF(ISNUMBER(INDEX('NCO-2015 scores'!$C$2:$C$131,MATCH(E1331,'NCO-2015 scores'!$A$2:$A$131,0))),1,0),0)</f>
        <v>1</v>
      </c>
    </row>
    <row r="1332" customFormat="false" ht="15" hidden="false" customHeight="false" outlineLevel="0" collapsed="false">
      <c r="A1332" s="2" t="n">
        <v>1330</v>
      </c>
      <c r="B1332" s="2" t="s">
        <v>4114</v>
      </c>
      <c r="C1332" s="2" t="s">
        <v>4115</v>
      </c>
      <c r="D1332" s="2" t="s">
        <v>4116</v>
      </c>
      <c r="E1332" s="2" t="str">
        <f aca="false">LEFT(C1332,3)</f>
        <v>818</v>
      </c>
      <c r="F1332" s="2" t="str">
        <f aca="false">IF(D1332="","",LEFT(D1332,3))</f>
        <v>813</v>
      </c>
      <c r="G1332" s="2" t="str">
        <f aca="false">IF(F1332="","",IF(E1332=F1332,"Yes","No"))</f>
        <v>No</v>
      </c>
      <c r="H1332" s="2" t="n">
        <f aca="false">IF(D1332="",0,1/COUNTIF($D$2:$D$3451,D1332))</f>
        <v>1</v>
      </c>
      <c r="I1332" s="13" t="n">
        <f aca="false">IFERROR(INDEX('NCO-2015 scores'!$C$2:$C$131,MATCH(E1332,'NCO-2015 scores'!$A$2:$A$131,0)),0)</f>
        <v>0.1967</v>
      </c>
      <c r="J1332" s="13" t="n">
        <f aca="false">IF(ISNUMBER(MATCH(E1332,'NCO-2015 scores'!$A$2:$A$131,0)),IF(ISNUMBER(INDEX('NCO-2015 scores'!$C$2:$C$131,MATCH(E1332,'NCO-2015 scores'!$A$2:$A$131,0))),1,0),0)</f>
        <v>1</v>
      </c>
    </row>
    <row r="1333" customFormat="false" ht="15" hidden="false" customHeight="false" outlineLevel="0" collapsed="false">
      <c r="A1333" s="2" t="n">
        <v>1331</v>
      </c>
      <c r="B1333" s="2" t="s">
        <v>4117</v>
      </c>
      <c r="C1333" s="2" t="s">
        <v>4118</v>
      </c>
      <c r="D1333" s="2" t="s">
        <v>4119</v>
      </c>
      <c r="E1333" s="2" t="str">
        <f aca="false">LEFT(C1333,3)</f>
        <v>818</v>
      </c>
      <c r="F1333" s="2" t="str">
        <f aca="false">IF(D1333="","",LEFT(D1333,3))</f>
        <v>813</v>
      </c>
      <c r="G1333" s="2" t="str">
        <f aca="false">IF(F1333="","",IF(E1333=F1333,"Yes","No"))</f>
        <v>No</v>
      </c>
      <c r="H1333" s="2" t="n">
        <f aca="false">IF(D1333="",0,1/COUNTIF($D$2:$D$3451,D1333))</f>
        <v>1</v>
      </c>
      <c r="I1333" s="13" t="n">
        <f aca="false">IFERROR(INDEX('NCO-2015 scores'!$C$2:$C$131,MATCH(E1333,'NCO-2015 scores'!$A$2:$A$131,0)),0)</f>
        <v>0.1967</v>
      </c>
      <c r="J1333" s="13" t="n">
        <f aca="false">IF(ISNUMBER(MATCH(E1333,'NCO-2015 scores'!$A$2:$A$131,0)),IF(ISNUMBER(INDEX('NCO-2015 scores'!$C$2:$C$131,MATCH(E1333,'NCO-2015 scores'!$A$2:$A$131,0))),1,0),0)</f>
        <v>1</v>
      </c>
    </row>
    <row r="1334" customFormat="false" ht="15" hidden="false" customHeight="false" outlineLevel="0" collapsed="false">
      <c r="A1334" s="2" t="n">
        <v>1332</v>
      </c>
      <c r="B1334" s="2" t="s">
        <v>4120</v>
      </c>
      <c r="C1334" s="2" t="s">
        <v>4121</v>
      </c>
      <c r="D1334" s="2" t="s">
        <v>4122</v>
      </c>
      <c r="E1334" s="2" t="str">
        <f aca="false">LEFT(C1334,3)</f>
        <v>818</v>
      </c>
      <c r="F1334" s="2" t="str">
        <f aca="false">IF(D1334="","",LEFT(D1334,3))</f>
        <v>813</v>
      </c>
      <c r="G1334" s="2" t="str">
        <f aca="false">IF(F1334="","",IF(E1334=F1334,"Yes","No"))</f>
        <v>No</v>
      </c>
      <c r="H1334" s="2" t="n">
        <f aca="false">IF(D1334="",0,1/COUNTIF($D$2:$D$3451,D1334))</f>
        <v>1</v>
      </c>
      <c r="I1334" s="13" t="n">
        <f aca="false">IFERROR(INDEX('NCO-2015 scores'!$C$2:$C$131,MATCH(E1334,'NCO-2015 scores'!$A$2:$A$131,0)),0)</f>
        <v>0.1967</v>
      </c>
      <c r="J1334" s="13" t="n">
        <f aca="false">IF(ISNUMBER(MATCH(E1334,'NCO-2015 scores'!$A$2:$A$131,0)),IF(ISNUMBER(INDEX('NCO-2015 scores'!$C$2:$C$131,MATCH(E1334,'NCO-2015 scores'!$A$2:$A$131,0))),1,0),0)</f>
        <v>1</v>
      </c>
    </row>
    <row r="1335" customFormat="false" ht="15" hidden="false" customHeight="false" outlineLevel="0" collapsed="false">
      <c r="A1335" s="2" t="n">
        <v>1333</v>
      </c>
      <c r="B1335" s="2" t="s">
        <v>4123</v>
      </c>
      <c r="C1335" s="2" t="s">
        <v>4124</v>
      </c>
      <c r="D1335" s="2"/>
      <c r="E1335" s="2" t="str">
        <f aca="false">LEFT(C1335,3)</f>
        <v>818</v>
      </c>
      <c r="F1335" s="2" t="str">
        <f aca="false">IF(D1335="","",LEFT(D1335,3))</f>
        <v/>
      </c>
      <c r="G1335" s="2" t="str">
        <f aca="false">IF(F1335="","",IF(E1335=F1335,"Yes","No"))</f>
        <v/>
      </c>
      <c r="H1335" s="2" t="n">
        <f aca="false">IF(D1335="",0,1/COUNTIF($D$2:$D$3451,D1335))</f>
        <v>0</v>
      </c>
      <c r="I1335" s="13" t="n">
        <f aca="false">IFERROR(INDEX('NCO-2015 scores'!$C$2:$C$131,MATCH(E1335,'NCO-2015 scores'!$A$2:$A$131,0)),0)</f>
        <v>0.1967</v>
      </c>
      <c r="J1335" s="13" t="n">
        <f aca="false">IF(ISNUMBER(MATCH(E1335,'NCO-2015 scores'!$A$2:$A$131,0)),IF(ISNUMBER(INDEX('NCO-2015 scores'!$C$2:$C$131,MATCH(E1335,'NCO-2015 scores'!$A$2:$A$131,0))),1,0),0)</f>
        <v>1</v>
      </c>
    </row>
    <row r="1336" customFormat="false" ht="15" hidden="false" customHeight="false" outlineLevel="0" collapsed="false">
      <c r="A1336" s="2" t="n">
        <v>1334</v>
      </c>
      <c r="B1336" s="2" t="s">
        <v>4125</v>
      </c>
      <c r="C1336" s="2" t="s">
        <v>4126</v>
      </c>
      <c r="D1336" s="2" t="s">
        <v>4127</v>
      </c>
      <c r="E1336" s="2" t="str">
        <f aca="false">LEFT(C1336,3)</f>
        <v>818</v>
      </c>
      <c r="F1336" s="2" t="str">
        <f aca="false">IF(D1336="","",LEFT(D1336,3))</f>
        <v>813</v>
      </c>
      <c r="G1336" s="2" t="str">
        <f aca="false">IF(F1336="","",IF(E1336=F1336,"Yes","No"))</f>
        <v>No</v>
      </c>
      <c r="H1336" s="2" t="n">
        <f aca="false">IF(D1336="",0,1/COUNTIF($D$2:$D$3451,D1336))</f>
        <v>1</v>
      </c>
      <c r="I1336" s="13" t="n">
        <f aca="false">IFERROR(INDEX('NCO-2015 scores'!$C$2:$C$131,MATCH(E1336,'NCO-2015 scores'!$A$2:$A$131,0)),0)</f>
        <v>0.1967</v>
      </c>
      <c r="J1336" s="13" t="n">
        <f aca="false">IF(ISNUMBER(MATCH(E1336,'NCO-2015 scores'!$A$2:$A$131,0)),IF(ISNUMBER(INDEX('NCO-2015 scores'!$C$2:$C$131,MATCH(E1336,'NCO-2015 scores'!$A$2:$A$131,0))),1,0),0)</f>
        <v>1</v>
      </c>
    </row>
    <row r="1337" customFormat="false" ht="15" hidden="false" customHeight="false" outlineLevel="0" collapsed="false">
      <c r="A1337" s="2" t="n">
        <v>1335</v>
      </c>
      <c r="B1337" s="2" t="s">
        <v>4128</v>
      </c>
      <c r="C1337" s="2" t="s">
        <v>4129</v>
      </c>
      <c r="D1337" s="2" t="s">
        <v>4130</v>
      </c>
      <c r="E1337" s="2" t="str">
        <f aca="false">LEFT(C1337,3)</f>
        <v>818</v>
      </c>
      <c r="F1337" s="2" t="str">
        <f aca="false">IF(D1337="","",LEFT(D1337,3))</f>
        <v>813</v>
      </c>
      <c r="G1337" s="2" t="str">
        <f aca="false">IF(F1337="","",IF(E1337=F1337,"Yes","No"))</f>
        <v>No</v>
      </c>
      <c r="H1337" s="2" t="n">
        <f aca="false">IF(D1337="",0,1/COUNTIF($D$2:$D$3451,D1337))</f>
        <v>1</v>
      </c>
      <c r="I1337" s="13" t="n">
        <f aca="false">IFERROR(INDEX('NCO-2015 scores'!$C$2:$C$131,MATCH(E1337,'NCO-2015 scores'!$A$2:$A$131,0)),0)</f>
        <v>0.1967</v>
      </c>
      <c r="J1337" s="13" t="n">
        <f aca="false">IF(ISNUMBER(MATCH(E1337,'NCO-2015 scores'!$A$2:$A$131,0)),IF(ISNUMBER(INDEX('NCO-2015 scores'!$C$2:$C$131,MATCH(E1337,'NCO-2015 scores'!$A$2:$A$131,0))),1,0),0)</f>
        <v>1</v>
      </c>
    </row>
    <row r="1338" customFormat="false" ht="15" hidden="false" customHeight="false" outlineLevel="0" collapsed="false">
      <c r="A1338" s="2" t="n">
        <v>1336</v>
      </c>
      <c r="B1338" s="2" t="s">
        <v>4131</v>
      </c>
      <c r="C1338" s="2" t="s">
        <v>4132</v>
      </c>
      <c r="D1338" s="2" t="s">
        <v>4133</v>
      </c>
      <c r="E1338" s="2" t="str">
        <f aca="false">LEFT(C1338,3)</f>
        <v>818</v>
      </c>
      <c r="F1338" s="2" t="str">
        <f aca="false">IF(D1338="","",LEFT(D1338,3))</f>
        <v>813</v>
      </c>
      <c r="G1338" s="2" t="str">
        <f aca="false">IF(F1338="","",IF(E1338=F1338,"Yes","No"))</f>
        <v>No</v>
      </c>
      <c r="H1338" s="2" t="n">
        <f aca="false">IF(D1338="",0,1/COUNTIF($D$2:$D$3451,D1338))</f>
        <v>1</v>
      </c>
      <c r="I1338" s="13" t="n">
        <f aca="false">IFERROR(INDEX('NCO-2015 scores'!$C$2:$C$131,MATCH(E1338,'NCO-2015 scores'!$A$2:$A$131,0)),0)</f>
        <v>0.1967</v>
      </c>
      <c r="J1338" s="13" t="n">
        <f aca="false">IF(ISNUMBER(MATCH(E1338,'NCO-2015 scores'!$A$2:$A$131,0)),IF(ISNUMBER(INDEX('NCO-2015 scores'!$C$2:$C$131,MATCH(E1338,'NCO-2015 scores'!$A$2:$A$131,0))),1,0),0)</f>
        <v>1</v>
      </c>
    </row>
    <row r="1339" customFormat="false" ht="15" hidden="false" customHeight="false" outlineLevel="0" collapsed="false">
      <c r="A1339" s="2" t="n">
        <v>1337</v>
      </c>
      <c r="B1339" s="2" t="s">
        <v>4134</v>
      </c>
      <c r="C1339" s="2" t="s">
        <v>4135</v>
      </c>
      <c r="D1339" s="2" t="s">
        <v>4136</v>
      </c>
      <c r="E1339" s="2" t="str">
        <f aca="false">LEFT(C1339,3)</f>
        <v>818</v>
      </c>
      <c r="F1339" s="2" t="str">
        <f aca="false">IF(D1339="","",LEFT(D1339,3))</f>
        <v>813</v>
      </c>
      <c r="G1339" s="2" t="str">
        <f aca="false">IF(F1339="","",IF(E1339=F1339,"Yes","No"))</f>
        <v>No</v>
      </c>
      <c r="H1339" s="2" t="n">
        <f aca="false">IF(D1339="",0,1/COUNTIF($D$2:$D$3451,D1339))</f>
        <v>1</v>
      </c>
      <c r="I1339" s="13" t="n">
        <f aca="false">IFERROR(INDEX('NCO-2015 scores'!$C$2:$C$131,MATCH(E1339,'NCO-2015 scores'!$A$2:$A$131,0)),0)</f>
        <v>0.1967</v>
      </c>
      <c r="J1339" s="13" t="n">
        <f aca="false">IF(ISNUMBER(MATCH(E1339,'NCO-2015 scores'!$A$2:$A$131,0)),IF(ISNUMBER(INDEX('NCO-2015 scores'!$C$2:$C$131,MATCH(E1339,'NCO-2015 scores'!$A$2:$A$131,0))),1,0),0)</f>
        <v>1</v>
      </c>
    </row>
    <row r="1340" customFormat="false" ht="15" hidden="false" customHeight="false" outlineLevel="0" collapsed="false">
      <c r="A1340" s="2" t="n">
        <v>1338</v>
      </c>
      <c r="B1340" s="2" t="s">
        <v>4137</v>
      </c>
      <c r="C1340" s="2" t="s">
        <v>4138</v>
      </c>
      <c r="D1340" s="2" t="s">
        <v>4139</v>
      </c>
      <c r="E1340" s="2" t="str">
        <f aca="false">LEFT(C1340,3)</f>
        <v>731</v>
      </c>
      <c r="F1340" s="2" t="str">
        <f aca="false">IF(D1340="","",LEFT(D1340,3))</f>
        <v>732</v>
      </c>
      <c r="G1340" s="2" t="str">
        <f aca="false">IF(F1340="","",IF(E1340=F1340,"Yes","No"))</f>
        <v>No</v>
      </c>
      <c r="H1340" s="2" t="n">
        <f aca="false">IF(D1340="",0,1/COUNTIF($D$2:$D$3451,D1340))</f>
        <v>1</v>
      </c>
      <c r="I1340" s="13" t="n">
        <f aca="false">IFERROR(INDEX('NCO-2015 scores'!$C$2:$C$131,MATCH(E1340,'NCO-2015 scores'!$A$2:$A$131,0)),0)</f>
        <v>0.1688</v>
      </c>
      <c r="J1340" s="13" t="n">
        <f aca="false">IF(ISNUMBER(MATCH(E1340,'NCO-2015 scores'!$A$2:$A$131,0)),IF(ISNUMBER(INDEX('NCO-2015 scores'!$C$2:$C$131,MATCH(E1340,'NCO-2015 scores'!$A$2:$A$131,0))),1,0),0)</f>
        <v>1</v>
      </c>
    </row>
    <row r="1341" customFormat="false" ht="15" hidden="false" customHeight="false" outlineLevel="0" collapsed="false">
      <c r="A1341" s="2" t="n">
        <v>1339</v>
      </c>
      <c r="B1341" s="2" t="s">
        <v>4140</v>
      </c>
      <c r="C1341" s="2" t="s">
        <v>4141</v>
      </c>
      <c r="D1341" s="2" t="s">
        <v>4142</v>
      </c>
      <c r="E1341" s="2" t="str">
        <f aca="false">LEFT(C1341,3)</f>
        <v>731</v>
      </c>
      <c r="F1341" s="2" t="str">
        <f aca="false">IF(D1341="","",LEFT(D1341,3))</f>
        <v>732</v>
      </c>
      <c r="G1341" s="2" t="str">
        <f aca="false">IF(F1341="","",IF(E1341=F1341,"Yes","No"))</f>
        <v>No</v>
      </c>
      <c r="H1341" s="2" t="n">
        <f aca="false">IF(D1341="",0,1/COUNTIF($D$2:$D$3451,D1341))</f>
        <v>1</v>
      </c>
      <c r="I1341" s="13" t="n">
        <f aca="false">IFERROR(INDEX('NCO-2015 scores'!$C$2:$C$131,MATCH(E1341,'NCO-2015 scores'!$A$2:$A$131,0)),0)</f>
        <v>0.1688</v>
      </c>
      <c r="J1341" s="13" t="n">
        <f aca="false">IF(ISNUMBER(MATCH(E1341,'NCO-2015 scores'!$A$2:$A$131,0)),IF(ISNUMBER(INDEX('NCO-2015 scores'!$C$2:$C$131,MATCH(E1341,'NCO-2015 scores'!$A$2:$A$131,0))),1,0),0)</f>
        <v>1</v>
      </c>
    </row>
    <row r="1342" customFormat="false" ht="15" hidden="false" customHeight="false" outlineLevel="0" collapsed="false">
      <c r="A1342" s="2" t="n">
        <v>1340</v>
      </c>
      <c r="B1342" s="2" t="s">
        <v>4143</v>
      </c>
      <c r="C1342" s="2" t="s">
        <v>4144</v>
      </c>
      <c r="D1342" s="2" t="s">
        <v>4145</v>
      </c>
      <c r="E1342" s="2" t="str">
        <f aca="false">LEFT(C1342,3)</f>
        <v>731</v>
      </c>
      <c r="F1342" s="2" t="str">
        <f aca="false">IF(D1342="","",LEFT(D1342,3))</f>
        <v>732</v>
      </c>
      <c r="G1342" s="2" t="str">
        <f aca="false">IF(F1342="","",IF(E1342=F1342,"Yes","No"))</f>
        <v>No</v>
      </c>
      <c r="H1342" s="2" t="n">
        <f aca="false">IF(D1342="",0,1/COUNTIF($D$2:$D$3451,D1342))</f>
        <v>1</v>
      </c>
      <c r="I1342" s="13" t="n">
        <f aca="false">IFERROR(INDEX('NCO-2015 scores'!$C$2:$C$131,MATCH(E1342,'NCO-2015 scores'!$A$2:$A$131,0)),0)</f>
        <v>0.1688</v>
      </c>
      <c r="J1342" s="13" t="n">
        <f aca="false">IF(ISNUMBER(MATCH(E1342,'NCO-2015 scores'!$A$2:$A$131,0)),IF(ISNUMBER(INDEX('NCO-2015 scores'!$C$2:$C$131,MATCH(E1342,'NCO-2015 scores'!$A$2:$A$131,0))),1,0),0)</f>
        <v>1</v>
      </c>
    </row>
    <row r="1343" customFormat="false" ht="15" hidden="false" customHeight="false" outlineLevel="0" collapsed="false">
      <c r="A1343" s="2" t="n">
        <v>1340</v>
      </c>
      <c r="B1343" s="2" t="s">
        <v>4143</v>
      </c>
      <c r="C1343" s="2" t="s">
        <v>4144</v>
      </c>
      <c r="D1343" s="2" t="s">
        <v>4146</v>
      </c>
      <c r="E1343" s="2" t="str">
        <f aca="false">LEFT(C1343,3)</f>
        <v>731</v>
      </c>
      <c r="F1343" s="2" t="str">
        <f aca="false">IF(D1343="","",LEFT(D1343,3))</f>
        <v>732</v>
      </c>
      <c r="G1343" s="2" t="str">
        <f aca="false">IF(F1343="","",IF(E1343=F1343,"Yes","No"))</f>
        <v>No</v>
      </c>
      <c r="H1343" s="2" t="n">
        <f aca="false">IF(D1343="",0,1/COUNTIF($D$2:$D$3451,D1343))</f>
        <v>1</v>
      </c>
      <c r="I1343" s="13" t="n">
        <f aca="false">IFERROR(INDEX('NCO-2015 scores'!$C$2:$C$131,MATCH(E1343,'NCO-2015 scores'!$A$2:$A$131,0)),0)</f>
        <v>0.1688</v>
      </c>
      <c r="J1343" s="13" t="n">
        <f aca="false">IF(ISNUMBER(MATCH(E1343,'NCO-2015 scores'!$A$2:$A$131,0)),IF(ISNUMBER(INDEX('NCO-2015 scores'!$C$2:$C$131,MATCH(E1343,'NCO-2015 scores'!$A$2:$A$131,0))),1,0),0)</f>
        <v>1</v>
      </c>
    </row>
    <row r="1344" customFormat="false" ht="15" hidden="false" customHeight="false" outlineLevel="0" collapsed="false">
      <c r="A1344" s="2" t="n">
        <v>1340</v>
      </c>
      <c r="B1344" s="2" t="s">
        <v>4143</v>
      </c>
      <c r="C1344" s="2" t="s">
        <v>4144</v>
      </c>
      <c r="D1344" s="2" t="s">
        <v>4147</v>
      </c>
      <c r="E1344" s="2" t="str">
        <f aca="false">LEFT(C1344,3)</f>
        <v>731</v>
      </c>
      <c r="F1344" s="2" t="str">
        <f aca="false">IF(D1344="","",LEFT(D1344,3))</f>
        <v>732</v>
      </c>
      <c r="G1344" s="2" t="str">
        <f aca="false">IF(F1344="","",IF(E1344=F1344,"Yes","No"))</f>
        <v>No</v>
      </c>
      <c r="H1344" s="2" t="n">
        <f aca="false">IF(D1344="",0,1/COUNTIF($D$2:$D$3451,D1344))</f>
        <v>1</v>
      </c>
      <c r="I1344" s="13" t="n">
        <f aca="false">IFERROR(INDEX('NCO-2015 scores'!$C$2:$C$131,MATCH(E1344,'NCO-2015 scores'!$A$2:$A$131,0)),0)</f>
        <v>0.1688</v>
      </c>
      <c r="J1344" s="13" t="n">
        <f aca="false">IF(ISNUMBER(MATCH(E1344,'NCO-2015 scores'!$A$2:$A$131,0)),IF(ISNUMBER(INDEX('NCO-2015 scores'!$C$2:$C$131,MATCH(E1344,'NCO-2015 scores'!$A$2:$A$131,0))),1,0),0)</f>
        <v>1</v>
      </c>
    </row>
    <row r="1345" customFormat="false" ht="15" hidden="false" customHeight="false" outlineLevel="0" collapsed="false">
      <c r="A1345" s="2" t="n">
        <v>1341</v>
      </c>
      <c r="B1345" s="2" t="s">
        <v>4148</v>
      </c>
      <c r="C1345" s="2" t="s">
        <v>4149</v>
      </c>
      <c r="D1345" s="2" t="s">
        <v>4150</v>
      </c>
      <c r="E1345" s="2" t="str">
        <f aca="false">LEFT(C1345,3)</f>
        <v>731</v>
      </c>
      <c r="F1345" s="2" t="str">
        <f aca="false">IF(D1345="","",LEFT(D1345,3))</f>
        <v>732</v>
      </c>
      <c r="G1345" s="2" t="str">
        <f aca="false">IF(F1345="","",IF(E1345=F1345,"Yes","No"))</f>
        <v>No</v>
      </c>
      <c r="H1345" s="2" t="n">
        <f aca="false">IF(D1345="",0,1/COUNTIF($D$2:$D$3451,D1345))</f>
        <v>1</v>
      </c>
      <c r="I1345" s="13" t="n">
        <f aca="false">IFERROR(INDEX('NCO-2015 scores'!$C$2:$C$131,MATCH(E1345,'NCO-2015 scores'!$A$2:$A$131,0)),0)</f>
        <v>0.1688</v>
      </c>
      <c r="J1345" s="13" t="n">
        <f aca="false">IF(ISNUMBER(MATCH(E1345,'NCO-2015 scores'!$A$2:$A$131,0)),IF(ISNUMBER(INDEX('NCO-2015 scores'!$C$2:$C$131,MATCH(E1345,'NCO-2015 scores'!$A$2:$A$131,0))),1,0),0)</f>
        <v>1</v>
      </c>
    </row>
    <row r="1346" customFormat="false" ht="15" hidden="false" customHeight="false" outlineLevel="0" collapsed="false">
      <c r="A1346" s="2" t="n">
        <v>1342</v>
      </c>
      <c r="B1346" s="2" t="s">
        <v>4151</v>
      </c>
      <c r="C1346" s="2" t="s">
        <v>4152</v>
      </c>
      <c r="D1346" s="2" t="s">
        <v>4153</v>
      </c>
      <c r="E1346" s="2" t="str">
        <f aca="false">LEFT(C1346,3)</f>
        <v>731</v>
      </c>
      <c r="F1346" s="2" t="str">
        <f aca="false">IF(D1346="","",LEFT(D1346,3))</f>
        <v>732</v>
      </c>
      <c r="G1346" s="2" t="str">
        <f aca="false">IF(F1346="","",IF(E1346=F1346,"Yes","No"))</f>
        <v>No</v>
      </c>
      <c r="H1346" s="2" t="n">
        <f aca="false">IF(D1346="",0,1/COUNTIF($D$2:$D$3451,D1346))</f>
        <v>1</v>
      </c>
      <c r="I1346" s="13" t="n">
        <f aca="false">IFERROR(INDEX('NCO-2015 scores'!$C$2:$C$131,MATCH(E1346,'NCO-2015 scores'!$A$2:$A$131,0)),0)</f>
        <v>0.1688</v>
      </c>
      <c r="J1346" s="13" t="n">
        <f aca="false">IF(ISNUMBER(MATCH(E1346,'NCO-2015 scores'!$A$2:$A$131,0)),IF(ISNUMBER(INDEX('NCO-2015 scores'!$C$2:$C$131,MATCH(E1346,'NCO-2015 scores'!$A$2:$A$131,0))),1,0),0)</f>
        <v>1</v>
      </c>
    </row>
    <row r="1347" customFormat="false" ht="15" hidden="false" customHeight="false" outlineLevel="0" collapsed="false">
      <c r="A1347" s="2" t="n">
        <v>1343</v>
      </c>
      <c r="B1347" s="2" t="s">
        <v>4154</v>
      </c>
      <c r="C1347" s="2" t="s">
        <v>4155</v>
      </c>
      <c r="D1347" s="2" t="s">
        <v>4156</v>
      </c>
      <c r="E1347" s="2" t="str">
        <f aca="false">LEFT(C1347,3)</f>
        <v>731</v>
      </c>
      <c r="F1347" s="2" t="str">
        <f aca="false">IF(D1347="","",LEFT(D1347,3))</f>
        <v>732</v>
      </c>
      <c r="G1347" s="2" t="str">
        <f aca="false">IF(F1347="","",IF(E1347=F1347,"Yes","No"))</f>
        <v>No</v>
      </c>
      <c r="H1347" s="2" t="n">
        <f aca="false">IF(D1347="",0,1/COUNTIF($D$2:$D$3451,D1347))</f>
        <v>1</v>
      </c>
      <c r="I1347" s="13" t="n">
        <f aca="false">IFERROR(INDEX('NCO-2015 scores'!$C$2:$C$131,MATCH(E1347,'NCO-2015 scores'!$A$2:$A$131,0)),0)</f>
        <v>0.1688</v>
      </c>
      <c r="J1347" s="13" t="n">
        <f aca="false">IF(ISNUMBER(MATCH(E1347,'NCO-2015 scores'!$A$2:$A$131,0)),IF(ISNUMBER(INDEX('NCO-2015 scores'!$C$2:$C$131,MATCH(E1347,'NCO-2015 scores'!$A$2:$A$131,0))),1,0),0)</f>
        <v>1</v>
      </c>
    </row>
    <row r="1348" customFormat="false" ht="15" hidden="false" customHeight="false" outlineLevel="0" collapsed="false">
      <c r="A1348" s="2" t="n">
        <v>1344</v>
      </c>
      <c r="B1348" s="2" t="s">
        <v>4157</v>
      </c>
      <c r="C1348" s="2" t="s">
        <v>4158</v>
      </c>
      <c r="D1348" s="2" t="s">
        <v>4159</v>
      </c>
      <c r="E1348" s="2" t="str">
        <f aca="false">LEFT(C1348,3)</f>
        <v>731</v>
      </c>
      <c r="F1348" s="2" t="str">
        <f aca="false">IF(D1348="","",LEFT(D1348,3))</f>
        <v>732</v>
      </c>
      <c r="G1348" s="2" t="str">
        <f aca="false">IF(F1348="","",IF(E1348=F1348,"Yes","No"))</f>
        <v>No</v>
      </c>
      <c r="H1348" s="2" t="n">
        <f aca="false">IF(D1348="",0,1/COUNTIF($D$2:$D$3451,D1348))</f>
        <v>1</v>
      </c>
      <c r="I1348" s="13" t="n">
        <f aca="false">IFERROR(INDEX('NCO-2015 scores'!$C$2:$C$131,MATCH(E1348,'NCO-2015 scores'!$A$2:$A$131,0)),0)</f>
        <v>0.1688</v>
      </c>
      <c r="J1348" s="13" t="n">
        <f aca="false">IF(ISNUMBER(MATCH(E1348,'NCO-2015 scores'!$A$2:$A$131,0)),IF(ISNUMBER(INDEX('NCO-2015 scores'!$C$2:$C$131,MATCH(E1348,'NCO-2015 scores'!$A$2:$A$131,0))),1,0),0)</f>
        <v>1</v>
      </c>
    </row>
    <row r="1349" customFormat="false" ht="15" hidden="false" customHeight="false" outlineLevel="0" collapsed="false">
      <c r="A1349" s="2" t="n">
        <v>1345</v>
      </c>
      <c r="B1349" s="2" t="s">
        <v>4160</v>
      </c>
      <c r="C1349" s="2" t="s">
        <v>4161</v>
      </c>
      <c r="D1349" s="2" t="s">
        <v>4162</v>
      </c>
      <c r="E1349" s="2" t="str">
        <f aca="false">LEFT(C1349,3)</f>
        <v>731</v>
      </c>
      <c r="F1349" s="2" t="str">
        <f aca="false">IF(D1349="","",LEFT(D1349,3))</f>
        <v>732</v>
      </c>
      <c r="G1349" s="2" t="str">
        <f aca="false">IF(F1349="","",IF(E1349=F1349,"Yes","No"))</f>
        <v>No</v>
      </c>
      <c r="H1349" s="2" t="n">
        <f aca="false">IF(D1349="",0,1/COUNTIF($D$2:$D$3451,D1349))</f>
        <v>1</v>
      </c>
      <c r="I1349" s="13" t="n">
        <f aca="false">IFERROR(INDEX('NCO-2015 scores'!$C$2:$C$131,MATCH(E1349,'NCO-2015 scores'!$A$2:$A$131,0)),0)</f>
        <v>0.1688</v>
      </c>
      <c r="J1349" s="13" t="n">
        <f aca="false">IF(ISNUMBER(MATCH(E1349,'NCO-2015 scores'!$A$2:$A$131,0)),IF(ISNUMBER(INDEX('NCO-2015 scores'!$C$2:$C$131,MATCH(E1349,'NCO-2015 scores'!$A$2:$A$131,0))),1,0),0)</f>
        <v>1</v>
      </c>
    </row>
    <row r="1350" customFormat="false" ht="15" hidden="false" customHeight="false" outlineLevel="0" collapsed="false">
      <c r="A1350" s="2" t="n">
        <v>1346</v>
      </c>
      <c r="B1350" s="2" t="s">
        <v>4163</v>
      </c>
      <c r="C1350" s="2" t="s">
        <v>4164</v>
      </c>
      <c r="D1350" s="2" t="s">
        <v>4165</v>
      </c>
      <c r="E1350" s="2" t="str">
        <f aca="false">LEFT(C1350,3)</f>
        <v>731</v>
      </c>
      <c r="F1350" s="2" t="str">
        <f aca="false">IF(D1350="","",LEFT(D1350,3))</f>
        <v>732</v>
      </c>
      <c r="G1350" s="2" t="str">
        <f aca="false">IF(F1350="","",IF(E1350=F1350,"Yes","No"))</f>
        <v>No</v>
      </c>
      <c r="H1350" s="2" t="n">
        <f aca="false">IF(D1350="",0,1/COUNTIF($D$2:$D$3451,D1350))</f>
        <v>1</v>
      </c>
      <c r="I1350" s="13" t="n">
        <f aca="false">IFERROR(INDEX('NCO-2015 scores'!$C$2:$C$131,MATCH(E1350,'NCO-2015 scores'!$A$2:$A$131,0)),0)</f>
        <v>0.1688</v>
      </c>
      <c r="J1350" s="13" t="n">
        <f aca="false">IF(ISNUMBER(MATCH(E1350,'NCO-2015 scores'!$A$2:$A$131,0)),IF(ISNUMBER(INDEX('NCO-2015 scores'!$C$2:$C$131,MATCH(E1350,'NCO-2015 scores'!$A$2:$A$131,0))),1,0),0)</f>
        <v>1</v>
      </c>
    </row>
    <row r="1351" customFormat="false" ht="15" hidden="false" customHeight="false" outlineLevel="0" collapsed="false">
      <c r="A1351" s="2" t="n">
        <v>1347</v>
      </c>
      <c r="B1351" s="2" t="s">
        <v>4166</v>
      </c>
      <c r="C1351" s="2" t="s">
        <v>4167</v>
      </c>
      <c r="D1351" s="2" t="s">
        <v>4168</v>
      </c>
      <c r="E1351" s="2" t="str">
        <f aca="false">LEFT(C1351,3)</f>
        <v>731</v>
      </c>
      <c r="F1351" s="2" t="str">
        <f aca="false">IF(D1351="","",LEFT(D1351,3))</f>
        <v>732</v>
      </c>
      <c r="G1351" s="2" t="str">
        <f aca="false">IF(F1351="","",IF(E1351=F1351,"Yes","No"))</f>
        <v>No</v>
      </c>
      <c r="H1351" s="2" t="n">
        <f aca="false">IF(D1351="",0,1/COUNTIF($D$2:$D$3451,D1351))</f>
        <v>1</v>
      </c>
      <c r="I1351" s="13" t="n">
        <f aca="false">IFERROR(INDEX('NCO-2015 scores'!$C$2:$C$131,MATCH(E1351,'NCO-2015 scores'!$A$2:$A$131,0)),0)</f>
        <v>0.1688</v>
      </c>
      <c r="J1351" s="13" t="n">
        <f aca="false">IF(ISNUMBER(MATCH(E1351,'NCO-2015 scores'!$A$2:$A$131,0)),IF(ISNUMBER(INDEX('NCO-2015 scores'!$C$2:$C$131,MATCH(E1351,'NCO-2015 scores'!$A$2:$A$131,0))),1,0),0)</f>
        <v>1</v>
      </c>
    </row>
    <row r="1352" customFormat="false" ht="15" hidden="false" customHeight="false" outlineLevel="0" collapsed="false">
      <c r="A1352" s="2" t="n">
        <v>1348</v>
      </c>
      <c r="B1352" s="2" t="s">
        <v>4169</v>
      </c>
      <c r="C1352" s="2" t="s">
        <v>4170</v>
      </c>
      <c r="D1352" s="2" t="s">
        <v>4171</v>
      </c>
      <c r="E1352" s="2" t="str">
        <f aca="false">LEFT(C1352,3)</f>
        <v>731</v>
      </c>
      <c r="F1352" s="2" t="str">
        <f aca="false">IF(D1352="","",LEFT(D1352,3))</f>
        <v>732</v>
      </c>
      <c r="G1352" s="2" t="str">
        <f aca="false">IF(F1352="","",IF(E1352=F1352,"Yes","No"))</f>
        <v>No</v>
      </c>
      <c r="H1352" s="2" t="n">
        <f aca="false">IF(D1352="",0,1/COUNTIF($D$2:$D$3451,D1352))</f>
        <v>1</v>
      </c>
      <c r="I1352" s="13" t="n">
        <f aca="false">IFERROR(INDEX('NCO-2015 scores'!$C$2:$C$131,MATCH(E1352,'NCO-2015 scores'!$A$2:$A$131,0)),0)</f>
        <v>0.1688</v>
      </c>
      <c r="J1352" s="13" t="n">
        <f aca="false">IF(ISNUMBER(MATCH(E1352,'NCO-2015 scores'!$A$2:$A$131,0)),IF(ISNUMBER(INDEX('NCO-2015 scores'!$C$2:$C$131,MATCH(E1352,'NCO-2015 scores'!$A$2:$A$131,0))),1,0),0)</f>
        <v>1</v>
      </c>
    </row>
    <row r="1353" customFormat="false" ht="15" hidden="false" customHeight="false" outlineLevel="0" collapsed="false">
      <c r="A1353" s="2" t="n">
        <v>1349</v>
      </c>
      <c r="B1353" s="2" t="s">
        <v>4172</v>
      </c>
      <c r="C1353" s="2" t="s">
        <v>4173</v>
      </c>
      <c r="D1353" s="2" t="s">
        <v>4174</v>
      </c>
      <c r="E1353" s="2" t="str">
        <f aca="false">LEFT(C1353,3)</f>
        <v>731</v>
      </c>
      <c r="F1353" s="2" t="str">
        <f aca="false">IF(D1353="","",LEFT(D1353,3))</f>
        <v>732</v>
      </c>
      <c r="G1353" s="2" t="str">
        <f aca="false">IF(F1353="","",IF(E1353=F1353,"Yes","No"))</f>
        <v>No</v>
      </c>
      <c r="H1353" s="2" t="n">
        <f aca="false">IF(D1353="",0,1/COUNTIF($D$2:$D$3451,D1353))</f>
        <v>1</v>
      </c>
      <c r="I1353" s="13" t="n">
        <f aca="false">IFERROR(INDEX('NCO-2015 scores'!$C$2:$C$131,MATCH(E1353,'NCO-2015 scores'!$A$2:$A$131,0)),0)</f>
        <v>0.1688</v>
      </c>
      <c r="J1353" s="13" t="n">
        <f aca="false">IF(ISNUMBER(MATCH(E1353,'NCO-2015 scores'!$A$2:$A$131,0)),IF(ISNUMBER(INDEX('NCO-2015 scores'!$C$2:$C$131,MATCH(E1353,'NCO-2015 scores'!$A$2:$A$131,0))),1,0),0)</f>
        <v>1</v>
      </c>
    </row>
    <row r="1354" customFormat="false" ht="15" hidden="false" customHeight="false" outlineLevel="0" collapsed="false">
      <c r="A1354" s="2" t="n">
        <v>1350</v>
      </c>
      <c r="B1354" s="2" t="s">
        <v>4175</v>
      </c>
      <c r="C1354" s="2" t="s">
        <v>4176</v>
      </c>
      <c r="D1354" s="2" t="s">
        <v>4177</v>
      </c>
      <c r="E1354" s="2" t="str">
        <f aca="false">LEFT(C1354,3)</f>
        <v>731</v>
      </c>
      <c r="F1354" s="2" t="str">
        <f aca="false">IF(D1354="","",LEFT(D1354,3))</f>
        <v>732</v>
      </c>
      <c r="G1354" s="2" t="str">
        <f aca="false">IF(F1354="","",IF(E1354=F1354,"Yes","No"))</f>
        <v>No</v>
      </c>
      <c r="H1354" s="2" t="n">
        <f aca="false">IF(D1354="",0,1/COUNTIF($D$2:$D$3451,D1354))</f>
        <v>1</v>
      </c>
      <c r="I1354" s="13" t="n">
        <f aca="false">IFERROR(INDEX('NCO-2015 scores'!$C$2:$C$131,MATCH(E1354,'NCO-2015 scores'!$A$2:$A$131,0)),0)</f>
        <v>0.1688</v>
      </c>
      <c r="J1354" s="13" t="n">
        <f aca="false">IF(ISNUMBER(MATCH(E1354,'NCO-2015 scores'!$A$2:$A$131,0)),IF(ISNUMBER(INDEX('NCO-2015 scores'!$C$2:$C$131,MATCH(E1354,'NCO-2015 scores'!$A$2:$A$131,0))),1,0),0)</f>
        <v>1</v>
      </c>
    </row>
    <row r="1355" customFormat="false" ht="15" hidden="false" customHeight="false" outlineLevel="0" collapsed="false">
      <c r="A1355" s="2" t="n">
        <v>1351</v>
      </c>
      <c r="B1355" s="2" t="s">
        <v>4178</v>
      </c>
      <c r="C1355" s="2" t="s">
        <v>4179</v>
      </c>
      <c r="D1355" s="2" t="s">
        <v>4180</v>
      </c>
      <c r="E1355" s="2" t="str">
        <f aca="false">LEFT(C1355,3)</f>
        <v>731</v>
      </c>
      <c r="F1355" s="2" t="str">
        <f aca="false">IF(D1355="","",LEFT(D1355,3))</f>
        <v>732</v>
      </c>
      <c r="G1355" s="2" t="str">
        <f aca="false">IF(F1355="","",IF(E1355=F1355,"Yes","No"))</f>
        <v>No</v>
      </c>
      <c r="H1355" s="2" t="n">
        <f aca="false">IF(D1355="",0,1/COUNTIF($D$2:$D$3451,D1355))</f>
        <v>1</v>
      </c>
      <c r="I1355" s="13" t="n">
        <f aca="false">IFERROR(INDEX('NCO-2015 scores'!$C$2:$C$131,MATCH(E1355,'NCO-2015 scores'!$A$2:$A$131,0)),0)</f>
        <v>0.1688</v>
      </c>
      <c r="J1355" s="13" t="n">
        <f aca="false">IF(ISNUMBER(MATCH(E1355,'NCO-2015 scores'!$A$2:$A$131,0)),IF(ISNUMBER(INDEX('NCO-2015 scores'!$C$2:$C$131,MATCH(E1355,'NCO-2015 scores'!$A$2:$A$131,0))),1,0),0)</f>
        <v>1</v>
      </c>
    </row>
    <row r="1356" customFormat="false" ht="15" hidden="false" customHeight="false" outlineLevel="0" collapsed="false">
      <c r="A1356" s="2" t="n">
        <v>1352</v>
      </c>
      <c r="B1356" s="2" t="s">
        <v>4181</v>
      </c>
      <c r="C1356" s="2" t="s">
        <v>4182</v>
      </c>
      <c r="D1356" s="2" t="s">
        <v>4183</v>
      </c>
      <c r="E1356" s="2" t="str">
        <f aca="false">LEFT(C1356,3)</f>
        <v>731</v>
      </c>
      <c r="F1356" s="2" t="str">
        <f aca="false">IF(D1356="","",LEFT(D1356,3))</f>
        <v>732</v>
      </c>
      <c r="G1356" s="2" t="str">
        <f aca="false">IF(F1356="","",IF(E1356=F1356,"Yes","No"))</f>
        <v>No</v>
      </c>
      <c r="H1356" s="2" t="n">
        <f aca="false">IF(D1356="",0,1/COUNTIF($D$2:$D$3451,D1356))</f>
        <v>1</v>
      </c>
      <c r="I1356" s="13" t="n">
        <f aca="false">IFERROR(INDEX('NCO-2015 scores'!$C$2:$C$131,MATCH(E1356,'NCO-2015 scores'!$A$2:$A$131,0)),0)</f>
        <v>0.1688</v>
      </c>
      <c r="J1356" s="13" t="n">
        <f aca="false">IF(ISNUMBER(MATCH(E1356,'NCO-2015 scores'!$A$2:$A$131,0)),IF(ISNUMBER(INDEX('NCO-2015 scores'!$C$2:$C$131,MATCH(E1356,'NCO-2015 scores'!$A$2:$A$131,0))),1,0),0)</f>
        <v>1</v>
      </c>
    </row>
    <row r="1357" customFormat="false" ht="15" hidden="false" customHeight="false" outlineLevel="0" collapsed="false">
      <c r="A1357" s="2" t="n">
        <v>1353</v>
      </c>
      <c r="B1357" s="2" t="s">
        <v>4184</v>
      </c>
      <c r="C1357" s="2" t="s">
        <v>4185</v>
      </c>
      <c r="D1357" s="2" t="s">
        <v>4186</v>
      </c>
      <c r="E1357" s="2" t="str">
        <f aca="false">LEFT(C1357,3)</f>
        <v>731</v>
      </c>
      <c r="F1357" s="2" t="str">
        <f aca="false">IF(D1357="","",LEFT(D1357,3))</f>
        <v>732</v>
      </c>
      <c r="G1357" s="2" t="str">
        <f aca="false">IF(F1357="","",IF(E1357=F1357,"Yes","No"))</f>
        <v>No</v>
      </c>
      <c r="H1357" s="2" t="n">
        <f aca="false">IF(D1357="",0,1/COUNTIF($D$2:$D$3451,D1357))</f>
        <v>1</v>
      </c>
      <c r="I1357" s="13" t="n">
        <f aca="false">IFERROR(INDEX('NCO-2015 scores'!$C$2:$C$131,MATCH(E1357,'NCO-2015 scores'!$A$2:$A$131,0)),0)</f>
        <v>0.1688</v>
      </c>
      <c r="J1357" s="13" t="n">
        <f aca="false">IF(ISNUMBER(MATCH(E1357,'NCO-2015 scores'!$A$2:$A$131,0)),IF(ISNUMBER(INDEX('NCO-2015 scores'!$C$2:$C$131,MATCH(E1357,'NCO-2015 scores'!$A$2:$A$131,0))),1,0),0)</f>
        <v>1</v>
      </c>
    </row>
    <row r="1358" customFormat="false" ht="15" hidden="false" customHeight="false" outlineLevel="0" collapsed="false">
      <c r="A1358" s="2" t="n">
        <v>1354</v>
      </c>
      <c r="B1358" s="2" t="s">
        <v>4187</v>
      </c>
      <c r="C1358" s="2" t="s">
        <v>4188</v>
      </c>
      <c r="D1358" s="2" t="s">
        <v>4189</v>
      </c>
      <c r="E1358" s="2" t="str">
        <f aca="false">LEFT(C1358,3)</f>
        <v>731</v>
      </c>
      <c r="F1358" s="2" t="str">
        <f aca="false">IF(D1358="","",LEFT(D1358,3))</f>
        <v>732</v>
      </c>
      <c r="G1358" s="2" t="str">
        <f aca="false">IF(F1358="","",IF(E1358=F1358,"Yes","No"))</f>
        <v>No</v>
      </c>
      <c r="H1358" s="2" t="n">
        <f aca="false">IF(D1358="",0,1/COUNTIF($D$2:$D$3451,D1358))</f>
        <v>1</v>
      </c>
      <c r="I1358" s="13" t="n">
        <f aca="false">IFERROR(INDEX('NCO-2015 scores'!$C$2:$C$131,MATCH(E1358,'NCO-2015 scores'!$A$2:$A$131,0)),0)</f>
        <v>0.1688</v>
      </c>
      <c r="J1358" s="13" t="n">
        <f aca="false">IF(ISNUMBER(MATCH(E1358,'NCO-2015 scores'!$A$2:$A$131,0)),IF(ISNUMBER(INDEX('NCO-2015 scores'!$C$2:$C$131,MATCH(E1358,'NCO-2015 scores'!$A$2:$A$131,0))),1,0),0)</f>
        <v>1</v>
      </c>
    </row>
    <row r="1359" customFormat="false" ht="15" hidden="false" customHeight="false" outlineLevel="0" collapsed="false">
      <c r="A1359" s="2" t="n">
        <v>1355</v>
      </c>
      <c r="B1359" s="2" t="s">
        <v>4190</v>
      </c>
      <c r="C1359" s="2" t="s">
        <v>4191</v>
      </c>
      <c r="D1359" s="2" t="s">
        <v>4192</v>
      </c>
      <c r="E1359" s="2" t="str">
        <f aca="false">LEFT(C1359,3)</f>
        <v>731</v>
      </c>
      <c r="F1359" s="2" t="str">
        <f aca="false">IF(D1359="","",LEFT(D1359,3))</f>
        <v>732</v>
      </c>
      <c r="G1359" s="2" t="str">
        <f aca="false">IF(F1359="","",IF(E1359=F1359,"Yes","No"))</f>
        <v>No</v>
      </c>
      <c r="H1359" s="2" t="n">
        <f aca="false">IF(D1359="",0,1/COUNTIF($D$2:$D$3451,D1359))</f>
        <v>1</v>
      </c>
      <c r="I1359" s="13" t="n">
        <f aca="false">IFERROR(INDEX('NCO-2015 scores'!$C$2:$C$131,MATCH(E1359,'NCO-2015 scores'!$A$2:$A$131,0)),0)</f>
        <v>0.1688</v>
      </c>
      <c r="J1359" s="13" t="n">
        <f aca="false">IF(ISNUMBER(MATCH(E1359,'NCO-2015 scores'!$A$2:$A$131,0)),IF(ISNUMBER(INDEX('NCO-2015 scores'!$C$2:$C$131,MATCH(E1359,'NCO-2015 scores'!$A$2:$A$131,0))),1,0),0)</f>
        <v>1</v>
      </c>
    </row>
    <row r="1360" customFormat="false" ht="15" hidden="false" customHeight="false" outlineLevel="0" collapsed="false">
      <c r="A1360" s="2" t="n">
        <v>1356</v>
      </c>
      <c r="B1360" s="2" t="s">
        <v>4193</v>
      </c>
      <c r="C1360" s="2" t="s">
        <v>4194</v>
      </c>
      <c r="D1360" s="2" t="s">
        <v>4195</v>
      </c>
      <c r="E1360" s="2" t="str">
        <f aca="false">LEFT(C1360,3)</f>
        <v>731</v>
      </c>
      <c r="F1360" s="2" t="str">
        <f aca="false">IF(D1360="","",LEFT(D1360,3))</f>
        <v>732</v>
      </c>
      <c r="G1360" s="2" t="str">
        <f aca="false">IF(F1360="","",IF(E1360=F1360,"Yes","No"))</f>
        <v>No</v>
      </c>
      <c r="H1360" s="2" t="n">
        <f aca="false">IF(D1360="",0,1/COUNTIF($D$2:$D$3451,D1360))</f>
        <v>1</v>
      </c>
      <c r="I1360" s="13" t="n">
        <f aca="false">IFERROR(INDEX('NCO-2015 scores'!$C$2:$C$131,MATCH(E1360,'NCO-2015 scores'!$A$2:$A$131,0)),0)</f>
        <v>0.1688</v>
      </c>
      <c r="J1360" s="13" t="n">
        <f aca="false">IF(ISNUMBER(MATCH(E1360,'NCO-2015 scores'!$A$2:$A$131,0)),IF(ISNUMBER(INDEX('NCO-2015 scores'!$C$2:$C$131,MATCH(E1360,'NCO-2015 scores'!$A$2:$A$131,0))),1,0),0)</f>
        <v>1</v>
      </c>
    </row>
    <row r="1361" customFormat="false" ht="15" hidden="false" customHeight="false" outlineLevel="0" collapsed="false">
      <c r="A1361" s="2" t="n">
        <v>1357</v>
      </c>
      <c r="B1361" s="2" t="s">
        <v>4196</v>
      </c>
      <c r="C1361" s="2" t="s">
        <v>4197</v>
      </c>
      <c r="D1361" s="2" t="s">
        <v>4198</v>
      </c>
      <c r="E1361" s="2" t="str">
        <f aca="false">LEFT(C1361,3)</f>
        <v>731</v>
      </c>
      <c r="F1361" s="2" t="str">
        <f aca="false">IF(D1361="","",LEFT(D1361,3))</f>
        <v>732</v>
      </c>
      <c r="G1361" s="2" t="str">
        <f aca="false">IF(F1361="","",IF(E1361=F1361,"Yes","No"))</f>
        <v>No</v>
      </c>
      <c r="H1361" s="2" t="n">
        <f aca="false">IF(D1361="",0,1/COUNTIF($D$2:$D$3451,D1361))</f>
        <v>1</v>
      </c>
      <c r="I1361" s="13" t="n">
        <f aca="false">IFERROR(INDEX('NCO-2015 scores'!$C$2:$C$131,MATCH(E1361,'NCO-2015 scores'!$A$2:$A$131,0)),0)</f>
        <v>0.1688</v>
      </c>
      <c r="J1361" s="13" t="n">
        <f aca="false">IF(ISNUMBER(MATCH(E1361,'NCO-2015 scores'!$A$2:$A$131,0)),IF(ISNUMBER(INDEX('NCO-2015 scores'!$C$2:$C$131,MATCH(E1361,'NCO-2015 scores'!$A$2:$A$131,0))),1,0),0)</f>
        <v>1</v>
      </c>
    </row>
    <row r="1362" customFormat="false" ht="15" hidden="false" customHeight="false" outlineLevel="0" collapsed="false">
      <c r="A1362" s="2" t="n">
        <v>1358</v>
      </c>
      <c r="B1362" s="2" t="s">
        <v>4199</v>
      </c>
      <c r="C1362" s="2" t="s">
        <v>4200</v>
      </c>
      <c r="D1362" s="2" t="s">
        <v>4201</v>
      </c>
      <c r="E1362" s="2" t="str">
        <f aca="false">LEFT(C1362,3)</f>
        <v>731</v>
      </c>
      <c r="F1362" s="2" t="str">
        <f aca="false">IF(D1362="","",LEFT(D1362,3))</f>
        <v>732</v>
      </c>
      <c r="G1362" s="2" t="str">
        <f aca="false">IF(F1362="","",IF(E1362=F1362,"Yes","No"))</f>
        <v>No</v>
      </c>
      <c r="H1362" s="2" t="n">
        <f aca="false">IF(D1362="",0,1/COUNTIF($D$2:$D$3451,D1362))</f>
        <v>1</v>
      </c>
      <c r="I1362" s="13" t="n">
        <f aca="false">IFERROR(INDEX('NCO-2015 scores'!$C$2:$C$131,MATCH(E1362,'NCO-2015 scores'!$A$2:$A$131,0)),0)</f>
        <v>0.1688</v>
      </c>
      <c r="J1362" s="13" t="n">
        <f aca="false">IF(ISNUMBER(MATCH(E1362,'NCO-2015 scores'!$A$2:$A$131,0)),IF(ISNUMBER(INDEX('NCO-2015 scores'!$C$2:$C$131,MATCH(E1362,'NCO-2015 scores'!$A$2:$A$131,0))),1,0),0)</f>
        <v>1</v>
      </c>
    </row>
    <row r="1363" customFormat="false" ht="15" hidden="false" customHeight="false" outlineLevel="0" collapsed="false">
      <c r="A1363" s="2" t="n">
        <v>1359</v>
      </c>
      <c r="B1363" s="2" t="s">
        <v>4202</v>
      </c>
      <c r="C1363" s="2" t="s">
        <v>4203</v>
      </c>
      <c r="D1363" s="2" t="s">
        <v>4204</v>
      </c>
      <c r="E1363" s="2" t="str">
        <f aca="false">LEFT(C1363,3)</f>
        <v>731</v>
      </c>
      <c r="F1363" s="2" t="str">
        <f aca="false">IF(D1363="","",LEFT(D1363,3))</f>
        <v>732</v>
      </c>
      <c r="G1363" s="2" t="str">
        <f aca="false">IF(F1363="","",IF(E1363=F1363,"Yes","No"))</f>
        <v>No</v>
      </c>
      <c r="H1363" s="2" t="n">
        <f aca="false">IF(D1363="",0,1/COUNTIF($D$2:$D$3451,D1363))</f>
        <v>1</v>
      </c>
      <c r="I1363" s="13" t="n">
        <f aca="false">IFERROR(INDEX('NCO-2015 scores'!$C$2:$C$131,MATCH(E1363,'NCO-2015 scores'!$A$2:$A$131,0)),0)</f>
        <v>0.1688</v>
      </c>
      <c r="J1363" s="13" t="n">
        <f aca="false">IF(ISNUMBER(MATCH(E1363,'NCO-2015 scores'!$A$2:$A$131,0)),IF(ISNUMBER(INDEX('NCO-2015 scores'!$C$2:$C$131,MATCH(E1363,'NCO-2015 scores'!$A$2:$A$131,0))),1,0),0)</f>
        <v>1</v>
      </c>
    </row>
    <row r="1364" customFormat="false" ht="15" hidden="false" customHeight="false" outlineLevel="0" collapsed="false">
      <c r="A1364" s="2" t="n">
        <v>1360</v>
      </c>
      <c r="B1364" s="2" t="s">
        <v>4205</v>
      </c>
      <c r="C1364" s="2" t="s">
        <v>4206</v>
      </c>
      <c r="D1364" s="2" t="s">
        <v>4207</v>
      </c>
      <c r="E1364" s="2" t="str">
        <f aca="false">LEFT(C1364,3)</f>
        <v>731</v>
      </c>
      <c r="F1364" s="2" t="str">
        <f aca="false">IF(D1364="","",LEFT(D1364,3))</f>
        <v>732</v>
      </c>
      <c r="G1364" s="2" t="str">
        <f aca="false">IF(F1364="","",IF(E1364=F1364,"Yes","No"))</f>
        <v>No</v>
      </c>
      <c r="H1364" s="2" t="n">
        <f aca="false">IF(D1364="",0,1/COUNTIF($D$2:$D$3451,D1364))</f>
        <v>1</v>
      </c>
      <c r="I1364" s="13" t="n">
        <f aca="false">IFERROR(INDEX('NCO-2015 scores'!$C$2:$C$131,MATCH(E1364,'NCO-2015 scores'!$A$2:$A$131,0)),0)</f>
        <v>0.1688</v>
      </c>
      <c r="J1364" s="13" t="n">
        <f aca="false">IF(ISNUMBER(MATCH(E1364,'NCO-2015 scores'!$A$2:$A$131,0)),IF(ISNUMBER(INDEX('NCO-2015 scores'!$C$2:$C$131,MATCH(E1364,'NCO-2015 scores'!$A$2:$A$131,0))),1,0),0)</f>
        <v>1</v>
      </c>
    </row>
    <row r="1365" customFormat="false" ht="15" hidden="false" customHeight="false" outlineLevel="0" collapsed="false">
      <c r="A1365" s="2" t="n">
        <v>1361</v>
      </c>
      <c r="B1365" s="2" t="s">
        <v>4208</v>
      </c>
      <c r="C1365" s="2" t="s">
        <v>4209</v>
      </c>
      <c r="D1365" s="2" t="s">
        <v>4210</v>
      </c>
      <c r="E1365" s="2" t="str">
        <f aca="false">LEFT(C1365,3)</f>
        <v>712</v>
      </c>
      <c r="F1365" s="2" t="str">
        <f aca="false">IF(D1365="","",LEFT(D1365,3))</f>
        <v>713</v>
      </c>
      <c r="G1365" s="2" t="str">
        <f aca="false">IF(F1365="","",IF(E1365=F1365,"Yes","No"))</f>
        <v>No</v>
      </c>
      <c r="H1365" s="2" t="n">
        <f aca="false">IF(D1365="",0,1/COUNTIF($D$2:$D$3451,D1365))</f>
        <v>1</v>
      </c>
      <c r="I1365" s="13" t="n">
        <f aca="false">IFERROR(INDEX('NCO-2015 scores'!$C$2:$C$131,MATCH(E1365,'NCO-2015 scores'!$A$2:$A$131,0)),0)</f>
        <v>0.1429</v>
      </c>
      <c r="J1365" s="13" t="n">
        <f aca="false">IF(ISNUMBER(MATCH(E1365,'NCO-2015 scores'!$A$2:$A$131,0)),IF(ISNUMBER(INDEX('NCO-2015 scores'!$C$2:$C$131,MATCH(E1365,'NCO-2015 scores'!$A$2:$A$131,0))),1,0),0)</f>
        <v>1</v>
      </c>
    </row>
    <row r="1366" customFormat="false" ht="15" hidden="false" customHeight="false" outlineLevel="0" collapsed="false">
      <c r="A1366" s="2" t="n">
        <v>1362</v>
      </c>
      <c r="B1366" s="2" t="s">
        <v>4211</v>
      </c>
      <c r="C1366" s="2" t="s">
        <v>4212</v>
      </c>
      <c r="D1366" s="2" t="s">
        <v>4213</v>
      </c>
      <c r="E1366" s="2" t="str">
        <f aca="false">LEFT(C1366,3)</f>
        <v>712</v>
      </c>
      <c r="F1366" s="2" t="str">
        <f aca="false">IF(D1366="","",LEFT(D1366,3))</f>
        <v>713</v>
      </c>
      <c r="G1366" s="2" t="str">
        <f aca="false">IF(F1366="","",IF(E1366=F1366,"Yes","No"))</f>
        <v>No</v>
      </c>
      <c r="H1366" s="2" t="n">
        <f aca="false">IF(D1366="",0,1/COUNTIF($D$2:$D$3451,D1366))</f>
        <v>1</v>
      </c>
      <c r="I1366" s="13" t="n">
        <f aca="false">IFERROR(INDEX('NCO-2015 scores'!$C$2:$C$131,MATCH(E1366,'NCO-2015 scores'!$A$2:$A$131,0)),0)</f>
        <v>0.1429</v>
      </c>
      <c r="J1366" s="13" t="n">
        <f aca="false">IF(ISNUMBER(MATCH(E1366,'NCO-2015 scores'!$A$2:$A$131,0)),IF(ISNUMBER(INDEX('NCO-2015 scores'!$C$2:$C$131,MATCH(E1366,'NCO-2015 scores'!$A$2:$A$131,0))),1,0),0)</f>
        <v>1</v>
      </c>
    </row>
    <row r="1367" customFormat="false" ht="15" hidden="false" customHeight="false" outlineLevel="0" collapsed="false">
      <c r="A1367" s="2" t="n">
        <v>1363</v>
      </c>
      <c r="B1367" s="2" t="s">
        <v>4214</v>
      </c>
      <c r="C1367" s="2" t="s">
        <v>4215</v>
      </c>
      <c r="D1367" s="2" t="s">
        <v>4216</v>
      </c>
      <c r="E1367" s="2" t="str">
        <f aca="false">LEFT(C1367,3)</f>
        <v>712</v>
      </c>
      <c r="F1367" s="2" t="str">
        <f aca="false">IF(D1367="","",LEFT(D1367,3))</f>
        <v>713</v>
      </c>
      <c r="G1367" s="2" t="str">
        <f aca="false">IF(F1367="","",IF(E1367=F1367,"Yes","No"))</f>
        <v>No</v>
      </c>
      <c r="H1367" s="2" t="n">
        <f aca="false">IF(D1367="",0,1/COUNTIF($D$2:$D$3451,D1367))</f>
        <v>1</v>
      </c>
      <c r="I1367" s="13" t="n">
        <f aca="false">IFERROR(INDEX('NCO-2015 scores'!$C$2:$C$131,MATCH(E1367,'NCO-2015 scores'!$A$2:$A$131,0)),0)</f>
        <v>0.1429</v>
      </c>
      <c r="J1367" s="13" t="n">
        <f aca="false">IF(ISNUMBER(MATCH(E1367,'NCO-2015 scores'!$A$2:$A$131,0)),IF(ISNUMBER(INDEX('NCO-2015 scores'!$C$2:$C$131,MATCH(E1367,'NCO-2015 scores'!$A$2:$A$131,0))),1,0),0)</f>
        <v>1</v>
      </c>
    </row>
    <row r="1368" customFormat="false" ht="15" hidden="false" customHeight="false" outlineLevel="0" collapsed="false">
      <c r="A1368" s="2" t="n">
        <v>1364</v>
      </c>
      <c r="B1368" s="2" t="s">
        <v>4217</v>
      </c>
      <c r="C1368" s="2" t="s">
        <v>4218</v>
      </c>
      <c r="D1368" s="2" t="s">
        <v>4219</v>
      </c>
      <c r="E1368" s="2" t="str">
        <f aca="false">LEFT(C1368,3)</f>
        <v>712</v>
      </c>
      <c r="F1368" s="2" t="str">
        <f aca="false">IF(D1368="","",LEFT(D1368,3))</f>
        <v>713</v>
      </c>
      <c r="G1368" s="2" t="str">
        <f aca="false">IF(F1368="","",IF(E1368=F1368,"Yes","No"))</f>
        <v>No</v>
      </c>
      <c r="H1368" s="2" t="n">
        <f aca="false">IF(D1368="",0,1/COUNTIF($D$2:$D$3451,D1368))</f>
        <v>1</v>
      </c>
      <c r="I1368" s="13" t="n">
        <f aca="false">IFERROR(INDEX('NCO-2015 scores'!$C$2:$C$131,MATCH(E1368,'NCO-2015 scores'!$A$2:$A$131,0)),0)</f>
        <v>0.1429</v>
      </c>
      <c r="J1368" s="13" t="n">
        <f aca="false">IF(ISNUMBER(MATCH(E1368,'NCO-2015 scores'!$A$2:$A$131,0)),IF(ISNUMBER(INDEX('NCO-2015 scores'!$C$2:$C$131,MATCH(E1368,'NCO-2015 scores'!$A$2:$A$131,0))),1,0),0)</f>
        <v>1</v>
      </c>
    </row>
    <row r="1369" customFormat="false" ht="15" hidden="false" customHeight="false" outlineLevel="0" collapsed="false">
      <c r="A1369" s="2" t="n">
        <v>1365</v>
      </c>
      <c r="B1369" s="2" t="s">
        <v>4220</v>
      </c>
      <c r="C1369" s="2" t="s">
        <v>4221</v>
      </c>
      <c r="D1369" s="2" t="s">
        <v>4222</v>
      </c>
      <c r="E1369" s="2" t="str">
        <f aca="false">LEFT(C1369,3)</f>
        <v>335</v>
      </c>
      <c r="F1369" s="2" t="str">
        <f aca="false">IF(D1369="","",LEFT(D1369,3))</f>
        <v>344</v>
      </c>
      <c r="G1369" s="2" t="str">
        <f aca="false">IF(F1369="","",IF(E1369=F1369,"Yes","No"))</f>
        <v>No</v>
      </c>
      <c r="H1369" s="2" t="n">
        <f aca="false">IF(D1369="",0,1/COUNTIF($D$2:$D$3451,D1369))</f>
        <v>1</v>
      </c>
      <c r="I1369" s="13" t="n">
        <f aca="false">IFERROR(INDEX('NCO-2015 scores'!$C$2:$C$131,MATCH(E1369,'NCO-2015 scores'!$A$2:$A$131,0)),0)</f>
        <v>0.38</v>
      </c>
      <c r="J1369" s="13" t="n">
        <f aca="false">IF(ISNUMBER(MATCH(E1369,'NCO-2015 scores'!$A$2:$A$131,0)),IF(ISNUMBER(INDEX('NCO-2015 scores'!$C$2:$C$131,MATCH(E1369,'NCO-2015 scores'!$A$2:$A$131,0))),1,0),0)</f>
        <v>1</v>
      </c>
    </row>
    <row r="1370" customFormat="false" ht="15" hidden="false" customHeight="false" outlineLevel="0" collapsed="false">
      <c r="A1370" s="2" t="n">
        <v>1366</v>
      </c>
      <c r="B1370" s="2" t="s">
        <v>4223</v>
      </c>
      <c r="C1370" s="2" t="s">
        <v>4224</v>
      </c>
      <c r="D1370" s="2" t="s">
        <v>4225</v>
      </c>
      <c r="E1370" s="2" t="str">
        <f aca="false">LEFT(C1370,3)</f>
        <v>335</v>
      </c>
      <c r="F1370" s="2" t="str">
        <f aca="false">IF(D1370="","",LEFT(D1370,3))</f>
        <v>344</v>
      </c>
      <c r="G1370" s="2" t="str">
        <f aca="false">IF(F1370="","",IF(E1370=F1370,"Yes","No"))</f>
        <v>No</v>
      </c>
      <c r="H1370" s="2" t="n">
        <f aca="false">IF(D1370="",0,1/COUNTIF($D$2:$D$3451,D1370))</f>
        <v>1</v>
      </c>
      <c r="I1370" s="13" t="n">
        <f aca="false">IFERROR(INDEX('NCO-2015 scores'!$C$2:$C$131,MATCH(E1370,'NCO-2015 scores'!$A$2:$A$131,0)),0)</f>
        <v>0.38</v>
      </c>
      <c r="J1370" s="13" t="n">
        <f aca="false">IF(ISNUMBER(MATCH(E1370,'NCO-2015 scores'!$A$2:$A$131,0)),IF(ISNUMBER(INDEX('NCO-2015 scores'!$C$2:$C$131,MATCH(E1370,'NCO-2015 scores'!$A$2:$A$131,0))),1,0),0)</f>
        <v>1</v>
      </c>
    </row>
    <row r="1371" customFormat="false" ht="15" hidden="false" customHeight="false" outlineLevel="0" collapsed="false">
      <c r="A1371" s="2" t="n">
        <v>1367</v>
      </c>
      <c r="B1371" s="2" t="s">
        <v>4226</v>
      </c>
      <c r="C1371" s="2" t="s">
        <v>4227</v>
      </c>
      <c r="D1371" s="2" t="s">
        <v>4228</v>
      </c>
      <c r="E1371" s="2" t="str">
        <f aca="false">LEFT(C1371,3)</f>
        <v>335</v>
      </c>
      <c r="F1371" s="2" t="str">
        <f aca="false">IF(D1371="","",LEFT(D1371,3))</f>
        <v>344</v>
      </c>
      <c r="G1371" s="2" t="str">
        <f aca="false">IF(F1371="","",IF(E1371=F1371,"Yes","No"))</f>
        <v>No</v>
      </c>
      <c r="H1371" s="2" t="n">
        <f aca="false">IF(D1371="",0,1/COUNTIF($D$2:$D$3451,D1371))</f>
        <v>1</v>
      </c>
      <c r="I1371" s="13" t="n">
        <f aca="false">IFERROR(INDEX('NCO-2015 scores'!$C$2:$C$131,MATCH(E1371,'NCO-2015 scores'!$A$2:$A$131,0)),0)</f>
        <v>0.38</v>
      </c>
      <c r="J1371" s="13" t="n">
        <f aca="false">IF(ISNUMBER(MATCH(E1371,'NCO-2015 scores'!$A$2:$A$131,0)),IF(ISNUMBER(INDEX('NCO-2015 scores'!$C$2:$C$131,MATCH(E1371,'NCO-2015 scores'!$A$2:$A$131,0))),1,0),0)</f>
        <v>1</v>
      </c>
    </row>
    <row r="1372" customFormat="false" ht="15" hidden="false" customHeight="false" outlineLevel="0" collapsed="false">
      <c r="A1372" s="2" t="n">
        <v>1368</v>
      </c>
      <c r="B1372" s="2" t="s">
        <v>4229</v>
      </c>
      <c r="C1372" s="2" t="s">
        <v>4230</v>
      </c>
      <c r="D1372" s="2" t="s">
        <v>4231</v>
      </c>
      <c r="E1372" s="2" t="str">
        <f aca="false">LEFT(C1372,3)</f>
        <v>335</v>
      </c>
      <c r="F1372" s="2" t="str">
        <f aca="false">IF(D1372="","",LEFT(D1372,3))</f>
        <v>344</v>
      </c>
      <c r="G1372" s="2" t="str">
        <f aca="false">IF(F1372="","",IF(E1372=F1372,"Yes","No"))</f>
        <v>No</v>
      </c>
      <c r="H1372" s="2" t="n">
        <f aca="false">IF(D1372="",0,1/COUNTIF($D$2:$D$3451,D1372))</f>
        <v>1</v>
      </c>
      <c r="I1372" s="13" t="n">
        <f aca="false">IFERROR(INDEX('NCO-2015 scores'!$C$2:$C$131,MATCH(E1372,'NCO-2015 scores'!$A$2:$A$131,0)),0)</f>
        <v>0.38</v>
      </c>
      <c r="J1372" s="13" t="n">
        <f aca="false">IF(ISNUMBER(MATCH(E1372,'NCO-2015 scores'!$A$2:$A$131,0)),IF(ISNUMBER(INDEX('NCO-2015 scores'!$C$2:$C$131,MATCH(E1372,'NCO-2015 scores'!$A$2:$A$131,0))),1,0),0)</f>
        <v>1</v>
      </c>
    </row>
    <row r="1373" customFormat="false" ht="15" hidden="false" customHeight="false" outlineLevel="0" collapsed="false">
      <c r="A1373" s="2" t="n">
        <v>1369</v>
      </c>
      <c r="B1373" s="2" t="s">
        <v>4232</v>
      </c>
      <c r="C1373" s="2" t="s">
        <v>4233</v>
      </c>
      <c r="D1373" s="2" t="s">
        <v>4234</v>
      </c>
      <c r="E1373" s="2" t="str">
        <f aca="false">LEFT(C1373,3)</f>
        <v>335</v>
      </c>
      <c r="F1373" s="2" t="str">
        <f aca="false">IF(D1373="","",LEFT(D1373,3))</f>
        <v>344</v>
      </c>
      <c r="G1373" s="2" t="str">
        <f aca="false">IF(F1373="","",IF(E1373=F1373,"Yes","No"))</f>
        <v>No</v>
      </c>
      <c r="H1373" s="2" t="n">
        <f aca="false">IF(D1373="",0,1/COUNTIF($D$2:$D$3451,D1373))</f>
        <v>1</v>
      </c>
      <c r="I1373" s="13" t="n">
        <f aca="false">IFERROR(INDEX('NCO-2015 scores'!$C$2:$C$131,MATCH(E1373,'NCO-2015 scores'!$A$2:$A$131,0)),0)</f>
        <v>0.38</v>
      </c>
      <c r="J1373" s="13" t="n">
        <f aca="false">IF(ISNUMBER(MATCH(E1373,'NCO-2015 scores'!$A$2:$A$131,0)),IF(ISNUMBER(INDEX('NCO-2015 scores'!$C$2:$C$131,MATCH(E1373,'NCO-2015 scores'!$A$2:$A$131,0))),1,0),0)</f>
        <v>1</v>
      </c>
    </row>
    <row r="1374" customFormat="false" ht="15" hidden="false" customHeight="false" outlineLevel="0" collapsed="false">
      <c r="A1374" s="2" t="n">
        <v>1370</v>
      </c>
      <c r="B1374" s="2" t="s">
        <v>4235</v>
      </c>
      <c r="C1374" s="2" t="s">
        <v>4236</v>
      </c>
      <c r="D1374" s="2"/>
      <c r="E1374" s="2" t="str">
        <f aca="false">LEFT(C1374,3)</f>
        <v>216</v>
      </c>
      <c r="F1374" s="2" t="str">
        <f aca="false">IF(D1374="","",LEFT(D1374,3))</f>
        <v/>
      </c>
      <c r="G1374" s="2" t="str">
        <f aca="false">IF(F1374="","",IF(E1374=F1374,"Yes","No"))</f>
        <v/>
      </c>
      <c r="H1374" s="2" t="n">
        <f aca="false">IF(D1374="",0,1/COUNTIF($D$2:$D$3451,D1374))</f>
        <v>0</v>
      </c>
      <c r="I1374" s="13" t="n">
        <f aca="false">IFERROR(INDEX('NCO-2015 scores'!$C$2:$C$131,MATCH(E1374,'NCO-2015 scores'!$A$2:$A$131,0)),0)</f>
        <v>0.405</v>
      </c>
      <c r="J1374" s="13" t="n">
        <f aca="false">IF(ISNUMBER(MATCH(E1374,'NCO-2015 scores'!$A$2:$A$131,0)),IF(ISNUMBER(INDEX('NCO-2015 scores'!$C$2:$C$131,MATCH(E1374,'NCO-2015 scores'!$A$2:$A$131,0))),1,0),0)</f>
        <v>1</v>
      </c>
    </row>
    <row r="1375" customFormat="false" ht="15" hidden="false" customHeight="false" outlineLevel="0" collapsed="false">
      <c r="A1375" s="2" t="n">
        <v>1371</v>
      </c>
      <c r="B1375" s="2" t="s">
        <v>4237</v>
      </c>
      <c r="C1375" s="2" t="s">
        <v>4238</v>
      </c>
      <c r="D1375" s="2"/>
      <c r="E1375" s="2" t="str">
        <f aca="false">LEFT(C1375,3)</f>
        <v>216</v>
      </c>
      <c r="F1375" s="2" t="str">
        <f aca="false">IF(D1375="","",LEFT(D1375,3))</f>
        <v/>
      </c>
      <c r="G1375" s="2" t="str">
        <f aca="false">IF(F1375="","",IF(E1375=F1375,"Yes","No"))</f>
        <v/>
      </c>
      <c r="H1375" s="2" t="n">
        <f aca="false">IF(D1375="",0,1/COUNTIF($D$2:$D$3451,D1375))</f>
        <v>0</v>
      </c>
      <c r="I1375" s="13" t="n">
        <f aca="false">IFERROR(INDEX('NCO-2015 scores'!$C$2:$C$131,MATCH(E1375,'NCO-2015 scores'!$A$2:$A$131,0)),0)</f>
        <v>0.405</v>
      </c>
      <c r="J1375" s="13" t="n">
        <f aca="false">IF(ISNUMBER(MATCH(E1375,'NCO-2015 scores'!$A$2:$A$131,0)),IF(ISNUMBER(INDEX('NCO-2015 scores'!$C$2:$C$131,MATCH(E1375,'NCO-2015 scores'!$A$2:$A$131,0))),1,0),0)</f>
        <v>1</v>
      </c>
    </row>
    <row r="1376" customFormat="false" ht="15" hidden="false" customHeight="false" outlineLevel="0" collapsed="false">
      <c r="A1376" s="2" t="n">
        <v>1372</v>
      </c>
      <c r="B1376" s="2" t="s">
        <v>4239</v>
      </c>
      <c r="C1376" s="2" t="s">
        <v>4240</v>
      </c>
      <c r="D1376" s="2" t="s">
        <v>4241</v>
      </c>
      <c r="E1376" s="2" t="str">
        <f aca="false">LEFT(C1376,3)</f>
        <v>216</v>
      </c>
      <c r="F1376" s="2" t="str">
        <f aca="false">IF(D1376="","",LEFT(D1376,3))</f>
        <v>347</v>
      </c>
      <c r="G1376" s="2" t="str">
        <f aca="false">IF(F1376="","",IF(E1376=F1376,"Yes","No"))</f>
        <v>No</v>
      </c>
      <c r="H1376" s="2" t="n">
        <f aca="false">IF(D1376="",0,1/COUNTIF($D$2:$D$3451,D1376))</f>
        <v>1</v>
      </c>
      <c r="I1376" s="13" t="n">
        <f aca="false">IFERROR(INDEX('NCO-2015 scores'!$C$2:$C$131,MATCH(E1376,'NCO-2015 scores'!$A$2:$A$131,0)),0)</f>
        <v>0.405</v>
      </c>
      <c r="J1376" s="13" t="n">
        <f aca="false">IF(ISNUMBER(MATCH(E1376,'NCO-2015 scores'!$A$2:$A$131,0)),IF(ISNUMBER(INDEX('NCO-2015 scores'!$C$2:$C$131,MATCH(E1376,'NCO-2015 scores'!$A$2:$A$131,0))),1,0),0)</f>
        <v>1</v>
      </c>
    </row>
    <row r="1377" customFormat="false" ht="15" hidden="false" customHeight="false" outlineLevel="0" collapsed="false">
      <c r="A1377" s="2" t="n">
        <v>1373</v>
      </c>
      <c r="B1377" s="2" t="s">
        <v>4242</v>
      </c>
      <c r="C1377" s="2" t="s">
        <v>4243</v>
      </c>
      <c r="D1377" s="2"/>
      <c r="E1377" s="2" t="str">
        <f aca="false">LEFT(C1377,3)</f>
        <v>216</v>
      </c>
      <c r="F1377" s="2" t="str">
        <f aca="false">IF(D1377="","",LEFT(D1377,3))</f>
        <v/>
      </c>
      <c r="G1377" s="2" t="str">
        <f aca="false">IF(F1377="","",IF(E1377=F1377,"Yes","No"))</f>
        <v/>
      </c>
      <c r="H1377" s="2" t="n">
        <f aca="false">IF(D1377="",0,1/COUNTIF($D$2:$D$3451,D1377))</f>
        <v>0</v>
      </c>
      <c r="I1377" s="13" t="n">
        <f aca="false">IFERROR(INDEX('NCO-2015 scores'!$C$2:$C$131,MATCH(E1377,'NCO-2015 scores'!$A$2:$A$131,0)),0)</f>
        <v>0.405</v>
      </c>
      <c r="J1377" s="13" t="n">
        <f aca="false">IF(ISNUMBER(MATCH(E1377,'NCO-2015 scores'!$A$2:$A$131,0)),IF(ISNUMBER(INDEX('NCO-2015 scores'!$C$2:$C$131,MATCH(E1377,'NCO-2015 scores'!$A$2:$A$131,0))),1,0),0)</f>
        <v>1</v>
      </c>
    </row>
    <row r="1378" customFormat="false" ht="15" hidden="false" customHeight="false" outlineLevel="0" collapsed="false">
      <c r="A1378" s="2" t="n">
        <v>1374</v>
      </c>
      <c r="B1378" s="2" t="s">
        <v>4244</v>
      </c>
      <c r="C1378" s="2" t="s">
        <v>4245</v>
      </c>
      <c r="D1378" s="2"/>
      <c r="E1378" s="2" t="str">
        <f aca="false">LEFT(C1378,3)</f>
        <v>216</v>
      </c>
      <c r="F1378" s="2" t="str">
        <f aca="false">IF(D1378="","",LEFT(D1378,3))</f>
        <v/>
      </c>
      <c r="G1378" s="2" t="str">
        <f aca="false">IF(F1378="","",IF(E1378=F1378,"Yes","No"))</f>
        <v/>
      </c>
      <c r="H1378" s="2" t="n">
        <f aca="false">IF(D1378="",0,1/COUNTIF($D$2:$D$3451,D1378))</f>
        <v>0</v>
      </c>
      <c r="I1378" s="13" t="n">
        <f aca="false">IFERROR(INDEX('NCO-2015 scores'!$C$2:$C$131,MATCH(E1378,'NCO-2015 scores'!$A$2:$A$131,0)),0)</f>
        <v>0.405</v>
      </c>
      <c r="J1378" s="13" t="n">
        <f aca="false">IF(ISNUMBER(MATCH(E1378,'NCO-2015 scores'!$A$2:$A$131,0)),IF(ISNUMBER(INDEX('NCO-2015 scores'!$C$2:$C$131,MATCH(E1378,'NCO-2015 scores'!$A$2:$A$131,0))),1,0),0)</f>
        <v>1</v>
      </c>
    </row>
    <row r="1379" customFormat="false" ht="15" hidden="false" customHeight="false" outlineLevel="0" collapsed="false">
      <c r="A1379" s="2" t="n">
        <v>1375</v>
      </c>
      <c r="B1379" s="2" t="s">
        <v>4246</v>
      </c>
      <c r="C1379" s="2" t="s">
        <v>4247</v>
      </c>
      <c r="D1379" s="2"/>
      <c r="E1379" s="2" t="str">
        <f aca="false">LEFT(C1379,3)</f>
        <v>216</v>
      </c>
      <c r="F1379" s="2" t="str">
        <f aca="false">IF(D1379="","",LEFT(D1379,3))</f>
        <v/>
      </c>
      <c r="G1379" s="2" t="str">
        <f aca="false">IF(F1379="","",IF(E1379=F1379,"Yes","No"))</f>
        <v/>
      </c>
      <c r="H1379" s="2" t="n">
        <f aca="false">IF(D1379="",0,1/COUNTIF($D$2:$D$3451,D1379))</f>
        <v>0</v>
      </c>
      <c r="I1379" s="13" t="n">
        <f aca="false">IFERROR(INDEX('NCO-2015 scores'!$C$2:$C$131,MATCH(E1379,'NCO-2015 scores'!$A$2:$A$131,0)),0)</f>
        <v>0.405</v>
      </c>
      <c r="J1379" s="13" t="n">
        <f aca="false">IF(ISNUMBER(MATCH(E1379,'NCO-2015 scores'!$A$2:$A$131,0)),IF(ISNUMBER(INDEX('NCO-2015 scores'!$C$2:$C$131,MATCH(E1379,'NCO-2015 scores'!$A$2:$A$131,0))),1,0),0)</f>
        <v>1</v>
      </c>
    </row>
    <row r="1380" customFormat="false" ht="15" hidden="false" customHeight="false" outlineLevel="0" collapsed="false">
      <c r="A1380" s="2" t="n">
        <v>1376</v>
      </c>
      <c r="B1380" s="2" t="s">
        <v>4248</v>
      </c>
      <c r="C1380" s="2" t="s">
        <v>4249</v>
      </c>
      <c r="D1380" s="2"/>
      <c r="E1380" s="2" t="str">
        <f aca="false">LEFT(C1380,3)</f>
        <v>216</v>
      </c>
      <c r="F1380" s="2" t="str">
        <f aca="false">IF(D1380="","",LEFT(D1380,3))</f>
        <v/>
      </c>
      <c r="G1380" s="2" t="str">
        <f aca="false">IF(F1380="","",IF(E1380=F1380,"Yes","No"))</f>
        <v/>
      </c>
      <c r="H1380" s="2" t="n">
        <f aca="false">IF(D1380="",0,1/COUNTIF($D$2:$D$3451,D1380))</f>
        <v>0</v>
      </c>
      <c r="I1380" s="13" t="n">
        <f aca="false">IFERROR(INDEX('NCO-2015 scores'!$C$2:$C$131,MATCH(E1380,'NCO-2015 scores'!$A$2:$A$131,0)),0)</f>
        <v>0.405</v>
      </c>
      <c r="J1380" s="13" t="n">
        <f aca="false">IF(ISNUMBER(MATCH(E1380,'NCO-2015 scores'!$A$2:$A$131,0)),IF(ISNUMBER(INDEX('NCO-2015 scores'!$C$2:$C$131,MATCH(E1380,'NCO-2015 scores'!$A$2:$A$131,0))),1,0),0)</f>
        <v>1</v>
      </c>
    </row>
    <row r="1381" customFormat="false" ht="15" hidden="false" customHeight="false" outlineLevel="0" collapsed="false">
      <c r="A1381" s="2" t="n">
        <v>1377</v>
      </c>
      <c r="B1381" s="2" t="s">
        <v>4250</v>
      </c>
      <c r="C1381" s="2" t="s">
        <v>4251</v>
      </c>
      <c r="D1381" s="2"/>
      <c r="E1381" s="2" t="str">
        <f aca="false">LEFT(C1381,3)</f>
        <v>216</v>
      </c>
      <c r="F1381" s="2" t="str">
        <f aca="false">IF(D1381="","",LEFT(D1381,3))</f>
        <v/>
      </c>
      <c r="G1381" s="2" t="str">
        <f aca="false">IF(F1381="","",IF(E1381=F1381,"Yes","No"))</f>
        <v/>
      </c>
      <c r="H1381" s="2" t="n">
        <f aca="false">IF(D1381="",0,1/COUNTIF($D$2:$D$3451,D1381))</f>
        <v>0</v>
      </c>
      <c r="I1381" s="13" t="n">
        <f aca="false">IFERROR(INDEX('NCO-2015 scores'!$C$2:$C$131,MATCH(E1381,'NCO-2015 scores'!$A$2:$A$131,0)),0)</f>
        <v>0.405</v>
      </c>
      <c r="J1381" s="13" t="n">
        <f aca="false">IF(ISNUMBER(MATCH(E1381,'NCO-2015 scores'!$A$2:$A$131,0)),IF(ISNUMBER(INDEX('NCO-2015 scores'!$C$2:$C$131,MATCH(E1381,'NCO-2015 scores'!$A$2:$A$131,0))),1,0),0)</f>
        <v>1</v>
      </c>
    </row>
    <row r="1382" customFormat="false" ht="15" hidden="false" customHeight="false" outlineLevel="0" collapsed="false">
      <c r="A1382" s="2" t="n">
        <v>1378</v>
      </c>
      <c r="B1382" s="2" t="s">
        <v>4252</v>
      </c>
      <c r="C1382" s="2" t="s">
        <v>4253</v>
      </c>
      <c r="D1382" s="2" t="s">
        <v>4254</v>
      </c>
      <c r="E1382" s="2" t="str">
        <f aca="false">LEFT(C1382,3)</f>
        <v>216</v>
      </c>
      <c r="F1382" s="2" t="str">
        <f aca="false">IF(D1382="","",LEFT(D1382,3))</f>
        <v>245</v>
      </c>
      <c r="G1382" s="2" t="str">
        <f aca="false">IF(F1382="","",IF(E1382=F1382,"Yes","No"))</f>
        <v>No</v>
      </c>
      <c r="H1382" s="2" t="n">
        <f aca="false">IF(D1382="",0,1/COUNTIF($D$2:$D$3451,D1382))</f>
        <v>1</v>
      </c>
      <c r="I1382" s="13" t="n">
        <f aca="false">IFERROR(INDEX('NCO-2015 scores'!$C$2:$C$131,MATCH(E1382,'NCO-2015 scores'!$A$2:$A$131,0)),0)</f>
        <v>0.405</v>
      </c>
      <c r="J1382" s="13" t="n">
        <f aca="false">IF(ISNUMBER(MATCH(E1382,'NCO-2015 scores'!$A$2:$A$131,0)),IF(ISNUMBER(INDEX('NCO-2015 scores'!$C$2:$C$131,MATCH(E1382,'NCO-2015 scores'!$A$2:$A$131,0))),1,0),0)</f>
        <v>1</v>
      </c>
    </row>
    <row r="1383" customFormat="false" ht="15" hidden="false" customHeight="false" outlineLevel="0" collapsed="false">
      <c r="A1383" s="2" t="n">
        <v>1379</v>
      </c>
      <c r="B1383" s="2" t="s">
        <v>4255</v>
      </c>
      <c r="C1383" s="2" t="s">
        <v>4256</v>
      </c>
      <c r="D1383" s="2"/>
      <c r="E1383" s="2" t="str">
        <f aca="false">LEFT(C1383,3)</f>
        <v>216</v>
      </c>
      <c r="F1383" s="2" t="str">
        <f aca="false">IF(D1383="","",LEFT(D1383,3))</f>
        <v/>
      </c>
      <c r="G1383" s="2" t="str">
        <f aca="false">IF(F1383="","",IF(E1383=F1383,"Yes","No"))</f>
        <v/>
      </c>
      <c r="H1383" s="2" t="n">
        <f aca="false">IF(D1383="",0,1/COUNTIF($D$2:$D$3451,D1383))</f>
        <v>0</v>
      </c>
      <c r="I1383" s="13" t="n">
        <f aca="false">IFERROR(INDEX('NCO-2015 scores'!$C$2:$C$131,MATCH(E1383,'NCO-2015 scores'!$A$2:$A$131,0)),0)</f>
        <v>0.405</v>
      </c>
      <c r="J1383" s="13" t="n">
        <f aca="false">IF(ISNUMBER(MATCH(E1383,'NCO-2015 scores'!$A$2:$A$131,0)),IF(ISNUMBER(INDEX('NCO-2015 scores'!$C$2:$C$131,MATCH(E1383,'NCO-2015 scores'!$A$2:$A$131,0))),1,0),0)</f>
        <v>1</v>
      </c>
    </row>
    <row r="1384" customFormat="false" ht="15" hidden="false" customHeight="false" outlineLevel="0" collapsed="false">
      <c r="A1384" s="2" t="n">
        <v>1380</v>
      </c>
      <c r="B1384" s="2" t="s">
        <v>4257</v>
      </c>
      <c r="C1384" s="2" t="s">
        <v>4258</v>
      </c>
      <c r="D1384" s="2"/>
      <c r="E1384" s="2" t="str">
        <f aca="false">LEFT(C1384,3)</f>
        <v>216</v>
      </c>
      <c r="F1384" s="2" t="str">
        <f aca="false">IF(D1384="","",LEFT(D1384,3))</f>
        <v/>
      </c>
      <c r="G1384" s="2" t="str">
        <f aca="false">IF(F1384="","",IF(E1384=F1384,"Yes","No"))</f>
        <v/>
      </c>
      <c r="H1384" s="2" t="n">
        <f aca="false">IF(D1384="",0,1/COUNTIF($D$2:$D$3451,D1384))</f>
        <v>0</v>
      </c>
      <c r="I1384" s="13" t="n">
        <f aca="false">IFERROR(INDEX('NCO-2015 scores'!$C$2:$C$131,MATCH(E1384,'NCO-2015 scores'!$A$2:$A$131,0)),0)</f>
        <v>0.405</v>
      </c>
      <c r="J1384" s="13" t="n">
        <f aca="false">IF(ISNUMBER(MATCH(E1384,'NCO-2015 scores'!$A$2:$A$131,0)),IF(ISNUMBER(INDEX('NCO-2015 scores'!$C$2:$C$131,MATCH(E1384,'NCO-2015 scores'!$A$2:$A$131,0))),1,0),0)</f>
        <v>1</v>
      </c>
    </row>
    <row r="1385" customFormat="false" ht="15" hidden="false" customHeight="false" outlineLevel="0" collapsed="false">
      <c r="A1385" s="2" t="n">
        <v>1381</v>
      </c>
      <c r="B1385" s="2" t="s">
        <v>4259</v>
      </c>
      <c r="C1385" s="2" t="s">
        <v>4260</v>
      </c>
      <c r="D1385" s="2"/>
      <c r="E1385" s="2" t="str">
        <f aca="false">LEFT(C1385,3)</f>
        <v>216</v>
      </c>
      <c r="F1385" s="2" t="str">
        <f aca="false">IF(D1385="","",LEFT(D1385,3))</f>
        <v/>
      </c>
      <c r="G1385" s="2" t="str">
        <f aca="false">IF(F1385="","",IF(E1385=F1385,"Yes","No"))</f>
        <v/>
      </c>
      <c r="H1385" s="2" t="n">
        <f aca="false">IF(D1385="",0,1/COUNTIF($D$2:$D$3451,D1385))</f>
        <v>0</v>
      </c>
      <c r="I1385" s="13" t="n">
        <f aca="false">IFERROR(INDEX('NCO-2015 scores'!$C$2:$C$131,MATCH(E1385,'NCO-2015 scores'!$A$2:$A$131,0)),0)</f>
        <v>0.405</v>
      </c>
      <c r="J1385" s="13" t="n">
        <f aca="false">IF(ISNUMBER(MATCH(E1385,'NCO-2015 scores'!$A$2:$A$131,0)),IF(ISNUMBER(INDEX('NCO-2015 scores'!$C$2:$C$131,MATCH(E1385,'NCO-2015 scores'!$A$2:$A$131,0))),1,0),0)</f>
        <v>1</v>
      </c>
    </row>
    <row r="1386" customFormat="false" ht="15" hidden="false" customHeight="false" outlineLevel="0" collapsed="false">
      <c r="A1386" s="2" t="n">
        <v>1382</v>
      </c>
      <c r="B1386" s="2" t="s">
        <v>4261</v>
      </c>
      <c r="C1386" s="2" t="s">
        <v>4262</v>
      </c>
      <c r="D1386" s="2" t="s">
        <v>4263</v>
      </c>
      <c r="E1386" s="2" t="str">
        <f aca="false">LEFT(C1386,3)</f>
        <v>216</v>
      </c>
      <c r="F1386" s="2" t="str">
        <f aca="false">IF(D1386="","",LEFT(D1386,3))</f>
        <v>245</v>
      </c>
      <c r="G1386" s="2" t="str">
        <f aca="false">IF(F1386="","",IF(E1386=F1386,"Yes","No"))</f>
        <v>No</v>
      </c>
      <c r="H1386" s="2" t="n">
        <f aca="false">IF(D1386="",0,1/COUNTIF($D$2:$D$3451,D1386))</f>
        <v>1</v>
      </c>
      <c r="I1386" s="13" t="n">
        <f aca="false">IFERROR(INDEX('NCO-2015 scores'!$C$2:$C$131,MATCH(E1386,'NCO-2015 scores'!$A$2:$A$131,0)),0)</f>
        <v>0.405</v>
      </c>
      <c r="J1386" s="13" t="n">
        <f aca="false">IF(ISNUMBER(MATCH(E1386,'NCO-2015 scores'!$A$2:$A$131,0)),IF(ISNUMBER(INDEX('NCO-2015 scores'!$C$2:$C$131,MATCH(E1386,'NCO-2015 scores'!$A$2:$A$131,0))),1,0),0)</f>
        <v>1</v>
      </c>
    </row>
    <row r="1387" customFormat="false" ht="15" hidden="false" customHeight="false" outlineLevel="0" collapsed="false">
      <c r="A1387" s="2" t="n">
        <v>1383</v>
      </c>
      <c r="B1387" s="2" t="s">
        <v>4264</v>
      </c>
      <c r="C1387" s="2" t="s">
        <v>4265</v>
      </c>
      <c r="D1387" s="2"/>
      <c r="E1387" s="2" t="str">
        <f aca="false">LEFT(C1387,3)</f>
        <v>216</v>
      </c>
      <c r="F1387" s="2" t="str">
        <f aca="false">IF(D1387="","",LEFT(D1387,3))</f>
        <v/>
      </c>
      <c r="G1387" s="2" t="str">
        <f aca="false">IF(F1387="","",IF(E1387=F1387,"Yes","No"))</f>
        <v/>
      </c>
      <c r="H1387" s="2" t="n">
        <f aca="false">IF(D1387="",0,1/COUNTIF($D$2:$D$3451,D1387))</f>
        <v>0</v>
      </c>
      <c r="I1387" s="13" t="n">
        <f aca="false">IFERROR(INDEX('NCO-2015 scores'!$C$2:$C$131,MATCH(E1387,'NCO-2015 scores'!$A$2:$A$131,0)),0)</f>
        <v>0.405</v>
      </c>
      <c r="J1387" s="13" t="n">
        <f aca="false">IF(ISNUMBER(MATCH(E1387,'NCO-2015 scores'!$A$2:$A$131,0)),IF(ISNUMBER(INDEX('NCO-2015 scores'!$C$2:$C$131,MATCH(E1387,'NCO-2015 scores'!$A$2:$A$131,0))),1,0),0)</f>
        <v>1</v>
      </c>
    </row>
    <row r="1388" customFormat="false" ht="15" hidden="false" customHeight="false" outlineLevel="0" collapsed="false">
      <c r="A1388" s="2" t="n">
        <v>1384</v>
      </c>
      <c r="B1388" s="2" t="s">
        <v>4266</v>
      </c>
      <c r="C1388" s="2" t="s">
        <v>4267</v>
      </c>
      <c r="D1388" s="2"/>
      <c r="E1388" s="2" t="str">
        <f aca="false">LEFT(C1388,3)</f>
        <v>216</v>
      </c>
      <c r="F1388" s="2" t="str">
        <f aca="false">IF(D1388="","",LEFT(D1388,3))</f>
        <v/>
      </c>
      <c r="G1388" s="2" t="str">
        <f aca="false">IF(F1388="","",IF(E1388=F1388,"Yes","No"))</f>
        <v/>
      </c>
      <c r="H1388" s="2" t="n">
        <f aca="false">IF(D1388="",0,1/COUNTIF($D$2:$D$3451,D1388))</f>
        <v>0</v>
      </c>
      <c r="I1388" s="13" t="n">
        <f aca="false">IFERROR(INDEX('NCO-2015 scores'!$C$2:$C$131,MATCH(E1388,'NCO-2015 scores'!$A$2:$A$131,0)),0)</f>
        <v>0.405</v>
      </c>
      <c r="J1388" s="13" t="n">
        <f aca="false">IF(ISNUMBER(MATCH(E1388,'NCO-2015 scores'!$A$2:$A$131,0)),IF(ISNUMBER(INDEX('NCO-2015 scores'!$C$2:$C$131,MATCH(E1388,'NCO-2015 scores'!$A$2:$A$131,0))),1,0),0)</f>
        <v>1</v>
      </c>
    </row>
    <row r="1389" customFormat="false" ht="15" hidden="false" customHeight="false" outlineLevel="0" collapsed="false">
      <c r="A1389" s="2" t="n">
        <v>1385</v>
      </c>
      <c r="B1389" s="2" t="s">
        <v>4268</v>
      </c>
      <c r="C1389" s="2" t="s">
        <v>4269</v>
      </c>
      <c r="D1389" s="2" t="s">
        <v>4270</v>
      </c>
      <c r="E1389" s="2" t="str">
        <f aca="false">LEFT(C1389,3)</f>
        <v>216</v>
      </c>
      <c r="F1389" s="2" t="str">
        <f aca="false">IF(D1389="","",LEFT(D1389,3))</f>
        <v>245</v>
      </c>
      <c r="G1389" s="2" t="str">
        <f aca="false">IF(F1389="","",IF(E1389=F1389,"Yes","No"))</f>
        <v>No</v>
      </c>
      <c r="H1389" s="2" t="n">
        <f aca="false">IF(D1389="",0,1/COUNTIF($D$2:$D$3451,D1389))</f>
        <v>1</v>
      </c>
      <c r="I1389" s="13" t="n">
        <f aca="false">IFERROR(INDEX('NCO-2015 scores'!$C$2:$C$131,MATCH(E1389,'NCO-2015 scores'!$A$2:$A$131,0)),0)</f>
        <v>0.405</v>
      </c>
      <c r="J1389" s="13" t="n">
        <f aca="false">IF(ISNUMBER(MATCH(E1389,'NCO-2015 scores'!$A$2:$A$131,0)),IF(ISNUMBER(INDEX('NCO-2015 scores'!$C$2:$C$131,MATCH(E1389,'NCO-2015 scores'!$A$2:$A$131,0))),1,0),0)</f>
        <v>1</v>
      </c>
    </row>
    <row r="1390" customFormat="false" ht="15" hidden="false" customHeight="false" outlineLevel="0" collapsed="false">
      <c r="A1390" s="2" t="n">
        <v>1386</v>
      </c>
      <c r="B1390" s="2" t="s">
        <v>4271</v>
      </c>
      <c r="C1390" s="2" t="s">
        <v>4272</v>
      </c>
      <c r="D1390" s="2"/>
      <c r="E1390" s="2" t="str">
        <f aca="false">LEFT(C1390,3)</f>
        <v>216</v>
      </c>
      <c r="F1390" s="2" t="str">
        <f aca="false">IF(D1390="","",LEFT(D1390,3))</f>
        <v/>
      </c>
      <c r="G1390" s="2" t="str">
        <f aca="false">IF(F1390="","",IF(E1390=F1390,"Yes","No"))</f>
        <v/>
      </c>
      <c r="H1390" s="2" t="n">
        <f aca="false">IF(D1390="",0,1/COUNTIF($D$2:$D$3451,D1390))</f>
        <v>0</v>
      </c>
      <c r="I1390" s="13" t="n">
        <f aca="false">IFERROR(INDEX('NCO-2015 scores'!$C$2:$C$131,MATCH(E1390,'NCO-2015 scores'!$A$2:$A$131,0)),0)</f>
        <v>0.405</v>
      </c>
      <c r="J1390" s="13" t="n">
        <f aca="false">IF(ISNUMBER(MATCH(E1390,'NCO-2015 scores'!$A$2:$A$131,0)),IF(ISNUMBER(INDEX('NCO-2015 scores'!$C$2:$C$131,MATCH(E1390,'NCO-2015 scores'!$A$2:$A$131,0))),1,0),0)</f>
        <v>1</v>
      </c>
    </row>
    <row r="1391" customFormat="false" ht="15" hidden="false" customHeight="false" outlineLevel="0" collapsed="false">
      <c r="A1391" s="2" t="n">
        <v>1387</v>
      </c>
      <c r="B1391" s="2" t="s">
        <v>4273</v>
      </c>
      <c r="C1391" s="2" t="s">
        <v>4274</v>
      </c>
      <c r="D1391" s="2"/>
      <c r="E1391" s="2" t="str">
        <f aca="false">LEFT(C1391,3)</f>
        <v>216</v>
      </c>
      <c r="F1391" s="2" t="str">
        <f aca="false">IF(D1391="","",LEFT(D1391,3))</f>
        <v/>
      </c>
      <c r="G1391" s="2" t="str">
        <f aca="false">IF(F1391="","",IF(E1391=F1391,"Yes","No"))</f>
        <v/>
      </c>
      <c r="H1391" s="2" t="n">
        <f aca="false">IF(D1391="",0,1/COUNTIF($D$2:$D$3451,D1391))</f>
        <v>0</v>
      </c>
      <c r="I1391" s="13" t="n">
        <f aca="false">IFERROR(INDEX('NCO-2015 scores'!$C$2:$C$131,MATCH(E1391,'NCO-2015 scores'!$A$2:$A$131,0)),0)</f>
        <v>0.405</v>
      </c>
      <c r="J1391" s="13" t="n">
        <f aca="false">IF(ISNUMBER(MATCH(E1391,'NCO-2015 scores'!$A$2:$A$131,0)),IF(ISNUMBER(INDEX('NCO-2015 scores'!$C$2:$C$131,MATCH(E1391,'NCO-2015 scores'!$A$2:$A$131,0))),1,0),0)</f>
        <v>1</v>
      </c>
    </row>
    <row r="1392" customFormat="false" ht="15" hidden="false" customHeight="false" outlineLevel="0" collapsed="false">
      <c r="A1392" s="2" t="n">
        <v>1388</v>
      </c>
      <c r="B1392" s="2" t="s">
        <v>4275</v>
      </c>
      <c r="C1392" s="2" t="s">
        <v>4276</v>
      </c>
      <c r="D1392" s="2"/>
      <c r="E1392" s="2" t="str">
        <f aca="false">LEFT(C1392,3)</f>
        <v>216</v>
      </c>
      <c r="F1392" s="2" t="str">
        <f aca="false">IF(D1392="","",LEFT(D1392,3))</f>
        <v/>
      </c>
      <c r="G1392" s="2" t="str">
        <f aca="false">IF(F1392="","",IF(E1392=F1392,"Yes","No"))</f>
        <v/>
      </c>
      <c r="H1392" s="2" t="n">
        <f aca="false">IF(D1392="",0,1/COUNTIF($D$2:$D$3451,D1392))</f>
        <v>0</v>
      </c>
      <c r="I1392" s="13" t="n">
        <f aca="false">IFERROR(INDEX('NCO-2015 scores'!$C$2:$C$131,MATCH(E1392,'NCO-2015 scores'!$A$2:$A$131,0)),0)</f>
        <v>0.405</v>
      </c>
      <c r="J1392" s="13" t="n">
        <f aca="false">IF(ISNUMBER(MATCH(E1392,'NCO-2015 scores'!$A$2:$A$131,0)),IF(ISNUMBER(INDEX('NCO-2015 scores'!$C$2:$C$131,MATCH(E1392,'NCO-2015 scores'!$A$2:$A$131,0))),1,0),0)</f>
        <v>1</v>
      </c>
    </row>
    <row r="1393" customFormat="false" ht="15" hidden="false" customHeight="false" outlineLevel="0" collapsed="false">
      <c r="A1393" s="2" t="n">
        <v>1389</v>
      </c>
      <c r="B1393" s="2" t="s">
        <v>4277</v>
      </c>
      <c r="C1393" s="2" t="s">
        <v>4278</v>
      </c>
      <c r="D1393" s="2"/>
      <c r="E1393" s="2" t="str">
        <f aca="false">LEFT(C1393,3)</f>
        <v>514</v>
      </c>
      <c r="F1393" s="2" t="str">
        <f aca="false">IF(D1393="","",LEFT(D1393,3))</f>
        <v/>
      </c>
      <c r="G1393" s="2" t="str">
        <f aca="false">IF(F1393="","",IF(E1393=F1393,"Yes","No"))</f>
        <v/>
      </c>
      <c r="H1393" s="2" t="n">
        <f aca="false">IF(D1393="",0,1/COUNTIF($D$2:$D$3451,D1393))</f>
        <v>0</v>
      </c>
      <c r="I1393" s="13" t="n">
        <f aca="false">IFERROR(INDEX('NCO-2015 scores'!$C$2:$C$131,MATCH(E1393,'NCO-2015 scores'!$A$2:$A$131,0)),0)</f>
        <v>0.175</v>
      </c>
      <c r="J1393" s="13" t="n">
        <f aca="false">IF(ISNUMBER(MATCH(E1393,'NCO-2015 scores'!$A$2:$A$131,0)),IF(ISNUMBER(INDEX('NCO-2015 scores'!$C$2:$C$131,MATCH(E1393,'NCO-2015 scores'!$A$2:$A$131,0))),1,0),0)</f>
        <v>1</v>
      </c>
    </row>
    <row r="1394" customFormat="false" ht="15" hidden="false" customHeight="false" outlineLevel="0" collapsed="false">
      <c r="A1394" s="2" t="n">
        <v>1390</v>
      </c>
      <c r="B1394" s="2" t="s">
        <v>4279</v>
      </c>
      <c r="C1394" s="2" t="s">
        <v>4280</v>
      </c>
      <c r="D1394" s="2" t="s">
        <v>4281</v>
      </c>
      <c r="E1394" s="2" t="str">
        <f aca="false">LEFT(C1394,3)</f>
        <v>514</v>
      </c>
      <c r="F1394" s="2" t="str">
        <f aca="false">IF(D1394="","",LEFT(D1394,3))</f>
        <v>514</v>
      </c>
      <c r="G1394" s="2" t="str">
        <f aca="false">IF(F1394="","",IF(E1394=F1394,"Yes","No"))</f>
        <v>Yes</v>
      </c>
      <c r="H1394" s="2" t="n">
        <f aca="false">IF(D1394="",0,1/COUNTIF($D$2:$D$3451,D1394))</f>
        <v>1</v>
      </c>
      <c r="I1394" s="13" t="n">
        <f aca="false">IFERROR(INDEX('NCO-2015 scores'!$C$2:$C$131,MATCH(E1394,'NCO-2015 scores'!$A$2:$A$131,0)),0)</f>
        <v>0.175</v>
      </c>
      <c r="J1394" s="13" t="n">
        <f aca="false">IF(ISNUMBER(MATCH(E1394,'NCO-2015 scores'!$A$2:$A$131,0)),IF(ISNUMBER(INDEX('NCO-2015 scores'!$C$2:$C$131,MATCH(E1394,'NCO-2015 scores'!$A$2:$A$131,0))),1,0),0)</f>
        <v>1</v>
      </c>
    </row>
    <row r="1395" customFormat="false" ht="15" hidden="false" customHeight="false" outlineLevel="0" collapsed="false">
      <c r="A1395" s="2" t="n">
        <v>1391</v>
      </c>
      <c r="B1395" s="2" t="s">
        <v>4282</v>
      </c>
      <c r="C1395" s="2" t="s">
        <v>4283</v>
      </c>
      <c r="D1395" s="2"/>
      <c r="E1395" s="2" t="str">
        <f aca="false">LEFT(C1395,3)</f>
        <v>514</v>
      </c>
      <c r="F1395" s="2" t="str">
        <f aca="false">IF(D1395="","",LEFT(D1395,3))</f>
        <v/>
      </c>
      <c r="G1395" s="2" t="str">
        <f aca="false">IF(F1395="","",IF(E1395=F1395,"Yes","No"))</f>
        <v/>
      </c>
      <c r="H1395" s="2" t="n">
        <f aca="false">IF(D1395="",0,1/COUNTIF($D$2:$D$3451,D1395))</f>
        <v>0</v>
      </c>
      <c r="I1395" s="13" t="n">
        <f aca="false">IFERROR(INDEX('NCO-2015 scores'!$C$2:$C$131,MATCH(E1395,'NCO-2015 scores'!$A$2:$A$131,0)),0)</f>
        <v>0.175</v>
      </c>
      <c r="J1395" s="13" t="n">
        <f aca="false">IF(ISNUMBER(MATCH(E1395,'NCO-2015 scores'!$A$2:$A$131,0)),IF(ISNUMBER(INDEX('NCO-2015 scores'!$C$2:$C$131,MATCH(E1395,'NCO-2015 scores'!$A$2:$A$131,0))),1,0),0)</f>
        <v>1</v>
      </c>
    </row>
    <row r="1396" customFormat="false" ht="15" hidden="false" customHeight="false" outlineLevel="0" collapsed="false">
      <c r="A1396" s="2" t="n">
        <v>1392</v>
      </c>
      <c r="B1396" s="2" t="s">
        <v>4284</v>
      </c>
      <c r="C1396" s="2" t="s">
        <v>4285</v>
      </c>
      <c r="D1396" s="2" t="s">
        <v>4286</v>
      </c>
      <c r="E1396" s="2" t="str">
        <f aca="false">LEFT(C1396,3)</f>
        <v>514</v>
      </c>
      <c r="F1396" s="2" t="str">
        <f aca="false">IF(D1396="","",LEFT(D1396,3))</f>
        <v>514</v>
      </c>
      <c r="G1396" s="2" t="str">
        <f aca="false">IF(F1396="","",IF(E1396=F1396,"Yes","No"))</f>
        <v>Yes</v>
      </c>
      <c r="H1396" s="2" t="n">
        <f aca="false">IF(D1396="",0,1/COUNTIF($D$2:$D$3451,D1396))</f>
        <v>1</v>
      </c>
      <c r="I1396" s="13" t="n">
        <f aca="false">IFERROR(INDEX('NCO-2015 scores'!$C$2:$C$131,MATCH(E1396,'NCO-2015 scores'!$A$2:$A$131,0)),0)</f>
        <v>0.175</v>
      </c>
      <c r="J1396" s="13" t="n">
        <f aca="false">IF(ISNUMBER(MATCH(E1396,'NCO-2015 scores'!$A$2:$A$131,0)),IF(ISNUMBER(INDEX('NCO-2015 scores'!$C$2:$C$131,MATCH(E1396,'NCO-2015 scores'!$A$2:$A$131,0))),1,0),0)</f>
        <v>1</v>
      </c>
    </row>
    <row r="1397" customFormat="false" ht="15" hidden="false" customHeight="false" outlineLevel="0" collapsed="false">
      <c r="A1397" s="2" t="n">
        <v>1393</v>
      </c>
      <c r="B1397" s="2" t="s">
        <v>4287</v>
      </c>
      <c r="C1397" s="2" t="s">
        <v>4288</v>
      </c>
      <c r="D1397" s="2" t="s">
        <v>4289</v>
      </c>
      <c r="E1397" s="2" t="str">
        <f aca="false">LEFT(C1397,3)</f>
        <v>514</v>
      </c>
      <c r="F1397" s="2" t="str">
        <f aca="false">IF(D1397="","",LEFT(D1397,3))</f>
        <v>514</v>
      </c>
      <c r="G1397" s="2" t="str">
        <f aca="false">IF(F1397="","",IF(E1397=F1397,"Yes","No"))</f>
        <v>Yes</v>
      </c>
      <c r="H1397" s="2" t="n">
        <f aca="false">IF(D1397="",0,1/COUNTIF($D$2:$D$3451,D1397))</f>
        <v>1</v>
      </c>
      <c r="I1397" s="13" t="n">
        <f aca="false">IFERROR(INDEX('NCO-2015 scores'!$C$2:$C$131,MATCH(E1397,'NCO-2015 scores'!$A$2:$A$131,0)),0)</f>
        <v>0.175</v>
      </c>
      <c r="J1397" s="13" t="n">
        <f aca="false">IF(ISNUMBER(MATCH(E1397,'NCO-2015 scores'!$A$2:$A$131,0)),IF(ISNUMBER(INDEX('NCO-2015 scores'!$C$2:$C$131,MATCH(E1397,'NCO-2015 scores'!$A$2:$A$131,0))),1,0),0)</f>
        <v>1</v>
      </c>
    </row>
    <row r="1398" customFormat="false" ht="15" hidden="false" customHeight="false" outlineLevel="0" collapsed="false">
      <c r="A1398" s="2" t="n">
        <v>1394</v>
      </c>
      <c r="B1398" s="2" t="s">
        <v>4290</v>
      </c>
      <c r="C1398" s="2" t="s">
        <v>4291</v>
      </c>
      <c r="D1398" s="2" t="s">
        <v>4292</v>
      </c>
      <c r="E1398" s="2" t="str">
        <f aca="false">LEFT(C1398,3)</f>
        <v>933</v>
      </c>
      <c r="F1398" s="2" t="str">
        <f aca="false">IF(D1398="","",LEFT(D1398,3))</f>
        <v>933</v>
      </c>
      <c r="G1398" s="2" t="str">
        <f aca="false">IF(F1398="","",IF(E1398=F1398,"Yes","No"))</f>
        <v>Yes</v>
      </c>
      <c r="H1398" s="2" t="n">
        <f aca="false">IF(D1398="",0,1/COUNTIF($D$2:$D$3451,D1398))</f>
        <v>1</v>
      </c>
      <c r="I1398" s="13" t="n">
        <f aca="false">IFERROR(INDEX('NCO-2015 scores'!$C$2:$C$131,MATCH(E1398,'NCO-2015 scores'!$A$2:$A$131,0)),0)</f>
        <v>0.17</v>
      </c>
      <c r="J1398" s="13" t="n">
        <f aca="false">IF(ISNUMBER(MATCH(E1398,'NCO-2015 scores'!$A$2:$A$131,0)),IF(ISNUMBER(INDEX('NCO-2015 scores'!$C$2:$C$131,MATCH(E1398,'NCO-2015 scores'!$A$2:$A$131,0))),1,0),0)</f>
        <v>1</v>
      </c>
    </row>
    <row r="1399" customFormat="false" ht="15" hidden="false" customHeight="false" outlineLevel="0" collapsed="false">
      <c r="A1399" s="2" t="n">
        <v>1395</v>
      </c>
      <c r="B1399" s="2" t="s">
        <v>4293</v>
      </c>
      <c r="C1399" s="2" t="s">
        <v>4294</v>
      </c>
      <c r="D1399" s="2" t="s">
        <v>4295</v>
      </c>
      <c r="E1399" s="2" t="str">
        <f aca="false">LEFT(C1399,3)</f>
        <v>933</v>
      </c>
      <c r="F1399" s="2" t="str">
        <f aca="false">IF(D1399="","",LEFT(D1399,3))</f>
        <v>933</v>
      </c>
      <c r="G1399" s="2" t="str">
        <f aca="false">IF(F1399="","",IF(E1399=F1399,"Yes","No"))</f>
        <v>Yes</v>
      </c>
      <c r="H1399" s="2" t="n">
        <f aca="false">IF(D1399="",0,1/COUNTIF($D$2:$D$3451,D1399))</f>
        <v>1</v>
      </c>
      <c r="I1399" s="13" t="n">
        <f aca="false">IFERROR(INDEX('NCO-2015 scores'!$C$2:$C$131,MATCH(E1399,'NCO-2015 scores'!$A$2:$A$131,0)),0)</f>
        <v>0.17</v>
      </c>
      <c r="J1399" s="13" t="n">
        <f aca="false">IF(ISNUMBER(MATCH(E1399,'NCO-2015 scores'!$A$2:$A$131,0)),IF(ISNUMBER(INDEX('NCO-2015 scores'!$C$2:$C$131,MATCH(E1399,'NCO-2015 scores'!$A$2:$A$131,0))),1,0),0)</f>
        <v>1</v>
      </c>
    </row>
    <row r="1400" customFormat="false" ht="15" hidden="false" customHeight="false" outlineLevel="0" collapsed="false">
      <c r="A1400" s="2" t="n">
        <v>1396</v>
      </c>
      <c r="B1400" s="2" t="s">
        <v>4296</v>
      </c>
      <c r="C1400" s="2" t="s">
        <v>4297</v>
      </c>
      <c r="D1400" s="2" t="s">
        <v>4298</v>
      </c>
      <c r="E1400" s="2" t="str">
        <f aca="false">LEFT(C1400,3)</f>
        <v>933</v>
      </c>
      <c r="F1400" s="2" t="str">
        <f aca="false">IF(D1400="","",LEFT(D1400,3))</f>
        <v>933</v>
      </c>
      <c r="G1400" s="2" t="str">
        <f aca="false">IF(F1400="","",IF(E1400=F1400,"Yes","No"))</f>
        <v>Yes</v>
      </c>
      <c r="H1400" s="2" t="n">
        <f aca="false">IF(D1400="",0,1/COUNTIF($D$2:$D$3451,D1400))</f>
        <v>1</v>
      </c>
      <c r="I1400" s="13" t="n">
        <f aca="false">IFERROR(INDEX('NCO-2015 scores'!$C$2:$C$131,MATCH(E1400,'NCO-2015 scores'!$A$2:$A$131,0)),0)</f>
        <v>0.17</v>
      </c>
      <c r="J1400" s="13" t="n">
        <f aca="false">IF(ISNUMBER(MATCH(E1400,'NCO-2015 scores'!$A$2:$A$131,0)),IF(ISNUMBER(INDEX('NCO-2015 scores'!$C$2:$C$131,MATCH(E1400,'NCO-2015 scores'!$A$2:$A$131,0))),1,0),0)</f>
        <v>1</v>
      </c>
    </row>
    <row r="1401" customFormat="false" ht="15" hidden="false" customHeight="false" outlineLevel="0" collapsed="false">
      <c r="A1401" s="2" t="n">
        <v>1397</v>
      </c>
      <c r="B1401" s="2" t="s">
        <v>4299</v>
      </c>
      <c r="C1401" s="2" t="s">
        <v>4300</v>
      </c>
      <c r="D1401" s="2" t="s">
        <v>4301</v>
      </c>
      <c r="E1401" s="2" t="str">
        <f aca="false">LEFT(C1401,3)</f>
        <v>933</v>
      </c>
      <c r="F1401" s="2" t="str">
        <f aca="false">IF(D1401="","",LEFT(D1401,3))</f>
        <v>933</v>
      </c>
      <c r="G1401" s="2" t="str">
        <f aca="false">IF(F1401="","",IF(E1401=F1401,"Yes","No"))</f>
        <v>Yes</v>
      </c>
      <c r="H1401" s="2" t="n">
        <f aca="false">IF(D1401="",0,1/COUNTIF($D$2:$D$3451,D1401))</f>
        <v>1</v>
      </c>
      <c r="I1401" s="13" t="n">
        <f aca="false">IFERROR(INDEX('NCO-2015 scores'!$C$2:$C$131,MATCH(E1401,'NCO-2015 scores'!$A$2:$A$131,0)),0)</f>
        <v>0.17</v>
      </c>
      <c r="J1401" s="13" t="n">
        <f aca="false">IF(ISNUMBER(MATCH(E1401,'NCO-2015 scores'!$A$2:$A$131,0)),IF(ISNUMBER(INDEX('NCO-2015 scores'!$C$2:$C$131,MATCH(E1401,'NCO-2015 scores'!$A$2:$A$131,0))),1,0),0)</f>
        <v>1</v>
      </c>
    </row>
    <row r="1402" customFormat="false" ht="15" hidden="false" customHeight="false" outlineLevel="0" collapsed="false">
      <c r="A1402" s="2" t="n">
        <v>1398</v>
      </c>
      <c r="B1402" s="2" t="s">
        <v>4302</v>
      </c>
      <c r="C1402" s="2" t="s">
        <v>4303</v>
      </c>
      <c r="D1402" s="2" t="s">
        <v>4304</v>
      </c>
      <c r="E1402" s="2" t="str">
        <f aca="false">LEFT(C1402,3)</f>
        <v>933</v>
      </c>
      <c r="F1402" s="2" t="str">
        <f aca="false">IF(D1402="","",LEFT(D1402,3))</f>
        <v>933</v>
      </c>
      <c r="G1402" s="2" t="str">
        <f aca="false">IF(F1402="","",IF(E1402=F1402,"Yes","No"))</f>
        <v>Yes</v>
      </c>
      <c r="H1402" s="2" t="n">
        <f aca="false">IF(D1402="",0,1/COUNTIF($D$2:$D$3451,D1402))</f>
        <v>1</v>
      </c>
      <c r="I1402" s="13" t="n">
        <f aca="false">IFERROR(INDEX('NCO-2015 scores'!$C$2:$C$131,MATCH(E1402,'NCO-2015 scores'!$A$2:$A$131,0)),0)</f>
        <v>0.17</v>
      </c>
      <c r="J1402" s="13" t="n">
        <f aca="false">IF(ISNUMBER(MATCH(E1402,'NCO-2015 scores'!$A$2:$A$131,0)),IF(ISNUMBER(INDEX('NCO-2015 scores'!$C$2:$C$131,MATCH(E1402,'NCO-2015 scores'!$A$2:$A$131,0))),1,0),0)</f>
        <v>1</v>
      </c>
    </row>
    <row r="1403" customFormat="false" ht="15" hidden="false" customHeight="false" outlineLevel="0" collapsed="false">
      <c r="A1403" s="2" t="n">
        <v>1399</v>
      </c>
      <c r="B1403" s="2" t="s">
        <v>4305</v>
      </c>
      <c r="C1403" s="2" t="s">
        <v>4306</v>
      </c>
      <c r="D1403" s="2" t="s">
        <v>4307</v>
      </c>
      <c r="E1403" s="2" t="str">
        <f aca="false">LEFT(C1403,3)</f>
        <v>933</v>
      </c>
      <c r="F1403" s="2" t="str">
        <f aca="false">IF(D1403="","",LEFT(D1403,3))</f>
        <v>933</v>
      </c>
      <c r="G1403" s="2" t="str">
        <f aca="false">IF(F1403="","",IF(E1403=F1403,"Yes","No"))</f>
        <v>Yes</v>
      </c>
      <c r="H1403" s="2" t="n">
        <f aca="false">IF(D1403="",0,1/COUNTIF($D$2:$D$3451,D1403))</f>
        <v>1</v>
      </c>
      <c r="I1403" s="13" t="n">
        <f aca="false">IFERROR(INDEX('NCO-2015 scores'!$C$2:$C$131,MATCH(E1403,'NCO-2015 scores'!$A$2:$A$131,0)),0)</f>
        <v>0.17</v>
      </c>
      <c r="J1403" s="13" t="n">
        <f aca="false">IF(ISNUMBER(MATCH(E1403,'NCO-2015 scores'!$A$2:$A$131,0)),IF(ISNUMBER(INDEX('NCO-2015 scores'!$C$2:$C$131,MATCH(E1403,'NCO-2015 scores'!$A$2:$A$131,0))),1,0),0)</f>
        <v>1</v>
      </c>
    </row>
    <row r="1404" customFormat="false" ht="15" hidden="false" customHeight="false" outlineLevel="0" collapsed="false">
      <c r="A1404" s="2" t="n">
        <v>1400</v>
      </c>
      <c r="B1404" s="2" t="s">
        <v>4308</v>
      </c>
      <c r="C1404" s="2" t="s">
        <v>4309</v>
      </c>
      <c r="D1404" s="2" t="s">
        <v>4310</v>
      </c>
      <c r="E1404" s="2" t="str">
        <f aca="false">LEFT(C1404,3)</f>
        <v>912</v>
      </c>
      <c r="F1404" s="2" t="str">
        <f aca="false">IF(D1404="","",LEFT(D1404,3))</f>
        <v>913</v>
      </c>
      <c r="G1404" s="2" t="str">
        <f aca="false">IF(F1404="","",IF(E1404=F1404,"Yes","No"))</f>
        <v>No</v>
      </c>
      <c r="H1404" s="2" t="n">
        <f aca="false">IF(D1404="",0,1/COUNTIF($D$2:$D$3451,D1404))</f>
        <v>1</v>
      </c>
      <c r="I1404" s="13" t="n">
        <f aca="false">IFERROR(INDEX('NCO-2015 scores'!$C$2:$C$131,MATCH(E1404,'NCO-2015 scores'!$A$2:$A$131,0)),0)</f>
        <v>0.11</v>
      </c>
      <c r="J1404" s="13" t="n">
        <f aca="false">IF(ISNUMBER(MATCH(E1404,'NCO-2015 scores'!$A$2:$A$131,0)),IF(ISNUMBER(INDEX('NCO-2015 scores'!$C$2:$C$131,MATCH(E1404,'NCO-2015 scores'!$A$2:$A$131,0))),1,0),0)</f>
        <v>1</v>
      </c>
    </row>
    <row r="1405" customFormat="false" ht="15" hidden="false" customHeight="false" outlineLevel="0" collapsed="false">
      <c r="A1405" s="2" t="n">
        <v>1401</v>
      </c>
      <c r="B1405" s="2" t="s">
        <v>4311</v>
      </c>
      <c r="C1405" s="2" t="s">
        <v>4312</v>
      </c>
      <c r="D1405" s="2" t="s">
        <v>4313</v>
      </c>
      <c r="E1405" s="2" t="str">
        <f aca="false">LEFT(C1405,3)</f>
        <v>912</v>
      </c>
      <c r="F1405" s="2" t="str">
        <f aca="false">IF(D1405="","",LEFT(D1405,3))</f>
        <v>913</v>
      </c>
      <c r="G1405" s="2" t="str">
        <f aca="false">IF(F1405="","",IF(E1405=F1405,"Yes","No"))</f>
        <v>No</v>
      </c>
      <c r="H1405" s="2" t="n">
        <f aca="false">IF(D1405="",0,1/COUNTIF($D$2:$D$3451,D1405))</f>
        <v>1</v>
      </c>
      <c r="I1405" s="13" t="n">
        <f aca="false">IFERROR(INDEX('NCO-2015 scores'!$C$2:$C$131,MATCH(E1405,'NCO-2015 scores'!$A$2:$A$131,0)),0)</f>
        <v>0.11</v>
      </c>
      <c r="J1405" s="13" t="n">
        <f aca="false">IF(ISNUMBER(MATCH(E1405,'NCO-2015 scores'!$A$2:$A$131,0)),IF(ISNUMBER(INDEX('NCO-2015 scores'!$C$2:$C$131,MATCH(E1405,'NCO-2015 scores'!$A$2:$A$131,0))),1,0),0)</f>
        <v>1</v>
      </c>
    </row>
    <row r="1406" customFormat="false" ht="15" hidden="false" customHeight="false" outlineLevel="0" collapsed="false">
      <c r="A1406" s="2" t="n">
        <v>1402</v>
      </c>
      <c r="B1406" s="2" t="s">
        <v>4314</v>
      </c>
      <c r="C1406" s="2" t="s">
        <v>4315</v>
      </c>
      <c r="D1406" s="2" t="s">
        <v>4316</v>
      </c>
      <c r="E1406" s="2" t="str">
        <f aca="false">LEFT(C1406,3)</f>
        <v>912</v>
      </c>
      <c r="F1406" s="2" t="str">
        <f aca="false">IF(D1406="","",LEFT(D1406,3))</f>
        <v>913</v>
      </c>
      <c r="G1406" s="2" t="str">
        <f aca="false">IF(F1406="","",IF(E1406=F1406,"Yes","No"))</f>
        <v>No</v>
      </c>
      <c r="H1406" s="2" t="n">
        <f aca="false">IF(D1406="",0,1/COUNTIF($D$2:$D$3451,D1406))</f>
        <v>1</v>
      </c>
      <c r="I1406" s="13" t="n">
        <f aca="false">IFERROR(INDEX('NCO-2015 scores'!$C$2:$C$131,MATCH(E1406,'NCO-2015 scores'!$A$2:$A$131,0)),0)</f>
        <v>0.11</v>
      </c>
      <c r="J1406" s="13" t="n">
        <f aca="false">IF(ISNUMBER(MATCH(E1406,'NCO-2015 scores'!$A$2:$A$131,0)),IF(ISNUMBER(INDEX('NCO-2015 scores'!$C$2:$C$131,MATCH(E1406,'NCO-2015 scores'!$A$2:$A$131,0))),1,0),0)</f>
        <v>1</v>
      </c>
    </row>
    <row r="1407" customFormat="false" ht="15" hidden="false" customHeight="false" outlineLevel="0" collapsed="false">
      <c r="A1407" s="2" t="n">
        <v>1403</v>
      </c>
      <c r="B1407" s="2" t="s">
        <v>4317</v>
      </c>
      <c r="C1407" s="2" t="s">
        <v>4318</v>
      </c>
      <c r="D1407" s="2" t="s">
        <v>4319</v>
      </c>
      <c r="E1407" s="2" t="str">
        <f aca="false">LEFT(C1407,3)</f>
        <v>912</v>
      </c>
      <c r="F1407" s="2" t="str">
        <f aca="false">IF(D1407="","",LEFT(D1407,3))</f>
        <v>913</v>
      </c>
      <c r="G1407" s="2" t="str">
        <f aca="false">IF(F1407="","",IF(E1407=F1407,"Yes","No"))</f>
        <v>No</v>
      </c>
      <c r="H1407" s="2" t="n">
        <f aca="false">IF(D1407="",0,1/COUNTIF($D$2:$D$3451,D1407))</f>
        <v>1</v>
      </c>
      <c r="I1407" s="13" t="n">
        <f aca="false">IFERROR(INDEX('NCO-2015 scores'!$C$2:$C$131,MATCH(E1407,'NCO-2015 scores'!$A$2:$A$131,0)),0)</f>
        <v>0.11</v>
      </c>
      <c r="J1407" s="13" t="n">
        <f aca="false">IF(ISNUMBER(MATCH(E1407,'NCO-2015 scores'!$A$2:$A$131,0)),IF(ISNUMBER(INDEX('NCO-2015 scores'!$C$2:$C$131,MATCH(E1407,'NCO-2015 scores'!$A$2:$A$131,0))),1,0),0)</f>
        <v>1</v>
      </c>
    </row>
    <row r="1408" customFormat="false" ht="15" hidden="false" customHeight="false" outlineLevel="0" collapsed="false">
      <c r="A1408" s="2" t="n">
        <v>1404</v>
      </c>
      <c r="B1408" s="2" t="s">
        <v>4320</v>
      </c>
      <c r="C1408" s="2" t="s">
        <v>4321</v>
      </c>
      <c r="D1408" s="2" t="s">
        <v>4322</v>
      </c>
      <c r="E1408" s="2" t="str">
        <f aca="false">LEFT(C1408,3)</f>
        <v>912</v>
      </c>
      <c r="F1408" s="2" t="str">
        <f aca="false">IF(D1408="","",LEFT(D1408,3))</f>
        <v>913</v>
      </c>
      <c r="G1408" s="2" t="str">
        <f aca="false">IF(F1408="","",IF(E1408=F1408,"Yes","No"))</f>
        <v>No</v>
      </c>
      <c r="H1408" s="2" t="n">
        <f aca="false">IF(D1408="",0,1/COUNTIF($D$2:$D$3451,D1408))</f>
        <v>1</v>
      </c>
      <c r="I1408" s="13" t="n">
        <f aca="false">IFERROR(INDEX('NCO-2015 scores'!$C$2:$C$131,MATCH(E1408,'NCO-2015 scores'!$A$2:$A$131,0)),0)</f>
        <v>0.11</v>
      </c>
      <c r="J1408" s="13" t="n">
        <f aca="false">IF(ISNUMBER(MATCH(E1408,'NCO-2015 scores'!$A$2:$A$131,0)),IF(ISNUMBER(INDEX('NCO-2015 scores'!$C$2:$C$131,MATCH(E1408,'NCO-2015 scores'!$A$2:$A$131,0))),1,0),0)</f>
        <v>1</v>
      </c>
    </row>
    <row r="1409" customFormat="false" ht="15" hidden="false" customHeight="false" outlineLevel="0" collapsed="false">
      <c r="A1409" s="2" t="n">
        <v>1405</v>
      </c>
      <c r="B1409" s="2" t="s">
        <v>4323</v>
      </c>
      <c r="C1409" s="2" t="s">
        <v>4324</v>
      </c>
      <c r="D1409" s="2" t="s">
        <v>4325</v>
      </c>
      <c r="E1409" s="2" t="str">
        <f aca="false">LEFT(C1409,3)</f>
        <v>912</v>
      </c>
      <c r="F1409" s="2" t="str">
        <f aca="false">IF(D1409="","",LEFT(D1409,3))</f>
        <v>913</v>
      </c>
      <c r="G1409" s="2" t="str">
        <f aca="false">IF(F1409="","",IF(E1409=F1409,"Yes","No"))</f>
        <v>No</v>
      </c>
      <c r="H1409" s="2" t="n">
        <f aca="false">IF(D1409="",0,1/COUNTIF($D$2:$D$3451,D1409))</f>
        <v>1</v>
      </c>
      <c r="I1409" s="13" t="n">
        <f aca="false">IFERROR(INDEX('NCO-2015 scores'!$C$2:$C$131,MATCH(E1409,'NCO-2015 scores'!$A$2:$A$131,0)),0)</f>
        <v>0.11</v>
      </c>
      <c r="J1409" s="13" t="n">
        <f aca="false">IF(ISNUMBER(MATCH(E1409,'NCO-2015 scores'!$A$2:$A$131,0)),IF(ISNUMBER(INDEX('NCO-2015 scores'!$C$2:$C$131,MATCH(E1409,'NCO-2015 scores'!$A$2:$A$131,0))),1,0),0)</f>
        <v>1</v>
      </c>
    </row>
    <row r="1410" customFormat="false" ht="15" hidden="false" customHeight="false" outlineLevel="0" collapsed="false">
      <c r="A1410" s="2" t="n">
        <v>1406</v>
      </c>
      <c r="B1410" s="2" t="s">
        <v>4326</v>
      </c>
      <c r="C1410" s="2" t="s">
        <v>4327</v>
      </c>
      <c r="D1410" s="2" t="s">
        <v>4328</v>
      </c>
      <c r="E1410" s="2" t="str">
        <f aca="false">LEFT(C1410,3)</f>
        <v>912</v>
      </c>
      <c r="F1410" s="2" t="str">
        <f aca="false">IF(D1410="","",LEFT(D1410,3))</f>
        <v>913</v>
      </c>
      <c r="G1410" s="2" t="str">
        <f aca="false">IF(F1410="","",IF(E1410=F1410,"Yes","No"))</f>
        <v>No</v>
      </c>
      <c r="H1410" s="2" t="n">
        <f aca="false">IF(D1410="",0,1/COUNTIF($D$2:$D$3451,D1410))</f>
        <v>1</v>
      </c>
      <c r="I1410" s="13" t="n">
        <f aca="false">IFERROR(INDEX('NCO-2015 scores'!$C$2:$C$131,MATCH(E1410,'NCO-2015 scores'!$A$2:$A$131,0)),0)</f>
        <v>0.11</v>
      </c>
      <c r="J1410" s="13" t="n">
        <f aca="false">IF(ISNUMBER(MATCH(E1410,'NCO-2015 scores'!$A$2:$A$131,0)),IF(ISNUMBER(INDEX('NCO-2015 scores'!$C$2:$C$131,MATCH(E1410,'NCO-2015 scores'!$A$2:$A$131,0))),1,0),0)</f>
        <v>1</v>
      </c>
    </row>
    <row r="1411" customFormat="false" ht="15" hidden="false" customHeight="false" outlineLevel="0" collapsed="false">
      <c r="A1411" s="2" t="n">
        <v>1407</v>
      </c>
      <c r="B1411" s="2" t="s">
        <v>4329</v>
      </c>
      <c r="C1411" s="2" t="s">
        <v>4330</v>
      </c>
      <c r="D1411" s="2" t="s">
        <v>4331</v>
      </c>
      <c r="E1411" s="2" t="str">
        <f aca="false">LEFT(C1411,3)</f>
        <v>912</v>
      </c>
      <c r="F1411" s="2" t="str">
        <f aca="false">IF(D1411="","",LEFT(D1411,3))</f>
        <v>913</v>
      </c>
      <c r="G1411" s="2" t="str">
        <f aca="false">IF(F1411="","",IF(E1411=F1411,"Yes","No"))</f>
        <v>No</v>
      </c>
      <c r="H1411" s="2" t="n">
        <f aca="false">IF(D1411="",0,1/COUNTIF($D$2:$D$3451,D1411))</f>
        <v>1</v>
      </c>
      <c r="I1411" s="13" t="n">
        <f aca="false">IFERROR(INDEX('NCO-2015 scores'!$C$2:$C$131,MATCH(E1411,'NCO-2015 scores'!$A$2:$A$131,0)),0)</f>
        <v>0.11</v>
      </c>
      <c r="J1411" s="13" t="n">
        <f aca="false">IF(ISNUMBER(MATCH(E1411,'NCO-2015 scores'!$A$2:$A$131,0)),IF(ISNUMBER(INDEX('NCO-2015 scores'!$C$2:$C$131,MATCH(E1411,'NCO-2015 scores'!$A$2:$A$131,0))),1,0),0)</f>
        <v>1</v>
      </c>
    </row>
    <row r="1412" customFormat="false" ht="15" hidden="false" customHeight="false" outlineLevel="0" collapsed="false">
      <c r="A1412" s="2" t="n">
        <v>1408</v>
      </c>
      <c r="B1412" s="2" t="s">
        <v>4332</v>
      </c>
      <c r="C1412" s="2" t="s">
        <v>4333</v>
      </c>
      <c r="D1412" s="2" t="s">
        <v>4334</v>
      </c>
      <c r="E1412" s="2" t="str">
        <f aca="false">LEFT(C1412,3)</f>
        <v>932</v>
      </c>
      <c r="F1412" s="2" t="str">
        <f aca="false">IF(D1412="","",LEFT(D1412,3))</f>
        <v>932</v>
      </c>
      <c r="G1412" s="2" t="str">
        <f aca="false">IF(F1412="","",IF(E1412=F1412,"Yes","No"))</f>
        <v>Yes</v>
      </c>
      <c r="H1412" s="2" t="n">
        <f aca="false">IF(D1412="",0,1/COUNTIF($D$2:$D$3451,D1412))</f>
        <v>1</v>
      </c>
      <c r="I1412" s="13" t="n">
        <f aca="false">IFERROR(INDEX('NCO-2015 scores'!$C$2:$C$131,MATCH(E1412,'NCO-2015 scores'!$A$2:$A$131,0)),0)</f>
        <v>0.16</v>
      </c>
      <c r="J1412" s="13" t="n">
        <f aca="false">IF(ISNUMBER(MATCH(E1412,'NCO-2015 scores'!$A$2:$A$131,0)),IF(ISNUMBER(INDEX('NCO-2015 scores'!$C$2:$C$131,MATCH(E1412,'NCO-2015 scores'!$A$2:$A$131,0))),1,0),0)</f>
        <v>1</v>
      </c>
    </row>
    <row r="1413" customFormat="false" ht="15" hidden="false" customHeight="false" outlineLevel="0" collapsed="false">
      <c r="A1413" s="2" t="n">
        <v>1409</v>
      </c>
      <c r="B1413" s="2" t="s">
        <v>4335</v>
      </c>
      <c r="C1413" s="2" t="s">
        <v>4336</v>
      </c>
      <c r="D1413" s="2" t="s">
        <v>4337</v>
      </c>
      <c r="E1413" s="2" t="str">
        <f aca="false">LEFT(C1413,3)</f>
        <v>932</v>
      </c>
      <c r="F1413" s="2" t="str">
        <f aca="false">IF(D1413="","",LEFT(D1413,3))</f>
        <v>932</v>
      </c>
      <c r="G1413" s="2" t="str">
        <f aca="false">IF(F1413="","",IF(E1413=F1413,"Yes","No"))</f>
        <v>Yes</v>
      </c>
      <c r="H1413" s="2" t="n">
        <f aca="false">IF(D1413="",0,1/COUNTIF($D$2:$D$3451,D1413))</f>
        <v>1</v>
      </c>
      <c r="I1413" s="13" t="n">
        <f aca="false">IFERROR(INDEX('NCO-2015 scores'!$C$2:$C$131,MATCH(E1413,'NCO-2015 scores'!$A$2:$A$131,0)),0)</f>
        <v>0.16</v>
      </c>
      <c r="J1413" s="13" t="n">
        <f aca="false">IF(ISNUMBER(MATCH(E1413,'NCO-2015 scores'!$A$2:$A$131,0)),IF(ISNUMBER(INDEX('NCO-2015 scores'!$C$2:$C$131,MATCH(E1413,'NCO-2015 scores'!$A$2:$A$131,0))),1,0),0)</f>
        <v>1</v>
      </c>
    </row>
    <row r="1414" customFormat="false" ht="15" hidden="false" customHeight="false" outlineLevel="0" collapsed="false">
      <c r="A1414" s="2" t="n">
        <v>1410</v>
      </c>
      <c r="B1414" s="2" t="s">
        <v>4338</v>
      </c>
      <c r="C1414" s="2" t="s">
        <v>4339</v>
      </c>
      <c r="D1414" s="2"/>
      <c r="E1414" s="2" t="str">
        <f aca="false">LEFT(C1414,3)</f>
        <v>932</v>
      </c>
      <c r="F1414" s="2" t="str">
        <f aca="false">IF(D1414="","",LEFT(D1414,3))</f>
        <v/>
      </c>
      <c r="G1414" s="2" t="str">
        <f aca="false">IF(F1414="","",IF(E1414=F1414,"Yes","No"))</f>
        <v/>
      </c>
      <c r="H1414" s="2" t="n">
        <f aca="false">IF(D1414="",0,1/COUNTIF($D$2:$D$3451,D1414))</f>
        <v>0</v>
      </c>
      <c r="I1414" s="13" t="n">
        <f aca="false">IFERROR(INDEX('NCO-2015 scores'!$C$2:$C$131,MATCH(E1414,'NCO-2015 scores'!$A$2:$A$131,0)),0)</f>
        <v>0.16</v>
      </c>
      <c r="J1414" s="13" t="n">
        <f aca="false">IF(ISNUMBER(MATCH(E1414,'NCO-2015 scores'!$A$2:$A$131,0)),IF(ISNUMBER(INDEX('NCO-2015 scores'!$C$2:$C$131,MATCH(E1414,'NCO-2015 scores'!$A$2:$A$131,0))),1,0),0)</f>
        <v>1</v>
      </c>
    </row>
    <row r="1415" customFormat="false" ht="15" hidden="false" customHeight="false" outlineLevel="0" collapsed="false">
      <c r="A1415" s="2" t="n">
        <v>1411</v>
      </c>
      <c r="B1415" s="2" t="s">
        <v>4340</v>
      </c>
      <c r="C1415" s="2" t="s">
        <v>4341</v>
      </c>
      <c r="D1415" s="2"/>
      <c r="E1415" s="2" t="str">
        <f aca="false">LEFT(C1415,3)</f>
        <v>932</v>
      </c>
      <c r="F1415" s="2" t="str">
        <f aca="false">IF(D1415="","",LEFT(D1415,3))</f>
        <v/>
      </c>
      <c r="G1415" s="2" t="str">
        <f aca="false">IF(F1415="","",IF(E1415=F1415,"Yes","No"))</f>
        <v/>
      </c>
      <c r="H1415" s="2" t="n">
        <f aca="false">IF(D1415="",0,1/COUNTIF($D$2:$D$3451,D1415))</f>
        <v>0</v>
      </c>
      <c r="I1415" s="13" t="n">
        <f aca="false">IFERROR(INDEX('NCO-2015 scores'!$C$2:$C$131,MATCH(E1415,'NCO-2015 scores'!$A$2:$A$131,0)),0)</f>
        <v>0.16</v>
      </c>
      <c r="J1415" s="13" t="n">
        <f aca="false">IF(ISNUMBER(MATCH(E1415,'NCO-2015 scores'!$A$2:$A$131,0)),IF(ISNUMBER(INDEX('NCO-2015 scores'!$C$2:$C$131,MATCH(E1415,'NCO-2015 scores'!$A$2:$A$131,0))),1,0),0)</f>
        <v>1</v>
      </c>
    </row>
    <row r="1416" customFormat="false" ht="15" hidden="false" customHeight="false" outlineLevel="0" collapsed="false">
      <c r="A1416" s="2" t="n">
        <v>1412</v>
      </c>
      <c r="B1416" s="2" t="s">
        <v>4342</v>
      </c>
      <c r="C1416" s="2" t="s">
        <v>4343</v>
      </c>
      <c r="D1416" s="2" t="s">
        <v>4344</v>
      </c>
      <c r="E1416" s="2" t="str">
        <f aca="false">LEFT(C1416,3)</f>
        <v>932</v>
      </c>
      <c r="F1416" s="2" t="str">
        <f aca="false">IF(D1416="","",LEFT(D1416,3))</f>
        <v>932</v>
      </c>
      <c r="G1416" s="2" t="str">
        <f aca="false">IF(F1416="","",IF(E1416=F1416,"Yes","No"))</f>
        <v>Yes</v>
      </c>
      <c r="H1416" s="2" t="n">
        <f aca="false">IF(D1416="",0,1/COUNTIF($D$2:$D$3451,D1416))</f>
        <v>1</v>
      </c>
      <c r="I1416" s="13" t="n">
        <f aca="false">IFERROR(INDEX('NCO-2015 scores'!$C$2:$C$131,MATCH(E1416,'NCO-2015 scores'!$A$2:$A$131,0)),0)</f>
        <v>0.16</v>
      </c>
      <c r="J1416" s="13" t="n">
        <f aca="false">IF(ISNUMBER(MATCH(E1416,'NCO-2015 scores'!$A$2:$A$131,0)),IF(ISNUMBER(INDEX('NCO-2015 scores'!$C$2:$C$131,MATCH(E1416,'NCO-2015 scores'!$A$2:$A$131,0))),1,0),0)</f>
        <v>1</v>
      </c>
    </row>
    <row r="1417" customFormat="false" ht="15" hidden="false" customHeight="false" outlineLevel="0" collapsed="false">
      <c r="A1417" s="2" t="n">
        <v>1413</v>
      </c>
      <c r="B1417" s="2" t="s">
        <v>4345</v>
      </c>
      <c r="C1417" s="2" t="s">
        <v>4346</v>
      </c>
      <c r="D1417" s="2" t="s">
        <v>4347</v>
      </c>
      <c r="E1417" s="2" t="str">
        <f aca="false">LEFT(C1417,3)</f>
        <v>932</v>
      </c>
      <c r="F1417" s="2" t="str">
        <f aca="false">IF(D1417="","",LEFT(D1417,3))</f>
        <v>932</v>
      </c>
      <c r="G1417" s="2" t="str">
        <f aca="false">IF(F1417="","",IF(E1417=F1417,"Yes","No"))</f>
        <v>Yes</v>
      </c>
      <c r="H1417" s="2" t="n">
        <f aca="false">IF(D1417="",0,1/COUNTIF($D$2:$D$3451,D1417))</f>
        <v>1</v>
      </c>
      <c r="I1417" s="13" t="n">
        <f aca="false">IFERROR(INDEX('NCO-2015 scores'!$C$2:$C$131,MATCH(E1417,'NCO-2015 scores'!$A$2:$A$131,0)),0)</f>
        <v>0.16</v>
      </c>
      <c r="J1417" s="13" t="n">
        <f aca="false">IF(ISNUMBER(MATCH(E1417,'NCO-2015 scores'!$A$2:$A$131,0)),IF(ISNUMBER(INDEX('NCO-2015 scores'!$C$2:$C$131,MATCH(E1417,'NCO-2015 scores'!$A$2:$A$131,0))),1,0),0)</f>
        <v>1</v>
      </c>
    </row>
    <row r="1418" customFormat="false" ht="15" hidden="false" customHeight="false" outlineLevel="0" collapsed="false">
      <c r="A1418" s="2" t="n">
        <v>1414</v>
      </c>
      <c r="B1418" s="2" t="s">
        <v>4348</v>
      </c>
      <c r="C1418" s="2" t="s">
        <v>4349</v>
      </c>
      <c r="D1418" s="2"/>
      <c r="E1418" s="2" t="str">
        <f aca="false">LEFT(C1418,3)</f>
        <v>932</v>
      </c>
      <c r="F1418" s="2" t="str">
        <f aca="false">IF(D1418="","",LEFT(D1418,3))</f>
        <v/>
      </c>
      <c r="G1418" s="2" t="str">
        <f aca="false">IF(F1418="","",IF(E1418=F1418,"Yes","No"))</f>
        <v/>
      </c>
      <c r="H1418" s="2" t="n">
        <f aca="false">IF(D1418="",0,1/COUNTIF($D$2:$D$3451,D1418))</f>
        <v>0</v>
      </c>
      <c r="I1418" s="13" t="n">
        <f aca="false">IFERROR(INDEX('NCO-2015 scores'!$C$2:$C$131,MATCH(E1418,'NCO-2015 scores'!$A$2:$A$131,0)),0)</f>
        <v>0.16</v>
      </c>
      <c r="J1418" s="13" t="n">
        <f aca="false">IF(ISNUMBER(MATCH(E1418,'NCO-2015 scores'!$A$2:$A$131,0)),IF(ISNUMBER(INDEX('NCO-2015 scores'!$C$2:$C$131,MATCH(E1418,'NCO-2015 scores'!$A$2:$A$131,0))),1,0),0)</f>
        <v>1</v>
      </c>
    </row>
    <row r="1419" customFormat="false" ht="15" hidden="false" customHeight="false" outlineLevel="0" collapsed="false">
      <c r="A1419" s="2" t="n">
        <v>1415</v>
      </c>
      <c r="B1419" s="2" t="s">
        <v>4350</v>
      </c>
      <c r="C1419" s="2" t="s">
        <v>4351</v>
      </c>
      <c r="D1419" s="2" t="s">
        <v>4352</v>
      </c>
      <c r="E1419" s="2" t="str">
        <f aca="false">LEFT(C1419,3)</f>
        <v>932</v>
      </c>
      <c r="F1419" s="2" t="str">
        <f aca="false">IF(D1419="","",LEFT(D1419,3))</f>
        <v>932</v>
      </c>
      <c r="G1419" s="2" t="str">
        <f aca="false">IF(F1419="","",IF(E1419=F1419,"Yes","No"))</f>
        <v>Yes</v>
      </c>
      <c r="H1419" s="2" t="n">
        <f aca="false">IF(D1419="",0,1/COUNTIF($D$2:$D$3451,D1419))</f>
        <v>1</v>
      </c>
      <c r="I1419" s="13" t="n">
        <f aca="false">IFERROR(INDEX('NCO-2015 scores'!$C$2:$C$131,MATCH(E1419,'NCO-2015 scores'!$A$2:$A$131,0)),0)</f>
        <v>0.16</v>
      </c>
      <c r="J1419" s="13" t="n">
        <f aca="false">IF(ISNUMBER(MATCH(E1419,'NCO-2015 scores'!$A$2:$A$131,0)),IF(ISNUMBER(INDEX('NCO-2015 scores'!$C$2:$C$131,MATCH(E1419,'NCO-2015 scores'!$A$2:$A$131,0))),1,0),0)</f>
        <v>1</v>
      </c>
    </row>
    <row r="1420" customFormat="false" ht="15" hidden="false" customHeight="false" outlineLevel="0" collapsed="false">
      <c r="A1420" s="2" t="n">
        <v>1416</v>
      </c>
      <c r="B1420" s="2" t="s">
        <v>4353</v>
      </c>
      <c r="C1420" s="2" t="s">
        <v>4354</v>
      </c>
      <c r="D1420" s="2"/>
      <c r="E1420" s="2" t="str">
        <f aca="false">LEFT(C1420,3)</f>
        <v>932</v>
      </c>
      <c r="F1420" s="2" t="str">
        <f aca="false">IF(D1420="","",LEFT(D1420,3))</f>
        <v/>
      </c>
      <c r="G1420" s="2" t="str">
        <f aca="false">IF(F1420="","",IF(E1420=F1420,"Yes","No"))</f>
        <v/>
      </c>
      <c r="H1420" s="2" t="n">
        <f aca="false">IF(D1420="",0,1/COUNTIF($D$2:$D$3451,D1420))</f>
        <v>0</v>
      </c>
      <c r="I1420" s="13" t="n">
        <f aca="false">IFERROR(INDEX('NCO-2015 scores'!$C$2:$C$131,MATCH(E1420,'NCO-2015 scores'!$A$2:$A$131,0)),0)</f>
        <v>0.16</v>
      </c>
      <c r="J1420" s="13" t="n">
        <f aca="false">IF(ISNUMBER(MATCH(E1420,'NCO-2015 scores'!$A$2:$A$131,0)),IF(ISNUMBER(INDEX('NCO-2015 scores'!$C$2:$C$131,MATCH(E1420,'NCO-2015 scores'!$A$2:$A$131,0))),1,0),0)</f>
        <v>1</v>
      </c>
    </row>
    <row r="1421" customFormat="false" ht="15" hidden="false" customHeight="false" outlineLevel="0" collapsed="false">
      <c r="A1421" s="2" t="n">
        <v>1417</v>
      </c>
      <c r="B1421" s="2" t="s">
        <v>4355</v>
      </c>
      <c r="C1421" s="2" t="s">
        <v>4356</v>
      </c>
      <c r="D1421" s="2" t="s">
        <v>4357</v>
      </c>
      <c r="E1421" s="2" t="str">
        <f aca="false">LEFT(C1421,3)</f>
        <v>932</v>
      </c>
      <c r="F1421" s="2" t="str">
        <f aca="false">IF(D1421="","",LEFT(D1421,3))</f>
        <v>932</v>
      </c>
      <c r="G1421" s="2" t="str">
        <f aca="false">IF(F1421="","",IF(E1421=F1421,"Yes","No"))</f>
        <v>Yes</v>
      </c>
      <c r="H1421" s="2" t="n">
        <f aca="false">IF(D1421="",0,1/COUNTIF($D$2:$D$3451,D1421))</f>
        <v>1</v>
      </c>
      <c r="I1421" s="13" t="n">
        <f aca="false">IFERROR(INDEX('NCO-2015 scores'!$C$2:$C$131,MATCH(E1421,'NCO-2015 scores'!$A$2:$A$131,0)),0)</f>
        <v>0.16</v>
      </c>
      <c r="J1421" s="13" t="n">
        <f aca="false">IF(ISNUMBER(MATCH(E1421,'NCO-2015 scores'!$A$2:$A$131,0)),IF(ISNUMBER(INDEX('NCO-2015 scores'!$C$2:$C$131,MATCH(E1421,'NCO-2015 scores'!$A$2:$A$131,0))),1,0),0)</f>
        <v>1</v>
      </c>
    </row>
    <row r="1422" customFormat="false" ht="15" hidden="false" customHeight="false" outlineLevel="0" collapsed="false">
      <c r="A1422" s="2" t="n">
        <v>1418</v>
      </c>
      <c r="B1422" s="2" t="s">
        <v>4358</v>
      </c>
      <c r="C1422" s="2" t="s">
        <v>4359</v>
      </c>
      <c r="D1422" s="2" t="s">
        <v>4360</v>
      </c>
      <c r="E1422" s="2" t="str">
        <f aca="false">LEFT(C1422,3)</f>
        <v>932</v>
      </c>
      <c r="F1422" s="2" t="str">
        <f aca="false">IF(D1422="","",LEFT(D1422,3))</f>
        <v>932</v>
      </c>
      <c r="G1422" s="2" t="str">
        <f aca="false">IF(F1422="","",IF(E1422=F1422,"Yes","No"))</f>
        <v>Yes</v>
      </c>
      <c r="H1422" s="2" t="n">
        <f aca="false">IF(D1422="",0,1/COUNTIF($D$2:$D$3451,D1422))</f>
        <v>1</v>
      </c>
      <c r="I1422" s="13" t="n">
        <f aca="false">IFERROR(INDEX('NCO-2015 scores'!$C$2:$C$131,MATCH(E1422,'NCO-2015 scores'!$A$2:$A$131,0)),0)</f>
        <v>0.16</v>
      </c>
      <c r="J1422" s="13" t="n">
        <f aca="false">IF(ISNUMBER(MATCH(E1422,'NCO-2015 scores'!$A$2:$A$131,0)),IF(ISNUMBER(INDEX('NCO-2015 scores'!$C$2:$C$131,MATCH(E1422,'NCO-2015 scores'!$A$2:$A$131,0))),1,0),0)</f>
        <v>1</v>
      </c>
    </row>
    <row r="1423" customFormat="false" ht="15" hidden="false" customHeight="false" outlineLevel="0" collapsed="false">
      <c r="A1423" s="2" t="n">
        <v>1419</v>
      </c>
      <c r="B1423" s="2" t="s">
        <v>4361</v>
      </c>
      <c r="C1423" s="2" t="s">
        <v>4362</v>
      </c>
      <c r="D1423" s="2"/>
      <c r="E1423" s="2" t="str">
        <f aca="false">LEFT(C1423,3)</f>
        <v>932</v>
      </c>
      <c r="F1423" s="2" t="str">
        <f aca="false">IF(D1423="","",LEFT(D1423,3))</f>
        <v/>
      </c>
      <c r="G1423" s="2" t="str">
        <f aca="false">IF(F1423="","",IF(E1423=F1423,"Yes","No"))</f>
        <v/>
      </c>
      <c r="H1423" s="2" t="n">
        <f aca="false">IF(D1423="",0,1/COUNTIF($D$2:$D$3451,D1423))</f>
        <v>0</v>
      </c>
      <c r="I1423" s="13" t="n">
        <f aca="false">IFERROR(INDEX('NCO-2015 scores'!$C$2:$C$131,MATCH(E1423,'NCO-2015 scores'!$A$2:$A$131,0)),0)</f>
        <v>0.16</v>
      </c>
      <c r="J1423" s="13" t="n">
        <f aca="false">IF(ISNUMBER(MATCH(E1423,'NCO-2015 scores'!$A$2:$A$131,0)),IF(ISNUMBER(INDEX('NCO-2015 scores'!$C$2:$C$131,MATCH(E1423,'NCO-2015 scores'!$A$2:$A$131,0))),1,0),0)</f>
        <v>1</v>
      </c>
    </row>
    <row r="1424" customFormat="false" ht="15" hidden="false" customHeight="false" outlineLevel="0" collapsed="false">
      <c r="A1424" s="2" t="n">
        <v>1420</v>
      </c>
      <c r="B1424" s="2" t="s">
        <v>4363</v>
      </c>
      <c r="C1424" s="2" t="s">
        <v>4364</v>
      </c>
      <c r="D1424" s="2" t="s">
        <v>4365</v>
      </c>
      <c r="E1424" s="2" t="str">
        <f aca="false">LEFT(C1424,3)</f>
        <v>932</v>
      </c>
      <c r="F1424" s="2" t="str">
        <f aca="false">IF(D1424="","",LEFT(D1424,3))</f>
        <v>932</v>
      </c>
      <c r="G1424" s="2" t="str">
        <f aca="false">IF(F1424="","",IF(E1424=F1424,"Yes","No"))</f>
        <v>Yes</v>
      </c>
      <c r="H1424" s="2" t="n">
        <f aca="false">IF(D1424="",0,1/COUNTIF($D$2:$D$3451,D1424))</f>
        <v>1</v>
      </c>
      <c r="I1424" s="13" t="n">
        <f aca="false">IFERROR(INDEX('NCO-2015 scores'!$C$2:$C$131,MATCH(E1424,'NCO-2015 scores'!$A$2:$A$131,0)),0)</f>
        <v>0.16</v>
      </c>
      <c r="J1424" s="13" t="n">
        <f aca="false">IF(ISNUMBER(MATCH(E1424,'NCO-2015 scores'!$A$2:$A$131,0)),IF(ISNUMBER(INDEX('NCO-2015 scores'!$C$2:$C$131,MATCH(E1424,'NCO-2015 scores'!$A$2:$A$131,0))),1,0),0)</f>
        <v>1</v>
      </c>
    </row>
    <row r="1425" customFormat="false" ht="15" hidden="false" customHeight="false" outlineLevel="0" collapsed="false">
      <c r="A1425" s="2" t="n">
        <v>1421</v>
      </c>
      <c r="B1425" s="2" t="s">
        <v>4366</v>
      </c>
      <c r="C1425" s="2" t="s">
        <v>4367</v>
      </c>
      <c r="D1425" s="2" t="s">
        <v>4368</v>
      </c>
      <c r="E1425" s="2" t="str">
        <f aca="false">LEFT(C1425,3)</f>
        <v>731</v>
      </c>
      <c r="F1425" s="2" t="str">
        <f aca="false">IF(D1425="","",LEFT(D1425,3))</f>
        <v>733</v>
      </c>
      <c r="G1425" s="2" t="str">
        <f aca="false">IF(F1425="","",IF(E1425=F1425,"Yes","No"))</f>
        <v>No</v>
      </c>
      <c r="H1425" s="2" t="n">
        <f aca="false">IF(D1425="",0,1/COUNTIF($D$2:$D$3451,D1425))</f>
        <v>1</v>
      </c>
      <c r="I1425" s="13" t="n">
        <f aca="false">IFERROR(INDEX('NCO-2015 scores'!$C$2:$C$131,MATCH(E1425,'NCO-2015 scores'!$A$2:$A$131,0)),0)</f>
        <v>0.1688</v>
      </c>
      <c r="J1425" s="13" t="n">
        <f aca="false">IF(ISNUMBER(MATCH(E1425,'NCO-2015 scores'!$A$2:$A$131,0)),IF(ISNUMBER(INDEX('NCO-2015 scores'!$C$2:$C$131,MATCH(E1425,'NCO-2015 scores'!$A$2:$A$131,0))),1,0),0)</f>
        <v>1</v>
      </c>
    </row>
    <row r="1426" customFormat="false" ht="15" hidden="false" customHeight="false" outlineLevel="0" collapsed="false">
      <c r="A1426" s="2" t="n">
        <v>1422</v>
      </c>
      <c r="B1426" s="2" t="s">
        <v>4369</v>
      </c>
      <c r="C1426" s="2" t="s">
        <v>4370</v>
      </c>
      <c r="D1426" s="2" t="s">
        <v>4371</v>
      </c>
      <c r="E1426" s="2" t="str">
        <f aca="false">LEFT(C1426,3)</f>
        <v>731</v>
      </c>
      <c r="F1426" s="2" t="str">
        <f aca="false">IF(D1426="","",LEFT(D1426,3))</f>
        <v>733</v>
      </c>
      <c r="G1426" s="2" t="str">
        <f aca="false">IF(F1426="","",IF(E1426=F1426,"Yes","No"))</f>
        <v>No</v>
      </c>
      <c r="H1426" s="2" t="n">
        <f aca="false">IF(D1426="",0,1/COUNTIF($D$2:$D$3451,D1426))</f>
        <v>1</v>
      </c>
      <c r="I1426" s="13" t="n">
        <f aca="false">IFERROR(INDEX('NCO-2015 scores'!$C$2:$C$131,MATCH(E1426,'NCO-2015 scores'!$A$2:$A$131,0)),0)</f>
        <v>0.1688</v>
      </c>
      <c r="J1426" s="13" t="n">
        <f aca="false">IF(ISNUMBER(MATCH(E1426,'NCO-2015 scores'!$A$2:$A$131,0)),IF(ISNUMBER(INDEX('NCO-2015 scores'!$C$2:$C$131,MATCH(E1426,'NCO-2015 scores'!$A$2:$A$131,0))),1,0),0)</f>
        <v>1</v>
      </c>
    </row>
    <row r="1427" customFormat="false" ht="15" hidden="false" customHeight="false" outlineLevel="0" collapsed="false">
      <c r="A1427" s="2" t="n">
        <v>1423</v>
      </c>
      <c r="B1427" s="2" t="s">
        <v>4372</v>
      </c>
      <c r="C1427" s="2" t="s">
        <v>4373</v>
      </c>
      <c r="D1427" s="2" t="s">
        <v>4374</v>
      </c>
      <c r="E1427" s="2" t="str">
        <f aca="false">LEFT(C1427,3)</f>
        <v>731</v>
      </c>
      <c r="F1427" s="2" t="str">
        <f aca="false">IF(D1427="","",LEFT(D1427,3))</f>
        <v>733</v>
      </c>
      <c r="G1427" s="2" t="str">
        <f aca="false">IF(F1427="","",IF(E1427=F1427,"Yes","No"))</f>
        <v>No</v>
      </c>
      <c r="H1427" s="2" t="n">
        <f aca="false">IF(D1427="",0,1/COUNTIF($D$2:$D$3451,D1427))</f>
        <v>1</v>
      </c>
      <c r="I1427" s="13" t="n">
        <f aca="false">IFERROR(INDEX('NCO-2015 scores'!$C$2:$C$131,MATCH(E1427,'NCO-2015 scores'!$A$2:$A$131,0)),0)</f>
        <v>0.1688</v>
      </c>
      <c r="J1427" s="13" t="n">
        <f aca="false">IF(ISNUMBER(MATCH(E1427,'NCO-2015 scores'!$A$2:$A$131,0)),IF(ISNUMBER(INDEX('NCO-2015 scores'!$C$2:$C$131,MATCH(E1427,'NCO-2015 scores'!$A$2:$A$131,0))),1,0),0)</f>
        <v>1</v>
      </c>
    </row>
    <row r="1428" customFormat="false" ht="15" hidden="false" customHeight="false" outlineLevel="0" collapsed="false">
      <c r="A1428" s="2" t="n">
        <v>1424</v>
      </c>
      <c r="B1428" s="2" t="s">
        <v>4375</v>
      </c>
      <c r="C1428" s="2" t="s">
        <v>4376</v>
      </c>
      <c r="D1428" s="2" t="s">
        <v>4377</v>
      </c>
      <c r="E1428" s="2" t="str">
        <f aca="false">LEFT(C1428,3)</f>
        <v>731</v>
      </c>
      <c r="F1428" s="2" t="str">
        <f aca="false">IF(D1428="","",LEFT(D1428,3))</f>
        <v>733</v>
      </c>
      <c r="G1428" s="2" t="str">
        <f aca="false">IF(F1428="","",IF(E1428=F1428,"Yes","No"))</f>
        <v>No</v>
      </c>
      <c r="H1428" s="2" t="n">
        <f aca="false">IF(D1428="",0,1/COUNTIF($D$2:$D$3451,D1428))</f>
        <v>1</v>
      </c>
      <c r="I1428" s="13" t="n">
        <f aca="false">IFERROR(INDEX('NCO-2015 scores'!$C$2:$C$131,MATCH(E1428,'NCO-2015 scores'!$A$2:$A$131,0)),0)</f>
        <v>0.1688</v>
      </c>
      <c r="J1428" s="13" t="n">
        <f aca="false">IF(ISNUMBER(MATCH(E1428,'NCO-2015 scores'!$A$2:$A$131,0)),IF(ISNUMBER(INDEX('NCO-2015 scores'!$C$2:$C$131,MATCH(E1428,'NCO-2015 scores'!$A$2:$A$131,0))),1,0),0)</f>
        <v>1</v>
      </c>
    </row>
    <row r="1429" customFormat="false" ht="15" hidden="false" customHeight="false" outlineLevel="0" collapsed="false">
      <c r="A1429" s="2" t="n">
        <v>1425</v>
      </c>
      <c r="B1429" s="2" t="s">
        <v>4378</v>
      </c>
      <c r="C1429" s="2" t="s">
        <v>4379</v>
      </c>
      <c r="D1429" s="2" t="s">
        <v>4380</v>
      </c>
      <c r="E1429" s="2" t="str">
        <f aca="false">LEFT(C1429,3)</f>
        <v>731</v>
      </c>
      <c r="F1429" s="2" t="str">
        <f aca="false">IF(D1429="","",LEFT(D1429,3))</f>
        <v>743</v>
      </c>
      <c r="G1429" s="2" t="str">
        <f aca="false">IF(F1429="","",IF(E1429=F1429,"Yes","No"))</f>
        <v>No</v>
      </c>
      <c r="H1429" s="2" t="n">
        <f aca="false">IF(D1429="",0,1/COUNTIF($D$2:$D$3451,D1429))</f>
        <v>1</v>
      </c>
      <c r="I1429" s="13" t="n">
        <f aca="false">IFERROR(INDEX('NCO-2015 scores'!$C$2:$C$131,MATCH(E1429,'NCO-2015 scores'!$A$2:$A$131,0)),0)</f>
        <v>0.1688</v>
      </c>
      <c r="J1429" s="13" t="n">
        <f aca="false">IF(ISNUMBER(MATCH(E1429,'NCO-2015 scores'!$A$2:$A$131,0)),IF(ISNUMBER(INDEX('NCO-2015 scores'!$C$2:$C$131,MATCH(E1429,'NCO-2015 scores'!$A$2:$A$131,0))),1,0),0)</f>
        <v>1</v>
      </c>
    </row>
    <row r="1430" customFormat="false" ht="15" hidden="false" customHeight="false" outlineLevel="0" collapsed="false">
      <c r="A1430" s="2" t="n">
        <v>1426</v>
      </c>
      <c r="B1430" s="2" t="s">
        <v>4381</v>
      </c>
      <c r="C1430" s="2" t="s">
        <v>4382</v>
      </c>
      <c r="D1430" s="2" t="s">
        <v>4383</v>
      </c>
      <c r="E1430" s="2" t="str">
        <f aca="false">LEFT(C1430,3)</f>
        <v>731</v>
      </c>
      <c r="F1430" s="2" t="str">
        <f aca="false">IF(D1430="","",LEFT(D1430,3))</f>
        <v>733</v>
      </c>
      <c r="G1430" s="2" t="str">
        <f aca="false">IF(F1430="","",IF(E1430=F1430,"Yes","No"))</f>
        <v>No</v>
      </c>
      <c r="H1430" s="2" t="n">
        <f aca="false">IF(D1430="",0,1/COUNTIF($D$2:$D$3451,D1430))</f>
        <v>1</v>
      </c>
      <c r="I1430" s="13" t="n">
        <f aca="false">IFERROR(INDEX('NCO-2015 scores'!$C$2:$C$131,MATCH(E1430,'NCO-2015 scores'!$A$2:$A$131,0)),0)</f>
        <v>0.1688</v>
      </c>
      <c r="J1430" s="13" t="n">
        <f aca="false">IF(ISNUMBER(MATCH(E1430,'NCO-2015 scores'!$A$2:$A$131,0)),IF(ISNUMBER(INDEX('NCO-2015 scores'!$C$2:$C$131,MATCH(E1430,'NCO-2015 scores'!$A$2:$A$131,0))),1,0),0)</f>
        <v>1</v>
      </c>
    </row>
    <row r="1431" customFormat="false" ht="15" hidden="false" customHeight="false" outlineLevel="0" collapsed="false">
      <c r="A1431" s="2" t="n">
        <v>1427</v>
      </c>
      <c r="B1431" s="2" t="s">
        <v>4384</v>
      </c>
      <c r="C1431" s="2" t="s">
        <v>4385</v>
      </c>
      <c r="D1431" s="2" t="s">
        <v>4386</v>
      </c>
      <c r="E1431" s="2" t="str">
        <f aca="false">LEFT(C1431,3)</f>
        <v>731</v>
      </c>
      <c r="F1431" s="2" t="str">
        <f aca="false">IF(D1431="","",LEFT(D1431,3))</f>
        <v>743</v>
      </c>
      <c r="G1431" s="2" t="str">
        <f aca="false">IF(F1431="","",IF(E1431=F1431,"Yes","No"))</f>
        <v>No</v>
      </c>
      <c r="H1431" s="2" t="n">
        <f aca="false">IF(D1431="",0,1/COUNTIF($D$2:$D$3451,D1431))</f>
        <v>1</v>
      </c>
      <c r="I1431" s="13" t="n">
        <f aca="false">IFERROR(INDEX('NCO-2015 scores'!$C$2:$C$131,MATCH(E1431,'NCO-2015 scores'!$A$2:$A$131,0)),0)</f>
        <v>0.1688</v>
      </c>
      <c r="J1431" s="13" t="n">
        <f aca="false">IF(ISNUMBER(MATCH(E1431,'NCO-2015 scores'!$A$2:$A$131,0)),IF(ISNUMBER(INDEX('NCO-2015 scores'!$C$2:$C$131,MATCH(E1431,'NCO-2015 scores'!$A$2:$A$131,0))),1,0),0)</f>
        <v>1</v>
      </c>
    </row>
    <row r="1432" customFormat="false" ht="15" hidden="false" customHeight="false" outlineLevel="0" collapsed="false">
      <c r="A1432" s="2" t="n">
        <v>1428</v>
      </c>
      <c r="B1432" s="2" t="s">
        <v>4387</v>
      </c>
      <c r="C1432" s="2" t="s">
        <v>4388</v>
      </c>
      <c r="D1432" s="2" t="s">
        <v>4389</v>
      </c>
      <c r="E1432" s="2" t="str">
        <f aca="false">LEFT(C1432,3)</f>
        <v>731</v>
      </c>
      <c r="F1432" s="2" t="str">
        <f aca="false">IF(D1432="","",LEFT(D1432,3))</f>
        <v>743</v>
      </c>
      <c r="G1432" s="2" t="str">
        <f aca="false">IF(F1432="","",IF(E1432=F1432,"Yes","No"))</f>
        <v>No</v>
      </c>
      <c r="H1432" s="2" t="n">
        <f aca="false">IF(D1432="",0,1/COUNTIF($D$2:$D$3451,D1432))</f>
        <v>1</v>
      </c>
      <c r="I1432" s="13" t="n">
        <f aca="false">IFERROR(INDEX('NCO-2015 scores'!$C$2:$C$131,MATCH(E1432,'NCO-2015 scores'!$A$2:$A$131,0)),0)</f>
        <v>0.1688</v>
      </c>
      <c r="J1432" s="13" t="n">
        <f aca="false">IF(ISNUMBER(MATCH(E1432,'NCO-2015 scores'!$A$2:$A$131,0)),IF(ISNUMBER(INDEX('NCO-2015 scores'!$C$2:$C$131,MATCH(E1432,'NCO-2015 scores'!$A$2:$A$131,0))),1,0),0)</f>
        <v>1</v>
      </c>
    </row>
    <row r="1433" customFormat="false" ht="15" hidden="false" customHeight="false" outlineLevel="0" collapsed="false">
      <c r="A1433" s="2" t="n">
        <v>1429</v>
      </c>
      <c r="B1433" s="2" t="s">
        <v>4390</v>
      </c>
      <c r="C1433" s="2" t="s">
        <v>4391</v>
      </c>
      <c r="D1433" s="2" t="s">
        <v>4392</v>
      </c>
      <c r="E1433" s="2" t="str">
        <f aca="false">LEFT(C1433,3)</f>
        <v>731</v>
      </c>
      <c r="F1433" s="2" t="str">
        <f aca="false">IF(D1433="","",LEFT(D1433,3))</f>
        <v>743</v>
      </c>
      <c r="G1433" s="2" t="str">
        <f aca="false">IF(F1433="","",IF(E1433=F1433,"Yes","No"))</f>
        <v>No</v>
      </c>
      <c r="H1433" s="2" t="n">
        <f aca="false">IF(D1433="",0,1/COUNTIF($D$2:$D$3451,D1433))</f>
        <v>1</v>
      </c>
      <c r="I1433" s="13" t="n">
        <f aca="false">IFERROR(INDEX('NCO-2015 scores'!$C$2:$C$131,MATCH(E1433,'NCO-2015 scores'!$A$2:$A$131,0)),0)</f>
        <v>0.1688</v>
      </c>
      <c r="J1433" s="13" t="n">
        <f aca="false">IF(ISNUMBER(MATCH(E1433,'NCO-2015 scores'!$A$2:$A$131,0)),IF(ISNUMBER(INDEX('NCO-2015 scores'!$C$2:$C$131,MATCH(E1433,'NCO-2015 scores'!$A$2:$A$131,0))),1,0),0)</f>
        <v>1</v>
      </c>
    </row>
    <row r="1434" customFormat="false" ht="15" hidden="false" customHeight="false" outlineLevel="0" collapsed="false">
      <c r="A1434" s="2" t="n">
        <v>1430</v>
      </c>
      <c r="B1434" s="2" t="s">
        <v>4393</v>
      </c>
      <c r="C1434" s="2" t="s">
        <v>4394</v>
      </c>
      <c r="D1434" s="2" t="s">
        <v>4395</v>
      </c>
      <c r="E1434" s="2" t="str">
        <f aca="false">LEFT(C1434,3)</f>
        <v>731</v>
      </c>
      <c r="F1434" s="2" t="str">
        <f aca="false">IF(D1434="","",LEFT(D1434,3))</f>
        <v>743</v>
      </c>
      <c r="G1434" s="2" t="str">
        <f aca="false">IF(F1434="","",IF(E1434=F1434,"Yes","No"))</f>
        <v>No</v>
      </c>
      <c r="H1434" s="2" t="n">
        <f aca="false">IF(D1434="",0,1/COUNTIF($D$2:$D$3451,D1434))</f>
        <v>1</v>
      </c>
      <c r="I1434" s="13" t="n">
        <f aca="false">IFERROR(INDEX('NCO-2015 scores'!$C$2:$C$131,MATCH(E1434,'NCO-2015 scores'!$A$2:$A$131,0)),0)</f>
        <v>0.1688</v>
      </c>
      <c r="J1434" s="13" t="n">
        <f aca="false">IF(ISNUMBER(MATCH(E1434,'NCO-2015 scores'!$A$2:$A$131,0)),IF(ISNUMBER(INDEX('NCO-2015 scores'!$C$2:$C$131,MATCH(E1434,'NCO-2015 scores'!$A$2:$A$131,0))),1,0),0)</f>
        <v>1</v>
      </c>
    </row>
    <row r="1435" customFormat="false" ht="15" hidden="false" customHeight="false" outlineLevel="0" collapsed="false">
      <c r="A1435" s="2" t="n">
        <v>1431</v>
      </c>
      <c r="B1435" s="2" t="s">
        <v>4396</v>
      </c>
      <c r="C1435" s="2" t="s">
        <v>4397</v>
      </c>
      <c r="D1435" s="2" t="s">
        <v>4398</v>
      </c>
      <c r="E1435" s="2" t="str">
        <f aca="false">LEFT(C1435,3)</f>
        <v>731</v>
      </c>
      <c r="F1435" s="2" t="str">
        <f aca="false">IF(D1435="","",LEFT(D1435,3))</f>
        <v>743</v>
      </c>
      <c r="G1435" s="2" t="str">
        <f aca="false">IF(F1435="","",IF(E1435=F1435,"Yes","No"))</f>
        <v>No</v>
      </c>
      <c r="H1435" s="2" t="n">
        <f aca="false">IF(D1435="",0,1/COUNTIF($D$2:$D$3451,D1435))</f>
        <v>1</v>
      </c>
      <c r="I1435" s="13" t="n">
        <f aca="false">IFERROR(INDEX('NCO-2015 scores'!$C$2:$C$131,MATCH(E1435,'NCO-2015 scores'!$A$2:$A$131,0)),0)</f>
        <v>0.1688</v>
      </c>
      <c r="J1435" s="13" t="n">
        <f aca="false">IF(ISNUMBER(MATCH(E1435,'NCO-2015 scores'!$A$2:$A$131,0)),IF(ISNUMBER(INDEX('NCO-2015 scores'!$C$2:$C$131,MATCH(E1435,'NCO-2015 scores'!$A$2:$A$131,0))),1,0),0)</f>
        <v>1</v>
      </c>
    </row>
    <row r="1436" customFormat="false" ht="15" hidden="false" customHeight="false" outlineLevel="0" collapsed="false">
      <c r="A1436" s="2" t="n">
        <v>1432</v>
      </c>
      <c r="B1436" s="2" t="s">
        <v>4399</v>
      </c>
      <c r="C1436" s="2" t="s">
        <v>4400</v>
      </c>
      <c r="D1436" s="2" t="s">
        <v>4401</v>
      </c>
      <c r="E1436" s="2" t="str">
        <f aca="false">LEFT(C1436,3)</f>
        <v>731</v>
      </c>
      <c r="F1436" s="2" t="str">
        <f aca="false">IF(D1436="","",LEFT(D1436,3))</f>
        <v>743</v>
      </c>
      <c r="G1436" s="2" t="str">
        <f aca="false">IF(F1436="","",IF(E1436=F1436,"Yes","No"))</f>
        <v>No</v>
      </c>
      <c r="H1436" s="2" t="n">
        <f aca="false">IF(D1436="",0,1/COUNTIF($D$2:$D$3451,D1436))</f>
        <v>1</v>
      </c>
      <c r="I1436" s="13" t="n">
        <f aca="false">IFERROR(INDEX('NCO-2015 scores'!$C$2:$C$131,MATCH(E1436,'NCO-2015 scores'!$A$2:$A$131,0)),0)</f>
        <v>0.1688</v>
      </c>
      <c r="J1436" s="13" t="n">
        <f aca="false">IF(ISNUMBER(MATCH(E1436,'NCO-2015 scores'!$A$2:$A$131,0)),IF(ISNUMBER(INDEX('NCO-2015 scores'!$C$2:$C$131,MATCH(E1436,'NCO-2015 scores'!$A$2:$A$131,0))),1,0),0)</f>
        <v>1</v>
      </c>
    </row>
    <row r="1437" customFormat="false" ht="15" hidden="false" customHeight="false" outlineLevel="0" collapsed="false">
      <c r="A1437" s="2" t="n">
        <v>1433</v>
      </c>
      <c r="B1437" s="2" t="s">
        <v>4402</v>
      </c>
      <c r="C1437" s="2" t="s">
        <v>4403</v>
      </c>
      <c r="D1437" s="2" t="s">
        <v>4404</v>
      </c>
      <c r="E1437" s="2" t="str">
        <f aca="false">LEFT(C1437,3)</f>
        <v>731</v>
      </c>
      <c r="F1437" s="2" t="str">
        <f aca="false">IF(D1437="","",LEFT(D1437,3))</f>
        <v>743</v>
      </c>
      <c r="G1437" s="2" t="str">
        <f aca="false">IF(F1437="","",IF(E1437=F1437,"Yes","No"))</f>
        <v>No</v>
      </c>
      <c r="H1437" s="2" t="n">
        <f aca="false">IF(D1437="",0,1/COUNTIF($D$2:$D$3451,D1437))</f>
        <v>1</v>
      </c>
      <c r="I1437" s="13" t="n">
        <f aca="false">IFERROR(INDEX('NCO-2015 scores'!$C$2:$C$131,MATCH(E1437,'NCO-2015 scores'!$A$2:$A$131,0)),0)</f>
        <v>0.1688</v>
      </c>
      <c r="J1437" s="13" t="n">
        <f aca="false">IF(ISNUMBER(MATCH(E1437,'NCO-2015 scores'!$A$2:$A$131,0)),IF(ISNUMBER(INDEX('NCO-2015 scores'!$C$2:$C$131,MATCH(E1437,'NCO-2015 scores'!$A$2:$A$131,0))),1,0),0)</f>
        <v>1</v>
      </c>
    </row>
    <row r="1438" customFormat="false" ht="15" hidden="false" customHeight="false" outlineLevel="0" collapsed="false">
      <c r="A1438" s="2" t="n">
        <v>1434</v>
      </c>
      <c r="B1438" s="2" t="s">
        <v>4405</v>
      </c>
      <c r="C1438" s="2" t="s">
        <v>4406</v>
      </c>
      <c r="D1438" s="2" t="s">
        <v>4407</v>
      </c>
      <c r="E1438" s="2" t="str">
        <f aca="false">LEFT(C1438,3)</f>
        <v>731</v>
      </c>
      <c r="F1438" s="2" t="str">
        <f aca="false">IF(D1438="","",LEFT(D1438,3))</f>
        <v>733</v>
      </c>
      <c r="G1438" s="2" t="str">
        <f aca="false">IF(F1438="","",IF(E1438=F1438,"Yes","No"))</f>
        <v>No</v>
      </c>
      <c r="H1438" s="2" t="n">
        <f aca="false">IF(D1438="",0,1/COUNTIF($D$2:$D$3451,D1438))</f>
        <v>1</v>
      </c>
      <c r="I1438" s="13" t="n">
        <f aca="false">IFERROR(INDEX('NCO-2015 scores'!$C$2:$C$131,MATCH(E1438,'NCO-2015 scores'!$A$2:$A$131,0)),0)</f>
        <v>0.1688</v>
      </c>
      <c r="J1438" s="13" t="n">
        <f aca="false">IF(ISNUMBER(MATCH(E1438,'NCO-2015 scores'!$A$2:$A$131,0)),IF(ISNUMBER(INDEX('NCO-2015 scores'!$C$2:$C$131,MATCH(E1438,'NCO-2015 scores'!$A$2:$A$131,0))),1,0),0)</f>
        <v>1</v>
      </c>
    </row>
    <row r="1439" customFormat="false" ht="15" hidden="false" customHeight="false" outlineLevel="0" collapsed="false">
      <c r="A1439" s="2" t="n">
        <v>1435</v>
      </c>
      <c r="B1439" s="2" t="s">
        <v>4408</v>
      </c>
      <c r="C1439" s="2" t="s">
        <v>4409</v>
      </c>
      <c r="D1439" s="2" t="s">
        <v>4410</v>
      </c>
      <c r="E1439" s="2" t="str">
        <f aca="false">LEFT(C1439,3)</f>
        <v>731</v>
      </c>
      <c r="F1439" s="2" t="str">
        <f aca="false">IF(D1439="","",LEFT(D1439,3))</f>
        <v>743</v>
      </c>
      <c r="G1439" s="2" t="str">
        <f aca="false">IF(F1439="","",IF(E1439=F1439,"Yes","No"))</f>
        <v>No</v>
      </c>
      <c r="H1439" s="2" t="n">
        <f aca="false">IF(D1439="",0,1/COUNTIF($D$2:$D$3451,D1439))</f>
        <v>1</v>
      </c>
      <c r="I1439" s="13" t="n">
        <f aca="false">IFERROR(INDEX('NCO-2015 scores'!$C$2:$C$131,MATCH(E1439,'NCO-2015 scores'!$A$2:$A$131,0)),0)</f>
        <v>0.1688</v>
      </c>
      <c r="J1439" s="13" t="n">
        <f aca="false">IF(ISNUMBER(MATCH(E1439,'NCO-2015 scores'!$A$2:$A$131,0)),IF(ISNUMBER(INDEX('NCO-2015 scores'!$C$2:$C$131,MATCH(E1439,'NCO-2015 scores'!$A$2:$A$131,0))),1,0),0)</f>
        <v>1</v>
      </c>
    </row>
    <row r="1440" customFormat="false" ht="15" hidden="false" customHeight="false" outlineLevel="0" collapsed="false">
      <c r="A1440" s="2" t="n">
        <v>1436</v>
      </c>
      <c r="B1440" s="2" t="s">
        <v>4411</v>
      </c>
      <c r="C1440" s="2" t="s">
        <v>4412</v>
      </c>
      <c r="D1440" s="2" t="s">
        <v>4413</v>
      </c>
      <c r="E1440" s="2" t="str">
        <f aca="false">LEFT(C1440,3)</f>
        <v>731</v>
      </c>
      <c r="F1440" s="2" t="str">
        <f aca="false">IF(D1440="","",LEFT(D1440,3))</f>
        <v>733</v>
      </c>
      <c r="G1440" s="2" t="str">
        <f aca="false">IF(F1440="","",IF(E1440=F1440,"Yes","No"))</f>
        <v>No</v>
      </c>
      <c r="H1440" s="2" t="n">
        <f aca="false">IF(D1440="",0,1/COUNTIF($D$2:$D$3451,D1440))</f>
        <v>1</v>
      </c>
      <c r="I1440" s="13" t="n">
        <f aca="false">IFERROR(INDEX('NCO-2015 scores'!$C$2:$C$131,MATCH(E1440,'NCO-2015 scores'!$A$2:$A$131,0)),0)</f>
        <v>0.1688</v>
      </c>
      <c r="J1440" s="13" t="n">
        <f aca="false">IF(ISNUMBER(MATCH(E1440,'NCO-2015 scores'!$A$2:$A$131,0)),IF(ISNUMBER(INDEX('NCO-2015 scores'!$C$2:$C$131,MATCH(E1440,'NCO-2015 scores'!$A$2:$A$131,0))),1,0),0)</f>
        <v>1</v>
      </c>
    </row>
    <row r="1441" customFormat="false" ht="15" hidden="false" customHeight="false" outlineLevel="0" collapsed="false">
      <c r="A1441" s="2" t="n">
        <v>1437</v>
      </c>
      <c r="B1441" s="2" t="s">
        <v>4414</v>
      </c>
      <c r="C1441" s="2" t="s">
        <v>4415</v>
      </c>
      <c r="D1441" s="2" t="s">
        <v>4416</v>
      </c>
      <c r="E1441" s="2" t="str">
        <f aca="false">LEFT(C1441,3)</f>
        <v>731</v>
      </c>
      <c r="F1441" s="2" t="str">
        <f aca="false">IF(D1441="","",LEFT(D1441,3))</f>
        <v>743</v>
      </c>
      <c r="G1441" s="2" t="str">
        <f aca="false">IF(F1441="","",IF(E1441=F1441,"Yes","No"))</f>
        <v>No</v>
      </c>
      <c r="H1441" s="2" t="n">
        <f aca="false">IF(D1441="",0,1/COUNTIF($D$2:$D$3451,D1441))</f>
        <v>1</v>
      </c>
      <c r="I1441" s="13" t="n">
        <f aca="false">IFERROR(INDEX('NCO-2015 scores'!$C$2:$C$131,MATCH(E1441,'NCO-2015 scores'!$A$2:$A$131,0)),0)</f>
        <v>0.1688</v>
      </c>
      <c r="J1441" s="13" t="n">
        <f aca="false">IF(ISNUMBER(MATCH(E1441,'NCO-2015 scores'!$A$2:$A$131,0)),IF(ISNUMBER(INDEX('NCO-2015 scores'!$C$2:$C$131,MATCH(E1441,'NCO-2015 scores'!$A$2:$A$131,0))),1,0),0)</f>
        <v>1</v>
      </c>
    </row>
    <row r="1442" customFormat="false" ht="15" hidden="false" customHeight="false" outlineLevel="0" collapsed="false">
      <c r="A1442" s="2" t="n">
        <v>1438</v>
      </c>
      <c r="B1442" s="2" t="s">
        <v>4417</v>
      </c>
      <c r="C1442" s="2" t="s">
        <v>4418</v>
      </c>
      <c r="D1442" s="2" t="s">
        <v>4419</v>
      </c>
      <c r="E1442" s="2" t="str">
        <f aca="false">LEFT(C1442,3)</f>
        <v>731</v>
      </c>
      <c r="F1442" s="2" t="str">
        <f aca="false">IF(D1442="","",LEFT(D1442,3))</f>
        <v>743</v>
      </c>
      <c r="G1442" s="2" t="str">
        <f aca="false">IF(F1442="","",IF(E1442=F1442,"Yes","No"))</f>
        <v>No</v>
      </c>
      <c r="H1442" s="2" t="n">
        <f aca="false">IF(D1442="",0,1/COUNTIF($D$2:$D$3451,D1442))</f>
        <v>1</v>
      </c>
      <c r="I1442" s="13" t="n">
        <f aca="false">IFERROR(INDEX('NCO-2015 scores'!$C$2:$C$131,MATCH(E1442,'NCO-2015 scores'!$A$2:$A$131,0)),0)</f>
        <v>0.1688</v>
      </c>
      <c r="J1442" s="13" t="n">
        <f aca="false">IF(ISNUMBER(MATCH(E1442,'NCO-2015 scores'!$A$2:$A$131,0)),IF(ISNUMBER(INDEX('NCO-2015 scores'!$C$2:$C$131,MATCH(E1442,'NCO-2015 scores'!$A$2:$A$131,0))),1,0),0)</f>
        <v>1</v>
      </c>
    </row>
    <row r="1443" customFormat="false" ht="15" hidden="false" customHeight="false" outlineLevel="0" collapsed="false">
      <c r="A1443" s="2" t="n">
        <v>1439</v>
      </c>
      <c r="B1443" s="2" t="s">
        <v>4420</v>
      </c>
      <c r="C1443" s="2" t="s">
        <v>4421</v>
      </c>
      <c r="D1443" s="2" t="s">
        <v>4422</v>
      </c>
      <c r="E1443" s="2" t="str">
        <f aca="false">LEFT(C1443,3)</f>
        <v>731</v>
      </c>
      <c r="F1443" s="2" t="str">
        <f aca="false">IF(D1443="","",LEFT(D1443,3))</f>
        <v>743</v>
      </c>
      <c r="G1443" s="2" t="str">
        <f aca="false">IF(F1443="","",IF(E1443=F1443,"Yes","No"))</f>
        <v>No</v>
      </c>
      <c r="H1443" s="2" t="n">
        <f aca="false">IF(D1443="",0,1/COUNTIF($D$2:$D$3451,D1443))</f>
        <v>1</v>
      </c>
      <c r="I1443" s="13" t="n">
        <f aca="false">IFERROR(INDEX('NCO-2015 scores'!$C$2:$C$131,MATCH(E1443,'NCO-2015 scores'!$A$2:$A$131,0)),0)</f>
        <v>0.1688</v>
      </c>
      <c r="J1443" s="13" t="n">
        <f aca="false">IF(ISNUMBER(MATCH(E1443,'NCO-2015 scores'!$A$2:$A$131,0)),IF(ISNUMBER(INDEX('NCO-2015 scores'!$C$2:$C$131,MATCH(E1443,'NCO-2015 scores'!$A$2:$A$131,0))),1,0),0)</f>
        <v>1</v>
      </c>
    </row>
    <row r="1444" customFormat="false" ht="15" hidden="false" customHeight="false" outlineLevel="0" collapsed="false">
      <c r="A1444" s="2" t="n">
        <v>1440</v>
      </c>
      <c r="B1444" s="2" t="s">
        <v>4423</v>
      </c>
      <c r="C1444" s="2" t="s">
        <v>4424</v>
      </c>
      <c r="D1444" s="2" t="s">
        <v>4425</v>
      </c>
      <c r="E1444" s="2" t="str">
        <f aca="false">LEFT(C1444,3)</f>
        <v>731</v>
      </c>
      <c r="F1444" s="2" t="str">
        <f aca="false">IF(D1444="","",LEFT(D1444,3))</f>
        <v>743</v>
      </c>
      <c r="G1444" s="2" t="str">
        <f aca="false">IF(F1444="","",IF(E1444=F1444,"Yes","No"))</f>
        <v>No</v>
      </c>
      <c r="H1444" s="2" t="n">
        <f aca="false">IF(D1444="",0,1/COUNTIF($D$2:$D$3451,D1444))</f>
        <v>1</v>
      </c>
      <c r="I1444" s="13" t="n">
        <f aca="false">IFERROR(INDEX('NCO-2015 scores'!$C$2:$C$131,MATCH(E1444,'NCO-2015 scores'!$A$2:$A$131,0)),0)</f>
        <v>0.1688</v>
      </c>
      <c r="J1444" s="13" t="n">
        <f aca="false">IF(ISNUMBER(MATCH(E1444,'NCO-2015 scores'!$A$2:$A$131,0)),IF(ISNUMBER(INDEX('NCO-2015 scores'!$C$2:$C$131,MATCH(E1444,'NCO-2015 scores'!$A$2:$A$131,0))),1,0),0)</f>
        <v>1</v>
      </c>
    </row>
    <row r="1445" customFormat="false" ht="15" hidden="false" customHeight="false" outlineLevel="0" collapsed="false">
      <c r="A1445" s="2" t="n">
        <v>1441</v>
      </c>
      <c r="B1445" s="2" t="s">
        <v>4426</v>
      </c>
      <c r="C1445" s="2" t="s">
        <v>4427</v>
      </c>
      <c r="D1445" s="2" t="s">
        <v>4428</v>
      </c>
      <c r="E1445" s="2" t="str">
        <f aca="false">LEFT(C1445,3)</f>
        <v>731</v>
      </c>
      <c r="F1445" s="2" t="str">
        <f aca="false">IF(D1445="","",LEFT(D1445,3))</f>
        <v>743</v>
      </c>
      <c r="G1445" s="2" t="str">
        <f aca="false">IF(F1445="","",IF(E1445=F1445,"Yes","No"))</f>
        <v>No</v>
      </c>
      <c r="H1445" s="2" t="n">
        <f aca="false">IF(D1445="",0,1/COUNTIF($D$2:$D$3451,D1445))</f>
        <v>1</v>
      </c>
      <c r="I1445" s="13" t="n">
        <f aca="false">IFERROR(INDEX('NCO-2015 scores'!$C$2:$C$131,MATCH(E1445,'NCO-2015 scores'!$A$2:$A$131,0)),0)</f>
        <v>0.1688</v>
      </c>
      <c r="J1445" s="13" t="n">
        <f aca="false">IF(ISNUMBER(MATCH(E1445,'NCO-2015 scores'!$A$2:$A$131,0)),IF(ISNUMBER(INDEX('NCO-2015 scores'!$C$2:$C$131,MATCH(E1445,'NCO-2015 scores'!$A$2:$A$131,0))),1,0),0)</f>
        <v>1</v>
      </c>
    </row>
    <row r="1446" customFormat="false" ht="15" hidden="false" customHeight="false" outlineLevel="0" collapsed="false">
      <c r="A1446" s="2" t="n">
        <v>1442</v>
      </c>
      <c r="B1446" s="2" t="s">
        <v>4429</v>
      </c>
      <c r="C1446" s="2" t="s">
        <v>4430</v>
      </c>
      <c r="D1446" s="2" t="s">
        <v>4431</v>
      </c>
      <c r="E1446" s="2" t="str">
        <f aca="false">LEFT(C1446,3)</f>
        <v>731</v>
      </c>
      <c r="F1446" s="2" t="str">
        <f aca="false">IF(D1446="","",LEFT(D1446,3))</f>
        <v>743</v>
      </c>
      <c r="G1446" s="2" t="str">
        <f aca="false">IF(F1446="","",IF(E1446=F1446,"Yes","No"))</f>
        <v>No</v>
      </c>
      <c r="H1446" s="2" t="n">
        <f aca="false">IF(D1446="",0,1/COUNTIF($D$2:$D$3451,D1446))</f>
        <v>1</v>
      </c>
      <c r="I1446" s="13" t="n">
        <f aca="false">IFERROR(INDEX('NCO-2015 scores'!$C$2:$C$131,MATCH(E1446,'NCO-2015 scores'!$A$2:$A$131,0)),0)</f>
        <v>0.1688</v>
      </c>
      <c r="J1446" s="13" t="n">
        <f aca="false">IF(ISNUMBER(MATCH(E1446,'NCO-2015 scores'!$A$2:$A$131,0)),IF(ISNUMBER(INDEX('NCO-2015 scores'!$C$2:$C$131,MATCH(E1446,'NCO-2015 scores'!$A$2:$A$131,0))),1,0),0)</f>
        <v>1</v>
      </c>
    </row>
    <row r="1447" customFormat="false" ht="15" hidden="false" customHeight="false" outlineLevel="0" collapsed="false">
      <c r="A1447" s="2" t="n">
        <v>1443</v>
      </c>
      <c r="B1447" s="2" t="s">
        <v>4432</v>
      </c>
      <c r="C1447" s="2" t="s">
        <v>4433</v>
      </c>
      <c r="D1447" s="2" t="s">
        <v>4434</v>
      </c>
      <c r="E1447" s="2" t="str">
        <f aca="false">LEFT(C1447,3)</f>
        <v>731</v>
      </c>
      <c r="F1447" s="2" t="str">
        <f aca="false">IF(D1447="","",LEFT(D1447,3))</f>
        <v>743</v>
      </c>
      <c r="G1447" s="2" t="str">
        <f aca="false">IF(F1447="","",IF(E1447=F1447,"Yes","No"))</f>
        <v>No</v>
      </c>
      <c r="H1447" s="2" t="n">
        <f aca="false">IF(D1447="",0,1/COUNTIF($D$2:$D$3451,D1447))</f>
        <v>1</v>
      </c>
      <c r="I1447" s="13" t="n">
        <f aca="false">IFERROR(INDEX('NCO-2015 scores'!$C$2:$C$131,MATCH(E1447,'NCO-2015 scores'!$A$2:$A$131,0)),0)</f>
        <v>0.1688</v>
      </c>
      <c r="J1447" s="13" t="n">
        <f aca="false">IF(ISNUMBER(MATCH(E1447,'NCO-2015 scores'!$A$2:$A$131,0)),IF(ISNUMBER(INDEX('NCO-2015 scores'!$C$2:$C$131,MATCH(E1447,'NCO-2015 scores'!$A$2:$A$131,0))),1,0),0)</f>
        <v>1</v>
      </c>
    </row>
    <row r="1448" customFormat="false" ht="15" hidden="false" customHeight="false" outlineLevel="0" collapsed="false">
      <c r="A1448" s="2" t="n">
        <v>1444</v>
      </c>
      <c r="B1448" s="2" t="s">
        <v>4435</v>
      </c>
      <c r="C1448" s="2" t="s">
        <v>4436</v>
      </c>
      <c r="D1448" s="2" t="s">
        <v>4437</v>
      </c>
      <c r="E1448" s="2" t="str">
        <f aca="false">LEFT(C1448,3)</f>
        <v>731</v>
      </c>
      <c r="F1448" s="2" t="str">
        <f aca="false">IF(D1448="","",LEFT(D1448,3))</f>
        <v>743</v>
      </c>
      <c r="G1448" s="2" t="str">
        <f aca="false">IF(F1448="","",IF(E1448=F1448,"Yes","No"))</f>
        <v>No</v>
      </c>
      <c r="H1448" s="2" t="n">
        <f aca="false">IF(D1448="",0,1/COUNTIF($D$2:$D$3451,D1448))</f>
        <v>1</v>
      </c>
      <c r="I1448" s="13" t="n">
        <f aca="false">IFERROR(INDEX('NCO-2015 scores'!$C$2:$C$131,MATCH(E1448,'NCO-2015 scores'!$A$2:$A$131,0)),0)</f>
        <v>0.1688</v>
      </c>
      <c r="J1448" s="13" t="n">
        <f aca="false">IF(ISNUMBER(MATCH(E1448,'NCO-2015 scores'!$A$2:$A$131,0)),IF(ISNUMBER(INDEX('NCO-2015 scores'!$C$2:$C$131,MATCH(E1448,'NCO-2015 scores'!$A$2:$A$131,0))),1,0),0)</f>
        <v>1</v>
      </c>
    </row>
    <row r="1449" customFormat="false" ht="15" hidden="false" customHeight="false" outlineLevel="0" collapsed="false">
      <c r="A1449" s="2" t="n">
        <v>1445</v>
      </c>
      <c r="B1449" s="2" t="s">
        <v>4438</v>
      </c>
      <c r="C1449" s="2" t="s">
        <v>4439</v>
      </c>
      <c r="D1449" s="2" t="s">
        <v>4440</v>
      </c>
      <c r="E1449" s="2" t="str">
        <f aca="false">LEFT(C1449,3)</f>
        <v>731</v>
      </c>
      <c r="F1449" s="2" t="str">
        <f aca="false">IF(D1449="","",LEFT(D1449,3))</f>
        <v>743</v>
      </c>
      <c r="G1449" s="2" t="str">
        <f aca="false">IF(F1449="","",IF(E1449=F1449,"Yes","No"))</f>
        <v>No</v>
      </c>
      <c r="H1449" s="2" t="n">
        <f aca="false">IF(D1449="",0,1/COUNTIF($D$2:$D$3451,D1449))</f>
        <v>1</v>
      </c>
      <c r="I1449" s="13" t="n">
        <f aca="false">IFERROR(INDEX('NCO-2015 scores'!$C$2:$C$131,MATCH(E1449,'NCO-2015 scores'!$A$2:$A$131,0)),0)</f>
        <v>0.1688</v>
      </c>
      <c r="J1449" s="13" t="n">
        <f aca="false">IF(ISNUMBER(MATCH(E1449,'NCO-2015 scores'!$A$2:$A$131,0)),IF(ISNUMBER(INDEX('NCO-2015 scores'!$C$2:$C$131,MATCH(E1449,'NCO-2015 scores'!$A$2:$A$131,0))),1,0),0)</f>
        <v>1</v>
      </c>
    </row>
    <row r="1450" customFormat="false" ht="15" hidden="false" customHeight="false" outlineLevel="0" collapsed="false">
      <c r="A1450" s="2" t="n">
        <v>1446</v>
      </c>
      <c r="B1450" s="2" t="s">
        <v>4441</v>
      </c>
      <c r="C1450" s="2" t="s">
        <v>4442</v>
      </c>
      <c r="D1450" s="2" t="s">
        <v>4443</v>
      </c>
      <c r="E1450" s="2" t="str">
        <f aca="false">LEFT(C1450,3)</f>
        <v>731</v>
      </c>
      <c r="F1450" s="2" t="str">
        <f aca="false">IF(D1450="","",LEFT(D1450,3))</f>
        <v>743</v>
      </c>
      <c r="G1450" s="2" t="str">
        <f aca="false">IF(F1450="","",IF(E1450=F1450,"Yes","No"))</f>
        <v>No</v>
      </c>
      <c r="H1450" s="2" t="n">
        <f aca="false">IF(D1450="",0,1/COUNTIF($D$2:$D$3451,D1450))</f>
        <v>1</v>
      </c>
      <c r="I1450" s="13" t="n">
        <f aca="false">IFERROR(INDEX('NCO-2015 scores'!$C$2:$C$131,MATCH(E1450,'NCO-2015 scores'!$A$2:$A$131,0)),0)</f>
        <v>0.1688</v>
      </c>
      <c r="J1450" s="13" t="n">
        <f aca="false">IF(ISNUMBER(MATCH(E1450,'NCO-2015 scores'!$A$2:$A$131,0)),IF(ISNUMBER(INDEX('NCO-2015 scores'!$C$2:$C$131,MATCH(E1450,'NCO-2015 scores'!$A$2:$A$131,0))),1,0),0)</f>
        <v>1</v>
      </c>
    </row>
    <row r="1451" customFormat="false" ht="15" hidden="false" customHeight="false" outlineLevel="0" collapsed="false">
      <c r="A1451" s="2" t="n">
        <v>1447</v>
      </c>
      <c r="B1451" s="2" t="s">
        <v>4444</v>
      </c>
      <c r="C1451" s="2" t="s">
        <v>4445</v>
      </c>
      <c r="D1451" s="2" t="s">
        <v>4446</v>
      </c>
      <c r="E1451" s="2" t="str">
        <f aca="false">LEFT(C1451,3)</f>
        <v>731</v>
      </c>
      <c r="F1451" s="2" t="str">
        <f aca="false">IF(D1451="","",LEFT(D1451,3))</f>
        <v>743</v>
      </c>
      <c r="G1451" s="2" t="str">
        <f aca="false">IF(F1451="","",IF(E1451=F1451,"Yes","No"))</f>
        <v>No</v>
      </c>
      <c r="H1451" s="2" t="n">
        <f aca="false">IF(D1451="",0,1/COUNTIF($D$2:$D$3451,D1451))</f>
        <v>1</v>
      </c>
      <c r="I1451" s="13" t="n">
        <f aca="false">IFERROR(INDEX('NCO-2015 scores'!$C$2:$C$131,MATCH(E1451,'NCO-2015 scores'!$A$2:$A$131,0)),0)</f>
        <v>0.1688</v>
      </c>
      <c r="J1451" s="13" t="n">
        <f aca="false">IF(ISNUMBER(MATCH(E1451,'NCO-2015 scores'!$A$2:$A$131,0)),IF(ISNUMBER(INDEX('NCO-2015 scores'!$C$2:$C$131,MATCH(E1451,'NCO-2015 scores'!$A$2:$A$131,0))),1,0),0)</f>
        <v>1</v>
      </c>
    </row>
    <row r="1452" customFormat="false" ht="15" hidden="false" customHeight="false" outlineLevel="0" collapsed="false">
      <c r="A1452" s="2" t="n">
        <v>1448</v>
      </c>
      <c r="B1452" s="2" t="s">
        <v>4447</v>
      </c>
      <c r="C1452" s="2" t="s">
        <v>4448</v>
      </c>
      <c r="D1452" s="2" t="s">
        <v>4449</v>
      </c>
      <c r="E1452" s="2" t="str">
        <f aca="false">LEFT(C1452,3)</f>
        <v>731</v>
      </c>
      <c r="F1452" s="2" t="str">
        <f aca="false">IF(D1452="","",LEFT(D1452,3))</f>
        <v>743</v>
      </c>
      <c r="G1452" s="2" t="str">
        <f aca="false">IF(F1452="","",IF(E1452=F1452,"Yes","No"))</f>
        <v>No</v>
      </c>
      <c r="H1452" s="2" t="n">
        <f aca="false">IF(D1452="",0,1/COUNTIF($D$2:$D$3451,D1452))</f>
        <v>1</v>
      </c>
      <c r="I1452" s="13" t="n">
        <f aca="false">IFERROR(INDEX('NCO-2015 scores'!$C$2:$C$131,MATCH(E1452,'NCO-2015 scores'!$A$2:$A$131,0)),0)</f>
        <v>0.1688</v>
      </c>
      <c r="J1452" s="13" t="n">
        <f aca="false">IF(ISNUMBER(MATCH(E1452,'NCO-2015 scores'!$A$2:$A$131,0)),IF(ISNUMBER(INDEX('NCO-2015 scores'!$C$2:$C$131,MATCH(E1452,'NCO-2015 scores'!$A$2:$A$131,0))),1,0),0)</f>
        <v>1</v>
      </c>
    </row>
    <row r="1453" customFormat="false" ht="15" hidden="false" customHeight="false" outlineLevel="0" collapsed="false">
      <c r="A1453" s="2" t="n">
        <v>1449</v>
      </c>
      <c r="B1453" s="2" t="s">
        <v>4450</v>
      </c>
      <c r="C1453" s="2" t="s">
        <v>4451</v>
      </c>
      <c r="D1453" s="2" t="s">
        <v>4452</v>
      </c>
      <c r="E1453" s="2" t="str">
        <f aca="false">LEFT(C1453,3)</f>
        <v>731</v>
      </c>
      <c r="F1453" s="2" t="str">
        <f aca="false">IF(D1453="","",LEFT(D1453,3))</f>
        <v>743</v>
      </c>
      <c r="G1453" s="2" t="str">
        <f aca="false">IF(F1453="","",IF(E1453=F1453,"Yes","No"))</f>
        <v>No</v>
      </c>
      <c r="H1453" s="2" t="n">
        <f aca="false">IF(D1453="",0,1/COUNTIF($D$2:$D$3451,D1453))</f>
        <v>1</v>
      </c>
      <c r="I1453" s="13" t="n">
        <f aca="false">IFERROR(INDEX('NCO-2015 scores'!$C$2:$C$131,MATCH(E1453,'NCO-2015 scores'!$A$2:$A$131,0)),0)</f>
        <v>0.1688</v>
      </c>
      <c r="J1453" s="13" t="n">
        <f aca="false">IF(ISNUMBER(MATCH(E1453,'NCO-2015 scores'!$A$2:$A$131,0)),IF(ISNUMBER(INDEX('NCO-2015 scores'!$C$2:$C$131,MATCH(E1453,'NCO-2015 scores'!$A$2:$A$131,0))),1,0),0)</f>
        <v>1</v>
      </c>
    </row>
    <row r="1454" customFormat="false" ht="15" hidden="false" customHeight="false" outlineLevel="0" collapsed="false">
      <c r="A1454" s="2" t="n">
        <v>1450</v>
      </c>
      <c r="B1454" s="2" t="s">
        <v>4453</v>
      </c>
      <c r="C1454" s="2" t="s">
        <v>4454</v>
      </c>
      <c r="D1454" s="2" t="s">
        <v>4455</v>
      </c>
      <c r="E1454" s="2" t="str">
        <f aca="false">LEFT(C1454,3)</f>
        <v>731</v>
      </c>
      <c r="F1454" s="2" t="str">
        <f aca="false">IF(D1454="","",LEFT(D1454,3))</f>
        <v>743</v>
      </c>
      <c r="G1454" s="2" t="str">
        <f aca="false">IF(F1454="","",IF(E1454=F1454,"Yes","No"))</f>
        <v>No</v>
      </c>
      <c r="H1454" s="2" t="n">
        <f aca="false">IF(D1454="",0,1/COUNTIF($D$2:$D$3451,D1454))</f>
        <v>1</v>
      </c>
      <c r="I1454" s="13" t="n">
        <f aca="false">IFERROR(INDEX('NCO-2015 scores'!$C$2:$C$131,MATCH(E1454,'NCO-2015 scores'!$A$2:$A$131,0)),0)</f>
        <v>0.1688</v>
      </c>
      <c r="J1454" s="13" t="n">
        <f aca="false">IF(ISNUMBER(MATCH(E1454,'NCO-2015 scores'!$A$2:$A$131,0)),IF(ISNUMBER(INDEX('NCO-2015 scores'!$C$2:$C$131,MATCH(E1454,'NCO-2015 scores'!$A$2:$A$131,0))),1,0),0)</f>
        <v>1</v>
      </c>
    </row>
    <row r="1455" customFormat="false" ht="15" hidden="false" customHeight="false" outlineLevel="0" collapsed="false">
      <c r="A1455" s="2" t="n">
        <v>1451</v>
      </c>
      <c r="B1455" s="2" t="s">
        <v>4456</v>
      </c>
      <c r="C1455" s="2" t="s">
        <v>4457</v>
      </c>
      <c r="D1455" s="2" t="s">
        <v>4458</v>
      </c>
      <c r="E1455" s="2" t="str">
        <f aca="false">LEFT(C1455,3)</f>
        <v>731</v>
      </c>
      <c r="F1455" s="2" t="str">
        <f aca="false">IF(D1455="","",LEFT(D1455,3))</f>
        <v>743</v>
      </c>
      <c r="G1455" s="2" t="str">
        <f aca="false">IF(F1455="","",IF(E1455=F1455,"Yes","No"))</f>
        <v>No</v>
      </c>
      <c r="H1455" s="2" t="n">
        <f aca="false">IF(D1455="",0,1/COUNTIF($D$2:$D$3451,D1455))</f>
        <v>1</v>
      </c>
      <c r="I1455" s="13" t="n">
        <f aca="false">IFERROR(INDEX('NCO-2015 scores'!$C$2:$C$131,MATCH(E1455,'NCO-2015 scores'!$A$2:$A$131,0)),0)</f>
        <v>0.1688</v>
      </c>
      <c r="J1455" s="13" t="n">
        <f aca="false">IF(ISNUMBER(MATCH(E1455,'NCO-2015 scores'!$A$2:$A$131,0)),IF(ISNUMBER(INDEX('NCO-2015 scores'!$C$2:$C$131,MATCH(E1455,'NCO-2015 scores'!$A$2:$A$131,0))),1,0),0)</f>
        <v>1</v>
      </c>
    </row>
    <row r="1456" customFormat="false" ht="15" hidden="false" customHeight="false" outlineLevel="0" collapsed="false">
      <c r="A1456" s="2" t="n">
        <v>1452</v>
      </c>
      <c r="B1456" s="2" t="s">
        <v>4459</v>
      </c>
      <c r="C1456" s="2" t="s">
        <v>4460</v>
      </c>
      <c r="D1456" s="2" t="s">
        <v>4461</v>
      </c>
      <c r="E1456" s="2" t="str">
        <f aca="false">LEFT(C1456,3)</f>
        <v>731</v>
      </c>
      <c r="F1456" s="2" t="str">
        <f aca="false">IF(D1456="","",LEFT(D1456,3))</f>
        <v>743</v>
      </c>
      <c r="G1456" s="2" t="str">
        <f aca="false">IF(F1456="","",IF(E1456=F1456,"Yes","No"))</f>
        <v>No</v>
      </c>
      <c r="H1456" s="2" t="n">
        <f aca="false">IF(D1456="",0,1/COUNTIF($D$2:$D$3451,D1456))</f>
        <v>1</v>
      </c>
      <c r="I1456" s="13" t="n">
        <f aca="false">IFERROR(INDEX('NCO-2015 scores'!$C$2:$C$131,MATCH(E1456,'NCO-2015 scores'!$A$2:$A$131,0)),0)</f>
        <v>0.1688</v>
      </c>
      <c r="J1456" s="13" t="n">
        <f aca="false">IF(ISNUMBER(MATCH(E1456,'NCO-2015 scores'!$A$2:$A$131,0)),IF(ISNUMBER(INDEX('NCO-2015 scores'!$C$2:$C$131,MATCH(E1456,'NCO-2015 scores'!$A$2:$A$131,0))),1,0),0)</f>
        <v>1</v>
      </c>
    </row>
    <row r="1457" customFormat="false" ht="15" hidden="false" customHeight="false" outlineLevel="0" collapsed="false">
      <c r="A1457" s="2" t="n">
        <v>1453</v>
      </c>
      <c r="B1457" s="2" t="s">
        <v>4462</v>
      </c>
      <c r="C1457" s="2" t="s">
        <v>4463</v>
      </c>
      <c r="D1457" s="2" t="s">
        <v>4464</v>
      </c>
      <c r="E1457" s="2" t="str">
        <f aca="false">LEFT(C1457,3)</f>
        <v>731</v>
      </c>
      <c r="F1457" s="2" t="str">
        <f aca="false">IF(D1457="","",LEFT(D1457,3))</f>
        <v>743</v>
      </c>
      <c r="G1457" s="2" t="str">
        <f aca="false">IF(F1457="","",IF(E1457=F1457,"Yes","No"))</f>
        <v>No</v>
      </c>
      <c r="H1457" s="2" t="n">
        <f aca="false">IF(D1457="",0,1/COUNTIF($D$2:$D$3451,D1457))</f>
        <v>1</v>
      </c>
      <c r="I1457" s="13" t="n">
        <f aca="false">IFERROR(INDEX('NCO-2015 scores'!$C$2:$C$131,MATCH(E1457,'NCO-2015 scores'!$A$2:$A$131,0)),0)</f>
        <v>0.1688</v>
      </c>
      <c r="J1457" s="13" t="n">
        <f aca="false">IF(ISNUMBER(MATCH(E1457,'NCO-2015 scores'!$A$2:$A$131,0)),IF(ISNUMBER(INDEX('NCO-2015 scores'!$C$2:$C$131,MATCH(E1457,'NCO-2015 scores'!$A$2:$A$131,0))),1,0),0)</f>
        <v>1</v>
      </c>
    </row>
    <row r="1458" customFormat="false" ht="15" hidden="false" customHeight="false" outlineLevel="0" collapsed="false">
      <c r="A1458" s="2" t="n">
        <v>1454</v>
      </c>
      <c r="B1458" s="2" t="s">
        <v>4465</v>
      </c>
      <c r="C1458" s="2" t="s">
        <v>4466</v>
      </c>
      <c r="D1458" s="2" t="s">
        <v>4467</v>
      </c>
      <c r="E1458" s="2" t="str">
        <f aca="false">LEFT(C1458,3)</f>
        <v>731</v>
      </c>
      <c r="F1458" s="2" t="str">
        <f aca="false">IF(D1458="","",LEFT(D1458,3))</f>
        <v>743</v>
      </c>
      <c r="G1458" s="2" t="str">
        <f aca="false">IF(F1458="","",IF(E1458=F1458,"Yes","No"))</f>
        <v>No</v>
      </c>
      <c r="H1458" s="2" t="n">
        <f aca="false">IF(D1458="",0,1/COUNTIF($D$2:$D$3451,D1458))</f>
        <v>1</v>
      </c>
      <c r="I1458" s="13" t="n">
        <f aca="false">IFERROR(INDEX('NCO-2015 scores'!$C$2:$C$131,MATCH(E1458,'NCO-2015 scores'!$A$2:$A$131,0)),0)</f>
        <v>0.1688</v>
      </c>
      <c r="J1458" s="13" t="n">
        <f aca="false">IF(ISNUMBER(MATCH(E1458,'NCO-2015 scores'!$A$2:$A$131,0)),IF(ISNUMBER(INDEX('NCO-2015 scores'!$C$2:$C$131,MATCH(E1458,'NCO-2015 scores'!$A$2:$A$131,0))),1,0),0)</f>
        <v>1</v>
      </c>
    </row>
    <row r="1459" customFormat="false" ht="15" hidden="false" customHeight="false" outlineLevel="0" collapsed="false">
      <c r="A1459" s="2" t="n">
        <v>1455</v>
      </c>
      <c r="B1459" s="2" t="s">
        <v>4468</v>
      </c>
      <c r="C1459" s="2" t="s">
        <v>4469</v>
      </c>
      <c r="D1459" s="2" t="s">
        <v>4470</v>
      </c>
      <c r="E1459" s="2" t="str">
        <f aca="false">LEFT(C1459,3)</f>
        <v>731</v>
      </c>
      <c r="F1459" s="2" t="str">
        <f aca="false">IF(D1459="","",LEFT(D1459,3))</f>
        <v>743</v>
      </c>
      <c r="G1459" s="2" t="str">
        <f aca="false">IF(F1459="","",IF(E1459=F1459,"Yes","No"))</f>
        <v>No</v>
      </c>
      <c r="H1459" s="2" t="n">
        <f aca="false">IF(D1459="",0,1/COUNTIF($D$2:$D$3451,D1459))</f>
        <v>1</v>
      </c>
      <c r="I1459" s="13" t="n">
        <f aca="false">IFERROR(INDEX('NCO-2015 scores'!$C$2:$C$131,MATCH(E1459,'NCO-2015 scores'!$A$2:$A$131,0)),0)</f>
        <v>0.1688</v>
      </c>
      <c r="J1459" s="13" t="n">
        <f aca="false">IF(ISNUMBER(MATCH(E1459,'NCO-2015 scores'!$A$2:$A$131,0)),IF(ISNUMBER(INDEX('NCO-2015 scores'!$C$2:$C$131,MATCH(E1459,'NCO-2015 scores'!$A$2:$A$131,0))),1,0),0)</f>
        <v>1</v>
      </c>
    </row>
    <row r="1460" customFormat="false" ht="15" hidden="false" customHeight="false" outlineLevel="0" collapsed="false">
      <c r="A1460" s="2" t="n">
        <v>1456</v>
      </c>
      <c r="B1460" s="2" t="s">
        <v>4471</v>
      </c>
      <c r="C1460" s="2" t="s">
        <v>4472</v>
      </c>
      <c r="D1460" s="2" t="s">
        <v>4473</v>
      </c>
      <c r="E1460" s="2" t="str">
        <f aca="false">LEFT(C1460,3)</f>
        <v>731</v>
      </c>
      <c r="F1460" s="2" t="str">
        <f aca="false">IF(D1460="","",LEFT(D1460,3))</f>
        <v>743</v>
      </c>
      <c r="G1460" s="2" t="str">
        <f aca="false">IF(F1460="","",IF(E1460=F1460,"Yes","No"))</f>
        <v>No</v>
      </c>
      <c r="H1460" s="2" t="n">
        <f aca="false">IF(D1460="",0,1/COUNTIF($D$2:$D$3451,D1460))</f>
        <v>1</v>
      </c>
      <c r="I1460" s="13" t="n">
        <f aca="false">IFERROR(INDEX('NCO-2015 scores'!$C$2:$C$131,MATCH(E1460,'NCO-2015 scores'!$A$2:$A$131,0)),0)</f>
        <v>0.1688</v>
      </c>
      <c r="J1460" s="13" t="n">
        <f aca="false">IF(ISNUMBER(MATCH(E1460,'NCO-2015 scores'!$A$2:$A$131,0)),IF(ISNUMBER(INDEX('NCO-2015 scores'!$C$2:$C$131,MATCH(E1460,'NCO-2015 scores'!$A$2:$A$131,0))),1,0),0)</f>
        <v>1</v>
      </c>
    </row>
    <row r="1461" customFormat="false" ht="15" hidden="false" customHeight="false" outlineLevel="0" collapsed="false">
      <c r="A1461" s="2" t="n">
        <v>1457</v>
      </c>
      <c r="B1461" s="2" t="s">
        <v>4474</v>
      </c>
      <c r="C1461" s="2" t="s">
        <v>4475</v>
      </c>
      <c r="D1461" s="2" t="s">
        <v>4476</v>
      </c>
      <c r="E1461" s="2" t="str">
        <f aca="false">LEFT(C1461,3)</f>
        <v>731</v>
      </c>
      <c r="F1461" s="2" t="str">
        <f aca="false">IF(D1461="","",LEFT(D1461,3))</f>
        <v>743</v>
      </c>
      <c r="G1461" s="2" t="str">
        <f aca="false">IF(F1461="","",IF(E1461=F1461,"Yes","No"))</f>
        <v>No</v>
      </c>
      <c r="H1461" s="2" t="n">
        <f aca="false">IF(D1461="",0,1/COUNTIF($D$2:$D$3451,D1461))</f>
        <v>1</v>
      </c>
      <c r="I1461" s="13" t="n">
        <f aca="false">IFERROR(INDEX('NCO-2015 scores'!$C$2:$C$131,MATCH(E1461,'NCO-2015 scores'!$A$2:$A$131,0)),0)</f>
        <v>0.1688</v>
      </c>
      <c r="J1461" s="13" t="n">
        <f aca="false">IF(ISNUMBER(MATCH(E1461,'NCO-2015 scores'!$A$2:$A$131,0)),IF(ISNUMBER(INDEX('NCO-2015 scores'!$C$2:$C$131,MATCH(E1461,'NCO-2015 scores'!$A$2:$A$131,0))),1,0),0)</f>
        <v>1</v>
      </c>
    </row>
    <row r="1462" customFormat="false" ht="15" hidden="false" customHeight="false" outlineLevel="0" collapsed="false">
      <c r="A1462" s="2" t="n">
        <v>1458</v>
      </c>
      <c r="B1462" s="2" t="s">
        <v>4477</v>
      </c>
      <c r="C1462" s="2" t="s">
        <v>4478</v>
      </c>
      <c r="D1462" s="2" t="s">
        <v>4479</v>
      </c>
      <c r="E1462" s="2" t="str">
        <f aca="false">LEFT(C1462,3)</f>
        <v>731</v>
      </c>
      <c r="F1462" s="2" t="str">
        <f aca="false">IF(D1462="","",LEFT(D1462,3))</f>
        <v>743</v>
      </c>
      <c r="G1462" s="2" t="str">
        <f aca="false">IF(F1462="","",IF(E1462=F1462,"Yes","No"))</f>
        <v>No</v>
      </c>
      <c r="H1462" s="2" t="n">
        <f aca="false">IF(D1462="",0,1/COUNTIF($D$2:$D$3451,D1462))</f>
        <v>1</v>
      </c>
      <c r="I1462" s="13" t="n">
        <f aca="false">IFERROR(INDEX('NCO-2015 scores'!$C$2:$C$131,MATCH(E1462,'NCO-2015 scores'!$A$2:$A$131,0)),0)</f>
        <v>0.1688</v>
      </c>
      <c r="J1462" s="13" t="n">
        <f aca="false">IF(ISNUMBER(MATCH(E1462,'NCO-2015 scores'!$A$2:$A$131,0)),IF(ISNUMBER(INDEX('NCO-2015 scores'!$C$2:$C$131,MATCH(E1462,'NCO-2015 scores'!$A$2:$A$131,0))),1,0),0)</f>
        <v>1</v>
      </c>
    </row>
    <row r="1463" customFormat="false" ht="15" hidden="false" customHeight="false" outlineLevel="0" collapsed="false">
      <c r="A1463" s="2" t="n">
        <v>1459</v>
      </c>
      <c r="B1463" s="2" t="s">
        <v>4480</v>
      </c>
      <c r="C1463" s="2" t="s">
        <v>4481</v>
      </c>
      <c r="D1463" s="2" t="s">
        <v>4482</v>
      </c>
      <c r="E1463" s="2" t="str">
        <f aca="false">LEFT(C1463,3)</f>
        <v>731</v>
      </c>
      <c r="F1463" s="2" t="str">
        <f aca="false">IF(D1463="","",LEFT(D1463,3))</f>
        <v>743</v>
      </c>
      <c r="G1463" s="2" t="str">
        <f aca="false">IF(F1463="","",IF(E1463=F1463,"Yes","No"))</f>
        <v>No</v>
      </c>
      <c r="H1463" s="2" t="n">
        <f aca="false">IF(D1463="",0,1/COUNTIF($D$2:$D$3451,D1463))</f>
        <v>1</v>
      </c>
      <c r="I1463" s="13" t="n">
        <f aca="false">IFERROR(INDEX('NCO-2015 scores'!$C$2:$C$131,MATCH(E1463,'NCO-2015 scores'!$A$2:$A$131,0)),0)</f>
        <v>0.1688</v>
      </c>
      <c r="J1463" s="13" t="n">
        <f aca="false">IF(ISNUMBER(MATCH(E1463,'NCO-2015 scores'!$A$2:$A$131,0)),IF(ISNUMBER(INDEX('NCO-2015 scores'!$C$2:$C$131,MATCH(E1463,'NCO-2015 scores'!$A$2:$A$131,0))),1,0),0)</f>
        <v>1</v>
      </c>
    </row>
    <row r="1464" customFormat="false" ht="15" hidden="false" customHeight="false" outlineLevel="0" collapsed="false">
      <c r="A1464" s="2" t="n">
        <v>1460</v>
      </c>
      <c r="B1464" s="2" t="s">
        <v>4483</v>
      </c>
      <c r="C1464" s="2" t="s">
        <v>4484</v>
      </c>
      <c r="D1464" s="2" t="s">
        <v>4485</v>
      </c>
      <c r="E1464" s="2" t="str">
        <f aca="false">LEFT(C1464,3)</f>
        <v>731</v>
      </c>
      <c r="F1464" s="2" t="str">
        <f aca="false">IF(D1464="","",LEFT(D1464,3))</f>
        <v>743</v>
      </c>
      <c r="G1464" s="2" t="str">
        <f aca="false">IF(F1464="","",IF(E1464=F1464,"Yes","No"))</f>
        <v>No</v>
      </c>
      <c r="H1464" s="2" t="n">
        <f aca="false">IF(D1464="",0,1/COUNTIF($D$2:$D$3451,D1464))</f>
        <v>1</v>
      </c>
      <c r="I1464" s="13" t="n">
        <f aca="false">IFERROR(INDEX('NCO-2015 scores'!$C$2:$C$131,MATCH(E1464,'NCO-2015 scores'!$A$2:$A$131,0)),0)</f>
        <v>0.1688</v>
      </c>
      <c r="J1464" s="13" t="n">
        <f aca="false">IF(ISNUMBER(MATCH(E1464,'NCO-2015 scores'!$A$2:$A$131,0)),IF(ISNUMBER(INDEX('NCO-2015 scores'!$C$2:$C$131,MATCH(E1464,'NCO-2015 scores'!$A$2:$A$131,0))),1,0),0)</f>
        <v>1</v>
      </c>
    </row>
    <row r="1465" customFormat="false" ht="15" hidden="false" customHeight="false" outlineLevel="0" collapsed="false">
      <c r="A1465" s="2" t="n">
        <v>1461</v>
      </c>
      <c r="B1465" s="2" t="s">
        <v>4486</v>
      </c>
      <c r="C1465" s="2" t="s">
        <v>4487</v>
      </c>
      <c r="D1465" s="2" t="s">
        <v>4488</v>
      </c>
      <c r="E1465" s="2" t="str">
        <f aca="false">LEFT(C1465,3)</f>
        <v>731</v>
      </c>
      <c r="F1465" s="2" t="str">
        <f aca="false">IF(D1465="","",LEFT(D1465,3))</f>
        <v>743</v>
      </c>
      <c r="G1465" s="2" t="str">
        <f aca="false">IF(F1465="","",IF(E1465=F1465,"Yes","No"))</f>
        <v>No</v>
      </c>
      <c r="H1465" s="2" t="n">
        <f aca="false">IF(D1465="",0,1/COUNTIF($D$2:$D$3451,D1465))</f>
        <v>1</v>
      </c>
      <c r="I1465" s="13" t="n">
        <f aca="false">IFERROR(INDEX('NCO-2015 scores'!$C$2:$C$131,MATCH(E1465,'NCO-2015 scores'!$A$2:$A$131,0)),0)</f>
        <v>0.1688</v>
      </c>
      <c r="J1465" s="13" t="n">
        <f aca="false">IF(ISNUMBER(MATCH(E1465,'NCO-2015 scores'!$A$2:$A$131,0)),IF(ISNUMBER(INDEX('NCO-2015 scores'!$C$2:$C$131,MATCH(E1465,'NCO-2015 scores'!$A$2:$A$131,0))),1,0),0)</f>
        <v>1</v>
      </c>
    </row>
    <row r="1466" customFormat="false" ht="15" hidden="false" customHeight="false" outlineLevel="0" collapsed="false">
      <c r="A1466" s="2" t="n">
        <v>1462</v>
      </c>
      <c r="B1466" s="2" t="s">
        <v>4489</v>
      </c>
      <c r="C1466" s="2" t="s">
        <v>4490</v>
      </c>
      <c r="D1466" s="2" t="s">
        <v>4491</v>
      </c>
      <c r="E1466" s="2" t="str">
        <f aca="false">LEFT(C1466,3)</f>
        <v>731</v>
      </c>
      <c r="F1466" s="2" t="str">
        <f aca="false">IF(D1466="","",LEFT(D1466,3))</f>
        <v>743</v>
      </c>
      <c r="G1466" s="2" t="str">
        <f aca="false">IF(F1466="","",IF(E1466=F1466,"Yes","No"))</f>
        <v>No</v>
      </c>
      <c r="H1466" s="2" t="n">
        <f aca="false">IF(D1466="",0,1/COUNTIF($D$2:$D$3451,D1466))</f>
        <v>1</v>
      </c>
      <c r="I1466" s="13" t="n">
        <f aca="false">IFERROR(INDEX('NCO-2015 scores'!$C$2:$C$131,MATCH(E1466,'NCO-2015 scores'!$A$2:$A$131,0)),0)</f>
        <v>0.1688</v>
      </c>
      <c r="J1466" s="13" t="n">
        <f aca="false">IF(ISNUMBER(MATCH(E1466,'NCO-2015 scores'!$A$2:$A$131,0)),IF(ISNUMBER(INDEX('NCO-2015 scores'!$C$2:$C$131,MATCH(E1466,'NCO-2015 scores'!$A$2:$A$131,0))),1,0),0)</f>
        <v>1</v>
      </c>
    </row>
    <row r="1467" customFormat="false" ht="15" hidden="false" customHeight="false" outlineLevel="0" collapsed="false">
      <c r="A1467" s="2" t="n">
        <v>1463</v>
      </c>
      <c r="B1467" s="2" t="s">
        <v>4492</v>
      </c>
      <c r="C1467" s="2" t="s">
        <v>4493</v>
      </c>
      <c r="D1467" s="2" t="s">
        <v>4494</v>
      </c>
      <c r="E1467" s="2" t="str">
        <f aca="false">LEFT(C1467,3)</f>
        <v>731</v>
      </c>
      <c r="F1467" s="2" t="str">
        <f aca="false">IF(D1467="","",LEFT(D1467,3))</f>
        <v>743</v>
      </c>
      <c r="G1467" s="2" t="str">
        <f aca="false">IF(F1467="","",IF(E1467=F1467,"Yes","No"))</f>
        <v>No</v>
      </c>
      <c r="H1467" s="2" t="n">
        <f aca="false">IF(D1467="",0,1/COUNTIF($D$2:$D$3451,D1467))</f>
        <v>1</v>
      </c>
      <c r="I1467" s="13" t="n">
        <f aca="false">IFERROR(INDEX('NCO-2015 scores'!$C$2:$C$131,MATCH(E1467,'NCO-2015 scores'!$A$2:$A$131,0)),0)</f>
        <v>0.1688</v>
      </c>
      <c r="J1467" s="13" t="n">
        <f aca="false">IF(ISNUMBER(MATCH(E1467,'NCO-2015 scores'!$A$2:$A$131,0)),IF(ISNUMBER(INDEX('NCO-2015 scores'!$C$2:$C$131,MATCH(E1467,'NCO-2015 scores'!$A$2:$A$131,0))),1,0),0)</f>
        <v>1</v>
      </c>
    </row>
    <row r="1468" customFormat="false" ht="15" hidden="false" customHeight="false" outlineLevel="0" collapsed="false">
      <c r="A1468" s="2" t="n">
        <v>1464</v>
      </c>
      <c r="B1468" s="2" t="s">
        <v>4495</v>
      </c>
      <c r="C1468" s="2" t="s">
        <v>4496</v>
      </c>
      <c r="D1468" s="2" t="s">
        <v>4497</v>
      </c>
      <c r="E1468" s="2" t="str">
        <f aca="false">LEFT(C1468,3)</f>
        <v>731</v>
      </c>
      <c r="F1468" s="2" t="str">
        <f aca="false">IF(D1468="","",LEFT(D1468,3))</f>
        <v>743</v>
      </c>
      <c r="G1468" s="2" t="str">
        <f aca="false">IF(F1468="","",IF(E1468=F1468,"Yes","No"))</f>
        <v>No</v>
      </c>
      <c r="H1468" s="2" t="n">
        <f aca="false">IF(D1468="",0,1/COUNTIF($D$2:$D$3451,D1468))</f>
        <v>1</v>
      </c>
      <c r="I1468" s="13" t="n">
        <f aca="false">IFERROR(INDEX('NCO-2015 scores'!$C$2:$C$131,MATCH(E1468,'NCO-2015 scores'!$A$2:$A$131,0)),0)</f>
        <v>0.1688</v>
      </c>
      <c r="J1468" s="13" t="n">
        <f aca="false">IF(ISNUMBER(MATCH(E1468,'NCO-2015 scores'!$A$2:$A$131,0)),IF(ISNUMBER(INDEX('NCO-2015 scores'!$C$2:$C$131,MATCH(E1468,'NCO-2015 scores'!$A$2:$A$131,0))),1,0),0)</f>
        <v>1</v>
      </c>
    </row>
    <row r="1469" customFormat="false" ht="15" hidden="false" customHeight="false" outlineLevel="0" collapsed="false">
      <c r="A1469" s="2" t="n">
        <v>1465</v>
      </c>
      <c r="B1469" s="2" t="s">
        <v>4498</v>
      </c>
      <c r="C1469" s="2" t="s">
        <v>4499</v>
      </c>
      <c r="D1469" s="2" t="s">
        <v>4500</v>
      </c>
      <c r="E1469" s="2" t="str">
        <f aca="false">LEFT(C1469,3)</f>
        <v>731</v>
      </c>
      <c r="F1469" s="2" t="str">
        <f aca="false">IF(D1469="","",LEFT(D1469,3))</f>
        <v>743</v>
      </c>
      <c r="G1469" s="2" t="str">
        <f aca="false">IF(F1469="","",IF(E1469=F1469,"Yes","No"))</f>
        <v>No</v>
      </c>
      <c r="H1469" s="2" t="n">
        <f aca="false">IF(D1469="",0,1/COUNTIF($D$2:$D$3451,D1469))</f>
        <v>1</v>
      </c>
      <c r="I1469" s="13" t="n">
        <f aca="false">IFERROR(INDEX('NCO-2015 scores'!$C$2:$C$131,MATCH(E1469,'NCO-2015 scores'!$A$2:$A$131,0)),0)</f>
        <v>0.1688</v>
      </c>
      <c r="J1469" s="13" t="n">
        <f aca="false">IF(ISNUMBER(MATCH(E1469,'NCO-2015 scores'!$A$2:$A$131,0)),IF(ISNUMBER(INDEX('NCO-2015 scores'!$C$2:$C$131,MATCH(E1469,'NCO-2015 scores'!$A$2:$A$131,0))),1,0),0)</f>
        <v>1</v>
      </c>
    </row>
    <row r="1470" customFormat="false" ht="15" hidden="false" customHeight="false" outlineLevel="0" collapsed="false">
      <c r="A1470" s="2" t="n">
        <v>1466</v>
      </c>
      <c r="B1470" s="2" t="s">
        <v>4501</v>
      </c>
      <c r="C1470" s="2" t="s">
        <v>4502</v>
      </c>
      <c r="D1470" s="2" t="s">
        <v>4503</v>
      </c>
      <c r="E1470" s="2" t="str">
        <f aca="false">LEFT(C1470,3)</f>
        <v>731</v>
      </c>
      <c r="F1470" s="2" t="str">
        <f aca="false">IF(D1470="","",LEFT(D1470,3))</f>
        <v>743</v>
      </c>
      <c r="G1470" s="2" t="str">
        <f aca="false">IF(F1470="","",IF(E1470=F1470,"Yes","No"))</f>
        <v>No</v>
      </c>
      <c r="H1470" s="2" t="n">
        <f aca="false">IF(D1470="",0,1/COUNTIF($D$2:$D$3451,D1470))</f>
        <v>1</v>
      </c>
      <c r="I1470" s="13" t="n">
        <f aca="false">IFERROR(INDEX('NCO-2015 scores'!$C$2:$C$131,MATCH(E1470,'NCO-2015 scores'!$A$2:$A$131,0)),0)</f>
        <v>0.1688</v>
      </c>
      <c r="J1470" s="13" t="n">
        <f aca="false">IF(ISNUMBER(MATCH(E1470,'NCO-2015 scores'!$A$2:$A$131,0)),IF(ISNUMBER(INDEX('NCO-2015 scores'!$C$2:$C$131,MATCH(E1470,'NCO-2015 scores'!$A$2:$A$131,0))),1,0),0)</f>
        <v>1</v>
      </c>
    </row>
    <row r="1471" customFormat="false" ht="15" hidden="false" customHeight="false" outlineLevel="0" collapsed="false">
      <c r="A1471" s="2" t="n">
        <v>1467</v>
      </c>
      <c r="B1471" s="2" t="s">
        <v>4504</v>
      </c>
      <c r="C1471" s="2" t="s">
        <v>4505</v>
      </c>
      <c r="D1471" s="2" t="s">
        <v>4506</v>
      </c>
      <c r="E1471" s="2" t="str">
        <f aca="false">LEFT(C1471,3)</f>
        <v>731</v>
      </c>
      <c r="F1471" s="2" t="str">
        <f aca="false">IF(D1471="","",LEFT(D1471,3))</f>
        <v>743</v>
      </c>
      <c r="G1471" s="2" t="str">
        <f aca="false">IF(F1471="","",IF(E1471=F1471,"Yes","No"))</f>
        <v>No</v>
      </c>
      <c r="H1471" s="2" t="n">
        <f aca="false">IF(D1471="",0,1/COUNTIF($D$2:$D$3451,D1471))</f>
        <v>1</v>
      </c>
      <c r="I1471" s="13" t="n">
        <f aca="false">IFERROR(INDEX('NCO-2015 scores'!$C$2:$C$131,MATCH(E1471,'NCO-2015 scores'!$A$2:$A$131,0)),0)</f>
        <v>0.1688</v>
      </c>
      <c r="J1471" s="13" t="n">
        <f aca="false">IF(ISNUMBER(MATCH(E1471,'NCO-2015 scores'!$A$2:$A$131,0)),IF(ISNUMBER(INDEX('NCO-2015 scores'!$C$2:$C$131,MATCH(E1471,'NCO-2015 scores'!$A$2:$A$131,0))),1,0),0)</f>
        <v>1</v>
      </c>
    </row>
    <row r="1472" customFormat="false" ht="15" hidden="false" customHeight="false" outlineLevel="0" collapsed="false">
      <c r="A1472" s="2" t="n">
        <v>1468</v>
      </c>
      <c r="B1472" s="2" t="s">
        <v>4507</v>
      </c>
      <c r="C1472" s="2" t="s">
        <v>4508</v>
      </c>
      <c r="D1472" s="2" t="s">
        <v>4509</v>
      </c>
      <c r="E1472" s="2" t="str">
        <f aca="false">LEFT(C1472,3)</f>
        <v>731</v>
      </c>
      <c r="F1472" s="2" t="str">
        <f aca="false">IF(D1472="","",LEFT(D1472,3))</f>
        <v>743</v>
      </c>
      <c r="G1472" s="2" t="str">
        <f aca="false">IF(F1472="","",IF(E1472=F1472,"Yes","No"))</f>
        <v>No</v>
      </c>
      <c r="H1472" s="2" t="n">
        <f aca="false">IF(D1472="",0,1/COUNTIF($D$2:$D$3451,D1472))</f>
        <v>1</v>
      </c>
      <c r="I1472" s="13" t="n">
        <f aca="false">IFERROR(INDEX('NCO-2015 scores'!$C$2:$C$131,MATCH(E1472,'NCO-2015 scores'!$A$2:$A$131,0)),0)</f>
        <v>0.1688</v>
      </c>
      <c r="J1472" s="13" t="n">
        <f aca="false">IF(ISNUMBER(MATCH(E1472,'NCO-2015 scores'!$A$2:$A$131,0)),IF(ISNUMBER(INDEX('NCO-2015 scores'!$C$2:$C$131,MATCH(E1472,'NCO-2015 scores'!$A$2:$A$131,0))),1,0),0)</f>
        <v>1</v>
      </c>
    </row>
    <row r="1473" customFormat="false" ht="15" hidden="false" customHeight="false" outlineLevel="0" collapsed="false">
      <c r="A1473" s="2" t="n">
        <v>1469</v>
      </c>
      <c r="B1473" s="2" t="s">
        <v>4510</v>
      </c>
      <c r="C1473" s="2" t="s">
        <v>4511</v>
      </c>
      <c r="D1473" s="2" t="s">
        <v>4512</v>
      </c>
      <c r="E1473" s="2" t="str">
        <f aca="false">LEFT(C1473,3)</f>
        <v>731</v>
      </c>
      <c r="F1473" s="2" t="str">
        <f aca="false">IF(D1473="","",LEFT(D1473,3))</f>
        <v>743</v>
      </c>
      <c r="G1473" s="2" t="str">
        <f aca="false">IF(F1473="","",IF(E1473=F1473,"Yes","No"))</f>
        <v>No</v>
      </c>
      <c r="H1473" s="2" t="n">
        <f aca="false">IF(D1473="",0,1/COUNTIF($D$2:$D$3451,D1473))</f>
        <v>1</v>
      </c>
      <c r="I1473" s="13" t="n">
        <f aca="false">IFERROR(INDEX('NCO-2015 scores'!$C$2:$C$131,MATCH(E1473,'NCO-2015 scores'!$A$2:$A$131,0)),0)</f>
        <v>0.1688</v>
      </c>
      <c r="J1473" s="13" t="n">
        <f aca="false">IF(ISNUMBER(MATCH(E1473,'NCO-2015 scores'!$A$2:$A$131,0)),IF(ISNUMBER(INDEX('NCO-2015 scores'!$C$2:$C$131,MATCH(E1473,'NCO-2015 scores'!$A$2:$A$131,0))),1,0),0)</f>
        <v>1</v>
      </c>
    </row>
    <row r="1474" customFormat="false" ht="15" hidden="false" customHeight="false" outlineLevel="0" collapsed="false">
      <c r="A1474" s="2" t="n">
        <v>1470</v>
      </c>
      <c r="B1474" s="2" t="s">
        <v>4513</v>
      </c>
      <c r="C1474" s="2" t="s">
        <v>4514</v>
      </c>
      <c r="D1474" s="2" t="s">
        <v>4515</v>
      </c>
      <c r="E1474" s="2" t="str">
        <f aca="false">LEFT(C1474,3)</f>
        <v>731</v>
      </c>
      <c r="F1474" s="2" t="str">
        <f aca="false">IF(D1474="","",LEFT(D1474,3))</f>
        <v>743</v>
      </c>
      <c r="G1474" s="2" t="str">
        <f aca="false">IF(F1474="","",IF(E1474=F1474,"Yes","No"))</f>
        <v>No</v>
      </c>
      <c r="H1474" s="2" t="n">
        <f aca="false">IF(D1474="",0,1/COUNTIF($D$2:$D$3451,D1474))</f>
        <v>1</v>
      </c>
      <c r="I1474" s="13" t="n">
        <f aca="false">IFERROR(INDEX('NCO-2015 scores'!$C$2:$C$131,MATCH(E1474,'NCO-2015 scores'!$A$2:$A$131,0)),0)</f>
        <v>0.1688</v>
      </c>
      <c r="J1474" s="13" t="n">
        <f aca="false">IF(ISNUMBER(MATCH(E1474,'NCO-2015 scores'!$A$2:$A$131,0)),IF(ISNUMBER(INDEX('NCO-2015 scores'!$C$2:$C$131,MATCH(E1474,'NCO-2015 scores'!$A$2:$A$131,0))),1,0),0)</f>
        <v>1</v>
      </c>
    </row>
    <row r="1475" customFormat="false" ht="15" hidden="false" customHeight="false" outlineLevel="0" collapsed="false">
      <c r="A1475" s="2" t="n">
        <v>1471</v>
      </c>
      <c r="B1475" s="2" t="s">
        <v>4516</v>
      </c>
      <c r="C1475" s="2" t="s">
        <v>4517</v>
      </c>
      <c r="D1475" s="2" t="s">
        <v>4518</v>
      </c>
      <c r="E1475" s="2" t="str">
        <f aca="false">LEFT(C1475,3)</f>
        <v>731</v>
      </c>
      <c r="F1475" s="2" t="str">
        <f aca="false">IF(D1475="","",LEFT(D1475,3))</f>
        <v>743</v>
      </c>
      <c r="G1475" s="2" t="str">
        <f aca="false">IF(F1475="","",IF(E1475=F1475,"Yes","No"))</f>
        <v>No</v>
      </c>
      <c r="H1475" s="2" t="n">
        <f aca="false">IF(D1475="",0,1/COUNTIF($D$2:$D$3451,D1475))</f>
        <v>1</v>
      </c>
      <c r="I1475" s="13" t="n">
        <f aca="false">IFERROR(INDEX('NCO-2015 scores'!$C$2:$C$131,MATCH(E1475,'NCO-2015 scores'!$A$2:$A$131,0)),0)</f>
        <v>0.1688</v>
      </c>
      <c r="J1475" s="13" t="n">
        <f aca="false">IF(ISNUMBER(MATCH(E1475,'NCO-2015 scores'!$A$2:$A$131,0)),IF(ISNUMBER(INDEX('NCO-2015 scores'!$C$2:$C$131,MATCH(E1475,'NCO-2015 scores'!$A$2:$A$131,0))),1,0),0)</f>
        <v>1</v>
      </c>
    </row>
    <row r="1476" customFormat="false" ht="15" hidden="false" customHeight="false" outlineLevel="0" collapsed="false">
      <c r="A1476" s="2" t="n">
        <v>1472</v>
      </c>
      <c r="B1476" s="2" t="s">
        <v>4519</v>
      </c>
      <c r="C1476" s="2" t="s">
        <v>4520</v>
      </c>
      <c r="D1476" s="2" t="s">
        <v>4521</v>
      </c>
      <c r="E1476" s="2" t="str">
        <f aca="false">LEFT(C1476,3)</f>
        <v>731</v>
      </c>
      <c r="F1476" s="2" t="str">
        <f aca="false">IF(D1476="","",LEFT(D1476,3))</f>
        <v>733</v>
      </c>
      <c r="G1476" s="2" t="str">
        <f aca="false">IF(F1476="","",IF(E1476=F1476,"Yes","No"))</f>
        <v>No</v>
      </c>
      <c r="H1476" s="2" t="n">
        <f aca="false">IF(D1476="",0,1/COUNTIF($D$2:$D$3451,D1476))</f>
        <v>1</v>
      </c>
      <c r="I1476" s="13" t="n">
        <f aca="false">IFERROR(INDEX('NCO-2015 scores'!$C$2:$C$131,MATCH(E1476,'NCO-2015 scores'!$A$2:$A$131,0)),0)</f>
        <v>0.1688</v>
      </c>
      <c r="J1476" s="13" t="n">
        <f aca="false">IF(ISNUMBER(MATCH(E1476,'NCO-2015 scores'!$A$2:$A$131,0)),IF(ISNUMBER(INDEX('NCO-2015 scores'!$C$2:$C$131,MATCH(E1476,'NCO-2015 scores'!$A$2:$A$131,0))),1,0),0)</f>
        <v>1</v>
      </c>
    </row>
    <row r="1477" customFormat="false" ht="15" hidden="false" customHeight="false" outlineLevel="0" collapsed="false">
      <c r="A1477" s="2" t="n">
        <v>1473</v>
      </c>
      <c r="B1477" s="2" t="s">
        <v>4522</v>
      </c>
      <c r="C1477" s="2" t="s">
        <v>4523</v>
      </c>
      <c r="D1477" s="2" t="s">
        <v>4524</v>
      </c>
      <c r="E1477" s="2" t="str">
        <f aca="false">LEFT(C1477,3)</f>
        <v>731</v>
      </c>
      <c r="F1477" s="2" t="str">
        <f aca="false">IF(D1477="","",LEFT(D1477,3))</f>
        <v>742</v>
      </c>
      <c r="G1477" s="2" t="str">
        <f aca="false">IF(F1477="","",IF(E1477=F1477,"Yes","No"))</f>
        <v>No</v>
      </c>
      <c r="H1477" s="2" t="n">
        <f aca="false">IF(D1477="",0,1/COUNTIF($D$2:$D$3451,D1477))</f>
        <v>1</v>
      </c>
      <c r="I1477" s="13" t="n">
        <f aca="false">IFERROR(INDEX('NCO-2015 scores'!$C$2:$C$131,MATCH(E1477,'NCO-2015 scores'!$A$2:$A$131,0)),0)</f>
        <v>0.1688</v>
      </c>
      <c r="J1477" s="13" t="n">
        <f aca="false">IF(ISNUMBER(MATCH(E1477,'NCO-2015 scores'!$A$2:$A$131,0)),IF(ISNUMBER(INDEX('NCO-2015 scores'!$C$2:$C$131,MATCH(E1477,'NCO-2015 scores'!$A$2:$A$131,0))),1,0),0)</f>
        <v>1</v>
      </c>
    </row>
    <row r="1478" customFormat="false" ht="15" hidden="false" customHeight="false" outlineLevel="0" collapsed="false">
      <c r="A1478" s="2" t="n">
        <v>1474</v>
      </c>
      <c r="B1478" s="2" t="s">
        <v>4525</v>
      </c>
      <c r="C1478" s="2" t="s">
        <v>4526</v>
      </c>
      <c r="D1478" s="2" t="s">
        <v>4527</v>
      </c>
      <c r="E1478" s="2" t="str">
        <f aca="false">LEFT(C1478,3)</f>
        <v>731</v>
      </c>
      <c r="F1478" s="2" t="str">
        <f aca="false">IF(D1478="","",LEFT(D1478,3))</f>
        <v>742</v>
      </c>
      <c r="G1478" s="2" t="str">
        <f aca="false">IF(F1478="","",IF(E1478=F1478,"Yes","No"))</f>
        <v>No</v>
      </c>
      <c r="H1478" s="2" t="n">
        <f aca="false">IF(D1478="",0,1/COUNTIF($D$2:$D$3451,D1478))</f>
        <v>1</v>
      </c>
      <c r="I1478" s="13" t="n">
        <f aca="false">IFERROR(INDEX('NCO-2015 scores'!$C$2:$C$131,MATCH(E1478,'NCO-2015 scores'!$A$2:$A$131,0)),0)</f>
        <v>0.1688</v>
      </c>
      <c r="J1478" s="13" t="n">
        <f aca="false">IF(ISNUMBER(MATCH(E1478,'NCO-2015 scores'!$A$2:$A$131,0)),IF(ISNUMBER(INDEX('NCO-2015 scores'!$C$2:$C$131,MATCH(E1478,'NCO-2015 scores'!$A$2:$A$131,0))),1,0),0)</f>
        <v>1</v>
      </c>
    </row>
    <row r="1479" customFormat="false" ht="15" hidden="false" customHeight="false" outlineLevel="0" collapsed="false">
      <c r="A1479" s="2" t="n">
        <v>1475</v>
      </c>
      <c r="B1479" s="2" t="s">
        <v>4528</v>
      </c>
      <c r="C1479" s="2" t="s">
        <v>4529</v>
      </c>
      <c r="D1479" s="2" t="s">
        <v>4530</v>
      </c>
      <c r="E1479" s="2" t="str">
        <f aca="false">LEFT(C1479,3)</f>
        <v>731</v>
      </c>
      <c r="F1479" s="2" t="str">
        <f aca="false">IF(D1479="","",LEFT(D1479,3))</f>
        <v>742</v>
      </c>
      <c r="G1479" s="2" t="str">
        <f aca="false">IF(F1479="","",IF(E1479=F1479,"Yes","No"))</f>
        <v>No</v>
      </c>
      <c r="H1479" s="2" t="n">
        <f aca="false">IF(D1479="",0,1/COUNTIF($D$2:$D$3451,D1479))</f>
        <v>1</v>
      </c>
      <c r="I1479" s="13" t="n">
        <f aca="false">IFERROR(INDEX('NCO-2015 scores'!$C$2:$C$131,MATCH(E1479,'NCO-2015 scores'!$A$2:$A$131,0)),0)</f>
        <v>0.1688</v>
      </c>
      <c r="J1479" s="13" t="n">
        <f aca="false">IF(ISNUMBER(MATCH(E1479,'NCO-2015 scores'!$A$2:$A$131,0)),IF(ISNUMBER(INDEX('NCO-2015 scores'!$C$2:$C$131,MATCH(E1479,'NCO-2015 scores'!$A$2:$A$131,0))),1,0),0)</f>
        <v>1</v>
      </c>
    </row>
    <row r="1480" customFormat="false" ht="15" hidden="false" customHeight="false" outlineLevel="0" collapsed="false">
      <c r="A1480" s="2" t="n">
        <v>1476</v>
      </c>
      <c r="B1480" s="2" t="s">
        <v>4531</v>
      </c>
      <c r="C1480" s="2" t="s">
        <v>4532</v>
      </c>
      <c r="D1480" s="2" t="s">
        <v>4533</v>
      </c>
      <c r="E1480" s="2" t="str">
        <f aca="false">LEFT(C1480,3)</f>
        <v>731</v>
      </c>
      <c r="F1480" s="2" t="str">
        <f aca="false">IF(D1480="","",LEFT(D1480,3))</f>
        <v>742</v>
      </c>
      <c r="G1480" s="2" t="str">
        <f aca="false">IF(F1480="","",IF(E1480=F1480,"Yes","No"))</f>
        <v>No</v>
      </c>
      <c r="H1480" s="2" t="n">
        <f aca="false">IF(D1480="",0,1/COUNTIF($D$2:$D$3451,D1480))</f>
        <v>1</v>
      </c>
      <c r="I1480" s="13" t="n">
        <f aca="false">IFERROR(INDEX('NCO-2015 scores'!$C$2:$C$131,MATCH(E1480,'NCO-2015 scores'!$A$2:$A$131,0)),0)</f>
        <v>0.1688</v>
      </c>
      <c r="J1480" s="13" t="n">
        <f aca="false">IF(ISNUMBER(MATCH(E1480,'NCO-2015 scores'!$A$2:$A$131,0)),IF(ISNUMBER(INDEX('NCO-2015 scores'!$C$2:$C$131,MATCH(E1480,'NCO-2015 scores'!$A$2:$A$131,0))),1,0),0)</f>
        <v>1</v>
      </c>
    </row>
    <row r="1481" customFormat="false" ht="15" hidden="false" customHeight="false" outlineLevel="0" collapsed="false">
      <c r="A1481" s="2" t="n">
        <v>1477</v>
      </c>
      <c r="B1481" s="2" t="s">
        <v>4534</v>
      </c>
      <c r="C1481" s="2" t="s">
        <v>4535</v>
      </c>
      <c r="D1481" s="2" t="s">
        <v>4536</v>
      </c>
      <c r="E1481" s="2" t="str">
        <f aca="false">LEFT(C1481,3)</f>
        <v>731</v>
      </c>
      <c r="F1481" s="2" t="str">
        <f aca="false">IF(D1481="","",LEFT(D1481,3))</f>
        <v>742</v>
      </c>
      <c r="G1481" s="2" t="str">
        <f aca="false">IF(F1481="","",IF(E1481=F1481,"Yes","No"))</f>
        <v>No</v>
      </c>
      <c r="H1481" s="2" t="n">
        <f aca="false">IF(D1481="",0,1/COUNTIF($D$2:$D$3451,D1481))</f>
        <v>1</v>
      </c>
      <c r="I1481" s="13" t="n">
        <f aca="false">IFERROR(INDEX('NCO-2015 scores'!$C$2:$C$131,MATCH(E1481,'NCO-2015 scores'!$A$2:$A$131,0)),0)</f>
        <v>0.1688</v>
      </c>
      <c r="J1481" s="13" t="n">
        <f aca="false">IF(ISNUMBER(MATCH(E1481,'NCO-2015 scores'!$A$2:$A$131,0)),IF(ISNUMBER(INDEX('NCO-2015 scores'!$C$2:$C$131,MATCH(E1481,'NCO-2015 scores'!$A$2:$A$131,0))),1,0),0)</f>
        <v>1</v>
      </c>
    </row>
    <row r="1482" customFormat="false" ht="15" hidden="false" customHeight="false" outlineLevel="0" collapsed="false">
      <c r="A1482" s="2" t="n">
        <v>1478</v>
      </c>
      <c r="B1482" s="2" t="s">
        <v>4537</v>
      </c>
      <c r="C1482" s="2" t="s">
        <v>4538</v>
      </c>
      <c r="D1482" s="2" t="s">
        <v>4539</v>
      </c>
      <c r="E1482" s="2" t="str">
        <f aca="false">LEFT(C1482,3)</f>
        <v>731</v>
      </c>
      <c r="F1482" s="2" t="str">
        <f aca="false">IF(D1482="","",LEFT(D1482,3))</f>
        <v>742</v>
      </c>
      <c r="G1482" s="2" t="str">
        <f aca="false">IF(F1482="","",IF(E1482=F1482,"Yes","No"))</f>
        <v>No</v>
      </c>
      <c r="H1482" s="2" t="n">
        <f aca="false">IF(D1482="",0,1/COUNTIF($D$2:$D$3451,D1482))</f>
        <v>1</v>
      </c>
      <c r="I1482" s="13" t="n">
        <f aca="false">IFERROR(INDEX('NCO-2015 scores'!$C$2:$C$131,MATCH(E1482,'NCO-2015 scores'!$A$2:$A$131,0)),0)</f>
        <v>0.1688</v>
      </c>
      <c r="J1482" s="13" t="n">
        <f aca="false">IF(ISNUMBER(MATCH(E1482,'NCO-2015 scores'!$A$2:$A$131,0)),IF(ISNUMBER(INDEX('NCO-2015 scores'!$C$2:$C$131,MATCH(E1482,'NCO-2015 scores'!$A$2:$A$131,0))),1,0),0)</f>
        <v>1</v>
      </c>
    </row>
    <row r="1483" customFormat="false" ht="15" hidden="false" customHeight="false" outlineLevel="0" collapsed="false">
      <c r="A1483" s="2" t="n">
        <v>1479</v>
      </c>
      <c r="B1483" s="2" t="s">
        <v>4540</v>
      </c>
      <c r="C1483" s="2" t="s">
        <v>4541</v>
      </c>
      <c r="D1483" s="2" t="s">
        <v>4542</v>
      </c>
      <c r="E1483" s="2" t="str">
        <f aca="false">LEFT(C1483,3)</f>
        <v>731</v>
      </c>
      <c r="F1483" s="2" t="str">
        <f aca="false">IF(D1483="","",LEFT(D1483,3))</f>
        <v>742</v>
      </c>
      <c r="G1483" s="2" t="str">
        <f aca="false">IF(F1483="","",IF(E1483=F1483,"Yes","No"))</f>
        <v>No</v>
      </c>
      <c r="H1483" s="2" t="n">
        <f aca="false">IF(D1483="",0,1/COUNTIF($D$2:$D$3451,D1483))</f>
        <v>1</v>
      </c>
      <c r="I1483" s="13" t="n">
        <f aca="false">IFERROR(INDEX('NCO-2015 scores'!$C$2:$C$131,MATCH(E1483,'NCO-2015 scores'!$A$2:$A$131,0)),0)</f>
        <v>0.1688</v>
      </c>
      <c r="J1483" s="13" t="n">
        <f aca="false">IF(ISNUMBER(MATCH(E1483,'NCO-2015 scores'!$A$2:$A$131,0)),IF(ISNUMBER(INDEX('NCO-2015 scores'!$C$2:$C$131,MATCH(E1483,'NCO-2015 scores'!$A$2:$A$131,0))),1,0),0)</f>
        <v>1</v>
      </c>
    </row>
    <row r="1484" customFormat="false" ht="15" hidden="false" customHeight="false" outlineLevel="0" collapsed="false">
      <c r="A1484" s="2" t="n">
        <v>1480</v>
      </c>
      <c r="B1484" s="2" t="s">
        <v>4543</v>
      </c>
      <c r="C1484" s="2" t="s">
        <v>4544</v>
      </c>
      <c r="D1484" s="2" t="s">
        <v>4545</v>
      </c>
      <c r="E1484" s="2" t="str">
        <f aca="false">LEFT(C1484,3)</f>
        <v>731</v>
      </c>
      <c r="F1484" s="2" t="str">
        <f aca="false">IF(D1484="","",LEFT(D1484,3))</f>
        <v>742</v>
      </c>
      <c r="G1484" s="2" t="str">
        <f aca="false">IF(F1484="","",IF(E1484=F1484,"Yes","No"))</f>
        <v>No</v>
      </c>
      <c r="H1484" s="2" t="n">
        <f aca="false">IF(D1484="",0,1/COUNTIF($D$2:$D$3451,D1484))</f>
        <v>1</v>
      </c>
      <c r="I1484" s="13" t="n">
        <f aca="false">IFERROR(INDEX('NCO-2015 scores'!$C$2:$C$131,MATCH(E1484,'NCO-2015 scores'!$A$2:$A$131,0)),0)</f>
        <v>0.1688</v>
      </c>
      <c r="J1484" s="13" t="n">
        <f aca="false">IF(ISNUMBER(MATCH(E1484,'NCO-2015 scores'!$A$2:$A$131,0)),IF(ISNUMBER(INDEX('NCO-2015 scores'!$C$2:$C$131,MATCH(E1484,'NCO-2015 scores'!$A$2:$A$131,0))),1,0),0)</f>
        <v>1</v>
      </c>
    </row>
    <row r="1485" customFormat="false" ht="15" hidden="false" customHeight="false" outlineLevel="0" collapsed="false">
      <c r="A1485" s="2" t="n">
        <v>1481</v>
      </c>
      <c r="B1485" s="2" t="s">
        <v>4546</v>
      </c>
      <c r="C1485" s="2" t="s">
        <v>4547</v>
      </c>
      <c r="D1485" s="2" t="s">
        <v>4548</v>
      </c>
      <c r="E1485" s="2" t="str">
        <f aca="false">LEFT(C1485,3)</f>
        <v>731</v>
      </c>
      <c r="F1485" s="2" t="str">
        <f aca="false">IF(D1485="","",LEFT(D1485,3))</f>
        <v>742</v>
      </c>
      <c r="G1485" s="2" t="str">
        <f aca="false">IF(F1485="","",IF(E1485=F1485,"Yes","No"))</f>
        <v>No</v>
      </c>
      <c r="H1485" s="2" t="n">
        <f aca="false">IF(D1485="",0,1/COUNTIF($D$2:$D$3451,D1485))</f>
        <v>1</v>
      </c>
      <c r="I1485" s="13" t="n">
        <f aca="false">IFERROR(INDEX('NCO-2015 scores'!$C$2:$C$131,MATCH(E1485,'NCO-2015 scores'!$A$2:$A$131,0)),0)</f>
        <v>0.1688</v>
      </c>
      <c r="J1485" s="13" t="n">
        <f aca="false">IF(ISNUMBER(MATCH(E1485,'NCO-2015 scores'!$A$2:$A$131,0)),IF(ISNUMBER(INDEX('NCO-2015 scores'!$C$2:$C$131,MATCH(E1485,'NCO-2015 scores'!$A$2:$A$131,0))),1,0),0)</f>
        <v>1</v>
      </c>
    </row>
    <row r="1486" customFormat="false" ht="15" hidden="false" customHeight="false" outlineLevel="0" collapsed="false">
      <c r="A1486" s="2" t="n">
        <v>1482</v>
      </c>
      <c r="B1486" s="2" t="s">
        <v>4549</v>
      </c>
      <c r="C1486" s="2" t="s">
        <v>4550</v>
      </c>
      <c r="D1486" s="2" t="s">
        <v>4551</v>
      </c>
      <c r="E1486" s="2" t="str">
        <f aca="false">LEFT(C1486,3)</f>
        <v>731</v>
      </c>
      <c r="F1486" s="2" t="str">
        <f aca="false">IF(D1486="","",LEFT(D1486,3))</f>
        <v>742</v>
      </c>
      <c r="G1486" s="2" t="str">
        <f aca="false">IF(F1486="","",IF(E1486=F1486,"Yes","No"))</f>
        <v>No</v>
      </c>
      <c r="H1486" s="2" t="n">
        <f aca="false">IF(D1486="",0,1/COUNTIF($D$2:$D$3451,D1486))</f>
        <v>1</v>
      </c>
      <c r="I1486" s="13" t="n">
        <f aca="false">IFERROR(INDEX('NCO-2015 scores'!$C$2:$C$131,MATCH(E1486,'NCO-2015 scores'!$A$2:$A$131,0)),0)</f>
        <v>0.1688</v>
      </c>
      <c r="J1486" s="13" t="n">
        <f aca="false">IF(ISNUMBER(MATCH(E1486,'NCO-2015 scores'!$A$2:$A$131,0)),IF(ISNUMBER(INDEX('NCO-2015 scores'!$C$2:$C$131,MATCH(E1486,'NCO-2015 scores'!$A$2:$A$131,0))),1,0),0)</f>
        <v>1</v>
      </c>
    </row>
    <row r="1487" customFormat="false" ht="15" hidden="false" customHeight="false" outlineLevel="0" collapsed="false">
      <c r="A1487" s="2" t="n">
        <v>1483</v>
      </c>
      <c r="B1487" s="2" t="s">
        <v>4552</v>
      </c>
      <c r="C1487" s="2" t="s">
        <v>4553</v>
      </c>
      <c r="D1487" s="2" t="s">
        <v>4554</v>
      </c>
      <c r="E1487" s="2" t="str">
        <f aca="false">LEFT(C1487,3)</f>
        <v>731</v>
      </c>
      <c r="F1487" s="2" t="str">
        <f aca="false">IF(D1487="","",LEFT(D1487,3))</f>
        <v>742</v>
      </c>
      <c r="G1487" s="2" t="str">
        <f aca="false">IF(F1487="","",IF(E1487=F1487,"Yes","No"))</f>
        <v>No</v>
      </c>
      <c r="H1487" s="2" t="n">
        <f aca="false">IF(D1487="",0,1/COUNTIF($D$2:$D$3451,D1487))</f>
        <v>1</v>
      </c>
      <c r="I1487" s="13" t="n">
        <f aca="false">IFERROR(INDEX('NCO-2015 scores'!$C$2:$C$131,MATCH(E1487,'NCO-2015 scores'!$A$2:$A$131,0)),0)</f>
        <v>0.1688</v>
      </c>
      <c r="J1487" s="13" t="n">
        <f aca="false">IF(ISNUMBER(MATCH(E1487,'NCO-2015 scores'!$A$2:$A$131,0)),IF(ISNUMBER(INDEX('NCO-2015 scores'!$C$2:$C$131,MATCH(E1487,'NCO-2015 scores'!$A$2:$A$131,0))),1,0),0)</f>
        <v>1</v>
      </c>
    </row>
    <row r="1488" customFormat="false" ht="15" hidden="false" customHeight="false" outlineLevel="0" collapsed="false">
      <c r="A1488" s="2" t="n">
        <v>1484</v>
      </c>
      <c r="B1488" s="2" t="s">
        <v>4555</v>
      </c>
      <c r="C1488" s="2" t="s">
        <v>4556</v>
      </c>
      <c r="D1488" s="2" t="s">
        <v>4557</v>
      </c>
      <c r="E1488" s="2" t="str">
        <f aca="false">LEFT(C1488,3)</f>
        <v>731</v>
      </c>
      <c r="F1488" s="2" t="str">
        <f aca="false">IF(D1488="","",LEFT(D1488,3))</f>
        <v>742</v>
      </c>
      <c r="G1488" s="2" t="str">
        <f aca="false">IF(F1488="","",IF(E1488=F1488,"Yes","No"))</f>
        <v>No</v>
      </c>
      <c r="H1488" s="2" t="n">
        <f aca="false">IF(D1488="",0,1/COUNTIF($D$2:$D$3451,D1488))</f>
        <v>1</v>
      </c>
      <c r="I1488" s="13" t="n">
        <f aca="false">IFERROR(INDEX('NCO-2015 scores'!$C$2:$C$131,MATCH(E1488,'NCO-2015 scores'!$A$2:$A$131,0)),0)</f>
        <v>0.1688</v>
      </c>
      <c r="J1488" s="13" t="n">
        <f aca="false">IF(ISNUMBER(MATCH(E1488,'NCO-2015 scores'!$A$2:$A$131,0)),IF(ISNUMBER(INDEX('NCO-2015 scores'!$C$2:$C$131,MATCH(E1488,'NCO-2015 scores'!$A$2:$A$131,0))),1,0),0)</f>
        <v>1</v>
      </c>
    </row>
    <row r="1489" customFormat="false" ht="15" hidden="false" customHeight="false" outlineLevel="0" collapsed="false">
      <c r="A1489" s="2" t="n">
        <v>1485</v>
      </c>
      <c r="B1489" s="2" t="s">
        <v>4558</v>
      </c>
      <c r="C1489" s="2" t="s">
        <v>4559</v>
      </c>
      <c r="D1489" s="2" t="s">
        <v>4560</v>
      </c>
      <c r="E1489" s="2" t="str">
        <f aca="false">LEFT(C1489,3)</f>
        <v>731</v>
      </c>
      <c r="F1489" s="2" t="str">
        <f aca="false">IF(D1489="","",LEFT(D1489,3))</f>
        <v>742</v>
      </c>
      <c r="G1489" s="2" t="str">
        <f aca="false">IF(F1489="","",IF(E1489=F1489,"Yes","No"))</f>
        <v>No</v>
      </c>
      <c r="H1489" s="2" t="n">
        <f aca="false">IF(D1489="",0,1/COUNTIF($D$2:$D$3451,D1489))</f>
        <v>1</v>
      </c>
      <c r="I1489" s="13" t="n">
        <f aca="false">IFERROR(INDEX('NCO-2015 scores'!$C$2:$C$131,MATCH(E1489,'NCO-2015 scores'!$A$2:$A$131,0)),0)</f>
        <v>0.1688</v>
      </c>
      <c r="J1489" s="13" t="n">
        <f aca="false">IF(ISNUMBER(MATCH(E1489,'NCO-2015 scores'!$A$2:$A$131,0)),IF(ISNUMBER(INDEX('NCO-2015 scores'!$C$2:$C$131,MATCH(E1489,'NCO-2015 scores'!$A$2:$A$131,0))),1,0),0)</f>
        <v>1</v>
      </c>
    </row>
    <row r="1490" customFormat="false" ht="15" hidden="false" customHeight="false" outlineLevel="0" collapsed="false">
      <c r="A1490" s="2" t="n">
        <v>1486</v>
      </c>
      <c r="B1490" s="2" t="s">
        <v>4561</v>
      </c>
      <c r="C1490" s="2" t="s">
        <v>4562</v>
      </c>
      <c r="D1490" s="2" t="s">
        <v>4563</v>
      </c>
      <c r="E1490" s="2" t="str">
        <f aca="false">LEFT(C1490,3)</f>
        <v>226</v>
      </c>
      <c r="F1490" s="2" t="str">
        <f aca="false">IF(D1490="","",LEFT(D1490,3))</f>
        <v>222</v>
      </c>
      <c r="G1490" s="2" t="str">
        <f aca="false">IF(F1490="","",IF(E1490=F1490,"Yes","No"))</f>
        <v>No</v>
      </c>
      <c r="H1490" s="2" t="n">
        <f aca="false">IF(D1490="",0,1/COUNTIF($D$2:$D$3451,D1490))</f>
        <v>1</v>
      </c>
      <c r="I1490" s="13" t="n">
        <f aca="false">IFERROR(INDEX('NCO-2015 scores'!$C$2:$C$131,MATCH(E1490,'NCO-2015 scores'!$A$2:$A$131,0)),0)</f>
        <v>0.2662</v>
      </c>
      <c r="J1490" s="13" t="n">
        <f aca="false">IF(ISNUMBER(MATCH(E1490,'NCO-2015 scores'!$A$2:$A$131,0)),IF(ISNUMBER(INDEX('NCO-2015 scores'!$C$2:$C$131,MATCH(E1490,'NCO-2015 scores'!$A$2:$A$131,0))),1,0),0)</f>
        <v>1</v>
      </c>
    </row>
    <row r="1491" customFormat="false" ht="15" hidden="false" customHeight="false" outlineLevel="0" collapsed="false">
      <c r="A1491" s="2" t="n">
        <v>1487</v>
      </c>
      <c r="B1491" s="2" t="s">
        <v>4564</v>
      </c>
      <c r="C1491" s="2" t="s">
        <v>4565</v>
      </c>
      <c r="D1491" s="2" t="s">
        <v>4566</v>
      </c>
      <c r="E1491" s="2" t="str">
        <f aca="false">LEFT(C1491,3)</f>
        <v>226</v>
      </c>
      <c r="F1491" s="2" t="str">
        <f aca="false">IF(D1491="","",LEFT(D1491,3))</f>
        <v>222</v>
      </c>
      <c r="G1491" s="2" t="str">
        <f aca="false">IF(F1491="","",IF(E1491=F1491,"Yes","No"))</f>
        <v>No</v>
      </c>
      <c r="H1491" s="2" t="n">
        <f aca="false">IF(D1491="",0,1/COUNTIF($D$2:$D$3451,D1491))</f>
        <v>1</v>
      </c>
      <c r="I1491" s="13" t="n">
        <f aca="false">IFERROR(INDEX('NCO-2015 scores'!$C$2:$C$131,MATCH(E1491,'NCO-2015 scores'!$A$2:$A$131,0)),0)</f>
        <v>0.2662</v>
      </c>
      <c r="J1491" s="13" t="n">
        <f aca="false">IF(ISNUMBER(MATCH(E1491,'NCO-2015 scores'!$A$2:$A$131,0)),IF(ISNUMBER(INDEX('NCO-2015 scores'!$C$2:$C$131,MATCH(E1491,'NCO-2015 scores'!$A$2:$A$131,0))),1,0),0)</f>
        <v>1</v>
      </c>
    </row>
    <row r="1492" customFormat="false" ht="15" hidden="false" customHeight="false" outlineLevel="0" collapsed="false">
      <c r="A1492" s="2" t="n">
        <v>1488</v>
      </c>
      <c r="B1492" s="2" t="s">
        <v>4567</v>
      </c>
      <c r="C1492" s="2" t="s">
        <v>4568</v>
      </c>
      <c r="D1492" s="2" t="s">
        <v>4569</v>
      </c>
      <c r="E1492" s="2" t="str">
        <f aca="false">LEFT(C1492,3)</f>
        <v>226</v>
      </c>
      <c r="F1492" s="2" t="str">
        <f aca="false">IF(D1492="","",LEFT(D1492,3))</f>
        <v>222</v>
      </c>
      <c r="G1492" s="2" t="str">
        <f aca="false">IF(F1492="","",IF(E1492=F1492,"Yes","No"))</f>
        <v>No</v>
      </c>
      <c r="H1492" s="2" t="n">
        <f aca="false">IF(D1492="",0,1/COUNTIF($D$2:$D$3451,D1492))</f>
        <v>1</v>
      </c>
      <c r="I1492" s="13" t="n">
        <f aca="false">IFERROR(INDEX('NCO-2015 scores'!$C$2:$C$131,MATCH(E1492,'NCO-2015 scores'!$A$2:$A$131,0)),0)</f>
        <v>0.2662</v>
      </c>
      <c r="J1492" s="13" t="n">
        <f aca="false">IF(ISNUMBER(MATCH(E1492,'NCO-2015 scores'!$A$2:$A$131,0)),IF(ISNUMBER(INDEX('NCO-2015 scores'!$C$2:$C$131,MATCH(E1492,'NCO-2015 scores'!$A$2:$A$131,0))),1,0),0)</f>
        <v>1</v>
      </c>
    </row>
    <row r="1493" customFormat="false" ht="15" hidden="false" customHeight="false" outlineLevel="0" collapsed="false">
      <c r="A1493" s="2" t="n">
        <v>1489</v>
      </c>
      <c r="B1493" s="2" t="s">
        <v>4570</v>
      </c>
      <c r="C1493" s="2" t="s">
        <v>4571</v>
      </c>
      <c r="D1493" s="2" t="s">
        <v>4572</v>
      </c>
      <c r="E1493" s="2" t="str">
        <f aca="false">LEFT(C1493,3)</f>
        <v>226</v>
      </c>
      <c r="F1493" s="2" t="str">
        <f aca="false">IF(D1493="","",LEFT(D1493,3))</f>
        <v>222</v>
      </c>
      <c r="G1493" s="2" t="str">
        <f aca="false">IF(F1493="","",IF(E1493=F1493,"Yes","No"))</f>
        <v>No</v>
      </c>
      <c r="H1493" s="2" t="n">
        <f aca="false">IF(D1493="",0,1/COUNTIF($D$2:$D$3451,D1493))</f>
        <v>1</v>
      </c>
      <c r="I1493" s="13" t="n">
        <f aca="false">IFERROR(INDEX('NCO-2015 scores'!$C$2:$C$131,MATCH(E1493,'NCO-2015 scores'!$A$2:$A$131,0)),0)</f>
        <v>0.2662</v>
      </c>
      <c r="J1493" s="13" t="n">
        <f aca="false">IF(ISNUMBER(MATCH(E1493,'NCO-2015 scores'!$A$2:$A$131,0)),IF(ISNUMBER(INDEX('NCO-2015 scores'!$C$2:$C$131,MATCH(E1493,'NCO-2015 scores'!$A$2:$A$131,0))),1,0),0)</f>
        <v>1</v>
      </c>
    </row>
    <row r="1494" customFormat="false" ht="15" hidden="false" customHeight="false" outlineLevel="0" collapsed="false">
      <c r="A1494" s="2" t="n">
        <v>1490</v>
      </c>
      <c r="B1494" s="2" t="s">
        <v>4573</v>
      </c>
      <c r="C1494" s="2" t="s">
        <v>4574</v>
      </c>
      <c r="D1494" s="2" t="s">
        <v>4575</v>
      </c>
      <c r="E1494" s="2" t="str">
        <f aca="false">LEFT(C1494,3)</f>
        <v>226</v>
      </c>
      <c r="F1494" s="2" t="str">
        <f aca="false">IF(D1494="","",LEFT(D1494,3))</f>
        <v>322</v>
      </c>
      <c r="G1494" s="2" t="str">
        <f aca="false">IF(F1494="","",IF(E1494=F1494,"Yes","No"))</f>
        <v>No</v>
      </c>
      <c r="H1494" s="2" t="n">
        <f aca="false">IF(D1494="",0,1/COUNTIF($D$2:$D$3451,D1494))</f>
        <v>1</v>
      </c>
      <c r="I1494" s="13" t="n">
        <f aca="false">IFERROR(INDEX('NCO-2015 scores'!$C$2:$C$131,MATCH(E1494,'NCO-2015 scores'!$A$2:$A$131,0)),0)</f>
        <v>0.2662</v>
      </c>
      <c r="J1494" s="13" t="n">
        <f aca="false">IF(ISNUMBER(MATCH(E1494,'NCO-2015 scores'!$A$2:$A$131,0)),IF(ISNUMBER(INDEX('NCO-2015 scores'!$C$2:$C$131,MATCH(E1494,'NCO-2015 scores'!$A$2:$A$131,0))),1,0),0)</f>
        <v>1</v>
      </c>
    </row>
    <row r="1495" customFormat="false" ht="15" hidden="false" customHeight="false" outlineLevel="0" collapsed="false">
      <c r="A1495" s="2" t="n">
        <v>1491</v>
      </c>
      <c r="B1495" s="2" t="s">
        <v>4576</v>
      </c>
      <c r="C1495" s="2" t="s">
        <v>4577</v>
      </c>
      <c r="D1495" s="2" t="s">
        <v>4578</v>
      </c>
      <c r="E1495" s="2" t="str">
        <f aca="false">LEFT(C1495,3)</f>
        <v>226</v>
      </c>
      <c r="F1495" s="2" t="str">
        <f aca="false">IF(D1495="","",LEFT(D1495,3))</f>
        <v>322</v>
      </c>
      <c r="G1495" s="2" t="str">
        <f aca="false">IF(F1495="","",IF(E1495=F1495,"Yes","No"))</f>
        <v>No</v>
      </c>
      <c r="H1495" s="2" t="n">
        <f aca="false">IF(D1495="",0,1/COUNTIF($D$2:$D$3451,D1495))</f>
        <v>1</v>
      </c>
      <c r="I1495" s="13" t="n">
        <f aca="false">IFERROR(INDEX('NCO-2015 scores'!$C$2:$C$131,MATCH(E1495,'NCO-2015 scores'!$A$2:$A$131,0)),0)</f>
        <v>0.2662</v>
      </c>
      <c r="J1495" s="13" t="n">
        <f aca="false">IF(ISNUMBER(MATCH(E1495,'NCO-2015 scores'!$A$2:$A$131,0)),IF(ISNUMBER(INDEX('NCO-2015 scores'!$C$2:$C$131,MATCH(E1495,'NCO-2015 scores'!$A$2:$A$131,0))),1,0),0)</f>
        <v>1</v>
      </c>
    </row>
    <row r="1496" customFormat="false" ht="15" hidden="false" customHeight="false" outlineLevel="0" collapsed="false">
      <c r="A1496" s="2" t="n">
        <v>1492</v>
      </c>
      <c r="B1496" s="2" t="s">
        <v>4579</v>
      </c>
      <c r="C1496" s="2" t="s">
        <v>4580</v>
      </c>
      <c r="D1496" s="2" t="s">
        <v>4581</v>
      </c>
      <c r="E1496" s="2" t="str">
        <f aca="false">LEFT(C1496,3)</f>
        <v>226</v>
      </c>
      <c r="F1496" s="2" t="str">
        <f aca="false">IF(D1496="","",LEFT(D1496,3))</f>
        <v>322</v>
      </c>
      <c r="G1496" s="2" t="str">
        <f aca="false">IF(F1496="","",IF(E1496=F1496,"Yes","No"))</f>
        <v>No</v>
      </c>
      <c r="H1496" s="2" t="n">
        <f aca="false">IF(D1496="",0,1/COUNTIF($D$2:$D$3451,D1496))</f>
        <v>1</v>
      </c>
      <c r="I1496" s="13" t="n">
        <f aca="false">IFERROR(INDEX('NCO-2015 scores'!$C$2:$C$131,MATCH(E1496,'NCO-2015 scores'!$A$2:$A$131,0)),0)</f>
        <v>0.2662</v>
      </c>
      <c r="J1496" s="13" t="n">
        <f aca="false">IF(ISNUMBER(MATCH(E1496,'NCO-2015 scores'!$A$2:$A$131,0)),IF(ISNUMBER(INDEX('NCO-2015 scores'!$C$2:$C$131,MATCH(E1496,'NCO-2015 scores'!$A$2:$A$131,0))),1,0),0)</f>
        <v>1</v>
      </c>
    </row>
    <row r="1497" customFormat="false" ht="15" hidden="false" customHeight="false" outlineLevel="0" collapsed="false">
      <c r="A1497" s="2" t="n">
        <v>1493</v>
      </c>
      <c r="B1497" s="2" t="s">
        <v>4582</v>
      </c>
      <c r="C1497" s="2" t="s">
        <v>4583</v>
      </c>
      <c r="D1497" s="2" t="s">
        <v>4584</v>
      </c>
      <c r="E1497" s="2" t="str">
        <f aca="false">LEFT(C1497,3)</f>
        <v>833</v>
      </c>
      <c r="F1497" s="2" t="str">
        <f aca="false">IF(D1497="","",LEFT(D1497,3))</f>
        <v>832</v>
      </c>
      <c r="G1497" s="2" t="str">
        <f aca="false">IF(F1497="","",IF(E1497=F1497,"Yes","No"))</f>
        <v>No</v>
      </c>
      <c r="H1497" s="2" t="n">
        <f aca="false">IF(D1497="",0,1/COUNTIF($D$2:$D$3451,D1497))</f>
        <v>1</v>
      </c>
      <c r="I1497" s="13" t="n">
        <f aca="false">IFERROR(INDEX('NCO-2015 scores'!$C$2:$C$131,MATCH(E1497,'NCO-2015 scores'!$A$2:$A$131,0)),0)</f>
        <v>0.21</v>
      </c>
      <c r="J1497" s="13" t="n">
        <f aca="false">IF(ISNUMBER(MATCH(E1497,'NCO-2015 scores'!$A$2:$A$131,0)),IF(ISNUMBER(INDEX('NCO-2015 scores'!$C$2:$C$131,MATCH(E1497,'NCO-2015 scores'!$A$2:$A$131,0))),1,0),0)</f>
        <v>1</v>
      </c>
    </row>
    <row r="1498" customFormat="false" ht="15" hidden="false" customHeight="false" outlineLevel="0" collapsed="false">
      <c r="A1498" s="2" t="n">
        <v>1494</v>
      </c>
      <c r="B1498" s="2" t="s">
        <v>4585</v>
      </c>
      <c r="C1498" s="2" t="s">
        <v>4586</v>
      </c>
      <c r="D1498" s="2" t="s">
        <v>4587</v>
      </c>
      <c r="E1498" s="2" t="str">
        <f aca="false">LEFT(C1498,3)</f>
        <v>833</v>
      </c>
      <c r="F1498" s="2" t="str">
        <f aca="false">IF(D1498="","",LEFT(D1498,3))</f>
        <v>832</v>
      </c>
      <c r="G1498" s="2" t="str">
        <f aca="false">IF(F1498="","",IF(E1498=F1498,"Yes","No"))</f>
        <v>No</v>
      </c>
      <c r="H1498" s="2" t="n">
        <f aca="false">IF(D1498="",0,1/COUNTIF($D$2:$D$3451,D1498))</f>
        <v>1</v>
      </c>
      <c r="I1498" s="13" t="n">
        <f aca="false">IFERROR(INDEX('NCO-2015 scores'!$C$2:$C$131,MATCH(E1498,'NCO-2015 scores'!$A$2:$A$131,0)),0)</f>
        <v>0.21</v>
      </c>
      <c r="J1498" s="13" t="n">
        <f aca="false">IF(ISNUMBER(MATCH(E1498,'NCO-2015 scores'!$A$2:$A$131,0)),IF(ISNUMBER(INDEX('NCO-2015 scores'!$C$2:$C$131,MATCH(E1498,'NCO-2015 scores'!$A$2:$A$131,0))),1,0),0)</f>
        <v>1</v>
      </c>
    </row>
    <row r="1499" customFormat="false" ht="15" hidden="false" customHeight="false" outlineLevel="0" collapsed="false">
      <c r="A1499" s="2" t="n">
        <v>1495</v>
      </c>
      <c r="B1499" s="2" t="s">
        <v>4588</v>
      </c>
      <c r="C1499" s="2" t="s">
        <v>4589</v>
      </c>
      <c r="D1499" s="2" t="s">
        <v>4590</v>
      </c>
      <c r="E1499" s="2" t="str">
        <f aca="false">LEFT(C1499,3)</f>
        <v>833</v>
      </c>
      <c r="F1499" s="2" t="str">
        <f aca="false">IF(D1499="","",LEFT(D1499,3))</f>
        <v>832</v>
      </c>
      <c r="G1499" s="2" t="str">
        <f aca="false">IF(F1499="","",IF(E1499=F1499,"Yes","No"))</f>
        <v>No</v>
      </c>
      <c r="H1499" s="2" t="n">
        <f aca="false">IF(D1499="",0,1/COUNTIF($D$2:$D$3451,D1499))</f>
        <v>1</v>
      </c>
      <c r="I1499" s="13" t="n">
        <f aca="false">IFERROR(INDEX('NCO-2015 scores'!$C$2:$C$131,MATCH(E1499,'NCO-2015 scores'!$A$2:$A$131,0)),0)</f>
        <v>0.21</v>
      </c>
      <c r="J1499" s="13" t="n">
        <f aca="false">IF(ISNUMBER(MATCH(E1499,'NCO-2015 scores'!$A$2:$A$131,0)),IF(ISNUMBER(INDEX('NCO-2015 scores'!$C$2:$C$131,MATCH(E1499,'NCO-2015 scores'!$A$2:$A$131,0))),1,0),0)</f>
        <v>1</v>
      </c>
    </row>
    <row r="1500" customFormat="false" ht="15" hidden="false" customHeight="false" outlineLevel="0" collapsed="false">
      <c r="A1500" s="2" t="n">
        <v>1496</v>
      </c>
      <c r="B1500" s="2" t="s">
        <v>4591</v>
      </c>
      <c r="C1500" s="2" t="s">
        <v>4592</v>
      </c>
      <c r="D1500" s="2"/>
      <c r="E1500" s="2" t="str">
        <f aca="false">LEFT(C1500,3)</f>
        <v>532</v>
      </c>
      <c r="F1500" s="2" t="str">
        <f aca="false">IF(D1500="","",LEFT(D1500,3))</f>
        <v/>
      </c>
      <c r="G1500" s="2" t="str">
        <f aca="false">IF(F1500="","",IF(E1500=F1500,"Yes","No"))</f>
        <v/>
      </c>
      <c r="H1500" s="2" t="n">
        <f aca="false">IF(D1500="",0,1/COUNTIF($D$2:$D$3451,D1500))</f>
        <v>0</v>
      </c>
      <c r="I1500" s="13" t="n">
        <f aca="false">IFERROR(INDEX('NCO-2015 scores'!$C$2:$C$131,MATCH(E1500,'NCO-2015 scores'!$A$2:$A$131,0)),0)</f>
        <v>0.18</v>
      </c>
      <c r="J1500" s="13" t="n">
        <f aca="false">IF(ISNUMBER(MATCH(E1500,'NCO-2015 scores'!$A$2:$A$131,0)),IF(ISNUMBER(INDEX('NCO-2015 scores'!$C$2:$C$131,MATCH(E1500,'NCO-2015 scores'!$A$2:$A$131,0))),1,0),0)</f>
        <v>1</v>
      </c>
    </row>
    <row r="1501" customFormat="false" ht="15" hidden="false" customHeight="false" outlineLevel="0" collapsed="false">
      <c r="A1501" s="2" t="n">
        <v>1497</v>
      </c>
      <c r="B1501" s="2" t="s">
        <v>4593</v>
      </c>
      <c r="C1501" s="2" t="s">
        <v>4594</v>
      </c>
      <c r="D1501" s="2" t="s">
        <v>4595</v>
      </c>
      <c r="E1501" s="2" t="str">
        <f aca="false">LEFT(C1501,3)</f>
        <v>532</v>
      </c>
      <c r="F1501" s="2" t="str">
        <f aca="false">IF(D1501="","",LEFT(D1501,3))</f>
        <v>513</v>
      </c>
      <c r="G1501" s="2" t="str">
        <f aca="false">IF(F1501="","",IF(E1501=F1501,"Yes","No"))</f>
        <v>No</v>
      </c>
      <c r="H1501" s="2" t="n">
        <f aca="false">IF(D1501="",0,1/COUNTIF($D$2:$D$3451,D1501))</f>
        <v>1</v>
      </c>
      <c r="I1501" s="13" t="n">
        <f aca="false">IFERROR(INDEX('NCO-2015 scores'!$C$2:$C$131,MATCH(E1501,'NCO-2015 scores'!$A$2:$A$131,0)),0)</f>
        <v>0.18</v>
      </c>
      <c r="J1501" s="13" t="n">
        <f aca="false">IF(ISNUMBER(MATCH(E1501,'NCO-2015 scores'!$A$2:$A$131,0)),IF(ISNUMBER(INDEX('NCO-2015 scores'!$C$2:$C$131,MATCH(E1501,'NCO-2015 scores'!$A$2:$A$131,0))),1,0),0)</f>
        <v>1</v>
      </c>
    </row>
    <row r="1502" customFormat="false" ht="15" hidden="false" customHeight="false" outlineLevel="0" collapsed="false">
      <c r="A1502" s="2" t="n">
        <v>1498</v>
      </c>
      <c r="B1502" s="2" t="s">
        <v>4596</v>
      </c>
      <c r="C1502" s="2" t="s">
        <v>4597</v>
      </c>
      <c r="D1502" s="2" t="s">
        <v>4598</v>
      </c>
      <c r="E1502" s="2" t="str">
        <f aca="false">LEFT(C1502,3)</f>
        <v>141</v>
      </c>
      <c r="F1502" s="2" t="str">
        <f aca="false">IF(D1502="","",LEFT(D1502,3))</f>
        <v>122</v>
      </c>
      <c r="G1502" s="2" t="str">
        <f aca="false">IF(F1502="","",IF(E1502=F1502,"Yes","No"))</f>
        <v>No</v>
      </c>
      <c r="H1502" s="2" t="n">
        <f aca="false">IF(D1502="",0,1/COUNTIF($D$2:$D$3451,D1502))</f>
        <v>1</v>
      </c>
      <c r="I1502" s="13" t="n">
        <f aca="false">IFERROR(INDEX('NCO-2015 scores'!$C$2:$C$131,MATCH(E1502,'NCO-2015 scores'!$A$2:$A$131,0)),0)</f>
        <v>0.365</v>
      </c>
      <c r="J1502" s="13" t="n">
        <f aca="false">IF(ISNUMBER(MATCH(E1502,'NCO-2015 scores'!$A$2:$A$131,0)),IF(ISNUMBER(INDEX('NCO-2015 scores'!$C$2:$C$131,MATCH(E1502,'NCO-2015 scores'!$A$2:$A$131,0))),1,0),0)</f>
        <v>1</v>
      </c>
    </row>
    <row r="1503" customFormat="false" ht="15" hidden="false" customHeight="false" outlineLevel="0" collapsed="false">
      <c r="A1503" s="2" t="n">
        <v>1499</v>
      </c>
      <c r="B1503" s="2" t="s">
        <v>4599</v>
      </c>
      <c r="C1503" s="2" t="s">
        <v>4600</v>
      </c>
      <c r="D1503" s="2" t="s">
        <v>4601</v>
      </c>
      <c r="E1503" s="2" t="str">
        <f aca="false">LEFT(C1503,3)</f>
        <v>141</v>
      </c>
      <c r="F1503" s="2" t="str">
        <f aca="false">IF(D1503="","",LEFT(D1503,3))</f>
        <v>130</v>
      </c>
      <c r="G1503" s="2" t="str">
        <f aca="false">IF(F1503="","",IF(E1503=F1503,"Yes","No"))</f>
        <v>No</v>
      </c>
      <c r="H1503" s="2" t="n">
        <f aca="false">IF(D1503="",0,1/COUNTIF($D$2:$D$3451,D1503))</f>
        <v>1</v>
      </c>
      <c r="I1503" s="13" t="n">
        <f aca="false">IFERROR(INDEX('NCO-2015 scores'!$C$2:$C$131,MATCH(E1503,'NCO-2015 scores'!$A$2:$A$131,0)),0)</f>
        <v>0.365</v>
      </c>
      <c r="J1503" s="13" t="n">
        <f aca="false">IF(ISNUMBER(MATCH(E1503,'NCO-2015 scores'!$A$2:$A$131,0)),IF(ISNUMBER(INDEX('NCO-2015 scores'!$C$2:$C$131,MATCH(E1503,'NCO-2015 scores'!$A$2:$A$131,0))),1,0),0)</f>
        <v>1</v>
      </c>
    </row>
    <row r="1504" customFormat="false" ht="15" hidden="false" customHeight="false" outlineLevel="0" collapsed="false">
      <c r="A1504" s="2" t="n">
        <v>1500</v>
      </c>
      <c r="B1504" s="2" t="s">
        <v>4602</v>
      </c>
      <c r="C1504" s="2" t="s">
        <v>4603</v>
      </c>
      <c r="D1504" s="2" t="s">
        <v>4604</v>
      </c>
      <c r="E1504" s="2" t="str">
        <f aca="false">LEFT(C1504,3)</f>
        <v>141</v>
      </c>
      <c r="F1504" s="2" t="str">
        <f aca="false">IF(D1504="","",LEFT(D1504,3))</f>
        <v>122</v>
      </c>
      <c r="G1504" s="2" t="str">
        <f aca="false">IF(F1504="","",IF(E1504=F1504,"Yes","No"))</f>
        <v>No</v>
      </c>
      <c r="H1504" s="2" t="n">
        <f aca="false">IF(D1504="",0,1/COUNTIF($D$2:$D$3451,D1504))</f>
        <v>1</v>
      </c>
      <c r="I1504" s="13" t="n">
        <f aca="false">IFERROR(INDEX('NCO-2015 scores'!$C$2:$C$131,MATCH(E1504,'NCO-2015 scores'!$A$2:$A$131,0)),0)</f>
        <v>0.365</v>
      </c>
      <c r="J1504" s="13" t="n">
        <f aca="false">IF(ISNUMBER(MATCH(E1504,'NCO-2015 scores'!$A$2:$A$131,0)),IF(ISNUMBER(INDEX('NCO-2015 scores'!$C$2:$C$131,MATCH(E1504,'NCO-2015 scores'!$A$2:$A$131,0))),1,0),0)</f>
        <v>1</v>
      </c>
    </row>
    <row r="1505" customFormat="false" ht="15" hidden="false" customHeight="false" outlineLevel="0" collapsed="false">
      <c r="A1505" s="2" t="n">
        <v>1501</v>
      </c>
      <c r="B1505" s="2" t="s">
        <v>4605</v>
      </c>
      <c r="C1505" s="2" t="s">
        <v>4606</v>
      </c>
      <c r="D1505" s="2" t="s">
        <v>4607</v>
      </c>
      <c r="E1505" s="2" t="str">
        <f aca="false">LEFT(C1505,3)</f>
        <v>422</v>
      </c>
      <c r="F1505" s="2" t="str">
        <f aca="false">IF(D1505="","",LEFT(D1505,3))</f>
        <v>422</v>
      </c>
      <c r="G1505" s="2" t="str">
        <f aca="false">IF(F1505="","",IF(E1505=F1505,"Yes","No"))</f>
        <v>Yes</v>
      </c>
      <c r="H1505" s="2" t="n">
        <f aca="false">IF(D1505="",0,1/COUNTIF($D$2:$D$3451,D1505))</f>
        <v>1</v>
      </c>
      <c r="I1505" s="13" t="n">
        <f aca="false">IFERROR(INDEX('NCO-2015 scores'!$C$2:$C$131,MATCH(E1505,'NCO-2015 scores'!$A$2:$A$131,0)),0)</f>
        <v>0.5375</v>
      </c>
      <c r="J1505" s="13" t="n">
        <f aca="false">IF(ISNUMBER(MATCH(E1505,'NCO-2015 scores'!$A$2:$A$131,0)),IF(ISNUMBER(INDEX('NCO-2015 scores'!$C$2:$C$131,MATCH(E1505,'NCO-2015 scores'!$A$2:$A$131,0))),1,0),0)</f>
        <v>1</v>
      </c>
    </row>
    <row r="1506" customFormat="false" ht="15" hidden="false" customHeight="false" outlineLevel="0" collapsed="false">
      <c r="A1506" s="2" t="n">
        <v>1502</v>
      </c>
      <c r="B1506" s="2" t="s">
        <v>4608</v>
      </c>
      <c r="C1506" s="2" t="s">
        <v>4609</v>
      </c>
      <c r="D1506" s="2"/>
      <c r="E1506" s="2" t="str">
        <f aca="false">LEFT(C1506,3)</f>
        <v>422</v>
      </c>
      <c r="F1506" s="2" t="str">
        <f aca="false">IF(D1506="","",LEFT(D1506,3))</f>
        <v/>
      </c>
      <c r="G1506" s="2" t="str">
        <f aca="false">IF(F1506="","",IF(E1506=F1506,"Yes","No"))</f>
        <v/>
      </c>
      <c r="H1506" s="2" t="n">
        <f aca="false">IF(D1506="",0,1/COUNTIF($D$2:$D$3451,D1506))</f>
        <v>0</v>
      </c>
      <c r="I1506" s="13" t="n">
        <f aca="false">IFERROR(INDEX('NCO-2015 scores'!$C$2:$C$131,MATCH(E1506,'NCO-2015 scores'!$A$2:$A$131,0)),0)</f>
        <v>0.5375</v>
      </c>
      <c r="J1506" s="13" t="n">
        <f aca="false">IF(ISNUMBER(MATCH(E1506,'NCO-2015 scores'!$A$2:$A$131,0)),IF(ISNUMBER(INDEX('NCO-2015 scores'!$C$2:$C$131,MATCH(E1506,'NCO-2015 scores'!$A$2:$A$131,0))),1,0),0)</f>
        <v>1</v>
      </c>
    </row>
    <row r="1507" customFormat="false" ht="15" hidden="false" customHeight="false" outlineLevel="0" collapsed="false">
      <c r="A1507" s="2" t="n">
        <v>1503</v>
      </c>
      <c r="B1507" s="2" t="s">
        <v>4610</v>
      </c>
      <c r="C1507" s="2" t="s">
        <v>4611</v>
      </c>
      <c r="D1507" s="2" t="s">
        <v>4612</v>
      </c>
      <c r="E1507" s="2" t="str">
        <f aca="false">LEFT(C1507,3)</f>
        <v>711</v>
      </c>
      <c r="F1507" s="2" t="str">
        <f aca="false">IF(D1507="","",LEFT(D1507,3))</f>
        <v>712</v>
      </c>
      <c r="G1507" s="2" t="str">
        <f aca="false">IF(F1507="","",IF(E1507=F1507,"Yes","No"))</f>
        <v>No</v>
      </c>
      <c r="H1507" s="2" t="n">
        <f aca="false">IF(D1507="",0,1/COUNTIF($D$2:$D$3451,D1507))</f>
        <v>1</v>
      </c>
      <c r="I1507" s="13" t="n">
        <f aca="false">IFERROR(INDEX('NCO-2015 scores'!$C$2:$C$131,MATCH(E1507,'NCO-2015 scores'!$A$2:$A$131,0)),0)</f>
        <v>0.11</v>
      </c>
      <c r="J1507" s="13" t="n">
        <f aca="false">IF(ISNUMBER(MATCH(E1507,'NCO-2015 scores'!$A$2:$A$131,0)),IF(ISNUMBER(INDEX('NCO-2015 scores'!$C$2:$C$131,MATCH(E1507,'NCO-2015 scores'!$A$2:$A$131,0))),1,0),0)</f>
        <v>1</v>
      </c>
    </row>
    <row r="1508" customFormat="false" ht="15" hidden="false" customHeight="false" outlineLevel="0" collapsed="false">
      <c r="A1508" s="2" t="n">
        <v>1504</v>
      </c>
      <c r="B1508" s="2" t="s">
        <v>4613</v>
      </c>
      <c r="C1508" s="2" t="s">
        <v>4614</v>
      </c>
      <c r="D1508" s="2" t="s">
        <v>4615</v>
      </c>
      <c r="E1508" s="2" t="str">
        <f aca="false">LEFT(C1508,3)</f>
        <v>711</v>
      </c>
      <c r="F1508" s="2" t="str">
        <f aca="false">IF(D1508="","",LEFT(D1508,3))</f>
        <v>712</v>
      </c>
      <c r="G1508" s="2" t="str">
        <f aca="false">IF(F1508="","",IF(E1508=F1508,"Yes","No"))</f>
        <v>No</v>
      </c>
      <c r="H1508" s="2" t="n">
        <f aca="false">IF(D1508="",0,1/COUNTIF($D$2:$D$3451,D1508))</f>
        <v>1</v>
      </c>
      <c r="I1508" s="13" t="n">
        <f aca="false">IFERROR(INDEX('NCO-2015 scores'!$C$2:$C$131,MATCH(E1508,'NCO-2015 scores'!$A$2:$A$131,0)),0)</f>
        <v>0.11</v>
      </c>
      <c r="J1508" s="13" t="n">
        <f aca="false">IF(ISNUMBER(MATCH(E1508,'NCO-2015 scores'!$A$2:$A$131,0)),IF(ISNUMBER(INDEX('NCO-2015 scores'!$C$2:$C$131,MATCH(E1508,'NCO-2015 scores'!$A$2:$A$131,0))),1,0),0)</f>
        <v>1</v>
      </c>
    </row>
    <row r="1509" customFormat="false" ht="15" hidden="false" customHeight="false" outlineLevel="0" collapsed="false">
      <c r="A1509" s="2" t="n">
        <v>1505</v>
      </c>
      <c r="B1509" s="2" t="s">
        <v>4616</v>
      </c>
      <c r="C1509" s="2" t="s">
        <v>4617</v>
      </c>
      <c r="D1509" s="2" t="s">
        <v>4618</v>
      </c>
      <c r="E1509" s="2" t="str">
        <f aca="false">LEFT(C1509,3)</f>
        <v>711</v>
      </c>
      <c r="F1509" s="2" t="str">
        <f aca="false">IF(D1509="","",LEFT(D1509,3))</f>
        <v>712</v>
      </c>
      <c r="G1509" s="2" t="str">
        <f aca="false">IF(F1509="","",IF(E1509=F1509,"Yes","No"))</f>
        <v>No</v>
      </c>
      <c r="H1509" s="2" t="n">
        <f aca="false">IF(D1509="",0,1/COUNTIF($D$2:$D$3451,D1509))</f>
        <v>1</v>
      </c>
      <c r="I1509" s="13" t="n">
        <f aca="false">IFERROR(INDEX('NCO-2015 scores'!$C$2:$C$131,MATCH(E1509,'NCO-2015 scores'!$A$2:$A$131,0)),0)</f>
        <v>0.11</v>
      </c>
      <c r="J1509" s="13" t="n">
        <f aca="false">IF(ISNUMBER(MATCH(E1509,'NCO-2015 scores'!$A$2:$A$131,0)),IF(ISNUMBER(INDEX('NCO-2015 scores'!$C$2:$C$131,MATCH(E1509,'NCO-2015 scores'!$A$2:$A$131,0))),1,0),0)</f>
        <v>1</v>
      </c>
    </row>
    <row r="1510" customFormat="false" ht="15" hidden="false" customHeight="false" outlineLevel="0" collapsed="false">
      <c r="A1510" s="2" t="n">
        <v>1506</v>
      </c>
      <c r="B1510" s="2" t="s">
        <v>4619</v>
      </c>
      <c r="C1510" s="2" t="s">
        <v>4620</v>
      </c>
      <c r="D1510" s="2" t="s">
        <v>4621</v>
      </c>
      <c r="E1510" s="2" t="str">
        <f aca="false">LEFT(C1510,3)</f>
        <v>121</v>
      </c>
      <c r="F1510" s="2" t="str">
        <f aca="false">IF(D1510="","",LEFT(D1510,3))</f>
        <v>123</v>
      </c>
      <c r="G1510" s="2" t="str">
        <f aca="false">IF(F1510="","",IF(E1510=F1510,"Yes","No"))</f>
        <v>No</v>
      </c>
      <c r="H1510" s="2" t="n">
        <f aca="false">IF(D1510="",0,1/COUNTIF($D$2:$D$3451,D1510))</f>
        <v>1</v>
      </c>
      <c r="I1510" s="13" t="n">
        <f aca="false">IFERROR(INDEX('NCO-2015 scores'!$C$2:$C$131,MATCH(E1510,'NCO-2015 scores'!$A$2:$A$131,0)),0)</f>
        <v>0.3775</v>
      </c>
      <c r="J1510" s="13" t="n">
        <f aca="false">IF(ISNUMBER(MATCH(E1510,'NCO-2015 scores'!$A$2:$A$131,0)),IF(ISNUMBER(INDEX('NCO-2015 scores'!$C$2:$C$131,MATCH(E1510,'NCO-2015 scores'!$A$2:$A$131,0))),1,0),0)</f>
        <v>1</v>
      </c>
    </row>
    <row r="1511" customFormat="false" ht="15" hidden="false" customHeight="false" outlineLevel="0" collapsed="false">
      <c r="A1511" s="2" t="n">
        <v>1507</v>
      </c>
      <c r="B1511" s="2" t="s">
        <v>4622</v>
      </c>
      <c r="C1511" s="2" t="s">
        <v>4623</v>
      </c>
      <c r="D1511" s="2" t="s">
        <v>4624</v>
      </c>
      <c r="E1511" s="2" t="str">
        <f aca="false">LEFT(C1511,3)</f>
        <v>121</v>
      </c>
      <c r="F1511" s="2" t="str">
        <f aca="false">IF(D1511="","",LEFT(D1511,3))</f>
        <v>123</v>
      </c>
      <c r="G1511" s="2" t="str">
        <f aca="false">IF(F1511="","",IF(E1511=F1511,"Yes","No"))</f>
        <v>No</v>
      </c>
      <c r="H1511" s="2" t="n">
        <f aca="false">IF(D1511="",0,1/COUNTIF($D$2:$D$3451,D1511))</f>
        <v>1</v>
      </c>
      <c r="I1511" s="13" t="n">
        <f aca="false">IFERROR(INDEX('NCO-2015 scores'!$C$2:$C$131,MATCH(E1511,'NCO-2015 scores'!$A$2:$A$131,0)),0)</f>
        <v>0.3775</v>
      </c>
      <c r="J1511" s="13" t="n">
        <f aca="false">IF(ISNUMBER(MATCH(E1511,'NCO-2015 scores'!$A$2:$A$131,0)),IF(ISNUMBER(INDEX('NCO-2015 scores'!$C$2:$C$131,MATCH(E1511,'NCO-2015 scores'!$A$2:$A$131,0))),1,0),0)</f>
        <v>1</v>
      </c>
    </row>
    <row r="1512" customFormat="false" ht="15" hidden="false" customHeight="false" outlineLevel="0" collapsed="false">
      <c r="A1512" s="2" t="n">
        <v>1508</v>
      </c>
      <c r="B1512" s="2" t="s">
        <v>4625</v>
      </c>
      <c r="C1512" s="2" t="s">
        <v>4626</v>
      </c>
      <c r="D1512" s="2" t="s">
        <v>4627</v>
      </c>
      <c r="E1512" s="2" t="str">
        <f aca="false">LEFT(C1512,3)</f>
        <v>622</v>
      </c>
      <c r="F1512" s="2" t="str">
        <f aca="false">IF(D1512="","",LEFT(D1512,3))</f>
        <v>615</v>
      </c>
      <c r="G1512" s="2" t="str">
        <f aca="false">IF(F1512="","",IF(E1512=F1512,"Yes","No"))</f>
        <v>No</v>
      </c>
      <c r="H1512" s="2" t="n">
        <f aca="false">IF(D1512="",0,1/COUNTIF($D$2:$D$3451,D1512))</f>
        <v>1</v>
      </c>
      <c r="I1512" s="13" t="n">
        <f aca="false">IFERROR(INDEX('NCO-2015 scores'!$C$2:$C$131,MATCH(E1512,'NCO-2015 scores'!$A$2:$A$131,0)),0)</f>
        <v>0.165</v>
      </c>
      <c r="J1512" s="13" t="n">
        <f aca="false">IF(ISNUMBER(MATCH(E1512,'NCO-2015 scores'!$A$2:$A$131,0)),IF(ISNUMBER(INDEX('NCO-2015 scores'!$C$2:$C$131,MATCH(E1512,'NCO-2015 scores'!$A$2:$A$131,0))),1,0),0)</f>
        <v>1</v>
      </c>
    </row>
    <row r="1513" customFormat="false" ht="15" hidden="false" customHeight="false" outlineLevel="0" collapsed="false">
      <c r="A1513" s="2" t="n">
        <v>1509</v>
      </c>
      <c r="B1513" s="2" t="s">
        <v>4628</v>
      </c>
      <c r="C1513" s="2" t="s">
        <v>4629</v>
      </c>
      <c r="D1513" s="2" t="s">
        <v>4630</v>
      </c>
      <c r="E1513" s="2" t="str">
        <f aca="false">LEFT(C1513,3)</f>
        <v>622</v>
      </c>
      <c r="F1513" s="2" t="str">
        <f aca="false">IF(D1513="","",LEFT(D1513,3))</f>
        <v>615</v>
      </c>
      <c r="G1513" s="2" t="str">
        <f aca="false">IF(F1513="","",IF(E1513=F1513,"Yes","No"))</f>
        <v>No</v>
      </c>
      <c r="H1513" s="2" t="n">
        <f aca="false">IF(D1513="",0,1/COUNTIF($D$2:$D$3451,D1513))</f>
        <v>1</v>
      </c>
      <c r="I1513" s="13" t="n">
        <f aca="false">IFERROR(INDEX('NCO-2015 scores'!$C$2:$C$131,MATCH(E1513,'NCO-2015 scores'!$A$2:$A$131,0)),0)</f>
        <v>0.165</v>
      </c>
      <c r="J1513" s="13" t="n">
        <f aca="false">IF(ISNUMBER(MATCH(E1513,'NCO-2015 scores'!$A$2:$A$131,0)),IF(ISNUMBER(INDEX('NCO-2015 scores'!$C$2:$C$131,MATCH(E1513,'NCO-2015 scores'!$A$2:$A$131,0))),1,0),0)</f>
        <v>1</v>
      </c>
    </row>
    <row r="1514" customFormat="false" ht="15" hidden="false" customHeight="false" outlineLevel="0" collapsed="false">
      <c r="A1514" s="2" t="n">
        <v>1510</v>
      </c>
      <c r="B1514" s="2" t="s">
        <v>4631</v>
      </c>
      <c r="C1514" s="2" t="s">
        <v>4632</v>
      </c>
      <c r="D1514" s="2" t="s">
        <v>4633</v>
      </c>
      <c r="E1514" s="2" t="str">
        <f aca="false">LEFT(C1514,3)</f>
        <v>622</v>
      </c>
      <c r="F1514" s="2" t="str">
        <f aca="false">IF(D1514="","",LEFT(D1514,3))</f>
        <v>615</v>
      </c>
      <c r="G1514" s="2" t="str">
        <f aca="false">IF(F1514="","",IF(E1514=F1514,"Yes","No"))</f>
        <v>No</v>
      </c>
      <c r="H1514" s="2" t="n">
        <f aca="false">IF(D1514="",0,1/COUNTIF($D$2:$D$3451,D1514))</f>
        <v>1</v>
      </c>
      <c r="I1514" s="13" t="n">
        <f aca="false">IFERROR(INDEX('NCO-2015 scores'!$C$2:$C$131,MATCH(E1514,'NCO-2015 scores'!$A$2:$A$131,0)),0)</f>
        <v>0.165</v>
      </c>
      <c r="J1514" s="13" t="n">
        <f aca="false">IF(ISNUMBER(MATCH(E1514,'NCO-2015 scores'!$A$2:$A$131,0)),IF(ISNUMBER(INDEX('NCO-2015 scores'!$C$2:$C$131,MATCH(E1514,'NCO-2015 scores'!$A$2:$A$131,0))),1,0),0)</f>
        <v>1</v>
      </c>
    </row>
    <row r="1515" customFormat="false" ht="15" hidden="false" customHeight="false" outlineLevel="0" collapsed="false">
      <c r="A1515" s="2" t="n">
        <v>1511</v>
      </c>
      <c r="B1515" s="2" t="s">
        <v>4634</v>
      </c>
      <c r="C1515" s="2" t="s">
        <v>4635</v>
      </c>
      <c r="D1515" s="2" t="s">
        <v>4636</v>
      </c>
      <c r="E1515" s="2" t="str">
        <f aca="false">LEFT(C1515,3)</f>
        <v>622</v>
      </c>
      <c r="F1515" s="2" t="str">
        <f aca="false">IF(D1515="","",LEFT(D1515,3))</f>
        <v>615</v>
      </c>
      <c r="G1515" s="2" t="str">
        <f aca="false">IF(F1515="","",IF(E1515=F1515,"Yes","No"))</f>
        <v>No</v>
      </c>
      <c r="H1515" s="2" t="n">
        <f aca="false">IF(D1515="",0,1/COUNTIF($D$2:$D$3451,D1515))</f>
        <v>1</v>
      </c>
      <c r="I1515" s="13" t="n">
        <f aca="false">IFERROR(INDEX('NCO-2015 scores'!$C$2:$C$131,MATCH(E1515,'NCO-2015 scores'!$A$2:$A$131,0)),0)</f>
        <v>0.165</v>
      </c>
      <c r="J1515" s="13" t="n">
        <f aca="false">IF(ISNUMBER(MATCH(E1515,'NCO-2015 scores'!$A$2:$A$131,0)),IF(ISNUMBER(INDEX('NCO-2015 scores'!$C$2:$C$131,MATCH(E1515,'NCO-2015 scores'!$A$2:$A$131,0))),1,0),0)</f>
        <v>1</v>
      </c>
    </row>
    <row r="1516" customFormat="false" ht="15" hidden="false" customHeight="false" outlineLevel="0" collapsed="false">
      <c r="A1516" s="2" t="n">
        <v>1512</v>
      </c>
      <c r="B1516" s="2" t="s">
        <v>4637</v>
      </c>
      <c r="C1516" s="2" t="s">
        <v>4638</v>
      </c>
      <c r="D1516" s="2" t="s">
        <v>4639</v>
      </c>
      <c r="E1516" s="2" t="str">
        <f aca="false">LEFT(C1516,3)</f>
        <v>622</v>
      </c>
      <c r="F1516" s="2" t="str">
        <f aca="false">IF(D1516="","",LEFT(D1516,3))</f>
        <v>615</v>
      </c>
      <c r="G1516" s="2" t="str">
        <f aca="false">IF(F1516="","",IF(E1516=F1516,"Yes","No"))</f>
        <v>No</v>
      </c>
      <c r="H1516" s="2" t="n">
        <f aca="false">IF(D1516="",0,1/COUNTIF($D$2:$D$3451,D1516))</f>
        <v>1</v>
      </c>
      <c r="I1516" s="13" t="n">
        <f aca="false">IFERROR(INDEX('NCO-2015 scores'!$C$2:$C$131,MATCH(E1516,'NCO-2015 scores'!$A$2:$A$131,0)),0)</f>
        <v>0.165</v>
      </c>
      <c r="J1516" s="13" t="n">
        <f aca="false">IF(ISNUMBER(MATCH(E1516,'NCO-2015 scores'!$A$2:$A$131,0)),IF(ISNUMBER(INDEX('NCO-2015 scores'!$C$2:$C$131,MATCH(E1516,'NCO-2015 scores'!$A$2:$A$131,0))),1,0),0)</f>
        <v>1</v>
      </c>
    </row>
    <row r="1517" customFormat="false" ht="15" hidden="false" customHeight="false" outlineLevel="0" collapsed="false">
      <c r="A1517" s="2" t="n">
        <v>1513</v>
      </c>
      <c r="B1517" s="2" t="s">
        <v>4640</v>
      </c>
      <c r="C1517" s="2" t="s">
        <v>4641</v>
      </c>
      <c r="D1517" s="2" t="s">
        <v>4642</v>
      </c>
      <c r="E1517" s="2" t="str">
        <f aca="false">LEFT(C1517,3)</f>
        <v>622</v>
      </c>
      <c r="F1517" s="2" t="str">
        <f aca="false">IF(D1517="","",LEFT(D1517,3))</f>
        <v>615</v>
      </c>
      <c r="G1517" s="2" t="str">
        <f aca="false">IF(F1517="","",IF(E1517=F1517,"Yes","No"))</f>
        <v>No</v>
      </c>
      <c r="H1517" s="2" t="n">
        <f aca="false">IF(D1517="",0,1/COUNTIF($D$2:$D$3451,D1517))</f>
        <v>1</v>
      </c>
      <c r="I1517" s="13" t="n">
        <f aca="false">IFERROR(INDEX('NCO-2015 scores'!$C$2:$C$131,MATCH(E1517,'NCO-2015 scores'!$A$2:$A$131,0)),0)</f>
        <v>0.165</v>
      </c>
      <c r="J1517" s="13" t="n">
        <f aca="false">IF(ISNUMBER(MATCH(E1517,'NCO-2015 scores'!$A$2:$A$131,0)),IF(ISNUMBER(INDEX('NCO-2015 scores'!$C$2:$C$131,MATCH(E1517,'NCO-2015 scores'!$A$2:$A$131,0))),1,0),0)</f>
        <v>1</v>
      </c>
    </row>
    <row r="1518" customFormat="false" ht="15" hidden="false" customHeight="false" outlineLevel="0" collapsed="false">
      <c r="A1518" s="2" t="n">
        <v>1514</v>
      </c>
      <c r="B1518" s="2" t="s">
        <v>4643</v>
      </c>
      <c r="C1518" s="2" t="s">
        <v>4644</v>
      </c>
      <c r="D1518" s="2" t="s">
        <v>4645</v>
      </c>
      <c r="E1518" s="2" t="str">
        <f aca="false">LEFT(C1518,3)</f>
        <v>622</v>
      </c>
      <c r="F1518" s="2" t="str">
        <f aca="false">IF(D1518="","",LEFT(D1518,3))</f>
        <v>615</v>
      </c>
      <c r="G1518" s="2" t="str">
        <f aca="false">IF(F1518="","",IF(E1518=F1518,"Yes","No"))</f>
        <v>No</v>
      </c>
      <c r="H1518" s="2" t="n">
        <f aca="false">IF(D1518="",0,1/COUNTIF($D$2:$D$3451,D1518))</f>
        <v>1</v>
      </c>
      <c r="I1518" s="13" t="n">
        <f aca="false">IFERROR(INDEX('NCO-2015 scores'!$C$2:$C$131,MATCH(E1518,'NCO-2015 scores'!$A$2:$A$131,0)),0)</f>
        <v>0.165</v>
      </c>
      <c r="J1518" s="13" t="n">
        <f aca="false">IF(ISNUMBER(MATCH(E1518,'NCO-2015 scores'!$A$2:$A$131,0)),IF(ISNUMBER(INDEX('NCO-2015 scores'!$C$2:$C$131,MATCH(E1518,'NCO-2015 scores'!$A$2:$A$131,0))),1,0),0)</f>
        <v>1</v>
      </c>
    </row>
    <row r="1519" customFormat="false" ht="15" hidden="false" customHeight="false" outlineLevel="0" collapsed="false">
      <c r="A1519" s="2" t="n">
        <v>1515</v>
      </c>
      <c r="B1519" s="2" t="s">
        <v>4646</v>
      </c>
      <c r="C1519" s="2" t="s">
        <v>4647</v>
      </c>
      <c r="D1519" s="2" t="s">
        <v>4648</v>
      </c>
      <c r="E1519" s="2" t="str">
        <f aca="false">LEFT(C1519,3)</f>
        <v>622</v>
      </c>
      <c r="F1519" s="2" t="str">
        <f aca="false">IF(D1519="","",LEFT(D1519,3))</f>
        <v>615</v>
      </c>
      <c r="G1519" s="2" t="str">
        <f aca="false">IF(F1519="","",IF(E1519=F1519,"Yes","No"))</f>
        <v>No</v>
      </c>
      <c r="H1519" s="2" t="n">
        <f aca="false">IF(D1519="",0,1/COUNTIF($D$2:$D$3451,D1519))</f>
        <v>1</v>
      </c>
      <c r="I1519" s="13" t="n">
        <f aca="false">IFERROR(INDEX('NCO-2015 scores'!$C$2:$C$131,MATCH(E1519,'NCO-2015 scores'!$A$2:$A$131,0)),0)</f>
        <v>0.165</v>
      </c>
      <c r="J1519" s="13" t="n">
        <f aca="false">IF(ISNUMBER(MATCH(E1519,'NCO-2015 scores'!$A$2:$A$131,0)),IF(ISNUMBER(INDEX('NCO-2015 scores'!$C$2:$C$131,MATCH(E1519,'NCO-2015 scores'!$A$2:$A$131,0))),1,0),0)</f>
        <v>1</v>
      </c>
    </row>
    <row r="1520" customFormat="false" ht="15" hidden="false" customHeight="false" outlineLevel="0" collapsed="false">
      <c r="A1520" s="2" t="n">
        <v>1516</v>
      </c>
      <c r="B1520" s="2" t="s">
        <v>4649</v>
      </c>
      <c r="C1520" s="2" t="s">
        <v>4650</v>
      </c>
      <c r="D1520" s="2" t="s">
        <v>4651</v>
      </c>
      <c r="E1520" s="2" t="str">
        <f aca="false">LEFT(C1520,3)</f>
        <v>622</v>
      </c>
      <c r="F1520" s="2" t="str">
        <f aca="false">IF(D1520="","",LEFT(D1520,3))</f>
        <v>615</v>
      </c>
      <c r="G1520" s="2" t="str">
        <f aca="false">IF(F1520="","",IF(E1520=F1520,"Yes","No"))</f>
        <v>No</v>
      </c>
      <c r="H1520" s="2" t="n">
        <f aca="false">IF(D1520="",0,1/COUNTIF($D$2:$D$3451,D1520))</f>
        <v>1</v>
      </c>
      <c r="I1520" s="13" t="n">
        <f aca="false">IFERROR(INDEX('NCO-2015 scores'!$C$2:$C$131,MATCH(E1520,'NCO-2015 scores'!$A$2:$A$131,0)),0)</f>
        <v>0.165</v>
      </c>
      <c r="J1520" s="13" t="n">
        <f aca="false">IF(ISNUMBER(MATCH(E1520,'NCO-2015 scores'!$A$2:$A$131,0)),IF(ISNUMBER(INDEX('NCO-2015 scores'!$C$2:$C$131,MATCH(E1520,'NCO-2015 scores'!$A$2:$A$131,0))),1,0),0)</f>
        <v>1</v>
      </c>
    </row>
    <row r="1521" customFormat="false" ht="15" hidden="false" customHeight="false" outlineLevel="0" collapsed="false">
      <c r="A1521" s="2" t="n">
        <v>1517</v>
      </c>
      <c r="B1521" s="2" t="s">
        <v>4652</v>
      </c>
      <c r="C1521" s="2" t="s">
        <v>4653</v>
      </c>
      <c r="D1521" s="2" t="s">
        <v>4654</v>
      </c>
      <c r="E1521" s="2" t="str">
        <f aca="false">LEFT(C1521,3)</f>
        <v>622</v>
      </c>
      <c r="F1521" s="2" t="str">
        <f aca="false">IF(D1521="","",LEFT(D1521,3))</f>
        <v>615</v>
      </c>
      <c r="G1521" s="2" t="str">
        <f aca="false">IF(F1521="","",IF(E1521=F1521,"Yes","No"))</f>
        <v>No</v>
      </c>
      <c r="H1521" s="2" t="n">
        <f aca="false">IF(D1521="",0,1/COUNTIF($D$2:$D$3451,D1521))</f>
        <v>1</v>
      </c>
      <c r="I1521" s="13" t="n">
        <f aca="false">IFERROR(INDEX('NCO-2015 scores'!$C$2:$C$131,MATCH(E1521,'NCO-2015 scores'!$A$2:$A$131,0)),0)</f>
        <v>0.165</v>
      </c>
      <c r="J1521" s="13" t="n">
        <f aca="false">IF(ISNUMBER(MATCH(E1521,'NCO-2015 scores'!$A$2:$A$131,0)),IF(ISNUMBER(INDEX('NCO-2015 scores'!$C$2:$C$131,MATCH(E1521,'NCO-2015 scores'!$A$2:$A$131,0))),1,0),0)</f>
        <v>1</v>
      </c>
    </row>
    <row r="1522" customFormat="false" ht="15" hidden="false" customHeight="false" outlineLevel="0" collapsed="false">
      <c r="A1522" s="2" t="n">
        <v>1518</v>
      </c>
      <c r="B1522" s="2" t="s">
        <v>4655</v>
      </c>
      <c r="C1522" s="2" t="s">
        <v>4656</v>
      </c>
      <c r="D1522" s="2" t="s">
        <v>4657</v>
      </c>
      <c r="E1522" s="2" t="str">
        <f aca="false">LEFT(C1522,3)</f>
        <v>622</v>
      </c>
      <c r="F1522" s="2" t="str">
        <f aca="false">IF(D1522="","",LEFT(D1522,3))</f>
        <v>615</v>
      </c>
      <c r="G1522" s="2" t="str">
        <f aca="false">IF(F1522="","",IF(E1522=F1522,"Yes","No"))</f>
        <v>No</v>
      </c>
      <c r="H1522" s="2" t="n">
        <f aca="false">IF(D1522="",0,1/COUNTIF($D$2:$D$3451,D1522))</f>
        <v>1</v>
      </c>
      <c r="I1522" s="13" t="n">
        <f aca="false">IFERROR(INDEX('NCO-2015 scores'!$C$2:$C$131,MATCH(E1522,'NCO-2015 scores'!$A$2:$A$131,0)),0)</f>
        <v>0.165</v>
      </c>
      <c r="J1522" s="13" t="n">
        <f aca="false">IF(ISNUMBER(MATCH(E1522,'NCO-2015 scores'!$A$2:$A$131,0)),IF(ISNUMBER(INDEX('NCO-2015 scores'!$C$2:$C$131,MATCH(E1522,'NCO-2015 scores'!$A$2:$A$131,0))),1,0),0)</f>
        <v>1</v>
      </c>
    </row>
    <row r="1523" customFormat="false" ht="15" hidden="false" customHeight="false" outlineLevel="0" collapsed="false">
      <c r="A1523" s="2" t="n">
        <v>1519</v>
      </c>
      <c r="B1523" s="2" t="s">
        <v>4658</v>
      </c>
      <c r="C1523" s="2" t="s">
        <v>4659</v>
      </c>
      <c r="D1523" s="2" t="s">
        <v>4660</v>
      </c>
      <c r="E1523" s="2" t="str">
        <f aca="false">LEFT(C1523,3)</f>
        <v>622</v>
      </c>
      <c r="F1523" s="2" t="str">
        <f aca="false">IF(D1523="","",LEFT(D1523,3))</f>
        <v>615</v>
      </c>
      <c r="G1523" s="2" t="str">
        <f aca="false">IF(F1523="","",IF(E1523=F1523,"Yes","No"))</f>
        <v>No</v>
      </c>
      <c r="H1523" s="2" t="n">
        <f aca="false">IF(D1523="",0,1/COUNTIF($D$2:$D$3451,D1523))</f>
        <v>1</v>
      </c>
      <c r="I1523" s="13" t="n">
        <f aca="false">IFERROR(INDEX('NCO-2015 scores'!$C$2:$C$131,MATCH(E1523,'NCO-2015 scores'!$A$2:$A$131,0)),0)</f>
        <v>0.165</v>
      </c>
      <c r="J1523" s="13" t="n">
        <f aca="false">IF(ISNUMBER(MATCH(E1523,'NCO-2015 scores'!$A$2:$A$131,0)),IF(ISNUMBER(INDEX('NCO-2015 scores'!$C$2:$C$131,MATCH(E1523,'NCO-2015 scores'!$A$2:$A$131,0))),1,0),0)</f>
        <v>1</v>
      </c>
    </row>
    <row r="1524" customFormat="false" ht="15" hidden="false" customHeight="false" outlineLevel="0" collapsed="false">
      <c r="A1524" s="2" t="n">
        <v>1520</v>
      </c>
      <c r="B1524" s="2" t="s">
        <v>4661</v>
      </c>
      <c r="C1524" s="2" t="s">
        <v>4662</v>
      </c>
      <c r="D1524" s="2" t="s">
        <v>4663</v>
      </c>
      <c r="E1524" s="2" t="str">
        <f aca="false">LEFT(C1524,3)</f>
        <v>622</v>
      </c>
      <c r="F1524" s="2" t="str">
        <f aca="false">IF(D1524="","",LEFT(D1524,3))</f>
        <v>615</v>
      </c>
      <c r="G1524" s="2" t="str">
        <f aca="false">IF(F1524="","",IF(E1524=F1524,"Yes","No"))</f>
        <v>No</v>
      </c>
      <c r="H1524" s="2" t="n">
        <f aca="false">IF(D1524="",0,1/COUNTIF($D$2:$D$3451,D1524))</f>
        <v>1</v>
      </c>
      <c r="I1524" s="13" t="n">
        <f aca="false">IFERROR(INDEX('NCO-2015 scores'!$C$2:$C$131,MATCH(E1524,'NCO-2015 scores'!$A$2:$A$131,0)),0)</f>
        <v>0.165</v>
      </c>
      <c r="J1524" s="13" t="n">
        <f aca="false">IF(ISNUMBER(MATCH(E1524,'NCO-2015 scores'!$A$2:$A$131,0)),IF(ISNUMBER(INDEX('NCO-2015 scores'!$C$2:$C$131,MATCH(E1524,'NCO-2015 scores'!$A$2:$A$131,0))),1,0),0)</f>
        <v>1</v>
      </c>
    </row>
    <row r="1525" customFormat="false" ht="15" hidden="false" customHeight="false" outlineLevel="0" collapsed="false">
      <c r="A1525" s="2" t="n">
        <v>1521</v>
      </c>
      <c r="B1525" s="2" t="s">
        <v>4664</v>
      </c>
      <c r="C1525" s="2" t="s">
        <v>4665</v>
      </c>
      <c r="D1525" s="2" t="s">
        <v>4666</v>
      </c>
      <c r="E1525" s="2" t="str">
        <f aca="false">LEFT(C1525,3)</f>
        <v>313</v>
      </c>
      <c r="F1525" s="2" t="str">
        <f aca="false">IF(D1525="","",LEFT(D1525,3))</f>
        <v>816</v>
      </c>
      <c r="G1525" s="2" t="str">
        <f aca="false">IF(F1525="","",IF(E1525=F1525,"Yes","No"))</f>
        <v>No</v>
      </c>
      <c r="H1525" s="2" t="n">
        <f aca="false">IF(D1525="",0,1/COUNTIF($D$2:$D$3451,D1525))</f>
        <v>1</v>
      </c>
      <c r="I1525" s="13" t="n">
        <f aca="false">IFERROR(INDEX('NCO-2015 scores'!$C$2:$C$131,MATCH(E1525,'NCO-2015 scores'!$A$2:$A$131,0)),0)</f>
        <v>0.288</v>
      </c>
      <c r="J1525" s="13" t="n">
        <f aca="false">IF(ISNUMBER(MATCH(E1525,'NCO-2015 scores'!$A$2:$A$131,0)),IF(ISNUMBER(INDEX('NCO-2015 scores'!$C$2:$C$131,MATCH(E1525,'NCO-2015 scores'!$A$2:$A$131,0))),1,0),0)</f>
        <v>1</v>
      </c>
    </row>
    <row r="1526" customFormat="false" ht="15" hidden="false" customHeight="false" outlineLevel="0" collapsed="false">
      <c r="A1526" s="2" t="n">
        <v>1522</v>
      </c>
      <c r="B1526" s="2" t="s">
        <v>4667</v>
      </c>
      <c r="C1526" s="2" t="s">
        <v>4668</v>
      </c>
      <c r="D1526" s="2" t="s">
        <v>4669</v>
      </c>
      <c r="E1526" s="2" t="str">
        <f aca="false">LEFT(C1526,3)</f>
        <v>313</v>
      </c>
      <c r="F1526" s="2" t="str">
        <f aca="false">IF(D1526="","",LEFT(D1526,3))</f>
        <v>816</v>
      </c>
      <c r="G1526" s="2" t="str">
        <f aca="false">IF(F1526="","",IF(E1526=F1526,"Yes","No"))</f>
        <v>No</v>
      </c>
      <c r="H1526" s="2" t="n">
        <f aca="false">IF(D1526="",0,1/COUNTIF($D$2:$D$3451,D1526))</f>
        <v>1</v>
      </c>
      <c r="I1526" s="13" t="n">
        <f aca="false">IFERROR(INDEX('NCO-2015 scores'!$C$2:$C$131,MATCH(E1526,'NCO-2015 scores'!$A$2:$A$131,0)),0)</f>
        <v>0.288</v>
      </c>
      <c r="J1526" s="13" t="n">
        <f aca="false">IF(ISNUMBER(MATCH(E1526,'NCO-2015 scores'!$A$2:$A$131,0)),IF(ISNUMBER(INDEX('NCO-2015 scores'!$C$2:$C$131,MATCH(E1526,'NCO-2015 scores'!$A$2:$A$131,0))),1,0),0)</f>
        <v>1</v>
      </c>
    </row>
    <row r="1527" customFormat="false" ht="15" hidden="false" customHeight="false" outlineLevel="0" collapsed="false">
      <c r="A1527" s="2" t="n">
        <v>1523</v>
      </c>
      <c r="B1527" s="2" t="s">
        <v>4670</v>
      </c>
      <c r="C1527" s="2" t="s">
        <v>4671</v>
      </c>
      <c r="D1527" s="2" t="s">
        <v>4672</v>
      </c>
      <c r="E1527" s="2" t="str">
        <f aca="false">LEFT(C1527,3)</f>
        <v>313</v>
      </c>
      <c r="F1527" s="2" t="str">
        <f aca="false">IF(D1527="","",LEFT(D1527,3))</f>
        <v>816</v>
      </c>
      <c r="G1527" s="2" t="str">
        <f aca="false">IF(F1527="","",IF(E1527=F1527,"Yes","No"))</f>
        <v>No</v>
      </c>
      <c r="H1527" s="2" t="n">
        <f aca="false">IF(D1527="",0,1/COUNTIF($D$2:$D$3451,D1527))</f>
        <v>1</v>
      </c>
      <c r="I1527" s="13" t="n">
        <f aca="false">IFERROR(INDEX('NCO-2015 scores'!$C$2:$C$131,MATCH(E1527,'NCO-2015 scores'!$A$2:$A$131,0)),0)</f>
        <v>0.288</v>
      </c>
      <c r="J1527" s="13" t="n">
        <f aca="false">IF(ISNUMBER(MATCH(E1527,'NCO-2015 scores'!$A$2:$A$131,0)),IF(ISNUMBER(INDEX('NCO-2015 scores'!$C$2:$C$131,MATCH(E1527,'NCO-2015 scores'!$A$2:$A$131,0))),1,0),0)</f>
        <v>1</v>
      </c>
    </row>
    <row r="1528" customFormat="false" ht="15" hidden="false" customHeight="false" outlineLevel="0" collapsed="false">
      <c r="A1528" s="2" t="n">
        <v>1524</v>
      </c>
      <c r="B1528" s="2" t="s">
        <v>4673</v>
      </c>
      <c r="C1528" s="2" t="s">
        <v>4674</v>
      </c>
      <c r="D1528" s="2" t="s">
        <v>4675</v>
      </c>
      <c r="E1528" s="2" t="str">
        <f aca="false">LEFT(C1528,3)</f>
        <v>313</v>
      </c>
      <c r="F1528" s="2" t="str">
        <f aca="false">IF(D1528="","",LEFT(D1528,3))</f>
        <v>816</v>
      </c>
      <c r="G1528" s="2" t="str">
        <f aca="false">IF(F1528="","",IF(E1528=F1528,"Yes","No"))</f>
        <v>No</v>
      </c>
      <c r="H1528" s="2" t="n">
        <f aca="false">IF(D1528="",0,1/COUNTIF($D$2:$D$3451,D1528))</f>
        <v>1</v>
      </c>
      <c r="I1528" s="13" t="n">
        <f aca="false">IFERROR(INDEX('NCO-2015 scores'!$C$2:$C$131,MATCH(E1528,'NCO-2015 scores'!$A$2:$A$131,0)),0)</f>
        <v>0.288</v>
      </c>
      <c r="J1528" s="13" t="n">
        <f aca="false">IF(ISNUMBER(MATCH(E1528,'NCO-2015 scores'!$A$2:$A$131,0)),IF(ISNUMBER(INDEX('NCO-2015 scores'!$C$2:$C$131,MATCH(E1528,'NCO-2015 scores'!$A$2:$A$131,0))),1,0),0)</f>
        <v>1</v>
      </c>
    </row>
    <row r="1529" customFormat="false" ht="15" hidden="false" customHeight="false" outlineLevel="0" collapsed="false">
      <c r="A1529" s="2" t="n">
        <v>1525</v>
      </c>
      <c r="B1529" s="2" t="s">
        <v>4676</v>
      </c>
      <c r="C1529" s="2" t="s">
        <v>4677</v>
      </c>
      <c r="D1529" s="2" t="s">
        <v>4678</v>
      </c>
      <c r="E1529" s="2" t="str">
        <f aca="false">LEFT(C1529,3)</f>
        <v>313</v>
      </c>
      <c r="F1529" s="2" t="str">
        <f aca="false">IF(D1529="","",LEFT(D1529,3))</f>
        <v>816</v>
      </c>
      <c r="G1529" s="2" t="str">
        <f aca="false">IF(F1529="","",IF(E1529=F1529,"Yes","No"))</f>
        <v>No</v>
      </c>
      <c r="H1529" s="2" t="n">
        <f aca="false">IF(D1529="",0,1/COUNTIF($D$2:$D$3451,D1529))</f>
        <v>1</v>
      </c>
      <c r="I1529" s="13" t="n">
        <f aca="false">IFERROR(INDEX('NCO-2015 scores'!$C$2:$C$131,MATCH(E1529,'NCO-2015 scores'!$A$2:$A$131,0)),0)</f>
        <v>0.288</v>
      </c>
      <c r="J1529" s="13" t="n">
        <f aca="false">IF(ISNUMBER(MATCH(E1529,'NCO-2015 scores'!$A$2:$A$131,0)),IF(ISNUMBER(INDEX('NCO-2015 scores'!$C$2:$C$131,MATCH(E1529,'NCO-2015 scores'!$A$2:$A$131,0))),1,0),0)</f>
        <v>1</v>
      </c>
    </row>
    <row r="1530" customFormat="false" ht="15" hidden="false" customHeight="false" outlineLevel="0" collapsed="false">
      <c r="A1530" s="2" t="n">
        <v>1526</v>
      </c>
      <c r="B1530" s="2" t="s">
        <v>4679</v>
      </c>
      <c r="C1530" s="2" t="s">
        <v>4680</v>
      </c>
      <c r="D1530" s="2" t="s">
        <v>4681</v>
      </c>
      <c r="E1530" s="2" t="str">
        <f aca="false">LEFT(C1530,3)</f>
        <v>313</v>
      </c>
      <c r="F1530" s="2" t="str">
        <f aca="false">IF(D1530="","",LEFT(D1530,3))</f>
        <v>816</v>
      </c>
      <c r="G1530" s="2" t="str">
        <f aca="false">IF(F1530="","",IF(E1530=F1530,"Yes","No"))</f>
        <v>No</v>
      </c>
      <c r="H1530" s="2" t="n">
        <f aca="false">IF(D1530="",0,1/COUNTIF($D$2:$D$3451,D1530))</f>
        <v>1</v>
      </c>
      <c r="I1530" s="13" t="n">
        <f aca="false">IFERROR(INDEX('NCO-2015 scores'!$C$2:$C$131,MATCH(E1530,'NCO-2015 scores'!$A$2:$A$131,0)),0)</f>
        <v>0.288</v>
      </c>
      <c r="J1530" s="13" t="n">
        <f aca="false">IF(ISNUMBER(MATCH(E1530,'NCO-2015 scores'!$A$2:$A$131,0)),IF(ISNUMBER(INDEX('NCO-2015 scores'!$C$2:$C$131,MATCH(E1530,'NCO-2015 scores'!$A$2:$A$131,0))),1,0),0)</f>
        <v>1</v>
      </c>
    </row>
    <row r="1531" customFormat="false" ht="15" hidden="false" customHeight="false" outlineLevel="0" collapsed="false">
      <c r="A1531" s="2" t="n">
        <v>1527</v>
      </c>
      <c r="B1531" s="2" t="s">
        <v>4682</v>
      </c>
      <c r="C1531" s="2" t="s">
        <v>4683</v>
      </c>
      <c r="D1531" s="2" t="s">
        <v>4684</v>
      </c>
      <c r="E1531" s="2" t="str">
        <f aca="false">LEFT(C1531,3)</f>
        <v>313</v>
      </c>
      <c r="F1531" s="2" t="str">
        <f aca="false">IF(D1531="","",LEFT(D1531,3))</f>
        <v>816</v>
      </c>
      <c r="G1531" s="2" t="str">
        <f aca="false">IF(F1531="","",IF(E1531=F1531,"Yes","No"))</f>
        <v>No</v>
      </c>
      <c r="H1531" s="2" t="n">
        <f aca="false">IF(D1531="",0,1/COUNTIF($D$2:$D$3451,D1531))</f>
        <v>1</v>
      </c>
      <c r="I1531" s="13" t="n">
        <f aca="false">IFERROR(INDEX('NCO-2015 scores'!$C$2:$C$131,MATCH(E1531,'NCO-2015 scores'!$A$2:$A$131,0)),0)</f>
        <v>0.288</v>
      </c>
      <c r="J1531" s="13" t="n">
        <f aca="false">IF(ISNUMBER(MATCH(E1531,'NCO-2015 scores'!$A$2:$A$131,0)),IF(ISNUMBER(INDEX('NCO-2015 scores'!$C$2:$C$131,MATCH(E1531,'NCO-2015 scores'!$A$2:$A$131,0))),1,0),0)</f>
        <v>1</v>
      </c>
    </row>
    <row r="1532" customFormat="false" ht="15" hidden="false" customHeight="false" outlineLevel="0" collapsed="false">
      <c r="A1532" s="2" t="n">
        <v>1528</v>
      </c>
      <c r="B1532" s="2" t="s">
        <v>4685</v>
      </c>
      <c r="C1532" s="2" t="s">
        <v>4686</v>
      </c>
      <c r="D1532" s="2" t="s">
        <v>4687</v>
      </c>
      <c r="E1532" s="2" t="str">
        <f aca="false">LEFT(C1532,3)</f>
        <v>313</v>
      </c>
      <c r="F1532" s="2" t="str">
        <f aca="false">IF(D1532="","",LEFT(D1532,3))</f>
        <v>816</v>
      </c>
      <c r="G1532" s="2" t="str">
        <f aca="false">IF(F1532="","",IF(E1532=F1532,"Yes","No"))</f>
        <v>No</v>
      </c>
      <c r="H1532" s="2" t="n">
        <f aca="false">IF(D1532="",0,1/COUNTIF($D$2:$D$3451,D1532))</f>
        <v>1</v>
      </c>
      <c r="I1532" s="13" t="n">
        <f aca="false">IFERROR(INDEX('NCO-2015 scores'!$C$2:$C$131,MATCH(E1532,'NCO-2015 scores'!$A$2:$A$131,0)),0)</f>
        <v>0.288</v>
      </c>
      <c r="J1532" s="13" t="n">
        <f aca="false">IF(ISNUMBER(MATCH(E1532,'NCO-2015 scores'!$A$2:$A$131,0)),IF(ISNUMBER(INDEX('NCO-2015 scores'!$C$2:$C$131,MATCH(E1532,'NCO-2015 scores'!$A$2:$A$131,0))),1,0),0)</f>
        <v>1</v>
      </c>
    </row>
    <row r="1533" customFormat="false" ht="15" hidden="false" customHeight="false" outlineLevel="0" collapsed="false">
      <c r="A1533" s="2" t="n">
        <v>1529</v>
      </c>
      <c r="B1533" s="2" t="s">
        <v>4688</v>
      </c>
      <c r="C1533" s="2" t="s">
        <v>4689</v>
      </c>
      <c r="D1533" s="2" t="s">
        <v>4690</v>
      </c>
      <c r="E1533" s="2" t="str">
        <f aca="false">LEFT(C1533,3)</f>
        <v>313</v>
      </c>
      <c r="F1533" s="2" t="str">
        <f aca="false">IF(D1533="","",LEFT(D1533,3))</f>
        <v>816</v>
      </c>
      <c r="G1533" s="2" t="str">
        <f aca="false">IF(F1533="","",IF(E1533=F1533,"Yes","No"))</f>
        <v>No</v>
      </c>
      <c r="H1533" s="2" t="n">
        <f aca="false">IF(D1533="",0,1/COUNTIF($D$2:$D$3451,D1533))</f>
        <v>1</v>
      </c>
      <c r="I1533" s="13" t="n">
        <f aca="false">IFERROR(INDEX('NCO-2015 scores'!$C$2:$C$131,MATCH(E1533,'NCO-2015 scores'!$A$2:$A$131,0)),0)</f>
        <v>0.288</v>
      </c>
      <c r="J1533" s="13" t="n">
        <f aca="false">IF(ISNUMBER(MATCH(E1533,'NCO-2015 scores'!$A$2:$A$131,0)),IF(ISNUMBER(INDEX('NCO-2015 scores'!$C$2:$C$131,MATCH(E1533,'NCO-2015 scores'!$A$2:$A$131,0))),1,0),0)</f>
        <v>1</v>
      </c>
    </row>
    <row r="1534" customFormat="false" ht="15" hidden="false" customHeight="false" outlineLevel="0" collapsed="false">
      <c r="A1534" s="2" t="n">
        <v>1530</v>
      </c>
      <c r="B1534" s="2" t="s">
        <v>4691</v>
      </c>
      <c r="C1534" s="2" t="s">
        <v>4692</v>
      </c>
      <c r="D1534" s="2" t="s">
        <v>4693</v>
      </c>
      <c r="E1534" s="2" t="str">
        <f aca="false">LEFT(C1534,3)</f>
        <v>313</v>
      </c>
      <c r="F1534" s="2" t="str">
        <f aca="false">IF(D1534="","",LEFT(D1534,3))</f>
        <v>816</v>
      </c>
      <c r="G1534" s="2" t="str">
        <f aca="false">IF(F1534="","",IF(E1534=F1534,"Yes","No"))</f>
        <v>No</v>
      </c>
      <c r="H1534" s="2" t="n">
        <f aca="false">IF(D1534="",0,1/COUNTIF($D$2:$D$3451,D1534))</f>
        <v>1</v>
      </c>
      <c r="I1534" s="13" t="n">
        <f aca="false">IFERROR(INDEX('NCO-2015 scores'!$C$2:$C$131,MATCH(E1534,'NCO-2015 scores'!$A$2:$A$131,0)),0)</f>
        <v>0.288</v>
      </c>
      <c r="J1534" s="13" t="n">
        <f aca="false">IF(ISNUMBER(MATCH(E1534,'NCO-2015 scores'!$A$2:$A$131,0)),IF(ISNUMBER(INDEX('NCO-2015 scores'!$C$2:$C$131,MATCH(E1534,'NCO-2015 scores'!$A$2:$A$131,0))),1,0),0)</f>
        <v>1</v>
      </c>
    </row>
    <row r="1535" customFormat="false" ht="15" hidden="false" customHeight="false" outlineLevel="0" collapsed="false">
      <c r="A1535" s="2" t="n">
        <v>1531</v>
      </c>
      <c r="B1535" s="2" t="s">
        <v>4694</v>
      </c>
      <c r="C1535" s="2" t="s">
        <v>4695</v>
      </c>
      <c r="D1535" s="2" t="s">
        <v>4696</v>
      </c>
      <c r="E1535" s="2" t="str">
        <f aca="false">LEFT(C1535,3)</f>
        <v>313</v>
      </c>
      <c r="F1535" s="2" t="str">
        <f aca="false">IF(D1535="","",LEFT(D1535,3))</f>
        <v>816</v>
      </c>
      <c r="G1535" s="2" t="str">
        <f aca="false">IF(F1535="","",IF(E1535=F1535,"Yes","No"))</f>
        <v>No</v>
      </c>
      <c r="H1535" s="2" t="n">
        <f aca="false">IF(D1535="",0,1/COUNTIF($D$2:$D$3451,D1535))</f>
        <v>1</v>
      </c>
      <c r="I1535" s="13" t="n">
        <f aca="false">IFERROR(INDEX('NCO-2015 scores'!$C$2:$C$131,MATCH(E1535,'NCO-2015 scores'!$A$2:$A$131,0)),0)</f>
        <v>0.288</v>
      </c>
      <c r="J1535" s="13" t="n">
        <f aca="false">IF(ISNUMBER(MATCH(E1535,'NCO-2015 scores'!$A$2:$A$131,0)),IF(ISNUMBER(INDEX('NCO-2015 scores'!$C$2:$C$131,MATCH(E1535,'NCO-2015 scores'!$A$2:$A$131,0))),1,0),0)</f>
        <v>1</v>
      </c>
    </row>
    <row r="1536" customFormat="false" ht="15" hidden="false" customHeight="false" outlineLevel="0" collapsed="false">
      <c r="A1536" s="2" t="n">
        <v>1532</v>
      </c>
      <c r="B1536" s="2" t="s">
        <v>4697</v>
      </c>
      <c r="C1536" s="2" t="s">
        <v>4698</v>
      </c>
      <c r="D1536" s="2"/>
      <c r="E1536" s="2" t="str">
        <f aca="false">LEFT(C1536,3)</f>
        <v>313</v>
      </c>
      <c r="F1536" s="2" t="str">
        <f aca="false">IF(D1536="","",LEFT(D1536,3))</f>
        <v/>
      </c>
      <c r="G1536" s="2" t="str">
        <f aca="false">IF(F1536="","",IF(E1536=F1536,"Yes","No"))</f>
        <v/>
      </c>
      <c r="H1536" s="2" t="n">
        <f aca="false">IF(D1536="",0,1/COUNTIF($D$2:$D$3451,D1536))</f>
        <v>0</v>
      </c>
      <c r="I1536" s="13" t="n">
        <f aca="false">IFERROR(INDEX('NCO-2015 scores'!$C$2:$C$131,MATCH(E1536,'NCO-2015 scores'!$A$2:$A$131,0)),0)</f>
        <v>0.288</v>
      </c>
      <c r="J1536" s="13" t="n">
        <f aca="false">IF(ISNUMBER(MATCH(E1536,'NCO-2015 scores'!$A$2:$A$131,0)),IF(ISNUMBER(INDEX('NCO-2015 scores'!$C$2:$C$131,MATCH(E1536,'NCO-2015 scores'!$A$2:$A$131,0))),1,0),0)</f>
        <v>1</v>
      </c>
    </row>
    <row r="1537" customFormat="false" ht="15" hidden="false" customHeight="false" outlineLevel="0" collapsed="false">
      <c r="A1537" s="2" t="n">
        <v>1533</v>
      </c>
      <c r="B1537" s="2" t="s">
        <v>4699</v>
      </c>
      <c r="C1537" s="2" t="s">
        <v>4700</v>
      </c>
      <c r="D1537" s="2" t="s">
        <v>4701</v>
      </c>
      <c r="E1537" s="2" t="str">
        <f aca="false">LEFT(C1537,3)</f>
        <v>313</v>
      </c>
      <c r="F1537" s="2" t="str">
        <f aca="false">IF(D1537="","",LEFT(D1537,3))</f>
        <v>816</v>
      </c>
      <c r="G1537" s="2" t="str">
        <f aca="false">IF(F1537="","",IF(E1537=F1537,"Yes","No"))</f>
        <v>No</v>
      </c>
      <c r="H1537" s="2" t="n">
        <f aca="false">IF(D1537="",0,1/COUNTIF($D$2:$D$3451,D1537))</f>
        <v>1</v>
      </c>
      <c r="I1537" s="13" t="n">
        <f aca="false">IFERROR(INDEX('NCO-2015 scores'!$C$2:$C$131,MATCH(E1537,'NCO-2015 scores'!$A$2:$A$131,0)),0)</f>
        <v>0.288</v>
      </c>
      <c r="J1537" s="13" t="n">
        <f aca="false">IF(ISNUMBER(MATCH(E1537,'NCO-2015 scores'!$A$2:$A$131,0)),IF(ISNUMBER(INDEX('NCO-2015 scores'!$C$2:$C$131,MATCH(E1537,'NCO-2015 scores'!$A$2:$A$131,0))),1,0),0)</f>
        <v>1</v>
      </c>
    </row>
    <row r="1538" customFormat="false" ht="15" hidden="false" customHeight="false" outlineLevel="0" collapsed="false">
      <c r="A1538" s="2" t="n">
        <v>1534</v>
      </c>
      <c r="B1538" s="2" t="s">
        <v>4702</v>
      </c>
      <c r="C1538" s="2" t="s">
        <v>4703</v>
      </c>
      <c r="D1538" s="2" t="s">
        <v>4704</v>
      </c>
      <c r="E1538" s="2" t="str">
        <f aca="false">LEFT(C1538,3)</f>
        <v>313</v>
      </c>
      <c r="F1538" s="2" t="str">
        <f aca="false">IF(D1538="","",LEFT(D1538,3))</f>
        <v>816</v>
      </c>
      <c r="G1538" s="2" t="str">
        <f aca="false">IF(F1538="","",IF(E1538=F1538,"Yes","No"))</f>
        <v>No</v>
      </c>
      <c r="H1538" s="2" t="n">
        <f aca="false">IF(D1538="",0,1/COUNTIF($D$2:$D$3451,D1538))</f>
        <v>1</v>
      </c>
      <c r="I1538" s="13" t="n">
        <f aca="false">IFERROR(INDEX('NCO-2015 scores'!$C$2:$C$131,MATCH(E1538,'NCO-2015 scores'!$A$2:$A$131,0)),0)</f>
        <v>0.288</v>
      </c>
      <c r="J1538" s="13" t="n">
        <f aca="false">IF(ISNUMBER(MATCH(E1538,'NCO-2015 scores'!$A$2:$A$131,0)),IF(ISNUMBER(INDEX('NCO-2015 scores'!$C$2:$C$131,MATCH(E1538,'NCO-2015 scores'!$A$2:$A$131,0))),1,0),0)</f>
        <v>1</v>
      </c>
    </row>
    <row r="1539" customFormat="false" ht="15" hidden="false" customHeight="false" outlineLevel="0" collapsed="false">
      <c r="A1539" s="2" t="n">
        <v>1535</v>
      </c>
      <c r="B1539" s="2" t="s">
        <v>4705</v>
      </c>
      <c r="C1539" s="2" t="s">
        <v>4706</v>
      </c>
      <c r="D1539" s="2" t="s">
        <v>4707</v>
      </c>
      <c r="E1539" s="2" t="str">
        <f aca="false">LEFT(C1539,3)</f>
        <v>214</v>
      </c>
      <c r="F1539" s="2" t="str">
        <f aca="false">IF(D1539="","",LEFT(D1539,3))</f>
        <v>214</v>
      </c>
      <c r="G1539" s="2" t="str">
        <f aca="false">IF(F1539="","",IF(E1539=F1539,"Yes","No"))</f>
        <v>Yes</v>
      </c>
      <c r="H1539" s="2" t="n">
        <f aca="false">IF(D1539="",0,1/COUNTIF($D$2:$D$3451,D1539))</f>
        <v>1</v>
      </c>
      <c r="I1539" s="13" t="n">
        <f aca="false">IFERROR(INDEX('NCO-2015 scores'!$C$2:$C$131,MATCH(E1539,'NCO-2015 scores'!$A$2:$A$131,0)),0)</f>
        <v>0.33</v>
      </c>
      <c r="J1539" s="13" t="n">
        <f aca="false">IF(ISNUMBER(MATCH(E1539,'NCO-2015 scores'!$A$2:$A$131,0)),IF(ISNUMBER(INDEX('NCO-2015 scores'!$C$2:$C$131,MATCH(E1539,'NCO-2015 scores'!$A$2:$A$131,0))),1,0),0)</f>
        <v>1</v>
      </c>
    </row>
    <row r="1540" customFormat="false" ht="15" hidden="false" customHeight="false" outlineLevel="0" collapsed="false">
      <c r="A1540" s="2" t="n">
        <v>1536</v>
      </c>
      <c r="B1540" s="2" t="s">
        <v>4708</v>
      </c>
      <c r="C1540" s="2" t="s">
        <v>4709</v>
      </c>
      <c r="D1540" s="2" t="s">
        <v>4710</v>
      </c>
      <c r="E1540" s="2" t="str">
        <f aca="false">LEFT(C1540,3)</f>
        <v>214</v>
      </c>
      <c r="F1540" s="2" t="str">
        <f aca="false">IF(D1540="","",LEFT(D1540,3))</f>
        <v>214</v>
      </c>
      <c r="G1540" s="2" t="str">
        <f aca="false">IF(F1540="","",IF(E1540=F1540,"Yes","No"))</f>
        <v>Yes</v>
      </c>
      <c r="H1540" s="2" t="n">
        <f aca="false">IF(D1540="",0,1/COUNTIF($D$2:$D$3451,D1540))</f>
        <v>1</v>
      </c>
      <c r="I1540" s="13" t="n">
        <f aca="false">IFERROR(INDEX('NCO-2015 scores'!$C$2:$C$131,MATCH(E1540,'NCO-2015 scores'!$A$2:$A$131,0)),0)</f>
        <v>0.33</v>
      </c>
      <c r="J1540" s="13" t="n">
        <f aca="false">IF(ISNUMBER(MATCH(E1540,'NCO-2015 scores'!$A$2:$A$131,0)),IF(ISNUMBER(INDEX('NCO-2015 scores'!$C$2:$C$131,MATCH(E1540,'NCO-2015 scores'!$A$2:$A$131,0))),1,0),0)</f>
        <v>1</v>
      </c>
    </row>
    <row r="1541" customFormat="false" ht="15" hidden="false" customHeight="false" outlineLevel="0" collapsed="false">
      <c r="A1541" s="2" t="n">
        <v>1537</v>
      </c>
      <c r="B1541" s="2" t="s">
        <v>4711</v>
      </c>
      <c r="C1541" s="2" t="s">
        <v>4712</v>
      </c>
      <c r="D1541" s="2" t="s">
        <v>4713</v>
      </c>
      <c r="E1541" s="2" t="str">
        <f aca="false">LEFT(C1541,3)</f>
        <v>214</v>
      </c>
      <c r="F1541" s="2" t="str">
        <f aca="false">IF(D1541="","",LEFT(D1541,3))</f>
        <v>214</v>
      </c>
      <c r="G1541" s="2" t="str">
        <f aca="false">IF(F1541="","",IF(E1541=F1541,"Yes","No"))</f>
        <v>Yes</v>
      </c>
      <c r="H1541" s="2" t="n">
        <f aca="false">IF(D1541="",0,1/COUNTIF($D$2:$D$3451,D1541))</f>
        <v>1</v>
      </c>
      <c r="I1541" s="13" t="n">
        <f aca="false">IFERROR(INDEX('NCO-2015 scores'!$C$2:$C$131,MATCH(E1541,'NCO-2015 scores'!$A$2:$A$131,0)),0)</f>
        <v>0.33</v>
      </c>
      <c r="J1541" s="13" t="n">
        <f aca="false">IF(ISNUMBER(MATCH(E1541,'NCO-2015 scores'!$A$2:$A$131,0)),IF(ISNUMBER(INDEX('NCO-2015 scores'!$C$2:$C$131,MATCH(E1541,'NCO-2015 scores'!$A$2:$A$131,0))),1,0),0)</f>
        <v>1</v>
      </c>
    </row>
    <row r="1542" customFormat="false" ht="15" hidden="false" customHeight="false" outlineLevel="0" collapsed="false">
      <c r="A1542" s="2" t="n">
        <v>1538</v>
      </c>
      <c r="B1542" s="2" t="s">
        <v>4714</v>
      </c>
      <c r="C1542" s="2" t="s">
        <v>4715</v>
      </c>
      <c r="D1542" s="2" t="s">
        <v>4716</v>
      </c>
      <c r="E1542" s="2" t="str">
        <f aca="false">LEFT(C1542,3)</f>
        <v>214</v>
      </c>
      <c r="F1542" s="2" t="str">
        <f aca="false">IF(D1542="","",LEFT(D1542,3))</f>
        <v>214</v>
      </c>
      <c r="G1542" s="2" t="str">
        <f aca="false">IF(F1542="","",IF(E1542=F1542,"Yes","No"))</f>
        <v>Yes</v>
      </c>
      <c r="H1542" s="2" t="n">
        <f aca="false">IF(D1542="",0,1/COUNTIF($D$2:$D$3451,D1542))</f>
        <v>1</v>
      </c>
      <c r="I1542" s="13" t="n">
        <f aca="false">IFERROR(INDEX('NCO-2015 scores'!$C$2:$C$131,MATCH(E1542,'NCO-2015 scores'!$A$2:$A$131,0)),0)</f>
        <v>0.33</v>
      </c>
      <c r="J1542" s="13" t="n">
        <f aca="false">IF(ISNUMBER(MATCH(E1542,'NCO-2015 scores'!$A$2:$A$131,0)),IF(ISNUMBER(INDEX('NCO-2015 scores'!$C$2:$C$131,MATCH(E1542,'NCO-2015 scores'!$A$2:$A$131,0))),1,0),0)</f>
        <v>1</v>
      </c>
    </row>
    <row r="1543" customFormat="false" ht="15" hidden="false" customHeight="false" outlineLevel="0" collapsed="false">
      <c r="A1543" s="2" t="n">
        <v>1539</v>
      </c>
      <c r="B1543" s="2" t="s">
        <v>4717</v>
      </c>
      <c r="C1543" s="2" t="s">
        <v>4718</v>
      </c>
      <c r="D1543" s="2" t="s">
        <v>4719</v>
      </c>
      <c r="E1543" s="2" t="str">
        <f aca="false">LEFT(C1543,3)</f>
        <v>214</v>
      </c>
      <c r="F1543" s="2" t="str">
        <f aca="false">IF(D1543="","",LEFT(D1543,3))</f>
        <v>214</v>
      </c>
      <c r="G1543" s="2" t="str">
        <f aca="false">IF(F1543="","",IF(E1543=F1543,"Yes","No"))</f>
        <v>Yes</v>
      </c>
      <c r="H1543" s="2" t="n">
        <f aca="false">IF(D1543="",0,1/COUNTIF($D$2:$D$3451,D1543))</f>
        <v>1</v>
      </c>
      <c r="I1543" s="13" t="n">
        <f aca="false">IFERROR(INDEX('NCO-2015 scores'!$C$2:$C$131,MATCH(E1543,'NCO-2015 scores'!$A$2:$A$131,0)),0)</f>
        <v>0.33</v>
      </c>
      <c r="J1543" s="13" t="n">
        <f aca="false">IF(ISNUMBER(MATCH(E1543,'NCO-2015 scores'!$A$2:$A$131,0)),IF(ISNUMBER(INDEX('NCO-2015 scores'!$C$2:$C$131,MATCH(E1543,'NCO-2015 scores'!$A$2:$A$131,0))),1,0),0)</f>
        <v>1</v>
      </c>
    </row>
    <row r="1544" customFormat="false" ht="15" hidden="false" customHeight="false" outlineLevel="0" collapsed="false">
      <c r="A1544" s="2" t="n">
        <v>1540</v>
      </c>
      <c r="B1544" s="2" t="s">
        <v>4720</v>
      </c>
      <c r="C1544" s="2" t="s">
        <v>4721</v>
      </c>
      <c r="D1544" s="2" t="s">
        <v>4722</v>
      </c>
      <c r="E1544" s="2" t="str">
        <f aca="false">LEFT(C1544,3)</f>
        <v>214</v>
      </c>
      <c r="F1544" s="2" t="str">
        <f aca="false">IF(D1544="","",LEFT(D1544,3))</f>
        <v>214</v>
      </c>
      <c r="G1544" s="2" t="str">
        <f aca="false">IF(F1544="","",IF(E1544=F1544,"Yes","No"))</f>
        <v>Yes</v>
      </c>
      <c r="H1544" s="2" t="n">
        <f aca="false">IF(D1544="",0,1/COUNTIF($D$2:$D$3451,D1544))</f>
        <v>1</v>
      </c>
      <c r="I1544" s="13" t="n">
        <f aca="false">IFERROR(INDEX('NCO-2015 scores'!$C$2:$C$131,MATCH(E1544,'NCO-2015 scores'!$A$2:$A$131,0)),0)</f>
        <v>0.33</v>
      </c>
      <c r="J1544" s="13" t="n">
        <f aca="false">IF(ISNUMBER(MATCH(E1544,'NCO-2015 scores'!$A$2:$A$131,0)),IF(ISNUMBER(INDEX('NCO-2015 scores'!$C$2:$C$131,MATCH(E1544,'NCO-2015 scores'!$A$2:$A$131,0))),1,0),0)</f>
        <v>1</v>
      </c>
    </row>
    <row r="1545" customFormat="false" ht="15" hidden="false" customHeight="false" outlineLevel="0" collapsed="false">
      <c r="A1545" s="2" t="n">
        <v>1541</v>
      </c>
      <c r="B1545" s="2" t="s">
        <v>4723</v>
      </c>
      <c r="C1545" s="2" t="s">
        <v>4724</v>
      </c>
      <c r="D1545" s="2"/>
      <c r="E1545" s="2" t="str">
        <f aca="false">LEFT(C1545,3)</f>
        <v>214</v>
      </c>
      <c r="F1545" s="2" t="str">
        <f aca="false">IF(D1545="","",LEFT(D1545,3))</f>
        <v/>
      </c>
      <c r="G1545" s="2" t="str">
        <f aca="false">IF(F1545="","",IF(E1545=F1545,"Yes","No"))</f>
        <v/>
      </c>
      <c r="H1545" s="2" t="n">
        <f aca="false">IF(D1545="",0,1/COUNTIF($D$2:$D$3451,D1545))</f>
        <v>0</v>
      </c>
      <c r="I1545" s="13" t="n">
        <f aca="false">IFERROR(INDEX('NCO-2015 scores'!$C$2:$C$131,MATCH(E1545,'NCO-2015 scores'!$A$2:$A$131,0)),0)</f>
        <v>0.33</v>
      </c>
      <c r="J1545" s="13" t="n">
        <f aca="false">IF(ISNUMBER(MATCH(E1545,'NCO-2015 scores'!$A$2:$A$131,0)),IF(ISNUMBER(INDEX('NCO-2015 scores'!$C$2:$C$131,MATCH(E1545,'NCO-2015 scores'!$A$2:$A$131,0))),1,0),0)</f>
        <v>1</v>
      </c>
    </row>
    <row r="1546" customFormat="false" ht="15" hidden="false" customHeight="false" outlineLevel="0" collapsed="false">
      <c r="A1546" s="2" t="n">
        <v>1542</v>
      </c>
      <c r="B1546" s="2" t="s">
        <v>4725</v>
      </c>
      <c r="C1546" s="2" t="s">
        <v>4726</v>
      </c>
      <c r="D1546" s="2" t="s">
        <v>4727</v>
      </c>
      <c r="E1546" s="2" t="str">
        <f aca="false">LEFT(C1546,3)</f>
        <v>214</v>
      </c>
      <c r="F1546" s="2" t="str">
        <f aca="false">IF(D1546="","",LEFT(D1546,3))</f>
        <v>214</v>
      </c>
      <c r="G1546" s="2" t="str">
        <f aca="false">IF(F1546="","",IF(E1546=F1546,"Yes","No"))</f>
        <v>Yes</v>
      </c>
      <c r="H1546" s="2" t="n">
        <f aca="false">IF(D1546="",0,1/COUNTIF($D$2:$D$3451,D1546))</f>
        <v>1</v>
      </c>
      <c r="I1546" s="13" t="n">
        <f aca="false">IFERROR(INDEX('NCO-2015 scores'!$C$2:$C$131,MATCH(E1546,'NCO-2015 scores'!$A$2:$A$131,0)),0)</f>
        <v>0.33</v>
      </c>
      <c r="J1546" s="13" t="n">
        <f aca="false">IF(ISNUMBER(MATCH(E1546,'NCO-2015 scores'!$A$2:$A$131,0)),IF(ISNUMBER(INDEX('NCO-2015 scores'!$C$2:$C$131,MATCH(E1546,'NCO-2015 scores'!$A$2:$A$131,0))),1,0),0)</f>
        <v>1</v>
      </c>
    </row>
    <row r="1547" customFormat="false" ht="15" hidden="false" customHeight="false" outlineLevel="0" collapsed="false">
      <c r="A1547" s="2" t="n">
        <v>1543</v>
      </c>
      <c r="B1547" s="2" t="s">
        <v>4728</v>
      </c>
      <c r="C1547" s="2" t="s">
        <v>4729</v>
      </c>
      <c r="D1547" s="2" t="s">
        <v>4730</v>
      </c>
      <c r="E1547" s="2" t="str">
        <f aca="false">LEFT(C1547,3)</f>
        <v>214</v>
      </c>
      <c r="F1547" s="2" t="str">
        <f aca="false">IF(D1547="","",LEFT(D1547,3))</f>
        <v>214</v>
      </c>
      <c r="G1547" s="2" t="str">
        <f aca="false">IF(F1547="","",IF(E1547=F1547,"Yes","No"))</f>
        <v>Yes</v>
      </c>
      <c r="H1547" s="2" t="n">
        <f aca="false">IF(D1547="",0,1/COUNTIF($D$2:$D$3451,D1547))</f>
        <v>1</v>
      </c>
      <c r="I1547" s="13" t="n">
        <f aca="false">IFERROR(INDEX('NCO-2015 scores'!$C$2:$C$131,MATCH(E1547,'NCO-2015 scores'!$A$2:$A$131,0)),0)</f>
        <v>0.33</v>
      </c>
      <c r="J1547" s="13" t="n">
        <f aca="false">IF(ISNUMBER(MATCH(E1547,'NCO-2015 scores'!$A$2:$A$131,0)),IF(ISNUMBER(INDEX('NCO-2015 scores'!$C$2:$C$131,MATCH(E1547,'NCO-2015 scores'!$A$2:$A$131,0))),1,0),0)</f>
        <v>1</v>
      </c>
    </row>
    <row r="1548" customFormat="false" ht="15" hidden="false" customHeight="false" outlineLevel="0" collapsed="false">
      <c r="A1548" s="2" t="n">
        <v>1544</v>
      </c>
      <c r="B1548" s="2" t="s">
        <v>4731</v>
      </c>
      <c r="C1548" s="2" t="s">
        <v>4732</v>
      </c>
      <c r="D1548" s="2" t="s">
        <v>4733</v>
      </c>
      <c r="E1548" s="2" t="str">
        <f aca="false">LEFT(C1548,3)</f>
        <v>214</v>
      </c>
      <c r="F1548" s="2" t="str">
        <f aca="false">IF(D1548="","",LEFT(D1548,3))</f>
        <v>214</v>
      </c>
      <c r="G1548" s="2" t="str">
        <f aca="false">IF(F1548="","",IF(E1548=F1548,"Yes","No"))</f>
        <v>Yes</v>
      </c>
      <c r="H1548" s="2" t="n">
        <f aca="false">IF(D1548="",0,1/COUNTIF($D$2:$D$3451,D1548))</f>
        <v>1</v>
      </c>
      <c r="I1548" s="13" t="n">
        <f aca="false">IFERROR(INDEX('NCO-2015 scores'!$C$2:$C$131,MATCH(E1548,'NCO-2015 scores'!$A$2:$A$131,0)),0)</f>
        <v>0.33</v>
      </c>
      <c r="J1548" s="13" t="n">
        <f aca="false">IF(ISNUMBER(MATCH(E1548,'NCO-2015 scores'!$A$2:$A$131,0)),IF(ISNUMBER(INDEX('NCO-2015 scores'!$C$2:$C$131,MATCH(E1548,'NCO-2015 scores'!$A$2:$A$131,0))),1,0),0)</f>
        <v>1</v>
      </c>
    </row>
    <row r="1549" customFormat="false" ht="15" hidden="false" customHeight="false" outlineLevel="0" collapsed="false">
      <c r="A1549" s="2" t="n">
        <v>1545</v>
      </c>
      <c r="B1549" s="2" t="s">
        <v>4734</v>
      </c>
      <c r="C1549" s="2" t="s">
        <v>4735</v>
      </c>
      <c r="D1549" s="2"/>
      <c r="E1549" s="2" t="str">
        <f aca="false">LEFT(C1549,3)</f>
        <v>214</v>
      </c>
      <c r="F1549" s="2" t="str">
        <f aca="false">IF(D1549="","",LEFT(D1549,3))</f>
        <v/>
      </c>
      <c r="G1549" s="2" t="str">
        <f aca="false">IF(F1549="","",IF(E1549=F1549,"Yes","No"))</f>
        <v/>
      </c>
      <c r="H1549" s="2" t="n">
        <f aca="false">IF(D1549="",0,1/COUNTIF($D$2:$D$3451,D1549))</f>
        <v>0</v>
      </c>
      <c r="I1549" s="13" t="n">
        <f aca="false">IFERROR(INDEX('NCO-2015 scores'!$C$2:$C$131,MATCH(E1549,'NCO-2015 scores'!$A$2:$A$131,0)),0)</f>
        <v>0.33</v>
      </c>
      <c r="J1549" s="13" t="n">
        <f aca="false">IF(ISNUMBER(MATCH(E1549,'NCO-2015 scores'!$A$2:$A$131,0)),IF(ISNUMBER(INDEX('NCO-2015 scores'!$C$2:$C$131,MATCH(E1549,'NCO-2015 scores'!$A$2:$A$131,0))),1,0),0)</f>
        <v>1</v>
      </c>
    </row>
    <row r="1550" customFormat="false" ht="15" hidden="false" customHeight="false" outlineLevel="0" collapsed="false">
      <c r="A1550" s="2" t="n">
        <v>1546</v>
      </c>
      <c r="B1550" s="2" t="s">
        <v>4736</v>
      </c>
      <c r="C1550" s="2" t="s">
        <v>4737</v>
      </c>
      <c r="D1550" s="2" t="s">
        <v>4738</v>
      </c>
      <c r="E1550" s="2" t="str">
        <f aca="false">LEFT(C1550,3)</f>
        <v>214</v>
      </c>
      <c r="F1550" s="2" t="str">
        <f aca="false">IF(D1550="","",LEFT(D1550,3))</f>
        <v>214</v>
      </c>
      <c r="G1550" s="2" t="str">
        <f aca="false">IF(F1550="","",IF(E1550=F1550,"Yes","No"))</f>
        <v>Yes</v>
      </c>
      <c r="H1550" s="2" t="n">
        <f aca="false">IF(D1550="",0,1/COUNTIF($D$2:$D$3451,D1550))</f>
        <v>1</v>
      </c>
      <c r="I1550" s="13" t="n">
        <f aca="false">IFERROR(INDEX('NCO-2015 scores'!$C$2:$C$131,MATCH(E1550,'NCO-2015 scores'!$A$2:$A$131,0)),0)</f>
        <v>0.33</v>
      </c>
      <c r="J1550" s="13" t="n">
        <f aca="false">IF(ISNUMBER(MATCH(E1550,'NCO-2015 scores'!$A$2:$A$131,0)),IF(ISNUMBER(INDEX('NCO-2015 scores'!$C$2:$C$131,MATCH(E1550,'NCO-2015 scores'!$A$2:$A$131,0))),1,0),0)</f>
        <v>1</v>
      </c>
    </row>
    <row r="1551" customFormat="false" ht="15" hidden="false" customHeight="false" outlineLevel="0" collapsed="false">
      <c r="A1551" s="2" t="n">
        <v>1547</v>
      </c>
      <c r="B1551" s="2" t="s">
        <v>4739</v>
      </c>
      <c r="C1551" s="2" t="s">
        <v>4740</v>
      </c>
      <c r="D1551" s="2" t="s">
        <v>4741</v>
      </c>
      <c r="E1551" s="2" t="str">
        <f aca="false">LEFT(C1551,3)</f>
        <v>214</v>
      </c>
      <c r="F1551" s="2" t="str">
        <f aca="false">IF(D1551="","",LEFT(D1551,3))</f>
        <v>214</v>
      </c>
      <c r="G1551" s="2" t="str">
        <f aca="false">IF(F1551="","",IF(E1551=F1551,"Yes","No"))</f>
        <v>Yes</v>
      </c>
      <c r="H1551" s="2" t="n">
        <f aca="false">IF(D1551="",0,1/COUNTIF($D$2:$D$3451,D1551))</f>
        <v>1</v>
      </c>
      <c r="I1551" s="13" t="n">
        <f aca="false">IFERROR(INDEX('NCO-2015 scores'!$C$2:$C$131,MATCH(E1551,'NCO-2015 scores'!$A$2:$A$131,0)),0)</f>
        <v>0.33</v>
      </c>
      <c r="J1551" s="13" t="n">
        <f aca="false">IF(ISNUMBER(MATCH(E1551,'NCO-2015 scores'!$A$2:$A$131,0)),IF(ISNUMBER(INDEX('NCO-2015 scores'!$C$2:$C$131,MATCH(E1551,'NCO-2015 scores'!$A$2:$A$131,0))),1,0),0)</f>
        <v>1</v>
      </c>
    </row>
    <row r="1552" customFormat="false" ht="15" hidden="false" customHeight="false" outlineLevel="0" collapsed="false">
      <c r="A1552" s="2" t="n">
        <v>1548</v>
      </c>
      <c r="B1552" s="2" t="s">
        <v>4742</v>
      </c>
      <c r="C1552" s="2" t="s">
        <v>4743</v>
      </c>
      <c r="D1552" s="2" t="s">
        <v>4744</v>
      </c>
      <c r="E1552" s="2" t="str">
        <f aca="false">LEFT(C1552,3)</f>
        <v>214</v>
      </c>
      <c r="F1552" s="2" t="str">
        <f aca="false">IF(D1552="","",LEFT(D1552,3))</f>
        <v>214</v>
      </c>
      <c r="G1552" s="2" t="str">
        <f aca="false">IF(F1552="","",IF(E1552=F1552,"Yes","No"))</f>
        <v>Yes</v>
      </c>
      <c r="H1552" s="2" t="n">
        <f aca="false">IF(D1552="",0,1/COUNTIF($D$2:$D$3451,D1552))</f>
        <v>1</v>
      </c>
      <c r="I1552" s="13" t="n">
        <f aca="false">IFERROR(INDEX('NCO-2015 scores'!$C$2:$C$131,MATCH(E1552,'NCO-2015 scores'!$A$2:$A$131,0)),0)</f>
        <v>0.33</v>
      </c>
      <c r="J1552" s="13" t="n">
        <f aca="false">IF(ISNUMBER(MATCH(E1552,'NCO-2015 scores'!$A$2:$A$131,0)),IF(ISNUMBER(INDEX('NCO-2015 scores'!$C$2:$C$131,MATCH(E1552,'NCO-2015 scores'!$A$2:$A$131,0))),1,0),0)</f>
        <v>1</v>
      </c>
    </row>
    <row r="1553" customFormat="false" ht="15" hidden="false" customHeight="false" outlineLevel="0" collapsed="false">
      <c r="A1553" s="2" t="n">
        <v>1549</v>
      </c>
      <c r="B1553" s="2" t="s">
        <v>4745</v>
      </c>
      <c r="C1553" s="2" t="s">
        <v>4746</v>
      </c>
      <c r="D1553" s="2" t="s">
        <v>4747</v>
      </c>
      <c r="E1553" s="2" t="str">
        <f aca="false">LEFT(C1553,3)</f>
        <v>214</v>
      </c>
      <c r="F1553" s="2" t="str">
        <f aca="false">IF(D1553="","",LEFT(D1553,3))</f>
        <v>214</v>
      </c>
      <c r="G1553" s="2" t="str">
        <f aca="false">IF(F1553="","",IF(E1553=F1553,"Yes","No"))</f>
        <v>Yes</v>
      </c>
      <c r="H1553" s="2" t="n">
        <f aca="false">IF(D1553="",0,1/COUNTIF($D$2:$D$3451,D1553))</f>
        <v>1</v>
      </c>
      <c r="I1553" s="13" t="n">
        <f aca="false">IFERROR(INDEX('NCO-2015 scores'!$C$2:$C$131,MATCH(E1553,'NCO-2015 scores'!$A$2:$A$131,0)),0)</f>
        <v>0.33</v>
      </c>
      <c r="J1553" s="13" t="n">
        <f aca="false">IF(ISNUMBER(MATCH(E1553,'NCO-2015 scores'!$A$2:$A$131,0)),IF(ISNUMBER(INDEX('NCO-2015 scores'!$C$2:$C$131,MATCH(E1553,'NCO-2015 scores'!$A$2:$A$131,0))),1,0),0)</f>
        <v>1</v>
      </c>
    </row>
    <row r="1554" customFormat="false" ht="15" hidden="false" customHeight="false" outlineLevel="0" collapsed="false">
      <c r="A1554" s="2" t="n">
        <v>1550</v>
      </c>
      <c r="B1554" s="2" t="s">
        <v>4748</v>
      </c>
      <c r="C1554" s="2" t="s">
        <v>4749</v>
      </c>
      <c r="D1554" s="2" t="s">
        <v>4750</v>
      </c>
      <c r="E1554" s="2" t="str">
        <f aca="false">LEFT(C1554,3)</f>
        <v>214</v>
      </c>
      <c r="F1554" s="2" t="str">
        <f aca="false">IF(D1554="","",LEFT(D1554,3))</f>
        <v>214</v>
      </c>
      <c r="G1554" s="2" t="str">
        <f aca="false">IF(F1554="","",IF(E1554=F1554,"Yes","No"))</f>
        <v>Yes</v>
      </c>
      <c r="H1554" s="2" t="n">
        <f aca="false">IF(D1554="",0,1/COUNTIF($D$2:$D$3451,D1554))</f>
        <v>1</v>
      </c>
      <c r="I1554" s="13" t="n">
        <f aca="false">IFERROR(INDEX('NCO-2015 scores'!$C$2:$C$131,MATCH(E1554,'NCO-2015 scores'!$A$2:$A$131,0)),0)</f>
        <v>0.33</v>
      </c>
      <c r="J1554" s="13" t="n">
        <f aca="false">IF(ISNUMBER(MATCH(E1554,'NCO-2015 scores'!$A$2:$A$131,0)),IF(ISNUMBER(INDEX('NCO-2015 scores'!$C$2:$C$131,MATCH(E1554,'NCO-2015 scores'!$A$2:$A$131,0))),1,0),0)</f>
        <v>1</v>
      </c>
    </row>
    <row r="1555" customFormat="false" ht="15" hidden="false" customHeight="false" outlineLevel="0" collapsed="false">
      <c r="A1555" s="2" t="n">
        <v>1551</v>
      </c>
      <c r="B1555" s="2" t="s">
        <v>4751</v>
      </c>
      <c r="C1555" s="2" t="s">
        <v>4752</v>
      </c>
      <c r="D1555" s="2" t="s">
        <v>4753</v>
      </c>
      <c r="E1555" s="2" t="str">
        <f aca="false">LEFT(C1555,3)</f>
        <v>214</v>
      </c>
      <c r="F1555" s="2" t="str">
        <f aca="false">IF(D1555="","",LEFT(D1555,3))</f>
        <v>214</v>
      </c>
      <c r="G1555" s="2" t="str">
        <f aca="false">IF(F1555="","",IF(E1555=F1555,"Yes","No"))</f>
        <v>Yes</v>
      </c>
      <c r="H1555" s="2" t="n">
        <f aca="false">IF(D1555="",0,1/COUNTIF($D$2:$D$3451,D1555))</f>
        <v>1</v>
      </c>
      <c r="I1555" s="13" t="n">
        <f aca="false">IFERROR(INDEX('NCO-2015 scores'!$C$2:$C$131,MATCH(E1555,'NCO-2015 scores'!$A$2:$A$131,0)),0)</f>
        <v>0.33</v>
      </c>
      <c r="J1555" s="13" t="n">
        <f aca="false">IF(ISNUMBER(MATCH(E1555,'NCO-2015 scores'!$A$2:$A$131,0)),IF(ISNUMBER(INDEX('NCO-2015 scores'!$C$2:$C$131,MATCH(E1555,'NCO-2015 scores'!$A$2:$A$131,0))),1,0),0)</f>
        <v>1</v>
      </c>
    </row>
    <row r="1556" customFormat="false" ht="15" hidden="false" customHeight="false" outlineLevel="0" collapsed="false">
      <c r="A1556" s="2" t="n">
        <v>1552</v>
      </c>
      <c r="B1556" s="2" t="s">
        <v>4754</v>
      </c>
      <c r="C1556" s="2" t="s">
        <v>4755</v>
      </c>
      <c r="D1556" s="2" t="s">
        <v>4756</v>
      </c>
      <c r="E1556" s="2" t="str">
        <f aca="false">LEFT(C1556,3)</f>
        <v>214</v>
      </c>
      <c r="F1556" s="2" t="str">
        <f aca="false">IF(D1556="","",LEFT(D1556,3))</f>
        <v>214</v>
      </c>
      <c r="G1556" s="2" t="str">
        <f aca="false">IF(F1556="","",IF(E1556=F1556,"Yes","No"))</f>
        <v>Yes</v>
      </c>
      <c r="H1556" s="2" t="n">
        <f aca="false">IF(D1556="",0,1/COUNTIF($D$2:$D$3451,D1556))</f>
        <v>1</v>
      </c>
      <c r="I1556" s="13" t="n">
        <f aca="false">IFERROR(INDEX('NCO-2015 scores'!$C$2:$C$131,MATCH(E1556,'NCO-2015 scores'!$A$2:$A$131,0)),0)</f>
        <v>0.33</v>
      </c>
      <c r="J1556" s="13" t="n">
        <f aca="false">IF(ISNUMBER(MATCH(E1556,'NCO-2015 scores'!$A$2:$A$131,0)),IF(ISNUMBER(INDEX('NCO-2015 scores'!$C$2:$C$131,MATCH(E1556,'NCO-2015 scores'!$A$2:$A$131,0))),1,0),0)</f>
        <v>1</v>
      </c>
    </row>
    <row r="1557" customFormat="false" ht="15" hidden="false" customHeight="false" outlineLevel="0" collapsed="false">
      <c r="A1557" s="2" t="n">
        <v>1553</v>
      </c>
      <c r="B1557" s="2" t="s">
        <v>4757</v>
      </c>
      <c r="C1557" s="2" t="s">
        <v>4758</v>
      </c>
      <c r="D1557" s="2" t="s">
        <v>4759</v>
      </c>
      <c r="E1557" s="2" t="str">
        <f aca="false">LEFT(C1557,3)</f>
        <v>214</v>
      </c>
      <c r="F1557" s="2" t="str">
        <f aca="false">IF(D1557="","",LEFT(D1557,3))</f>
        <v>214</v>
      </c>
      <c r="G1557" s="2" t="str">
        <f aca="false">IF(F1557="","",IF(E1557=F1557,"Yes","No"))</f>
        <v>Yes</v>
      </c>
      <c r="H1557" s="2" t="n">
        <f aca="false">IF(D1557="",0,1/COUNTIF($D$2:$D$3451,D1557))</f>
        <v>1</v>
      </c>
      <c r="I1557" s="13" t="n">
        <f aca="false">IFERROR(INDEX('NCO-2015 scores'!$C$2:$C$131,MATCH(E1557,'NCO-2015 scores'!$A$2:$A$131,0)),0)</f>
        <v>0.33</v>
      </c>
      <c r="J1557" s="13" t="n">
        <f aca="false">IF(ISNUMBER(MATCH(E1557,'NCO-2015 scores'!$A$2:$A$131,0)),IF(ISNUMBER(INDEX('NCO-2015 scores'!$C$2:$C$131,MATCH(E1557,'NCO-2015 scores'!$A$2:$A$131,0))),1,0),0)</f>
        <v>1</v>
      </c>
    </row>
    <row r="1558" customFormat="false" ht="15" hidden="false" customHeight="false" outlineLevel="0" collapsed="false">
      <c r="A1558" s="2" t="n">
        <v>1554</v>
      </c>
      <c r="B1558" s="2" t="s">
        <v>4760</v>
      </c>
      <c r="C1558" s="2" t="s">
        <v>4761</v>
      </c>
      <c r="D1558" s="2" t="s">
        <v>4762</v>
      </c>
      <c r="E1558" s="2" t="str">
        <f aca="false">LEFT(C1558,3)</f>
        <v>214</v>
      </c>
      <c r="F1558" s="2" t="str">
        <f aca="false">IF(D1558="","",LEFT(D1558,3))</f>
        <v>214</v>
      </c>
      <c r="G1558" s="2" t="str">
        <f aca="false">IF(F1558="","",IF(E1558=F1558,"Yes","No"))</f>
        <v>Yes</v>
      </c>
      <c r="H1558" s="2" t="n">
        <f aca="false">IF(D1558="",0,1/COUNTIF($D$2:$D$3451,D1558))</f>
        <v>1</v>
      </c>
      <c r="I1558" s="13" t="n">
        <f aca="false">IFERROR(INDEX('NCO-2015 scores'!$C$2:$C$131,MATCH(E1558,'NCO-2015 scores'!$A$2:$A$131,0)),0)</f>
        <v>0.33</v>
      </c>
      <c r="J1558" s="13" t="n">
        <f aca="false">IF(ISNUMBER(MATCH(E1558,'NCO-2015 scores'!$A$2:$A$131,0)),IF(ISNUMBER(INDEX('NCO-2015 scores'!$C$2:$C$131,MATCH(E1558,'NCO-2015 scores'!$A$2:$A$131,0))),1,0),0)</f>
        <v>1</v>
      </c>
    </row>
    <row r="1559" customFormat="false" ht="15" hidden="false" customHeight="false" outlineLevel="0" collapsed="false">
      <c r="A1559" s="2" t="n">
        <v>1555</v>
      </c>
      <c r="B1559" s="2" t="s">
        <v>4763</v>
      </c>
      <c r="C1559" s="2" t="s">
        <v>4764</v>
      </c>
      <c r="D1559" s="2" t="s">
        <v>4765</v>
      </c>
      <c r="E1559" s="2" t="str">
        <f aca="false">LEFT(C1559,3)</f>
        <v>214</v>
      </c>
      <c r="F1559" s="2" t="str">
        <f aca="false">IF(D1559="","",LEFT(D1559,3))</f>
        <v>214</v>
      </c>
      <c r="G1559" s="2" t="str">
        <f aca="false">IF(F1559="","",IF(E1559=F1559,"Yes","No"))</f>
        <v>Yes</v>
      </c>
      <c r="H1559" s="2" t="n">
        <f aca="false">IF(D1559="",0,1/COUNTIF($D$2:$D$3451,D1559))</f>
        <v>1</v>
      </c>
      <c r="I1559" s="13" t="n">
        <f aca="false">IFERROR(INDEX('NCO-2015 scores'!$C$2:$C$131,MATCH(E1559,'NCO-2015 scores'!$A$2:$A$131,0)),0)</f>
        <v>0.33</v>
      </c>
      <c r="J1559" s="13" t="n">
        <f aca="false">IF(ISNUMBER(MATCH(E1559,'NCO-2015 scores'!$A$2:$A$131,0)),IF(ISNUMBER(INDEX('NCO-2015 scores'!$C$2:$C$131,MATCH(E1559,'NCO-2015 scores'!$A$2:$A$131,0))),1,0),0)</f>
        <v>1</v>
      </c>
    </row>
    <row r="1560" customFormat="false" ht="15" hidden="false" customHeight="false" outlineLevel="0" collapsed="false">
      <c r="A1560" s="2" t="n">
        <v>1556</v>
      </c>
      <c r="B1560" s="2" t="s">
        <v>4766</v>
      </c>
      <c r="C1560" s="2" t="s">
        <v>4767</v>
      </c>
      <c r="D1560" s="2" t="s">
        <v>4768</v>
      </c>
      <c r="E1560" s="2" t="str">
        <f aca="false">LEFT(C1560,3)</f>
        <v>214</v>
      </c>
      <c r="F1560" s="2" t="str">
        <f aca="false">IF(D1560="","",LEFT(D1560,3))</f>
        <v>214</v>
      </c>
      <c r="G1560" s="2" t="str">
        <f aca="false">IF(F1560="","",IF(E1560=F1560,"Yes","No"))</f>
        <v>Yes</v>
      </c>
      <c r="H1560" s="2" t="n">
        <f aca="false">IF(D1560="",0,1/COUNTIF($D$2:$D$3451,D1560))</f>
        <v>1</v>
      </c>
      <c r="I1560" s="13" t="n">
        <f aca="false">IFERROR(INDEX('NCO-2015 scores'!$C$2:$C$131,MATCH(E1560,'NCO-2015 scores'!$A$2:$A$131,0)),0)</f>
        <v>0.33</v>
      </c>
      <c r="J1560" s="13" t="n">
        <f aca="false">IF(ISNUMBER(MATCH(E1560,'NCO-2015 scores'!$A$2:$A$131,0)),IF(ISNUMBER(INDEX('NCO-2015 scores'!$C$2:$C$131,MATCH(E1560,'NCO-2015 scores'!$A$2:$A$131,0))),1,0),0)</f>
        <v>1</v>
      </c>
    </row>
    <row r="1561" customFormat="false" ht="15" hidden="false" customHeight="false" outlineLevel="0" collapsed="false">
      <c r="A1561" s="2" t="n">
        <v>1557</v>
      </c>
      <c r="B1561" s="2" t="s">
        <v>4769</v>
      </c>
      <c r="C1561" s="2" t="s">
        <v>4770</v>
      </c>
      <c r="D1561" s="2" t="s">
        <v>4771</v>
      </c>
      <c r="E1561" s="2" t="str">
        <f aca="false">LEFT(C1561,3)</f>
        <v>214</v>
      </c>
      <c r="F1561" s="2" t="str">
        <f aca="false">IF(D1561="","",LEFT(D1561,3))</f>
        <v>214</v>
      </c>
      <c r="G1561" s="2" t="str">
        <f aca="false">IF(F1561="","",IF(E1561=F1561,"Yes","No"))</f>
        <v>Yes</v>
      </c>
      <c r="H1561" s="2" t="n">
        <f aca="false">IF(D1561="",0,1/COUNTIF($D$2:$D$3451,D1561))</f>
        <v>1</v>
      </c>
      <c r="I1561" s="13" t="n">
        <f aca="false">IFERROR(INDEX('NCO-2015 scores'!$C$2:$C$131,MATCH(E1561,'NCO-2015 scores'!$A$2:$A$131,0)),0)</f>
        <v>0.33</v>
      </c>
      <c r="J1561" s="13" t="n">
        <f aca="false">IF(ISNUMBER(MATCH(E1561,'NCO-2015 scores'!$A$2:$A$131,0)),IF(ISNUMBER(INDEX('NCO-2015 scores'!$C$2:$C$131,MATCH(E1561,'NCO-2015 scores'!$A$2:$A$131,0))),1,0),0)</f>
        <v>1</v>
      </c>
    </row>
    <row r="1562" customFormat="false" ht="15" hidden="false" customHeight="false" outlineLevel="0" collapsed="false">
      <c r="A1562" s="2" t="n">
        <v>1558</v>
      </c>
      <c r="B1562" s="2" t="s">
        <v>4772</v>
      </c>
      <c r="C1562" s="2" t="s">
        <v>4773</v>
      </c>
      <c r="D1562" s="2" t="s">
        <v>4774</v>
      </c>
      <c r="E1562" s="2" t="str">
        <f aca="false">LEFT(C1562,3)</f>
        <v>214</v>
      </c>
      <c r="F1562" s="2" t="str">
        <f aca="false">IF(D1562="","",LEFT(D1562,3))</f>
        <v>214</v>
      </c>
      <c r="G1562" s="2" t="str">
        <f aca="false">IF(F1562="","",IF(E1562=F1562,"Yes","No"))</f>
        <v>Yes</v>
      </c>
      <c r="H1562" s="2" t="n">
        <f aca="false">IF(D1562="",0,1/COUNTIF($D$2:$D$3451,D1562))</f>
        <v>1</v>
      </c>
      <c r="I1562" s="13" t="n">
        <f aca="false">IFERROR(INDEX('NCO-2015 scores'!$C$2:$C$131,MATCH(E1562,'NCO-2015 scores'!$A$2:$A$131,0)),0)</f>
        <v>0.33</v>
      </c>
      <c r="J1562" s="13" t="n">
        <f aca="false">IF(ISNUMBER(MATCH(E1562,'NCO-2015 scores'!$A$2:$A$131,0)),IF(ISNUMBER(INDEX('NCO-2015 scores'!$C$2:$C$131,MATCH(E1562,'NCO-2015 scores'!$A$2:$A$131,0))),1,0),0)</f>
        <v>1</v>
      </c>
    </row>
    <row r="1563" customFormat="false" ht="15" hidden="false" customHeight="false" outlineLevel="0" collapsed="false">
      <c r="A1563" s="2" t="n">
        <v>1559</v>
      </c>
      <c r="B1563" s="2" t="s">
        <v>4775</v>
      </c>
      <c r="C1563" s="2" t="s">
        <v>4776</v>
      </c>
      <c r="D1563" s="2" t="s">
        <v>4777</v>
      </c>
      <c r="E1563" s="2" t="str">
        <f aca="false">LEFT(C1563,3)</f>
        <v>214</v>
      </c>
      <c r="F1563" s="2" t="str">
        <f aca="false">IF(D1563="","",LEFT(D1563,3))</f>
        <v>214</v>
      </c>
      <c r="G1563" s="2" t="str">
        <f aca="false">IF(F1563="","",IF(E1563=F1563,"Yes","No"))</f>
        <v>Yes</v>
      </c>
      <c r="H1563" s="2" t="n">
        <f aca="false">IF(D1563="",0,1/COUNTIF($D$2:$D$3451,D1563))</f>
        <v>1</v>
      </c>
      <c r="I1563" s="13" t="n">
        <f aca="false">IFERROR(INDEX('NCO-2015 scores'!$C$2:$C$131,MATCH(E1563,'NCO-2015 scores'!$A$2:$A$131,0)),0)</f>
        <v>0.33</v>
      </c>
      <c r="J1563" s="13" t="n">
        <f aca="false">IF(ISNUMBER(MATCH(E1563,'NCO-2015 scores'!$A$2:$A$131,0)),IF(ISNUMBER(INDEX('NCO-2015 scores'!$C$2:$C$131,MATCH(E1563,'NCO-2015 scores'!$A$2:$A$131,0))),1,0),0)</f>
        <v>1</v>
      </c>
    </row>
    <row r="1564" customFormat="false" ht="15" hidden="false" customHeight="false" outlineLevel="0" collapsed="false">
      <c r="A1564" s="2" t="n">
        <v>1560</v>
      </c>
      <c r="B1564" s="2" t="s">
        <v>4778</v>
      </c>
      <c r="C1564" s="2" t="s">
        <v>4779</v>
      </c>
      <c r="D1564" s="2" t="s">
        <v>4780</v>
      </c>
      <c r="E1564" s="2" t="str">
        <f aca="false">LEFT(C1564,3)</f>
        <v>214</v>
      </c>
      <c r="F1564" s="2" t="str">
        <f aca="false">IF(D1564="","",LEFT(D1564,3))</f>
        <v>214</v>
      </c>
      <c r="G1564" s="2" t="str">
        <f aca="false">IF(F1564="","",IF(E1564=F1564,"Yes","No"))</f>
        <v>Yes</v>
      </c>
      <c r="H1564" s="2" t="n">
        <f aca="false">IF(D1564="",0,1/COUNTIF($D$2:$D$3451,D1564))</f>
        <v>1</v>
      </c>
      <c r="I1564" s="13" t="n">
        <f aca="false">IFERROR(INDEX('NCO-2015 scores'!$C$2:$C$131,MATCH(E1564,'NCO-2015 scores'!$A$2:$A$131,0)),0)</f>
        <v>0.33</v>
      </c>
      <c r="J1564" s="13" t="n">
        <f aca="false">IF(ISNUMBER(MATCH(E1564,'NCO-2015 scores'!$A$2:$A$131,0)),IF(ISNUMBER(INDEX('NCO-2015 scores'!$C$2:$C$131,MATCH(E1564,'NCO-2015 scores'!$A$2:$A$131,0))),1,0),0)</f>
        <v>1</v>
      </c>
    </row>
    <row r="1565" customFormat="false" ht="15" hidden="false" customHeight="false" outlineLevel="0" collapsed="false">
      <c r="A1565" s="2" t="n">
        <v>1561</v>
      </c>
      <c r="B1565" s="2" t="s">
        <v>4781</v>
      </c>
      <c r="C1565" s="2" t="s">
        <v>4782</v>
      </c>
      <c r="D1565" s="2" t="s">
        <v>4783</v>
      </c>
      <c r="E1565" s="2" t="str">
        <f aca="false">LEFT(C1565,3)</f>
        <v>214</v>
      </c>
      <c r="F1565" s="2" t="str">
        <f aca="false">IF(D1565="","",LEFT(D1565,3))</f>
        <v>214</v>
      </c>
      <c r="G1565" s="2" t="str">
        <f aca="false">IF(F1565="","",IF(E1565=F1565,"Yes","No"))</f>
        <v>Yes</v>
      </c>
      <c r="H1565" s="2" t="n">
        <f aca="false">IF(D1565="",0,1/COUNTIF($D$2:$D$3451,D1565))</f>
        <v>1</v>
      </c>
      <c r="I1565" s="13" t="n">
        <f aca="false">IFERROR(INDEX('NCO-2015 scores'!$C$2:$C$131,MATCH(E1565,'NCO-2015 scores'!$A$2:$A$131,0)),0)</f>
        <v>0.33</v>
      </c>
      <c r="J1565" s="13" t="n">
        <f aca="false">IF(ISNUMBER(MATCH(E1565,'NCO-2015 scores'!$A$2:$A$131,0)),IF(ISNUMBER(INDEX('NCO-2015 scores'!$C$2:$C$131,MATCH(E1565,'NCO-2015 scores'!$A$2:$A$131,0))),1,0),0)</f>
        <v>1</v>
      </c>
    </row>
    <row r="1566" customFormat="false" ht="15" hidden="false" customHeight="false" outlineLevel="0" collapsed="false">
      <c r="A1566" s="2" t="n">
        <v>1562</v>
      </c>
      <c r="B1566" s="2" t="s">
        <v>4784</v>
      </c>
      <c r="C1566" s="2" t="s">
        <v>4785</v>
      </c>
      <c r="D1566" s="2"/>
      <c r="E1566" s="2" t="str">
        <f aca="false">LEFT(C1566,3)</f>
        <v>351</v>
      </c>
      <c r="F1566" s="2" t="str">
        <f aca="false">IF(D1566="","",LEFT(D1566,3))</f>
        <v/>
      </c>
      <c r="G1566" s="2" t="str">
        <f aca="false">IF(F1566="","",IF(E1566=F1566,"Yes","No"))</f>
        <v/>
      </c>
      <c r="H1566" s="2" t="n">
        <f aca="false">IF(D1566="",0,1/COUNTIF($D$2:$D$3451,D1566))</f>
        <v>0</v>
      </c>
      <c r="I1566" s="13" t="n">
        <f aca="false">IFERROR(INDEX('NCO-2015 scores'!$C$2:$C$131,MATCH(E1566,'NCO-2015 scores'!$A$2:$A$131,0)),0)</f>
        <v>0.465</v>
      </c>
      <c r="J1566" s="13" t="n">
        <f aca="false">IF(ISNUMBER(MATCH(E1566,'NCO-2015 scores'!$A$2:$A$131,0)),IF(ISNUMBER(INDEX('NCO-2015 scores'!$C$2:$C$131,MATCH(E1566,'NCO-2015 scores'!$A$2:$A$131,0))),1,0),0)</f>
        <v>1</v>
      </c>
    </row>
    <row r="1567" customFormat="false" ht="15" hidden="false" customHeight="false" outlineLevel="0" collapsed="false">
      <c r="A1567" s="2" t="n">
        <v>1563</v>
      </c>
      <c r="B1567" s="2" t="s">
        <v>4786</v>
      </c>
      <c r="C1567" s="2" t="s">
        <v>4787</v>
      </c>
      <c r="D1567" s="2" t="s">
        <v>4788</v>
      </c>
      <c r="E1567" s="2" t="str">
        <f aca="false">LEFT(C1567,3)</f>
        <v>133</v>
      </c>
      <c r="F1567" s="2" t="str">
        <f aca="false">IF(D1567="","",LEFT(D1567,3))</f>
        <v>122</v>
      </c>
      <c r="G1567" s="2" t="str">
        <f aca="false">IF(F1567="","",IF(E1567=F1567,"Yes","No"))</f>
        <v>No</v>
      </c>
      <c r="H1567" s="2" t="n">
        <f aca="false">IF(D1567="",0,1/COUNTIF($D$2:$D$3451,D1567))</f>
        <v>1</v>
      </c>
      <c r="I1567" s="13" t="n">
        <f aca="false">IFERROR(INDEX('NCO-2015 scores'!$C$2:$C$131,MATCH(E1567,'NCO-2015 scores'!$A$2:$A$131,0)),0)</f>
        <v>0.44</v>
      </c>
      <c r="J1567" s="13" t="n">
        <f aca="false">IF(ISNUMBER(MATCH(E1567,'NCO-2015 scores'!$A$2:$A$131,0)),IF(ISNUMBER(INDEX('NCO-2015 scores'!$C$2:$C$131,MATCH(E1567,'NCO-2015 scores'!$A$2:$A$131,0))),1,0),0)</f>
        <v>1</v>
      </c>
    </row>
    <row r="1568" customFormat="false" ht="15" hidden="false" customHeight="false" outlineLevel="0" collapsed="false">
      <c r="A1568" s="2" t="n">
        <v>1564</v>
      </c>
      <c r="B1568" s="2" t="s">
        <v>4789</v>
      </c>
      <c r="C1568" s="2" t="s">
        <v>4790</v>
      </c>
      <c r="D1568" s="2"/>
      <c r="E1568" s="2" t="str">
        <f aca="false">LEFT(C1568,3)</f>
        <v>133</v>
      </c>
      <c r="F1568" s="2" t="str">
        <f aca="false">IF(D1568="","",LEFT(D1568,3))</f>
        <v/>
      </c>
      <c r="G1568" s="2" t="str">
        <f aca="false">IF(F1568="","",IF(E1568=F1568,"Yes","No"))</f>
        <v/>
      </c>
      <c r="H1568" s="2" t="n">
        <f aca="false">IF(D1568="",0,1/COUNTIF($D$2:$D$3451,D1568))</f>
        <v>0</v>
      </c>
      <c r="I1568" s="13" t="n">
        <f aca="false">IFERROR(INDEX('NCO-2015 scores'!$C$2:$C$131,MATCH(E1568,'NCO-2015 scores'!$A$2:$A$131,0)),0)</f>
        <v>0.44</v>
      </c>
      <c r="J1568" s="13" t="n">
        <f aca="false">IF(ISNUMBER(MATCH(E1568,'NCO-2015 scores'!$A$2:$A$131,0)),IF(ISNUMBER(INDEX('NCO-2015 scores'!$C$2:$C$131,MATCH(E1568,'NCO-2015 scores'!$A$2:$A$131,0))),1,0),0)</f>
        <v>1</v>
      </c>
    </row>
    <row r="1569" customFormat="false" ht="15" hidden="false" customHeight="false" outlineLevel="0" collapsed="false">
      <c r="A1569" s="2" t="n">
        <v>1565</v>
      </c>
      <c r="B1569" s="2" t="s">
        <v>4791</v>
      </c>
      <c r="C1569" s="2" t="s">
        <v>4792</v>
      </c>
      <c r="D1569" s="2" t="s">
        <v>4793</v>
      </c>
      <c r="E1569" s="2" t="str">
        <f aca="false">LEFT(C1569,3)</f>
        <v>133</v>
      </c>
      <c r="F1569" s="2" t="str">
        <f aca="false">IF(D1569="","",LEFT(D1569,3))</f>
        <v>122</v>
      </c>
      <c r="G1569" s="2" t="str">
        <f aca="false">IF(F1569="","",IF(E1569=F1569,"Yes","No"))</f>
        <v>No</v>
      </c>
      <c r="H1569" s="2" t="n">
        <f aca="false">IF(D1569="",0,1/COUNTIF($D$2:$D$3451,D1569))</f>
        <v>1</v>
      </c>
      <c r="I1569" s="13" t="n">
        <f aca="false">IFERROR(INDEX('NCO-2015 scores'!$C$2:$C$131,MATCH(E1569,'NCO-2015 scores'!$A$2:$A$131,0)),0)</f>
        <v>0.44</v>
      </c>
      <c r="J1569" s="13" t="n">
        <f aca="false">IF(ISNUMBER(MATCH(E1569,'NCO-2015 scores'!$A$2:$A$131,0)),IF(ISNUMBER(INDEX('NCO-2015 scores'!$C$2:$C$131,MATCH(E1569,'NCO-2015 scores'!$A$2:$A$131,0))),1,0),0)</f>
        <v>1</v>
      </c>
    </row>
    <row r="1570" customFormat="false" ht="15" hidden="false" customHeight="false" outlineLevel="0" collapsed="false">
      <c r="A1570" s="2" t="n">
        <v>1566</v>
      </c>
      <c r="B1570" s="2" t="s">
        <v>4794</v>
      </c>
      <c r="C1570" s="2" t="s">
        <v>4795</v>
      </c>
      <c r="D1570" s="2" t="s">
        <v>4796</v>
      </c>
      <c r="E1570" s="2" t="str">
        <f aca="false">LEFT(C1570,3)</f>
        <v>133</v>
      </c>
      <c r="F1570" s="2" t="str">
        <f aca="false">IF(D1570="","",LEFT(D1570,3))</f>
        <v>122</v>
      </c>
      <c r="G1570" s="2" t="str">
        <f aca="false">IF(F1570="","",IF(E1570=F1570,"Yes","No"))</f>
        <v>No</v>
      </c>
      <c r="H1570" s="2" t="n">
        <f aca="false">IF(D1570="",0,1/COUNTIF($D$2:$D$3451,D1570))</f>
        <v>1</v>
      </c>
      <c r="I1570" s="13" t="n">
        <f aca="false">IFERROR(INDEX('NCO-2015 scores'!$C$2:$C$131,MATCH(E1570,'NCO-2015 scores'!$A$2:$A$131,0)),0)</f>
        <v>0.44</v>
      </c>
      <c r="J1570" s="13" t="n">
        <f aca="false">IF(ISNUMBER(MATCH(E1570,'NCO-2015 scores'!$A$2:$A$131,0)),IF(ISNUMBER(INDEX('NCO-2015 scores'!$C$2:$C$131,MATCH(E1570,'NCO-2015 scores'!$A$2:$A$131,0))),1,0),0)</f>
        <v>1</v>
      </c>
    </row>
    <row r="1571" customFormat="false" ht="15" hidden="false" customHeight="false" outlineLevel="0" collapsed="false">
      <c r="A1571" s="2" t="n">
        <v>1567</v>
      </c>
      <c r="B1571" s="2" t="s">
        <v>4797</v>
      </c>
      <c r="C1571" s="2" t="s">
        <v>4798</v>
      </c>
      <c r="D1571" s="2" t="s">
        <v>4799</v>
      </c>
      <c r="E1571" s="2" t="str">
        <f aca="false">LEFT(C1571,3)</f>
        <v>133</v>
      </c>
      <c r="F1571" s="2" t="str">
        <f aca="false">IF(D1571="","",LEFT(D1571,3))</f>
        <v>130</v>
      </c>
      <c r="G1571" s="2" t="str">
        <f aca="false">IF(F1571="","",IF(E1571=F1571,"Yes","No"))</f>
        <v>No</v>
      </c>
      <c r="H1571" s="2" t="n">
        <f aca="false">IF(D1571="",0,1/COUNTIF($D$2:$D$3451,D1571))</f>
        <v>1</v>
      </c>
      <c r="I1571" s="13" t="n">
        <f aca="false">IFERROR(INDEX('NCO-2015 scores'!$C$2:$C$131,MATCH(E1571,'NCO-2015 scores'!$A$2:$A$131,0)),0)</f>
        <v>0.44</v>
      </c>
      <c r="J1571" s="13" t="n">
        <f aca="false">IF(ISNUMBER(MATCH(E1571,'NCO-2015 scores'!$A$2:$A$131,0)),IF(ISNUMBER(INDEX('NCO-2015 scores'!$C$2:$C$131,MATCH(E1571,'NCO-2015 scores'!$A$2:$A$131,0))),1,0),0)</f>
        <v>1</v>
      </c>
    </row>
    <row r="1572" customFormat="false" ht="15" hidden="false" customHeight="false" outlineLevel="0" collapsed="false">
      <c r="A1572" s="2" t="n">
        <v>1568</v>
      </c>
      <c r="B1572" s="2" t="s">
        <v>4800</v>
      </c>
      <c r="C1572" s="2" t="s">
        <v>4801</v>
      </c>
      <c r="D1572" s="2"/>
      <c r="E1572" s="2" t="str">
        <f aca="false">LEFT(C1572,3)</f>
        <v>133</v>
      </c>
      <c r="F1572" s="2" t="str">
        <f aca="false">IF(D1572="","",LEFT(D1572,3))</f>
        <v/>
      </c>
      <c r="G1572" s="2" t="str">
        <f aca="false">IF(F1572="","",IF(E1572=F1572,"Yes","No"))</f>
        <v/>
      </c>
      <c r="H1572" s="2" t="n">
        <f aca="false">IF(D1572="",0,1/COUNTIF($D$2:$D$3451,D1572))</f>
        <v>0</v>
      </c>
      <c r="I1572" s="13" t="n">
        <f aca="false">IFERROR(INDEX('NCO-2015 scores'!$C$2:$C$131,MATCH(E1572,'NCO-2015 scores'!$A$2:$A$131,0)),0)</f>
        <v>0.44</v>
      </c>
      <c r="J1572" s="13" t="n">
        <f aca="false">IF(ISNUMBER(MATCH(E1572,'NCO-2015 scores'!$A$2:$A$131,0)),IF(ISNUMBER(INDEX('NCO-2015 scores'!$C$2:$C$131,MATCH(E1572,'NCO-2015 scores'!$A$2:$A$131,0))),1,0),0)</f>
        <v>1</v>
      </c>
    </row>
    <row r="1573" customFormat="false" ht="15" hidden="false" customHeight="false" outlineLevel="0" collapsed="false">
      <c r="A1573" s="2" t="n">
        <v>1569</v>
      </c>
      <c r="B1573" s="2" t="s">
        <v>4802</v>
      </c>
      <c r="C1573" s="2" t="s">
        <v>4803</v>
      </c>
      <c r="D1573" s="2"/>
      <c r="E1573" s="2" t="str">
        <f aca="false">LEFT(C1573,3)</f>
        <v>133</v>
      </c>
      <c r="F1573" s="2" t="str">
        <f aca="false">IF(D1573="","",LEFT(D1573,3))</f>
        <v/>
      </c>
      <c r="G1573" s="2" t="str">
        <f aca="false">IF(F1573="","",IF(E1573=F1573,"Yes","No"))</f>
        <v/>
      </c>
      <c r="H1573" s="2" t="n">
        <f aca="false">IF(D1573="",0,1/COUNTIF($D$2:$D$3451,D1573))</f>
        <v>0</v>
      </c>
      <c r="I1573" s="13" t="n">
        <f aca="false">IFERROR(INDEX('NCO-2015 scores'!$C$2:$C$131,MATCH(E1573,'NCO-2015 scores'!$A$2:$A$131,0)),0)</f>
        <v>0.44</v>
      </c>
      <c r="J1573" s="13" t="n">
        <f aca="false">IF(ISNUMBER(MATCH(E1573,'NCO-2015 scores'!$A$2:$A$131,0)),IF(ISNUMBER(INDEX('NCO-2015 scores'!$C$2:$C$131,MATCH(E1573,'NCO-2015 scores'!$A$2:$A$131,0))),1,0),0)</f>
        <v>1</v>
      </c>
    </row>
    <row r="1574" customFormat="false" ht="15" hidden="false" customHeight="false" outlineLevel="0" collapsed="false">
      <c r="A1574" s="2" t="n">
        <v>1570</v>
      </c>
      <c r="B1574" s="2" t="s">
        <v>4804</v>
      </c>
      <c r="C1574" s="2" t="s">
        <v>4805</v>
      </c>
      <c r="D1574" s="2" t="s">
        <v>4806</v>
      </c>
      <c r="E1574" s="2" t="str">
        <f aca="false">LEFT(C1574,3)</f>
        <v>351</v>
      </c>
      <c r="F1574" s="2" t="str">
        <f aca="false">IF(D1574="","",LEFT(D1574,3))</f>
        <v>312</v>
      </c>
      <c r="G1574" s="2" t="str">
        <f aca="false">IF(F1574="","",IF(E1574=F1574,"Yes","No"))</f>
        <v>No</v>
      </c>
      <c r="H1574" s="2" t="n">
        <f aca="false">IF(D1574="",0,1/COUNTIF($D$2:$D$3451,D1574))</f>
        <v>1</v>
      </c>
      <c r="I1574" s="13" t="n">
        <f aca="false">IFERROR(INDEX('NCO-2015 scores'!$C$2:$C$131,MATCH(E1574,'NCO-2015 scores'!$A$2:$A$131,0)),0)</f>
        <v>0.465</v>
      </c>
      <c r="J1574" s="13" t="n">
        <f aca="false">IF(ISNUMBER(MATCH(E1574,'NCO-2015 scores'!$A$2:$A$131,0)),IF(ISNUMBER(INDEX('NCO-2015 scores'!$C$2:$C$131,MATCH(E1574,'NCO-2015 scores'!$A$2:$A$131,0))),1,0),0)</f>
        <v>1</v>
      </c>
    </row>
    <row r="1575" customFormat="false" ht="15" hidden="false" customHeight="false" outlineLevel="0" collapsed="false">
      <c r="A1575" s="2" t="n">
        <v>1571</v>
      </c>
      <c r="B1575" s="2" t="s">
        <v>4807</v>
      </c>
      <c r="C1575" s="2" t="s">
        <v>4808</v>
      </c>
      <c r="D1575" s="2"/>
      <c r="E1575" s="2" t="str">
        <f aca="false">LEFT(C1575,3)</f>
        <v>351</v>
      </c>
      <c r="F1575" s="2" t="str">
        <f aca="false">IF(D1575="","",LEFT(D1575,3))</f>
        <v/>
      </c>
      <c r="G1575" s="2" t="str">
        <f aca="false">IF(F1575="","",IF(E1575=F1575,"Yes","No"))</f>
        <v/>
      </c>
      <c r="H1575" s="2" t="n">
        <f aca="false">IF(D1575="",0,1/COUNTIF($D$2:$D$3451,D1575))</f>
        <v>0</v>
      </c>
      <c r="I1575" s="13" t="n">
        <f aca="false">IFERROR(INDEX('NCO-2015 scores'!$C$2:$C$131,MATCH(E1575,'NCO-2015 scores'!$A$2:$A$131,0)),0)</f>
        <v>0.465</v>
      </c>
      <c r="J1575" s="13" t="n">
        <f aca="false">IF(ISNUMBER(MATCH(E1575,'NCO-2015 scores'!$A$2:$A$131,0)),IF(ISNUMBER(INDEX('NCO-2015 scores'!$C$2:$C$131,MATCH(E1575,'NCO-2015 scores'!$A$2:$A$131,0))),1,0),0)</f>
        <v>1</v>
      </c>
    </row>
    <row r="1576" customFormat="false" ht="15" hidden="false" customHeight="false" outlineLevel="0" collapsed="false">
      <c r="A1576" s="2" t="n">
        <v>1572</v>
      </c>
      <c r="B1576" s="2" t="s">
        <v>4809</v>
      </c>
      <c r="C1576" s="2" t="s">
        <v>4810</v>
      </c>
      <c r="D1576" s="2" t="s">
        <v>4811</v>
      </c>
      <c r="E1576" s="2" t="str">
        <f aca="false">LEFT(C1576,3)</f>
        <v>351</v>
      </c>
      <c r="F1576" s="2" t="str">
        <f aca="false">IF(D1576="","",LEFT(D1576,3))</f>
        <v>312</v>
      </c>
      <c r="G1576" s="2" t="str">
        <f aca="false">IF(F1576="","",IF(E1576=F1576,"Yes","No"))</f>
        <v>No</v>
      </c>
      <c r="H1576" s="2" t="n">
        <f aca="false">IF(D1576="",0,1/COUNTIF($D$2:$D$3451,D1576))</f>
        <v>1</v>
      </c>
      <c r="I1576" s="13" t="n">
        <f aca="false">IFERROR(INDEX('NCO-2015 scores'!$C$2:$C$131,MATCH(E1576,'NCO-2015 scores'!$A$2:$A$131,0)),0)</f>
        <v>0.465</v>
      </c>
      <c r="J1576" s="13" t="n">
        <f aca="false">IF(ISNUMBER(MATCH(E1576,'NCO-2015 scores'!$A$2:$A$131,0)),IF(ISNUMBER(INDEX('NCO-2015 scores'!$C$2:$C$131,MATCH(E1576,'NCO-2015 scores'!$A$2:$A$131,0))),1,0),0)</f>
        <v>1</v>
      </c>
    </row>
    <row r="1577" customFormat="false" ht="15" hidden="false" customHeight="false" outlineLevel="0" collapsed="false">
      <c r="A1577" s="2" t="n">
        <v>1573</v>
      </c>
      <c r="B1577" s="2" t="s">
        <v>4812</v>
      </c>
      <c r="C1577" s="2" t="s">
        <v>4813</v>
      </c>
      <c r="D1577" s="2" t="s">
        <v>4814</v>
      </c>
      <c r="E1577" s="2" t="str">
        <f aca="false">LEFT(C1577,3)</f>
        <v>351</v>
      </c>
      <c r="F1577" s="2" t="str">
        <f aca="false">IF(D1577="","",LEFT(D1577,3))</f>
        <v>312</v>
      </c>
      <c r="G1577" s="2" t="str">
        <f aca="false">IF(F1577="","",IF(E1577=F1577,"Yes","No"))</f>
        <v>No</v>
      </c>
      <c r="H1577" s="2" t="n">
        <f aca="false">IF(D1577="",0,1/COUNTIF($D$2:$D$3451,D1577))</f>
        <v>1</v>
      </c>
      <c r="I1577" s="13" t="n">
        <f aca="false">IFERROR(INDEX('NCO-2015 scores'!$C$2:$C$131,MATCH(E1577,'NCO-2015 scores'!$A$2:$A$131,0)),0)</f>
        <v>0.465</v>
      </c>
      <c r="J1577" s="13" t="n">
        <f aca="false">IF(ISNUMBER(MATCH(E1577,'NCO-2015 scores'!$A$2:$A$131,0)),IF(ISNUMBER(INDEX('NCO-2015 scores'!$C$2:$C$131,MATCH(E1577,'NCO-2015 scores'!$A$2:$A$131,0))),1,0),0)</f>
        <v>1</v>
      </c>
    </row>
    <row r="1578" customFormat="false" ht="15" hidden="false" customHeight="false" outlineLevel="0" collapsed="false">
      <c r="A1578" s="2" t="n">
        <v>1574</v>
      </c>
      <c r="B1578" s="2" t="s">
        <v>4815</v>
      </c>
      <c r="C1578" s="2" t="s">
        <v>4816</v>
      </c>
      <c r="D1578" s="2"/>
      <c r="E1578" s="2" t="str">
        <f aca="false">LEFT(C1578,3)</f>
        <v>351</v>
      </c>
      <c r="F1578" s="2" t="str">
        <f aca="false">IF(D1578="","",LEFT(D1578,3))</f>
        <v/>
      </c>
      <c r="G1578" s="2" t="str">
        <f aca="false">IF(F1578="","",IF(E1578=F1578,"Yes","No"))</f>
        <v/>
      </c>
      <c r="H1578" s="2" t="n">
        <f aca="false">IF(D1578="",0,1/COUNTIF($D$2:$D$3451,D1578))</f>
        <v>0</v>
      </c>
      <c r="I1578" s="13" t="n">
        <f aca="false">IFERROR(INDEX('NCO-2015 scores'!$C$2:$C$131,MATCH(E1578,'NCO-2015 scores'!$A$2:$A$131,0)),0)</f>
        <v>0.465</v>
      </c>
      <c r="J1578" s="13" t="n">
        <f aca="false">IF(ISNUMBER(MATCH(E1578,'NCO-2015 scores'!$A$2:$A$131,0)),IF(ISNUMBER(INDEX('NCO-2015 scores'!$C$2:$C$131,MATCH(E1578,'NCO-2015 scores'!$A$2:$A$131,0))),1,0),0)</f>
        <v>1</v>
      </c>
    </row>
    <row r="1579" customFormat="false" ht="15" hidden="false" customHeight="false" outlineLevel="0" collapsed="false">
      <c r="A1579" s="2" t="n">
        <v>1575</v>
      </c>
      <c r="B1579" s="2" t="s">
        <v>4817</v>
      </c>
      <c r="C1579" s="2" t="s">
        <v>4818</v>
      </c>
      <c r="D1579" s="2"/>
      <c r="E1579" s="2" t="str">
        <f aca="false">LEFT(C1579,3)</f>
        <v>351</v>
      </c>
      <c r="F1579" s="2" t="str">
        <f aca="false">IF(D1579="","",LEFT(D1579,3))</f>
        <v/>
      </c>
      <c r="G1579" s="2" t="str">
        <f aca="false">IF(F1579="","",IF(E1579=F1579,"Yes","No"))</f>
        <v/>
      </c>
      <c r="H1579" s="2" t="n">
        <f aca="false">IF(D1579="",0,1/COUNTIF($D$2:$D$3451,D1579))</f>
        <v>0</v>
      </c>
      <c r="I1579" s="13" t="n">
        <f aca="false">IFERROR(INDEX('NCO-2015 scores'!$C$2:$C$131,MATCH(E1579,'NCO-2015 scores'!$A$2:$A$131,0)),0)</f>
        <v>0.465</v>
      </c>
      <c r="J1579" s="13" t="n">
        <f aca="false">IF(ISNUMBER(MATCH(E1579,'NCO-2015 scores'!$A$2:$A$131,0)),IF(ISNUMBER(INDEX('NCO-2015 scores'!$C$2:$C$131,MATCH(E1579,'NCO-2015 scores'!$A$2:$A$131,0))),1,0),0)</f>
        <v>1</v>
      </c>
    </row>
    <row r="1580" customFormat="false" ht="15" hidden="false" customHeight="false" outlineLevel="0" collapsed="false">
      <c r="A1580" s="2" t="n">
        <v>1576</v>
      </c>
      <c r="B1580" s="2" t="s">
        <v>4819</v>
      </c>
      <c r="C1580" s="2" t="s">
        <v>4820</v>
      </c>
      <c r="D1580" s="2" t="s">
        <v>4821</v>
      </c>
      <c r="E1580" s="2" t="str">
        <f aca="false">LEFT(C1580,3)</f>
        <v>351</v>
      </c>
      <c r="F1580" s="2" t="str">
        <f aca="false">IF(D1580="","",LEFT(D1580,3))</f>
        <v>312</v>
      </c>
      <c r="G1580" s="2" t="str">
        <f aca="false">IF(F1580="","",IF(E1580=F1580,"Yes","No"))</f>
        <v>No</v>
      </c>
      <c r="H1580" s="2" t="n">
        <f aca="false">IF(D1580="",0,1/COUNTIF($D$2:$D$3451,D1580))</f>
        <v>1</v>
      </c>
      <c r="I1580" s="13" t="n">
        <f aca="false">IFERROR(INDEX('NCO-2015 scores'!$C$2:$C$131,MATCH(E1580,'NCO-2015 scores'!$A$2:$A$131,0)),0)</f>
        <v>0.465</v>
      </c>
      <c r="J1580" s="13" t="n">
        <f aca="false">IF(ISNUMBER(MATCH(E1580,'NCO-2015 scores'!$A$2:$A$131,0)),IF(ISNUMBER(INDEX('NCO-2015 scores'!$C$2:$C$131,MATCH(E1580,'NCO-2015 scores'!$A$2:$A$131,0))),1,0),0)</f>
        <v>1</v>
      </c>
    </row>
    <row r="1581" customFormat="false" ht="15" hidden="false" customHeight="false" outlineLevel="0" collapsed="false">
      <c r="A1581" s="2" t="n">
        <v>1577</v>
      </c>
      <c r="B1581" s="2" t="s">
        <v>4822</v>
      </c>
      <c r="C1581" s="2" t="s">
        <v>4823</v>
      </c>
      <c r="D1581" s="2" t="s">
        <v>4824</v>
      </c>
      <c r="E1581" s="2" t="str">
        <f aca="false">LEFT(C1581,3)</f>
        <v>351</v>
      </c>
      <c r="F1581" s="2" t="str">
        <f aca="false">IF(D1581="","",LEFT(D1581,3))</f>
        <v>312</v>
      </c>
      <c r="G1581" s="2" t="str">
        <f aca="false">IF(F1581="","",IF(E1581=F1581,"Yes","No"))</f>
        <v>No</v>
      </c>
      <c r="H1581" s="2" t="n">
        <f aca="false">IF(D1581="",0,1/COUNTIF($D$2:$D$3451,D1581))</f>
        <v>1</v>
      </c>
      <c r="I1581" s="13" t="n">
        <f aca="false">IFERROR(INDEX('NCO-2015 scores'!$C$2:$C$131,MATCH(E1581,'NCO-2015 scores'!$A$2:$A$131,0)),0)</f>
        <v>0.465</v>
      </c>
      <c r="J1581" s="13" t="n">
        <f aca="false">IF(ISNUMBER(MATCH(E1581,'NCO-2015 scores'!$A$2:$A$131,0)),IF(ISNUMBER(INDEX('NCO-2015 scores'!$C$2:$C$131,MATCH(E1581,'NCO-2015 scores'!$A$2:$A$131,0))),1,0),0)</f>
        <v>1</v>
      </c>
    </row>
    <row r="1582" customFormat="false" ht="15" hidden="false" customHeight="false" outlineLevel="0" collapsed="false">
      <c r="A1582" s="2" t="n">
        <v>1578</v>
      </c>
      <c r="B1582" s="2" t="s">
        <v>4825</v>
      </c>
      <c r="C1582" s="2" t="s">
        <v>4826</v>
      </c>
      <c r="D1582" s="2"/>
      <c r="E1582" s="2" t="str">
        <f aca="false">LEFT(C1582,3)</f>
        <v>351</v>
      </c>
      <c r="F1582" s="2" t="str">
        <f aca="false">IF(D1582="","",LEFT(D1582,3))</f>
        <v/>
      </c>
      <c r="G1582" s="2" t="str">
        <f aca="false">IF(F1582="","",IF(E1582=F1582,"Yes","No"))</f>
        <v/>
      </c>
      <c r="H1582" s="2" t="n">
        <f aca="false">IF(D1582="",0,1/COUNTIF($D$2:$D$3451,D1582))</f>
        <v>0</v>
      </c>
      <c r="I1582" s="13" t="n">
        <f aca="false">IFERROR(INDEX('NCO-2015 scores'!$C$2:$C$131,MATCH(E1582,'NCO-2015 scores'!$A$2:$A$131,0)),0)</f>
        <v>0.465</v>
      </c>
      <c r="J1582" s="13" t="n">
        <f aca="false">IF(ISNUMBER(MATCH(E1582,'NCO-2015 scores'!$A$2:$A$131,0)),IF(ISNUMBER(INDEX('NCO-2015 scores'!$C$2:$C$131,MATCH(E1582,'NCO-2015 scores'!$A$2:$A$131,0))),1,0),0)</f>
        <v>1</v>
      </c>
    </row>
    <row r="1583" customFormat="false" ht="15" hidden="false" customHeight="false" outlineLevel="0" collapsed="false">
      <c r="A1583" s="2" t="n">
        <v>1579</v>
      </c>
      <c r="B1583" s="2" t="s">
        <v>4827</v>
      </c>
      <c r="C1583" s="2" t="s">
        <v>4828</v>
      </c>
      <c r="D1583" s="2"/>
      <c r="E1583" s="2" t="str">
        <f aca="false">LEFT(C1583,3)</f>
        <v>351</v>
      </c>
      <c r="F1583" s="2" t="str">
        <f aca="false">IF(D1583="","",LEFT(D1583,3))</f>
        <v/>
      </c>
      <c r="G1583" s="2" t="str">
        <f aca="false">IF(F1583="","",IF(E1583=F1583,"Yes","No"))</f>
        <v/>
      </c>
      <c r="H1583" s="2" t="n">
        <f aca="false">IF(D1583="",0,1/COUNTIF($D$2:$D$3451,D1583))</f>
        <v>0</v>
      </c>
      <c r="I1583" s="13" t="n">
        <f aca="false">IFERROR(INDEX('NCO-2015 scores'!$C$2:$C$131,MATCH(E1583,'NCO-2015 scores'!$A$2:$A$131,0)),0)</f>
        <v>0.465</v>
      </c>
      <c r="J1583" s="13" t="n">
        <f aca="false">IF(ISNUMBER(MATCH(E1583,'NCO-2015 scores'!$A$2:$A$131,0)),IF(ISNUMBER(INDEX('NCO-2015 scores'!$C$2:$C$131,MATCH(E1583,'NCO-2015 scores'!$A$2:$A$131,0))),1,0),0)</f>
        <v>1</v>
      </c>
    </row>
    <row r="1584" customFormat="false" ht="15" hidden="false" customHeight="false" outlineLevel="0" collapsed="false">
      <c r="A1584" s="2" t="n">
        <v>1580</v>
      </c>
      <c r="B1584" s="2" t="s">
        <v>4829</v>
      </c>
      <c r="C1584" s="2" t="s">
        <v>4830</v>
      </c>
      <c r="D1584" s="2"/>
      <c r="E1584" s="2" t="str">
        <f aca="false">LEFT(C1584,3)</f>
        <v>351</v>
      </c>
      <c r="F1584" s="2" t="str">
        <f aca="false">IF(D1584="","",LEFT(D1584,3))</f>
        <v/>
      </c>
      <c r="G1584" s="2" t="str">
        <f aca="false">IF(F1584="","",IF(E1584=F1584,"Yes","No"))</f>
        <v/>
      </c>
      <c r="H1584" s="2" t="n">
        <f aca="false">IF(D1584="",0,1/COUNTIF($D$2:$D$3451,D1584))</f>
        <v>0</v>
      </c>
      <c r="I1584" s="13" t="n">
        <f aca="false">IFERROR(INDEX('NCO-2015 scores'!$C$2:$C$131,MATCH(E1584,'NCO-2015 scores'!$A$2:$A$131,0)),0)</f>
        <v>0.465</v>
      </c>
      <c r="J1584" s="13" t="n">
        <f aca="false">IF(ISNUMBER(MATCH(E1584,'NCO-2015 scores'!$A$2:$A$131,0)),IF(ISNUMBER(INDEX('NCO-2015 scores'!$C$2:$C$131,MATCH(E1584,'NCO-2015 scores'!$A$2:$A$131,0))),1,0),0)</f>
        <v>1</v>
      </c>
    </row>
    <row r="1585" customFormat="false" ht="15" hidden="false" customHeight="false" outlineLevel="0" collapsed="false">
      <c r="A1585" s="2" t="n">
        <v>1581</v>
      </c>
      <c r="B1585" s="2" t="s">
        <v>4831</v>
      </c>
      <c r="C1585" s="2" t="s">
        <v>4832</v>
      </c>
      <c r="D1585" s="2"/>
      <c r="E1585" s="2" t="str">
        <f aca="false">LEFT(C1585,3)</f>
        <v>351</v>
      </c>
      <c r="F1585" s="2" t="str">
        <f aca="false">IF(D1585="","",LEFT(D1585,3))</f>
        <v/>
      </c>
      <c r="G1585" s="2" t="str">
        <f aca="false">IF(F1585="","",IF(E1585=F1585,"Yes","No"))</f>
        <v/>
      </c>
      <c r="H1585" s="2" t="n">
        <f aca="false">IF(D1585="",0,1/COUNTIF($D$2:$D$3451,D1585))</f>
        <v>0</v>
      </c>
      <c r="I1585" s="13" t="n">
        <f aca="false">IFERROR(INDEX('NCO-2015 scores'!$C$2:$C$131,MATCH(E1585,'NCO-2015 scores'!$A$2:$A$131,0)),0)</f>
        <v>0.465</v>
      </c>
      <c r="J1585" s="13" t="n">
        <f aca="false">IF(ISNUMBER(MATCH(E1585,'NCO-2015 scores'!$A$2:$A$131,0)),IF(ISNUMBER(INDEX('NCO-2015 scores'!$C$2:$C$131,MATCH(E1585,'NCO-2015 scores'!$A$2:$A$131,0))),1,0),0)</f>
        <v>1</v>
      </c>
    </row>
    <row r="1586" customFormat="false" ht="15" hidden="false" customHeight="false" outlineLevel="0" collapsed="false">
      <c r="A1586" s="2" t="n">
        <v>1582</v>
      </c>
      <c r="B1586" s="2" t="s">
        <v>4833</v>
      </c>
      <c r="C1586" s="2" t="s">
        <v>4834</v>
      </c>
      <c r="D1586" s="2" t="s">
        <v>4835</v>
      </c>
      <c r="E1586" s="2" t="str">
        <f aca="false">LEFT(C1586,3)</f>
        <v>742</v>
      </c>
      <c r="F1586" s="2" t="str">
        <f aca="false">IF(D1586="","",LEFT(D1586,3))</f>
        <v>724</v>
      </c>
      <c r="G1586" s="2" t="str">
        <f aca="false">IF(F1586="","",IF(E1586=F1586,"Yes","No"))</f>
        <v>No</v>
      </c>
      <c r="H1586" s="2" t="n">
        <f aca="false">IF(D1586="",0,1/COUNTIF($D$2:$D$3451,D1586))</f>
        <v>1</v>
      </c>
      <c r="I1586" s="13" t="n">
        <f aca="false">IFERROR(INDEX('NCO-2015 scores'!$C$2:$C$131,MATCH(E1586,'NCO-2015 scores'!$A$2:$A$131,0)),0)</f>
        <v>0.245</v>
      </c>
      <c r="J1586" s="13" t="n">
        <f aca="false">IF(ISNUMBER(MATCH(E1586,'NCO-2015 scores'!$A$2:$A$131,0)),IF(ISNUMBER(INDEX('NCO-2015 scores'!$C$2:$C$131,MATCH(E1586,'NCO-2015 scores'!$A$2:$A$131,0))),1,0),0)</f>
        <v>1</v>
      </c>
    </row>
    <row r="1587" customFormat="false" ht="15" hidden="false" customHeight="false" outlineLevel="0" collapsed="false">
      <c r="A1587" s="2" t="n">
        <v>1583</v>
      </c>
      <c r="B1587" s="2" t="s">
        <v>4836</v>
      </c>
      <c r="C1587" s="2" t="s">
        <v>4837</v>
      </c>
      <c r="D1587" s="2" t="s">
        <v>4838</v>
      </c>
      <c r="E1587" s="2" t="str">
        <f aca="false">LEFT(C1587,3)</f>
        <v>742</v>
      </c>
      <c r="F1587" s="2" t="str">
        <f aca="false">IF(D1587="","",LEFT(D1587,3))</f>
        <v>724</v>
      </c>
      <c r="G1587" s="2" t="str">
        <f aca="false">IF(F1587="","",IF(E1587=F1587,"Yes","No"))</f>
        <v>No</v>
      </c>
      <c r="H1587" s="2" t="n">
        <f aca="false">IF(D1587="",0,1/COUNTIF($D$2:$D$3451,D1587))</f>
        <v>1</v>
      </c>
      <c r="I1587" s="13" t="n">
        <f aca="false">IFERROR(INDEX('NCO-2015 scores'!$C$2:$C$131,MATCH(E1587,'NCO-2015 scores'!$A$2:$A$131,0)),0)</f>
        <v>0.245</v>
      </c>
      <c r="J1587" s="13" t="n">
        <f aca="false">IF(ISNUMBER(MATCH(E1587,'NCO-2015 scores'!$A$2:$A$131,0)),IF(ISNUMBER(INDEX('NCO-2015 scores'!$C$2:$C$131,MATCH(E1587,'NCO-2015 scores'!$A$2:$A$131,0))),1,0),0)</f>
        <v>1</v>
      </c>
    </row>
    <row r="1588" customFormat="false" ht="15" hidden="false" customHeight="false" outlineLevel="0" collapsed="false">
      <c r="A1588" s="2" t="n">
        <v>1584</v>
      </c>
      <c r="B1588" s="2" t="s">
        <v>4839</v>
      </c>
      <c r="C1588" s="2" t="s">
        <v>4840</v>
      </c>
      <c r="D1588" s="2"/>
      <c r="E1588" s="2" t="str">
        <f aca="false">LEFT(C1588,3)</f>
        <v>742</v>
      </c>
      <c r="F1588" s="2" t="str">
        <f aca="false">IF(D1588="","",LEFT(D1588,3))</f>
        <v/>
      </c>
      <c r="G1588" s="2" t="str">
        <f aca="false">IF(F1588="","",IF(E1588=F1588,"Yes","No"))</f>
        <v/>
      </c>
      <c r="H1588" s="2" t="n">
        <f aca="false">IF(D1588="",0,1/COUNTIF($D$2:$D$3451,D1588))</f>
        <v>0</v>
      </c>
      <c r="I1588" s="13" t="n">
        <f aca="false">IFERROR(INDEX('NCO-2015 scores'!$C$2:$C$131,MATCH(E1588,'NCO-2015 scores'!$A$2:$A$131,0)),0)</f>
        <v>0.245</v>
      </c>
      <c r="J1588" s="13" t="n">
        <f aca="false">IF(ISNUMBER(MATCH(E1588,'NCO-2015 scores'!$A$2:$A$131,0)),IF(ISNUMBER(INDEX('NCO-2015 scores'!$C$2:$C$131,MATCH(E1588,'NCO-2015 scores'!$A$2:$A$131,0))),1,0),0)</f>
        <v>1</v>
      </c>
    </row>
    <row r="1589" customFormat="false" ht="15" hidden="false" customHeight="false" outlineLevel="0" collapsed="false">
      <c r="A1589" s="2" t="n">
        <v>1585</v>
      </c>
      <c r="B1589" s="2" t="s">
        <v>4841</v>
      </c>
      <c r="C1589" s="2" t="s">
        <v>4842</v>
      </c>
      <c r="D1589" s="2"/>
      <c r="E1589" s="2" t="str">
        <f aca="false">LEFT(C1589,3)</f>
        <v>742</v>
      </c>
      <c r="F1589" s="2" t="str">
        <f aca="false">IF(D1589="","",LEFT(D1589,3))</f>
        <v/>
      </c>
      <c r="G1589" s="2" t="str">
        <f aca="false">IF(F1589="","",IF(E1589=F1589,"Yes","No"))</f>
        <v/>
      </c>
      <c r="H1589" s="2" t="n">
        <f aca="false">IF(D1589="",0,1/COUNTIF($D$2:$D$3451,D1589))</f>
        <v>0</v>
      </c>
      <c r="I1589" s="13" t="n">
        <f aca="false">IFERROR(INDEX('NCO-2015 scores'!$C$2:$C$131,MATCH(E1589,'NCO-2015 scores'!$A$2:$A$131,0)),0)</f>
        <v>0.245</v>
      </c>
      <c r="J1589" s="13" t="n">
        <f aca="false">IF(ISNUMBER(MATCH(E1589,'NCO-2015 scores'!$A$2:$A$131,0)),IF(ISNUMBER(INDEX('NCO-2015 scores'!$C$2:$C$131,MATCH(E1589,'NCO-2015 scores'!$A$2:$A$131,0))),1,0),0)</f>
        <v>1</v>
      </c>
    </row>
    <row r="1590" customFormat="false" ht="15" hidden="false" customHeight="false" outlineLevel="0" collapsed="false">
      <c r="A1590" s="2" t="n">
        <v>1586</v>
      </c>
      <c r="B1590" s="2" t="s">
        <v>4843</v>
      </c>
      <c r="C1590" s="2" t="s">
        <v>4844</v>
      </c>
      <c r="D1590" s="2"/>
      <c r="E1590" s="2" t="str">
        <f aca="false">LEFT(C1590,3)</f>
        <v>742</v>
      </c>
      <c r="F1590" s="2" t="str">
        <f aca="false">IF(D1590="","",LEFT(D1590,3))</f>
        <v/>
      </c>
      <c r="G1590" s="2" t="str">
        <f aca="false">IF(F1590="","",IF(E1590=F1590,"Yes","No"))</f>
        <v/>
      </c>
      <c r="H1590" s="2" t="n">
        <f aca="false">IF(D1590="",0,1/COUNTIF($D$2:$D$3451,D1590))</f>
        <v>0</v>
      </c>
      <c r="I1590" s="13" t="n">
        <f aca="false">IFERROR(INDEX('NCO-2015 scores'!$C$2:$C$131,MATCH(E1590,'NCO-2015 scores'!$A$2:$A$131,0)),0)</f>
        <v>0.245</v>
      </c>
      <c r="J1590" s="13" t="n">
        <f aca="false">IF(ISNUMBER(MATCH(E1590,'NCO-2015 scores'!$A$2:$A$131,0)),IF(ISNUMBER(INDEX('NCO-2015 scores'!$C$2:$C$131,MATCH(E1590,'NCO-2015 scores'!$A$2:$A$131,0))),1,0),0)</f>
        <v>1</v>
      </c>
    </row>
    <row r="1591" customFormat="false" ht="15" hidden="false" customHeight="false" outlineLevel="0" collapsed="false">
      <c r="A1591" s="2" t="n">
        <v>1587</v>
      </c>
      <c r="B1591" s="2" t="s">
        <v>4845</v>
      </c>
      <c r="C1591" s="2" t="s">
        <v>4846</v>
      </c>
      <c r="D1591" s="2" t="s">
        <v>4847</v>
      </c>
      <c r="E1591" s="2" t="str">
        <f aca="false">LEFT(C1591,3)</f>
        <v>742</v>
      </c>
      <c r="F1591" s="2" t="str">
        <f aca="false">IF(D1591="","",LEFT(D1591,3))</f>
        <v>724</v>
      </c>
      <c r="G1591" s="2" t="str">
        <f aca="false">IF(F1591="","",IF(E1591=F1591,"Yes","No"))</f>
        <v>No</v>
      </c>
      <c r="H1591" s="2" t="n">
        <f aca="false">IF(D1591="",0,1/COUNTIF($D$2:$D$3451,D1591))</f>
        <v>1</v>
      </c>
      <c r="I1591" s="13" t="n">
        <f aca="false">IFERROR(INDEX('NCO-2015 scores'!$C$2:$C$131,MATCH(E1591,'NCO-2015 scores'!$A$2:$A$131,0)),0)</f>
        <v>0.245</v>
      </c>
      <c r="J1591" s="13" t="n">
        <f aca="false">IF(ISNUMBER(MATCH(E1591,'NCO-2015 scores'!$A$2:$A$131,0)),IF(ISNUMBER(INDEX('NCO-2015 scores'!$C$2:$C$131,MATCH(E1591,'NCO-2015 scores'!$A$2:$A$131,0))),1,0),0)</f>
        <v>1</v>
      </c>
    </row>
    <row r="1592" customFormat="false" ht="15" hidden="false" customHeight="false" outlineLevel="0" collapsed="false">
      <c r="A1592" s="2" t="n">
        <v>1588</v>
      </c>
      <c r="B1592" s="2" t="s">
        <v>4848</v>
      </c>
      <c r="C1592" s="2" t="s">
        <v>4849</v>
      </c>
      <c r="D1592" s="2" t="s">
        <v>4850</v>
      </c>
      <c r="E1592" s="2" t="str">
        <f aca="false">LEFT(C1592,3)</f>
        <v>742</v>
      </c>
      <c r="F1592" s="2" t="str">
        <f aca="false">IF(D1592="","",LEFT(D1592,3))</f>
        <v>724</v>
      </c>
      <c r="G1592" s="2" t="str">
        <f aca="false">IF(F1592="","",IF(E1592=F1592,"Yes","No"))</f>
        <v>No</v>
      </c>
      <c r="H1592" s="2" t="n">
        <f aca="false">IF(D1592="",0,1/COUNTIF($D$2:$D$3451,D1592))</f>
        <v>1</v>
      </c>
      <c r="I1592" s="13" t="n">
        <f aca="false">IFERROR(INDEX('NCO-2015 scores'!$C$2:$C$131,MATCH(E1592,'NCO-2015 scores'!$A$2:$A$131,0)),0)</f>
        <v>0.245</v>
      </c>
      <c r="J1592" s="13" t="n">
        <f aca="false">IF(ISNUMBER(MATCH(E1592,'NCO-2015 scores'!$A$2:$A$131,0)),IF(ISNUMBER(INDEX('NCO-2015 scores'!$C$2:$C$131,MATCH(E1592,'NCO-2015 scores'!$A$2:$A$131,0))),1,0),0)</f>
        <v>1</v>
      </c>
    </row>
    <row r="1593" customFormat="false" ht="15" hidden="false" customHeight="false" outlineLevel="0" collapsed="false">
      <c r="A1593" s="2" t="n">
        <v>1589</v>
      </c>
      <c r="B1593" s="2" t="s">
        <v>4851</v>
      </c>
      <c r="C1593" s="2" t="s">
        <v>4852</v>
      </c>
      <c r="D1593" s="2" t="s">
        <v>4853</v>
      </c>
      <c r="E1593" s="2" t="str">
        <f aca="false">LEFT(C1593,3)</f>
        <v>742</v>
      </c>
      <c r="F1593" s="2" t="str">
        <f aca="false">IF(D1593="","",LEFT(D1593,3))</f>
        <v>724</v>
      </c>
      <c r="G1593" s="2" t="str">
        <f aca="false">IF(F1593="","",IF(E1593=F1593,"Yes","No"))</f>
        <v>No</v>
      </c>
      <c r="H1593" s="2" t="n">
        <f aca="false">IF(D1593="",0,1/COUNTIF($D$2:$D$3451,D1593))</f>
        <v>1</v>
      </c>
      <c r="I1593" s="13" t="n">
        <f aca="false">IFERROR(INDEX('NCO-2015 scores'!$C$2:$C$131,MATCH(E1593,'NCO-2015 scores'!$A$2:$A$131,0)),0)</f>
        <v>0.245</v>
      </c>
      <c r="J1593" s="13" t="n">
        <f aca="false">IF(ISNUMBER(MATCH(E1593,'NCO-2015 scores'!$A$2:$A$131,0)),IF(ISNUMBER(INDEX('NCO-2015 scores'!$C$2:$C$131,MATCH(E1593,'NCO-2015 scores'!$A$2:$A$131,0))),1,0),0)</f>
        <v>1</v>
      </c>
    </row>
    <row r="1594" customFormat="false" ht="15" hidden="false" customHeight="false" outlineLevel="0" collapsed="false">
      <c r="A1594" s="2" t="n">
        <v>1590</v>
      </c>
      <c r="B1594" s="2" t="s">
        <v>4854</v>
      </c>
      <c r="C1594" s="2" t="s">
        <v>4855</v>
      </c>
      <c r="D1594" s="2" t="s">
        <v>4856</v>
      </c>
      <c r="E1594" s="2" t="str">
        <f aca="false">LEFT(C1594,3)</f>
        <v>742</v>
      </c>
      <c r="F1594" s="2" t="str">
        <f aca="false">IF(D1594="","",LEFT(D1594,3))</f>
        <v>724</v>
      </c>
      <c r="G1594" s="2" t="str">
        <f aca="false">IF(F1594="","",IF(E1594=F1594,"Yes","No"))</f>
        <v>No</v>
      </c>
      <c r="H1594" s="2" t="n">
        <f aca="false">IF(D1594="",0,1/COUNTIF($D$2:$D$3451,D1594))</f>
        <v>1</v>
      </c>
      <c r="I1594" s="13" t="n">
        <f aca="false">IFERROR(INDEX('NCO-2015 scores'!$C$2:$C$131,MATCH(E1594,'NCO-2015 scores'!$A$2:$A$131,0)),0)</f>
        <v>0.245</v>
      </c>
      <c r="J1594" s="13" t="n">
        <f aca="false">IF(ISNUMBER(MATCH(E1594,'NCO-2015 scores'!$A$2:$A$131,0)),IF(ISNUMBER(INDEX('NCO-2015 scores'!$C$2:$C$131,MATCH(E1594,'NCO-2015 scores'!$A$2:$A$131,0))),1,0),0)</f>
        <v>1</v>
      </c>
    </row>
    <row r="1595" customFormat="false" ht="15" hidden="false" customHeight="false" outlineLevel="0" collapsed="false">
      <c r="A1595" s="2" t="n">
        <v>1591</v>
      </c>
      <c r="B1595" s="2" t="s">
        <v>4857</v>
      </c>
      <c r="C1595" s="2" t="s">
        <v>4858</v>
      </c>
      <c r="D1595" s="2"/>
      <c r="E1595" s="2" t="str">
        <f aca="false">LEFT(C1595,3)</f>
        <v>742</v>
      </c>
      <c r="F1595" s="2" t="str">
        <f aca="false">IF(D1595="","",LEFT(D1595,3))</f>
        <v/>
      </c>
      <c r="G1595" s="2" t="str">
        <f aca="false">IF(F1595="","",IF(E1595=F1595,"Yes","No"))</f>
        <v/>
      </c>
      <c r="H1595" s="2" t="n">
        <f aca="false">IF(D1595="",0,1/COUNTIF($D$2:$D$3451,D1595))</f>
        <v>0</v>
      </c>
      <c r="I1595" s="13" t="n">
        <f aca="false">IFERROR(INDEX('NCO-2015 scores'!$C$2:$C$131,MATCH(E1595,'NCO-2015 scores'!$A$2:$A$131,0)),0)</f>
        <v>0.245</v>
      </c>
      <c r="J1595" s="13" t="n">
        <f aca="false">IF(ISNUMBER(MATCH(E1595,'NCO-2015 scores'!$A$2:$A$131,0)),IF(ISNUMBER(INDEX('NCO-2015 scores'!$C$2:$C$131,MATCH(E1595,'NCO-2015 scores'!$A$2:$A$131,0))),1,0),0)</f>
        <v>1</v>
      </c>
    </row>
    <row r="1596" customFormat="false" ht="15" hidden="false" customHeight="false" outlineLevel="0" collapsed="false">
      <c r="A1596" s="2" t="n">
        <v>1592</v>
      </c>
      <c r="B1596" s="2" t="s">
        <v>4859</v>
      </c>
      <c r="C1596" s="2" t="s">
        <v>4860</v>
      </c>
      <c r="D1596" s="2"/>
      <c r="E1596" s="2" t="str">
        <f aca="false">LEFT(C1596,3)</f>
        <v>742</v>
      </c>
      <c r="F1596" s="2" t="str">
        <f aca="false">IF(D1596="","",LEFT(D1596,3))</f>
        <v/>
      </c>
      <c r="G1596" s="2" t="str">
        <f aca="false">IF(F1596="","",IF(E1596=F1596,"Yes","No"))</f>
        <v/>
      </c>
      <c r="H1596" s="2" t="n">
        <f aca="false">IF(D1596="",0,1/COUNTIF($D$2:$D$3451,D1596))</f>
        <v>0</v>
      </c>
      <c r="I1596" s="13" t="n">
        <f aca="false">IFERROR(INDEX('NCO-2015 scores'!$C$2:$C$131,MATCH(E1596,'NCO-2015 scores'!$A$2:$A$131,0)),0)</f>
        <v>0.245</v>
      </c>
      <c r="J1596" s="13" t="n">
        <f aca="false">IF(ISNUMBER(MATCH(E1596,'NCO-2015 scores'!$A$2:$A$131,0)),IF(ISNUMBER(INDEX('NCO-2015 scores'!$C$2:$C$131,MATCH(E1596,'NCO-2015 scores'!$A$2:$A$131,0))),1,0),0)</f>
        <v>1</v>
      </c>
    </row>
    <row r="1597" customFormat="false" ht="15" hidden="false" customHeight="false" outlineLevel="0" collapsed="false">
      <c r="A1597" s="2" t="n">
        <v>1593</v>
      </c>
      <c r="B1597" s="2" t="s">
        <v>4861</v>
      </c>
      <c r="C1597" s="2" t="s">
        <v>4862</v>
      </c>
      <c r="D1597" s="2" t="s">
        <v>4863</v>
      </c>
      <c r="E1597" s="2" t="str">
        <f aca="false">LEFT(C1597,3)</f>
        <v>742</v>
      </c>
      <c r="F1597" s="2" t="str">
        <f aca="false">IF(D1597="","",LEFT(D1597,3))</f>
        <v>724</v>
      </c>
      <c r="G1597" s="2" t="str">
        <f aca="false">IF(F1597="","",IF(E1597=F1597,"Yes","No"))</f>
        <v>No</v>
      </c>
      <c r="H1597" s="2" t="n">
        <f aca="false">IF(D1597="",0,1/COUNTIF($D$2:$D$3451,D1597))</f>
        <v>1</v>
      </c>
      <c r="I1597" s="13" t="n">
        <f aca="false">IFERROR(INDEX('NCO-2015 scores'!$C$2:$C$131,MATCH(E1597,'NCO-2015 scores'!$A$2:$A$131,0)),0)</f>
        <v>0.245</v>
      </c>
      <c r="J1597" s="13" t="n">
        <f aca="false">IF(ISNUMBER(MATCH(E1597,'NCO-2015 scores'!$A$2:$A$131,0)),IF(ISNUMBER(INDEX('NCO-2015 scores'!$C$2:$C$131,MATCH(E1597,'NCO-2015 scores'!$A$2:$A$131,0))),1,0),0)</f>
        <v>1</v>
      </c>
    </row>
    <row r="1598" customFormat="false" ht="15" hidden="false" customHeight="false" outlineLevel="0" collapsed="false">
      <c r="A1598" s="2" t="n">
        <v>1594</v>
      </c>
      <c r="B1598" s="2" t="s">
        <v>2189</v>
      </c>
      <c r="C1598" s="2" t="s">
        <v>4864</v>
      </c>
      <c r="D1598" s="2"/>
      <c r="E1598" s="2" t="str">
        <f aca="false">LEFT(C1598,3)</f>
        <v>742</v>
      </c>
      <c r="F1598" s="2" t="str">
        <f aca="false">IF(D1598="","",LEFT(D1598,3))</f>
        <v/>
      </c>
      <c r="G1598" s="2" t="str">
        <f aca="false">IF(F1598="","",IF(E1598=F1598,"Yes","No"))</f>
        <v/>
      </c>
      <c r="H1598" s="2" t="n">
        <f aca="false">IF(D1598="",0,1/COUNTIF($D$2:$D$3451,D1598))</f>
        <v>0</v>
      </c>
      <c r="I1598" s="13" t="n">
        <f aca="false">IFERROR(INDEX('NCO-2015 scores'!$C$2:$C$131,MATCH(E1598,'NCO-2015 scores'!$A$2:$A$131,0)),0)</f>
        <v>0.245</v>
      </c>
      <c r="J1598" s="13" t="n">
        <f aca="false">IF(ISNUMBER(MATCH(E1598,'NCO-2015 scores'!$A$2:$A$131,0)),IF(ISNUMBER(INDEX('NCO-2015 scores'!$C$2:$C$131,MATCH(E1598,'NCO-2015 scores'!$A$2:$A$131,0))),1,0),0)</f>
        <v>1</v>
      </c>
    </row>
    <row r="1599" customFormat="false" ht="15" hidden="false" customHeight="false" outlineLevel="0" collapsed="false">
      <c r="A1599" s="2" t="n">
        <v>1595</v>
      </c>
      <c r="B1599" s="2" t="s">
        <v>4865</v>
      </c>
      <c r="C1599" s="2" t="s">
        <v>4866</v>
      </c>
      <c r="D1599" s="2"/>
      <c r="E1599" s="2" t="str">
        <f aca="false">LEFT(C1599,3)</f>
        <v>742</v>
      </c>
      <c r="F1599" s="2" t="str">
        <f aca="false">IF(D1599="","",LEFT(D1599,3))</f>
        <v/>
      </c>
      <c r="G1599" s="2" t="str">
        <f aca="false">IF(F1599="","",IF(E1599=F1599,"Yes","No"))</f>
        <v/>
      </c>
      <c r="H1599" s="2" t="n">
        <f aca="false">IF(D1599="",0,1/COUNTIF($D$2:$D$3451,D1599))</f>
        <v>0</v>
      </c>
      <c r="I1599" s="13" t="n">
        <f aca="false">IFERROR(INDEX('NCO-2015 scores'!$C$2:$C$131,MATCH(E1599,'NCO-2015 scores'!$A$2:$A$131,0)),0)</f>
        <v>0.245</v>
      </c>
      <c r="J1599" s="13" t="n">
        <f aca="false">IF(ISNUMBER(MATCH(E1599,'NCO-2015 scores'!$A$2:$A$131,0)),IF(ISNUMBER(INDEX('NCO-2015 scores'!$C$2:$C$131,MATCH(E1599,'NCO-2015 scores'!$A$2:$A$131,0))),1,0),0)</f>
        <v>1</v>
      </c>
    </row>
    <row r="1600" customFormat="false" ht="15" hidden="false" customHeight="false" outlineLevel="0" collapsed="false">
      <c r="A1600" s="2" t="n">
        <v>1596</v>
      </c>
      <c r="B1600" s="2" t="s">
        <v>4867</v>
      </c>
      <c r="C1600" s="2" t="s">
        <v>4868</v>
      </c>
      <c r="D1600" s="2"/>
      <c r="E1600" s="2" t="str">
        <f aca="false">LEFT(C1600,3)</f>
        <v>742</v>
      </c>
      <c r="F1600" s="2" t="str">
        <f aca="false">IF(D1600="","",LEFT(D1600,3))</f>
        <v/>
      </c>
      <c r="G1600" s="2" t="str">
        <f aca="false">IF(F1600="","",IF(E1600=F1600,"Yes","No"))</f>
        <v/>
      </c>
      <c r="H1600" s="2" t="n">
        <f aca="false">IF(D1600="",0,1/COUNTIF($D$2:$D$3451,D1600))</f>
        <v>0</v>
      </c>
      <c r="I1600" s="13" t="n">
        <f aca="false">IFERROR(INDEX('NCO-2015 scores'!$C$2:$C$131,MATCH(E1600,'NCO-2015 scores'!$A$2:$A$131,0)),0)</f>
        <v>0.245</v>
      </c>
      <c r="J1600" s="13" t="n">
        <f aca="false">IF(ISNUMBER(MATCH(E1600,'NCO-2015 scores'!$A$2:$A$131,0)),IF(ISNUMBER(INDEX('NCO-2015 scores'!$C$2:$C$131,MATCH(E1600,'NCO-2015 scores'!$A$2:$A$131,0))),1,0),0)</f>
        <v>1</v>
      </c>
    </row>
    <row r="1601" customFormat="false" ht="15" hidden="false" customHeight="false" outlineLevel="0" collapsed="false">
      <c r="A1601" s="2" t="n">
        <v>1597</v>
      </c>
      <c r="B1601" s="2" t="s">
        <v>4869</v>
      </c>
      <c r="C1601" s="2" t="s">
        <v>4870</v>
      </c>
      <c r="D1601" s="2"/>
      <c r="E1601" s="2" t="str">
        <f aca="false">LEFT(C1601,3)</f>
        <v>742</v>
      </c>
      <c r="F1601" s="2" t="str">
        <f aca="false">IF(D1601="","",LEFT(D1601,3))</f>
        <v/>
      </c>
      <c r="G1601" s="2" t="str">
        <f aca="false">IF(F1601="","",IF(E1601=F1601,"Yes","No"))</f>
        <v/>
      </c>
      <c r="H1601" s="2" t="n">
        <f aca="false">IF(D1601="",0,1/COUNTIF($D$2:$D$3451,D1601))</f>
        <v>0</v>
      </c>
      <c r="I1601" s="13" t="n">
        <f aca="false">IFERROR(INDEX('NCO-2015 scores'!$C$2:$C$131,MATCH(E1601,'NCO-2015 scores'!$A$2:$A$131,0)),0)</f>
        <v>0.245</v>
      </c>
      <c r="J1601" s="13" t="n">
        <f aca="false">IF(ISNUMBER(MATCH(E1601,'NCO-2015 scores'!$A$2:$A$131,0)),IF(ISNUMBER(INDEX('NCO-2015 scores'!$C$2:$C$131,MATCH(E1601,'NCO-2015 scores'!$A$2:$A$131,0))),1,0),0)</f>
        <v>1</v>
      </c>
    </row>
    <row r="1602" customFormat="false" ht="15" hidden="false" customHeight="false" outlineLevel="0" collapsed="false">
      <c r="A1602" s="2" t="n">
        <v>1598</v>
      </c>
      <c r="B1602" s="2" t="s">
        <v>4871</v>
      </c>
      <c r="C1602" s="2" t="s">
        <v>4872</v>
      </c>
      <c r="D1602" s="2"/>
      <c r="E1602" s="2" t="str">
        <f aca="false">LEFT(C1602,3)</f>
        <v>742</v>
      </c>
      <c r="F1602" s="2" t="str">
        <f aca="false">IF(D1602="","",LEFT(D1602,3))</f>
        <v/>
      </c>
      <c r="G1602" s="2" t="str">
        <f aca="false">IF(F1602="","",IF(E1602=F1602,"Yes","No"))</f>
        <v/>
      </c>
      <c r="H1602" s="2" t="n">
        <f aca="false">IF(D1602="",0,1/COUNTIF($D$2:$D$3451,D1602))</f>
        <v>0</v>
      </c>
      <c r="I1602" s="13" t="n">
        <f aca="false">IFERROR(INDEX('NCO-2015 scores'!$C$2:$C$131,MATCH(E1602,'NCO-2015 scores'!$A$2:$A$131,0)),0)</f>
        <v>0.245</v>
      </c>
      <c r="J1602" s="13" t="n">
        <f aca="false">IF(ISNUMBER(MATCH(E1602,'NCO-2015 scores'!$A$2:$A$131,0)),IF(ISNUMBER(INDEX('NCO-2015 scores'!$C$2:$C$131,MATCH(E1602,'NCO-2015 scores'!$A$2:$A$131,0))),1,0),0)</f>
        <v>1</v>
      </c>
    </row>
    <row r="1603" customFormat="false" ht="15" hidden="false" customHeight="false" outlineLevel="0" collapsed="false">
      <c r="A1603" s="2" t="n">
        <v>1599</v>
      </c>
      <c r="B1603" s="2" t="s">
        <v>4873</v>
      </c>
      <c r="C1603" s="2" t="s">
        <v>4874</v>
      </c>
      <c r="D1603" s="2" t="s">
        <v>4875</v>
      </c>
      <c r="E1603" s="2" t="str">
        <f aca="false">LEFT(C1603,3)</f>
        <v>742</v>
      </c>
      <c r="F1603" s="2" t="str">
        <f aca="false">IF(D1603="","",LEFT(D1603,3))</f>
        <v>724</v>
      </c>
      <c r="G1603" s="2" t="str">
        <f aca="false">IF(F1603="","",IF(E1603=F1603,"Yes","No"))</f>
        <v>No</v>
      </c>
      <c r="H1603" s="2" t="n">
        <f aca="false">IF(D1603="",0,1/COUNTIF($D$2:$D$3451,D1603))</f>
        <v>1</v>
      </c>
      <c r="I1603" s="13" t="n">
        <f aca="false">IFERROR(INDEX('NCO-2015 scores'!$C$2:$C$131,MATCH(E1603,'NCO-2015 scores'!$A$2:$A$131,0)),0)</f>
        <v>0.245</v>
      </c>
      <c r="J1603" s="13" t="n">
        <f aca="false">IF(ISNUMBER(MATCH(E1603,'NCO-2015 scores'!$A$2:$A$131,0)),IF(ISNUMBER(INDEX('NCO-2015 scores'!$C$2:$C$131,MATCH(E1603,'NCO-2015 scores'!$A$2:$A$131,0))),1,0),0)</f>
        <v>1</v>
      </c>
    </row>
    <row r="1604" customFormat="false" ht="15" hidden="false" customHeight="false" outlineLevel="0" collapsed="false">
      <c r="A1604" s="2" t="n">
        <v>1600</v>
      </c>
      <c r="B1604" s="2" t="s">
        <v>4876</v>
      </c>
      <c r="C1604" s="2" t="s">
        <v>4877</v>
      </c>
      <c r="D1604" s="2"/>
      <c r="E1604" s="2" t="str">
        <f aca="false">LEFT(C1604,3)</f>
        <v>742</v>
      </c>
      <c r="F1604" s="2" t="str">
        <f aca="false">IF(D1604="","",LEFT(D1604,3))</f>
        <v/>
      </c>
      <c r="G1604" s="2" t="str">
        <f aca="false">IF(F1604="","",IF(E1604=F1604,"Yes","No"))</f>
        <v/>
      </c>
      <c r="H1604" s="2" t="n">
        <f aca="false">IF(D1604="",0,1/COUNTIF($D$2:$D$3451,D1604))</f>
        <v>0</v>
      </c>
      <c r="I1604" s="13" t="n">
        <f aca="false">IFERROR(INDEX('NCO-2015 scores'!$C$2:$C$131,MATCH(E1604,'NCO-2015 scores'!$A$2:$A$131,0)),0)</f>
        <v>0.245</v>
      </c>
      <c r="J1604" s="13" t="n">
        <f aca="false">IF(ISNUMBER(MATCH(E1604,'NCO-2015 scores'!$A$2:$A$131,0)),IF(ISNUMBER(INDEX('NCO-2015 scores'!$C$2:$C$131,MATCH(E1604,'NCO-2015 scores'!$A$2:$A$131,0))),1,0),0)</f>
        <v>1</v>
      </c>
    </row>
    <row r="1605" customFormat="false" ht="15" hidden="false" customHeight="false" outlineLevel="0" collapsed="false">
      <c r="A1605" s="2" t="n">
        <v>1601</v>
      </c>
      <c r="B1605" s="2" t="s">
        <v>4878</v>
      </c>
      <c r="C1605" s="2" t="s">
        <v>4879</v>
      </c>
      <c r="D1605" s="2" t="s">
        <v>4880</v>
      </c>
      <c r="E1605" s="2" t="str">
        <f aca="false">LEFT(C1605,3)</f>
        <v>742</v>
      </c>
      <c r="F1605" s="2" t="str">
        <f aca="false">IF(D1605="","",LEFT(D1605,3))</f>
        <v>724</v>
      </c>
      <c r="G1605" s="2" t="str">
        <f aca="false">IF(F1605="","",IF(E1605=F1605,"Yes","No"))</f>
        <v>No</v>
      </c>
      <c r="H1605" s="2" t="n">
        <f aca="false">IF(D1605="",0,1/COUNTIF($D$2:$D$3451,D1605))</f>
        <v>1</v>
      </c>
      <c r="I1605" s="13" t="n">
        <f aca="false">IFERROR(INDEX('NCO-2015 scores'!$C$2:$C$131,MATCH(E1605,'NCO-2015 scores'!$A$2:$A$131,0)),0)</f>
        <v>0.245</v>
      </c>
      <c r="J1605" s="13" t="n">
        <f aca="false">IF(ISNUMBER(MATCH(E1605,'NCO-2015 scores'!$A$2:$A$131,0)),IF(ISNUMBER(INDEX('NCO-2015 scores'!$C$2:$C$131,MATCH(E1605,'NCO-2015 scores'!$A$2:$A$131,0))),1,0),0)</f>
        <v>1</v>
      </c>
    </row>
    <row r="1606" customFormat="false" ht="15" hidden="false" customHeight="false" outlineLevel="0" collapsed="false">
      <c r="A1606" s="2" t="n">
        <v>1602</v>
      </c>
      <c r="B1606" s="2" t="s">
        <v>4881</v>
      </c>
      <c r="C1606" s="2" t="s">
        <v>4882</v>
      </c>
      <c r="D1606" s="2" t="s">
        <v>4883</v>
      </c>
      <c r="E1606" s="2" t="str">
        <f aca="false">LEFT(C1606,3)</f>
        <v>742</v>
      </c>
      <c r="F1606" s="2" t="str">
        <f aca="false">IF(D1606="","",LEFT(D1606,3))</f>
        <v>724</v>
      </c>
      <c r="G1606" s="2" t="str">
        <f aca="false">IF(F1606="","",IF(E1606=F1606,"Yes","No"))</f>
        <v>No</v>
      </c>
      <c r="H1606" s="2" t="n">
        <f aca="false">IF(D1606="",0,1/COUNTIF($D$2:$D$3451,D1606))</f>
        <v>1</v>
      </c>
      <c r="I1606" s="13" t="n">
        <f aca="false">IFERROR(INDEX('NCO-2015 scores'!$C$2:$C$131,MATCH(E1606,'NCO-2015 scores'!$A$2:$A$131,0)),0)</f>
        <v>0.245</v>
      </c>
      <c r="J1606" s="13" t="n">
        <f aca="false">IF(ISNUMBER(MATCH(E1606,'NCO-2015 scores'!$A$2:$A$131,0)),IF(ISNUMBER(INDEX('NCO-2015 scores'!$C$2:$C$131,MATCH(E1606,'NCO-2015 scores'!$A$2:$A$131,0))),1,0),0)</f>
        <v>1</v>
      </c>
    </row>
    <row r="1607" customFormat="false" ht="15" hidden="false" customHeight="false" outlineLevel="0" collapsed="false">
      <c r="A1607" s="2" t="n">
        <v>1603</v>
      </c>
      <c r="B1607" s="2" t="s">
        <v>4884</v>
      </c>
      <c r="C1607" s="2" t="s">
        <v>4885</v>
      </c>
      <c r="D1607" s="2" t="s">
        <v>4886</v>
      </c>
      <c r="E1607" s="2" t="str">
        <f aca="false">LEFT(C1607,3)</f>
        <v>742</v>
      </c>
      <c r="F1607" s="2" t="str">
        <f aca="false">IF(D1607="","",LEFT(D1607,3))</f>
        <v>724</v>
      </c>
      <c r="G1607" s="2" t="str">
        <f aca="false">IF(F1607="","",IF(E1607=F1607,"Yes","No"))</f>
        <v>No</v>
      </c>
      <c r="H1607" s="2" t="n">
        <f aca="false">IF(D1607="",0,1/COUNTIF($D$2:$D$3451,D1607))</f>
        <v>1</v>
      </c>
      <c r="I1607" s="13" t="n">
        <f aca="false">IFERROR(INDEX('NCO-2015 scores'!$C$2:$C$131,MATCH(E1607,'NCO-2015 scores'!$A$2:$A$131,0)),0)</f>
        <v>0.245</v>
      </c>
      <c r="J1607" s="13" t="n">
        <f aca="false">IF(ISNUMBER(MATCH(E1607,'NCO-2015 scores'!$A$2:$A$131,0)),IF(ISNUMBER(INDEX('NCO-2015 scores'!$C$2:$C$131,MATCH(E1607,'NCO-2015 scores'!$A$2:$A$131,0))),1,0),0)</f>
        <v>1</v>
      </c>
    </row>
    <row r="1608" customFormat="false" ht="15" hidden="false" customHeight="false" outlineLevel="0" collapsed="false">
      <c r="A1608" s="2" t="n">
        <v>1604</v>
      </c>
      <c r="B1608" s="2" t="s">
        <v>4887</v>
      </c>
      <c r="C1608" s="2" t="s">
        <v>4888</v>
      </c>
      <c r="D1608" s="2" t="s">
        <v>4889</v>
      </c>
      <c r="E1608" s="2" t="str">
        <f aca="false">LEFT(C1608,3)</f>
        <v>742</v>
      </c>
      <c r="F1608" s="2" t="str">
        <f aca="false">IF(D1608="","",LEFT(D1608,3))</f>
        <v>724</v>
      </c>
      <c r="G1608" s="2" t="str">
        <f aca="false">IF(F1608="","",IF(E1608=F1608,"Yes","No"))</f>
        <v>No</v>
      </c>
      <c r="H1608" s="2" t="n">
        <f aca="false">IF(D1608="",0,1/COUNTIF($D$2:$D$3451,D1608))</f>
        <v>1</v>
      </c>
      <c r="I1608" s="13" t="n">
        <f aca="false">IFERROR(INDEX('NCO-2015 scores'!$C$2:$C$131,MATCH(E1608,'NCO-2015 scores'!$A$2:$A$131,0)),0)</f>
        <v>0.245</v>
      </c>
      <c r="J1608" s="13" t="n">
        <f aca="false">IF(ISNUMBER(MATCH(E1608,'NCO-2015 scores'!$A$2:$A$131,0)),IF(ISNUMBER(INDEX('NCO-2015 scores'!$C$2:$C$131,MATCH(E1608,'NCO-2015 scores'!$A$2:$A$131,0))),1,0),0)</f>
        <v>1</v>
      </c>
    </row>
    <row r="1609" customFormat="false" ht="15" hidden="false" customHeight="false" outlineLevel="0" collapsed="false">
      <c r="A1609" s="2" t="n">
        <v>1605</v>
      </c>
      <c r="B1609" s="2" t="s">
        <v>4890</v>
      </c>
      <c r="C1609" s="2" t="s">
        <v>4891</v>
      </c>
      <c r="D1609" s="2"/>
      <c r="E1609" s="2" t="str">
        <f aca="false">LEFT(C1609,3)</f>
        <v>742</v>
      </c>
      <c r="F1609" s="2" t="str">
        <f aca="false">IF(D1609="","",LEFT(D1609,3))</f>
        <v/>
      </c>
      <c r="G1609" s="2" t="str">
        <f aca="false">IF(F1609="","",IF(E1609=F1609,"Yes","No"))</f>
        <v/>
      </c>
      <c r="H1609" s="2" t="n">
        <f aca="false">IF(D1609="",0,1/COUNTIF($D$2:$D$3451,D1609))</f>
        <v>0</v>
      </c>
      <c r="I1609" s="13" t="n">
        <f aca="false">IFERROR(INDEX('NCO-2015 scores'!$C$2:$C$131,MATCH(E1609,'NCO-2015 scores'!$A$2:$A$131,0)),0)</f>
        <v>0.245</v>
      </c>
      <c r="J1609" s="13" t="n">
        <f aca="false">IF(ISNUMBER(MATCH(E1609,'NCO-2015 scores'!$A$2:$A$131,0)),IF(ISNUMBER(INDEX('NCO-2015 scores'!$C$2:$C$131,MATCH(E1609,'NCO-2015 scores'!$A$2:$A$131,0))),1,0),0)</f>
        <v>1</v>
      </c>
    </row>
    <row r="1610" customFormat="false" ht="15" hidden="false" customHeight="false" outlineLevel="0" collapsed="false">
      <c r="A1610" s="2" t="n">
        <v>1606</v>
      </c>
      <c r="B1610" s="2" t="s">
        <v>4892</v>
      </c>
      <c r="C1610" s="2" t="s">
        <v>4893</v>
      </c>
      <c r="D1610" s="2" t="s">
        <v>4894</v>
      </c>
      <c r="E1610" s="2" t="str">
        <f aca="false">LEFT(C1610,3)</f>
        <v>742</v>
      </c>
      <c r="F1610" s="2" t="str">
        <f aca="false">IF(D1610="","",LEFT(D1610,3))</f>
        <v>724</v>
      </c>
      <c r="G1610" s="2" t="str">
        <f aca="false">IF(F1610="","",IF(E1610=F1610,"Yes","No"))</f>
        <v>No</v>
      </c>
      <c r="H1610" s="2" t="n">
        <f aca="false">IF(D1610="",0,1/COUNTIF($D$2:$D$3451,D1610))</f>
        <v>1</v>
      </c>
      <c r="I1610" s="13" t="n">
        <f aca="false">IFERROR(INDEX('NCO-2015 scores'!$C$2:$C$131,MATCH(E1610,'NCO-2015 scores'!$A$2:$A$131,0)),0)</f>
        <v>0.245</v>
      </c>
      <c r="J1610" s="13" t="n">
        <f aca="false">IF(ISNUMBER(MATCH(E1610,'NCO-2015 scores'!$A$2:$A$131,0)),IF(ISNUMBER(INDEX('NCO-2015 scores'!$C$2:$C$131,MATCH(E1610,'NCO-2015 scores'!$A$2:$A$131,0))),1,0),0)</f>
        <v>1</v>
      </c>
    </row>
    <row r="1611" customFormat="false" ht="15" hidden="false" customHeight="false" outlineLevel="0" collapsed="false">
      <c r="A1611" s="2" t="n">
        <v>1607</v>
      </c>
      <c r="B1611" s="2" t="s">
        <v>4895</v>
      </c>
      <c r="C1611" s="2" t="s">
        <v>4896</v>
      </c>
      <c r="D1611" s="2" t="s">
        <v>4897</v>
      </c>
      <c r="E1611" s="2" t="str">
        <f aca="false">LEFT(C1611,3)</f>
        <v>742</v>
      </c>
      <c r="F1611" s="2" t="str">
        <f aca="false">IF(D1611="","",LEFT(D1611,3))</f>
        <v>724</v>
      </c>
      <c r="G1611" s="2" t="str">
        <f aca="false">IF(F1611="","",IF(E1611=F1611,"Yes","No"))</f>
        <v>No</v>
      </c>
      <c r="H1611" s="2" t="n">
        <f aca="false">IF(D1611="",0,1/COUNTIF($D$2:$D$3451,D1611))</f>
        <v>1</v>
      </c>
      <c r="I1611" s="13" t="n">
        <f aca="false">IFERROR(INDEX('NCO-2015 scores'!$C$2:$C$131,MATCH(E1611,'NCO-2015 scores'!$A$2:$A$131,0)),0)</f>
        <v>0.245</v>
      </c>
      <c r="J1611" s="13" t="n">
        <f aca="false">IF(ISNUMBER(MATCH(E1611,'NCO-2015 scores'!$A$2:$A$131,0)),IF(ISNUMBER(INDEX('NCO-2015 scores'!$C$2:$C$131,MATCH(E1611,'NCO-2015 scores'!$A$2:$A$131,0))),1,0),0)</f>
        <v>1</v>
      </c>
    </row>
    <row r="1612" customFormat="false" ht="15" hidden="false" customHeight="false" outlineLevel="0" collapsed="false">
      <c r="A1612" s="2" t="n">
        <v>1608</v>
      </c>
      <c r="B1612" s="2" t="s">
        <v>4898</v>
      </c>
      <c r="C1612" s="2" t="s">
        <v>4899</v>
      </c>
      <c r="D1612" s="2"/>
      <c r="E1612" s="2" t="str">
        <f aca="false">LEFT(C1612,3)</f>
        <v>742</v>
      </c>
      <c r="F1612" s="2" t="str">
        <f aca="false">IF(D1612="","",LEFT(D1612,3))</f>
        <v/>
      </c>
      <c r="G1612" s="2" t="str">
        <f aca="false">IF(F1612="","",IF(E1612=F1612,"Yes","No"))</f>
        <v/>
      </c>
      <c r="H1612" s="2" t="n">
        <f aca="false">IF(D1612="",0,1/COUNTIF($D$2:$D$3451,D1612))</f>
        <v>0</v>
      </c>
      <c r="I1612" s="13" t="n">
        <f aca="false">IFERROR(INDEX('NCO-2015 scores'!$C$2:$C$131,MATCH(E1612,'NCO-2015 scores'!$A$2:$A$131,0)),0)</f>
        <v>0.245</v>
      </c>
      <c r="J1612" s="13" t="n">
        <f aca="false">IF(ISNUMBER(MATCH(E1612,'NCO-2015 scores'!$A$2:$A$131,0)),IF(ISNUMBER(INDEX('NCO-2015 scores'!$C$2:$C$131,MATCH(E1612,'NCO-2015 scores'!$A$2:$A$131,0))),1,0),0)</f>
        <v>1</v>
      </c>
    </row>
    <row r="1613" customFormat="false" ht="15" hidden="false" customHeight="false" outlineLevel="0" collapsed="false">
      <c r="A1613" s="2" t="n">
        <v>1609</v>
      </c>
      <c r="B1613" s="2" t="s">
        <v>4900</v>
      </c>
      <c r="C1613" s="2" t="s">
        <v>4901</v>
      </c>
      <c r="D1613" s="2" t="s">
        <v>4902</v>
      </c>
      <c r="E1613" s="2" t="str">
        <f aca="false">LEFT(C1613,3)</f>
        <v>742</v>
      </c>
      <c r="F1613" s="2" t="str">
        <f aca="false">IF(D1613="","",LEFT(D1613,3))</f>
        <v>724</v>
      </c>
      <c r="G1613" s="2" t="str">
        <f aca="false">IF(F1613="","",IF(E1613=F1613,"Yes","No"))</f>
        <v>No</v>
      </c>
      <c r="H1613" s="2" t="n">
        <f aca="false">IF(D1613="",0,1/COUNTIF($D$2:$D$3451,D1613))</f>
        <v>1</v>
      </c>
      <c r="I1613" s="13" t="n">
        <f aca="false">IFERROR(INDEX('NCO-2015 scores'!$C$2:$C$131,MATCH(E1613,'NCO-2015 scores'!$A$2:$A$131,0)),0)</f>
        <v>0.245</v>
      </c>
      <c r="J1613" s="13" t="n">
        <f aca="false">IF(ISNUMBER(MATCH(E1613,'NCO-2015 scores'!$A$2:$A$131,0)),IF(ISNUMBER(INDEX('NCO-2015 scores'!$C$2:$C$131,MATCH(E1613,'NCO-2015 scores'!$A$2:$A$131,0))),1,0),0)</f>
        <v>1</v>
      </c>
    </row>
    <row r="1614" customFormat="false" ht="15" hidden="false" customHeight="false" outlineLevel="0" collapsed="false">
      <c r="A1614" s="2" t="n">
        <v>1610</v>
      </c>
      <c r="B1614" s="2" t="s">
        <v>4903</v>
      </c>
      <c r="C1614" s="2" t="s">
        <v>4904</v>
      </c>
      <c r="D1614" s="2"/>
      <c r="E1614" s="2" t="str">
        <f aca="false">LEFT(C1614,3)</f>
        <v>742</v>
      </c>
      <c r="F1614" s="2" t="str">
        <f aca="false">IF(D1614="","",LEFT(D1614,3))</f>
        <v/>
      </c>
      <c r="G1614" s="2" t="str">
        <f aca="false">IF(F1614="","",IF(E1614=F1614,"Yes","No"))</f>
        <v/>
      </c>
      <c r="H1614" s="2" t="n">
        <f aca="false">IF(D1614="",0,1/COUNTIF($D$2:$D$3451,D1614))</f>
        <v>0</v>
      </c>
      <c r="I1614" s="13" t="n">
        <f aca="false">IFERROR(INDEX('NCO-2015 scores'!$C$2:$C$131,MATCH(E1614,'NCO-2015 scores'!$A$2:$A$131,0)),0)</f>
        <v>0.245</v>
      </c>
      <c r="J1614" s="13" t="n">
        <f aca="false">IF(ISNUMBER(MATCH(E1614,'NCO-2015 scores'!$A$2:$A$131,0)),IF(ISNUMBER(INDEX('NCO-2015 scores'!$C$2:$C$131,MATCH(E1614,'NCO-2015 scores'!$A$2:$A$131,0))),1,0),0)</f>
        <v>1</v>
      </c>
    </row>
    <row r="1615" customFormat="false" ht="15" hidden="false" customHeight="false" outlineLevel="0" collapsed="false">
      <c r="A1615" s="2" t="n">
        <v>1611</v>
      </c>
      <c r="B1615" s="2" t="s">
        <v>4905</v>
      </c>
      <c r="C1615" s="2" t="s">
        <v>4906</v>
      </c>
      <c r="D1615" s="2"/>
      <c r="E1615" s="2" t="str">
        <f aca="false">LEFT(C1615,3)</f>
        <v>742</v>
      </c>
      <c r="F1615" s="2" t="str">
        <f aca="false">IF(D1615="","",LEFT(D1615,3))</f>
        <v/>
      </c>
      <c r="G1615" s="2" t="str">
        <f aca="false">IF(F1615="","",IF(E1615=F1615,"Yes","No"))</f>
        <v/>
      </c>
      <c r="H1615" s="2" t="n">
        <f aca="false">IF(D1615="",0,1/COUNTIF($D$2:$D$3451,D1615))</f>
        <v>0</v>
      </c>
      <c r="I1615" s="13" t="n">
        <f aca="false">IFERROR(INDEX('NCO-2015 scores'!$C$2:$C$131,MATCH(E1615,'NCO-2015 scores'!$A$2:$A$131,0)),0)</f>
        <v>0.245</v>
      </c>
      <c r="J1615" s="13" t="n">
        <f aca="false">IF(ISNUMBER(MATCH(E1615,'NCO-2015 scores'!$A$2:$A$131,0)),IF(ISNUMBER(INDEX('NCO-2015 scores'!$C$2:$C$131,MATCH(E1615,'NCO-2015 scores'!$A$2:$A$131,0))),1,0),0)</f>
        <v>1</v>
      </c>
    </row>
    <row r="1616" customFormat="false" ht="15" hidden="false" customHeight="false" outlineLevel="0" collapsed="false">
      <c r="A1616" s="2" t="n">
        <v>1612</v>
      </c>
      <c r="B1616" s="2" t="s">
        <v>4907</v>
      </c>
      <c r="C1616" s="2" t="s">
        <v>4908</v>
      </c>
      <c r="D1616" s="2"/>
      <c r="E1616" s="2" t="str">
        <f aca="false">LEFT(C1616,3)</f>
        <v>742</v>
      </c>
      <c r="F1616" s="2" t="str">
        <f aca="false">IF(D1616="","",LEFT(D1616,3))</f>
        <v/>
      </c>
      <c r="G1616" s="2" t="str">
        <f aca="false">IF(F1616="","",IF(E1616=F1616,"Yes","No"))</f>
        <v/>
      </c>
      <c r="H1616" s="2" t="n">
        <f aca="false">IF(D1616="",0,1/COUNTIF($D$2:$D$3451,D1616))</f>
        <v>0</v>
      </c>
      <c r="I1616" s="13" t="n">
        <f aca="false">IFERROR(INDEX('NCO-2015 scores'!$C$2:$C$131,MATCH(E1616,'NCO-2015 scores'!$A$2:$A$131,0)),0)</f>
        <v>0.245</v>
      </c>
      <c r="J1616" s="13" t="n">
        <f aca="false">IF(ISNUMBER(MATCH(E1616,'NCO-2015 scores'!$A$2:$A$131,0)),IF(ISNUMBER(INDEX('NCO-2015 scores'!$C$2:$C$131,MATCH(E1616,'NCO-2015 scores'!$A$2:$A$131,0))),1,0),0)</f>
        <v>1</v>
      </c>
    </row>
    <row r="1617" customFormat="false" ht="15" hidden="false" customHeight="false" outlineLevel="0" collapsed="false">
      <c r="A1617" s="2" t="n">
        <v>1613</v>
      </c>
      <c r="B1617" s="2" t="s">
        <v>4909</v>
      </c>
      <c r="C1617" s="2" t="s">
        <v>4910</v>
      </c>
      <c r="D1617" s="2"/>
      <c r="E1617" s="2" t="str">
        <f aca="false">LEFT(C1617,3)</f>
        <v>742</v>
      </c>
      <c r="F1617" s="2" t="str">
        <f aca="false">IF(D1617="","",LEFT(D1617,3))</f>
        <v/>
      </c>
      <c r="G1617" s="2" t="str">
        <f aca="false">IF(F1617="","",IF(E1617=F1617,"Yes","No"))</f>
        <v/>
      </c>
      <c r="H1617" s="2" t="n">
        <f aca="false">IF(D1617="",0,1/COUNTIF($D$2:$D$3451,D1617))</f>
        <v>0</v>
      </c>
      <c r="I1617" s="13" t="n">
        <f aca="false">IFERROR(INDEX('NCO-2015 scores'!$C$2:$C$131,MATCH(E1617,'NCO-2015 scores'!$A$2:$A$131,0)),0)</f>
        <v>0.245</v>
      </c>
      <c r="J1617" s="13" t="n">
        <f aca="false">IF(ISNUMBER(MATCH(E1617,'NCO-2015 scores'!$A$2:$A$131,0)),IF(ISNUMBER(INDEX('NCO-2015 scores'!$C$2:$C$131,MATCH(E1617,'NCO-2015 scores'!$A$2:$A$131,0))),1,0),0)</f>
        <v>1</v>
      </c>
    </row>
    <row r="1618" customFormat="false" ht="15" hidden="false" customHeight="false" outlineLevel="0" collapsed="false">
      <c r="A1618" s="2" t="n">
        <v>1614</v>
      </c>
      <c r="B1618" s="2" t="s">
        <v>4911</v>
      </c>
      <c r="C1618" s="2" t="s">
        <v>4912</v>
      </c>
      <c r="D1618" s="2"/>
      <c r="E1618" s="2" t="str">
        <f aca="false">LEFT(C1618,3)</f>
        <v>742</v>
      </c>
      <c r="F1618" s="2" t="str">
        <f aca="false">IF(D1618="","",LEFT(D1618,3))</f>
        <v/>
      </c>
      <c r="G1618" s="2" t="str">
        <f aca="false">IF(F1618="","",IF(E1618=F1618,"Yes","No"))</f>
        <v/>
      </c>
      <c r="H1618" s="2" t="n">
        <f aca="false">IF(D1618="",0,1/COUNTIF($D$2:$D$3451,D1618))</f>
        <v>0</v>
      </c>
      <c r="I1618" s="13" t="n">
        <f aca="false">IFERROR(INDEX('NCO-2015 scores'!$C$2:$C$131,MATCH(E1618,'NCO-2015 scores'!$A$2:$A$131,0)),0)</f>
        <v>0.245</v>
      </c>
      <c r="J1618" s="13" t="n">
        <f aca="false">IF(ISNUMBER(MATCH(E1618,'NCO-2015 scores'!$A$2:$A$131,0)),IF(ISNUMBER(INDEX('NCO-2015 scores'!$C$2:$C$131,MATCH(E1618,'NCO-2015 scores'!$A$2:$A$131,0))),1,0),0)</f>
        <v>1</v>
      </c>
    </row>
    <row r="1619" customFormat="false" ht="15" hidden="false" customHeight="false" outlineLevel="0" collapsed="false">
      <c r="A1619" s="2" t="n">
        <v>1615</v>
      </c>
      <c r="B1619" s="2" t="s">
        <v>4913</v>
      </c>
      <c r="C1619" s="2" t="s">
        <v>4914</v>
      </c>
      <c r="D1619" s="2"/>
      <c r="E1619" s="2" t="str">
        <f aca="false">LEFT(C1619,3)</f>
        <v>742</v>
      </c>
      <c r="F1619" s="2" t="str">
        <f aca="false">IF(D1619="","",LEFT(D1619,3))</f>
        <v/>
      </c>
      <c r="G1619" s="2" t="str">
        <f aca="false">IF(F1619="","",IF(E1619=F1619,"Yes","No"))</f>
        <v/>
      </c>
      <c r="H1619" s="2" t="n">
        <f aca="false">IF(D1619="",0,1/COUNTIF($D$2:$D$3451,D1619))</f>
        <v>0</v>
      </c>
      <c r="I1619" s="13" t="n">
        <f aca="false">IFERROR(INDEX('NCO-2015 scores'!$C$2:$C$131,MATCH(E1619,'NCO-2015 scores'!$A$2:$A$131,0)),0)</f>
        <v>0.245</v>
      </c>
      <c r="J1619" s="13" t="n">
        <f aca="false">IF(ISNUMBER(MATCH(E1619,'NCO-2015 scores'!$A$2:$A$131,0)),IF(ISNUMBER(INDEX('NCO-2015 scores'!$C$2:$C$131,MATCH(E1619,'NCO-2015 scores'!$A$2:$A$131,0))),1,0),0)</f>
        <v>1</v>
      </c>
    </row>
    <row r="1620" customFormat="false" ht="15" hidden="false" customHeight="false" outlineLevel="0" collapsed="false">
      <c r="A1620" s="2" t="n">
        <v>1616</v>
      </c>
      <c r="B1620" s="2" t="s">
        <v>4915</v>
      </c>
      <c r="C1620" s="2" t="s">
        <v>4916</v>
      </c>
      <c r="D1620" s="2"/>
      <c r="E1620" s="2" t="str">
        <f aca="false">LEFT(C1620,3)</f>
        <v>742</v>
      </c>
      <c r="F1620" s="2" t="str">
        <f aca="false">IF(D1620="","",LEFT(D1620,3))</f>
        <v/>
      </c>
      <c r="G1620" s="2" t="str">
        <f aca="false">IF(F1620="","",IF(E1620=F1620,"Yes","No"))</f>
        <v/>
      </c>
      <c r="H1620" s="2" t="n">
        <f aca="false">IF(D1620="",0,1/COUNTIF($D$2:$D$3451,D1620))</f>
        <v>0</v>
      </c>
      <c r="I1620" s="13" t="n">
        <f aca="false">IFERROR(INDEX('NCO-2015 scores'!$C$2:$C$131,MATCH(E1620,'NCO-2015 scores'!$A$2:$A$131,0)),0)</f>
        <v>0.245</v>
      </c>
      <c r="J1620" s="13" t="n">
        <f aca="false">IF(ISNUMBER(MATCH(E1620,'NCO-2015 scores'!$A$2:$A$131,0)),IF(ISNUMBER(INDEX('NCO-2015 scores'!$C$2:$C$131,MATCH(E1620,'NCO-2015 scores'!$A$2:$A$131,0))),1,0),0)</f>
        <v>1</v>
      </c>
    </row>
    <row r="1621" customFormat="false" ht="15" hidden="false" customHeight="false" outlineLevel="0" collapsed="false">
      <c r="A1621" s="2" t="n">
        <v>1617</v>
      </c>
      <c r="B1621" s="2" t="s">
        <v>4917</v>
      </c>
      <c r="C1621" s="2" t="s">
        <v>4918</v>
      </c>
      <c r="D1621" s="2"/>
      <c r="E1621" s="2" t="str">
        <f aca="false">LEFT(C1621,3)</f>
        <v>243</v>
      </c>
      <c r="F1621" s="2" t="str">
        <f aca="false">IF(D1621="","",LEFT(D1621,3))</f>
        <v/>
      </c>
      <c r="G1621" s="2" t="str">
        <f aca="false">IF(F1621="","",IF(E1621=F1621,"Yes","No"))</f>
        <v/>
      </c>
      <c r="H1621" s="2" t="n">
        <f aca="false">IF(D1621="",0,1/COUNTIF($D$2:$D$3451,D1621))</f>
        <v>0</v>
      </c>
      <c r="I1621" s="13" t="n">
        <f aca="false">IFERROR(INDEX('NCO-2015 scores'!$C$2:$C$131,MATCH(E1621,'NCO-2015 scores'!$A$2:$A$131,0)),0)</f>
        <v>0.4975</v>
      </c>
      <c r="J1621" s="13" t="n">
        <f aca="false">IF(ISNUMBER(MATCH(E1621,'NCO-2015 scores'!$A$2:$A$131,0)),IF(ISNUMBER(INDEX('NCO-2015 scores'!$C$2:$C$131,MATCH(E1621,'NCO-2015 scores'!$A$2:$A$131,0))),1,0),0)</f>
        <v>1</v>
      </c>
    </row>
    <row r="1622" customFormat="false" ht="15" hidden="false" customHeight="false" outlineLevel="0" collapsed="false">
      <c r="A1622" s="2" t="n">
        <v>1618</v>
      </c>
      <c r="B1622" s="2" t="s">
        <v>4919</v>
      </c>
      <c r="C1622" s="2" t="s">
        <v>4920</v>
      </c>
      <c r="D1622" s="2"/>
      <c r="E1622" s="2" t="str">
        <f aca="false">LEFT(C1622,3)</f>
        <v>243</v>
      </c>
      <c r="F1622" s="2" t="str">
        <f aca="false">IF(D1622="","",LEFT(D1622,3))</f>
        <v/>
      </c>
      <c r="G1622" s="2" t="str">
        <f aca="false">IF(F1622="","",IF(E1622=F1622,"Yes","No"))</f>
        <v/>
      </c>
      <c r="H1622" s="2" t="n">
        <f aca="false">IF(D1622="",0,1/COUNTIF($D$2:$D$3451,D1622))</f>
        <v>0</v>
      </c>
      <c r="I1622" s="13" t="n">
        <f aca="false">IFERROR(INDEX('NCO-2015 scores'!$C$2:$C$131,MATCH(E1622,'NCO-2015 scores'!$A$2:$A$131,0)),0)</f>
        <v>0.4975</v>
      </c>
      <c r="J1622" s="13" t="n">
        <f aca="false">IF(ISNUMBER(MATCH(E1622,'NCO-2015 scores'!$A$2:$A$131,0)),IF(ISNUMBER(INDEX('NCO-2015 scores'!$C$2:$C$131,MATCH(E1622,'NCO-2015 scores'!$A$2:$A$131,0))),1,0),0)</f>
        <v>1</v>
      </c>
    </row>
    <row r="1623" customFormat="false" ht="15" hidden="false" customHeight="false" outlineLevel="0" collapsed="false">
      <c r="A1623" s="2" t="n">
        <v>1619</v>
      </c>
      <c r="B1623" s="2" t="s">
        <v>4921</v>
      </c>
      <c r="C1623" s="2" t="s">
        <v>4922</v>
      </c>
      <c r="D1623" s="2" t="s">
        <v>4923</v>
      </c>
      <c r="E1623" s="2" t="str">
        <f aca="false">LEFT(C1623,3)</f>
        <v>235</v>
      </c>
      <c r="F1623" s="2" t="str">
        <f aca="false">IF(D1623="","",LEFT(D1623,3))</f>
        <v>334</v>
      </c>
      <c r="G1623" s="2" t="str">
        <f aca="false">IF(F1623="","",IF(E1623=F1623,"Yes","No"))</f>
        <v>No</v>
      </c>
      <c r="H1623" s="2" t="n">
        <f aca="false">IF(D1623="",0,1/COUNTIF($D$2:$D$3451,D1623))</f>
        <v>1</v>
      </c>
      <c r="I1623" s="13" t="n">
        <f aca="false">IFERROR(INDEX('NCO-2015 scores'!$C$2:$C$131,MATCH(E1623,'NCO-2015 scores'!$A$2:$A$131,0)),0)</f>
        <v>0.3586</v>
      </c>
      <c r="J1623" s="13" t="n">
        <f aca="false">IF(ISNUMBER(MATCH(E1623,'NCO-2015 scores'!$A$2:$A$131,0)),IF(ISNUMBER(INDEX('NCO-2015 scores'!$C$2:$C$131,MATCH(E1623,'NCO-2015 scores'!$A$2:$A$131,0))),1,0),0)</f>
        <v>1</v>
      </c>
    </row>
    <row r="1624" customFormat="false" ht="15" hidden="false" customHeight="false" outlineLevel="0" collapsed="false">
      <c r="A1624" s="2" t="n">
        <v>1620</v>
      </c>
      <c r="B1624" s="2" t="s">
        <v>4924</v>
      </c>
      <c r="C1624" s="2" t="s">
        <v>4925</v>
      </c>
      <c r="D1624" s="2"/>
      <c r="E1624" s="2" t="str">
        <f aca="false">LEFT(C1624,3)</f>
        <v>235</v>
      </c>
      <c r="F1624" s="2" t="str">
        <f aca="false">IF(D1624="","",LEFT(D1624,3))</f>
        <v/>
      </c>
      <c r="G1624" s="2" t="str">
        <f aca="false">IF(F1624="","",IF(E1624=F1624,"Yes","No"))</f>
        <v/>
      </c>
      <c r="H1624" s="2" t="n">
        <f aca="false">IF(D1624="",0,1/COUNTIF($D$2:$D$3451,D1624))</f>
        <v>0</v>
      </c>
      <c r="I1624" s="13" t="n">
        <f aca="false">IFERROR(INDEX('NCO-2015 scores'!$C$2:$C$131,MATCH(E1624,'NCO-2015 scores'!$A$2:$A$131,0)),0)</f>
        <v>0.3586</v>
      </c>
      <c r="J1624" s="13" t="n">
        <f aca="false">IF(ISNUMBER(MATCH(E1624,'NCO-2015 scores'!$A$2:$A$131,0)),IF(ISNUMBER(INDEX('NCO-2015 scores'!$C$2:$C$131,MATCH(E1624,'NCO-2015 scores'!$A$2:$A$131,0))),1,0),0)</f>
        <v>1</v>
      </c>
    </row>
    <row r="1625" customFormat="false" ht="15" hidden="false" customHeight="false" outlineLevel="0" collapsed="false">
      <c r="A1625" s="2" t="n">
        <v>1621</v>
      </c>
      <c r="B1625" s="2" t="s">
        <v>4926</v>
      </c>
      <c r="C1625" s="2" t="s">
        <v>4927</v>
      </c>
      <c r="D1625" s="2" t="s">
        <v>4928</v>
      </c>
      <c r="E1625" s="2" t="str">
        <f aca="false">LEFT(C1625,3)</f>
        <v>235</v>
      </c>
      <c r="F1625" s="2" t="str">
        <f aca="false">IF(D1625="","",LEFT(D1625,3))</f>
        <v>334</v>
      </c>
      <c r="G1625" s="2" t="str">
        <f aca="false">IF(F1625="","",IF(E1625=F1625,"Yes","No"))</f>
        <v>No</v>
      </c>
      <c r="H1625" s="2" t="n">
        <f aca="false">IF(D1625="",0,1/COUNTIF($D$2:$D$3451,D1625))</f>
        <v>1</v>
      </c>
      <c r="I1625" s="13" t="n">
        <f aca="false">IFERROR(INDEX('NCO-2015 scores'!$C$2:$C$131,MATCH(E1625,'NCO-2015 scores'!$A$2:$A$131,0)),0)</f>
        <v>0.3586</v>
      </c>
      <c r="J1625" s="13" t="n">
        <f aca="false">IF(ISNUMBER(MATCH(E1625,'NCO-2015 scores'!$A$2:$A$131,0)),IF(ISNUMBER(INDEX('NCO-2015 scores'!$C$2:$C$131,MATCH(E1625,'NCO-2015 scores'!$A$2:$A$131,0))),1,0),0)</f>
        <v>1</v>
      </c>
    </row>
    <row r="1626" customFormat="false" ht="15" hidden="false" customHeight="false" outlineLevel="0" collapsed="false">
      <c r="A1626" s="2" t="n">
        <v>1622</v>
      </c>
      <c r="B1626" s="2" t="s">
        <v>4929</v>
      </c>
      <c r="C1626" s="2" t="s">
        <v>4930</v>
      </c>
      <c r="D1626" s="2" t="s">
        <v>4931</v>
      </c>
      <c r="E1626" s="2" t="str">
        <f aca="false">LEFT(C1626,3)</f>
        <v>622</v>
      </c>
      <c r="F1626" s="2" t="str">
        <f aca="false">IF(D1626="","",LEFT(D1626,3))</f>
        <v>615</v>
      </c>
      <c r="G1626" s="2" t="str">
        <f aca="false">IF(F1626="","",IF(E1626=F1626,"Yes","No"))</f>
        <v>No</v>
      </c>
      <c r="H1626" s="2" t="n">
        <f aca="false">IF(D1626="",0,1/COUNTIF($D$2:$D$3451,D1626))</f>
        <v>1</v>
      </c>
      <c r="I1626" s="13" t="n">
        <f aca="false">IFERROR(INDEX('NCO-2015 scores'!$C$2:$C$131,MATCH(E1626,'NCO-2015 scores'!$A$2:$A$131,0)),0)</f>
        <v>0.165</v>
      </c>
      <c r="J1626" s="13" t="n">
        <f aca="false">IF(ISNUMBER(MATCH(E1626,'NCO-2015 scores'!$A$2:$A$131,0)),IF(ISNUMBER(INDEX('NCO-2015 scores'!$C$2:$C$131,MATCH(E1626,'NCO-2015 scores'!$A$2:$A$131,0))),1,0),0)</f>
        <v>1</v>
      </c>
    </row>
    <row r="1627" customFormat="false" ht="15" hidden="false" customHeight="false" outlineLevel="0" collapsed="false">
      <c r="A1627" s="2" t="n">
        <v>1623</v>
      </c>
      <c r="B1627" s="2" t="s">
        <v>4932</v>
      </c>
      <c r="C1627" s="2" t="s">
        <v>4933</v>
      </c>
      <c r="D1627" s="2" t="s">
        <v>4934</v>
      </c>
      <c r="E1627" s="2" t="str">
        <f aca="false">LEFT(C1627,3)</f>
        <v>622</v>
      </c>
      <c r="F1627" s="2" t="str">
        <f aca="false">IF(D1627="","",LEFT(D1627,3))</f>
        <v>615</v>
      </c>
      <c r="G1627" s="2" t="str">
        <f aca="false">IF(F1627="","",IF(E1627=F1627,"Yes","No"))</f>
        <v>No</v>
      </c>
      <c r="H1627" s="2" t="n">
        <f aca="false">IF(D1627="",0,1/COUNTIF($D$2:$D$3451,D1627))</f>
        <v>1</v>
      </c>
      <c r="I1627" s="13" t="n">
        <f aca="false">IFERROR(INDEX('NCO-2015 scores'!$C$2:$C$131,MATCH(E1627,'NCO-2015 scores'!$A$2:$A$131,0)),0)</f>
        <v>0.165</v>
      </c>
      <c r="J1627" s="13" t="n">
        <f aca="false">IF(ISNUMBER(MATCH(E1627,'NCO-2015 scores'!$A$2:$A$131,0)),IF(ISNUMBER(INDEX('NCO-2015 scores'!$C$2:$C$131,MATCH(E1627,'NCO-2015 scores'!$A$2:$A$131,0))),1,0),0)</f>
        <v>1</v>
      </c>
    </row>
    <row r="1628" customFormat="false" ht="15" hidden="false" customHeight="false" outlineLevel="0" collapsed="false">
      <c r="A1628" s="2" t="n">
        <v>1624</v>
      </c>
      <c r="B1628" s="2" t="s">
        <v>4935</v>
      </c>
      <c r="C1628" s="2" t="s">
        <v>4936</v>
      </c>
      <c r="D1628" s="2" t="s">
        <v>4937</v>
      </c>
      <c r="E1628" s="2" t="str">
        <f aca="false">LEFT(C1628,3)</f>
        <v>622</v>
      </c>
      <c r="F1628" s="2" t="str">
        <f aca="false">IF(D1628="","",LEFT(D1628,3))</f>
        <v>615</v>
      </c>
      <c r="G1628" s="2" t="str">
        <f aca="false">IF(F1628="","",IF(E1628=F1628,"Yes","No"))</f>
        <v>No</v>
      </c>
      <c r="H1628" s="2" t="n">
        <f aca="false">IF(D1628="",0,1/COUNTIF($D$2:$D$3451,D1628))</f>
        <v>1</v>
      </c>
      <c r="I1628" s="13" t="n">
        <f aca="false">IFERROR(INDEX('NCO-2015 scores'!$C$2:$C$131,MATCH(E1628,'NCO-2015 scores'!$A$2:$A$131,0)),0)</f>
        <v>0.165</v>
      </c>
      <c r="J1628" s="13" t="n">
        <f aca="false">IF(ISNUMBER(MATCH(E1628,'NCO-2015 scores'!$A$2:$A$131,0)),IF(ISNUMBER(INDEX('NCO-2015 scores'!$C$2:$C$131,MATCH(E1628,'NCO-2015 scores'!$A$2:$A$131,0))),1,0),0)</f>
        <v>1</v>
      </c>
    </row>
    <row r="1629" customFormat="false" ht="15" hidden="false" customHeight="false" outlineLevel="0" collapsed="false">
      <c r="A1629" s="2" t="n">
        <v>1625</v>
      </c>
      <c r="B1629" s="2" t="s">
        <v>4938</v>
      </c>
      <c r="C1629" s="2" t="s">
        <v>4939</v>
      </c>
      <c r="D1629" s="2" t="s">
        <v>4940</v>
      </c>
      <c r="E1629" s="2" t="str">
        <f aca="false">LEFT(C1629,3)</f>
        <v>422</v>
      </c>
      <c r="F1629" s="2" t="str">
        <f aca="false">IF(D1629="","",LEFT(D1629,3))</f>
        <v>422</v>
      </c>
      <c r="G1629" s="2" t="str">
        <f aca="false">IF(F1629="","",IF(E1629=F1629,"Yes","No"))</f>
        <v>Yes</v>
      </c>
      <c r="H1629" s="2" t="n">
        <f aca="false">IF(D1629="",0,1/COUNTIF($D$2:$D$3451,D1629))</f>
        <v>1</v>
      </c>
      <c r="I1629" s="13" t="n">
        <f aca="false">IFERROR(INDEX('NCO-2015 scores'!$C$2:$C$131,MATCH(E1629,'NCO-2015 scores'!$A$2:$A$131,0)),0)</f>
        <v>0.5375</v>
      </c>
      <c r="J1629" s="13" t="n">
        <f aca="false">IF(ISNUMBER(MATCH(E1629,'NCO-2015 scores'!$A$2:$A$131,0)),IF(ISNUMBER(INDEX('NCO-2015 scores'!$C$2:$C$131,MATCH(E1629,'NCO-2015 scores'!$A$2:$A$131,0))),1,0),0)</f>
        <v>1</v>
      </c>
    </row>
    <row r="1630" customFormat="false" ht="15" hidden="false" customHeight="false" outlineLevel="0" collapsed="false">
      <c r="A1630" s="2" t="n">
        <v>1626</v>
      </c>
      <c r="B1630" s="2" t="s">
        <v>4941</v>
      </c>
      <c r="C1630" s="2" t="s">
        <v>4942</v>
      </c>
      <c r="D1630" s="2" t="s">
        <v>4943</v>
      </c>
      <c r="E1630" s="2" t="str">
        <f aca="false">LEFT(C1630,3)</f>
        <v>422</v>
      </c>
      <c r="F1630" s="2" t="str">
        <f aca="false">IF(D1630="","",LEFT(D1630,3))</f>
        <v>422</v>
      </c>
      <c r="G1630" s="2" t="str">
        <f aca="false">IF(F1630="","",IF(E1630=F1630,"Yes","No"))</f>
        <v>Yes</v>
      </c>
      <c r="H1630" s="2" t="n">
        <f aca="false">IF(D1630="",0,1/COUNTIF($D$2:$D$3451,D1630))</f>
        <v>1</v>
      </c>
      <c r="I1630" s="13" t="n">
        <f aca="false">IFERROR(INDEX('NCO-2015 scores'!$C$2:$C$131,MATCH(E1630,'NCO-2015 scores'!$A$2:$A$131,0)),0)</f>
        <v>0.5375</v>
      </c>
      <c r="J1630" s="13" t="n">
        <f aca="false">IF(ISNUMBER(MATCH(E1630,'NCO-2015 scores'!$A$2:$A$131,0)),IF(ISNUMBER(INDEX('NCO-2015 scores'!$C$2:$C$131,MATCH(E1630,'NCO-2015 scores'!$A$2:$A$131,0))),1,0),0)</f>
        <v>1</v>
      </c>
    </row>
    <row r="1631" customFormat="false" ht="15" hidden="false" customHeight="false" outlineLevel="0" collapsed="false">
      <c r="A1631" s="2" t="n">
        <v>1627</v>
      </c>
      <c r="B1631" s="2" t="s">
        <v>4944</v>
      </c>
      <c r="C1631" s="2" t="s">
        <v>4945</v>
      </c>
      <c r="D1631" s="2" t="s">
        <v>4946</v>
      </c>
      <c r="E1631" s="2" t="str">
        <f aca="false">LEFT(C1631,3)</f>
        <v>712</v>
      </c>
      <c r="F1631" s="2" t="str">
        <f aca="false">IF(D1631="","",LEFT(D1631,3))</f>
        <v>713</v>
      </c>
      <c r="G1631" s="2" t="str">
        <f aca="false">IF(F1631="","",IF(E1631=F1631,"Yes","No"))</f>
        <v>No</v>
      </c>
      <c r="H1631" s="2" t="n">
        <f aca="false">IF(D1631="",0,1/COUNTIF($D$2:$D$3451,D1631))</f>
        <v>1</v>
      </c>
      <c r="I1631" s="13" t="n">
        <f aca="false">IFERROR(INDEX('NCO-2015 scores'!$C$2:$C$131,MATCH(E1631,'NCO-2015 scores'!$A$2:$A$131,0)),0)</f>
        <v>0.1429</v>
      </c>
      <c r="J1631" s="13" t="n">
        <f aca="false">IF(ISNUMBER(MATCH(E1631,'NCO-2015 scores'!$A$2:$A$131,0)),IF(ISNUMBER(INDEX('NCO-2015 scores'!$C$2:$C$131,MATCH(E1631,'NCO-2015 scores'!$A$2:$A$131,0))),1,0),0)</f>
        <v>1</v>
      </c>
    </row>
    <row r="1632" customFormat="false" ht="15" hidden="false" customHeight="false" outlineLevel="0" collapsed="false">
      <c r="A1632" s="2" t="n">
        <v>1628</v>
      </c>
      <c r="B1632" s="2" t="s">
        <v>4947</v>
      </c>
      <c r="C1632" s="2" t="s">
        <v>4948</v>
      </c>
      <c r="D1632" s="2" t="s">
        <v>4949</v>
      </c>
      <c r="E1632" s="2" t="str">
        <f aca="false">LEFT(C1632,3)</f>
        <v>712</v>
      </c>
      <c r="F1632" s="2" t="str">
        <f aca="false">IF(D1632="","",LEFT(D1632,3))</f>
        <v>713</v>
      </c>
      <c r="G1632" s="2" t="str">
        <f aca="false">IF(F1632="","",IF(E1632=F1632,"Yes","No"))</f>
        <v>No</v>
      </c>
      <c r="H1632" s="2" t="n">
        <f aca="false">IF(D1632="",0,1/COUNTIF($D$2:$D$3451,D1632))</f>
        <v>1</v>
      </c>
      <c r="I1632" s="13" t="n">
        <f aca="false">IFERROR(INDEX('NCO-2015 scores'!$C$2:$C$131,MATCH(E1632,'NCO-2015 scores'!$A$2:$A$131,0)),0)</f>
        <v>0.1429</v>
      </c>
      <c r="J1632" s="13" t="n">
        <f aca="false">IF(ISNUMBER(MATCH(E1632,'NCO-2015 scores'!$A$2:$A$131,0)),IF(ISNUMBER(INDEX('NCO-2015 scores'!$C$2:$C$131,MATCH(E1632,'NCO-2015 scores'!$A$2:$A$131,0))),1,0),0)</f>
        <v>1</v>
      </c>
    </row>
    <row r="1633" customFormat="false" ht="15" hidden="false" customHeight="false" outlineLevel="0" collapsed="false">
      <c r="A1633" s="2" t="n">
        <v>1629</v>
      </c>
      <c r="B1633" s="2" t="s">
        <v>4950</v>
      </c>
      <c r="C1633" s="2" t="s">
        <v>4951</v>
      </c>
      <c r="D1633" s="2" t="s">
        <v>4952</v>
      </c>
      <c r="E1633" s="2" t="str">
        <f aca="false">LEFT(C1633,3)</f>
        <v>712</v>
      </c>
      <c r="F1633" s="2" t="str">
        <f aca="false">IF(D1633="","",LEFT(D1633,3))</f>
        <v>713</v>
      </c>
      <c r="G1633" s="2" t="str">
        <f aca="false">IF(F1633="","",IF(E1633=F1633,"Yes","No"))</f>
        <v>No</v>
      </c>
      <c r="H1633" s="2" t="n">
        <f aca="false">IF(D1633="",0,1/COUNTIF($D$2:$D$3451,D1633))</f>
        <v>1</v>
      </c>
      <c r="I1633" s="13" t="n">
        <f aca="false">IFERROR(INDEX('NCO-2015 scores'!$C$2:$C$131,MATCH(E1633,'NCO-2015 scores'!$A$2:$A$131,0)),0)</f>
        <v>0.1429</v>
      </c>
      <c r="J1633" s="13" t="n">
        <f aca="false">IF(ISNUMBER(MATCH(E1633,'NCO-2015 scores'!$A$2:$A$131,0)),IF(ISNUMBER(INDEX('NCO-2015 scores'!$C$2:$C$131,MATCH(E1633,'NCO-2015 scores'!$A$2:$A$131,0))),1,0),0)</f>
        <v>1</v>
      </c>
    </row>
    <row r="1634" customFormat="false" ht="15" hidden="false" customHeight="false" outlineLevel="0" collapsed="false">
      <c r="A1634" s="2" t="n">
        <v>1630</v>
      </c>
      <c r="B1634" s="2" t="s">
        <v>4953</v>
      </c>
      <c r="C1634" s="2" t="s">
        <v>4954</v>
      </c>
      <c r="D1634" s="2" t="s">
        <v>4955</v>
      </c>
      <c r="E1634" s="2" t="str">
        <f aca="false">LEFT(C1634,3)</f>
        <v>712</v>
      </c>
      <c r="F1634" s="2" t="str">
        <f aca="false">IF(D1634="","",LEFT(D1634,3))</f>
        <v>713</v>
      </c>
      <c r="G1634" s="2" t="str">
        <f aca="false">IF(F1634="","",IF(E1634=F1634,"Yes","No"))</f>
        <v>No</v>
      </c>
      <c r="H1634" s="2" t="n">
        <f aca="false">IF(D1634="",0,1/COUNTIF($D$2:$D$3451,D1634))</f>
        <v>1</v>
      </c>
      <c r="I1634" s="13" t="n">
        <f aca="false">IFERROR(INDEX('NCO-2015 scores'!$C$2:$C$131,MATCH(E1634,'NCO-2015 scores'!$A$2:$A$131,0)),0)</f>
        <v>0.1429</v>
      </c>
      <c r="J1634" s="13" t="n">
        <f aca="false">IF(ISNUMBER(MATCH(E1634,'NCO-2015 scores'!$A$2:$A$131,0)),IF(ISNUMBER(INDEX('NCO-2015 scores'!$C$2:$C$131,MATCH(E1634,'NCO-2015 scores'!$A$2:$A$131,0))),1,0),0)</f>
        <v>1</v>
      </c>
    </row>
    <row r="1635" customFormat="false" ht="15" hidden="false" customHeight="false" outlineLevel="0" collapsed="false">
      <c r="A1635" s="2" t="n">
        <v>1631</v>
      </c>
      <c r="B1635" s="2" t="s">
        <v>4956</v>
      </c>
      <c r="C1635" s="2" t="s">
        <v>4957</v>
      </c>
      <c r="D1635" s="2" t="s">
        <v>4958</v>
      </c>
      <c r="E1635" s="2" t="str">
        <f aca="false">LEFT(C1635,3)</f>
        <v>712</v>
      </c>
      <c r="F1635" s="2" t="str">
        <f aca="false">IF(D1635="","",LEFT(D1635,3))</f>
        <v>713</v>
      </c>
      <c r="G1635" s="2" t="str">
        <f aca="false">IF(F1635="","",IF(E1635=F1635,"Yes","No"))</f>
        <v>No</v>
      </c>
      <c r="H1635" s="2" t="n">
        <f aca="false">IF(D1635="",0,1/COUNTIF($D$2:$D$3451,D1635))</f>
        <v>1</v>
      </c>
      <c r="I1635" s="13" t="n">
        <f aca="false">IFERROR(INDEX('NCO-2015 scores'!$C$2:$C$131,MATCH(E1635,'NCO-2015 scores'!$A$2:$A$131,0)),0)</f>
        <v>0.1429</v>
      </c>
      <c r="J1635" s="13" t="n">
        <f aca="false">IF(ISNUMBER(MATCH(E1635,'NCO-2015 scores'!$A$2:$A$131,0)),IF(ISNUMBER(INDEX('NCO-2015 scores'!$C$2:$C$131,MATCH(E1635,'NCO-2015 scores'!$A$2:$A$131,0))),1,0),0)</f>
        <v>1</v>
      </c>
    </row>
    <row r="1636" customFormat="false" ht="15" hidden="false" customHeight="false" outlineLevel="0" collapsed="false">
      <c r="A1636" s="2" t="n">
        <v>1632</v>
      </c>
      <c r="B1636" s="2" t="s">
        <v>4959</v>
      </c>
      <c r="C1636" s="2" t="s">
        <v>4960</v>
      </c>
      <c r="D1636" s="2" t="s">
        <v>4961</v>
      </c>
      <c r="E1636" s="2" t="str">
        <f aca="false">LEFT(C1636,3)</f>
        <v>332</v>
      </c>
      <c r="F1636" s="2" t="str">
        <f aca="false">IF(D1636="","",LEFT(D1636,3))</f>
        <v>341</v>
      </c>
      <c r="G1636" s="2" t="str">
        <f aca="false">IF(F1636="","",IF(E1636=F1636,"Yes","No"))</f>
        <v>No</v>
      </c>
      <c r="H1636" s="2" t="n">
        <f aca="false">IF(D1636="",0,1/COUNTIF($D$2:$D$3451,D1636))</f>
        <v>1</v>
      </c>
      <c r="I1636" s="13" t="n">
        <f aca="false">IFERROR(INDEX('NCO-2015 scores'!$C$2:$C$131,MATCH(E1636,'NCO-2015 scores'!$A$2:$A$131,0)),0)</f>
        <v>0.4625</v>
      </c>
      <c r="J1636" s="13" t="n">
        <f aca="false">IF(ISNUMBER(MATCH(E1636,'NCO-2015 scores'!$A$2:$A$131,0)),IF(ISNUMBER(INDEX('NCO-2015 scores'!$C$2:$C$131,MATCH(E1636,'NCO-2015 scores'!$A$2:$A$131,0))),1,0),0)</f>
        <v>1</v>
      </c>
    </row>
    <row r="1637" customFormat="false" ht="15" hidden="false" customHeight="false" outlineLevel="0" collapsed="false">
      <c r="A1637" s="2" t="n">
        <v>1633</v>
      </c>
      <c r="B1637" s="2" t="s">
        <v>4962</v>
      </c>
      <c r="C1637" s="2" t="s">
        <v>4963</v>
      </c>
      <c r="D1637" s="2"/>
      <c r="E1637" s="2" t="str">
        <f aca="false">LEFT(C1637,3)</f>
        <v>332</v>
      </c>
      <c r="F1637" s="2" t="str">
        <f aca="false">IF(D1637="","",LEFT(D1637,3))</f>
        <v/>
      </c>
      <c r="G1637" s="2" t="str">
        <f aca="false">IF(F1637="","",IF(E1637=F1637,"Yes","No"))</f>
        <v/>
      </c>
      <c r="H1637" s="2" t="n">
        <f aca="false">IF(D1637="",0,1/COUNTIF($D$2:$D$3451,D1637))</f>
        <v>0</v>
      </c>
      <c r="I1637" s="13" t="n">
        <f aca="false">IFERROR(INDEX('NCO-2015 scores'!$C$2:$C$131,MATCH(E1637,'NCO-2015 scores'!$A$2:$A$131,0)),0)</f>
        <v>0.4625</v>
      </c>
      <c r="J1637" s="13" t="n">
        <f aca="false">IF(ISNUMBER(MATCH(E1637,'NCO-2015 scores'!$A$2:$A$131,0)),IF(ISNUMBER(INDEX('NCO-2015 scores'!$C$2:$C$131,MATCH(E1637,'NCO-2015 scores'!$A$2:$A$131,0))),1,0),0)</f>
        <v>1</v>
      </c>
    </row>
    <row r="1638" customFormat="false" ht="15" hidden="false" customHeight="false" outlineLevel="0" collapsed="false">
      <c r="A1638" s="2" t="n">
        <v>1634</v>
      </c>
      <c r="B1638" s="2" t="s">
        <v>4964</v>
      </c>
      <c r="C1638" s="2" t="s">
        <v>4965</v>
      </c>
      <c r="D1638" s="2"/>
      <c r="E1638" s="2" t="str">
        <f aca="false">LEFT(C1638,3)</f>
        <v>332</v>
      </c>
      <c r="F1638" s="2" t="str">
        <f aca="false">IF(D1638="","",LEFT(D1638,3))</f>
        <v/>
      </c>
      <c r="G1638" s="2" t="str">
        <f aca="false">IF(F1638="","",IF(E1638=F1638,"Yes","No"))</f>
        <v/>
      </c>
      <c r="H1638" s="2" t="n">
        <f aca="false">IF(D1638="",0,1/COUNTIF($D$2:$D$3451,D1638))</f>
        <v>0</v>
      </c>
      <c r="I1638" s="13" t="n">
        <f aca="false">IFERROR(INDEX('NCO-2015 scores'!$C$2:$C$131,MATCH(E1638,'NCO-2015 scores'!$A$2:$A$131,0)),0)</f>
        <v>0.4625</v>
      </c>
      <c r="J1638" s="13" t="n">
        <f aca="false">IF(ISNUMBER(MATCH(E1638,'NCO-2015 scores'!$A$2:$A$131,0)),IF(ISNUMBER(INDEX('NCO-2015 scores'!$C$2:$C$131,MATCH(E1638,'NCO-2015 scores'!$A$2:$A$131,0))),1,0),0)</f>
        <v>1</v>
      </c>
    </row>
    <row r="1639" customFormat="false" ht="15" hidden="false" customHeight="false" outlineLevel="0" collapsed="false">
      <c r="A1639" s="2" t="n">
        <v>1635</v>
      </c>
      <c r="B1639" s="2" t="s">
        <v>4966</v>
      </c>
      <c r="C1639" s="2" t="s">
        <v>4967</v>
      </c>
      <c r="D1639" s="2" t="s">
        <v>4968</v>
      </c>
      <c r="E1639" s="2" t="str">
        <f aca="false">LEFT(C1639,3)</f>
        <v>332</v>
      </c>
      <c r="F1639" s="2" t="str">
        <f aca="false">IF(D1639="","",LEFT(D1639,3))</f>
        <v>341</v>
      </c>
      <c r="G1639" s="2" t="str">
        <f aca="false">IF(F1639="","",IF(E1639=F1639,"Yes","No"))</f>
        <v>No</v>
      </c>
      <c r="H1639" s="2" t="n">
        <f aca="false">IF(D1639="",0,1/COUNTIF($D$2:$D$3451,D1639))</f>
        <v>1</v>
      </c>
      <c r="I1639" s="13" t="n">
        <f aca="false">IFERROR(INDEX('NCO-2015 scores'!$C$2:$C$131,MATCH(E1639,'NCO-2015 scores'!$A$2:$A$131,0)),0)</f>
        <v>0.4625</v>
      </c>
      <c r="J1639" s="13" t="n">
        <f aca="false">IF(ISNUMBER(MATCH(E1639,'NCO-2015 scores'!$A$2:$A$131,0)),IF(ISNUMBER(INDEX('NCO-2015 scores'!$C$2:$C$131,MATCH(E1639,'NCO-2015 scores'!$A$2:$A$131,0))),1,0),0)</f>
        <v>1</v>
      </c>
    </row>
    <row r="1640" customFormat="false" ht="15" hidden="false" customHeight="false" outlineLevel="0" collapsed="false">
      <c r="A1640" s="2" t="n">
        <v>1636</v>
      </c>
      <c r="B1640" s="2" t="s">
        <v>4969</v>
      </c>
      <c r="C1640" s="2" t="s">
        <v>4970</v>
      </c>
      <c r="D1640" s="2"/>
      <c r="E1640" s="2" t="str">
        <f aca="false">LEFT(C1640,3)</f>
        <v>332</v>
      </c>
      <c r="F1640" s="2" t="str">
        <f aca="false">IF(D1640="","",LEFT(D1640,3))</f>
        <v/>
      </c>
      <c r="G1640" s="2" t="str">
        <f aca="false">IF(F1640="","",IF(E1640=F1640,"Yes","No"))</f>
        <v/>
      </c>
      <c r="H1640" s="2" t="n">
        <f aca="false">IF(D1640="",0,1/COUNTIF($D$2:$D$3451,D1640))</f>
        <v>0</v>
      </c>
      <c r="I1640" s="13" t="n">
        <f aca="false">IFERROR(INDEX('NCO-2015 scores'!$C$2:$C$131,MATCH(E1640,'NCO-2015 scores'!$A$2:$A$131,0)),0)</f>
        <v>0.4625</v>
      </c>
      <c r="J1640" s="13" t="n">
        <f aca="false">IF(ISNUMBER(MATCH(E1640,'NCO-2015 scores'!$A$2:$A$131,0)),IF(ISNUMBER(INDEX('NCO-2015 scores'!$C$2:$C$131,MATCH(E1640,'NCO-2015 scores'!$A$2:$A$131,0))),1,0),0)</f>
        <v>1</v>
      </c>
    </row>
    <row r="1641" customFormat="false" ht="15" hidden="false" customHeight="false" outlineLevel="0" collapsed="false">
      <c r="A1641" s="2" t="n">
        <v>1637</v>
      </c>
      <c r="B1641" s="2" t="s">
        <v>4971</v>
      </c>
      <c r="C1641" s="2" t="s">
        <v>4972</v>
      </c>
      <c r="D1641" s="2" t="s">
        <v>4973</v>
      </c>
      <c r="E1641" s="2" t="str">
        <f aca="false">LEFT(C1641,3)</f>
        <v>332</v>
      </c>
      <c r="F1641" s="2" t="str">
        <f aca="false">IF(D1641="","",LEFT(D1641,3))</f>
        <v>341</v>
      </c>
      <c r="G1641" s="2" t="str">
        <f aca="false">IF(F1641="","",IF(E1641=F1641,"Yes","No"))</f>
        <v>No</v>
      </c>
      <c r="H1641" s="2" t="n">
        <f aca="false">IF(D1641="",0,1/COUNTIF($D$2:$D$3451,D1641))</f>
        <v>1</v>
      </c>
      <c r="I1641" s="13" t="n">
        <f aca="false">IFERROR(INDEX('NCO-2015 scores'!$C$2:$C$131,MATCH(E1641,'NCO-2015 scores'!$A$2:$A$131,0)),0)</f>
        <v>0.4625</v>
      </c>
      <c r="J1641" s="13" t="n">
        <f aca="false">IF(ISNUMBER(MATCH(E1641,'NCO-2015 scores'!$A$2:$A$131,0)),IF(ISNUMBER(INDEX('NCO-2015 scores'!$C$2:$C$131,MATCH(E1641,'NCO-2015 scores'!$A$2:$A$131,0))),1,0),0)</f>
        <v>1</v>
      </c>
    </row>
    <row r="1642" customFormat="false" ht="15" hidden="false" customHeight="false" outlineLevel="0" collapsed="false">
      <c r="A1642" s="2" t="n">
        <v>1638</v>
      </c>
      <c r="B1642" s="2" t="s">
        <v>4974</v>
      </c>
      <c r="C1642" s="2" t="s">
        <v>4975</v>
      </c>
      <c r="D1642" s="2" t="s">
        <v>4976</v>
      </c>
      <c r="E1642" s="2" t="str">
        <f aca="false">LEFT(C1642,3)</f>
        <v>343</v>
      </c>
      <c r="F1642" s="2" t="str">
        <f aca="false">IF(D1642="","",LEFT(D1642,3))</f>
        <v>347</v>
      </c>
      <c r="G1642" s="2" t="str">
        <f aca="false">IF(F1642="","",IF(E1642=F1642,"Yes","No"))</f>
        <v>No</v>
      </c>
      <c r="H1642" s="2" t="n">
        <f aca="false">IF(D1642="",0,1/COUNTIF($D$2:$D$3451,D1642))</f>
        <v>1</v>
      </c>
      <c r="I1642" s="13" t="n">
        <f aca="false">IFERROR(INDEX('NCO-2015 scores'!$C$2:$C$131,MATCH(E1642,'NCO-2015 scores'!$A$2:$A$131,0)),0)</f>
        <v>0.345</v>
      </c>
      <c r="J1642" s="13" t="n">
        <f aca="false">IF(ISNUMBER(MATCH(E1642,'NCO-2015 scores'!$A$2:$A$131,0)),IF(ISNUMBER(INDEX('NCO-2015 scores'!$C$2:$C$131,MATCH(E1642,'NCO-2015 scores'!$A$2:$A$131,0))),1,0),0)</f>
        <v>1</v>
      </c>
    </row>
    <row r="1643" customFormat="false" ht="15" hidden="false" customHeight="false" outlineLevel="0" collapsed="false">
      <c r="A1643" s="2" t="n">
        <v>1639</v>
      </c>
      <c r="B1643" s="2" t="s">
        <v>4977</v>
      </c>
      <c r="C1643" s="2" t="s">
        <v>4978</v>
      </c>
      <c r="D1643" s="2"/>
      <c r="E1643" s="2" t="str">
        <f aca="false">LEFT(C1643,3)</f>
        <v>343</v>
      </c>
      <c r="F1643" s="2" t="str">
        <f aca="false">IF(D1643="","",LEFT(D1643,3))</f>
        <v/>
      </c>
      <c r="G1643" s="2" t="str">
        <f aca="false">IF(F1643="","",IF(E1643=F1643,"Yes","No"))</f>
        <v/>
      </c>
      <c r="H1643" s="2" t="n">
        <f aca="false">IF(D1643="",0,1/COUNTIF($D$2:$D$3451,D1643))</f>
        <v>0</v>
      </c>
      <c r="I1643" s="13" t="n">
        <f aca="false">IFERROR(INDEX('NCO-2015 scores'!$C$2:$C$131,MATCH(E1643,'NCO-2015 scores'!$A$2:$A$131,0)),0)</f>
        <v>0.345</v>
      </c>
      <c r="J1643" s="13" t="n">
        <f aca="false">IF(ISNUMBER(MATCH(E1643,'NCO-2015 scores'!$A$2:$A$131,0)),IF(ISNUMBER(INDEX('NCO-2015 scores'!$C$2:$C$131,MATCH(E1643,'NCO-2015 scores'!$A$2:$A$131,0))),1,0),0)</f>
        <v>1</v>
      </c>
    </row>
    <row r="1644" customFormat="false" ht="15" hidden="false" customHeight="false" outlineLevel="0" collapsed="false">
      <c r="A1644" s="2" t="n">
        <v>1640</v>
      </c>
      <c r="B1644" s="2" t="s">
        <v>4979</v>
      </c>
      <c r="C1644" s="2" t="s">
        <v>4980</v>
      </c>
      <c r="D1644" s="2" t="s">
        <v>4981</v>
      </c>
      <c r="E1644" s="2" t="str">
        <f aca="false">LEFT(C1644,3)</f>
        <v>343</v>
      </c>
      <c r="F1644" s="2" t="str">
        <f aca="false">IF(D1644="","",LEFT(D1644,3))</f>
        <v>347</v>
      </c>
      <c r="G1644" s="2" t="str">
        <f aca="false">IF(F1644="","",IF(E1644=F1644,"Yes","No"))</f>
        <v>No</v>
      </c>
      <c r="H1644" s="2" t="n">
        <f aca="false">IF(D1644="",0,1/COUNTIF($D$2:$D$3451,D1644))</f>
        <v>1</v>
      </c>
      <c r="I1644" s="13" t="n">
        <f aca="false">IFERROR(INDEX('NCO-2015 scores'!$C$2:$C$131,MATCH(E1644,'NCO-2015 scores'!$A$2:$A$131,0)),0)</f>
        <v>0.345</v>
      </c>
      <c r="J1644" s="13" t="n">
        <f aca="false">IF(ISNUMBER(MATCH(E1644,'NCO-2015 scores'!$A$2:$A$131,0)),IF(ISNUMBER(INDEX('NCO-2015 scores'!$C$2:$C$131,MATCH(E1644,'NCO-2015 scores'!$A$2:$A$131,0))),1,0),0)</f>
        <v>1</v>
      </c>
    </row>
    <row r="1645" customFormat="false" ht="15" hidden="false" customHeight="false" outlineLevel="0" collapsed="false">
      <c r="A1645" s="2" t="n">
        <v>1641</v>
      </c>
      <c r="B1645" s="2" t="s">
        <v>4982</v>
      </c>
      <c r="C1645" s="2" t="s">
        <v>4983</v>
      </c>
      <c r="D1645" s="2" t="s">
        <v>4984</v>
      </c>
      <c r="E1645" s="2" t="str">
        <f aca="false">LEFT(C1645,3)</f>
        <v>343</v>
      </c>
      <c r="F1645" s="2" t="str">
        <f aca="false">IF(D1645="","",LEFT(D1645,3))</f>
        <v>347</v>
      </c>
      <c r="G1645" s="2" t="str">
        <f aca="false">IF(F1645="","",IF(E1645=F1645,"Yes","No"))</f>
        <v>No</v>
      </c>
      <c r="H1645" s="2" t="n">
        <f aca="false">IF(D1645="",0,1/COUNTIF($D$2:$D$3451,D1645))</f>
        <v>1</v>
      </c>
      <c r="I1645" s="13" t="n">
        <f aca="false">IFERROR(INDEX('NCO-2015 scores'!$C$2:$C$131,MATCH(E1645,'NCO-2015 scores'!$A$2:$A$131,0)),0)</f>
        <v>0.345</v>
      </c>
      <c r="J1645" s="13" t="n">
        <f aca="false">IF(ISNUMBER(MATCH(E1645,'NCO-2015 scores'!$A$2:$A$131,0)),IF(ISNUMBER(INDEX('NCO-2015 scores'!$C$2:$C$131,MATCH(E1645,'NCO-2015 scores'!$A$2:$A$131,0))),1,0),0)</f>
        <v>1</v>
      </c>
    </row>
    <row r="1646" customFormat="false" ht="15" hidden="false" customHeight="false" outlineLevel="0" collapsed="false">
      <c r="A1646" s="2" t="n">
        <v>1642</v>
      </c>
      <c r="B1646" s="2" t="s">
        <v>4985</v>
      </c>
      <c r="C1646" s="2" t="s">
        <v>4986</v>
      </c>
      <c r="D1646" s="2" t="s">
        <v>4987</v>
      </c>
      <c r="E1646" s="2" t="str">
        <f aca="false">LEFT(C1646,3)</f>
        <v>731</v>
      </c>
      <c r="F1646" s="2" t="str">
        <f aca="false">IF(D1646="","",LEFT(D1646,3))</f>
        <v>731</v>
      </c>
      <c r="G1646" s="2" t="str">
        <f aca="false">IF(F1646="","",IF(E1646=F1646,"Yes","No"))</f>
        <v>Yes</v>
      </c>
      <c r="H1646" s="2" t="n">
        <f aca="false">IF(D1646="",0,1/COUNTIF($D$2:$D$3451,D1646))</f>
        <v>1</v>
      </c>
      <c r="I1646" s="13" t="n">
        <f aca="false">IFERROR(INDEX('NCO-2015 scores'!$C$2:$C$131,MATCH(E1646,'NCO-2015 scores'!$A$2:$A$131,0)),0)</f>
        <v>0.1688</v>
      </c>
      <c r="J1646" s="13" t="n">
        <f aca="false">IF(ISNUMBER(MATCH(E1646,'NCO-2015 scores'!$A$2:$A$131,0)),IF(ISNUMBER(INDEX('NCO-2015 scores'!$C$2:$C$131,MATCH(E1646,'NCO-2015 scores'!$A$2:$A$131,0))),1,0),0)</f>
        <v>1</v>
      </c>
    </row>
    <row r="1647" customFormat="false" ht="15" hidden="false" customHeight="false" outlineLevel="0" collapsed="false">
      <c r="A1647" s="2" t="n">
        <v>1643</v>
      </c>
      <c r="B1647" s="2" t="s">
        <v>4988</v>
      </c>
      <c r="C1647" s="2" t="s">
        <v>4989</v>
      </c>
      <c r="D1647" s="2"/>
      <c r="E1647" s="2" t="str">
        <f aca="false">LEFT(C1647,3)</f>
        <v>731</v>
      </c>
      <c r="F1647" s="2" t="str">
        <f aca="false">IF(D1647="","",LEFT(D1647,3))</f>
        <v/>
      </c>
      <c r="G1647" s="2" t="str">
        <f aca="false">IF(F1647="","",IF(E1647=F1647,"Yes","No"))</f>
        <v/>
      </c>
      <c r="H1647" s="2" t="n">
        <f aca="false">IF(D1647="",0,1/COUNTIF($D$2:$D$3451,D1647))</f>
        <v>0</v>
      </c>
      <c r="I1647" s="13" t="n">
        <f aca="false">IFERROR(INDEX('NCO-2015 scores'!$C$2:$C$131,MATCH(E1647,'NCO-2015 scores'!$A$2:$A$131,0)),0)</f>
        <v>0.1688</v>
      </c>
      <c r="J1647" s="13" t="n">
        <f aca="false">IF(ISNUMBER(MATCH(E1647,'NCO-2015 scores'!$A$2:$A$131,0)),IF(ISNUMBER(INDEX('NCO-2015 scores'!$C$2:$C$131,MATCH(E1647,'NCO-2015 scores'!$A$2:$A$131,0))),1,0),0)</f>
        <v>1</v>
      </c>
    </row>
    <row r="1648" customFormat="false" ht="15" hidden="false" customHeight="false" outlineLevel="0" collapsed="false">
      <c r="A1648" s="2" t="n">
        <v>1644</v>
      </c>
      <c r="B1648" s="2" t="s">
        <v>4990</v>
      </c>
      <c r="C1648" s="2" t="s">
        <v>4991</v>
      </c>
      <c r="D1648" s="2" t="s">
        <v>4992</v>
      </c>
      <c r="E1648" s="2" t="str">
        <f aca="false">LEFT(C1648,3)</f>
        <v>731</v>
      </c>
      <c r="F1648" s="2" t="str">
        <f aca="false">IF(D1648="","",LEFT(D1648,3))</f>
        <v>731</v>
      </c>
      <c r="G1648" s="2" t="str">
        <f aca="false">IF(F1648="","",IF(E1648=F1648,"Yes","No"))</f>
        <v>Yes</v>
      </c>
      <c r="H1648" s="2" t="n">
        <f aca="false">IF(D1648="",0,1/COUNTIF($D$2:$D$3451,D1648))</f>
        <v>1</v>
      </c>
      <c r="I1648" s="13" t="n">
        <f aca="false">IFERROR(INDEX('NCO-2015 scores'!$C$2:$C$131,MATCH(E1648,'NCO-2015 scores'!$A$2:$A$131,0)),0)</f>
        <v>0.1688</v>
      </c>
      <c r="J1648" s="13" t="n">
        <f aca="false">IF(ISNUMBER(MATCH(E1648,'NCO-2015 scores'!$A$2:$A$131,0)),IF(ISNUMBER(INDEX('NCO-2015 scores'!$C$2:$C$131,MATCH(E1648,'NCO-2015 scores'!$A$2:$A$131,0))),1,0),0)</f>
        <v>1</v>
      </c>
    </row>
    <row r="1649" customFormat="false" ht="15" hidden="false" customHeight="false" outlineLevel="0" collapsed="false">
      <c r="A1649" s="2" t="n">
        <v>1645</v>
      </c>
      <c r="B1649" s="2" t="s">
        <v>4993</v>
      </c>
      <c r="C1649" s="2" t="s">
        <v>4994</v>
      </c>
      <c r="D1649" s="2" t="s">
        <v>4995</v>
      </c>
      <c r="E1649" s="2" t="str">
        <f aca="false">LEFT(C1649,3)</f>
        <v>731</v>
      </c>
      <c r="F1649" s="2" t="str">
        <f aca="false">IF(D1649="","",LEFT(D1649,3))</f>
        <v>731</v>
      </c>
      <c r="G1649" s="2" t="str">
        <f aca="false">IF(F1649="","",IF(E1649=F1649,"Yes","No"))</f>
        <v>Yes</v>
      </c>
      <c r="H1649" s="2" t="n">
        <f aca="false">IF(D1649="",0,1/COUNTIF($D$2:$D$3451,D1649))</f>
        <v>1</v>
      </c>
      <c r="I1649" s="13" t="n">
        <f aca="false">IFERROR(INDEX('NCO-2015 scores'!$C$2:$C$131,MATCH(E1649,'NCO-2015 scores'!$A$2:$A$131,0)),0)</f>
        <v>0.1688</v>
      </c>
      <c r="J1649" s="13" t="n">
        <f aca="false">IF(ISNUMBER(MATCH(E1649,'NCO-2015 scores'!$A$2:$A$131,0)),IF(ISNUMBER(INDEX('NCO-2015 scores'!$C$2:$C$131,MATCH(E1649,'NCO-2015 scores'!$A$2:$A$131,0))),1,0),0)</f>
        <v>1</v>
      </c>
    </row>
    <row r="1650" customFormat="false" ht="15" hidden="false" customHeight="false" outlineLevel="0" collapsed="false">
      <c r="A1650" s="2" t="n">
        <v>1646</v>
      </c>
      <c r="B1650" s="2" t="s">
        <v>4996</v>
      </c>
      <c r="C1650" s="2" t="s">
        <v>4997</v>
      </c>
      <c r="D1650" s="2" t="s">
        <v>4998</v>
      </c>
      <c r="E1650" s="2" t="str">
        <f aca="false">LEFT(C1650,3)</f>
        <v>731</v>
      </c>
      <c r="F1650" s="2" t="str">
        <f aca="false">IF(D1650="","",LEFT(D1650,3))</f>
        <v>731</v>
      </c>
      <c r="G1650" s="2" t="str">
        <f aca="false">IF(F1650="","",IF(E1650=F1650,"Yes","No"))</f>
        <v>Yes</v>
      </c>
      <c r="H1650" s="2" t="n">
        <f aca="false">IF(D1650="",0,1/COUNTIF($D$2:$D$3451,D1650))</f>
        <v>1</v>
      </c>
      <c r="I1650" s="13" t="n">
        <f aca="false">IFERROR(INDEX('NCO-2015 scores'!$C$2:$C$131,MATCH(E1650,'NCO-2015 scores'!$A$2:$A$131,0)),0)</f>
        <v>0.1688</v>
      </c>
      <c r="J1650" s="13" t="n">
        <f aca="false">IF(ISNUMBER(MATCH(E1650,'NCO-2015 scores'!$A$2:$A$131,0)),IF(ISNUMBER(INDEX('NCO-2015 scores'!$C$2:$C$131,MATCH(E1650,'NCO-2015 scores'!$A$2:$A$131,0))),1,0),0)</f>
        <v>1</v>
      </c>
    </row>
    <row r="1651" customFormat="false" ht="15" hidden="false" customHeight="false" outlineLevel="0" collapsed="false">
      <c r="A1651" s="2" t="n">
        <v>1647</v>
      </c>
      <c r="B1651" s="2" t="s">
        <v>4999</v>
      </c>
      <c r="C1651" s="2" t="s">
        <v>5000</v>
      </c>
      <c r="D1651" s="2" t="s">
        <v>5001</v>
      </c>
      <c r="E1651" s="2" t="str">
        <f aca="false">LEFT(C1651,3)</f>
        <v>731</v>
      </c>
      <c r="F1651" s="2" t="str">
        <f aca="false">IF(D1651="","",LEFT(D1651,3))</f>
        <v>731</v>
      </c>
      <c r="G1651" s="2" t="str">
        <f aca="false">IF(F1651="","",IF(E1651=F1651,"Yes","No"))</f>
        <v>Yes</v>
      </c>
      <c r="H1651" s="2" t="n">
        <f aca="false">IF(D1651="",0,1/COUNTIF($D$2:$D$3451,D1651))</f>
        <v>1</v>
      </c>
      <c r="I1651" s="13" t="n">
        <f aca="false">IFERROR(INDEX('NCO-2015 scores'!$C$2:$C$131,MATCH(E1651,'NCO-2015 scores'!$A$2:$A$131,0)),0)</f>
        <v>0.1688</v>
      </c>
      <c r="J1651" s="13" t="n">
        <f aca="false">IF(ISNUMBER(MATCH(E1651,'NCO-2015 scores'!$A$2:$A$131,0)),IF(ISNUMBER(INDEX('NCO-2015 scores'!$C$2:$C$131,MATCH(E1651,'NCO-2015 scores'!$A$2:$A$131,0))),1,0),0)</f>
        <v>1</v>
      </c>
    </row>
    <row r="1652" customFormat="false" ht="15" hidden="false" customHeight="false" outlineLevel="0" collapsed="false">
      <c r="A1652" s="2" t="n">
        <v>1648</v>
      </c>
      <c r="B1652" s="2" t="s">
        <v>5002</v>
      </c>
      <c r="C1652" s="2" t="s">
        <v>5003</v>
      </c>
      <c r="D1652" s="2" t="s">
        <v>5004</v>
      </c>
      <c r="E1652" s="2" t="str">
        <f aca="false">LEFT(C1652,3)</f>
        <v>731</v>
      </c>
      <c r="F1652" s="2" t="str">
        <f aca="false">IF(D1652="","",LEFT(D1652,3))</f>
        <v>731</v>
      </c>
      <c r="G1652" s="2" t="str">
        <f aca="false">IF(F1652="","",IF(E1652=F1652,"Yes","No"))</f>
        <v>Yes</v>
      </c>
      <c r="H1652" s="2" t="n">
        <f aca="false">IF(D1652="",0,1/COUNTIF($D$2:$D$3451,D1652))</f>
        <v>1</v>
      </c>
      <c r="I1652" s="13" t="n">
        <f aca="false">IFERROR(INDEX('NCO-2015 scores'!$C$2:$C$131,MATCH(E1652,'NCO-2015 scores'!$A$2:$A$131,0)),0)</f>
        <v>0.1688</v>
      </c>
      <c r="J1652" s="13" t="n">
        <f aca="false">IF(ISNUMBER(MATCH(E1652,'NCO-2015 scores'!$A$2:$A$131,0)),IF(ISNUMBER(INDEX('NCO-2015 scores'!$C$2:$C$131,MATCH(E1652,'NCO-2015 scores'!$A$2:$A$131,0))),1,0),0)</f>
        <v>1</v>
      </c>
    </row>
    <row r="1653" customFormat="false" ht="15" hidden="false" customHeight="false" outlineLevel="0" collapsed="false">
      <c r="A1653" s="2" t="n">
        <v>1649</v>
      </c>
      <c r="B1653" s="2" t="s">
        <v>5005</v>
      </c>
      <c r="C1653" s="2" t="s">
        <v>5006</v>
      </c>
      <c r="D1653" s="2" t="s">
        <v>5007</v>
      </c>
      <c r="E1653" s="2" t="str">
        <f aca="false">LEFT(C1653,3)</f>
        <v>731</v>
      </c>
      <c r="F1653" s="2" t="str">
        <f aca="false">IF(D1653="","",LEFT(D1653,3))</f>
        <v>731</v>
      </c>
      <c r="G1653" s="2" t="str">
        <f aca="false">IF(F1653="","",IF(E1653=F1653,"Yes","No"))</f>
        <v>Yes</v>
      </c>
      <c r="H1653" s="2" t="n">
        <f aca="false">IF(D1653="",0,1/COUNTIF($D$2:$D$3451,D1653))</f>
        <v>1</v>
      </c>
      <c r="I1653" s="13" t="n">
        <f aca="false">IFERROR(INDEX('NCO-2015 scores'!$C$2:$C$131,MATCH(E1653,'NCO-2015 scores'!$A$2:$A$131,0)),0)</f>
        <v>0.1688</v>
      </c>
      <c r="J1653" s="13" t="n">
        <f aca="false">IF(ISNUMBER(MATCH(E1653,'NCO-2015 scores'!$A$2:$A$131,0)),IF(ISNUMBER(INDEX('NCO-2015 scores'!$C$2:$C$131,MATCH(E1653,'NCO-2015 scores'!$A$2:$A$131,0))),1,0),0)</f>
        <v>1</v>
      </c>
    </row>
    <row r="1654" customFormat="false" ht="15" hidden="false" customHeight="false" outlineLevel="0" collapsed="false">
      <c r="A1654" s="2" t="n">
        <v>1650</v>
      </c>
      <c r="B1654" s="2" t="s">
        <v>5008</v>
      </c>
      <c r="C1654" s="2" t="s">
        <v>5009</v>
      </c>
      <c r="D1654" s="2"/>
      <c r="E1654" s="2" t="str">
        <f aca="false">LEFT(C1654,3)</f>
        <v>731</v>
      </c>
      <c r="F1654" s="2" t="str">
        <f aca="false">IF(D1654="","",LEFT(D1654,3))</f>
        <v/>
      </c>
      <c r="G1654" s="2" t="str">
        <f aca="false">IF(F1654="","",IF(E1654=F1654,"Yes","No"))</f>
        <v/>
      </c>
      <c r="H1654" s="2" t="n">
        <f aca="false">IF(D1654="",0,1/COUNTIF($D$2:$D$3451,D1654))</f>
        <v>0</v>
      </c>
      <c r="I1654" s="13" t="n">
        <f aca="false">IFERROR(INDEX('NCO-2015 scores'!$C$2:$C$131,MATCH(E1654,'NCO-2015 scores'!$A$2:$A$131,0)),0)</f>
        <v>0.1688</v>
      </c>
      <c r="J1654" s="13" t="n">
        <f aca="false">IF(ISNUMBER(MATCH(E1654,'NCO-2015 scores'!$A$2:$A$131,0)),IF(ISNUMBER(INDEX('NCO-2015 scores'!$C$2:$C$131,MATCH(E1654,'NCO-2015 scores'!$A$2:$A$131,0))),1,0),0)</f>
        <v>1</v>
      </c>
    </row>
    <row r="1655" customFormat="false" ht="15" hidden="false" customHeight="false" outlineLevel="0" collapsed="false">
      <c r="A1655" s="2" t="n">
        <v>1651</v>
      </c>
      <c r="B1655" s="2" t="s">
        <v>5010</v>
      </c>
      <c r="C1655" s="2" t="s">
        <v>5011</v>
      </c>
      <c r="D1655" s="2"/>
      <c r="E1655" s="2" t="str">
        <f aca="false">LEFT(C1655,3)</f>
        <v>731</v>
      </c>
      <c r="F1655" s="2" t="str">
        <f aca="false">IF(D1655="","",LEFT(D1655,3))</f>
        <v/>
      </c>
      <c r="G1655" s="2" t="str">
        <f aca="false">IF(F1655="","",IF(E1655=F1655,"Yes","No"))</f>
        <v/>
      </c>
      <c r="H1655" s="2" t="n">
        <f aca="false">IF(D1655="",0,1/COUNTIF($D$2:$D$3451,D1655))</f>
        <v>0</v>
      </c>
      <c r="I1655" s="13" t="n">
        <f aca="false">IFERROR(INDEX('NCO-2015 scores'!$C$2:$C$131,MATCH(E1655,'NCO-2015 scores'!$A$2:$A$131,0)),0)</f>
        <v>0.1688</v>
      </c>
      <c r="J1655" s="13" t="n">
        <f aca="false">IF(ISNUMBER(MATCH(E1655,'NCO-2015 scores'!$A$2:$A$131,0)),IF(ISNUMBER(INDEX('NCO-2015 scores'!$C$2:$C$131,MATCH(E1655,'NCO-2015 scores'!$A$2:$A$131,0))),1,0),0)</f>
        <v>1</v>
      </c>
    </row>
    <row r="1656" customFormat="false" ht="15" hidden="false" customHeight="false" outlineLevel="0" collapsed="false">
      <c r="A1656" s="2" t="n">
        <v>1652</v>
      </c>
      <c r="B1656" s="2" t="s">
        <v>5012</v>
      </c>
      <c r="C1656" s="2" t="s">
        <v>5013</v>
      </c>
      <c r="D1656" s="2"/>
      <c r="E1656" s="2" t="str">
        <f aca="false">LEFT(C1656,3)</f>
        <v>731</v>
      </c>
      <c r="F1656" s="2" t="str">
        <f aca="false">IF(D1656="","",LEFT(D1656,3))</f>
        <v/>
      </c>
      <c r="G1656" s="2" t="str">
        <f aca="false">IF(F1656="","",IF(E1656=F1656,"Yes","No"))</f>
        <v/>
      </c>
      <c r="H1656" s="2" t="n">
        <f aca="false">IF(D1656="",0,1/COUNTIF($D$2:$D$3451,D1656))</f>
        <v>0</v>
      </c>
      <c r="I1656" s="13" t="n">
        <f aca="false">IFERROR(INDEX('NCO-2015 scores'!$C$2:$C$131,MATCH(E1656,'NCO-2015 scores'!$A$2:$A$131,0)),0)</f>
        <v>0.1688</v>
      </c>
      <c r="J1656" s="13" t="n">
        <f aca="false">IF(ISNUMBER(MATCH(E1656,'NCO-2015 scores'!$A$2:$A$131,0)),IF(ISNUMBER(INDEX('NCO-2015 scores'!$C$2:$C$131,MATCH(E1656,'NCO-2015 scores'!$A$2:$A$131,0))),1,0),0)</f>
        <v>1</v>
      </c>
    </row>
    <row r="1657" customFormat="false" ht="15" hidden="false" customHeight="false" outlineLevel="0" collapsed="false">
      <c r="A1657" s="2" t="n">
        <v>1653</v>
      </c>
      <c r="B1657" s="2" t="s">
        <v>5014</v>
      </c>
      <c r="C1657" s="2" t="s">
        <v>5015</v>
      </c>
      <c r="D1657" s="2" t="s">
        <v>5016</v>
      </c>
      <c r="E1657" s="2" t="str">
        <f aca="false">LEFT(C1657,3)</f>
        <v>731</v>
      </c>
      <c r="F1657" s="2" t="str">
        <f aca="false">IF(D1657="","",LEFT(D1657,3))</f>
        <v>731</v>
      </c>
      <c r="G1657" s="2" t="str">
        <f aca="false">IF(F1657="","",IF(E1657=F1657,"Yes","No"))</f>
        <v>Yes</v>
      </c>
      <c r="H1657" s="2" t="n">
        <f aca="false">IF(D1657="",0,1/COUNTIF($D$2:$D$3451,D1657))</f>
        <v>1</v>
      </c>
      <c r="I1657" s="13" t="n">
        <f aca="false">IFERROR(INDEX('NCO-2015 scores'!$C$2:$C$131,MATCH(E1657,'NCO-2015 scores'!$A$2:$A$131,0)),0)</f>
        <v>0.1688</v>
      </c>
      <c r="J1657" s="13" t="n">
        <f aca="false">IF(ISNUMBER(MATCH(E1657,'NCO-2015 scores'!$A$2:$A$131,0)),IF(ISNUMBER(INDEX('NCO-2015 scores'!$C$2:$C$131,MATCH(E1657,'NCO-2015 scores'!$A$2:$A$131,0))),1,0),0)</f>
        <v>1</v>
      </c>
    </row>
    <row r="1658" customFormat="false" ht="15" hidden="false" customHeight="false" outlineLevel="0" collapsed="false">
      <c r="A1658" s="2" t="n">
        <v>1654</v>
      </c>
      <c r="B1658" s="2" t="s">
        <v>5017</v>
      </c>
      <c r="C1658" s="2" t="s">
        <v>5018</v>
      </c>
      <c r="D1658" s="2"/>
      <c r="E1658" s="2" t="str">
        <f aca="false">LEFT(C1658,3)</f>
        <v>731</v>
      </c>
      <c r="F1658" s="2" t="str">
        <f aca="false">IF(D1658="","",LEFT(D1658,3))</f>
        <v/>
      </c>
      <c r="G1658" s="2" t="str">
        <f aca="false">IF(F1658="","",IF(E1658=F1658,"Yes","No"))</f>
        <v/>
      </c>
      <c r="H1658" s="2" t="n">
        <f aca="false">IF(D1658="",0,1/COUNTIF($D$2:$D$3451,D1658))</f>
        <v>0</v>
      </c>
      <c r="I1658" s="13" t="n">
        <f aca="false">IFERROR(INDEX('NCO-2015 scores'!$C$2:$C$131,MATCH(E1658,'NCO-2015 scores'!$A$2:$A$131,0)),0)</f>
        <v>0.1688</v>
      </c>
      <c r="J1658" s="13" t="n">
        <f aca="false">IF(ISNUMBER(MATCH(E1658,'NCO-2015 scores'!$A$2:$A$131,0)),IF(ISNUMBER(INDEX('NCO-2015 scores'!$C$2:$C$131,MATCH(E1658,'NCO-2015 scores'!$A$2:$A$131,0))),1,0),0)</f>
        <v>1</v>
      </c>
    </row>
    <row r="1659" customFormat="false" ht="15" hidden="false" customHeight="false" outlineLevel="0" collapsed="false">
      <c r="A1659" s="2" t="n">
        <v>1655</v>
      </c>
      <c r="B1659" s="2" t="s">
        <v>5019</v>
      </c>
      <c r="C1659" s="2" t="s">
        <v>5020</v>
      </c>
      <c r="D1659" s="2"/>
      <c r="E1659" s="2" t="str">
        <f aca="false">LEFT(C1659,3)</f>
        <v>731</v>
      </c>
      <c r="F1659" s="2" t="str">
        <f aca="false">IF(D1659="","",LEFT(D1659,3))</f>
        <v/>
      </c>
      <c r="G1659" s="2" t="str">
        <f aca="false">IF(F1659="","",IF(E1659=F1659,"Yes","No"))</f>
        <v/>
      </c>
      <c r="H1659" s="2" t="n">
        <f aca="false">IF(D1659="",0,1/COUNTIF($D$2:$D$3451,D1659))</f>
        <v>0</v>
      </c>
      <c r="I1659" s="13" t="n">
        <f aca="false">IFERROR(INDEX('NCO-2015 scores'!$C$2:$C$131,MATCH(E1659,'NCO-2015 scores'!$A$2:$A$131,0)),0)</f>
        <v>0.1688</v>
      </c>
      <c r="J1659" s="13" t="n">
        <f aca="false">IF(ISNUMBER(MATCH(E1659,'NCO-2015 scores'!$A$2:$A$131,0)),IF(ISNUMBER(INDEX('NCO-2015 scores'!$C$2:$C$131,MATCH(E1659,'NCO-2015 scores'!$A$2:$A$131,0))),1,0),0)</f>
        <v>1</v>
      </c>
    </row>
    <row r="1660" customFormat="false" ht="15" hidden="false" customHeight="false" outlineLevel="0" collapsed="false">
      <c r="A1660" s="2" t="n">
        <v>1656</v>
      </c>
      <c r="B1660" s="2" t="s">
        <v>5021</v>
      </c>
      <c r="C1660" s="2" t="s">
        <v>5022</v>
      </c>
      <c r="D1660" s="2"/>
      <c r="E1660" s="2" t="str">
        <f aca="false">LEFT(C1660,3)</f>
        <v>731</v>
      </c>
      <c r="F1660" s="2" t="str">
        <f aca="false">IF(D1660="","",LEFT(D1660,3))</f>
        <v/>
      </c>
      <c r="G1660" s="2" t="str">
        <f aca="false">IF(F1660="","",IF(E1660=F1660,"Yes","No"))</f>
        <v/>
      </c>
      <c r="H1660" s="2" t="n">
        <f aca="false">IF(D1660="",0,1/COUNTIF($D$2:$D$3451,D1660))</f>
        <v>0</v>
      </c>
      <c r="I1660" s="13" t="n">
        <f aca="false">IFERROR(INDEX('NCO-2015 scores'!$C$2:$C$131,MATCH(E1660,'NCO-2015 scores'!$A$2:$A$131,0)),0)</f>
        <v>0.1688</v>
      </c>
      <c r="J1660" s="13" t="n">
        <f aca="false">IF(ISNUMBER(MATCH(E1660,'NCO-2015 scores'!$A$2:$A$131,0)),IF(ISNUMBER(INDEX('NCO-2015 scores'!$C$2:$C$131,MATCH(E1660,'NCO-2015 scores'!$A$2:$A$131,0))),1,0),0)</f>
        <v>1</v>
      </c>
    </row>
    <row r="1661" customFormat="false" ht="15" hidden="false" customHeight="false" outlineLevel="0" collapsed="false">
      <c r="A1661" s="2" t="n">
        <v>1657</v>
      </c>
      <c r="B1661" s="2" t="s">
        <v>5023</v>
      </c>
      <c r="C1661" s="2" t="s">
        <v>5024</v>
      </c>
      <c r="D1661" s="2" t="s">
        <v>5025</v>
      </c>
      <c r="E1661" s="2" t="str">
        <f aca="false">LEFT(C1661,3)</f>
        <v>731</v>
      </c>
      <c r="F1661" s="2" t="str">
        <f aca="false">IF(D1661="","",LEFT(D1661,3))</f>
        <v>731</v>
      </c>
      <c r="G1661" s="2" t="str">
        <f aca="false">IF(F1661="","",IF(E1661=F1661,"Yes","No"))</f>
        <v>Yes</v>
      </c>
      <c r="H1661" s="2" t="n">
        <f aca="false">IF(D1661="",0,1/COUNTIF($D$2:$D$3451,D1661))</f>
        <v>1</v>
      </c>
      <c r="I1661" s="13" t="n">
        <f aca="false">IFERROR(INDEX('NCO-2015 scores'!$C$2:$C$131,MATCH(E1661,'NCO-2015 scores'!$A$2:$A$131,0)),0)</f>
        <v>0.1688</v>
      </c>
      <c r="J1661" s="13" t="n">
        <f aca="false">IF(ISNUMBER(MATCH(E1661,'NCO-2015 scores'!$A$2:$A$131,0)),IF(ISNUMBER(INDEX('NCO-2015 scores'!$C$2:$C$131,MATCH(E1661,'NCO-2015 scores'!$A$2:$A$131,0))),1,0),0)</f>
        <v>1</v>
      </c>
    </row>
    <row r="1662" customFormat="false" ht="15" hidden="false" customHeight="false" outlineLevel="0" collapsed="false">
      <c r="A1662" s="2" t="n">
        <v>1658</v>
      </c>
      <c r="B1662" s="2" t="s">
        <v>5026</v>
      </c>
      <c r="C1662" s="2" t="s">
        <v>5027</v>
      </c>
      <c r="D1662" s="2"/>
      <c r="E1662" s="2" t="str">
        <f aca="false">LEFT(C1662,3)</f>
        <v>731</v>
      </c>
      <c r="F1662" s="2" t="str">
        <f aca="false">IF(D1662="","",LEFT(D1662,3))</f>
        <v/>
      </c>
      <c r="G1662" s="2" t="str">
        <f aca="false">IF(F1662="","",IF(E1662=F1662,"Yes","No"))</f>
        <v/>
      </c>
      <c r="H1662" s="2" t="n">
        <f aca="false">IF(D1662="",0,1/COUNTIF($D$2:$D$3451,D1662))</f>
        <v>0</v>
      </c>
      <c r="I1662" s="13" t="n">
        <f aca="false">IFERROR(INDEX('NCO-2015 scores'!$C$2:$C$131,MATCH(E1662,'NCO-2015 scores'!$A$2:$A$131,0)),0)</f>
        <v>0.1688</v>
      </c>
      <c r="J1662" s="13" t="n">
        <f aca="false">IF(ISNUMBER(MATCH(E1662,'NCO-2015 scores'!$A$2:$A$131,0)),IF(ISNUMBER(INDEX('NCO-2015 scores'!$C$2:$C$131,MATCH(E1662,'NCO-2015 scores'!$A$2:$A$131,0))),1,0),0)</f>
        <v>1</v>
      </c>
    </row>
    <row r="1663" customFormat="false" ht="15" hidden="false" customHeight="false" outlineLevel="0" collapsed="false">
      <c r="A1663" s="2" t="n">
        <v>1659</v>
      </c>
      <c r="B1663" s="2" t="s">
        <v>5028</v>
      </c>
      <c r="C1663" s="2" t="s">
        <v>5029</v>
      </c>
      <c r="D1663" s="2"/>
      <c r="E1663" s="2" t="str">
        <f aca="false">LEFT(C1663,3)</f>
        <v>731</v>
      </c>
      <c r="F1663" s="2" t="str">
        <f aca="false">IF(D1663="","",LEFT(D1663,3))</f>
        <v/>
      </c>
      <c r="G1663" s="2" t="str">
        <f aca="false">IF(F1663="","",IF(E1663=F1663,"Yes","No"))</f>
        <v/>
      </c>
      <c r="H1663" s="2" t="n">
        <f aca="false">IF(D1663="",0,1/COUNTIF($D$2:$D$3451,D1663))</f>
        <v>0</v>
      </c>
      <c r="I1663" s="13" t="n">
        <f aca="false">IFERROR(INDEX('NCO-2015 scores'!$C$2:$C$131,MATCH(E1663,'NCO-2015 scores'!$A$2:$A$131,0)),0)</f>
        <v>0.1688</v>
      </c>
      <c r="J1663" s="13" t="n">
        <f aca="false">IF(ISNUMBER(MATCH(E1663,'NCO-2015 scores'!$A$2:$A$131,0)),IF(ISNUMBER(INDEX('NCO-2015 scores'!$C$2:$C$131,MATCH(E1663,'NCO-2015 scores'!$A$2:$A$131,0))),1,0),0)</f>
        <v>1</v>
      </c>
    </row>
    <row r="1664" customFormat="false" ht="15" hidden="false" customHeight="false" outlineLevel="0" collapsed="false">
      <c r="A1664" s="2" t="n">
        <v>1660</v>
      </c>
      <c r="B1664" s="2" t="s">
        <v>5030</v>
      </c>
      <c r="C1664" s="2" t="s">
        <v>5031</v>
      </c>
      <c r="D1664" s="2" t="s">
        <v>5032</v>
      </c>
      <c r="E1664" s="2" t="str">
        <f aca="false">LEFT(C1664,3)</f>
        <v>731</v>
      </c>
      <c r="F1664" s="2" t="str">
        <f aca="false">IF(D1664="","",LEFT(D1664,3))</f>
        <v>731</v>
      </c>
      <c r="G1664" s="2" t="str">
        <f aca="false">IF(F1664="","",IF(E1664=F1664,"Yes","No"))</f>
        <v>Yes</v>
      </c>
      <c r="H1664" s="2" t="n">
        <f aca="false">IF(D1664="",0,1/COUNTIF($D$2:$D$3451,D1664))</f>
        <v>1</v>
      </c>
      <c r="I1664" s="13" t="n">
        <f aca="false">IFERROR(INDEX('NCO-2015 scores'!$C$2:$C$131,MATCH(E1664,'NCO-2015 scores'!$A$2:$A$131,0)),0)</f>
        <v>0.1688</v>
      </c>
      <c r="J1664" s="13" t="n">
        <f aca="false">IF(ISNUMBER(MATCH(E1664,'NCO-2015 scores'!$A$2:$A$131,0)),IF(ISNUMBER(INDEX('NCO-2015 scores'!$C$2:$C$131,MATCH(E1664,'NCO-2015 scores'!$A$2:$A$131,0))),1,0),0)</f>
        <v>1</v>
      </c>
    </row>
    <row r="1665" customFormat="false" ht="15" hidden="false" customHeight="false" outlineLevel="0" collapsed="false">
      <c r="A1665" s="2" t="n">
        <v>1661</v>
      </c>
      <c r="B1665" s="2" t="s">
        <v>5033</v>
      </c>
      <c r="C1665" s="2" t="s">
        <v>5034</v>
      </c>
      <c r="D1665" s="2"/>
      <c r="E1665" s="2" t="str">
        <f aca="false">LEFT(C1665,3)</f>
        <v>731</v>
      </c>
      <c r="F1665" s="2" t="str">
        <f aca="false">IF(D1665="","",LEFT(D1665,3))</f>
        <v/>
      </c>
      <c r="G1665" s="2" t="str">
        <f aca="false">IF(F1665="","",IF(E1665=F1665,"Yes","No"))</f>
        <v/>
      </c>
      <c r="H1665" s="2" t="n">
        <f aca="false">IF(D1665="",0,1/COUNTIF($D$2:$D$3451,D1665))</f>
        <v>0</v>
      </c>
      <c r="I1665" s="13" t="n">
        <f aca="false">IFERROR(INDEX('NCO-2015 scores'!$C$2:$C$131,MATCH(E1665,'NCO-2015 scores'!$A$2:$A$131,0)),0)</f>
        <v>0.1688</v>
      </c>
      <c r="J1665" s="13" t="n">
        <f aca="false">IF(ISNUMBER(MATCH(E1665,'NCO-2015 scores'!$A$2:$A$131,0)),IF(ISNUMBER(INDEX('NCO-2015 scores'!$C$2:$C$131,MATCH(E1665,'NCO-2015 scores'!$A$2:$A$131,0))),1,0),0)</f>
        <v>1</v>
      </c>
    </row>
    <row r="1666" customFormat="false" ht="15" hidden="false" customHeight="false" outlineLevel="0" collapsed="false">
      <c r="A1666" s="2" t="n">
        <v>1662</v>
      </c>
      <c r="B1666" s="2" t="s">
        <v>5035</v>
      </c>
      <c r="C1666" s="2" t="s">
        <v>5036</v>
      </c>
      <c r="D1666" s="2" t="s">
        <v>5037</v>
      </c>
      <c r="E1666" s="2" t="str">
        <f aca="false">LEFT(C1666,3)</f>
        <v>731</v>
      </c>
      <c r="F1666" s="2" t="str">
        <f aca="false">IF(D1666="","",LEFT(D1666,3))</f>
        <v>731</v>
      </c>
      <c r="G1666" s="2" t="str">
        <f aca="false">IF(F1666="","",IF(E1666=F1666,"Yes","No"))</f>
        <v>Yes</v>
      </c>
      <c r="H1666" s="2" t="n">
        <f aca="false">IF(D1666="",0,1/COUNTIF($D$2:$D$3451,D1666))</f>
        <v>1</v>
      </c>
      <c r="I1666" s="13" t="n">
        <f aca="false">IFERROR(INDEX('NCO-2015 scores'!$C$2:$C$131,MATCH(E1666,'NCO-2015 scores'!$A$2:$A$131,0)),0)</f>
        <v>0.1688</v>
      </c>
      <c r="J1666" s="13" t="n">
        <f aca="false">IF(ISNUMBER(MATCH(E1666,'NCO-2015 scores'!$A$2:$A$131,0)),IF(ISNUMBER(INDEX('NCO-2015 scores'!$C$2:$C$131,MATCH(E1666,'NCO-2015 scores'!$A$2:$A$131,0))),1,0),0)</f>
        <v>1</v>
      </c>
    </row>
    <row r="1667" customFormat="false" ht="15" hidden="false" customHeight="false" outlineLevel="0" collapsed="false">
      <c r="A1667" s="2" t="n">
        <v>1663</v>
      </c>
      <c r="B1667" s="2" t="s">
        <v>5038</v>
      </c>
      <c r="C1667" s="2" t="s">
        <v>5039</v>
      </c>
      <c r="D1667" s="2"/>
      <c r="E1667" s="2" t="str">
        <f aca="false">LEFT(C1667,3)</f>
        <v>731</v>
      </c>
      <c r="F1667" s="2" t="str">
        <f aca="false">IF(D1667="","",LEFT(D1667,3))</f>
        <v/>
      </c>
      <c r="G1667" s="2" t="str">
        <f aca="false">IF(F1667="","",IF(E1667=F1667,"Yes","No"))</f>
        <v/>
      </c>
      <c r="H1667" s="2" t="n">
        <f aca="false">IF(D1667="",0,1/COUNTIF($D$2:$D$3451,D1667))</f>
        <v>0</v>
      </c>
      <c r="I1667" s="13" t="n">
        <f aca="false">IFERROR(INDEX('NCO-2015 scores'!$C$2:$C$131,MATCH(E1667,'NCO-2015 scores'!$A$2:$A$131,0)),0)</f>
        <v>0.1688</v>
      </c>
      <c r="J1667" s="13" t="n">
        <f aca="false">IF(ISNUMBER(MATCH(E1667,'NCO-2015 scores'!$A$2:$A$131,0)),IF(ISNUMBER(INDEX('NCO-2015 scores'!$C$2:$C$131,MATCH(E1667,'NCO-2015 scores'!$A$2:$A$131,0))),1,0),0)</f>
        <v>1</v>
      </c>
    </row>
    <row r="1668" customFormat="false" ht="15" hidden="false" customHeight="false" outlineLevel="0" collapsed="false">
      <c r="A1668" s="2" t="n">
        <v>1664</v>
      </c>
      <c r="B1668" s="2" t="s">
        <v>5040</v>
      </c>
      <c r="C1668" s="2" t="s">
        <v>5041</v>
      </c>
      <c r="D1668" s="2"/>
      <c r="E1668" s="2" t="str">
        <f aca="false">LEFT(C1668,3)</f>
        <v>731</v>
      </c>
      <c r="F1668" s="2" t="str">
        <f aca="false">IF(D1668="","",LEFT(D1668,3))</f>
        <v/>
      </c>
      <c r="G1668" s="2" t="str">
        <f aca="false">IF(F1668="","",IF(E1668=F1668,"Yes","No"))</f>
        <v/>
      </c>
      <c r="H1668" s="2" t="n">
        <f aca="false">IF(D1668="",0,1/COUNTIF($D$2:$D$3451,D1668))</f>
        <v>0</v>
      </c>
      <c r="I1668" s="13" t="n">
        <f aca="false">IFERROR(INDEX('NCO-2015 scores'!$C$2:$C$131,MATCH(E1668,'NCO-2015 scores'!$A$2:$A$131,0)),0)</f>
        <v>0.1688</v>
      </c>
      <c r="J1668" s="13" t="n">
        <f aca="false">IF(ISNUMBER(MATCH(E1668,'NCO-2015 scores'!$A$2:$A$131,0)),IF(ISNUMBER(INDEX('NCO-2015 scores'!$C$2:$C$131,MATCH(E1668,'NCO-2015 scores'!$A$2:$A$131,0))),1,0),0)</f>
        <v>1</v>
      </c>
    </row>
    <row r="1669" customFormat="false" ht="15" hidden="false" customHeight="false" outlineLevel="0" collapsed="false">
      <c r="A1669" s="2" t="n">
        <v>1665</v>
      </c>
      <c r="B1669" s="2" t="s">
        <v>5042</v>
      </c>
      <c r="C1669" s="2" t="s">
        <v>5043</v>
      </c>
      <c r="D1669" s="2"/>
      <c r="E1669" s="2" t="str">
        <f aca="false">LEFT(C1669,3)</f>
        <v>731</v>
      </c>
      <c r="F1669" s="2" t="str">
        <f aca="false">IF(D1669="","",LEFT(D1669,3))</f>
        <v/>
      </c>
      <c r="G1669" s="2" t="str">
        <f aca="false">IF(F1669="","",IF(E1669=F1669,"Yes","No"))</f>
        <v/>
      </c>
      <c r="H1669" s="2" t="n">
        <f aca="false">IF(D1669="",0,1/COUNTIF($D$2:$D$3451,D1669))</f>
        <v>0</v>
      </c>
      <c r="I1669" s="13" t="n">
        <f aca="false">IFERROR(INDEX('NCO-2015 scores'!$C$2:$C$131,MATCH(E1669,'NCO-2015 scores'!$A$2:$A$131,0)),0)</f>
        <v>0.1688</v>
      </c>
      <c r="J1669" s="13" t="n">
        <f aca="false">IF(ISNUMBER(MATCH(E1669,'NCO-2015 scores'!$A$2:$A$131,0)),IF(ISNUMBER(INDEX('NCO-2015 scores'!$C$2:$C$131,MATCH(E1669,'NCO-2015 scores'!$A$2:$A$131,0))),1,0),0)</f>
        <v>1</v>
      </c>
    </row>
    <row r="1670" customFormat="false" ht="15" hidden="false" customHeight="false" outlineLevel="0" collapsed="false">
      <c r="A1670" s="2" t="n">
        <v>1666</v>
      </c>
      <c r="B1670" s="2" t="s">
        <v>5044</v>
      </c>
      <c r="C1670" s="2" t="s">
        <v>5045</v>
      </c>
      <c r="D1670" s="2"/>
      <c r="E1670" s="2" t="str">
        <f aca="false">LEFT(C1670,3)</f>
        <v>731</v>
      </c>
      <c r="F1670" s="2" t="str">
        <f aca="false">IF(D1670="","",LEFT(D1670,3))</f>
        <v/>
      </c>
      <c r="G1670" s="2" t="str">
        <f aca="false">IF(F1670="","",IF(E1670=F1670,"Yes","No"))</f>
        <v/>
      </c>
      <c r="H1670" s="2" t="n">
        <f aca="false">IF(D1670="",0,1/COUNTIF($D$2:$D$3451,D1670))</f>
        <v>0</v>
      </c>
      <c r="I1670" s="13" t="n">
        <f aca="false">IFERROR(INDEX('NCO-2015 scores'!$C$2:$C$131,MATCH(E1670,'NCO-2015 scores'!$A$2:$A$131,0)),0)</f>
        <v>0.1688</v>
      </c>
      <c r="J1670" s="13" t="n">
        <f aca="false">IF(ISNUMBER(MATCH(E1670,'NCO-2015 scores'!$A$2:$A$131,0)),IF(ISNUMBER(INDEX('NCO-2015 scores'!$C$2:$C$131,MATCH(E1670,'NCO-2015 scores'!$A$2:$A$131,0))),1,0),0)</f>
        <v>1</v>
      </c>
    </row>
    <row r="1671" customFormat="false" ht="15" hidden="false" customHeight="false" outlineLevel="0" collapsed="false">
      <c r="A1671" s="2" t="n">
        <v>1667</v>
      </c>
      <c r="B1671" s="2" t="s">
        <v>5046</v>
      </c>
      <c r="C1671" s="2" t="s">
        <v>5047</v>
      </c>
      <c r="D1671" s="2" t="s">
        <v>5048</v>
      </c>
      <c r="E1671" s="2" t="str">
        <f aca="false">LEFT(C1671,3)</f>
        <v>731</v>
      </c>
      <c r="F1671" s="2" t="str">
        <f aca="false">IF(D1671="","",LEFT(D1671,3))</f>
        <v>731</v>
      </c>
      <c r="G1671" s="2" t="str">
        <f aca="false">IF(F1671="","",IF(E1671=F1671,"Yes","No"))</f>
        <v>Yes</v>
      </c>
      <c r="H1671" s="2" t="n">
        <f aca="false">IF(D1671="",0,1/COUNTIF($D$2:$D$3451,D1671))</f>
        <v>1</v>
      </c>
      <c r="I1671" s="13" t="n">
        <f aca="false">IFERROR(INDEX('NCO-2015 scores'!$C$2:$C$131,MATCH(E1671,'NCO-2015 scores'!$A$2:$A$131,0)),0)</f>
        <v>0.1688</v>
      </c>
      <c r="J1671" s="13" t="n">
        <f aca="false">IF(ISNUMBER(MATCH(E1671,'NCO-2015 scores'!$A$2:$A$131,0)),IF(ISNUMBER(INDEX('NCO-2015 scores'!$C$2:$C$131,MATCH(E1671,'NCO-2015 scores'!$A$2:$A$131,0))),1,0),0)</f>
        <v>1</v>
      </c>
    </row>
    <row r="1672" customFormat="false" ht="15" hidden="false" customHeight="false" outlineLevel="0" collapsed="false">
      <c r="A1672" s="2" t="n">
        <v>1668</v>
      </c>
      <c r="B1672" s="2" t="s">
        <v>5049</v>
      </c>
      <c r="C1672" s="2" t="s">
        <v>5050</v>
      </c>
      <c r="D1672" s="2"/>
      <c r="E1672" s="2" t="str">
        <f aca="false">LEFT(C1672,3)</f>
        <v>731</v>
      </c>
      <c r="F1672" s="2" t="str">
        <f aca="false">IF(D1672="","",LEFT(D1672,3))</f>
        <v/>
      </c>
      <c r="G1672" s="2" t="str">
        <f aca="false">IF(F1672="","",IF(E1672=F1672,"Yes","No"))</f>
        <v/>
      </c>
      <c r="H1672" s="2" t="n">
        <f aca="false">IF(D1672="",0,1/COUNTIF($D$2:$D$3451,D1672))</f>
        <v>0</v>
      </c>
      <c r="I1672" s="13" t="n">
        <f aca="false">IFERROR(INDEX('NCO-2015 scores'!$C$2:$C$131,MATCH(E1672,'NCO-2015 scores'!$A$2:$A$131,0)),0)</f>
        <v>0.1688</v>
      </c>
      <c r="J1672" s="13" t="n">
        <f aca="false">IF(ISNUMBER(MATCH(E1672,'NCO-2015 scores'!$A$2:$A$131,0)),IF(ISNUMBER(INDEX('NCO-2015 scores'!$C$2:$C$131,MATCH(E1672,'NCO-2015 scores'!$A$2:$A$131,0))),1,0),0)</f>
        <v>1</v>
      </c>
    </row>
    <row r="1673" customFormat="false" ht="15" hidden="false" customHeight="false" outlineLevel="0" collapsed="false">
      <c r="A1673" s="2" t="n">
        <v>1669</v>
      </c>
      <c r="B1673" s="2" t="s">
        <v>5051</v>
      </c>
      <c r="C1673" s="2" t="s">
        <v>5052</v>
      </c>
      <c r="D1673" s="2"/>
      <c r="E1673" s="2" t="str">
        <f aca="false">LEFT(C1673,3)</f>
        <v>731</v>
      </c>
      <c r="F1673" s="2" t="str">
        <f aca="false">IF(D1673="","",LEFT(D1673,3))</f>
        <v/>
      </c>
      <c r="G1673" s="2" t="str">
        <f aca="false">IF(F1673="","",IF(E1673=F1673,"Yes","No"))</f>
        <v/>
      </c>
      <c r="H1673" s="2" t="n">
        <f aca="false">IF(D1673="",0,1/COUNTIF($D$2:$D$3451,D1673))</f>
        <v>0</v>
      </c>
      <c r="I1673" s="13" t="n">
        <f aca="false">IFERROR(INDEX('NCO-2015 scores'!$C$2:$C$131,MATCH(E1673,'NCO-2015 scores'!$A$2:$A$131,0)),0)</f>
        <v>0.1688</v>
      </c>
      <c r="J1673" s="13" t="n">
        <f aca="false">IF(ISNUMBER(MATCH(E1673,'NCO-2015 scores'!$A$2:$A$131,0)),IF(ISNUMBER(INDEX('NCO-2015 scores'!$C$2:$C$131,MATCH(E1673,'NCO-2015 scores'!$A$2:$A$131,0))),1,0),0)</f>
        <v>1</v>
      </c>
    </row>
    <row r="1674" customFormat="false" ht="15" hidden="false" customHeight="false" outlineLevel="0" collapsed="false">
      <c r="A1674" s="2" t="n">
        <v>1670</v>
      </c>
      <c r="B1674" s="2" t="s">
        <v>5053</v>
      </c>
      <c r="C1674" s="2" t="s">
        <v>5054</v>
      </c>
      <c r="D1674" s="2"/>
      <c r="E1674" s="2" t="str">
        <f aca="false">LEFT(C1674,3)</f>
        <v>731</v>
      </c>
      <c r="F1674" s="2" t="str">
        <f aca="false">IF(D1674="","",LEFT(D1674,3))</f>
        <v/>
      </c>
      <c r="G1674" s="2" t="str">
        <f aca="false">IF(F1674="","",IF(E1674=F1674,"Yes","No"))</f>
        <v/>
      </c>
      <c r="H1674" s="2" t="n">
        <f aca="false">IF(D1674="",0,1/COUNTIF($D$2:$D$3451,D1674))</f>
        <v>0</v>
      </c>
      <c r="I1674" s="13" t="n">
        <f aca="false">IFERROR(INDEX('NCO-2015 scores'!$C$2:$C$131,MATCH(E1674,'NCO-2015 scores'!$A$2:$A$131,0)),0)</f>
        <v>0.1688</v>
      </c>
      <c r="J1674" s="13" t="n">
        <f aca="false">IF(ISNUMBER(MATCH(E1674,'NCO-2015 scores'!$A$2:$A$131,0)),IF(ISNUMBER(INDEX('NCO-2015 scores'!$C$2:$C$131,MATCH(E1674,'NCO-2015 scores'!$A$2:$A$131,0))),1,0),0)</f>
        <v>1</v>
      </c>
    </row>
    <row r="1675" customFormat="false" ht="15" hidden="false" customHeight="false" outlineLevel="0" collapsed="false">
      <c r="A1675" s="2" t="n">
        <v>1671</v>
      </c>
      <c r="B1675" s="2" t="s">
        <v>5055</v>
      </c>
      <c r="C1675" s="2" t="s">
        <v>5056</v>
      </c>
      <c r="D1675" s="2"/>
      <c r="E1675" s="2" t="str">
        <f aca="false">LEFT(C1675,3)</f>
        <v>731</v>
      </c>
      <c r="F1675" s="2" t="str">
        <f aca="false">IF(D1675="","",LEFT(D1675,3))</f>
        <v/>
      </c>
      <c r="G1675" s="2" t="str">
        <f aca="false">IF(F1675="","",IF(E1675=F1675,"Yes","No"))</f>
        <v/>
      </c>
      <c r="H1675" s="2" t="n">
        <f aca="false">IF(D1675="",0,1/COUNTIF($D$2:$D$3451,D1675))</f>
        <v>0</v>
      </c>
      <c r="I1675" s="13" t="n">
        <f aca="false">IFERROR(INDEX('NCO-2015 scores'!$C$2:$C$131,MATCH(E1675,'NCO-2015 scores'!$A$2:$A$131,0)),0)</f>
        <v>0.1688</v>
      </c>
      <c r="J1675" s="13" t="n">
        <f aca="false">IF(ISNUMBER(MATCH(E1675,'NCO-2015 scores'!$A$2:$A$131,0)),IF(ISNUMBER(INDEX('NCO-2015 scores'!$C$2:$C$131,MATCH(E1675,'NCO-2015 scores'!$A$2:$A$131,0))),1,0),0)</f>
        <v>1</v>
      </c>
    </row>
    <row r="1676" customFormat="false" ht="15" hidden="false" customHeight="false" outlineLevel="0" collapsed="false">
      <c r="A1676" s="2" t="n">
        <v>1672</v>
      </c>
      <c r="B1676" s="2" t="s">
        <v>5057</v>
      </c>
      <c r="C1676" s="2" t="s">
        <v>5058</v>
      </c>
      <c r="D1676" s="2"/>
      <c r="E1676" s="2" t="str">
        <f aca="false">LEFT(C1676,3)</f>
        <v>731</v>
      </c>
      <c r="F1676" s="2" t="str">
        <f aca="false">IF(D1676="","",LEFT(D1676,3))</f>
        <v/>
      </c>
      <c r="G1676" s="2" t="str">
        <f aca="false">IF(F1676="","",IF(E1676=F1676,"Yes","No"))</f>
        <v/>
      </c>
      <c r="H1676" s="2" t="n">
        <f aca="false">IF(D1676="",0,1/COUNTIF($D$2:$D$3451,D1676))</f>
        <v>0</v>
      </c>
      <c r="I1676" s="13" t="n">
        <f aca="false">IFERROR(INDEX('NCO-2015 scores'!$C$2:$C$131,MATCH(E1676,'NCO-2015 scores'!$A$2:$A$131,0)),0)</f>
        <v>0.1688</v>
      </c>
      <c r="J1676" s="13" t="n">
        <f aca="false">IF(ISNUMBER(MATCH(E1676,'NCO-2015 scores'!$A$2:$A$131,0)),IF(ISNUMBER(INDEX('NCO-2015 scores'!$C$2:$C$131,MATCH(E1676,'NCO-2015 scores'!$A$2:$A$131,0))),1,0),0)</f>
        <v>1</v>
      </c>
    </row>
    <row r="1677" customFormat="false" ht="15" hidden="false" customHeight="false" outlineLevel="0" collapsed="false">
      <c r="A1677" s="2" t="n">
        <v>1673</v>
      </c>
      <c r="B1677" s="2" t="s">
        <v>5059</v>
      </c>
      <c r="C1677" s="2" t="s">
        <v>5060</v>
      </c>
      <c r="D1677" s="2"/>
      <c r="E1677" s="2" t="str">
        <f aca="false">LEFT(C1677,3)</f>
        <v>731</v>
      </c>
      <c r="F1677" s="2" t="str">
        <f aca="false">IF(D1677="","",LEFT(D1677,3))</f>
        <v/>
      </c>
      <c r="G1677" s="2" t="str">
        <f aca="false">IF(F1677="","",IF(E1677=F1677,"Yes","No"))</f>
        <v/>
      </c>
      <c r="H1677" s="2" t="n">
        <f aca="false">IF(D1677="",0,1/COUNTIF($D$2:$D$3451,D1677))</f>
        <v>0</v>
      </c>
      <c r="I1677" s="13" t="n">
        <f aca="false">IFERROR(INDEX('NCO-2015 scores'!$C$2:$C$131,MATCH(E1677,'NCO-2015 scores'!$A$2:$A$131,0)),0)</f>
        <v>0.1688</v>
      </c>
      <c r="J1677" s="13" t="n">
        <f aca="false">IF(ISNUMBER(MATCH(E1677,'NCO-2015 scores'!$A$2:$A$131,0)),IF(ISNUMBER(INDEX('NCO-2015 scores'!$C$2:$C$131,MATCH(E1677,'NCO-2015 scores'!$A$2:$A$131,0))),1,0),0)</f>
        <v>1</v>
      </c>
    </row>
    <row r="1678" customFormat="false" ht="15" hidden="false" customHeight="false" outlineLevel="0" collapsed="false">
      <c r="A1678" s="2" t="n">
        <v>1674</v>
      </c>
      <c r="B1678" s="2" t="s">
        <v>5061</v>
      </c>
      <c r="C1678" s="2" t="s">
        <v>5062</v>
      </c>
      <c r="D1678" s="2"/>
      <c r="E1678" s="2" t="str">
        <f aca="false">LEFT(C1678,3)</f>
        <v>731</v>
      </c>
      <c r="F1678" s="2" t="str">
        <f aca="false">IF(D1678="","",LEFT(D1678,3))</f>
        <v/>
      </c>
      <c r="G1678" s="2" t="str">
        <f aca="false">IF(F1678="","",IF(E1678=F1678,"Yes","No"))</f>
        <v/>
      </c>
      <c r="H1678" s="2" t="n">
        <f aca="false">IF(D1678="",0,1/COUNTIF($D$2:$D$3451,D1678))</f>
        <v>0</v>
      </c>
      <c r="I1678" s="13" t="n">
        <f aca="false">IFERROR(INDEX('NCO-2015 scores'!$C$2:$C$131,MATCH(E1678,'NCO-2015 scores'!$A$2:$A$131,0)),0)</f>
        <v>0.1688</v>
      </c>
      <c r="J1678" s="13" t="n">
        <f aca="false">IF(ISNUMBER(MATCH(E1678,'NCO-2015 scores'!$A$2:$A$131,0)),IF(ISNUMBER(INDEX('NCO-2015 scores'!$C$2:$C$131,MATCH(E1678,'NCO-2015 scores'!$A$2:$A$131,0))),1,0),0)</f>
        <v>1</v>
      </c>
    </row>
    <row r="1679" customFormat="false" ht="15" hidden="false" customHeight="false" outlineLevel="0" collapsed="false">
      <c r="A1679" s="2" t="n">
        <v>1675</v>
      </c>
      <c r="B1679" s="2" t="s">
        <v>5063</v>
      </c>
      <c r="C1679" s="2" t="s">
        <v>5064</v>
      </c>
      <c r="D1679" s="2"/>
      <c r="E1679" s="2" t="str">
        <f aca="false">LEFT(C1679,3)</f>
        <v>731</v>
      </c>
      <c r="F1679" s="2" t="str">
        <f aca="false">IF(D1679="","",LEFT(D1679,3))</f>
        <v/>
      </c>
      <c r="G1679" s="2" t="str">
        <f aca="false">IF(F1679="","",IF(E1679=F1679,"Yes","No"))</f>
        <v/>
      </c>
      <c r="H1679" s="2" t="n">
        <f aca="false">IF(D1679="",0,1/COUNTIF($D$2:$D$3451,D1679))</f>
        <v>0</v>
      </c>
      <c r="I1679" s="13" t="n">
        <f aca="false">IFERROR(INDEX('NCO-2015 scores'!$C$2:$C$131,MATCH(E1679,'NCO-2015 scores'!$A$2:$A$131,0)),0)</f>
        <v>0.1688</v>
      </c>
      <c r="J1679" s="13" t="n">
        <f aca="false">IF(ISNUMBER(MATCH(E1679,'NCO-2015 scores'!$A$2:$A$131,0)),IF(ISNUMBER(INDEX('NCO-2015 scores'!$C$2:$C$131,MATCH(E1679,'NCO-2015 scores'!$A$2:$A$131,0))),1,0),0)</f>
        <v>1</v>
      </c>
    </row>
    <row r="1680" customFormat="false" ht="15" hidden="false" customHeight="false" outlineLevel="0" collapsed="false">
      <c r="A1680" s="2" t="n">
        <v>1676</v>
      </c>
      <c r="B1680" s="2" t="s">
        <v>5065</v>
      </c>
      <c r="C1680" s="2" t="s">
        <v>5066</v>
      </c>
      <c r="D1680" s="2"/>
      <c r="E1680" s="2" t="str">
        <f aca="false">LEFT(C1680,3)</f>
        <v>731</v>
      </c>
      <c r="F1680" s="2" t="str">
        <f aca="false">IF(D1680="","",LEFT(D1680,3))</f>
        <v/>
      </c>
      <c r="G1680" s="2" t="str">
        <f aca="false">IF(F1680="","",IF(E1680=F1680,"Yes","No"))</f>
        <v/>
      </c>
      <c r="H1680" s="2" t="n">
        <f aca="false">IF(D1680="",0,1/COUNTIF($D$2:$D$3451,D1680))</f>
        <v>0</v>
      </c>
      <c r="I1680" s="13" t="n">
        <f aca="false">IFERROR(INDEX('NCO-2015 scores'!$C$2:$C$131,MATCH(E1680,'NCO-2015 scores'!$A$2:$A$131,0)),0)</f>
        <v>0.1688</v>
      </c>
      <c r="J1680" s="13" t="n">
        <f aca="false">IF(ISNUMBER(MATCH(E1680,'NCO-2015 scores'!$A$2:$A$131,0)),IF(ISNUMBER(INDEX('NCO-2015 scores'!$C$2:$C$131,MATCH(E1680,'NCO-2015 scores'!$A$2:$A$131,0))),1,0),0)</f>
        <v>1</v>
      </c>
    </row>
    <row r="1681" customFormat="false" ht="15" hidden="false" customHeight="false" outlineLevel="0" collapsed="false">
      <c r="A1681" s="2" t="n">
        <v>1677</v>
      </c>
      <c r="B1681" s="2" t="s">
        <v>5067</v>
      </c>
      <c r="C1681" s="2" t="s">
        <v>5068</v>
      </c>
      <c r="D1681" s="2" t="s">
        <v>5069</v>
      </c>
      <c r="E1681" s="2" t="str">
        <f aca="false">LEFT(C1681,3)</f>
        <v>731</v>
      </c>
      <c r="F1681" s="2" t="str">
        <f aca="false">IF(D1681="","",LEFT(D1681,3))</f>
        <v>731</v>
      </c>
      <c r="G1681" s="2" t="str">
        <f aca="false">IF(F1681="","",IF(E1681=F1681,"Yes","No"))</f>
        <v>Yes</v>
      </c>
      <c r="H1681" s="2" t="n">
        <f aca="false">IF(D1681="",0,1/COUNTIF($D$2:$D$3451,D1681))</f>
        <v>1</v>
      </c>
      <c r="I1681" s="13" t="n">
        <f aca="false">IFERROR(INDEX('NCO-2015 scores'!$C$2:$C$131,MATCH(E1681,'NCO-2015 scores'!$A$2:$A$131,0)),0)</f>
        <v>0.1688</v>
      </c>
      <c r="J1681" s="13" t="n">
        <f aca="false">IF(ISNUMBER(MATCH(E1681,'NCO-2015 scores'!$A$2:$A$131,0)),IF(ISNUMBER(INDEX('NCO-2015 scores'!$C$2:$C$131,MATCH(E1681,'NCO-2015 scores'!$A$2:$A$131,0))),1,0),0)</f>
        <v>1</v>
      </c>
    </row>
    <row r="1682" customFormat="false" ht="15" hidden="false" customHeight="false" outlineLevel="0" collapsed="false">
      <c r="A1682" s="2" t="n">
        <v>1678</v>
      </c>
      <c r="B1682" s="2" t="s">
        <v>5070</v>
      </c>
      <c r="C1682" s="2" t="s">
        <v>5071</v>
      </c>
      <c r="D1682" s="2"/>
      <c r="E1682" s="2" t="str">
        <f aca="false">LEFT(C1682,3)</f>
        <v>731</v>
      </c>
      <c r="F1682" s="2" t="str">
        <f aca="false">IF(D1682="","",LEFT(D1682,3))</f>
        <v/>
      </c>
      <c r="G1682" s="2" t="str">
        <f aca="false">IF(F1682="","",IF(E1682=F1682,"Yes","No"))</f>
        <v/>
      </c>
      <c r="H1682" s="2" t="n">
        <f aca="false">IF(D1682="",0,1/COUNTIF($D$2:$D$3451,D1682))</f>
        <v>0</v>
      </c>
      <c r="I1682" s="13" t="n">
        <f aca="false">IFERROR(INDEX('NCO-2015 scores'!$C$2:$C$131,MATCH(E1682,'NCO-2015 scores'!$A$2:$A$131,0)),0)</f>
        <v>0.1688</v>
      </c>
      <c r="J1682" s="13" t="n">
        <f aca="false">IF(ISNUMBER(MATCH(E1682,'NCO-2015 scores'!$A$2:$A$131,0)),IF(ISNUMBER(INDEX('NCO-2015 scores'!$C$2:$C$131,MATCH(E1682,'NCO-2015 scores'!$A$2:$A$131,0))),1,0),0)</f>
        <v>1</v>
      </c>
    </row>
    <row r="1683" customFormat="false" ht="15" hidden="false" customHeight="false" outlineLevel="0" collapsed="false">
      <c r="A1683" s="2" t="n">
        <v>1679</v>
      </c>
      <c r="B1683" s="2" t="s">
        <v>5072</v>
      </c>
      <c r="C1683" s="2" t="s">
        <v>5073</v>
      </c>
      <c r="D1683" s="2"/>
      <c r="E1683" s="2" t="str">
        <f aca="false">LEFT(C1683,3)</f>
        <v>731</v>
      </c>
      <c r="F1683" s="2" t="str">
        <f aca="false">IF(D1683="","",LEFT(D1683,3))</f>
        <v/>
      </c>
      <c r="G1683" s="2" t="str">
        <f aca="false">IF(F1683="","",IF(E1683=F1683,"Yes","No"))</f>
        <v/>
      </c>
      <c r="H1683" s="2" t="n">
        <f aca="false">IF(D1683="",0,1/COUNTIF($D$2:$D$3451,D1683))</f>
        <v>0</v>
      </c>
      <c r="I1683" s="13" t="n">
        <f aca="false">IFERROR(INDEX('NCO-2015 scores'!$C$2:$C$131,MATCH(E1683,'NCO-2015 scores'!$A$2:$A$131,0)),0)</f>
        <v>0.1688</v>
      </c>
      <c r="J1683" s="13" t="n">
        <f aca="false">IF(ISNUMBER(MATCH(E1683,'NCO-2015 scores'!$A$2:$A$131,0)),IF(ISNUMBER(INDEX('NCO-2015 scores'!$C$2:$C$131,MATCH(E1683,'NCO-2015 scores'!$A$2:$A$131,0))),1,0),0)</f>
        <v>1</v>
      </c>
    </row>
    <row r="1684" customFormat="false" ht="15" hidden="false" customHeight="false" outlineLevel="0" collapsed="false">
      <c r="A1684" s="2" t="n">
        <v>1680</v>
      </c>
      <c r="B1684" s="2" t="s">
        <v>5074</v>
      </c>
      <c r="C1684" s="2" t="s">
        <v>5075</v>
      </c>
      <c r="D1684" s="2"/>
      <c r="E1684" s="2" t="str">
        <f aca="false">LEFT(C1684,3)</f>
        <v>731</v>
      </c>
      <c r="F1684" s="2" t="str">
        <f aca="false">IF(D1684="","",LEFT(D1684,3))</f>
        <v/>
      </c>
      <c r="G1684" s="2" t="str">
        <f aca="false">IF(F1684="","",IF(E1684=F1684,"Yes","No"))</f>
        <v/>
      </c>
      <c r="H1684" s="2" t="n">
        <f aca="false">IF(D1684="",0,1/COUNTIF($D$2:$D$3451,D1684))</f>
        <v>0</v>
      </c>
      <c r="I1684" s="13" t="n">
        <f aca="false">IFERROR(INDEX('NCO-2015 scores'!$C$2:$C$131,MATCH(E1684,'NCO-2015 scores'!$A$2:$A$131,0)),0)</f>
        <v>0.1688</v>
      </c>
      <c r="J1684" s="13" t="n">
        <f aca="false">IF(ISNUMBER(MATCH(E1684,'NCO-2015 scores'!$A$2:$A$131,0)),IF(ISNUMBER(INDEX('NCO-2015 scores'!$C$2:$C$131,MATCH(E1684,'NCO-2015 scores'!$A$2:$A$131,0))),1,0),0)</f>
        <v>1</v>
      </c>
    </row>
    <row r="1685" customFormat="false" ht="15" hidden="false" customHeight="false" outlineLevel="0" collapsed="false">
      <c r="A1685" s="2" t="n">
        <v>1681</v>
      </c>
      <c r="B1685" s="2" t="s">
        <v>5076</v>
      </c>
      <c r="C1685" s="2" t="s">
        <v>5077</v>
      </c>
      <c r="D1685" s="2"/>
      <c r="E1685" s="2" t="str">
        <f aca="false">LEFT(C1685,3)</f>
        <v>731</v>
      </c>
      <c r="F1685" s="2" t="str">
        <f aca="false">IF(D1685="","",LEFT(D1685,3))</f>
        <v/>
      </c>
      <c r="G1685" s="2" t="str">
        <f aca="false">IF(F1685="","",IF(E1685=F1685,"Yes","No"))</f>
        <v/>
      </c>
      <c r="H1685" s="2" t="n">
        <f aca="false">IF(D1685="",0,1/COUNTIF($D$2:$D$3451,D1685))</f>
        <v>0</v>
      </c>
      <c r="I1685" s="13" t="n">
        <f aca="false">IFERROR(INDEX('NCO-2015 scores'!$C$2:$C$131,MATCH(E1685,'NCO-2015 scores'!$A$2:$A$131,0)),0)</f>
        <v>0.1688</v>
      </c>
      <c r="J1685" s="13" t="n">
        <f aca="false">IF(ISNUMBER(MATCH(E1685,'NCO-2015 scores'!$A$2:$A$131,0)),IF(ISNUMBER(INDEX('NCO-2015 scores'!$C$2:$C$131,MATCH(E1685,'NCO-2015 scores'!$A$2:$A$131,0))),1,0),0)</f>
        <v>1</v>
      </c>
    </row>
    <row r="1686" customFormat="false" ht="15" hidden="false" customHeight="false" outlineLevel="0" collapsed="false">
      <c r="A1686" s="2" t="n">
        <v>1682</v>
      </c>
      <c r="B1686" s="2" t="s">
        <v>5078</v>
      </c>
      <c r="C1686" s="2" t="s">
        <v>5079</v>
      </c>
      <c r="D1686" s="2"/>
      <c r="E1686" s="2" t="str">
        <f aca="false">LEFT(C1686,3)</f>
        <v>731</v>
      </c>
      <c r="F1686" s="2" t="str">
        <f aca="false">IF(D1686="","",LEFT(D1686,3))</f>
        <v/>
      </c>
      <c r="G1686" s="2" t="str">
        <f aca="false">IF(F1686="","",IF(E1686=F1686,"Yes","No"))</f>
        <v/>
      </c>
      <c r="H1686" s="2" t="n">
        <f aca="false">IF(D1686="",0,1/COUNTIF($D$2:$D$3451,D1686))</f>
        <v>0</v>
      </c>
      <c r="I1686" s="13" t="n">
        <f aca="false">IFERROR(INDEX('NCO-2015 scores'!$C$2:$C$131,MATCH(E1686,'NCO-2015 scores'!$A$2:$A$131,0)),0)</f>
        <v>0.1688</v>
      </c>
      <c r="J1686" s="13" t="n">
        <f aca="false">IF(ISNUMBER(MATCH(E1686,'NCO-2015 scores'!$A$2:$A$131,0)),IF(ISNUMBER(INDEX('NCO-2015 scores'!$C$2:$C$131,MATCH(E1686,'NCO-2015 scores'!$A$2:$A$131,0))),1,0),0)</f>
        <v>1</v>
      </c>
    </row>
    <row r="1687" customFormat="false" ht="15" hidden="false" customHeight="false" outlineLevel="0" collapsed="false">
      <c r="A1687" s="2" t="n">
        <v>1683</v>
      </c>
      <c r="B1687" s="2" t="s">
        <v>5080</v>
      </c>
      <c r="C1687" s="2" t="s">
        <v>5081</v>
      </c>
      <c r="D1687" s="2"/>
      <c r="E1687" s="2" t="str">
        <f aca="false">LEFT(C1687,3)</f>
        <v>731</v>
      </c>
      <c r="F1687" s="2" t="str">
        <f aca="false">IF(D1687="","",LEFT(D1687,3))</f>
        <v/>
      </c>
      <c r="G1687" s="2" t="str">
        <f aca="false">IF(F1687="","",IF(E1687=F1687,"Yes","No"))</f>
        <v/>
      </c>
      <c r="H1687" s="2" t="n">
        <f aca="false">IF(D1687="",0,1/COUNTIF($D$2:$D$3451,D1687))</f>
        <v>0</v>
      </c>
      <c r="I1687" s="13" t="n">
        <f aca="false">IFERROR(INDEX('NCO-2015 scores'!$C$2:$C$131,MATCH(E1687,'NCO-2015 scores'!$A$2:$A$131,0)),0)</f>
        <v>0.1688</v>
      </c>
      <c r="J1687" s="13" t="n">
        <f aca="false">IF(ISNUMBER(MATCH(E1687,'NCO-2015 scores'!$A$2:$A$131,0)),IF(ISNUMBER(INDEX('NCO-2015 scores'!$C$2:$C$131,MATCH(E1687,'NCO-2015 scores'!$A$2:$A$131,0))),1,0),0)</f>
        <v>1</v>
      </c>
    </row>
    <row r="1688" customFormat="false" ht="15" hidden="false" customHeight="false" outlineLevel="0" collapsed="false">
      <c r="A1688" s="2" t="n">
        <v>1684</v>
      </c>
      <c r="B1688" s="2" t="s">
        <v>5082</v>
      </c>
      <c r="C1688" s="2" t="s">
        <v>5083</v>
      </c>
      <c r="D1688" s="2"/>
      <c r="E1688" s="2" t="str">
        <f aca="false">LEFT(C1688,3)</f>
        <v>731</v>
      </c>
      <c r="F1688" s="2" t="str">
        <f aca="false">IF(D1688="","",LEFT(D1688,3))</f>
        <v/>
      </c>
      <c r="G1688" s="2" t="str">
        <f aca="false">IF(F1688="","",IF(E1688=F1688,"Yes","No"))</f>
        <v/>
      </c>
      <c r="H1688" s="2" t="n">
        <f aca="false">IF(D1688="",0,1/COUNTIF($D$2:$D$3451,D1688))</f>
        <v>0</v>
      </c>
      <c r="I1688" s="13" t="n">
        <f aca="false">IFERROR(INDEX('NCO-2015 scores'!$C$2:$C$131,MATCH(E1688,'NCO-2015 scores'!$A$2:$A$131,0)),0)</f>
        <v>0.1688</v>
      </c>
      <c r="J1688" s="13" t="n">
        <f aca="false">IF(ISNUMBER(MATCH(E1688,'NCO-2015 scores'!$A$2:$A$131,0)),IF(ISNUMBER(INDEX('NCO-2015 scores'!$C$2:$C$131,MATCH(E1688,'NCO-2015 scores'!$A$2:$A$131,0))),1,0),0)</f>
        <v>1</v>
      </c>
    </row>
    <row r="1689" customFormat="false" ht="15" hidden="false" customHeight="false" outlineLevel="0" collapsed="false">
      <c r="A1689" s="2" t="n">
        <v>1685</v>
      </c>
      <c r="B1689" s="2" t="s">
        <v>5084</v>
      </c>
      <c r="C1689" s="2" t="s">
        <v>5085</v>
      </c>
      <c r="D1689" s="2"/>
      <c r="E1689" s="2" t="str">
        <f aca="false">LEFT(C1689,3)</f>
        <v>731</v>
      </c>
      <c r="F1689" s="2" t="str">
        <f aca="false">IF(D1689="","",LEFT(D1689,3))</f>
        <v/>
      </c>
      <c r="G1689" s="2" t="str">
        <f aca="false">IF(F1689="","",IF(E1689=F1689,"Yes","No"))</f>
        <v/>
      </c>
      <c r="H1689" s="2" t="n">
        <f aca="false">IF(D1689="",0,1/COUNTIF($D$2:$D$3451,D1689))</f>
        <v>0</v>
      </c>
      <c r="I1689" s="13" t="n">
        <f aca="false">IFERROR(INDEX('NCO-2015 scores'!$C$2:$C$131,MATCH(E1689,'NCO-2015 scores'!$A$2:$A$131,0)),0)</f>
        <v>0.1688</v>
      </c>
      <c r="J1689" s="13" t="n">
        <f aca="false">IF(ISNUMBER(MATCH(E1689,'NCO-2015 scores'!$A$2:$A$131,0)),IF(ISNUMBER(INDEX('NCO-2015 scores'!$C$2:$C$131,MATCH(E1689,'NCO-2015 scores'!$A$2:$A$131,0))),1,0),0)</f>
        <v>1</v>
      </c>
    </row>
    <row r="1690" customFormat="false" ht="15" hidden="false" customHeight="false" outlineLevel="0" collapsed="false">
      <c r="A1690" s="2" t="n">
        <v>1686</v>
      </c>
      <c r="B1690" s="2" t="s">
        <v>5086</v>
      </c>
      <c r="C1690" s="2" t="s">
        <v>5087</v>
      </c>
      <c r="D1690" s="2"/>
      <c r="E1690" s="2" t="str">
        <f aca="false">LEFT(C1690,3)</f>
        <v>731</v>
      </c>
      <c r="F1690" s="2" t="str">
        <f aca="false">IF(D1690="","",LEFT(D1690,3))</f>
        <v/>
      </c>
      <c r="G1690" s="2" t="str">
        <f aca="false">IF(F1690="","",IF(E1690=F1690,"Yes","No"))</f>
        <v/>
      </c>
      <c r="H1690" s="2" t="n">
        <f aca="false">IF(D1690="",0,1/COUNTIF($D$2:$D$3451,D1690))</f>
        <v>0</v>
      </c>
      <c r="I1690" s="13" t="n">
        <f aca="false">IFERROR(INDEX('NCO-2015 scores'!$C$2:$C$131,MATCH(E1690,'NCO-2015 scores'!$A$2:$A$131,0)),0)</f>
        <v>0.1688</v>
      </c>
      <c r="J1690" s="13" t="n">
        <f aca="false">IF(ISNUMBER(MATCH(E1690,'NCO-2015 scores'!$A$2:$A$131,0)),IF(ISNUMBER(INDEX('NCO-2015 scores'!$C$2:$C$131,MATCH(E1690,'NCO-2015 scores'!$A$2:$A$131,0))),1,0),0)</f>
        <v>1</v>
      </c>
    </row>
    <row r="1691" customFormat="false" ht="15" hidden="false" customHeight="false" outlineLevel="0" collapsed="false">
      <c r="A1691" s="2" t="n">
        <v>1687</v>
      </c>
      <c r="B1691" s="2" t="s">
        <v>5088</v>
      </c>
      <c r="C1691" s="2" t="s">
        <v>5089</v>
      </c>
      <c r="D1691" s="2" t="s">
        <v>5090</v>
      </c>
      <c r="E1691" s="2" t="str">
        <f aca="false">LEFT(C1691,3)</f>
        <v>731</v>
      </c>
      <c r="F1691" s="2" t="str">
        <f aca="false">IF(D1691="","",LEFT(D1691,3))</f>
        <v>731</v>
      </c>
      <c r="G1691" s="2" t="str">
        <f aca="false">IF(F1691="","",IF(E1691=F1691,"Yes","No"))</f>
        <v>Yes</v>
      </c>
      <c r="H1691" s="2" t="n">
        <f aca="false">IF(D1691="",0,1/COUNTIF($D$2:$D$3451,D1691))</f>
        <v>1</v>
      </c>
      <c r="I1691" s="13" t="n">
        <f aca="false">IFERROR(INDEX('NCO-2015 scores'!$C$2:$C$131,MATCH(E1691,'NCO-2015 scores'!$A$2:$A$131,0)),0)</f>
        <v>0.1688</v>
      </c>
      <c r="J1691" s="13" t="n">
        <f aca="false">IF(ISNUMBER(MATCH(E1691,'NCO-2015 scores'!$A$2:$A$131,0)),IF(ISNUMBER(INDEX('NCO-2015 scores'!$C$2:$C$131,MATCH(E1691,'NCO-2015 scores'!$A$2:$A$131,0))),1,0),0)</f>
        <v>1</v>
      </c>
    </row>
    <row r="1692" customFormat="false" ht="15" hidden="false" customHeight="false" outlineLevel="0" collapsed="false">
      <c r="A1692" s="2" t="n">
        <v>1688</v>
      </c>
      <c r="B1692" s="2" t="s">
        <v>5091</v>
      </c>
      <c r="C1692" s="2" t="s">
        <v>5092</v>
      </c>
      <c r="D1692" s="2" t="s">
        <v>5093</v>
      </c>
      <c r="E1692" s="2" t="str">
        <f aca="false">LEFT(C1692,3)</f>
        <v>731</v>
      </c>
      <c r="F1692" s="2" t="str">
        <f aca="false">IF(D1692="","",LEFT(D1692,3))</f>
        <v>731</v>
      </c>
      <c r="G1692" s="2" t="str">
        <f aca="false">IF(F1692="","",IF(E1692=F1692,"Yes","No"))</f>
        <v>Yes</v>
      </c>
      <c r="H1692" s="2" t="n">
        <f aca="false">IF(D1692="",0,1/COUNTIF($D$2:$D$3451,D1692))</f>
        <v>1</v>
      </c>
      <c r="I1692" s="13" t="n">
        <f aca="false">IFERROR(INDEX('NCO-2015 scores'!$C$2:$C$131,MATCH(E1692,'NCO-2015 scores'!$A$2:$A$131,0)),0)</f>
        <v>0.1688</v>
      </c>
      <c r="J1692" s="13" t="n">
        <f aca="false">IF(ISNUMBER(MATCH(E1692,'NCO-2015 scores'!$A$2:$A$131,0)),IF(ISNUMBER(INDEX('NCO-2015 scores'!$C$2:$C$131,MATCH(E1692,'NCO-2015 scores'!$A$2:$A$131,0))),1,0),0)</f>
        <v>1</v>
      </c>
    </row>
    <row r="1693" customFormat="false" ht="15" hidden="false" customHeight="false" outlineLevel="0" collapsed="false">
      <c r="A1693" s="2" t="n">
        <v>1689</v>
      </c>
      <c r="B1693" s="2" t="s">
        <v>5094</v>
      </c>
      <c r="C1693" s="2" t="s">
        <v>5095</v>
      </c>
      <c r="D1693" s="2"/>
      <c r="E1693" s="2" t="str">
        <f aca="false">LEFT(C1693,3)</f>
        <v>731</v>
      </c>
      <c r="F1693" s="2" t="str">
        <f aca="false">IF(D1693="","",LEFT(D1693,3))</f>
        <v/>
      </c>
      <c r="G1693" s="2" t="str">
        <f aca="false">IF(F1693="","",IF(E1693=F1693,"Yes","No"))</f>
        <v/>
      </c>
      <c r="H1693" s="2" t="n">
        <f aca="false">IF(D1693="",0,1/COUNTIF($D$2:$D$3451,D1693))</f>
        <v>0</v>
      </c>
      <c r="I1693" s="13" t="n">
        <f aca="false">IFERROR(INDEX('NCO-2015 scores'!$C$2:$C$131,MATCH(E1693,'NCO-2015 scores'!$A$2:$A$131,0)),0)</f>
        <v>0.1688</v>
      </c>
      <c r="J1693" s="13" t="n">
        <f aca="false">IF(ISNUMBER(MATCH(E1693,'NCO-2015 scores'!$A$2:$A$131,0)),IF(ISNUMBER(INDEX('NCO-2015 scores'!$C$2:$C$131,MATCH(E1693,'NCO-2015 scores'!$A$2:$A$131,0))),1,0),0)</f>
        <v>1</v>
      </c>
    </row>
    <row r="1694" customFormat="false" ht="15" hidden="false" customHeight="false" outlineLevel="0" collapsed="false">
      <c r="A1694" s="2" t="n">
        <v>1690</v>
      </c>
      <c r="B1694" s="2" t="s">
        <v>5096</v>
      </c>
      <c r="C1694" s="2" t="s">
        <v>5097</v>
      </c>
      <c r="D1694" s="2" t="s">
        <v>5098</v>
      </c>
      <c r="E1694" s="2" t="str">
        <f aca="false">LEFT(C1694,3)</f>
        <v>731</v>
      </c>
      <c r="F1694" s="2" t="str">
        <f aca="false">IF(D1694="","",LEFT(D1694,3))</f>
        <v>731</v>
      </c>
      <c r="G1694" s="2" t="str">
        <f aca="false">IF(F1694="","",IF(E1694=F1694,"Yes","No"))</f>
        <v>Yes</v>
      </c>
      <c r="H1694" s="2" t="n">
        <f aca="false">IF(D1694="",0,1/COUNTIF($D$2:$D$3451,D1694))</f>
        <v>1</v>
      </c>
      <c r="I1694" s="13" t="n">
        <f aca="false">IFERROR(INDEX('NCO-2015 scores'!$C$2:$C$131,MATCH(E1694,'NCO-2015 scores'!$A$2:$A$131,0)),0)</f>
        <v>0.1688</v>
      </c>
      <c r="J1694" s="13" t="n">
        <f aca="false">IF(ISNUMBER(MATCH(E1694,'NCO-2015 scores'!$A$2:$A$131,0)),IF(ISNUMBER(INDEX('NCO-2015 scores'!$C$2:$C$131,MATCH(E1694,'NCO-2015 scores'!$A$2:$A$131,0))),1,0),0)</f>
        <v>1</v>
      </c>
    </row>
    <row r="1695" customFormat="false" ht="15" hidden="false" customHeight="false" outlineLevel="0" collapsed="false">
      <c r="A1695" s="2" t="n">
        <v>1691</v>
      </c>
      <c r="B1695" s="2" t="s">
        <v>5099</v>
      </c>
      <c r="C1695" s="2" t="s">
        <v>5100</v>
      </c>
      <c r="D1695" s="2" t="s">
        <v>5101</v>
      </c>
      <c r="E1695" s="2" t="str">
        <f aca="false">LEFT(C1695,3)</f>
        <v>731</v>
      </c>
      <c r="F1695" s="2" t="str">
        <f aca="false">IF(D1695="","",LEFT(D1695,3))</f>
        <v>731</v>
      </c>
      <c r="G1695" s="2" t="str">
        <f aca="false">IF(F1695="","",IF(E1695=F1695,"Yes","No"))</f>
        <v>Yes</v>
      </c>
      <c r="H1695" s="2" t="n">
        <f aca="false">IF(D1695="",0,1/COUNTIF($D$2:$D$3451,D1695))</f>
        <v>1</v>
      </c>
      <c r="I1695" s="13" t="n">
        <f aca="false">IFERROR(INDEX('NCO-2015 scores'!$C$2:$C$131,MATCH(E1695,'NCO-2015 scores'!$A$2:$A$131,0)),0)</f>
        <v>0.1688</v>
      </c>
      <c r="J1695" s="13" t="n">
        <f aca="false">IF(ISNUMBER(MATCH(E1695,'NCO-2015 scores'!$A$2:$A$131,0)),IF(ISNUMBER(INDEX('NCO-2015 scores'!$C$2:$C$131,MATCH(E1695,'NCO-2015 scores'!$A$2:$A$131,0))),1,0),0)</f>
        <v>1</v>
      </c>
    </row>
    <row r="1696" customFormat="false" ht="15" hidden="false" customHeight="false" outlineLevel="0" collapsed="false">
      <c r="A1696" s="2" t="n">
        <v>1692</v>
      </c>
      <c r="B1696" s="2" t="s">
        <v>5102</v>
      </c>
      <c r="C1696" s="2" t="s">
        <v>5103</v>
      </c>
      <c r="D1696" s="2" t="s">
        <v>5104</v>
      </c>
      <c r="E1696" s="2" t="str">
        <f aca="false">LEFT(C1696,3)</f>
        <v>731</v>
      </c>
      <c r="F1696" s="2" t="str">
        <f aca="false">IF(D1696="","",LEFT(D1696,3))</f>
        <v>731</v>
      </c>
      <c r="G1696" s="2" t="str">
        <f aca="false">IF(F1696="","",IF(E1696=F1696,"Yes","No"))</f>
        <v>Yes</v>
      </c>
      <c r="H1696" s="2" t="n">
        <f aca="false">IF(D1696="",0,1/COUNTIF($D$2:$D$3451,D1696))</f>
        <v>1</v>
      </c>
      <c r="I1696" s="13" t="n">
        <f aca="false">IFERROR(INDEX('NCO-2015 scores'!$C$2:$C$131,MATCH(E1696,'NCO-2015 scores'!$A$2:$A$131,0)),0)</f>
        <v>0.1688</v>
      </c>
      <c r="J1696" s="13" t="n">
        <f aca="false">IF(ISNUMBER(MATCH(E1696,'NCO-2015 scores'!$A$2:$A$131,0)),IF(ISNUMBER(INDEX('NCO-2015 scores'!$C$2:$C$131,MATCH(E1696,'NCO-2015 scores'!$A$2:$A$131,0))),1,0),0)</f>
        <v>1</v>
      </c>
    </row>
    <row r="1697" customFormat="false" ht="15" hidden="false" customHeight="false" outlineLevel="0" collapsed="false">
      <c r="A1697" s="2" t="n">
        <v>1693</v>
      </c>
      <c r="B1697" s="2" t="s">
        <v>5105</v>
      </c>
      <c r="C1697" s="2" t="s">
        <v>5106</v>
      </c>
      <c r="D1697" s="2" t="s">
        <v>5107</v>
      </c>
      <c r="E1697" s="2" t="str">
        <f aca="false">LEFT(C1697,3)</f>
        <v>731</v>
      </c>
      <c r="F1697" s="2" t="str">
        <f aca="false">IF(D1697="","",LEFT(D1697,3))</f>
        <v>731</v>
      </c>
      <c r="G1697" s="2" t="str">
        <f aca="false">IF(F1697="","",IF(E1697=F1697,"Yes","No"))</f>
        <v>Yes</v>
      </c>
      <c r="H1697" s="2" t="n">
        <f aca="false">IF(D1697="",0,1/COUNTIF($D$2:$D$3451,D1697))</f>
        <v>1</v>
      </c>
      <c r="I1697" s="13" t="n">
        <f aca="false">IFERROR(INDEX('NCO-2015 scores'!$C$2:$C$131,MATCH(E1697,'NCO-2015 scores'!$A$2:$A$131,0)),0)</f>
        <v>0.1688</v>
      </c>
      <c r="J1697" s="13" t="n">
        <f aca="false">IF(ISNUMBER(MATCH(E1697,'NCO-2015 scores'!$A$2:$A$131,0)),IF(ISNUMBER(INDEX('NCO-2015 scores'!$C$2:$C$131,MATCH(E1697,'NCO-2015 scores'!$A$2:$A$131,0))),1,0),0)</f>
        <v>1</v>
      </c>
    </row>
    <row r="1698" customFormat="false" ht="15" hidden="false" customHeight="false" outlineLevel="0" collapsed="false">
      <c r="A1698" s="2" t="n">
        <v>1694</v>
      </c>
      <c r="B1698" s="2" t="s">
        <v>5108</v>
      </c>
      <c r="C1698" s="2" t="s">
        <v>5109</v>
      </c>
      <c r="D1698" s="2" t="s">
        <v>5110</v>
      </c>
      <c r="E1698" s="2" t="str">
        <f aca="false">LEFT(C1698,3)</f>
        <v>264</v>
      </c>
      <c r="F1698" s="2" t="str">
        <f aca="false">IF(D1698="","",LEFT(D1698,3))</f>
        <v>245</v>
      </c>
      <c r="G1698" s="2" t="str">
        <f aca="false">IF(F1698="","",IF(E1698=F1698,"Yes","No"))</f>
        <v>No</v>
      </c>
      <c r="H1698" s="2" t="n">
        <f aca="false">IF(D1698="",0,1/COUNTIF($D$2:$D$3451,D1698))</f>
        <v>1</v>
      </c>
      <c r="I1698" s="13" t="n">
        <f aca="false">IFERROR(INDEX('NCO-2015 scores'!$C$2:$C$131,MATCH(E1698,'NCO-2015 scores'!$A$2:$A$131,0)),0)</f>
        <v>0.56</v>
      </c>
      <c r="J1698" s="13" t="n">
        <f aca="false">IF(ISNUMBER(MATCH(E1698,'NCO-2015 scores'!$A$2:$A$131,0)),IF(ISNUMBER(INDEX('NCO-2015 scores'!$C$2:$C$131,MATCH(E1698,'NCO-2015 scores'!$A$2:$A$131,0))),1,0),0)</f>
        <v>1</v>
      </c>
    </row>
    <row r="1699" customFormat="false" ht="15" hidden="false" customHeight="false" outlineLevel="0" collapsed="false">
      <c r="A1699" s="2" t="n">
        <v>1695</v>
      </c>
      <c r="B1699" s="2" t="s">
        <v>5111</v>
      </c>
      <c r="C1699" s="2" t="s">
        <v>5112</v>
      </c>
      <c r="D1699" s="2" t="s">
        <v>5113</v>
      </c>
      <c r="E1699" s="2" t="str">
        <f aca="false">LEFT(C1699,3)</f>
        <v>264</v>
      </c>
      <c r="F1699" s="2" t="str">
        <f aca="false">IF(D1699="","",LEFT(D1699,3))</f>
        <v>245</v>
      </c>
      <c r="G1699" s="2" t="str">
        <f aca="false">IF(F1699="","",IF(E1699=F1699,"Yes","No"))</f>
        <v>No</v>
      </c>
      <c r="H1699" s="2" t="n">
        <f aca="false">IF(D1699="",0,1/COUNTIF($D$2:$D$3451,D1699))</f>
        <v>1</v>
      </c>
      <c r="I1699" s="13" t="n">
        <f aca="false">IFERROR(INDEX('NCO-2015 scores'!$C$2:$C$131,MATCH(E1699,'NCO-2015 scores'!$A$2:$A$131,0)),0)</f>
        <v>0.56</v>
      </c>
      <c r="J1699" s="13" t="n">
        <f aca="false">IF(ISNUMBER(MATCH(E1699,'NCO-2015 scores'!$A$2:$A$131,0)),IF(ISNUMBER(INDEX('NCO-2015 scores'!$C$2:$C$131,MATCH(E1699,'NCO-2015 scores'!$A$2:$A$131,0))),1,0),0)</f>
        <v>1</v>
      </c>
    </row>
    <row r="1700" customFormat="false" ht="15" hidden="false" customHeight="false" outlineLevel="0" collapsed="false">
      <c r="A1700" s="2" t="n">
        <v>1696</v>
      </c>
      <c r="B1700" s="2" t="s">
        <v>5114</v>
      </c>
      <c r="C1700" s="2" t="s">
        <v>5115</v>
      </c>
      <c r="D1700" s="2" t="s">
        <v>5116</v>
      </c>
      <c r="E1700" s="2" t="str">
        <f aca="false">LEFT(C1700,3)</f>
        <v>264</v>
      </c>
      <c r="F1700" s="2" t="str">
        <f aca="false">IF(D1700="","",LEFT(D1700,3))</f>
        <v>245</v>
      </c>
      <c r="G1700" s="2" t="str">
        <f aca="false">IF(F1700="","",IF(E1700=F1700,"Yes","No"))</f>
        <v>No</v>
      </c>
      <c r="H1700" s="2" t="n">
        <f aca="false">IF(D1700="",0,1/COUNTIF($D$2:$D$3451,D1700))</f>
        <v>1</v>
      </c>
      <c r="I1700" s="13" t="n">
        <f aca="false">IFERROR(INDEX('NCO-2015 scores'!$C$2:$C$131,MATCH(E1700,'NCO-2015 scores'!$A$2:$A$131,0)),0)</f>
        <v>0.56</v>
      </c>
      <c r="J1700" s="13" t="n">
        <f aca="false">IF(ISNUMBER(MATCH(E1700,'NCO-2015 scores'!$A$2:$A$131,0)),IF(ISNUMBER(INDEX('NCO-2015 scores'!$C$2:$C$131,MATCH(E1700,'NCO-2015 scores'!$A$2:$A$131,0))),1,0),0)</f>
        <v>1</v>
      </c>
    </row>
    <row r="1701" customFormat="false" ht="15" hidden="false" customHeight="false" outlineLevel="0" collapsed="false">
      <c r="A1701" s="2" t="n">
        <v>1697</v>
      </c>
      <c r="B1701" s="2" t="s">
        <v>5117</v>
      </c>
      <c r="C1701" s="2" t="s">
        <v>5118</v>
      </c>
      <c r="D1701" s="2" t="s">
        <v>5119</v>
      </c>
      <c r="E1701" s="2" t="str">
        <f aca="false">LEFT(C1701,3)</f>
        <v>264</v>
      </c>
      <c r="F1701" s="2" t="str">
        <f aca="false">IF(D1701="","",LEFT(D1701,3))</f>
        <v>245</v>
      </c>
      <c r="G1701" s="2" t="str">
        <f aca="false">IF(F1701="","",IF(E1701=F1701,"Yes","No"))</f>
        <v>No</v>
      </c>
      <c r="H1701" s="2" t="n">
        <f aca="false">IF(D1701="",0,1/COUNTIF($D$2:$D$3451,D1701))</f>
        <v>1</v>
      </c>
      <c r="I1701" s="13" t="n">
        <f aca="false">IFERROR(INDEX('NCO-2015 scores'!$C$2:$C$131,MATCH(E1701,'NCO-2015 scores'!$A$2:$A$131,0)),0)</f>
        <v>0.56</v>
      </c>
      <c r="J1701" s="13" t="n">
        <f aca="false">IF(ISNUMBER(MATCH(E1701,'NCO-2015 scores'!$A$2:$A$131,0)),IF(ISNUMBER(INDEX('NCO-2015 scores'!$C$2:$C$131,MATCH(E1701,'NCO-2015 scores'!$A$2:$A$131,0))),1,0),0)</f>
        <v>1</v>
      </c>
    </row>
    <row r="1702" customFormat="false" ht="15" hidden="false" customHeight="false" outlineLevel="0" collapsed="false">
      <c r="A1702" s="2" t="n">
        <v>1698</v>
      </c>
      <c r="B1702" s="2" t="s">
        <v>5120</v>
      </c>
      <c r="C1702" s="2" t="s">
        <v>5121</v>
      </c>
      <c r="D1702" s="2" t="s">
        <v>5122</v>
      </c>
      <c r="E1702" s="2" t="str">
        <f aca="false">LEFT(C1702,3)</f>
        <v>264</v>
      </c>
      <c r="F1702" s="2" t="str">
        <f aca="false">IF(D1702="","",LEFT(D1702,3))</f>
        <v>245</v>
      </c>
      <c r="G1702" s="2" t="str">
        <f aca="false">IF(F1702="","",IF(E1702=F1702,"Yes","No"))</f>
        <v>No</v>
      </c>
      <c r="H1702" s="2" t="n">
        <f aca="false">IF(D1702="",0,1/COUNTIF($D$2:$D$3451,D1702))</f>
        <v>1</v>
      </c>
      <c r="I1702" s="13" t="n">
        <f aca="false">IFERROR(INDEX('NCO-2015 scores'!$C$2:$C$131,MATCH(E1702,'NCO-2015 scores'!$A$2:$A$131,0)),0)</f>
        <v>0.56</v>
      </c>
      <c r="J1702" s="13" t="n">
        <f aca="false">IF(ISNUMBER(MATCH(E1702,'NCO-2015 scores'!$A$2:$A$131,0)),IF(ISNUMBER(INDEX('NCO-2015 scores'!$C$2:$C$131,MATCH(E1702,'NCO-2015 scores'!$A$2:$A$131,0))),1,0),0)</f>
        <v>1</v>
      </c>
    </row>
    <row r="1703" customFormat="false" ht="15" hidden="false" customHeight="false" outlineLevel="0" collapsed="false">
      <c r="A1703" s="2" t="n">
        <v>1699</v>
      </c>
      <c r="B1703" s="2" t="s">
        <v>5123</v>
      </c>
      <c r="C1703" s="2" t="s">
        <v>5124</v>
      </c>
      <c r="D1703" s="2" t="s">
        <v>5125</v>
      </c>
      <c r="E1703" s="2" t="str">
        <f aca="false">LEFT(C1703,3)</f>
        <v>264</v>
      </c>
      <c r="F1703" s="2" t="str">
        <f aca="false">IF(D1703="","",LEFT(D1703,3))</f>
        <v>245</v>
      </c>
      <c r="G1703" s="2" t="str">
        <f aca="false">IF(F1703="","",IF(E1703=F1703,"Yes","No"))</f>
        <v>No</v>
      </c>
      <c r="H1703" s="2" t="n">
        <f aca="false">IF(D1703="",0,1/COUNTIF($D$2:$D$3451,D1703))</f>
        <v>1</v>
      </c>
      <c r="I1703" s="13" t="n">
        <f aca="false">IFERROR(INDEX('NCO-2015 scores'!$C$2:$C$131,MATCH(E1703,'NCO-2015 scores'!$A$2:$A$131,0)),0)</f>
        <v>0.56</v>
      </c>
      <c r="J1703" s="13" t="n">
        <f aca="false">IF(ISNUMBER(MATCH(E1703,'NCO-2015 scores'!$A$2:$A$131,0)),IF(ISNUMBER(INDEX('NCO-2015 scores'!$C$2:$C$131,MATCH(E1703,'NCO-2015 scores'!$A$2:$A$131,0))),1,0),0)</f>
        <v>1</v>
      </c>
    </row>
    <row r="1704" customFormat="false" ht="15" hidden="false" customHeight="false" outlineLevel="0" collapsed="false">
      <c r="A1704" s="2" t="n">
        <v>1700</v>
      </c>
      <c r="B1704" s="2" t="s">
        <v>5126</v>
      </c>
      <c r="C1704" s="2" t="s">
        <v>5127</v>
      </c>
      <c r="D1704" s="2" t="s">
        <v>5128</v>
      </c>
      <c r="E1704" s="2" t="str">
        <f aca="false">LEFT(C1704,3)</f>
        <v>261</v>
      </c>
      <c r="F1704" s="2" t="str">
        <f aca="false">IF(D1704="","",LEFT(D1704,3))</f>
        <v>242</v>
      </c>
      <c r="G1704" s="2" t="str">
        <f aca="false">IF(F1704="","",IF(E1704=F1704,"Yes","No"))</f>
        <v>No</v>
      </c>
      <c r="H1704" s="2" t="n">
        <f aca="false">IF(D1704="",0,1/COUNTIF($D$2:$D$3451,D1704))</f>
        <v>1</v>
      </c>
      <c r="I1704" s="13" t="n">
        <f aca="false">IFERROR(INDEX('NCO-2015 scores'!$C$2:$C$131,MATCH(E1704,'NCO-2015 scores'!$A$2:$A$131,0)),0)</f>
        <v>0.3467</v>
      </c>
      <c r="J1704" s="13" t="n">
        <f aca="false">IF(ISNUMBER(MATCH(E1704,'NCO-2015 scores'!$A$2:$A$131,0)),IF(ISNUMBER(INDEX('NCO-2015 scores'!$C$2:$C$131,MATCH(E1704,'NCO-2015 scores'!$A$2:$A$131,0))),1,0),0)</f>
        <v>1</v>
      </c>
    </row>
    <row r="1705" customFormat="false" ht="15" hidden="false" customHeight="false" outlineLevel="0" collapsed="false">
      <c r="A1705" s="2" t="n">
        <v>1701</v>
      </c>
      <c r="B1705" s="2" t="s">
        <v>5129</v>
      </c>
      <c r="C1705" s="2" t="s">
        <v>5130</v>
      </c>
      <c r="D1705" s="2" t="s">
        <v>5131</v>
      </c>
      <c r="E1705" s="2" t="str">
        <f aca="false">LEFT(C1705,3)</f>
        <v>261</v>
      </c>
      <c r="F1705" s="2" t="str">
        <f aca="false">IF(D1705="","",LEFT(D1705,3))</f>
        <v>242</v>
      </c>
      <c r="G1705" s="2" t="str">
        <f aca="false">IF(F1705="","",IF(E1705=F1705,"Yes","No"))</f>
        <v>No</v>
      </c>
      <c r="H1705" s="2" t="n">
        <f aca="false">IF(D1705="",0,1/COUNTIF($D$2:$D$3451,D1705))</f>
        <v>1</v>
      </c>
      <c r="I1705" s="13" t="n">
        <f aca="false">IFERROR(INDEX('NCO-2015 scores'!$C$2:$C$131,MATCH(E1705,'NCO-2015 scores'!$A$2:$A$131,0)),0)</f>
        <v>0.3467</v>
      </c>
      <c r="J1705" s="13" t="n">
        <f aca="false">IF(ISNUMBER(MATCH(E1705,'NCO-2015 scores'!$A$2:$A$131,0)),IF(ISNUMBER(INDEX('NCO-2015 scores'!$C$2:$C$131,MATCH(E1705,'NCO-2015 scores'!$A$2:$A$131,0))),1,0),0)</f>
        <v>1</v>
      </c>
    </row>
    <row r="1706" customFormat="false" ht="15" hidden="false" customHeight="false" outlineLevel="0" collapsed="false">
      <c r="A1706" s="2" t="n">
        <v>1702</v>
      </c>
      <c r="B1706" s="2" t="s">
        <v>5132</v>
      </c>
      <c r="C1706" s="2" t="s">
        <v>5133</v>
      </c>
      <c r="D1706" s="2" t="s">
        <v>5134</v>
      </c>
      <c r="E1706" s="2" t="str">
        <f aca="false">LEFT(C1706,3)</f>
        <v>261</v>
      </c>
      <c r="F1706" s="2" t="str">
        <f aca="false">IF(D1706="","",LEFT(D1706,3))</f>
        <v>242</v>
      </c>
      <c r="G1706" s="2" t="str">
        <f aca="false">IF(F1706="","",IF(E1706=F1706,"Yes","No"))</f>
        <v>No</v>
      </c>
      <c r="H1706" s="2" t="n">
        <f aca="false">IF(D1706="",0,1/COUNTIF($D$2:$D$3451,D1706))</f>
        <v>1</v>
      </c>
      <c r="I1706" s="13" t="n">
        <f aca="false">IFERROR(INDEX('NCO-2015 scores'!$C$2:$C$131,MATCH(E1706,'NCO-2015 scores'!$A$2:$A$131,0)),0)</f>
        <v>0.3467</v>
      </c>
      <c r="J1706" s="13" t="n">
        <f aca="false">IF(ISNUMBER(MATCH(E1706,'NCO-2015 scores'!$A$2:$A$131,0)),IF(ISNUMBER(INDEX('NCO-2015 scores'!$C$2:$C$131,MATCH(E1706,'NCO-2015 scores'!$A$2:$A$131,0))),1,0),0)</f>
        <v>1</v>
      </c>
    </row>
    <row r="1707" customFormat="false" ht="15" hidden="false" customHeight="false" outlineLevel="0" collapsed="false">
      <c r="A1707" s="2" t="n">
        <v>1703</v>
      </c>
      <c r="B1707" s="2" t="s">
        <v>5135</v>
      </c>
      <c r="C1707" s="2" t="s">
        <v>5136</v>
      </c>
      <c r="D1707" s="2" t="s">
        <v>5137</v>
      </c>
      <c r="E1707" s="2" t="str">
        <f aca="false">LEFT(C1707,3)</f>
        <v>261</v>
      </c>
      <c r="F1707" s="2" t="str">
        <f aca="false">IF(D1707="","",LEFT(D1707,3))</f>
        <v>242</v>
      </c>
      <c r="G1707" s="2" t="str">
        <f aca="false">IF(F1707="","",IF(E1707=F1707,"Yes","No"))</f>
        <v>No</v>
      </c>
      <c r="H1707" s="2" t="n">
        <f aca="false">IF(D1707="",0,1/COUNTIF($D$2:$D$3451,D1707))</f>
        <v>1</v>
      </c>
      <c r="I1707" s="13" t="n">
        <f aca="false">IFERROR(INDEX('NCO-2015 scores'!$C$2:$C$131,MATCH(E1707,'NCO-2015 scores'!$A$2:$A$131,0)),0)</f>
        <v>0.3467</v>
      </c>
      <c r="J1707" s="13" t="n">
        <f aca="false">IF(ISNUMBER(MATCH(E1707,'NCO-2015 scores'!$A$2:$A$131,0)),IF(ISNUMBER(INDEX('NCO-2015 scores'!$C$2:$C$131,MATCH(E1707,'NCO-2015 scores'!$A$2:$A$131,0))),1,0),0)</f>
        <v>1</v>
      </c>
    </row>
    <row r="1708" customFormat="false" ht="15" hidden="false" customHeight="false" outlineLevel="0" collapsed="false">
      <c r="A1708" s="2" t="n">
        <v>1704</v>
      </c>
      <c r="B1708" s="2" t="s">
        <v>5138</v>
      </c>
      <c r="C1708" s="2" t="s">
        <v>5139</v>
      </c>
      <c r="D1708" s="2" t="s">
        <v>5140</v>
      </c>
      <c r="E1708" s="2" t="str">
        <f aca="false">LEFT(C1708,3)</f>
        <v>261</v>
      </c>
      <c r="F1708" s="2" t="str">
        <f aca="false">IF(D1708="","",LEFT(D1708,3))</f>
        <v>242</v>
      </c>
      <c r="G1708" s="2" t="str">
        <f aca="false">IF(F1708="","",IF(E1708=F1708,"Yes","No"))</f>
        <v>No</v>
      </c>
      <c r="H1708" s="2" t="n">
        <f aca="false">IF(D1708="",0,1/COUNTIF($D$2:$D$3451,D1708))</f>
        <v>1</v>
      </c>
      <c r="I1708" s="13" t="n">
        <f aca="false">IFERROR(INDEX('NCO-2015 scores'!$C$2:$C$131,MATCH(E1708,'NCO-2015 scores'!$A$2:$A$131,0)),0)</f>
        <v>0.3467</v>
      </c>
      <c r="J1708" s="13" t="n">
        <f aca="false">IF(ISNUMBER(MATCH(E1708,'NCO-2015 scores'!$A$2:$A$131,0)),IF(ISNUMBER(INDEX('NCO-2015 scores'!$C$2:$C$131,MATCH(E1708,'NCO-2015 scores'!$A$2:$A$131,0))),1,0),0)</f>
        <v>1</v>
      </c>
    </row>
    <row r="1709" customFormat="false" ht="15" hidden="false" customHeight="false" outlineLevel="0" collapsed="false">
      <c r="A1709" s="2" t="n">
        <v>1705</v>
      </c>
      <c r="B1709" s="2" t="s">
        <v>5141</v>
      </c>
      <c r="C1709" s="2" t="s">
        <v>5142</v>
      </c>
      <c r="D1709" s="2" t="s">
        <v>5143</v>
      </c>
      <c r="E1709" s="2" t="str">
        <f aca="false">LEFT(C1709,3)</f>
        <v>261</v>
      </c>
      <c r="F1709" s="2" t="str">
        <f aca="false">IF(D1709="","",LEFT(D1709,3))</f>
        <v>242</v>
      </c>
      <c r="G1709" s="2" t="str">
        <f aca="false">IF(F1709="","",IF(E1709=F1709,"Yes","No"))</f>
        <v>No</v>
      </c>
      <c r="H1709" s="2" t="n">
        <f aca="false">IF(D1709="",0,1/COUNTIF($D$2:$D$3451,D1709))</f>
        <v>1</v>
      </c>
      <c r="I1709" s="13" t="n">
        <f aca="false">IFERROR(INDEX('NCO-2015 scores'!$C$2:$C$131,MATCH(E1709,'NCO-2015 scores'!$A$2:$A$131,0)),0)</f>
        <v>0.3467</v>
      </c>
      <c r="J1709" s="13" t="n">
        <f aca="false">IF(ISNUMBER(MATCH(E1709,'NCO-2015 scores'!$A$2:$A$131,0)),IF(ISNUMBER(INDEX('NCO-2015 scores'!$C$2:$C$131,MATCH(E1709,'NCO-2015 scores'!$A$2:$A$131,0))),1,0),0)</f>
        <v>1</v>
      </c>
    </row>
    <row r="1710" customFormat="false" ht="15" hidden="false" customHeight="false" outlineLevel="0" collapsed="false">
      <c r="A1710" s="2" t="n">
        <v>1706</v>
      </c>
      <c r="B1710" s="2" t="s">
        <v>5144</v>
      </c>
      <c r="C1710" s="2" t="s">
        <v>5145</v>
      </c>
      <c r="D1710" s="2" t="s">
        <v>5146</v>
      </c>
      <c r="E1710" s="2" t="str">
        <f aca="false">LEFT(C1710,3)</f>
        <v>261</v>
      </c>
      <c r="F1710" s="2" t="str">
        <f aca="false">IF(D1710="","",LEFT(D1710,3))</f>
        <v>242</v>
      </c>
      <c r="G1710" s="2" t="str">
        <f aca="false">IF(F1710="","",IF(E1710=F1710,"Yes","No"))</f>
        <v>No</v>
      </c>
      <c r="H1710" s="2" t="n">
        <f aca="false">IF(D1710="",0,1/COUNTIF($D$2:$D$3451,D1710))</f>
        <v>1</v>
      </c>
      <c r="I1710" s="13" t="n">
        <f aca="false">IFERROR(INDEX('NCO-2015 scores'!$C$2:$C$131,MATCH(E1710,'NCO-2015 scores'!$A$2:$A$131,0)),0)</f>
        <v>0.3467</v>
      </c>
      <c r="J1710" s="13" t="n">
        <f aca="false">IF(ISNUMBER(MATCH(E1710,'NCO-2015 scores'!$A$2:$A$131,0)),IF(ISNUMBER(INDEX('NCO-2015 scores'!$C$2:$C$131,MATCH(E1710,'NCO-2015 scores'!$A$2:$A$131,0))),1,0),0)</f>
        <v>1</v>
      </c>
    </row>
    <row r="1711" customFormat="false" ht="15" hidden="false" customHeight="false" outlineLevel="0" collapsed="false">
      <c r="A1711" s="2" t="n">
        <v>1707</v>
      </c>
      <c r="B1711" s="2" t="s">
        <v>5147</v>
      </c>
      <c r="C1711" s="2" t="s">
        <v>5148</v>
      </c>
      <c r="D1711" s="2" t="s">
        <v>5149</v>
      </c>
      <c r="E1711" s="2" t="str">
        <f aca="false">LEFT(C1711,3)</f>
        <v>261</v>
      </c>
      <c r="F1711" s="2" t="str">
        <f aca="false">IF(D1711="","",LEFT(D1711,3))</f>
        <v>242</v>
      </c>
      <c r="G1711" s="2" t="str">
        <f aca="false">IF(F1711="","",IF(E1711=F1711,"Yes","No"))</f>
        <v>No</v>
      </c>
      <c r="H1711" s="2" t="n">
        <f aca="false">IF(D1711="",0,1/COUNTIF($D$2:$D$3451,D1711))</f>
        <v>1</v>
      </c>
      <c r="I1711" s="13" t="n">
        <f aca="false">IFERROR(INDEX('NCO-2015 scores'!$C$2:$C$131,MATCH(E1711,'NCO-2015 scores'!$A$2:$A$131,0)),0)</f>
        <v>0.3467</v>
      </c>
      <c r="J1711" s="13" t="n">
        <f aca="false">IF(ISNUMBER(MATCH(E1711,'NCO-2015 scores'!$A$2:$A$131,0)),IF(ISNUMBER(INDEX('NCO-2015 scores'!$C$2:$C$131,MATCH(E1711,'NCO-2015 scores'!$A$2:$A$131,0))),1,0),0)</f>
        <v>1</v>
      </c>
    </row>
    <row r="1712" customFormat="false" ht="15" hidden="false" customHeight="false" outlineLevel="0" collapsed="false">
      <c r="A1712" s="2" t="n">
        <v>1708</v>
      </c>
      <c r="B1712" s="2" t="s">
        <v>5150</v>
      </c>
      <c r="C1712" s="2" t="s">
        <v>5151</v>
      </c>
      <c r="D1712" s="2" t="s">
        <v>5152</v>
      </c>
      <c r="E1712" s="2" t="str">
        <f aca="false">LEFT(C1712,3)</f>
        <v>261</v>
      </c>
      <c r="F1712" s="2" t="str">
        <f aca="false">IF(D1712="","",LEFT(D1712,3))</f>
        <v>242</v>
      </c>
      <c r="G1712" s="2" t="str">
        <f aca="false">IF(F1712="","",IF(E1712=F1712,"Yes","No"))</f>
        <v>No</v>
      </c>
      <c r="H1712" s="2" t="n">
        <f aca="false">IF(D1712="",0,1/COUNTIF($D$2:$D$3451,D1712))</f>
        <v>1</v>
      </c>
      <c r="I1712" s="13" t="n">
        <f aca="false">IFERROR(INDEX('NCO-2015 scores'!$C$2:$C$131,MATCH(E1712,'NCO-2015 scores'!$A$2:$A$131,0)),0)</f>
        <v>0.3467</v>
      </c>
      <c r="J1712" s="13" t="n">
        <f aca="false">IF(ISNUMBER(MATCH(E1712,'NCO-2015 scores'!$A$2:$A$131,0)),IF(ISNUMBER(INDEX('NCO-2015 scores'!$C$2:$C$131,MATCH(E1712,'NCO-2015 scores'!$A$2:$A$131,0))),1,0),0)</f>
        <v>1</v>
      </c>
    </row>
    <row r="1713" customFormat="false" ht="15" hidden="false" customHeight="false" outlineLevel="0" collapsed="false">
      <c r="A1713" s="2" t="n">
        <v>1709</v>
      </c>
      <c r="B1713" s="2" t="s">
        <v>5153</v>
      </c>
      <c r="C1713" s="2" t="s">
        <v>5154</v>
      </c>
      <c r="D1713" s="2" t="s">
        <v>5155</v>
      </c>
      <c r="E1713" s="2" t="str">
        <f aca="false">LEFT(C1713,3)</f>
        <v>261</v>
      </c>
      <c r="F1713" s="2" t="str">
        <f aca="false">IF(D1713="","",LEFT(D1713,3))</f>
        <v>242</v>
      </c>
      <c r="G1713" s="2" t="str">
        <f aca="false">IF(F1713="","",IF(E1713=F1713,"Yes","No"))</f>
        <v>No</v>
      </c>
      <c r="H1713" s="2" t="n">
        <f aca="false">IF(D1713="",0,1/COUNTIF($D$2:$D$3451,D1713))</f>
        <v>1</v>
      </c>
      <c r="I1713" s="13" t="n">
        <f aca="false">IFERROR(INDEX('NCO-2015 scores'!$C$2:$C$131,MATCH(E1713,'NCO-2015 scores'!$A$2:$A$131,0)),0)</f>
        <v>0.3467</v>
      </c>
      <c r="J1713" s="13" t="n">
        <f aca="false">IF(ISNUMBER(MATCH(E1713,'NCO-2015 scores'!$A$2:$A$131,0)),IF(ISNUMBER(INDEX('NCO-2015 scores'!$C$2:$C$131,MATCH(E1713,'NCO-2015 scores'!$A$2:$A$131,0))),1,0),0)</f>
        <v>1</v>
      </c>
    </row>
    <row r="1714" customFormat="false" ht="15" hidden="false" customHeight="false" outlineLevel="0" collapsed="false">
      <c r="A1714" s="2" t="n">
        <v>1710</v>
      </c>
      <c r="B1714" s="2" t="s">
        <v>5156</v>
      </c>
      <c r="C1714" s="2" t="s">
        <v>5157</v>
      </c>
      <c r="D1714" s="2" t="s">
        <v>5158</v>
      </c>
      <c r="E1714" s="2" t="str">
        <f aca="false">LEFT(C1714,3)</f>
        <v>261</v>
      </c>
      <c r="F1714" s="2" t="str">
        <f aca="false">IF(D1714="","",LEFT(D1714,3))</f>
        <v>242</v>
      </c>
      <c r="G1714" s="2" t="str">
        <f aca="false">IF(F1714="","",IF(E1714=F1714,"Yes","No"))</f>
        <v>No</v>
      </c>
      <c r="H1714" s="2" t="n">
        <f aca="false">IF(D1714="",0,1/COUNTIF($D$2:$D$3451,D1714))</f>
        <v>1</v>
      </c>
      <c r="I1714" s="13" t="n">
        <f aca="false">IFERROR(INDEX('NCO-2015 scores'!$C$2:$C$131,MATCH(E1714,'NCO-2015 scores'!$A$2:$A$131,0)),0)</f>
        <v>0.3467</v>
      </c>
      <c r="J1714" s="13" t="n">
        <f aca="false">IF(ISNUMBER(MATCH(E1714,'NCO-2015 scores'!$A$2:$A$131,0)),IF(ISNUMBER(INDEX('NCO-2015 scores'!$C$2:$C$131,MATCH(E1714,'NCO-2015 scores'!$A$2:$A$131,0))),1,0),0)</f>
        <v>1</v>
      </c>
    </row>
    <row r="1715" customFormat="false" ht="15" hidden="false" customHeight="false" outlineLevel="0" collapsed="false">
      <c r="A1715" s="2" t="n">
        <v>1711</v>
      </c>
      <c r="B1715" s="2" t="s">
        <v>5159</v>
      </c>
      <c r="C1715" s="2" t="s">
        <v>5160</v>
      </c>
      <c r="D1715" s="2" t="s">
        <v>5161</v>
      </c>
      <c r="E1715" s="2" t="str">
        <f aca="false">LEFT(C1715,3)</f>
        <v>261</v>
      </c>
      <c r="F1715" s="2" t="str">
        <f aca="false">IF(D1715="","",LEFT(D1715,3))</f>
        <v>242</v>
      </c>
      <c r="G1715" s="2" t="str">
        <f aca="false">IF(F1715="","",IF(E1715=F1715,"Yes","No"))</f>
        <v>No</v>
      </c>
      <c r="H1715" s="2" t="n">
        <f aca="false">IF(D1715="",0,1/COUNTIF($D$2:$D$3451,D1715))</f>
        <v>1</v>
      </c>
      <c r="I1715" s="13" t="n">
        <f aca="false">IFERROR(INDEX('NCO-2015 scores'!$C$2:$C$131,MATCH(E1715,'NCO-2015 scores'!$A$2:$A$131,0)),0)</f>
        <v>0.3467</v>
      </c>
      <c r="J1715" s="13" t="n">
        <f aca="false">IF(ISNUMBER(MATCH(E1715,'NCO-2015 scores'!$A$2:$A$131,0)),IF(ISNUMBER(INDEX('NCO-2015 scores'!$C$2:$C$131,MATCH(E1715,'NCO-2015 scores'!$A$2:$A$131,0))),1,0),0)</f>
        <v>1</v>
      </c>
    </row>
    <row r="1716" customFormat="false" ht="15" hidden="false" customHeight="false" outlineLevel="0" collapsed="false">
      <c r="A1716" s="2" t="n">
        <v>1712</v>
      </c>
      <c r="B1716" s="2" t="s">
        <v>5162</v>
      </c>
      <c r="C1716" s="2" t="s">
        <v>5163</v>
      </c>
      <c r="D1716" s="2" t="s">
        <v>5164</v>
      </c>
      <c r="E1716" s="2" t="str">
        <f aca="false">LEFT(C1716,3)</f>
        <v>261</v>
      </c>
      <c r="F1716" s="2" t="str">
        <f aca="false">IF(D1716="","",LEFT(D1716,3))</f>
        <v>242</v>
      </c>
      <c r="G1716" s="2" t="str">
        <f aca="false">IF(F1716="","",IF(E1716=F1716,"Yes","No"))</f>
        <v>No</v>
      </c>
      <c r="H1716" s="2" t="n">
        <f aca="false">IF(D1716="",0,1/COUNTIF($D$2:$D$3451,D1716))</f>
        <v>1</v>
      </c>
      <c r="I1716" s="13" t="n">
        <f aca="false">IFERROR(INDEX('NCO-2015 scores'!$C$2:$C$131,MATCH(E1716,'NCO-2015 scores'!$A$2:$A$131,0)),0)</f>
        <v>0.3467</v>
      </c>
      <c r="J1716" s="13" t="n">
        <f aca="false">IF(ISNUMBER(MATCH(E1716,'NCO-2015 scores'!$A$2:$A$131,0)),IF(ISNUMBER(INDEX('NCO-2015 scores'!$C$2:$C$131,MATCH(E1716,'NCO-2015 scores'!$A$2:$A$131,0))),1,0),0)</f>
        <v>1</v>
      </c>
    </row>
    <row r="1717" customFormat="false" ht="15" hidden="false" customHeight="false" outlineLevel="0" collapsed="false">
      <c r="A1717" s="2" t="n">
        <v>1713</v>
      </c>
      <c r="B1717" s="2" t="s">
        <v>5165</v>
      </c>
      <c r="C1717" s="2" t="s">
        <v>5166</v>
      </c>
      <c r="D1717" s="2" t="s">
        <v>5167</v>
      </c>
      <c r="E1717" s="2" t="str">
        <f aca="false">LEFT(C1717,3)</f>
        <v>261</v>
      </c>
      <c r="F1717" s="2" t="str">
        <f aca="false">IF(D1717="","",LEFT(D1717,3))</f>
        <v>242</v>
      </c>
      <c r="G1717" s="2" t="str">
        <f aca="false">IF(F1717="","",IF(E1717=F1717,"Yes","No"))</f>
        <v>No</v>
      </c>
      <c r="H1717" s="2" t="n">
        <f aca="false">IF(D1717="",0,1/COUNTIF($D$2:$D$3451,D1717))</f>
        <v>1</v>
      </c>
      <c r="I1717" s="13" t="n">
        <f aca="false">IFERROR(INDEX('NCO-2015 scores'!$C$2:$C$131,MATCH(E1717,'NCO-2015 scores'!$A$2:$A$131,0)),0)</f>
        <v>0.3467</v>
      </c>
      <c r="J1717" s="13" t="n">
        <f aca="false">IF(ISNUMBER(MATCH(E1717,'NCO-2015 scores'!$A$2:$A$131,0)),IF(ISNUMBER(INDEX('NCO-2015 scores'!$C$2:$C$131,MATCH(E1717,'NCO-2015 scores'!$A$2:$A$131,0))),1,0),0)</f>
        <v>1</v>
      </c>
    </row>
    <row r="1718" customFormat="false" ht="15" hidden="false" customHeight="false" outlineLevel="0" collapsed="false">
      <c r="A1718" s="2" t="n">
        <v>1714</v>
      </c>
      <c r="B1718" s="2" t="s">
        <v>5168</v>
      </c>
      <c r="C1718" s="2" t="s">
        <v>5169</v>
      </c>
      <c r="D1718" s="2" t="s">
        <v>5170</v>
      </c>
      <c r="E1718" s="2" t="str">
        <f aca="false">LEFT(C1718,3)</f>
        <v>941</v>
      </c>
      <c r="F1718" s="2" t="str">
        <f aca="false">IF(D1718="","",LEFT(D1718,3))</f>
        <v>913</v>
      </c>
      <c r="G1718" s="2" t="str">
        <f aca="false">IF(F1718="","",IF(E1718=F1718,"Yes","No"))</f>
        <v>No</v>
      </c>
      <c r="H1718" s="2" t="n">
        <f aca="false">IF(D1718="",0,1/COUNTIF($D$2:$D$3451,D1718))</f>
        <v>1</v>
      </c>
      <c r="I1718" s="13" t="n">
        <f aca="false">IFERROR(INDEX('NCO-2015 scores'!$C$2:$C$131,MATCH(E1718,'NCO-2015 scores'!$A$2:$A$131,0)),0)</f>
        <v>0.155</v>
      </c>
      <c r="J1718" s="13" t="n">
        <f aca="false">IF(ISNUMBER(MATCH(E1718,'NCO-2015 scores'!$A$2:$A$131,0)),IF(ISNUMBER(INDEX('NCO-2015 scores'!$C$2:$C$131,MATCH(E1718,'NCO-2015 scores'!$A$2:$A$131,0))),1,0),0)</f>
        <v>1</v>
      </c>
    </row>
    <row r="1719" customFormat="false" ht="15" hidden="false" customHeight="false" outlineLevel="0" collapsed="false">
      <c r="A1719" s="2" t="n">
        <v>1715</v>
      </c>
      <c r="B1719" s="2" t="s">
        <v>5171</v>
      </c>
      <c r="C1719" s="2" t="s">
        <v>5172</v>
      </c>
      <c r="D1719" s="2"/>
      <c r="E1719" s="2" t="str">
        <f aca="false">LEFT(C1719,3)</f>
        <v>815</v>
      </c>
      <c r="F1719" s="2" t="str">
        <f aca="false">IF(D1719="","",LEFT(D1719,3))</f>
        <v/>
      </c>
      <c r="G1719" s="2" t="str">
        <f aca="false">IF(F1719="","",IF(E1719=F1719,"Yes","No"))</f>
        <v/>
      </c>
      <c r="H1719" s="2" t="n">
        <f aca="false">IF(D1719="",0,1/COUNTIF($D$2:$D$3451,D1719))</f>
        <v>0</v>
      </c>
      <c r="I1719" s="13" t="n">
        <f aca="false">IFERROR(INDEX('NCO-2015 scores'!$C$2:$C$131,MATCH(E1719,'NCO-2015 scores'!$A$2:$A$131,0)),0)</f>
        <v>0.1625</v>
      </c>
      <c r="J1719" s="13" t="n">
        <f aca="false">IF(ISNUMBER(MATCH(E1719,'NCO-2015 scores'!$A$2:$A$131,0)),IF(ISNUMBER(INDEX('NCO-2015 scores'!$C$2:$C$131,MATCH(E1719,'NCO-2015 scores'!$A$2:$A$131,0))),1,0),0)</f>
        <v>1</v>
      </c>
    </row>
    <row r="1720" customFormat="false" ht="15" hidden="false" customHeight="false" outlineLevel="0" collapsed="false">
      <c r="A1720" s="2" t="n">
        <v>1716</v>
      </c>
      <c r="B1720" s="2" t="s">
        <v>5173</v>
      </c>
      <c r="C1720" s="2" t="s">
        <v>5174</v>
      </c>
      <c r="D1720" s="2" t="s">
        <v>5175</v>
      </c>
      <c r="E1720" s="2" t="str">
        <f aca="false">LEFT(C1720,3)</f>
        <v>815</v>
      </c>
      <c r="F1720" s="2" t="str">
        <f aca="false">IF(D1720="","",LEFT(D1720,3))</f>
        <v>826</v>
      </c>
      <c r="G1720" s="2" t="str">
        <f aca="false">IF(F1720="","",IF(E1720=F1720,"Yes","No"))</f>
        <v>No</v>
      </c>
      <c r="H1720" s="2" t="n">
        <f aca="false">IF(D1720="",0,1/COUNTIF($D$2:$D$3451,D1720))</f>
        <v>1</v>
      </c>
      <c r="I1720" s="13" t="n">
        <f aca="false">IFERROR(INDEX('NCO-2015 scores'!$C$2:$C$131,MATCH(E1720,'NCO-2015 scores'!$A$2:$A$131,0)),0)</f>
        <v>0.1625</v>
      </c>
      <c r="J1720" s="13" t="n">
        <f aca="false">IF(ISNUMBER(MATCH(E1720,'NCO-2015 scores'!$A$2:$A$131,0)),IF(ISNUMBER(INDEX('NCO-2015 scores'!$C$2:$C$131,MATCH(E1720,'NCO-2015 scores'!$A$2:$A$131,0))),1,0),0)</f>
        <v>1</v>
      </c>
    </row>
    <row r="1721" customFormat="false" ht="15" hidden="false" customHeight="false" outlineLevel="0" collapsed="false">
      <c r="A1721" s="2" t="n">
        <v>1717</v>
      </c>
      <c r="B1721" s="2" t="s">
        <v>5176</v>
      </c>
      <c r="C1721" s="2" t="s">
        <v>5177</v>
      </c>
      <c r="D1721" s="2" t="s">
        <v>5178</v>
      </c>
      <c r="E1721" s="2" t="str">
        <f aca="false">LEFT(C1721,3)</f>
        <v>815</v>
      </c>
      <c r="F1721" s="2" t="str">
        <f aca="false">IF(D1721="","",LEFT(D1721,3))</f>
        <v>826</v>
      </c>
      <c r="G1721" s="2" t="str">
        <f aca="false">IF(F1721="","",IF(E1721=F1721,"Yes","No"))</f>
        <v>No</v>
      </c>
      <c r="H1721" s="2" t="n">
        <f aca="false">IF(D1721="",0,1/COUNTIF($D$2:$D$3451,D1721))</f>
        <v>1</v>
      </c>
      <c r="I1721" s="13" t="n">
        <f aca="false">IFERROR(INDEX('NCO-2015 scores'!$C$2:$C$131,MATCH(E1721,'NCO-2015 scores'!$A$2:$A$131,0)),0)</f>
        <v>0.1625</v>
      </c>
      <c r="J1721" s="13" t="n">
        <f aca="false">IF(ISNUMBER(MATCH(E1721,'NCO-2015 scores'!$A$2:$A$131,0)),IF(ISNUMBER(INDEX('NCO-2015 scores'!$C$2:$C$131,MATCH(E1721,'NCO-2015 scores'!$A$2:$A$131,0))),1,0),0)</f>
        <v>1</v>
      </c>
    </row>
    <row r="1722" customFormat="false" ht="15" hidden="false" customHeight="false" outlineLevel="0" collapsed="false">
      <c r="A1722" s="2" t="n">
        <v>1718</v>
      </c>
      <c r="B1722" s="2" t="s">
        <v>5179</v>
      </c>
      <c r="C1722" s="2" t="s">
        <v>5180</v>
      </c>
      <c r="D1722" s="2" t="s">
        <v>5181</v>
      </c>
      <c r="E1722" s="2" t="str">
        <f aca="false">LEFT(C1722,3)</f>
        <v>815</v>
      </c>
      <c r="F1722" s="2" t="str">
        <f aca="false">IF(D1722="","",LEFT(D1722,3))</f>
        <v>826</v>
      </c>
      <c r="G1722" s="2" t="str">
        <f aca="false">IF(F1722="","",IF(E1722=F1722,"Yes","No"))</f>
        <v>No</v>
      </c>
      <c r="H1722" s="2" t="n">
        <f aca="false">IF(D1722="",0,1/COUNTIF($D$2:$D$3451,D1722))</f>
        <v>1</v>
      </c>
      <c r="I1722" s="13" t="n">
        <f aca="false">IFERROR(INDEX('NCO-2015 scores'!$C$2:$C$131,MATCH(E1722,'NCO-2015 scores'!$A$2:$A$131,0)),0)</f>
        <v>0.1625</v>
      </c>
      <c r="J1722" s="13" t="n">
        <f aca="false">IF(ISNUMBER(MATCH(E1722,'NCO-2015 scores'!$A$2:$A$131,0)),IF(ISNUMBER(INDEX('NCO-2015 scores'!$C$2:$C$131,MATCH(E1722,'NCO-2015 scores'!$A$2:$A$131,0))),1,0),0)</f>
        <v>1</v>
      </c>
    </row>
    <row r="1723" customFormat="false" ht="15" hidden="false" customHeight="false" outlineLevel="0" collapsed="false">
      <c r="A1723" s="2" t="n">
        <v>1719</v>
      </c>
      <c r="B1723" s="2" t="s">
        <v>5182</v>
      </c>
      <c r="C1723" s="2" t="s">
        <v>5183</v>
      </c>
      <c r="D1723" s="2" t="s">
        <v>5184</v>
      </c>
      <c r="E1723" s="2" t="str">
        <f aca="false">LEFT(C1723,3)</f>
        <v>815</v>
      </c>
      <c r="F1723" s="2" t="str">
        <f aca="false">IF(D1723="","",LEFT(D1723,3))</f>
        <v>826</v>
      </c>
      <c r="G1723" s="2" t="str">
        <f aca="false">IF(F1723="","",IF(E1723=F1723,"Yes","No"))</f>
        <v>No</v>
      </c>
      <c r="H1723" s="2" t="n">
        <f aca="false">IF(D1723="",0,1/COUNTIF($D$2:$D$3451,D1723))</f>
        <v>1</v>
      </c>
      <c r="I1723" s="13" t="n">
        <f aca="false">IFERROR(INDEX('NCO-2015 scores'!$C$2:$C$131,MATCH(E1723,'NCO-2015 scores'!$A$2:$A$131,0)),0)</f>
        <v>0.1625</v>
      </c>
      <c r="J1723" s="13" t="n">
        <f aca="false">IF(ISNUMBER(MATCH(E1723,'NCO-2015 scores'!$A$2:$A$131,0)),IF(ISNUMBER(INDEX('NCO-2015 scores'!$C$2:$C$131,MATCH(E1723,'NCO-2015 scores'!$A$2:$A$131,0))),1,0),0)</f>
        <v>1</v>
      </c>
    </row>
    <row r="1724" customFormat="false" ht="15" hidden="false" customHeight="false" outlineLevel="0" collapsed="false">
      <c r="A1724" s="2" t="n">
        <v>1720</v>
      </c>
      <c r="B1724" s="2" t="s">
        <v>5185</v>
      </c>
      <c r="C1724" s="2" t="s">
        <v>5186</v>
      </c>
      <c r="D1724" s="2" t="s">
        <v>5187</v>
      </c>
      <c r="E1724" s="2" t="str">
        <f aca="false">LEFT(C1724,3)</f>
        <v>261</v>
      </c>
      <c r="F1724" s="2" t="str">
        <f aca="false">IF(D1724="","",LEFT(D1724,3))</f>
        <v>242</v>
      </c>
      <c r="G1724" s="2" t="str">
        <f aca="false">IF(F1724="","",IF(E1724=F1724,"Yes","No"))</f>
        <v>No</v>
      </c>
      <c r="H1724" s="2" t="n">
        <f aca="false">IF(D1724="",0,1/COUNTIF($D$2:$D$3451,D1724))</f>
        <v>1</v>
      </c>
      <c r="I1724" s="13" t="n">
        <f aca="false">IFERROR(INDEX('NCO-2015 scores'!$C$2:$C$131,MATCH(E1724,'NCO-2015 scores'!$A$2:$A$131,0)),0)</f>
        <v>0.3467</v>
      </c>
      <c r="J1724" s="13" t="n">
        <f aca="false">IF(ISNUMBER(MATCH(E1724,'NCO-2015 scores'!$A$2:$A$131,0)),IF(ISNUMBER(INDEX('NCO-2015 scores'!$C$2:$C$131,MATCH(E1724,'NCO-2015 scores'!$A$2:$A$131,0))),1,0),0)</f>
        <v>1</v>
      </c>
    </row>
    <row r="1725" customFormat="false" ht="15" hidden="false" customHeight="false" outlineLevel="0" collapsed="false">
      <c r="A1725" s="2" t="n">
        <v>1721</v>
      </c>
      <c r="B1725" s="2" t="s">
        <v>5188</v>
      </c>
      <c r="C1725" s="2" t="s">
        <v>5189</v>
      </c>
      <c r="D1725" s="2" t="s">
        <v>5190</v>
      </c>
      <c r="E1725" s="2" t="str">
        <f aca="false">LEFT(C1725,3)</f>
        <v>261</v>
      </c>
      <c r="F1725" s="2" t="str">
        <f aca="false">IF(D1725="","",LEFT(D1725,3))</f>
        <v>242</v>
      </c>
      <c r="G1725" s="2" t="str">
        <f aca="false">IF(F1725="","",IF(E1725=F1725,"Yes","No"))</f>
        <v>No</v>
      </c>
      <c r="H1725" s="2" t="n">
        <f aca="false">IF(D1725="",0,1/COUNTIF($D$2:$D$3451,D1725))</f>
        <v>1</v>
      </c>
      <c r="I1725" s="13" t="n">
        <f aca="false">IFERROR(INDEX('NCO-2015 scores'!$C$2:$C$131,MATCH(E1725,'NCO-2015 scores'!$A$2:$A$131,0)),0)</f>
        <v>0.3467</v>
      </c>
      <c r="J1725" s="13" t="n">
        <f aca="false">IF(ISNUMBER(MATCH(E1725,'NCO-2015 scores'!$A$2:$A$131,0)),IF(ISNUMBER(INDEX('NCO-2015 scores'!$C$2:$C$131,MATCH(E1725,'NCO-2015 scores'!$A$2:$A$131,0))),1,0),0)</f>
        <v>1</v>
      </c>
    </row>
    <row r="1726" customFormat="false" ht="15" hidden="false" customHeight="false" outlineLevel="0" collapsed="false">
      <c r="A1726" s="2" t="n">
        <v>1722</v>
      </c>
      <c r="B1726" s="2" t="s">
        <v>5191</v>
      </c>
      <c r="C1726" s="2" t="s">
        <v>5192</v>
      </c>
      <c r="D1726" s="2"/>
      <c r="E1726" s="2" t="str">
        <f aca="false">LEFT(C1726,3)</f>
        <v>261</v>
      </c>
      <c r="F1726" s="2" t="str">
        <f aca="false">IF(D1726="","",LEFT(D1726,3))</f>
        <v/>
      </c>
      <c r="G1726" s="2" t="str">
        <f aca="false">IF(F1726="","",IF(E1726=F1726,"Yes","No"))</f>
        <v/>
      </c>
      <c r="H1726" s="2" t="n">
        <f aca="false">IF(D1726="",0,1/COUNTIF($D$2:$D$3451,D1726))</f>
        <v>0</v>
      </c>
      <c r="I1726" s="13" t="n">
        <f aca="false">IFERROR(INDEX('NCO-2015 scores'!$C$2:$C$131,MATCH(E1726,'NCO-2015 scores'!$A$2:$A$131,0)),0)</f>
        <v>0.3467</v>
      </c>
      <c r="J1726" s="13" t="n">
        <f aca="false">IF(ISNUMBER(MATCH(E1726,'NCO-2015 scores'!$A$2:$A$131,0)),IF(ISNUMBER(INDEX('NCO-2015 scores'!$C$2:$C$131,MATCH(E1726,'NCO-2015 scores'!$A$2:$A$131,0))),1,0),0)</f>
        <v>1</v>
      </c>
    </row>
    <row r="1727" customFormat="false" ht="15" hidden="false" customHeight="false" outlineLevel="0" collapsed="false">
      <c r="A1727" s="2" t="n">
        <v>1723</v>
      </c>
      <c r="B1727" s="2" t="s">
        <v>5193</v>
      </c>
      <c r="C1727" s="2" t="s">
        <v>5194</v>
      </c>
      <c r="D1727" s="2"/>
      <c r="E1727" s="2" t="str">
        <f aca="false">LEFT(C1727,3)</f>
        <v>261</v>
      </c>
      <c r="F1727" s="2" t="str">
        <f aca="false">IF(D1727="","",LEFT(D1727,3))</f>
        <v/>
      </c>
      <c r="G1727" s="2" t="str">
        <f aca="false">IF(F1727="","",IF(E1727=F1727,"Yes","No"))</f>
        <v/>
      </c>
      <c r="H1727" s="2" t="n">
        <f aca="false">IF(D1727="",0,1/COUNTIF($D$2:$D$3451,D1727))</f>
        <v>0</v>
      </c>
      <c r="I1727" s="13" t="n">
        <f aca="false">IFERROR(INDEX('NCO-2015 scores'!$C$2:$C$131,MATCH(E1727,'NCO-2015 scores'!$A$2:$A$131,0)),0)</f>
        <v>0.3467</v>
      </c>
      <c r="J1727" s="13" t="n">
        <f aca="false">IF(ISNUMBER(MATCH(E1727,'NCO-2015 scores'!$A$2:$A$131,0)),IF(ISNUMBER(INDEX('NCO-2015 scores'!$C$2:$C$131,MATCH(E1727,'NCO-2015 scores'!$A$2:$A$131,0))),1,0),0)</f>
        <v>1</v>
      </c>
    </row>
    <row r="1728" customFormat="false" ht="15" hidden="false" customHeight="false" outlineLevel="0" collapsed="false">
      <c r="A1728" s="2" t="n">
        <v>1724</v>
      </c>
      <c r="B1728" s="2" t="s">
        <v>5195</v>
      </c>
      <c r="C1728" s="2" t="s">
        <v>5196</v>
      </c>
      <c r="D1728" s="2" t="s">
        <v>5197</v>
      </c>
      <c r="E1728" s="2" t="str">
        <f aca="false">LEFT(C1728,3)</f>
        <v>261</v>
      </c>
      <c r="F1728" s="2" t="str">
        <f aca="false">IF(D1728="","",LEFT(D1728,3))</f>
        <v>242</v>
      </c>
      <c r="G1728" s="2" t="str">
        <f aca="false">IF(F1728="","",IF(E1728=F1728,"Yes","No"))</f>
        <v>No</v>
      </c>
      <c r="H1728" s="2" t="n">
        <f aca="false">IF(D1728="",0,1/COUNTIF($D$2:$D$3451,D1728))</f>
        <v>1</v>
      </c>
      <c r="I1728" s="13" t="n">
        <f aca="false">IFERROR(INDEX('NCO-2015 scores'!$C$2:$C$131,MATCH(E1728,'NCO-2015 scores'!$A$2:$A$131,0)),0)</f>
        <v>0.3467</v>
      </c>
      <c r="J1728" s="13" t="n">
        <f aca="false">IF(ISNUMBER(MATCH(E1728,'NCO-2015 scores'!$A$2:$A$131,0)),IF(ISNUMBER(INDEX('NCO-2015 scores'!$C$2:$C$131,MATCH(E1728,'NCO-2015 scores'!$A$2:$A$131,0))),1,0),0)</f>
        <v>1</v>
      </c>
    </row>
    <row r="1729" customFormat="false" ht="15" hidden="false" customHeight="false" outlineLevel="0" collapsed="false">
      <c r="A1729" s="2" t="n">
        <v>1725</v>
      </c>
      <c r="B1729" s="2" t="s">
        <v>5198</v>
      </c>
      <c r="C1729" s="2" t="s">
        <v>5199</v>
      </c>
      <c r="D1729" s="2" t="s">
        <v>5200</v>
      </c>
      <c r="E1729" s="2" t="str">
        <f aca="false">LEFT(C1729,3)</f>
        <v>261</v>
      </c>
      <c r="F1729" s="2" t="str">
        <f aca="false">IF(D1729="","",LEFT(D1729,3))</f>
        <v>242</v>
      </c>
      <c r="G1729" s="2" t="str">
        <f aca="false">IF(F1729="","",IF(E1729=F1729,"Yes","No"))</f>
        <v>No</v>
      </c>
      <c r="H1729" s="2" t="n">
        <f aca="false">IF(D1729="",0,1/COUNTIF($D$2:$D$3451,D1729))</f>
        <v>1</v>
      </c>
      <c r="I1729" s="13" t="n">
        <f aca="false">IFERROR(INDEX('NCO-2015 scores'!$C$2:$C$131,MATCH(E1729,'NCO-2015 scores'!$A$2:$A$131,0)),0)</f>
        <v>0.3467</v>
      </c>
      <c r="J1729" s="13" t="n">
        <f aca="false">IF(ISNUMBER(MATCH(E1729,'NCO-2015 scores'!$A$2:$A$131,0)),IF(ISNUMBER(INDEX('NCO-2015 scores'!$C$2:$C$131,MATCH(E1729,'NCO-2015 scores'!$A$2:$A$131,0))),1,0),0)</f>
        <v>1</v>
      </c>
    </row>
    <row r="1730" customFormat="false" ht="15" hidden="false" customHeight="false" outlineLevel="0" collapsed="false">
      <c r="A1730" s="2" t="n">
        <v>1726</v>
      </c>
      <c r="B1730" s="2" t="s">
        <v>5201</v>
      </c>
      <c r="C1730" s="2" t="s">
        <v>5202</v>
      </c>
      <c r="D1730" s="2" t="s">
        <v>5203</v>
      </c>
      <c r="E1730" s="2" t="str">
        <f aca="false">LEFT(C1730,3)</f>
        <v>261</v>
      </c>
      <c r="F1730" s="2" t="str">
        <f aca="false">IF(D1730="","",LEFT(D1730,3))</f>
        <v>242</v>
      </c>
      <c r="G1730" s="2" t="str">
        <f aca="false">IF(F1730="","",IF(E1730=F1730,"Yes","No"))</f>
        <v>No</v>
      </c>
      <c r="H1730" s="2" t="n">
        <f aca="false">IF(D1730="",0,1/COUNTIF($D$2:$D$3451,D1730))</f>
        <v>1</v>
      </c>
      <c r="I1730" s="13" t="n">
        <f aca="false">IFERROR(INDEX('NCO-2015 scores'!$C$2:$C$131,MATCH(E1730,'NCO-2015 scores'!$A$2:$A$131,0)),0)</f>
        <v>0.3467</v>
      </c>
      <c r="J1730" s="13" t="n">
        <f aca="false">IF(ISNUMBER(MATCH(E1730,'NCO-2015 scores'!$A$2:$A$131,0)),IF(ISNUMBER(INDEX('NCO-2015 scores'!$C$2:$C$131,MATCH(E1730,'NCO-2015 scores'!$A$2:$A$131,0))),1,0),0)</f>
        <v>1</v>
      </c>
    </row>
    <row r="1731" customFormat="false" ht="15" hidden="false" customHeight="false" outlineLevel="0" collapsed="false">
      <c r="A1731" s="2" t="n">
        <v>1727</v>
      </c>
      <c r="B1731" s="2" t="s">
        <v>5204</v>
      </c>
      <c r="C1731" s="2" t="s">
        <v>5205</v>
      </c>
      <c r="D1731" s="2" t="s">
        <v>5206</v>
      </c>
      <c r="E1731" s="2" t="str">
        <f aca="false">LEFT(C1731,3)</f>
        <v>261</v>
      </c>
      <c r="F1731" s="2" t="str">
        <f aca="false">IF(D1731="","",LEFT(D1731,3))</f>
        <v>242</v>
      </c>
      <c r="G1731" s="2" t="str">
        <f aca="false">IF(F1731="","",IF(E1731=F1731,"Yes","No"))</f>
        <v>No</v>
      </c>
      <c r="H1731" s="2" t="n">
        <f aca="false">IF(D1731="",0,1/COUNTIF($D$2:$D$3451,D1731))</f>
        <v>1</v>
      </c>
      <c r="I1731" s="13" t="n">
        <f aca="false">IFERROR(INDEX('NCO-2015 scores'!$C$2:$C$131,MATCH(E1731,'NCO-2015 scores'!$A$2:$A$131,0)),0)</f>
        <v>0.3467</v>
      </c>
      <c r="J1731" s="13" t="n">
        <f aca="false">IF(ISNUMBER(MATCH(E1731,'NCO-2015 scores'!$A$2:$A$131,0)),IF(ISNUMBER(INDEX('NCO-2015 scores'!$C$2:$C$131,MATCH(E1731,'NCO-2015 scores'!$A$2:$A$131,0))),1,0),0)</f>
        <v>1</v>
      </c>
    </row>
    <row r="1732" customFormat="false" ht="15" hidden="false" customHeight="false" outlineLevel="0" collapsed="false">
      <c r="A1732" s="2" t="n">
        <v>1728</v>
      </c>
      <c r="B1732" s="2" t="s">
        <v>5207</v>
      </c>
      <c r="C1732" s="2" t="s">
        <v>5208</v>
      </c>
      <c r="D1732" s="2" t="s">
        <v>5209</v>
      </c>
      <c r="E1732" s="2" t="str">
        <f aca="false">LEFT(C1732,3)</f>
        <v>261</v>
      </c>
      <c r="F1732" s="2" t="str">
        <f aca="false">IF(D1732="","",LEFT(D1732,3))</f>
        <v>242</v>
      </c>
      <c r="G1732" s="2" t="str">
        <f aca="false">IF(F1732="","",IF(E1732=F1732,"Yes","No"))</f>
        <v>No</v>
      </c>
      <c r="H1732" s="2" t="n">
        <f aca="false">IF(D1732="",0,1/COUNTIF($D$2:$D$3451,D1732))</f>
        <v>1</v>
      </c>
      <c r="I1732" s="13" t="n">
        <f aca="false">IFERROR(INDEX('NCO-2015 scores'!$C$2:$C$131,MATCH(E1732,'NCO-2015 scores'!$A$2:$A$131,0)),0)</f>
        <v>0.3467</v>
      </c>
      <c r="J1732" s="13" t="n">
        <f aca="false">IF(ISNUMBER(MATCH(E1732,'NCO-2015 scores'!$A$2:$A$131,0)),IF(ISNUMBER(INDEX('NCO-2015 scores'!$C$2:$C$131,MATCH(E1732,'NCO-2015 scores'!$A$2:$A$131,0))),1,0),0)</f>
        <v>1</v>
      </c>
    </row>
    <row r="1733" customFormat="false" ht="15" hidden="false" customHeight="false" outlineLevel="0" collapsed="false">
      <c r="A1733" s="2" t="n">
        <v>1729</v>
      </c>
      <c r="B1733" s="2" t="s">
        <v>5210</v>
      </c>
      <c r="C1733" s="2" t="s">
        <v>5211</v>
      </c>
      <c r="D1733" s="2" t="s">
        <v>5212</v>
      </c>
      <c r="E1733" s="2" t="str">
        <f aca="false">LEFT(C1733,3)</f>
        <v>261</v>
      </c>
      <c r="F1733" s="2" t="str">
        <f aca="false">IF(D1733="","",LEFT(D1733,3))</f>
        <v>242</v>
      </c>
      <c r="G1733" s="2" t="str">
        <f aca="false">IF(F1733="","",IF(E1733=F1733,"Yes","No"))</f>
        <v>No</v>
      </c>
      <c r="H1733" s="2" t="n">
        <f aca="false">IF(D1733="",0,1/COUNTIF($D$2:$D$3451,D1733))</f>
        <v>1</v>
      </c>
      <c r="I1733" s="13" t="n">
        <f aca="false">IFERROR(INDEX('NCO-2015 scores'!$C$2:$C$131,MATCH(E1733,'NCO-2015 scores'!$A$2:$A$131,0)),0)</f>
        <v>0.3467</v>
      </c>
      <c r="J1733" s="13" t="n">
        <f aca="false">IF(ISNUMBER(MATCH(E1733,'NCO-2015 scores'!$A$2:$A$131,0)),IF(ISNUMBER(INDEX('NCO-2015 scores'!$C$2:$C$131,MATCH(E1733,'NCO-2015 scores'!$A$2:$A$131,0))),1,0),0)</f>
        <v>1</v>
      </c>
    </row>
    <row r="1734" customFormat="false" ht="15" hidden="false" customHeight="false" outlineLevel="0" collapsed="false">
      <c r="A1734" s="2" t="n">
        <v>1730</v>
      </c>
      <c r="B1734" s="2" t="s">
        <v>5213</v>
      </c>
      <c r="C1734" s="2" t="s">
        <v>5214</v>
      </c>
      <c r="D1734" s="2" t="s">
        <v>5215</v>
      </c>
      <c r="E1734" s="2" t="str">
        <f aca="false">LEFT(C1734,3)</f>
        <v>261</v>
      </c>
      <c r="F1734" s="2" t="str">
        <f aca="false">IF(D1734="","",LEFT(D1734,3))</f>
        <v>242</v>
      </c>
      <c r="G1734" s="2" t="str">
        <f aca="false">IF(F1734="","",IF(E1734=F1734,"Yes","No"))</f>
        <v>No</v>
      </c>
      <c r="H1734" s="2" t="n">
        <f aca="false">IF(D1734="",0,1/COUNTIF($D$2:$D$3451,D1734))</f>
        <v>1</v>
      </c>
      <c r="I1734" s="13" t="n">
        <f aca="false">IFERROR(INDEX('NCO-2015 scores'!$C$2:$C$131,MATCH(E1734,'NCO-2015 scores'!$A$2:$A$131,0)),0)</f>
        <v>0.3467</v>
      </c>
      <c r="J1734" s="13" t="n">
        <f aca="false">IF(ISNUMBER(MATCH(E1734,'NCO-2015 scores'!$A$2:$A$131,0)),IF(ISNUMBER(INDEX('NCO-2015 scores'!$C$2:$C$131,MATCH(E1734,'NCO-2015 scores'!$A$2:$A$131,0))),1,0),0)</f>
        <v>1</v>
      </c>
    </row>
    <row r="1735" customFormat="false" ht="15" hidden="false" customHeight="false" outlineLevel="0" collapsed="false">
      <c r="A1735" s="2" t="n">
        <v>1731</v>
      </c>
      <c r="B1735" s="2" t="s">
        <v>5216</v>
      </c>
      <c r="C1735" s="2" t="s">
        <v>5217</v>
      </c>
      <c r="D1735" s="2" t="s">
        <v>5218</v>
      </c>
      <c r="E1735" s="2" t="str">
        <f aca="false">LEFT(C1735,3)</f>
        <v>261</v>
      </c>
      <c r="F1735" s="2" t="str">
        <f aca="false">IF(D1735="","",LEFT(D1735,3))</f>
        <v>242</v>
      </c>
      <c r="G1735" s="2" t="str">
        <f aca="false">IF(F1735="","",IF(E1735=F1735,"Yes","No"))</f>
        <v>No</v>
      </c>
      <c r="H1735" s="2" t="n">
        <f aca="false">IF(D1735="",0,1/COUNTIF($D$2:$D$3451,D1735))</f>
        <v>1</v>
      </c>
      <c r="I1735" s="13" t="n">
        <f aca="false">IFERROR(INDEX('NCO-2015 scores'!$C$2:$C$131,MATCH(E1735,'NCO-2015 scores'!$A$2:$A$131,0)),0)</f>
        <v>0.3467</v>
      </c>
      <c r="J1735" s="13" t="n">
        <f aca="false">IF(ISNUMBER(MATCH(E1735,'NCO-2015 scores'!$A$2:$A$131,0)),IF(ISNUMBER(INDEX('NCO-2015 scores'!$C$2:$C$131,MATCH(E1735,'NCO-2015 scores'!$A$2:$A$131,0))),1,0),0)</f>
        <v>1</v>
      </c>
    </row>
    <row r="1736" customFormat="false" ht="15" hidden="false" customHeight="false" outlineLevel="0" collapsed="false">
      <c r="A1736" s="2" t="n">
        <v>1732</v>
      </c>
      <c r="B1736" s="2" t="s">
        <v>5219</v>
      </c>
      <c r="C1736" s="2" t="s">
        <v>5220</v>
      </c>
      <c r="D1736" s="2" t="s">
        <v>5221</v>
      </c>
      <c r="E1736" s="2" t="str">
        <f aca="false">LEFT(C1736,3)</f>
        <v>341</v>
      </c>
      <c r="F1736" s="2" t="str">
        <f aca="false">IF(D1736="","",LEFT(D1736,3))</f>
        <v>343</v>
      </c>
      <c r="G1736" s="2" t="str">
        <f aca="false">IF(F1736="","",IF(E1736=F1736,"Yes","No"))</f>
        <v>No</v>
      </c>
      <c r="H1736" s="2" t="n">
        <f aca="false">IF(D1736="",0,1/COUNTIF($D$2:$D$3451,D1736))</f>
        <v>1</v>
      </c>
      <c r="I1736" s="13" t="n">
        <f aca="false">IFERROR(INDEX('NCO-2015 scores'!$C$2:$C$131,MATCH(E1736,'NCO-2015 scores'!$A$2:$A$131,0)),0)</f>
        <v>0.28</v>
      </c>
      <c r="J1736" s="13" t="n">
        <f aca="false">IF(ISNUMBER(MATCH(E1736,'NCO-2015 scores'!$A$2:$A$131,0)),IF(ISNUMBER(INDEX('NCO-2015 scores'!$C$2:$C$131,MATCH(E1736,'NCO-2015 scores'!$A$2:$A$131,0))),1,0),0)</f>
        <v>1</v>
      </c>
    </row>
    <row r="1737" customFormat="false" ht="15" hidden="false" customHeight="false" outlineLevel="0" collapsed="false">
      <c r="A1737" s="2" t="n">
        <v>1733</v>
      </c>
      <c r="B1737" s="2" t="s">
        <v>5222</v>
      </c>
      <c r="C1737" s="2" t="s">
        <v>5223</v>
      </c>
      <c r="D1737" s="2" t="s">
        <v>5224</v>
      </c>
      <c r="E1737" s="2" t="str">
        <f aca="false">LEFT(C1737,3)</f>
        <v>341</v>
      </c>
      <c r="F1737" s="2" t="str">
        <f aca="false">IF(D1737="","",LEFT(D1737,3))</f>
        <v>343</v>
      </c>
      <c r="G1737" s="2" t="str">
        <f aca="false">IF(F1737="","",IF(E1737=F1737,"Yes","No"))</f>
        <v>No</v>
      </c>
      <c r="H1737" s="2" t="n">
        <f aca="false">IF(D1737="",0,1/COUNTIF($D$2:$D$3451,D1737))</f>
        <v>1</v>
      </c>
      <c r="I1737" s="13" t="n">
        <f aca="false">IFERROR(INDEX('NCO-2015 scores'!$C$2:$C$131,MATCH(E1737,'NCO-2015 scores'!$A$2:$A$131,0)),0)</f>
        <v>0.28</v>
      </c>
      <c r="J1737" s="13" t="n">
        <f aca="false">IF(ISNUMBER(MATCH(E1737,'NCO-2015 scores'!$A$2:$A$131,0)),IF(ISNUMBER(INDEX('NCO-2015 scores'!$C$2:$C$131,MATCH(E1737,'NCO-2015 scores'!$A$2:$A$131,0))),1,0),0)</f>
        <v>1</v>
      </c>
    </row>
    <row r="1738" customFormat="false" ht="15" hidden="false" customHeight="false" outlineLevel="0" collapsed="false">
      <c r="A1738" s="2" t="n">
        <v>1734</v>
      </c>
      <c r="B1738" s="2" t="s">
        <v>5225</v>
      </c>
      <c r="C1738" s="2" t="s">
        <v>5226</v>
      </c>
      <c r="D1738" s="2" t="s">
        <v>5227</v>
      </c>
      <c r="E1738" s="2" t="str">
        <f aca="false">LEFT(C1738,3)</f>
        <v>341</v>
      </c>
      <c r="F1738" s="2" t="str">
        <f aca="false">IF(D1738="","",LEFT(D1738,3))</f>
        <v>343</v>
      </c>
      <c r="G1738" s="2" t="str">
        <f aca="false">IF(F1738="","",IF(E1738=F1738,"Yes","No"))</f>
        <v>No</v>
      </c>
      <c r="H1738" s="2" t="n">
        <f aca="false">IF(D1738="",0,1/COUNTIF($D$2:$D$3451,D1738))</f>
        <v>1</v>
      </c>
      <c r="I1738" s="13" t="n">
        <f aca="false">IFERROR(INDEX('NCO-2015 scores'!$C$2:$C$131,MATCH(E1738,'NCO-2015 scores'!$A$2:$A$131,0)),0)</f>
        <v>0.28</v>
      </c>
      <c r="J1738" s="13" t="n">
        <f aca="false">IF(ISNUMBER(MATCH(E1738,'NCO-2015 scores'!$A$2:$A$131,0)),IF(ISNUMBER(INDEX('NCO-2015 scores'!$C$2:$C$131,MATCH(E1738,'NCO-2015 scores'!$A$2:$A$131,0))),1,0),0)</f>
        <v>1</v>
      </c>
    </row>
    <row r="1739" customFormat="false" ht="15" hidden="false" customHeight="false" outlineLevel="0" collapsed="false">
      <c r="A1739" s="2" t="n">
        <v>1735</v>
      </c>
      <c r="B1739" s="2" t="s">
        <v>5228</v>
      </c>
      <c r="C1739" s="2" t="s">
        <v>5229</v>
      </c>
      <c r="D1739" s="2" t="s">
        <v>5230</v>
      </c>
      <c r="E1739" s="2" t="str">
        <f aca="false">LEFT(C1739,3)</f>
        <v>341</v>
      </c>
      <c r="F1739" s="2" t="str">
        <f aca="false">IF(D1739="","",LEFT(D1739,3))</f>
        <v>343</v>
      </c>
      <c r="G1739" s="2" t="str">
        <f aca="false">IF(F1739="","",IF(E1739=F1739,"Yes","No"))</f>
        <v>No</v>
      </c>
      <c r="H1739" s="2" t="n">
        <f aca="false">IF(D1739="",0,1/COUNTIF($D$2:$D$3451,D1739))</f>
        <v>1</v>
      </c>
      <c r="I1739" s="13" t="n">
        <f aca="false">IFERROR(INDEX('NCO-2015 scores'!$C$2:$C$131,MATCH(E1739,'NCO-2015 scores'!$A$2:$A$131,0)),0)</f>
        <v>0.28</v>
      </c>
      <c r="J1739" s="13" t="n">
        <f aca="false">IF(ISNUMBER(MATCH(E1739,'NCO-2015 scores'!$A$2:$A$131,0)),IF(ISNUMBER(INDEX('NCO-2015 scores'!$C$2:$C$131,MATCH(E1739,'NCO-2015 scores'!$A$2:$A$131,0))),1,0),0)</f>
        <v>1</v>
      </c>
    </row>
    <row r="1740" customFormat="false" ht="15" hidden="false" customHeight="false" outlineLevel="0" collapsed="false">
      <c r="A1740" s="2" t="n">
        <v>1736</v>
      </c>
      <c r="B1740" s="2" t="s">
        <v>5231</v>
      </c>
      <c r="C1740" s="2" t="s">
        <v>5232</v>
      </c>
      <c r="D1740" s="2" t="s">
        <v>5233</v>
      </c>
      <c r="E1740" s="2" t="str">
        <f aca="false">LEFT(C1740,3)</f>
        <v>261</v>
      </c>
      <c r="F1740" s="2" t="str">
        <f aca="false">IF(D1740="","",LEFT(D1740,3))</f>
        <v>242</v>
      </c>
      <c r="G1740" s="2" t="str">
        <f aca="false">IF(F1740="","",IF(E1740=F1740,"Yes","No"))</f>
        <v>No</v>
      </c>
      <c r="H1740" s="2" t="n">
        <f aca="false">IF(D1740="",0,1/COUNTIF($D$2:$D$3451,D1740))</f>
        <v>1</v>
      </c>
      <c r="I1740" s="13" t="n">
        <f aca="false">IFERROR(INDEX('NCO-2015 scores'!$C$2:$C$131,MATCH(E1740,'NCO-2015 scores'!$A$2:$A$131,0)),0)</f>
        <v>0.3467</v>
      </c>
      <c r="J1740" s="13" t="n">
        <f aca="false">IF(ISNUMBER(MATCH(E1740,'NCO-2015 scores'!$A$2:$A$131,0)),IF(ISNUMBER(INDEX('NCO-2015 scores'!$C$2:$C$131,MATCH(E1740,'NCO-2015 scores'!$A$2:$A$131,0))),1,0),0)</f>
        <v>1</v>
      </c>
    </row>
    <row r="1741" customFormat="false" ht="15" hidden="false" customHeight="false" outlineLevel="0" collapsed="false">
      <c r="A1741" s="2" t="n">
        <v>1737</v>
      </c>
      <c r="B1741" s="2" t="s">
        <v>5234</v>
      </c>
      <c r="C1741" s="2" t="s">
        <v>5235</v>
      </c>
      <c r="D1741" s="2" t="s">
        <v>5236</v>
      </c>
      <c r="E1741" s="2" t="str">
        <f aca="false">LEFT(C1741,3)</f>
        <v>261</v>
      </c>
      <c r="F1741" s="2" t="str">
        <f aca="false">IF(D1741="","",LEFT(D1741,3))</f>
        <v>242</v>
      </c>
      <c r="G1741" s="2" t="str">
        <f aca="false">IF(F1741="","",IF(E1741=F1741,"Yes","No"))</f>
        <v>No</v>
      </c>
      <c r="H1741" s="2" t="n">
        <f aca="false">IF(D1741="",0,1/COUNTIF($D$2:$D$3451,D1741))</f>
        <v>1</v>
      </c>
      <c r="I1741" s="13" t="n">
        <f aca="false">IFERROR(INDEX('NCO-2015 scores'!$C$2:$C$131,MATCH(E1741,'NCO-2015 scores'!$A$2:$A$131,0)),0)</f>
        <v>0.3467</v>
      </c>
      <c r="J1741" s="13" t="n">
        <f aca="false">IF(ISNUMBER(MATCH(E1741,'NCO-2015 scores'!$A$2:$A$131,0)),IF(ISNUMBER(INDEX('NCO-2015 scores'!$C$2:$C$131,MATCH(E1741,'NCO-2015 scores'!$A$2:$A$131,0))),1,0),0)</f>
        <v>1</v>
      </c>
    </row>
    <row r="1742" customFormat="false" ht="15" hidden="false" customHeight="false" outlineLevel="0" collapsed="false">
      <c r="A1742" s="2" t="n">
        <v>1738</v>
      </c>
      <c r="B1742" s="2" t="s">
        <v>5237</v>
      </c>
      <c r="C1742" s="2" t="s">
        <v>5238</v>
      </c>
      <c r="D1742" s="2" t="s">
        <v>5239</v>
      </c>
      <c r="E1742" s="2" t="str">
        <f aca="false">LEFT(C1742,3)</f>
        <v>261</v>
      </c>
      <c r="F1742" s="2" t="str">
        <f aca="false">IF(D1742="","",LEFT(D1742,3))</f>
        <v>242</v>
      </c>
      <c r="G1742" s="2" t="str">
        <f aca="false">IF(F1742="","",IF(E1742=F1742,"Yes","No"))</f>
        <v>No</v>
      </c>
      <c r="H1742" s="2" t="n">
        <f aca="false">IF(D1742="",0,1/COUNTIF($D$2:$D$3451,D1742))</f>
        <v>1</v>
      </c>
      <c r="I1742" s="13" t="n">
        <f aca="false">IFERROR(INDEX('NCO-2015 scores'!$C$2:$C$131,MATCH(E1742,'NCO-2015 scores'!$A$2:$A$131,0)),0)</f>
        <v>0.3467</v>
      </c>
      <c r="J1742" s="13" t="n">
        <f aca="false">IF(ISNUMBER(MATCH(E1742,'NCO-2015 scores'!$A$2:$A$131,0)),IF(ISNUMBER(INDEX('NCO-2015 scores'!$C$2:$C$131,MATCH(E1742,'NCO-2015 scores'!$A$2:$A$131,0))),1,0),0)</f>
        <v>1</v>
      </c>
    </row>
    <row r="1743" customFormat="false" ht="15" hidden="false" customHeight="false" outlineLevel="0" collapsed="false">
      <c r="A1743" s="2" t="n">
        <v>1739</v>
      </c>
      <c r="B1743" s="2" t="s">
        <v>5240</v>
      </c>
      <c r="C1743" s="2" t="s">
        <v>5241</v>
      </c>
      <c r="D1743" s="2" t="s">
        <v>5242</v>
      </c>
      <c r="E1743" s="2" t="str">
        <f aca="false">LEFT(C1743,3)</f>
        <v>261</v>
      </c>
      <c r="F1743" s="2" t="str">
        <f aca="false">IF(D1743="","",LEFT(D1743,3))</f>
        <v>242</v>
      </c>
      <c r="G1743" s="2" t="str">
        <f aca="false">IF(F1743="","",IF(E1743=F1743,"Yes","No"))</f>
        <v>No</v>
      </c>
      <c r="H1743" s="2" t="n">
        <f aca="false">IF(D1743="",0,1/COUNTIF($D$2:$D$3451,D1743))</f>
        <v>1</v>
      </c>
      <c r="I1743" s="13" t="n">
        <f aca="false">IFERROR(INDEX('NCO-2015 scores'!$C$2:$C$131,MATCH(E1743,'NCO-2015 scores'!$A$2:$A$131,0)),0)</f>
        <v>0.3467</v>
      </c>
      <c r="J1743" s="13" t="n">
        <f aca="false">IF(ISNUMBER(MATCH(E1743,'NCO-2015 scores'!$A$2:$A$131,0)),IF(ISNUMBER(INDEX('NCO-2015 scores'!$C$2:$C$131,MATCH(E1743,'NCO-2015 scores'!$A$2:$A$131,0))),1,0),0)</f>
        <v>1</v>
      </c>
    </row>
    <row r="1744" customFormat="false" ht="15" hidden="false" customHeight="false" outlineLevel="0" collapsed="false">
      <c r="A1744" s="2" t="n">
        <v>1740</v>
      </c>
      <c r="B1744" s="2" t="s">
        <v>5243</v>
      </c>
      <c r="C1744" s="2" t="s">
        <v>5244</v>
      </c>
      <c r="D1744" s="2" t="s">
        <v>5245</v>
      </c>
      <c r="E1744" s="2" t="str">
        <f aca="false">LEFT(C1744,3)</f>
        <v>261</v>
      </c>
      <c r="F1744" s="2" t="str">
        <f aca="false">IF(D1744="","",LEFT(D1744,3))</f>
        <v>242</v>
      </c>
      <c r="G1744" s="2" t="str">
        <f aca="false">IF(F1744="","",IF(E1744=F1744,"Yes","No"))</f>
        <v>No</v>
      </c>
      <c r="H1744" s="2" t="n">
        <f aca="false">IF(D1744="",0,1/COUNTIF($D$2:$D$3451,D1744))</f>
        <v>1</v>
      </c>
      <c r="I1744" s="13" t="n">
        <f aca="false">IFERROR(INDEX('NCO-2015 scores'!$C$2:$C$131,MATCH(E1744,'NCO-2015 scores'!$A$2:$A$131,0)),0)</f>
        <v>0.3467</v>
      </c>
      <c r="J1744" s="13" t="n">
        <f aca="false">IF(ISNUMBER(MATCH(E1744,'NCO-2015 scores'!$A$2:$A$131,0)),IF(ISNUMBER(INDEX('NCO-2015 scores'!$C$2:$C$131,MATCH(E1744,'NCO-2015 scores'!$A$2:$A$131,0))),1,0),0)</f>
        <v>1</v>
      </c>
    </row>
    <row r="1745" customFormat="false" ht="15" hidden="false" customHeight="false" outlineLevel="0" collapsed="false">
      <c r="A1745" s="2" t="n">
        <v>1741</v>
      </c>
      <c r="B1745" s="2" t="s">
        <v>5246</v>
      </c>
      <c r="C1745" s="2" t="s">
        <v>5247</v>
      </c>
      <c r="D1745" s="2" t="s">
        <v>5248</v>
      </c>
      <c r="E1745" s="2" t="str">
        <f aca="false">LEFT(C1745,3)</f>
        <v>261</v>
      </c>
      <c r="F1745" s="2" t="str">
        <f aca="false">IF(D1745="","",LEFT(D1745,3))</f>
        <v>242</v>
      </c>
      <c r="G1745" s="2" t="str">
        <f aca="false">IF(F1745="","",IF(E1745=F1745,"Yes","No"))</f>
        <v>No</v>
      </c>
      <c r="H1745" s="2" t="n">
        <f aca="false">IF(D1745="",0,1/COUNTIF($D$2:$D$3451,D1745))</f>
        <v>1</v>
      </c>
      <c r="I1745" s="13" t="n">
        <f aca="false">IFERROR(INDEX('NCO-2015 scores'!$C$2:$C$131,MATCH(E1745,'NCO-2015 scores'!$A$2:$A$131,0)),0)</f>
        <v>0.3467</v>
      </c>
      <c r="J1745" s="13" t="n">
        <f aca="false">IF(ISNUMBER(MATCH(E1745,'NCO-2015 scores'!$A$2:$A$131,0)),IF(ISNUMBER(INDEX('NCO-2015 scores'!$C$2:$C$131,MATCH(E1745,'NCO-2015 scores'!$A$2:$A$131,0))),1,0),0)</f>
        <v>1</v>
      </c>
    </row>
    <row r="1746" customFormat="false" ht="15" hidden="false" customHeight="false" outlineLevel="0" collapsed="false">
      <c r="A1746" s="2" t="n">
        <v>1742</v>
      </c>
      <c r="B1746" s="2" t="s">
        <v>5249</v>
      </c>
      <c r="C1746" s="2" t="s">
        <v>5250</v>
      </c>
      <c r="D1746" s="2" t="s">
        <v>5251</v>
      </c>
      <c r="E1746" s="2" t="str">
        <f aca="false">LEFT(C1746,3)</f>
        <v>261</v>
      </c>
      <c r="F1746" s="2" t="str">
        <f aca="false">IF(D1746="","",LEFT(D1746,3))</f>
        <v>242</v>
      </c>
      <c r="G1746" s="2" t="str">
        <f aca="false">IF(F1746="","",IF(E1746=F1746,"Yes","No"))</f>
        <v>No</v>
      </c>
      <c r="H1746" s="2" t="n">
        <f aca="false">IF(D1746="",0,1/COUNTIF($D$2:$D$3451,D1746))</f>
        <v>1</v>
      </c>
      <c r="I1746" s="13" t="n">
        <f aca="false">IFERROR(INDEX('NCO-2015 scores'!$C$2:$C$131,MATCH(E1746,'NCO-2015 scores'!$A$2:$A$131,0)),0)</f>
        <v>0.3467</v>
      </c>
      <c r="J1746" s="13" t="n">
        <f aca="false">IF(ISNUMBER(MATCH(E1746,'NCO-2015 scores'!$A$2:$A$131,0)),IF(ISNUMBER(INDEX('NCO-2015 scores'!$C$2:$C$131,MATCH(E1746,'NCO-2015 scores'!$A$2:$A$131,0))),1,0),0)</f>
        <v>1</v>
      </c>
    </row>
    <row r="1747" customFormat="false" ht="15" hidden="false" customHeight="false" outlineLevel="0" collapsed="false">
      <c r="A1747" s="2" t="n">
        <v>1743</v>
      </c>
      <c r="B1747" s="2" t="s">
        <v>5252</v>
      </c>
      <c r="C1747" s="2" t="s">
        <v>5253</v>
      </c>
      <c r="D1747" s="2" t="s">
        <v>5254</v>
      </c>
      <c r="E1747" s="2" t="str">
        <f aca="false">LEFT(C1747,3)</f>
        <v>261</v>
      </c>
      <c r="F1747" s="2" t="str">
        <f aca="false">IF(D1747="","",LEFT(D1747,3))</f>
        <v>242</v>
      </c>
      <c r="G1747" s="2" t="str">
        <f aca="false">IF(F1747="","",IF(E1747=F1747,"Yes","No"))</f>
        <v>No</v>
      </c>
      <c r="H1747" s="2" t="n">
        <f aca="false">IF(D1747="",0,1/COUNTIF($D$2:$D$3451,D1747))</f>
        <v>1</v>
      </c>
      <c r="I1747" s="13" t="n">
        <f aca="false">IFERROR(INDEX('NCO-2015 scores'!$C$2:$C$131,MATCH(E1747,'NCO-2015 scores'!$A$2:$A$131,0)),0)</f>
        <v>0.3467</v>
      </c>
      <c r="J1747" s="13" t="n">
        <f aca="false">IF(ISNUMBER(MATCH(E1747,'NCO-2015 scores'!$A$2:$A$131,0)),IF(ISNUMBER(INDEX('NCO-2015 scores'!$C$2:$C$131,MATCH(E1747,'NCO-2015 scores'!$A$2:$A$131,0))),1,0),0)</f>
        <v>1</v>
      </c>
    </row>
    <row r="1748" customFormat="false" ht="15" hidden="false" customHeight="false" outlineLevel="0" collapsed="false">
      <c r="A1748" s="2" t="n">
        <v>1744</v>
      </c>
      <c r="B1748" s="2" t="s">
        <v>5255</v>
      </c>
      <c r="C1748" s="2" t="s">
        <v>5256</v>
      </c>
      <c r="D1748" s="2" t="s">
        <v>5257</v>
      </c>
      <c r="E1748" s="2" t="str">
        <f aca="false">LEFT(C1748,3)</f>
        <v>261</v>
      </c>
      <c r="F1748" s="2" t="str">
        <f aca="false">IF(D1748="","",LEFT(D1748,3))</f>
        <v>242</v>
      </c>
      <c r="G1748" s="2" t="str">
        <f aca="false">IF(F1748="","",IF(E1748=F1748,"Yes","No"))</f>
        <v>No</v>
      </c>
      <c r="H1748" s="2" t="n">
        <f aca="false">IF(D1748="",0,1/COUNTIF($D$2:$D$3451,D1748))</f>
        <v>1</v>
      </c>
      <c r="I1748" s="13" t="n">
        <f aca="false">IFERROR(INDEX('NCO-2015 scores'!$C$2:$C$131,MATCH(E1748,'NCO-2015 scores'!$A$2:$A$131,0)),0)</f>
        <v>0.3467</v>
      </c>
      <c r="J1748" s="13" t="n">
        <f aca="false">IF(ISNUMBER(MATCH(E1748,'NCO-2015 scores'!$A$2:$A$131,0)),IF(ISNUMBER(INDEX('NCO-2015 scores'!$C$2:$C$131,MATCH(E1748,'NCO-2015 scores'!$A$2:$A$131,0))),1,0),0)</f>
        <v>1</v>
      </c>
    </row>
    <row r="1749" customFormat="false" ht="15" hidden="false" customHeight="false" outlineLevel="0" collapsed="false">
      <c r="A1749" s="2" t="n">
        <v>1745</v>
      </c>
      <c r="B1749" s="2" t="s">
        <v>5258</v>
      </c>
      <c r="C1749" s="2" t="s">
        <v>5259</v>
      </c>
      <c r="D1749" s="2" t="s">
        <v>5260</v>
      </c>
      <c r="E1749" s="2" t="str">
        <f aca="false">LEFT(C1749,3)</f>
        <v>261</v>
      </c>
      <c r="F1749" s="2" t="str">
        <f aca="false">IF(D1749="","",LEFT(D1749,3))</f>
        <v>242</v>
      </c>
      <c r="G1749" s="2" t="str">
        <f aca="false">IF(F1749="","",IF(E1749=F1749,"Yes","No"))</f>
        <v>No</v>
      </c>
      <c r="H1749" s="2" t="n">
        <f aca="false">IF(D1749="",0,1/COUNTIF($D$2:$D$3451,D1749))</f>
        <v>1</v>
      </c>
      <c r="I1749" s="13" t="n">
        <f aca="false">IFERROR(INDEX('NCO-2015 scores'!$C$2:$C$131,MATCH(E1749,'NCO-2015 scores'!$A$2:$A$131,0)),0)</f>
        <v>0.3467</v>
      </c>
      <c r="J1749" s="13" t="n">
        <f aca="false">IF(ISNUMBER(MATCH(E1749,'NCO-2015 scores'!$A$2:$A$131,0)),IF(ISNUMBER(INDEX('NCO-2015 scores'!$C$2:$C$131,MATCH(E1749,'NCO-2015 scores'!$A$2:$A$131,0))),1,0),0)</f>
        <v>1</v>
      </c>
    </row>
    <row r="1750" customFormat="false" ht="15" hidden="false" customHeight="false" outlineLevel="0" collapsed="false">
      <c r="A1750" s="2" t="n">
        <v>1746</v>
      </c>
      <c r="B1750" s="2" t="s">
        <v>5261</v>
      </c>
      <c r="C1750" s="2" t="s">
        <v>5262</v>
      </c>
      <c r="D1750" s="2" t="s">
        <v>5263</v>
      </c>
      <c r="E1750" s="2" t="str">
        <f aca="false">LEFT(C1750,3)</f>
        <v>261</v>
      </c>
      <c r="F1750" s="2" t="str">
        <f aca="false">IF(D1750="","",LEFT(D1750,3))</f>
        <v>242</v>
      </c>
      <c r="G1750" s="2" t="str">
        <f aca="false">IF(F1750="","",IF(E1750=F1750,"Yes","No"))</f>
        <v>No</v>
      </c>
      <c r="H1750" s="2" t="n">
        <f aca="false">IF(D1750="",0,1/COUNTIF($D$2:$D$3451,D1750))</f>
        <v>1</v>
      </c>
      <c r="I1750" s="13" t="n">
        <f aca="false">IFERROR(INDEX('NCO-2015 scores'!$C$2:$C$131,MATCH(E1750,'NCO-2015 scores'!$A$2:$A$131,0)),0)</f>
        <v>0.3467</v>
      </c>
      <c r="J1750" s="13" t="n">
        <f aca="false">IF(ISNUMBER(MATCH(E1750,'NCO-2015 scores'!$A$2:$A$131,0)),IF(ISNUMBER(INDEX('NCO-2015 scores'!$C$2:$C$131,MATCH(E1750,'NCO-2015 scores'!$A$2:$A$131,0))),1,0),0)</f>
        <v>1</v>
      </c>
    </row>
    <row r="1751" customFormat="false" ht="15" hidden="false" customHeight="false" outlineLevel="0" collapsed="false">
      <c r="A1751" s="2" t="n">
        <v>1747</v>
      </c>
      <c r="B1751" s="2" t="s">
        <v>5264</v>
      </c>
      <c r="C1751" s="2" t="s">
        <v>5265</v>
      </c>
      <c r="D1751" s="2" t="s">
        <v>5266</v>
      </c>
      <c r="E1751" s="2" t="str">
        <f aca="false">LEFT(C1751,3)</f>
        <v>111</v>
      </c>
      <c r="F1751" s="2" t="str">
        <f aca="false">IF(D1751="","",LEFT(D1751,3))</f>
        <v>111</v>
      </c>
      <c r="G1751" s="2" t="str">
        <f aca="false">IF(F1751="","",IF(E1751=F1751,"Yes","No"))</f>
        <v>Yes</v>
      </c>
      <c r="H1751" s="2" t="n">
        <f aca="false">IF(D1751="",0,1/COUNTIF($D$2:$D$3451,D1751))</f>
        <v>1</v>
      </c>
      <c r="I1751" s="13" t="n">
        <f aca="false">IFERROR(INDEX('NCO-2015 scores'!$C$2:$C$131,MATCH(E1751,'NCO-2015 scores'!$A$2:$A$131,0)),0)</f>
        <v>0.3225</v>
      </c>
      <c r="J1751" s="13" t="n">
        <f aca="false">IF(ISNUMBER(MATCH(E1751,'NCO-2015 scores'!$A$2:$A$131,0)),IF(ISNUMBER(INDEX('NCO-2015 scores'!$C$2:$C$131,MATCH(E1751,'NCO-2015 scores'!$A$2:$A$131,0))),1,0),0)</f>
        <v>1</v>
      </c>
    </row>
    <row r="1752" customFormat="false" ht="15" hidden="false" customHeight="false" outlineLevel="0" collapsed="false">
      <c r="A1752" s="2" t="n">
        <v>1748</v>
      </c>
      <c r="B1752" s="2" t="s">
        <v>5267</v>
      </c>
      <c r="C1752" s="2" t="s">
        <v>5268</v>
      </c>
      <c r="D1752" s="2" t="s">
        <v>5269</v>
      </c>
      <c r="E1752" s="2" t="str">
        <f aca="false">LEFT(C1752,3)</f>
        <v>111</v>
      </c>
      <c r="F1752" s="2" t="str">
        <f aca="false">IF(D1752="","",LEFT(D1752,3))</f>
        <v>111</v>
      </c>
      <c r="G1752" s="2" t="str">
        <f aca="false">IF(F1752="","",IF(E1752=F1752,"Yes","No"))</f>
        <v>Yes</v>
      </c>
      <c r="H1752" s="2" t="n">
        <f aca="false">IF(D1752="",0,1/COUNTIF($D$2:$D$3451,D1752))</f>
        <v>1</v>
      </c>
      <c r="I1752" s="13" t="n">
        <f aca="false">IFERROR(INDEX('NCO-2015 scores'!$C$2:$C$131,MATCH(E1752,'NCO-2015 scores'!$A$2:$A$131,0)),0)</f>
        <v>0.3225</v>
      </c>
      <c r="J1752" s="13" t="n">
        <f aca="false">IF(ISNUMBER(MATCH(E1752,'NCO-2015 scores'!$A$2:$A$131,0)),IF(ISNUMBER(INDEX('NCO-2015 scores'!$C$2:$C$131,MATCH(E1752,'NCO-2015 scores'!$A$2:$A$131,0))),1,0),0)</f>
        <v>1</v>
      </c>
    </row>
    <row r="1753" customFormat="false" ht="15" hidden="false" customHeight="false" outlineLevel="0" collapsed="false">
      <c r="A1753" s="2" t="n">
        <v>1749</v>
      </c>
      <c r="B1753" s="2" t="s">
        <v>5270</v>
      </c>
      <c r="C1753" s="2" t="s">
        <v>5271</v>
      </c>
      <c r="D1753" s="2" t="s">
        <v>5272</v>
      </c>
      <c r="E1753" s="2" t="str">
        <f aca="false">LEFT(C1753,3)</f>
        <v>111</v>
      </c>
      <c r="F1753" s="2" t="str">
        <f aca="false">IF(D1753="","",LEFT(D1753,3))</f>
        <v>111</v>
      </c>
      <c r="G1753" s="2" t="str">
        <f aca="false">IF(F1753="","",IF(E1753=F1753,"Yes","No"))</f>
        <v>Yes</v>
      </c>
      <c r="H1753" s="2" t="n">
        <f aca="false">IF(D1753="",0,1/COUNTIF($D$2:$D$3451,D1753))</f>
        <v>1</v>
      </c>
      <c r="I1753" s="13" t="n">
        <f aca="false">IFERROR(INDEX('NCO-2015 scores'!$C$2:$C$131,MATCH(E1753,'NCO-2015 scores'!$A$2:$A$131,0)),0)</f>
        <v>0.3225</v>
      </c>
      <c r="J1753" s="13" t="n">
        <f aca="false">IF(ISNUMBER(MATCH(E1753,'NCO-2015 scores'!$A$2:$A$131,0)),IF(ISNUMBER(INDEX('NCO-2015 scores'!$C$2:$C$131,MATCH(E1753,'NCO-2015 scores'!$A$2:$A$131,0))),1,0),0)</f>
        <v>1</v>
      </c>
    </row>
    <row r="1754" customFormat="false" ht="15" hidden="false" customHeight="false" outlineLevel="0" collapsed="false">
      <c r="A1754" s="2" t="n">
        <v>1750</v>
      </c>
      <c r="B1754" s="2" t="s">
        <v>5273</v>
      </c>
      <c r="C1754" s="2" t="s">
        <v>5274</v>
      </c>
      <c r="D1754" s="2" t="s">
        <v>5275</v>
      </c>
      <c r="E1754" s="2" t="str">
        <f aca="false">LEFT(C1754,3)</f>
        <v>111</v>
      </c>
      <c r="F1754" s="2" t="str">
        <f aca="false">IF(D1754="","",LEFT(D1754,3))</f>
        <v>111</v>
      </c>
      <c r="G1754" s="2" t="str">
        <f aca="false">IF(F1754="","",IF(E1754=F1754,"Yes","No"))</f>
        <v>Yes</v>
      </c>
      <c r="H1754" s="2" t="n">
        <f aca="false">IF(D1754="",0,1/COUNTIF($D$2:$D$3451,D1754))</f>
        <v>1</v>
      </c>
      <c r="I1754" s="13" t="n">
        <f aca="false">IFERROR(INDEX('NCO-2015 scores'!$C$2:$C$131,MATCH(E1754,'NCO-2015 scores'!$A$2:$A$131,0)),0)</f>
        <v>0.3225</v>
      </c>
      <c r="J1754" s="13" t="n">
        <f aca="false">IF(ISNUMBER(MATCH(E1754,'NCO-2015 scores'!$A$2:$A$131,0)),IF(ISNUMBER(INDEX('NCO-2015 scores'!$C$2:$C$131,MATCH(E1754,'NCO-2015 scores'!$A$2:$A$131,0))),1,0),0)</f>
        <v>1</v>
      </c>
    </row>
    <row r="1755" customFormat="false" ht="15" hidden="false" customHeight="false" outlineLevel="0" collapsed="false">
      <c r="A1755" s="2" t="n">
        <v>1751</v>
      </c>
      <c r="B1755" s="2" t="s">
        <v>5276</v>
      </c>
      <c r="C1755" s="2" t="s">
        <v>5277</v>
      </c>
      <c r="D1755" s="2"/>
      <c r="E1755" s="2" t="str">
        <f aca="false">LEFT(C1755,3)</f>
        <v>262</v>
      </c>
      <c r="F1755" s="2" t="str">
        <f aca="false">IF(D1755="","",LEFT(D1755,3))</f>
        <v/>
      </c>
      <c r="G1755" s="2" t="str">
        <f aca="false">IF(F1755="","",IF(E1755=F1755,"Yes","No"))</f>
        <v/>
      </c>
      <c r="H1755" s="2" t="n">
        <f aca="false">IF(D1755="",0,1/COUNTIF($D$2:$D$3451,D1755))</f>
        <v>0</v>
      </c>
      <c r="I1755" s="13" t="n">
        <f aca="false">IFERROR(INDEX('NCO-2015 scores'!$C$2:$C$131,MATCH(E1755,'NCO-2015 scores'!$A$2:$A$131,0)),0)</f>
        <v>0.51</v>
      </c>
      <c r="J1755" s="13" t="n">
        <f aca="false">IF(ISNUMBER(MATCH(E1755,'NCO-2015 scores'!$A$2:$A$131,0)),IF(ISNUMBER(INDEX('NCO-2015 scores'!$C$2:$C$131,MATCH(E1755,'NCO-2015 scores'!$A$2:$A$131,0))),1,0),0)</f>
        <v>1</v>
      </c>
    </row>
    <row r="1756" customFormat="false" ht="15" hidden="false" customHeight="false" outlineLevel="0" collapsed="false">
      <c r="A1756" s="2" t="n">
        <v>1752</v>
      </c>
      <c r="B1756" s="2" t="s">
        <v>5278</v>
      </c>
      <c r="C1756" s="2" t="s">
        <v>5279</v>
      </c>
      <c r="D1756" s="2" t="s">
        <v>5280</v>
      </c>
      <c r="E1756" s="2" t="str">
        <f aca="false">LEFT(C1756,3)</f>
        <v>262</v>
      </c>
      <c r="F1756" s="2" t="str">
        <f aca="false">IF(D1756="","",LEFT(D1756,3))</f>
        <v>243</v>
      </c>
      <c r="G1756" s="2" t="str">
        <f aca="false">IF(F1756="","",IF(E1756=F1756,"Yes","No"))</f>
        <v>No</v>
      </c>
      <c r="H1756" s="2" t="n">
        <f aca="false">IF(D1756="",0,1/COUNTIF($D$2:$D$3451,D1756))</f>
        <v>1</v>
      </c>
      <c r="I1756" s="13" t="n">
        <f aca="false">IFERROR(INDEX('NCO-2015 scores'!$C$2:$C$131,MATCH(E1756,'NCO-2015 scores'!$A$2:$A$131,0)),0)</f>
        <v>0.51</v>
      </c>
      <c r="J1756" s="13" t="n">
        <f aca="false">IF(ISNUMBER(MATCH(E1756,'NCO-2015 scores'!$A$2:$A$131,0)),IF(ISNUMBER(INDEX('NCO-2015 scores'!$C$2:$C$131,MATCH(E1756,'NCO-2015 scores'!$A$2:$A$131,0))),1,0),0)</f>
        <v>1</v>
      </c>
    </row>
    <row r="1757" customFormat="false" ht="15" hidden="false" customHeight="false" outlineLevel="0" collapsed="false">
      <c r="A1757" s="2" t="n">
        <v>1753</v>
      </c>
      <c r="B1757" s="2" t="s">
        <v>5281</v>
      </c>
      <c r="C1757" s="2" t="s">
        <v>5282</v>
      </c>
      <c r="D1757" s="2" t="s">
        <v>5283</v>
      </c>
      <c r="E1757" s="2" t="str">
        <f aca="false">LEFT(C1757,3)</f>
        <v>262</v>
      </c>
      <c r="F1757" s="2" t="str">
        <f aca="false">IF(D1757="","",LEFT(D1757,3))</f>
        <v>243</v>
      </c>
      <c r="G1757" s="2" t="str">
        <f aca="false">IF(F1757="","",IF(E1757=F1757,"Yes","No"))</f>
        <v>No</v>
      </c>
      <c r="H1757" s="2" t="n">
        <f aca="false">IF(D1757="",0,1/COUNTIF($D$2:$D$3451,D1757))</f>
        <v>1</v>
      </c>
      <c r="I1757" s="13" t="n">
        <f aca="false">IFERROR(INDEX('NCO-2015 scores'!$C$2:$C$131,MATCH(E1757,'NCO-2015 scores'!$A$2:$A$131,0)),0)</f>
        <v>0.51</v>
      </c>
      <c r="J1757" s="13" t="n">
        <f aca="false">IF(ISNUMBER(MATCH(E1757,'NCO-2015 scores'!$A$2:$A$131,0)),IF(ISNUMBER(INDEX('NCO-2015 scores'!$C$2:$C$131,MATCH(E1757,'NCO-2015 scores'!$A$2:$A$131,0))),1,0),0)</f>
        <v>1</v>
      </c>
    </row>
    <row r="1758" customFormat="false" ht="15" hidden="false" customHeight="false" outlineLevel="0" collapsed="false">
      <c r="A1758" s="2" t="n">
        <v>1754</v>
      </c>
      <c r="B1758" s="2" t="s">
        <v>5284</v>
      </c>
      <c r="C1758" s="2" t="s">
        <v>5285</v>
      </c>
      <c r="D1758" s="2" t="s">
        <v>5286</v>
      </c>
      <c r="E1758" s="2" t="str">
        <f aca="false">LEFT(C1758,3)</f>
        <v>262</v>
      </c>
      <c r="F1758" s="2" t="str">
        <f aca="false">IF(D1758="","",LEFT(D1758,3))</f>
        <v>243</v>
      </c>
      <c r="G1758" s="2" t="str">
        <f aca="false">IF(F1758="","",IF(E1758=F1758,"Yes","No"))</f>
        <v>No</v>
      </c>
      <c r="H1758" s="2" t="n">
        <f aca="false">IF(D1758="",0,1/COUNTIF($D$2:$D$3451,D1758))</f>
        <v>1</v>
      </c>
      <c r="I1758" s="13" t="n">
        <f aca="false">IFERROR(INDEX('NCO-2015 scores'!$C$2:$C$131,MATCH(E1758,'NCO-2015 scores'!$A$2:$A$131,0)),0)</f>
        <v>0.51</v>
      </c>
      <c r="J1758" s="13" t="n">
        <f aca="false">IF(ISNUMBER(MATCH(E1758,'NCO-2015 scores'!$A$2:$A$131,0)),IF(ISNUMBER(INDEX('NCO-2015 scores'!$C$2:$C$131,MATCH(E1758,'NCO-2015 scores'!$A$2:$A$131,0))),1,0),0)</f>
        <v>1</v>
      </c>
    </row>
    <row r="1759" customFormat="false" ht="15" hidden="false" customHeight="false" outlineLevel="0" collapsed="false">
      <c r="A1759" s="2" t="n">
        <v>1755</v>
      </c>
      <c r="B1759" s="2" t="s">
        <v>5287</v>
      </c>
      <c r="C1759" s="2" t="s">
        <v>5288</v>
      </c>
      <c r="D1759" s="2" t="s">
        <v>5289</v>
      </c>
      <c r="E1759" s="2" t="str">
        <f aca="false">LEFT(C1759,3)</f>
        <v>262</v>
      </c>
      <c r="F1759" s="2" t="str">
        <f aca="false">IF(D1759="","",LEFT(D1759,3))</f>
        <v>243</v>
      </c>
      <c r="G1759" s="2" t="str">
        <f aca="false">IF(F1759="","",IF(E1759=F1759,"Yes","No"))</f>
        <v>No</v>
      </c>
      <c r="H1759" s="2" t="n">
        <f aca="false">IF(D1759="",0,1/COUNTIF($D$2:$D$3451,D1759))</f>
        <v>1</v>
      </c>
      <c r="I1759" s="13" t="n">
        <f aca="false">IFERROR(INDEX('NCO-2015 scores'!$C$2:$C$131,MATCH(E1759,'NCO-2015 scores'!$A$2:$A$131,0)),0)</f>
        <v>0.51</v>
      </c>
      <c r="J1759" s="13" t="n">
        <f aca="false">IF(ISNUMBER(MATCH(E1759,'NCO-2015 scores'!$A$2:$A$131,0)),IF(ISNUMBER(INDEX('NCO-2015 scores'!$C$2:$C$131,MATCH(E1759,'NCO-2015 scores'!$A$2:$A$131,0))),1,0),0)</f>
        <v>1</v>
      </c>
    </row>
    <row r="1760" customFormat="false" ht="15" hidden="false" customHeight="false" outlineLevel="0" collapsed="false">
      <c r="A1760" s="2" t="n">
        <v>1756</v>
      </c>
      <c r="B1760" s="2" t="s">
        <v>5290</v>
      </c>
      <c r="C1760" s="2" t="s">
        <v>5291</v>
      </c>
      <c r="D1760" s="2" t="s">
        <v>5292</v>
      </c>
      <c r="E1760" s="2" t="str">
        <f aca="false">LEFT(C1760,3)</f>
        <v>262</v>
      </c>
      <c r="F1760" s="2" t="str">
        <f aca="false">IF(D1760="","",LEFT(D1760,3))</f>
        <v>243</v>
      </c>
      <c r="G1760" s="2" t="str">
        <f aca="false">IF(F1760="","",IF(E1760=F1760,"Yes","No"))</f>
        <v>No</v>
      </c>
      <c r="H1760" s="2" t="n">
        <f aca="false">IF(D1760="",0,1/COUNTIF($D$2:$D$3451,D1760))</f>
        <v>1</v>
      </c>
      <c r="I1760" s="13" t="n">
        <f aca="false">IFERROR(INDEX('NCO-2015 scores'!$C$2:$C$131,MATCH(E1760,'NCO-2015 scores'!$A$2:$A$131,0)),0)</f>
        <v>0.51</v>
      </c>
      <c r="J1760" s="13" t="n">
        <f aca="false">IF(ISNUMBER(MATCH(E1760,'NCO-2015 scores'!$A$2:$A$131,0)),IF(ISNUMBER(INDEX('NCO-2015 scores'!$C$2:$C$131,MATCH(E1760,'NCO-2015 scores'!$A$2:$A$131,0))),1,0),0)</f>
        <v>1</v>
      </c>
    </row>
    <row r="1761" customFormat="false" ht="15" hidden="false" customHeight="false" outlineLevel="0" collapsed="false">
      <c r="A1761" s="2" t="n">
        <v>1757</v>
      </c>
      <c r="B1761" s="2" t="s">
        <v>5293</v>
      </c>
      <c r="C1761" s="2" t="s">
        <v>5294</v>
      </c>
      <c r="D1761" s="2" t="s">
        <v>5295</v>
      </c>
      <c r="E1761" s="2" t="str">
        <f aca="false">LEFT(C1761,3)</f>
        <v>441</v>
      </c>
      <c r="F1761" s="2" t="str">
        <f aca="false">IF(D1761="","",LEFT(D1761,3))</f>
        <v>414</v>
      </c>
      <c r="G1761" s="2" t="str">
        <f aca="false">IF(F1761="","",IF(E1761=F1761,"Yes","No"))</f>
        <v>No</v>
      </c>
      <c r="H1761" s="2" t="n">
        <f aca="false">IF(D1761="",0,1/COUNTIF($D$2:$D$3451,D1761))</f>
        <v>1</v>
      </c>
      <c r="I1761" s="13" t="n">
        <f aca="false">IFERROR(INDEX('NCO-2015 scores'!$C$2:$C$131,MATCH(E1761,'NCO-2015 scores'!$A$2:$A$131,0)),0)</f>
        <v>0.5086</v>
      </c>
      <c r="J1761" s="13" t="n">
        <f aca="false">IF(ISNUMBER(MATCH(E1761,'NCO-2015 scores'!$A$2:$A$131,0)),IF(ISNUMBER(INDEX('NCO-2015 scores'!$C$2:$C$131,MATCH(E1761,'NCO-2015 scores'!$A$2:$A$131,0))),1,0),0)</f>
        <v>1</v>
      </c>
    </row>
    <row r="1762" customFormat="false" ht="15" hidden="false" customHeight="false" outlineLevel="0" collapsed="false">
      <c r="A1762" s="2" t="n">
        <v>1758</v>
      </c>
      <c r="B1762" s="2" t="s">
        <v>5296</v>
      </c>
      <c r="C1762" s="2" t="s">
        <v>5297</v>
      </c>
      <c r="D1762" s="2" t="s">
        <v>5298</v>
      </c>
      <c r="E1762" s="2" t="str">
        <f aca="false">LEFT(C1762,3)</f>
        <v>441</v>
      </c>
      <c r="F1762" s="2" t="str">
        <f aca="false">IF(D1762="","",LEFT(D1762,3))</f>
        <v>414</v>
      </c>
      <c r="G1762" s="2" t="str">
        <f aca="false">IF(F1762="","",IF(E1762=F1762,"Yes","No"))</f>
        <v>No</v>
      </c>
      <c r="H1762" s="2" t="n">
        <f aca="false">IF(D1762="",0,1/COUNTIF($D$2:$D$3451,D1762))</f>
        <v>1</v>
      </c>
      <c r="I1762" s="13" t="n">
        <f aca="false">IFERROR(INDEX('NCO-2015 scores'!$C$2:$C$131,MATCH(E1762,'NCO-2015 scores'!$A$2:$A$131,0)),0)</f>
        <v>0.5086</v>
      </c>
      <c r="J1762" s="13" t="n">
        <f aca="false">IF(ISNUMBER(MATCH(E1762,'NCO-2015 scores'!$A$2:$A$131,0)),IF(ISNUMBER(INDEX('NCO-2015 scores'!$C$2:$C$131,MATCH(E1762,'NCO-2015 scores'!$A$2:$A$131,0))),1,0),0)</f>
        <v>1</v>
      </c>
    </row>
    <row r="1763" customFormat="false" ht="15" hidden="false" customHeight="false" outlineLevel="0" collapsed="false">
      <c r="A1763" s="2" t="n">
        <v>1759</v>
      </c>
      <c r="B1763" s="2" t="s">
        <v>5299</v>
      </c>
      <c r="C1763" s="2" t="s">
        <v>5300</v>
      </c>
      <c r="D1763" s="2" t="s">
        <v>5301</v>
      </c>
      <c r="E1763" s="2" t="str">
        <f aca="false">LEFT(C1763,3)</f>
        <v>441</v>
      </c>
      <c r="F1763" s="2" t="str">
        <f aca="false">IF(D1763="","",LEFT(D1763,3))</f>
        <v>414</v>
      </c>
      <c r="G1763" s="2" t="str">
        <f aca="false">IF(F1763="","",IF(E1763=F1763,"Yes","No"))</f>
        <v>No</v>
      </c>
      <c r="H1763" s="2" t="n">
        <f aca="false">IF(D1763="",0,1/COUNTIF($D$2:$D$3451,D1763))</f>
        <v>1</v>
      </c>
      <c r="I1763" s="13" t="n">
        <f aca="false">IFERROR(INDEX('NCO-2015 scores'!$C$2:$C$131,MATCH(E1763,'NCO-2015 scores'!$A$2:$A$131,0)),0)</f>
        <v>0.5086</v>
      </c>
      <c r="J1763" s="13" t="n">
        <f aca="false">IF(ISNUMBER(MATCH(E1763,'NCO-2015 scores'!$A$2:$A$131,0)),IF(ISNUMBER(INDEX('NCO-2015 scores'!$C$2:$C$131,MATCH(E1763,'NCO-2015 scores'!$A$2:$A$131,0))),1,0),0)</f>
        <v>1</v>
      </c>
    </row>
    <row r="1764" customFormat="false" ht="15" hidden="false" customHeight="false" outlineLevel="0" collapsed="false">
      <c r="A1764" s="2" t="n">
        <v>1760</v>
      </c>
      <c r="B1764" s="2" t="s">
        <v>5302</v>
      </c>
      <c r="C1764" s="2" t="s">
        <v>5303</v>
      </c>
      <c r="D1764" s="2" t="s">
        <v>5304</v>
      </c>
      <c r="E1764" s="2" t="str">
        <f aca="false">LEFT(C1764,3)</f>
        <v>441</v>
      </c>
      <c r="F1764" s="2" t="str">
        <f aca="false">IF(D1764="","",LEFT(D1764,3))</f>
        <v>414</v>
      </c>
      <c r="G1764" s="2" t="str">
        <f aca="false">IF(F1764="","",IF(E1764=F1764,"Yes","No"))</f>
        <v>No</v>
      </c>
      <c r="H1764" s="2" t="n">
        <f aca="false">IF(D1764="",0,1/COUNTIF($D$2:$D$3451,D1764))</f>
        <v>1</v>
      </c>
      <c r="I1764" s="13" t="n">
        <f aca="false">IFERROR(INDEX('NCO-2015 scores'!$C$2:$C$131,MATCH(E1764,'NCO-2015 scores'!$A$2:$A$131,0)),0)</f>
        <v>0.5086</v>
      </c>
      <c r="J1764" s="13" t="n">
        <f aca="false">IF(ISNUMBER(MATCH(E1764,'NCO-2015 scores'!$A$2:$A$131,0)),IF(ISNUMBER(INDEX('NCO-2015 scores'!$C$2:$C$131,MATCH(E1764,'NCO-2015 scores'!$A$2:$A$131,0))),1,0),0)</f>
        <v>1</v>
      </c>
    </row>
    <row r="1765" customFormat="false" ht="15" hidden="false" customHeight="false" outlineLevel="0" collapsed="false">
      <c r="A1765" s="2" t="n">
        <v>1761</v>
      </c>
      <c r="B1765" s="2" t="s">
        <v>5305</v>
      </c>
      <c r="C1765" s="2" t="s">
        <v>5306</v>
      </c>
      <c r="D1765" s="2" t="s">
        <v>5307</v>
      </c>
      <c r="E1765" s="2" t="str">
        <f aca="false">LEFT(C1765,3)</f>
        <v>314</v>
      </c>
      <c r="F1765" s="2" t="str">
        <f aca="false">IF(D1765="","",LEFT(D1765,3))</f>
        <v>321</v>
      </c>
      <c r="G1765" s="2" t="str">
        <f aca="false">IF(F1765="","",IF(E1765=F1765,"Yes","No"))</f>
        <v>No</v>
      </c>
      <c r="H1765" s="2" t="n">
        <f aca="false">IF(D1765="",0,1/COUNTIF($D$2:$D$3451,D1765))</f>
        <v>1</v>
      </c>
      <c r="I1765" s="13" t="n">
        <f aca="false">IFERROR(INDEX('NCO-2015 scores'!$C$2:$C$131,MATCH(E1765,'NCO-2015 scores'!$A$2:$A$131,0)),0)</f>
        <v>0.2833</v>
      </c>
      <c r="J1765" s="13" t="n">
        <f aca="false">IF(ISNUMBER(MATCH(E1765,'NCO-2015 scores'!$A$2:$A$131,0)),IF(ISNUMBER(INDEX('NCO-2015 scores'!$C$2:$C$131,MATCH(E1765,'NCO-2015 scores'!$A$2:$A$131,0))),1,0),0)</f>
        <v>1</v>
      </c>
    </row>
    <row r="1766" customFormat="false" ht="15" hidden="false" customHeight="false" outlineLevel="0" collapsed="false">
      <c r="A1766" s="2" t="n">
        <v>1762</v>
      </c>
      <c r="B1766" s="2" t="s">
        <v>5308</v>
      </c>
      <c r="C1766" s="2" t="s">
        <v>5309</v>
      </c>
      <c r="D1766" s="2" t="s">
        <v>5310</v>
      </c>
      <c r="E1766" s="2" t="str">
        <f aca="false">LEFT(C1766,3)</f>
        <v>314</v>
      </c>
      <c r="F1766" s="2" t="str">
        <f aca="false">IF(D1766="","",LEFT(D1766,3))</f>
        <v>321</v>
      </c>
      <c r="G1766" s="2" t="str">
        <f aca="false">IF(F1766="","",IF(E1766=F1766,"Yes","No"))</f>
        <v>No</v>
      </c>
      <c r="H1766" s="2" t="n">
        <f aca="false">IF(D1766="",0,1/COUNTIF($D$2:$D$3451,D1766))</f>
        <v>1</v>
      </c>
      <c r="I1766" s="13" t="n">
        <f aca="false">IFERROR(INDEX('NCO-2015 scores'!$C$2:$C$131,MATCH(E1766,'NCO-2015 scores'!$A$2:$A$131,0)),0)</f>
        <v>0.2833</v>
      </c>
      <c r="J1766" s="13" t="n">
        <f aca="false">IF(ISNUMBER(MATCH(E1766,'NCO-2015 scores'!$A$2:$A$131,0)),IF(ISNUMBER(INDEX('NCO-2015 scores'!$C$2:$C$131,MATCH(E1766,'NCO-2015 scores'!$A$2:$A$131,0))),1,0),0)</f>
        <v>1</v>
      </c>
    </row>
    <row r="1767" customFormat="false" ht="15" hidden="false" customHeight="false" outlineLevel="0" collapsed="false">
      <c r="A1767" s="2" t="n">
        <v>1763</v>
      </c>
      <c r="B1767" s="2" t="s">
        <v>5311</v>
      </c>
      <c r="C1767" s="2" t="s">
        <v>5312</v>
      </c>
      <c r="D1767" s="2" t="s">
        <v>5313</v>
      </c>
      <c r="E1767" s="2" t="str">
        <f aca="false">LEFT(C1767,3)</f>
        <v>314</v>
      </c>
      <c r="F1767" s="2" t="str">
        <f aca="false">IF(D1767="","",LEFT(D1767,3))</f>
        <v>321</v>
      </c>
      <c r="G1767" s="2" t="str">
        <f aca="false">IF(F1767="","",IF(E1767=F1767,"Yes","No"))</f>
        <v>No</v>
      </c>
      <c r="H1767" s="2" t="n">
        <f aca="false">IF(D1767="",0,1/COUNTIF($D$2:$D$3451,D1767))</f>
        <v>1</v>
      </c>
      <c r="I1767" s="13" t="n">
        <f aca="false">IFERROR(INDEX('NCO-2015 scores'!$C$2:$C$131,MATCH(E1767,'NCO-2015 scores'!$A$2:$A$131,0)),0)</f>
        <v>0.2833</v>
      </c>
      <c r="J1767" s="13" t="n">
        <f aca="false">IF(ISNUMBER(MATCH(E1767,'NCO-2015 scores'!$A$2:$A$131,0)),IF(ISNUMBER(INDEX('NCO-2015 scores'!$C$2:$C$131,MATCH(E1767,'NCO-2015 scores'!$A$2:$A$131,0))),1,0),0)</f>
        <v>1</v>
      </c>
    </row>
    <row r="1768" customFormat="false" ht="15" hidden="false" customHeight="false" outlineLevel="0" collapsed="false">
      <c r="A1768" s="2" t="n">
        <v>1764</v>
      </c>
      <c r="B1768" s="2" t="s">
        <v>5314</v>
      </c>
      <c r="C1768" s="2" t="s">
        <v>5315</v>
      </c>
      <c r="D1768" s="2"/>
      <c r="E1768" s="2" t="str">
        <f aca="false">LEFT(C1768,3)</f>
        <v>314</v>
      </c>
      <c r="F1768" s="2" t="str">
        <f aca="false">IF(D1768="","",LEFT(D1768,3))</f>
        <v/>
      </c>
      <c r="G1768" s="2" t="str">
        <f aca="false">IF(F1768="","",IF(E1768=F1768,"Yes","No"))</f>
        <v/>
      </c>
      <c r="H1768" s="2" t="n">
        <f aca="false">IF(D1768="",0,1/COUNTIF($D$2:$D$3451,D1768))</f>
        <v>0</v>
      </c>
      <c r="I1768" s="13" t="n">
        <f aca="false">IFERROR(INDEX('NCO-2015 scores'!$C$2:$C$131,MATCH(E1768,'NCO-2015 scores'!$A$2:$A$131,0)),0)</f>
        <v>0.2833</v>
      </c>
      <c r="J1768" s="13" t="n">
        <f aca="false">IF(ISNUMBER(MATCH(E1768,'NCO-2015 scores'!$A$2:$A$131,0)),IF(ISNUMBER(INDEX('NCO-2015 scores'!$C$2:$C$131,MATCH(E1768,'NCO-2015 scores'!$A$2:$A$131,0))),1,0),0)</f>
        <v>1</v>
      </c>
    </row>
    <row r="1769" customFormat="false" ht="15" hidden="false" customHeight="false" outlineLevel="0" collapsed="false">
      <c r="A1769" s="2" t="n">
        <v>1765</v>
      </c>
      <c r="B1769" s="2" t="s">
        <v>5316</v>
      </c>
      <c r="C1769" s="2" t="s">
        <v>5317</v>
      </c>
      <c r="D1769" s="2" t="s">
        <v>5318</v>
      </c>
      <c r="E1769" s="2" t="str">
        <f aca="false">LEFT(C1769,3)</f>
        <v>834</v>
      </c>
      <c r="F1769" s="2" t="str">
        <f aca="false">IF(D1769="","",LEFT(D1769,3))</f>
        <v>833</v>
      </c>
      <c r="G1769" s="2" t="str">
        <f aca="false">IF(F1769="","",IF(E1769=F1769,"Yes","No"))</f>
        <v>No</v>
      </c>
      <c r="H1769" s="2" t="n">
        <f aca="false">IF(D1769="",0,1/COUNTIF($D$2:$D$3451,D1769))</f>
        <v>1</v>
      </c>
      <c r="I1769" s="13" t="n">
        <f aca="false">IFERROR(INDEX('NCO-2015 scores'!$C$2:$C$131,MATCH(E1769,'NCO-2015 scores'!$A$2:$A$131,0)),0)</f>
        <v>0.1575</v>
      </c>
      <c r="J1769" s="13" t="n">
        <f aca="false">IF(ISNUMBER(MATCH(E1769,'NCO-2015 scores'!$A$2:$A$131,0)),IF(ISNUMBER(INDEX('NCO-2015 scores'!$C$2:$C$131,MATCH(E1769,'NCO-2015 scores'!$A$2:$A$131,0))),1,0),0)</f>
        <v>1</v>
      </c>
    </row>
    <row r="1770" customFormat="false" ht="15" hidden="false" customHeight="false" outlineLevel="0" collapsed="false">
      <c r="A1770" s="2" t="n">
        <v>1766</v>
      </c>
      <c r="B1770" s="2" t="s">
        <v>5319</v>
      </c>
      <c r="C1770" s="2" t="s">
        <v>5320</v>
      </c>
      <c r="D1770" s="2" t="s">
        <v>5321</v>
      </c>
      <c r="E1770" s="2" t="str">
        <f aca="false">LEFT(C1770,3)</f>
        <v>834</v>
      </c>
      <c r="F1770" s="2" t="str">
        <f aca="false">IF(D1770="","",LEFT(D1770,3))</f>
        <v>833</v>
      </c>
      <c r="G1770" s="2" t="str">
        <f aca="false">IF(F1770="","",IF(E1770=F1770,"Yes","No"))</f>
        <v>No</v>
      </c>
      <c r="H1770" s="2" t="n">
        <f aca="false">IF(D1770="",0,1/COUNTIF($D$2:$D$3451,D1770))</f>
        <v>1</v>
      </c>
      <c r="I1770" s="13" t="n">
        <f aca="false">IFERROR(INDEX('NCO-2015 scores'!$C$2:$C$131,MATCH(E1770,'NCO-2015 scores'!$A$2:$A$131,0)),0)</f>
        <v>0.1575</v>
      </c>
      <c r="J1770" s="13" t="n">
        <f aca="false">IF(ISNUMBER(MATCH(E1770,'NCO-2015 scores'!$A$2:$A$131,0)),IF(ISNUMBER(INDEX('NCO-2015 scores'!$C$2:$C$131,MATCH(E1770,'NCO-2015 scores'!$A$2:$A$131,0))),1,0),0)</f>
        <v>1</v>
      </c>
    </row>
    <row r="1771" customFormat="false" ht="15" hidden="false" customHeight="false" outlineLevel="0" collapsed="false">
      <c r="A1771" s="2" t="n">
        <v>1767</v>
      </c>
      <c r="B1771" s="2" t="s">
        <v>5322</v>
      </c>
      <c r="C1771" s="2" t="s">
        <v>5323</v>
      </c>
      <c r="D1771" s="2" t="s">
        <v>5324</v>
      </c>
      <c r="E1771" s="2" t="str">
        <f aca="false">LEFT(C1771,3)</f>
        <v>834</v>
      </c>
      <c r="F1771" s="2" t="str">
        <f aca="false">IF(D1771="","",LEFT(D1771,3))</f>
        <v>833</v>
      </c>
      <c r="G1771" s="2" t="str">
        <f aca="false">IF(F1771="","",IF(E1771=F1771,"Yes","No"))</f>
        <v>No</v>
      </c>
      <c r="H1771" s="2" t="n">
        <f aca="false">IF(D1771="",0,1/COUNTIF($D$2:$D$3451,D1771))</f>
        <v>1</v>
      </c>
      <c r="I1771" s="13" t="n">
        <f aca="false">IFERROR(INDEX('NCO-2015 scores'!$C$2:$C$131,MATCH(E1771,'NCO-2015 scores'!$A$2:$A$131,0)),0)</f>
        <v>0.1575</v>
      </c>
      <c r="J1771" s="13" t="n">
        <f aca="false">IF(ISNUMBER(MATCH(E1771,'NCO-2015 scores'!$A$2:$A$131,0)),IF(ISNUMBER(INDEX('NCO-2015 scores'!$C$2:$C$131,MATCH(E1771,'NCO-2015 scores'!$A$2:$A$131,0))),1,0),0)</f>
        <v>1</v>
      </c>
    </row>
    <row r="1772" customFormat="false" ht="15" hidden="false" customHeight="false" outlineLevel="0" collapsed="false">
      <c r="A1772" s="2" t="n">
        <v>1768</v>
      </c>
      <c r="B1772" s="2" t="s">
        <v>5325</v>
      </c>
      <c r="C1772" s="2" t="s">
        <v>5326</v>
      </c>
      <c r="D1772" s="2" t="s">
        <v>5327</v>
      </c>
      <c r="E1772" s="2" t="str">
        <f aca="false">LEFT(C1772,3)</f>
        <v>612</v>
      </c>
      <c r="F1772" s="2" t="str">
        <f aca="false">IF(D1772="","",LEFT(D1772,3))</f>
        <v>612</v>
      </c>
      <c r="G1772" s="2" t="str">
        <f aca="false">IF(F1772="","",IF(E1772=F1772,"Yes","No"))</f>
        <v>Yes</v>
      </c>
      <c r="H1772" s="2" t="n">
        <f aca="false">IF(D1772="",0,1/COUNTIF($D$2:$D$3451,D1772))</f>
        <v>1</v>
      </c>
      <c r="I1772" s="13" t="n">
        <f aca="false">IFERROR(INDEX('NCO-2015 scores'!$C$2:$C$131,MATCH(E1772,'NCO-2015 scores'!$A$2:$A$131,0)),0)</f>
        <v>0.195</v>
      </c>
      <c r="J1772" s="13" t="n">
        <f aca="false">IF(ISNUMBER(MATCH(E1772,'NCO-2015 scores'!$A$2:$A$131,0)),IF(ISNUMBER(INDEX('NCO-2015 scores'!$C$2:$C$131,MATCH(E1772,'NCO-2015 scores'!$A$2:$A$131,0))),1,0),0)</f>
        <v>1</v>
      </c>
    </row>
    <row r="1773" customFormat="false" ht="15" hidden="false" customHeight="false" outlineLevel="0" collapsed="false">
      <c r="A1773" s="2" t="n">
        <v>1769</v>
      </c>
      <c r="B1773" s="2" t="s">
        <v>5328</v>
      </c>
      <c r="C1773" s="2" t="s">
        <v>5329</v>
      </c>
      <c r="D1773" s="2" t="s">
        <v>5330</v>
      </c>
      <c r="E1773" s="2" t="str">
        <f aca="false">LEFT(C1773,3)</f>
        <v>612</v>
      </c>
      <c r="F1773" s="2" t="str">
        <f aca="false">IF(D1773="","",LEFT(D1773,3))</f>
        <v>612</v>
      </c>
      <c r="G1773" s="2" t="str">
        <f aca="false">IF(F1773="","",IF(E1773=F1773,"Yes","No"))</f>
        <v>Yes</v>
      </c>
      <c r="H1773" s="2" t="n">
        <f aca="false">IF(D1773="",0,1/COUNTIF($D$2:$D$3451,D1773))</f>
        <v>1</v>
      </c>
      <c r="I1773" s="13" t="n">
        <f aca="false">IFERROR(INDEX('NCO-2015 scores'!$C$2:$C$131,MATCH(E1773,'NCO-2015 scores'!$A$2:$A$131,0)),0)</f>
        <v>0.195</v>
      </c>
      <c r="J1773" s="13" t="n">
        <f aca="false">IF(ISNUMBER(MATCH(E1773,'NCO-2015 scores'!$A$2:$A$131,0)),IF(ISNUMBER(INDEX('NCO-2015 scores'!$C$2:$C$131,MATCH(E1773,'NCO-2015 scores'!$A$2:$A$131,0))),1,0),0)</f>
        <v>1</v>
      </c>
    </row>
    <row r="1774" customFormat="false" ht="15" hidden="false" customHeight="false" outlineLevel="0" collapsed="false">
      <c r="A1774" s="2" t="n">
        <v>1770</v>
      </c>
      <c r="B1774" s="2" t="s">
        <v>5331</v>
      </c>
      <c r="C1774" s="2" t="s">
        <v>5332</v>
      </c>
      <c r="D1774" s="2" t="s">
        <v>5333</v>
      </c>
      <c r="E1774" s="2" t="str">
        <f aca="false">LEFT(C1774,3)</f>
        <v>612</v>
      </c>
      <c r="F1774" s="2" t="str">
        <f aca="false">IF(D1774="","",LEFT(D1774,3))</f>
        <v>612</v>
      </c>
      <c r="G1774" s="2" t="str">
        <f aca="false">IF(F1774="","",IF(E1774=F1774,"Yes","No"))</f>
        <v>Yes</v>
      </c>
      <c r="H1774" s="2" t="n">
        <f aca="false">IF(D1774="",0,1/COUNTIF($D$2:$D$3451,D1774))</f>
        <v>1</v>
      </c>
      <c r="I1774" s="13" t="n">
        <f aca="false">IFERROR(INDEX('NCO-2015 scores'!$C$2:$C$131,MATCH(E1774,'NCO-2015 scores'!$A$2:$A$131,0)),0)</f>
        <v>0.195</v>
      </c>
      <c r="J1774" s="13" t="n">
        <f aca="false">IF(ISNUMBER(MATCH(E1774,'NCO-2015 scores'!$A$2:$A$131,0)),IF(ISNUMBER(INDEX('NCO-2015 scores'!$C$2:$C$131,MATCH(E1774,'NCO-2015 scores'!$A$2:$A$131,0))),1,0),0)</f>
        <v>1</v>
      </c>
    </row>
    <row r="1775" customFormat="false" ht="15" hidden="false" customHeight="false" outlineLevel="0" collapsed="false">
      <c r="A1775" s="2" t="n">
        <v>1771</v>
      </c>
      <c r="B1775" s="2" t="s">
        <v>5334</v>
      </c>
      <c r="C1775" s="2" t="s">
        <v>5335</v>
      </c>
      <c r="D1775" s="2" t="s">
        <v>5336</v>
      </c>
      <c r="E1775" s="2" t="str">
        <f aca="false">LEFT(C1775,3)</f>
        <v>612</v>
      </c>
      <c r="F1775" s="2" t="str">
        <f aca="false">IF(D1775="","",LEFT(D1775,3))</f>
        <v>612</v>
      </c>
      <c r="G1775" s="2" t="str">
        <f aca="false">IF(F1775="","",IF(E1775=F1775,"Yes","No"))</f>
        <v>Yes</v>
      </c>
      <c r="H1775" s="2" t="n">
        <f aca="false">IF(D1775="",0,1/COUNTIF($D$2:$D$3451,D1775))</f>
        <v>1</v>
      </c>
      <c r="I1775" s="13" t="n">
        <f aca="false">IFERROR(INDEX('NCO-2015 scores'!$C$2:$C$131,MATCH(E1775,'NCO-2015 scores'!$A$2:$A$131,0)),0)</f>
        <v>0.195</v>
      </c>
      <c r="J1775" s="13" t="n">
        <f aca="false">IF(ISNUMBER(MATCH(E1775,'NCO-2015 scores'!$A$2:$A$131,0)),IF(ISNUMBER(INDEX('NCO-2015 scores'!$C$2:$C$131,MATCH(E1775,'NCO-2015 scores'!$A$2:$A$131,0))),1,0),0)</f>
        <v>1</v>
      </c>
    </row>
    <row r="1776" customFormat="false" ht="15" hidden="false" customHeight="false" outlineLevel="0" collapsed="false">
      <c r="A1776" s="2" t="n">
        <v>1772</v>
      </c>
      <c r="B1776" s="2" t="s">
        <v>5337</v>
      </c>
      <c r="C1776" s="2" t="s">
        <v>5338</v>
      </c>
      <c r="D1776" s="2" t="s">
        <v>5339</v>
      </c>
      <c r="E1776" s="2" t="str">
        <f aca="false">LEFT(C1776,3)</f>
        <v>612</v>
      </c>
      <c r="F1776" s="2" t="str">
        <f aca="false">IF(D1776="","",LEFT(D1776,3))</f>
        <v>612</v>
      </c>
      <c r="G1776" s="2" t="str">
        <f aca="false">IF(F1776="","",IF(E1776=F1776,"Yes","No"))</f>
        <v>Yes</v>
      </c>
      <c r="H1776" s="2" t="n">
        <f aca="false">IF(D1776="",0,1/COUNTIF($D$2:$D$3451,D1776))</f>
        <v>1</v>
      </c>
      <c r="I1776" s="13" t="n">
        <f aca="false">IFERROR(INDEX('NCO-2015 scores'!$C$2:$C$131,MATCH(E1776,'NCO-2015 scores'!$A$2:$A$131,0)),0)</f>
        <v>0.195</v>
      </c>
      <c r="J1776" s="13" t="n">
        <f aca="false">IF(ISNUMBER(MATCH(E1776,'NCO-2015 scores'!$A$2:$A$131,0)),IF(ISNUMBER(INDEX('NCO-2015 scores'!$C$2:$C$131,MATCH(E1776,'NCO-2015 scores'!$A$2:$A$131,0))),1,0),0)</f>
        <v>1</v>
      </c>
    </row>
    <row r="1777" customFormat="false" ht="15" hidden="false" customHeight="false" outlineLevel="0" collapsed="false">
      <c r="A1777" s="2" t="n">
        <v>1773</v>
      </c>
      <c r="B1777" s="2" t="s">
        <v>5340</v>
      </c>
      <c r="C1777" s="2" t="s">
        <v>5341</v>
      </c>
      <c r="D1777" s="2" t="s">
        <v>5342</v>
      </c>
      <c r="E1777" s="2" t="str">
        <f aca="false">LEFT(C1777,3)</f>
        <v>612</v>
      </c>
      <c r="F1777" s="2" t="str">
        <f aca="false">IF(D1777="","",LEFT(D1777,3))</f>
        <v>612</v>
      </c>
      <c r="G1777" s="2" t="str">
        <f aca="false">IF(F1777="","",IF(E1777=F1777,"Yes","No"))</f>
        <v>Yes</v>
      </c>
      <c r="H1777" s="2" t="n">
        <f aca="false">IF(D1777="",0,1/COUNTIF($D$2:$D$3451,D1777))</f>
        <v>1</v>
      </c>
      <c r="I1777" s="13" t="n">
        <f aca="false">IFERROR(INDEX('NCO-2015 scores'!$C$2:$C$131,MATCH(E1777,'NCO-2015 scores'!$A$2:$A$131,0)),0)</f>
        <v>0.195</v>
      </c>
      <c r="J1777" s="13" t="n">
        <f aca="false">IF(ISNUMBER(MATCH(E1777,'NCO-2015 scores'!$A$2:$A$131,0)),IF(ISNUMBER(INDEX('NCO-2015 scores'!$C$2:$C$131,MATCH(E1777,'NCO-2015 scores'!$A$2:$A$131,0))),1,0),0)</f>
        <v>1</v>
      </c>
    </row>
    <row r="1778" customFormat="false" ht="15" hidden="false" customHeight="false" outlineLevel="0" collapsed="false">
      <c r="A1778" s="2" t="n">
        <v>1774</v>
      </c>
      <c r="B1778" s="2" t="s">
        <v>5343</v>
      </c>
      <c r="C1778" s="2" t="s">
        <v>5344</v>
      </c>
      <c r="D1778" s="2" t="s">
        <v>5345</v>
      </c>
      <c r="E1778" s="2" t="str">
        <f aca="false">LEFT(C1778,3)</f>
        <v>612</v>
      </c>
      <c r="F1778" s="2" t="str">
        <f aca="false">IF(D1778="","",LEFT(D1778,3))</f>
        <v>612</v>
      </c>
      <c r="G1778" s="2" t="str">
        <f aca="false">IF(F1778="","",IF(E1778=F1778,"Yes","No"))</f>
        <v>Yes</v>
      </c>
      <c r="H1778" s="2" t="n">
        <f aca="false">IF(D1778="",0,1/COUNTIF($D$2:$D$3451,D1778))</f>
        <v>1</v>
      </c>
      <c r="I1778" s="13" t="n">
        <f aca="false">IFERROR(INDEX('NCO-2015 scores'!$C$2:$C$131,MATCH(E1778,'NCO-2015 scores'!$A$2:$A$131,0)),0)</f>
        <v>0.195</v>
      </c>
      <c r="J1778" s="13" t="n">
        <f aca="false">IF(ISNUMBER(MATCH(E1778,'NCO-2015 scores'!$A$2:$A$131,0)),IF(ISNUMBER(INDEX('NCO-2015 scores'!$C$2:$C$131,MATCH(E1778,'NCO-2015 scores'!$A$2:$A$131,0))),1,0),0)</f>
        <v>1</v>
      </c>
    </row>
    <row r="1779" customFormat="false" ht="15" hidden="false" customHeight="false" outlineLevel="0" collapsed="false">
      <c r="A1779" s="2" t="n">
        <v>1775</v>
      </c>
      <c r="B1779" s="2" t="s">
        <v>5346</v>
      </c>
      <c r="C1779" s="2" t="s">
        <v>5347</v>
      </c>
      <c r="D1779" s="2" t="s">
        <v>5348</v>
      </c>
      <c r="E1779" s="2" t="str">
        <f aca="false">LEFT(C1779,3)</f>
        <v>612</v>
      </c>
      <c r="F1779" s="2" t="str">
        <f aca="false">IF(D1779="","",LEFT(D1779,3))</f>
        <v>612</v>
      </c>
      <c r="G1779" s="2" t="str">
        <f aca="false">IF(F1779="","",IF(E1779=F1779,"Yes","No"))</f>
        <v>Yes</v>
      </c>
      <c r="H1779" s="2" t="n">
        <f aca="false">IF(D1779="",0,1/COUNTIF($D$2:$D$3451,D1779))</f>
        <v>1</v>
      </c>
      <c r="I1779" s="13" t="n">
        <f aca="false">IFERROR(INDEX('NCO-2015 scores'!$C$2:$C$131,MATCH(E1779,'NCO-2015 scores'!$A$2:$A$131,0)),0)</f>
        <v>0.195</v>
      </c>
      <c r="J1779" s="13" t="n">
        <f aca="false">IF(ISNUMBER(MATCH(E1779,'NCO-2015 scores'!$A$2:$A$131,0)),IF(ISNUMBER(INDEX('NCO-2015 scores'!$C$2:$C$131,MATCH(E1779,'NCO-2015 scores'!$A$2:$A$131,0))),1,0),0)</f>
        <v>1</v>
      </c>
    </row>
    <row r="1780" customFormat="false" ht="15" hidden="false" customHeight="false" outlineLevel="0" collapsed="false">
      <c r="A1780" s="2" t="n">
        <v>1776</v>
      </c>
      <c r="B1780" s="2" t="s">
        <v>5349</v>
      </c>
      <c r="C1780" s="2" t="s">
        <v>5350</v>
      </c>
      <c r="D1780" s="2" t="s">
        <v>5351</v>
      </c>
      <c r="E1780" s="2" t="str">
        <f aca="false">LEFT(C1780,3)</f>
        <v>612</v>
      </c>
      <c r="F1780" s="2" t="str">
        <f aca="false">IF(D1780="","",LEFT(D1780,3))</f>
        <v>612</v>
      </c>
      <c r="G1780" s="2" t="str">
        <f aca="false">IF(F1780="","",IF(E1780=F1780,"Yes","No"))</f>
        <v>Yes</v>
      </c>
      <c r="H1780" s="2" t="n">
        <f aca="false">IF(D1780="",0,1/COUNTIF($D$2:$D$3451,D1780))</f>
        <v>1</v>
      </c>
      <c r="I1780" s="13" t="n">
        <f aca="false">IFERROR(INDEX('NCO-2015 scores'!$C$2:$C$131,MATCH(E1780,'NCO-2015 scores'!$A$2:$A$131,0)),0)</f>
        <v>0.195</v>
      </c>
      <c r="J1780" s="13" t="n">
        <f aca="false">IF(ISNUMBER(MATCH(E1780,'NCO-2015 scores'!$A$2:$A$131,0)),IF(ISNUMBER(INDEX('NCO-2015 scores'!$C$2:$C$131,MATCH(E1780,'NCO-2015 scores'!$A$2:$A$131,0))),1,0),0)</f>
        <v>1</v>
      </c>
    </row>
    <row r="1781" customFormat="false" ht="15" hidden="false" customHeight="false" outlineLevel="0" collapsed="false">
      <c r="A1781" s="2" t="n">
        <v>1777</v>
      </c>
      <c r="B1781" s="2" t="s">
        <v>5352</v>
      </c>
      <c r="C1781" s="2" t="s">
        <v>5353</v>
      </c>
      <c r="D1781" s="2" t="s">
        <v>5354</v>
      </c>
      <c r="E1781" s="2" t="str">
        <f aca="false">LEFT(C1781,3)</f>
        <v>612</v>
      </c>
      <c r="F1781" s="2" t="str">
        <f aca="false">IF(D1781="","",LEFT(D1781,3))</f>
        <v>612</v>
      </c>
      <c r="G1781" s="2" t="str">
        <f aca="false">IF(F1781="","",IF(E1781=F1781,"Yes","No"))</f>
        <v>Yes</v>
      </c>
      <c r="H1781" s="2" t="n">
        <f aca="false">IF(D1781="",0,1/COUNTIF($D$2:$D$3451,D1781))</f>
        <v>1</v>
      </c>
      <c r="I1781" s="13" t="n">
        <f aca="false">IFERROR(INDEX('NCO-2015 scores'!$C$2:$C$131,MATCH(E1781,'NCO-2015 scores'!$A$2:$A$131,0)),0)</f>
        <v>0.195</v>
      </c>
      <c r="J1781" s="13" t="n">
        <f aca="false">IF(ISNUMBER(MATCH(E1781,'NCO-2015 scores'!$A$2:$A$131,0)),IF(ISNUMBER(INDEX('NCO-2015 scores'!$C$2:$C$131,MATCH(E1781,'NCO-2015 scores'!$A$2:$A$131,0))),1,0),0)</f>
        <v>1</v>
      </c>
    </row>
    <row r="1782" customFormat="false" ht="15" hidden="false" customHeight="false" outlineLevel="0" collapsed="false">
      <c r="A1782" s="2" t="n">
        <v>1778</v>
      </c>
      <c r="B1782" s="2" t="s">
        <v>5355</v>
      </c>
      <c r="C1782" s="2" t="s">
        <v>5356</v>
      </c>
      <c r="D1782" s="2" t="s">
        <v>5357</v>
      </c>
      <c r="E1782" s="2" t="str">
        <f aca="false">LEFT(C1782,3)</f>
        <v>612</v>
      </c>
      <c r="F1782" s="2" t="str">
        <f aca="false">IF(D1782="","",LEFT(D1782,3))</f>
        <v>612</v>
      </c>
      <c r="G1782" s="2" t="str">
        <f aca="false">IF(F1782="","",IF(E1782=F1782,"Yes","No"))</f>
        <v>Yes</v>
      </c>
      <c r="H1782" s="2" t="n">
        <f aca="false">IF(D1782="",0,1/COUNTIF($D$2:$D$3451,D1782))</f>
        <v>1</v>
      </c>
      <c r="I1782" s="13" t="n">
        <f aca="false">IFERROR(INDEX('NCO-2015 scores'!$C$2:$C$131,MATCH(E1782,'NCO-2015 scores'!$A$2:$A$131,0)),0)</f>
        <v>0.195</v>
      </c>
      <c r="J1782" s="13" t="n">
        <f aca="false">IF(ISNUMBER(MATCH(E1782,'NCO-2015 scores'!$A$2:$A$131,0)),IF(ISNUMBER(INDEX('NCO-2015 scores'!$C$2:$C$131,MATCH(E1782,'NCO-2015 scores'!$A$2:$A$131,0))),1,0),0)</f>
        <v>1</v>
      </c>
    </row>
    <row r="1783" customFormat="false" ht="15" hidden="false" customHeight="false" outlineLevel="0" collapsed="false">
      <c r="A1783" s="2" t="n">
        <v>1779</v>
      </c>
      <c r="B1783" s="2" t="s">
        <v>5358</v>
      </c>
      <c r="C1783" s="2" t="s">
        <v>5359</v>
      </c>
      <c r="D1783" s="2" t="s">
        <v>5360</v>
      </c>
      <c r="E1783" s="2" t="str">
        <f aca="false">LEFT(C1783,3)</f>
        <v>612</v>
      </c>
      <c r="F1783" s="2" t="str">
        <f aca="false">IF(D1783="","",LEFT(D1783,3))</f>
        <v>612</v>
      </c>
      <c r="G1783" s="2" t="str">
        <f aca="false">IF(F1783="","",IF(E1783=F1783,"Yes","No"))</f>
        <v>Yes</v>
      </c>
      <c r="H1783" s="2" t="n">
        <f aca="false">IF(D1783="",0,1/COUNTIF($D$2:$D$3451,D1783))</f>
        <v>1</v>
      </c>
      <c r="I1783" s="13" t="n">
        <f aca="false">IFERROR(INDEX('NCO-2015 scores'!$C$2:$C$131,MATCH(E1783,'NCO-2015 scores'!$A$2:$A$131,0)),0)</f>
        <v>0.195</v>
      </c>
      <c r="J1783" s="13" t="n">
        <f aca="false">IF(ISNUMBER(MATCH(E1783,'NCO-2015 scores'!$A$2:$A$131,0)),IF(ISNUMBER(INDEX('NCO-2015 scores'!$C$2:$C$131,MATCH(E1783,'NCO-2015 scores'!$A$2:$A$131,0))),1,0),0)</f>
        <v>1</v>
      </c>
    </row>
    <row r="1784" customFormat="false" ht="15" hidden="false" customHeight="false" outlineLevel="0" collapsed="false">
      <c r="A1784" s="2" t="n">
        <v>1780</v>
      </c>
      <c r="B1784" s="2" t="s">
        <v>5361</v>
      </c>
      <c r="C1784" s="2" t="s">
        <v>5362</v>
      </c>
      <c r="D1784" s="2" t="s">
        <v>5363</v>
      </c>
      <c r="E1784" s="2" t="str">
        <f aca="false">LEFT(C1784,3)</f>
        <v>612</v>
      </c>
      <c r="F1784" s="2" t="str">
        <f aca="false">IF(D1784="","",LEFT(D1784,3))</f>
        <v>612</v>
      </c>
      <c r="G1784" s="2" t="str">
        <f aca="false">IF(F1784="","",IF(E1784=F1784,"Yes","No"))</f>
        <v>Yes</v>
      </c>
      <c r="H1784" s="2" t="n">
        <f aca="false">IF(D1784="",0,1/COUNTIF($D$2:$D$3451,D1784))</f>
        <v>1</v>
      </c>
      <c r="I1784" s="13" t="n">
        <f aca="false">IFERROR(INDEX('NCO-2015 scores'!$C$2:$C$131,MATCH(E1784,'NCO-2015 scores'!$A$2:$A$131,0)),0)</f>
        <v>0.195</v>
      </c>
      <c r="J1784" s="13" t="n">
        <f aca="false">IF(ISNUMBER(MATCH(E1784,'NCO-2015 scores'!$A$2:$A$131,0)),IF(ISNUMBER(INDEX('NCO-2015 scores'!$C$2:$C$131,MATCH(E1784,'NCO-2015 scores'!$A$2:$A$131,0))),1,0),0)</f>
        <v>1</v>
      </c>
    </row>
    <row r="1785" customFormat="false" ht="15" hidden="false" customHeight="false" outlineLevel="0" collapsed="false">
      <c r="A1785" s="2" t="n">
        <v>1781</v>
      </c>
      <c r="B1785" s="2" t="s">
        <v>5364</v>
      </c>
      <c r="C1785" s="2" t="s">
        <v>5365</v>
      </c>
      <c r="D1785" s="2" t="s">
        <v>5366</v>
      </c>
      <c r="E1785" s="2" t="str">
        <f aca="false">LEFT(C1785,3)</f>
        <v>612</v>
      </c>
      <c r="F1785" s="2" t="str">
        <f aca="false">IF(D1785="","",LEFT(D1785,3))</f>
        <v>612</v>
      </c>
      <c r="G1785" s="2" t="str">
        <f aca="false">IF(F1785="","",IF(E1785=F1785,"Yes","No"))</f>
        <v>Yes</v>
      </c>
      <c r="H1785" s="2" t="n">
        <f aca="false">IF(D1785="",0,1/COUNTIF($D$2:$D$3451,D1785))</f>
        <v>1</v>
      </c>
      <c r="I1785" s="13" t="n">
        <f aca="false">IFERROR(INDEX('NCO-2015 scores'!$C$2:$C$131,MATCH(E1785,'NCO-2015 scores'!$A$2:$A$131,0)),0)</f>
        <v>0.195</v>
      </c>
      <c r="J1785" s="13" t="n">
        <f aca="false">IF(ISNUMBER(MATCH(E1785,'NCO-2015 scores'!$A$2:$A$131,0)),IF(ISNUMBER(INDEX('NCO-2015 scores'!$C$2:$C$131,MATCH(E1785,'NCO-2015 scores'!$A$2:$A$131,0))),1,0),0)</f>
        <v>1</v>
      </c>
    </row>
    <row r="1786" customFormat="false" ht="15" hidden="false" customHeight="false" outlineLevel="0" collapsed="false">
      <c r="A1786" s="2" t="n">
        <v>1782</v>
      </c>
      <c r="B1786" s="2" t="s">
        <v>5367</v>
      </c>
      <c r="C1786" s="2" t="s">
        <v>5368</v>
      </c>
      <c r="D1786" s="2" t="s">
        <v>5369</v>
      </c>
      <c r="E1786" s="2" t="str">
        <f aca="false">LEFT(C1786,3)</f>
        <v>831</v>
      </c>
      <c r="F1786" s="2" t="str">
        <f aca="false">IF(D1786="","",LEFT(D1786,3))</f>
        <v>831</v>
      </c>
      <c r="G1786" s="2" t="str">
        <f aca="false">IF(F1786="","",IF(E1786=F1786,"Yes","No"))</f>
        <v>Yes</v>
      </c>
      <c r="H1786" s="2" t="n">
        <f aca="false">IF(D1786="",0,1/COUNTIF($D$2:$D$3451,D1786))</f>
        <v>1</v>
      </c>
      <c r="I1786" s="13" t="n">
        <f aca="false">IFERROR(INDEX('NCO-2015 scores'!$C$2:$C$131,MATCH(E1786,'NCO-2015 scores'!$A$2:$A$131,0)),0)</f>
        <v>0.185</v>
      </c>
      <c r="J1786" s="13" t="n">
        <f aca="false">IF(ISNUMBER(MATCH(E1786,'NCO-2015 scores'!$A$2:$A$131,0)),IF(ISNUMBER(INDEX('NCO-2015 scores'!$C$2:$C$131,MATCH(E1786,'NCO-2015 scores'!$A$2:$A$131,0))),1,0),0)</f>
        <v>1</v>
      </c>
    </row>
    <row r="1787" customFormat="false" ht="15" hidden="false" customHeight="false" outlineLevel="0" collapsed="false">
      <c r="A1787" s="2" t="n">
        <v>1783</v>
      </c>
      <c r="B1787" s="2" t="s">
        <v>5370</v>
      </c>
      <c r="C1787" s="2" t="s">
        <v>5371</v>
      </c>
      <c r="D1787" s="2"/>
      <c r="E1787" s="2" t="str">
        <f aca="false">LEFT(C1787,3)</f>
        <v>831</v>
      </c>
      <c r="F1787" s="2" t="str">
        <f aca="false">IF(D1787="","",LEFT(D1787,3))</f>
        <v/>
      </c>
      <c r="G1787" s="2" t="str">
        <f aca="false">IF(F1787="","",IF(E1787=F1787,"Yes","No"))</f>
        <v/>
      </c>
      <c r="H1787" s="2" t="n">
        <f aca="false">IF(D1787="",0,1/COUNTIF($D$2:$D$3451,D1787))</f>
        <v>0</v>
      </c>
      <c r="I1787" s="13" t="n">
        <f aca="false">IFERROR(INDEX('NCO-2015 scores'!$C$2:$C$131,MATCH(E1787,'NCO-2015 scores'!$A$2:$A$131,0)),0)</f>
        <v>0.185</v>
      </c>
      <c r="J1787" s="13" t="n">
        <f aca="false">IF(ISNUMBER(MATCH(E1787,'NCO-2015 scores'!$A$2:$A$131,0)),IF(ISNUMBER(INDEX('NCO-2015 scores'!$C$2:$C$131,MATCH(E1787,'NCO-2015 scores'!$A$2:$A$131,0))),1,0),0)</f>
        <v>1</v>
      </c>
    </row>
    <row r="1788" customFormat="false" ht="15" hidden="false" customHeight="false" outlineLevel="0" collapsed="false">
      <c r="A1788" s="2" t="n">
        <v>1784</v>
      </c>
      <c r="B1788" s="2" t="s">
        <v>5372</v>
      </c>
      <c r="C1788" s="2" t="s">
        <v>5373</v>
      </c>
      <c r="D1788" s="2" t="s">
        <v>5374</v>
      </c>
      <c r="E1788" s="2" t="str">
        <f aca="false">LEFT(C1788,3)</f>
        <v>831</v>
      </c>
      <c r="F1788" s="2" t="str">
        <f aca="false">IF(D1788="","",LEFT(D1788,3))</f>
        <v>831</v>
      </c>
      <c r="G1788" s="2" t="str">
        <f aca="false">IF(F1788="","",IF(E1788=F1788,"Yes","No"))</f>
        <v>Yes</v>
      </c>
      <c r="H1788" s="2" t="n">
        <f aca="false">IF(D1788="",0,1/COUNTIF($D$2:$D$3451,D1788))</f>
        <v>1</v>
      </c>
      <c r="I1788" s="13" t="n">
        <f aca="false">IFERROR(INDEX('NCO-2015 scores'!$C$2:$C$131,MATCH(E1788,'NCO-2015 scores'!$A$2:$A$131,0)),0)</f>
        <v>0.185</v>
      </c>
      <c r="J1788" s="13" t="n">
        <f aca="false">IF(ISNUMBER(MATCH(E1788,'NCO-2015 scores'!$A$2:$A$131,0)),IF(ISNUMBER(INDEX('NCO-2015 scores'!$C$2:$C$131,MATCH(E1788,'NCO-2015 scores'!$A$2:$A$131,0))),1,0),0)</f>
        <v>1</v>
      </c>
    </row>
    <row r="1789" customFormat="false" ht="15" hidden="false" customHeight="false" outlineLevel="0" collapsed="false">
      <c r="A1789" s="2" t="n">
        <v>1785</v>
      </c>
      <c r="B1789" s="2" t="s">
        <v>5375</v>
      </c>
      <c r="C1789" s="2" t="s">
        <v>5376</v>
      </c>
      <c r="D1789" s="2" t="s">
        <v>5377</v>
      </c>
      <c r="E1789" s="2" t="str">
        <f aca="false">LEFT(C1789,3)</f>
        <v>831</v>
      </c>
      <c r="F1789" s="2" t="str">
        <f aca="false">IF(D1789="","",LEFT(D1789,3))</f>
        <v>831</v>
      </c>
      <c r="G1789" s="2" t="str">
        <f aca="false">IF(F1789="","",IF(E1789=F1789,"Yes","No"))</f>
        <v>Yes</v>
      </c>
      <c r="H1789" s="2" t="n">
        <f aca="false">IF(D1789="",0,1/COUNTIF($D$2:$D$3451,D1789))</f>
        <v>1</v>
      </c>
      <c r="I1789" s="13" t="n">
        <f aca="false">IFERROR(INDEX('NCO-2015 scores'!$C$2:$C$131,MATCH(E1789,'NCO-2015 scores'!$A$2:$A$131,0)),0)</f>
        <v>0.185</v>
      </c>
      <c r="J1789" s="13" t="n">
        <f aca="false">IF(ISNUMBER(MATCH(E1789,'NCO-2015 scores'!$A$2:$A$131,0)),IF(ISNUMBER(INDEX('NCO-2015 scores'!$C$2:$C$131,MATCH(E1789,'NCO-2015 scores'!$A$2:$A$131,0))),1,0),0)</f>
        <v>1</v>
      </c>
    </row>
    <row r="1790" customFormat="false" ht="15" hidden="false" customHeight="false" outlineLevel="0" collapsed="false">
      <c r="A1790" s="2" t="n">
        <v>1786</v>
      </c>
      <c r="B1790" s="2" t="s">
        <v>5378</v>
      </c>
      <c r="C1790" s="2" t="s">
        <v>5379</v>
      </c>
      <c r="D1790" s="2" t="s">
        <v>5380</v>
      </c>
      <c r="E1790" s="2" t="str">
        <f aca="false">LEFT(C1790,3)</f>
        <v>831</v>
      </c>
      <c r="F1790" s="2" t="str">
        <f aca="false">IF(D1790="","",LEFT(D1790,3))</f>
        <v>831</v>
      </c>
      <c r="G1790" s="2" t="str">
        <f aca="false">IF(F1790="","",IF(E1790=F1790,"Yes","No"))</f>
        <v>Yes</v>
      </c>
      <c r="H1790" s="2" t="n">
        <f aca="false">IF(D1790="",0,1/COUNTIF($D$2:$D$3451,D1790))</f>
        <v>1</v>
      </c>
      <c r="I1790" s="13" t="n">
        <f aca="false">IFERROR(INDEX('NCO-2015 scores'!$C$2:$C$131,MATCH(E1790,'NCO-2015 scores'!$A$2:$A$131,0)),0)</f>
        <v>0.185</v>
      </c>
      <c r="J1790" s="13" t="n">
        <f aca="false">IF(ISNUMBER(MATCH(E1790,'NCO-2015 scores'!$A$2:$A$131,0)),IF(ISNUMBER(INDEX('NCO-2015 scores'!$C$2:$C$131,MATCH(E1790,'NCO-2015 scores'!$A$2:$A$131,0))),1,0),0)</f>
        <v>1</v>
      </c>
    </row>
    <row r="1791" customFormat="false" ht="15" hidden="false" customHeight="false" outlineLevel="0" collapsed="false">
      <c r="A1791" s="2" t="n">
        <v>1787</v>
      </c>
      <c r="B1791" s="2" t="s">
        <v>5381</v>
      </c>
      <c r="C1791" s="2" t="s">
        <v>5382</v>
      </c>
      <c r="D1791" s="2" t="s">
        <v>5383</v>
      </c>
      <c r="E1791" s="2" t="str">
        <f aca="false">LEFT(C1791,3)</f>
        <v>831</v>
      </c>
      <c r="F1791" s="2" t="str">
        <f aca="false">IF(D1791="","",LEFT(D1791,3))</f>
        <v>831</v>
      </c>
      <c r="G1791" s="2" t="str">
        <f aca="false">IF(F1791="","",IF(E1791=F1791,"Yes","No"))</f>
        <v>Yes</v>
      </c>
      <c r="H1791" s="2" t="n">
        <f aca="false">IF(D1791="",0,1/COUNTIF($D$2:$D$3451,D1791))</f>
        <v>1</v>
      </c>
      <c r="I1791" s="13" t="n">
        <f aca="false">IFERROR(INDEX('NCO-2015 scores'!$C$2:$C$131,MATCH(E1791,'NCO-2015 scores'!$A$2:$A$131,0)),0)</f>
        <v>0.185</v>
      </c>
      <c r="J1791" s="13" t="n">
        <f aca="false">IF(ISNUMBER(MATCH(E1791,'NCO-2015 scores'!$A$2:$A$131,0)),IF(ISNUMBER(INDEX('NCO-2015 scores'!$C$2:$C$131,MATCH(E1791,'NCO-2015 scores'!$A$2:$A$131,0))),1,0),0)</f>
        <v>1</v>
      </c>
    </row>
    <row r="1792" customFormat="false" ht="15" hidden="false" customHeight="false" outlineLevel="0" collapsed="false">
      <c r="A1792" s="2" t="n">
        <v>1788</v>
      </c>
      <c r="B1792" s="2" t="s">
        <v>5384</v>
      </c>
      <c r="C1792" s="2" t="s">
        <v>5385</v>
      </c>
      <c r="D1792" s="2" t="s">
        <v>5386</v>
      </c>
      <c r="E1792" s="2" t="str">
        <f aca="false">LEFT(C1792,3)</f>
        <v>441</v>
      </c>
      <c r="F1792" s="2" t="str">
        <f aca="false">IF(D1792="","",LEFT(D1792,3))</f>
        <v>414</v>
      </c>
      <c r="G1792" s="2" t="str">
        <f aca="false">IF(F1792="","",IF(E1792=F1792,"Yes","No"))</f>
        <v>No</v>
      </c>
      <c r="H1792" s="2" t="n">
        <f aca="false">IF(D1792="",0,1/COUNTIF($D$2:$D$3451,D1792))</f>
        <v>1</v>
      </c>
      <c r="I1792" s="13" t="n">
        <f aca="false">IFERROR(INDEX('NCO-2015 scores'!$C$2:$C$131,MATCH(E1792,'NCO-2015 scores'!$A$2:$A$131,0)),0)</f>
        <v>0.5086</v>
      </c>
      <c r="J1792" s="13" t="n">
        <f aca="false">IF(ISNUMBER(MATCH(E1792,'NCO-2015 scores'!$A$2:$A$131,0)),IF(ISNUMBER(INDEX('NCO-2015 scores'!$C$2:$C$131,MATCH(E1792,'NCO-2015 scores'!$A$2:$A$131,0))),1,0),0)</f>
        <v>1</v>
      </c>
    </row>
    <row r="1793" customFormat="false" ht="15" hidden="false" customHeight="false" outlineLevel="0" collapsed="false">
      <c r="A1793" s="2" t="n">
        <v>1789</v>
      </c>
      <c r="B1793" s="2" t="s">
        <v>5387</v>
      </c>
      <c r="C1793" s="2" t="s">
        <v>5388</v>
      </c>
      <c r="D1793" s="2" t="s">
        <v>5389</v>
      </c>
      <c r="E1793" s="2" t="str">
        <f aca="false">LEFT(C1793,3)</f>
        <v>441</v>
      </c>
      <c r="F1793" s="2" t="str">
        <f aca="false">IF(D1793="","",LEFT(D1793,3))</f>
        <v>414</v>
      </c>
      <c r="G1793" s="2" t="str">
        <f aca="false">IF(F1793="","",IF(E1793=F1793,"Yes","No"))</f>
        <v>No</v>
      </c>
      <c r="H1793" s="2" t="n">
        <f aca="false">IF(D1793="",0,1/COUNTIF($D$2:$D$3451,D1793))</f>
        <v>1</v>
      </c>
      <c r="I1793" s="13" t="n">
        <f aca="false">IFERROR(INDEX('NCO-2015 scores'!$C$2:$C$131,MATCH(E1793,'NCO-2015 scores'!$A$2:$A$131,0)),0)</f>
        <v>0.5086</v>
      </c>
      <c r="J1793" s="13" t="n">
        <f aca="false">IF(ISNUMBER(MATCH(E1793,'NCO-2015 scores'!$A$2:$A$131,0)),IF(ISNUMBER(INDEX('NCO-2015 scores'!$C$2:$C$131,MATCH(E1793,'NCO-2015 scores'!$A$2:$A$131,0))),1,0),0)</f>
        <v>1</v>
      </c>
    </row>
    <row r="1794" customFormat="false" ht="15" hidden="false" customHeight="false" outlineLevel="0" collapsed="false">
      <c r="A1794" s="2" t="n">
        <v>1790</v>
      </c>
      <c r="B1794" s="2" t="s">
        <v>5390</v>
      </c>
      <c r="C1794" s="2" t="s">
        <v>5391</v>
      </c>
      <c r="D1794" s="2" t="s">
        <v>5392</v>
      </c>
      <c r="E1794" s="2" t="str">
        <f aca="false">LEFT(C1794,3)</f>
        <v>441</v>
      </c>
      <c r="F1794" s="2" t="str">
        <f aca="false">IF(D1794="","",LEFT(D1794,3))</f>
        <v>414</v>
      </c>
      <c r="G1794" s="2" t="str">
        <f aca="false">IF(F1794="","",IF(E1794=F1794,"Yes","No"))</f>
        <v>No</v>
      </c>
      <c r="H1794" s="2" t="n">
        <f aca="false">IF(D1794="",0,1/COUNTIF($D$2:$D$3451,D1794))</f>
        <v>1</v>
      </c>
      <c r="I1794" s="13" t="n">
        <f aca="false">IFERROR(INDEX('NCO-2015 scores'!$C$2:$C$131,MATCH(E1794,'NCO-2015 scores'!$A$2:$A$131,0)),0)</f>
        <v>0.5086</v>
      </c>
      <c r="J1794" s="13" t="n">
        <f aca="false">IF(ISNUMBER(MATCH(E1794,'NCO-2015 scores'!$A$2:$A$131,0)),IF(ISNUMBER(INDEX('NCO-2015 scores'!$C$2:$C$131,MATCH(E1794,'NCO-2015 scores'!$A$2:$A$131,0))),1,0),0)</f>
        <v>1</v>
      </c>
    </row>
    <row r="1795" customFormat="false" ht="15" hidden="false" customHeight="false" outlineLevel="0" collapsed="false">
      <c r="A1795" s="2" t="n">
        <v>1791</v>
      </c>
      <c r="B1795" s="2" t="s">
        <v>5393</v>
      </c>
      <c r="C1795" s="2" t="s">
        <v>5394</v>
      </c>
      <c r="D1795" s="2" t="s">
        <v>5395</v>
      </c>
      <c r="E1795" s="2" t="str">
        <f aca="false">LEFT(C1795,3)</f>
        <v>441</v>
      </c>
      <c r="F1795" s="2" t="str">
        <f aca="false">IF(D1795="","",LEFT(D1795,3))</f>
        <v>414</v>
      </c>
      <c r="G1795" s="2" t="str">
        <f aca="false">IF(F1795="","",IF(E1795=F1795,"Yes","No"))</f>
        <v>No</v>
      </c>
      <c r="H1795" s="2" t="n">
        <f aca="false">IF(D1795="",0,1/COUNTIF($D$2:$D$3451,D1795))</f>
        <v>1</v>
      </c>
      <c r="I1795" s="13" t="n">
        <f aca="false">IFERROR(INDEX('NCO-2015 scores'!$C$2:$C$131,MATCH(E1795,'NCO-2015 scores'!$A$2:$A$131,0)),0)</f>
        <v>0.5086</v>
      </c>
      <c r="J1795" s="13" t="n">
        <f aca="false">IF(ISNUMBER(MATCH(E1795,'NCO-2015 scores'!$A$2:$A$131,0)),IF(ISNUMBER(INDEX('NCO-2015 scores'!$C$2:$C$131,MATCH(E1795,'NCO-2015 scores'!$A$2:$A$131,0))),1,0),0)</f>
        <v>1</v>
      </c>
    </row>
    <row r="1796" customFormat="false" ht="15" hidden="false" customHeight="false" outlineLevel="0" collapsed="false">
      <c r="A1796" s="2" t="n">
        <v>1792</v>
      </c>
      <c r="B1796" s="2" t="s">
        <v>5396</v>
      </c>
      <c r="C1796" s="2" t="s">
        <v>5397</v>
      </c>
      <c r="D1796" s="2"/>
      <c r="E1796" s="2" t="str">
        <f aca="false">LEFT(C1796,3)</f>
        <v>242</v>
      </c>
      <c r="F1796" s="2" t="str">
        <f aca="false">IF(D1796="","",LEFT(D1796,3))</f>
        <v/>
      </c>
      <c r="G1796" s="2" t="str">
        <f aca="false">IF(F1796="","",IF(E1796=F1796,"Yes","No"))</f>
        <v/>
      </c>
      <c r="H1796" s="2" t="n">
        <f aca="false">IF(D1796="",0,1/COUNTIF($D$2:$D$3451,D1796))</f>
        <v>0</v>
      </c>
      <c r="I1796" s="13" t="n">
        <f aca="false">IFERROR(INDEX('NCO-2015 scores'!$C$2:$C$131,MATCH(E1796,'NCO-2015 scores'!$A$2:$A$131,0)),0)</f>
        <v>0.435</v>
      </c>
      <c r="J1796" s="13" t="n">
        <f aca="false">IF(ISNUMBER(MATCH(E1796,'NCO-2015 scores'!$A$2:$A$131,0)),IF(ISNUMBER(INDEX('NCO-2015 scores'!$C$2:$C$131,MATCH(E1796,'NCO-2015 scores'!$A$2:$A$131,0))),1,0),0)</f>
        <v>1</v>
      </c>
    </row>
    <row r="1797" customFormat="false" ht="15" hidden="false" customHeight="false" outlineLevel="0" collapsed="false">
      <c r="A1797" s="2" t="n">
        <v>1793</v>
      </c>
      <c r="B1797" s="2" t="s">
        <v>5398</v>
      </c>
      <c r="C1797" s="2" t="s">
        <v>5399</v>
      </c>
      <c r="D1797" s="2" t="s">
        <v>5400</v>
      </c>
      <c r="E1797" s="2" t="str">
        <f aca="false">LEFT(C1797,3)</f>
        <v>112</v>
      </c>
      <c r="F1797" s="2" t="str">
        <f aca="false">IF(D1797="","",LEFT(D1797,3))</f>
        <v>121</v>
      </c>
      <c r="G1797" s="2" t="str">
        <f aca="false">IF(F1797="","",IF(E1797=F1797,"Yes","No"))</f>
        <v>No</v>
      </c>
      <c r="H1797" s="2" t="n">
        <f aca="false">IF(D1797="",0,1/COUNTIF($D$2:$D$3451,D1797))</f>
        <v>1</v>
      </c>
      <c r="I1797" s="13" t="n">
        <f aca="false">IFERROR(INDEX('NCO-2015 scores'!$C$2:$C$131,MATCH(E1797,'NCO-2015 scores'!$A$2:$A$131,0)),0)</f>
        <v>0.38</v>
      </c>
      <c r="J1797" s="13" t="n">
        <f aca="false">IF(ISNUMBER(MATCH(E1797,'NCO-2015 scores'!$A$2:$A$131,0)),IF(ISNUMBER(INDEX('NCO-2015 scores'!$C$2:$C$131,MATCH(E1797,'NCO-2015 scores'!$A$2:$A$131,0))),1,0),0)</f>
        <v>1</v>
      </c>
    </row>
    <row r="1798" customFormat="false" ht="15" hidden="false" customHeight="false" outlineLevel="0" collapsed="false">
      <c r="A1798" s="2" t="n">
        <v>1794</v>
      </c>
      <c r="B1798" s="2" t="s">
        <v>5401</v>
      </c>
      <c r="C1798" s="2" t="s">
        <v>5402</v>
      </c>
      <c r="D1798" s="2" t="s">
        <v>5403</v>
      </c>
      <c r="E1798" s="2" t="str">
        <f aca="false">LEFT(C1798,3)</f>
        <v>112</v>
      </c>
      <c r="F1798" s="2" t="str">
        <f aca="false">IF(D1798="","",LEFT(D1798,3))</f>
        <v>121</v>
      </c>
      <c r="G1798" s="2" t="str">
        <f aca="false">IF(F1798="","",IF(E1798=F1798,"Yes","No"))</f>
        <v>No</v>
      </c>
      <c r="H1798" s="2" t="n">
        <f aca="false">IF(D1798="",0,1/COUNTIF($D$2:$D$3451,D1798))</f>
        <v>1</v>
      </c>
      <c r="I1798" s="13" t="n">
        <f aca="false">IFERROR(INDEX('NCO-2015 scores'!$C$2:$C$131,MATCH(E1798,'NCO-2015 scores'!$A$2:$A$131,0)),0)</f>
        <v>0.38</v>
      </c>
      <c r="J1798" s="13" t="n">
        <f aca="false">IF(ISNUMBER(MATCH(E1798,'NCO-2015 scores'!$A$2:$A$131,0)),IF(ISNUMBER(INDEX('NCO-2015 scores'!$C$2:$C$131,MATCH(E1798,'NCO-2015 scores'!$A$2:$A$131,0))),1,0),0)</f>
        <v>1</v>
      </c>
    </row>
    <row r="1799" customFormat="false" ht="15" hidden="false" customHeight="false" outlineLevel="0" collapsed="false">
      <c r="A1799" s="2" t="n">
        <v>1795</v>
      </c>
      <c r="B1799" s="2" t="s">
        <v>5404</v>
      </c>
      <c r="C1799" s="2" t="s">
        <v>5405</v>
      </c>
      <c r="D1799" s="2" t="s">
        <v>5406</v>
      </c>
      <c r="E1799" s="2" t="str">
        <f aca="false">LEFT(C1799,3)</f>
        <v>112</v>
      </c>
      <c r="F1799" s="2" t="str">
        <f aca="false">IF(D1799="","",LEFT(D1799,3))</f>
        <v>121</v>
      </c>
      <c r="G1799" s="2" t="str">
        <f aca="false">IF(F1799="","",IF(E1799=F1799,"Yes","No"))</f>
        <v>No</v>
      </c>
      <c r="H1799" s="2" t="n">
        <f aca="false">IF(D1799="",0,1/COUNTIF($D$2:$D$3451,D1799))</f>
        <v>1</v>
      </c>
      <c r="I1799" s="13" t="n">
        <f aca="false">IFERROR(INDEX('NCO-2015 scores'!$C$2:$C$131,MATCH(E1799,'NCO-2015 scores'!$A$2:$A$131,0)),0)</f>
        <v>0.38</v>
      </c>
      <c r="J1799" s="13" t="n">
        <f aca="false">IF(ISNUMBER(MATCH(E1799,'NCO-2015 scores'!$A$2:$A$131,0)),IF(ISNUMBER(INDEX('NCO-2015 scores'!$C$2:$C$131,MATCH(E1799,'NCO-2015 scores'!$A$2:$A$131,0))),1,0),0)</f>
        <v>1</v>
      </c>
    </row>
    <row r="1800" customFormat="false" ht="15" hidden="false" customHeight="false" outlineLevel="0" collapsed="false">
      <c r="A1800" s="2" t="n">
        <v>1796</v>
      </c>
      <c r="B1800" s="2" t="s">
        <v>5407</v>
      </c>
      <c r="C1800" s="2" t="s">
        <v>5408</v>
      </c>
      <c r="D1800" s="2" t="s">
        <v>5409</v>
      </c>
      <c r="E1800" s="2" t="str">
        <f aca="false">LEFT(C1800,3)</f>
        <v>112</v>
      </c>
      <c r="F1800" s="2" t="str">
        <f aca="false">IF(D1800="","",LEFT(D1800,3))</f>
        <v>121</v>
      </c>
      <c r="G1800" s="2" t="str">
        <f aca="false">IF(F1800="","",IF(E1800=F1800,"Yes","No"))</f>
        <v>No</v>
      </c>
      <c r="H1800" s="2" t="n">
        <f aca="false">IF(D1800="",0,1/COUNTIF($D$2:$D$3451,D1800))</f>
        <v>1</v>
      </c>
      <c r="I1800" s="13" t="n">
        <f aca="false">IFERROR(INDEX('NCO-2015 scores'!$C$2:$C$131,MATCH(E1800,'NCO-2015 scores'!$A$2:$A$131,0)),0)</f>
        <v>0.38</v>
      </c>
      <c r="J1800" s="13" t="n">
        <f aca="false">IF(ISNUMBER(MATCH(E1800,'NCO-2015 scores'!$A$2:$A$131,0)),IF(ISNUMBER(INDEX('NCO-2015 scores'!$C$2:$C$131,MATCH(E1800,'NCO-2015 scores'!$A$2:$A$131,0))),1,0),0)</f>
        <v>1</v>
      </c>
    </row>
    <row r="1801" customFormat="false" ht="15" hidden="false" customHeight="false" outlineLevel="0" collapsed="false">
      <c r="A1801" s="2" t="n">
        <v>1797</v>
      </c>
      <c r="B1801" s="2" t="s">
        <v>5410</v>
      </c>
      <c r="C1801" s="2" t="s">
        <v>5411</v>
      </c>
      <c r="D1801" s="2" t="s">
        <v>5412</v>
      </c>
      <c r="E1801" s="2" t="str">
        <f aca="false">LEFT(C1801,3)</f>
        <v>112</v>
      </c>
      <c r="F1801" s="2" t="str">
        <f aca="false">IF(D1801="","",LEFT(D1801,3))</f>
        <v>121</v>
      </c>
      <c r="G1801" s="2" t="str">
        <f aca="false">IF(F1801="","",IF(E1801=F1801,"Yes","No"))</f>
        <v>No</v>
      </c>
      <c r="H1801" s="2" t="n">
        <f aca="false">IF(D1801="",0,1/COUNTIF($D$2:$D$3451,D1801))</f>
        <v>1</v>
      </c>
      <c r="I1801" s="13" t="n">
        <f aca="false">IFERROR(INDEX('NCO-2015 scores'!$C$2:$C$131,MATCH(E1801,'NCO-2015 scores'!$A$2:$A$131,0)),0)</f>
        <v>0.38</v>
      </c>
      <c r="J1801" s="13" t="n">
        <f aca="false">IF(ISNUMBER(MATCH(E1801,'NCO-2015 scores'!$A$2:$A$131,0)),IF(ISNUMBER(INDEX('NCO-2015 scores'!$C$2:$C$131,MATCH(E1801,'NCO-2015 scores'!$A$2:$A$131,0))),1,0),0)</f>
        <v>1</v>
      </c>
    </row>
    <row r="1802" customFormat="false" ht="15" hidden="false" customHeight="false" outlineLevel="0" collapsed="false">
      <c r="A1802" s="2" t="n">
        <v>1798</v>
      </c>
      <c r="B1802" s="2" t="s">
        <v>5413</v>
      </c>
      <c r="C1802" s="2" t="s">
        <v>5414</v>
      </c>
      <c r="D1802" s="2" t="s">
        <v>5415</v>
      </c>
      <c r="E1802" s="2" t="str">
        <f aca="false">LEFT(C1802,3)</f>
        <v>112</v>
      </c>
      <c r="F1802" s="2" t="str">
        <f aca="false">IF(D1802="","",LEFT(D1802,3))</f>
        <v>121</v>
      </c>
      <c r="G1802" s="2" t="str">
        <f aca="false">IF(F1802="","",IF(E1802=F1802,"Yes","No"))</f>
        <v>No</v>
      </c>
      <c r="H1802" s="2" t="n">
        <f aca="false">IF(D1802="",0,1/COUNTIF($D$2:$D$3451,D1802))</f>
        <v>1</v>
      </c>
      <c r="I1802" s="13" t="n">
        <f aca="false">IFERROR(INDEX('NCO-2015 scores'!$C$2:$C$131,MATCH(E1802,'NCO-2015 scores'!$A$2:$A$131,0)),0)</f>
        <v>0.38</v>
      </c>
      <c r="J1802" s="13" t="n">
        <f aca="false">IF(ISNUMBER(MATCH(E1802,'NCO-2015 scores'!$A$2:$A$131,0)),IF(ISNUMBER(INDEX('NCO-2015 scores'!$C$2:$C$131,MATCH(E1802,'NCO-2015 scores'!$A$2:$A$131,0))),1,0),0)</f>
        <v>1</v>
      </c>
    </row>
    <row r="1803" customFormat="false" ht="15" hidden="false" customHeight="false" outlineLevel="0" collapsed="false">
      <c r="A1803" s="2" t="n">
        <v>1799</v>
      </c>
      <c r="B1803" s="2" t="s">
        <v>5416</v>
      </c>
      <c r="C1803" s="2" t="s">
        <v>5417</v>
      </c>
      <c r="D1803" s="2" t="s">
        <v>5418</v>
      </c>
      <c r="E1803" s="2" t="str">
        <f aca="false">LEFT(C1803,3)</f>
        <v>112</v>
      </c>
      <c r="F1803" s="2" t="str">
        <f aca="false">IF(D1803="","",LEFT(D1803,3))</f>
        <v>121</v>
      </c>
      <c r="G1803" s="2" t="str">
        <f aca="false">IF(F1803="","",IF(E1803=F1803,"Yes","No"))</f>
        <v>No</v>
      </c>
      <c r="H1803" s="2" t="n">
        <f aca="false">IF(D1803="",0,1/COUNTIF($D$2:$D$3451,D1803))</f>
        <v>1</v>
      </c>
      <c r="I1803" s="13" t="n">
        <f aca="false">IFERROR(INDEX('NCO-2015 scores'!$C$2:$C$131,MATCH(E1803,'NCO-2015 scores'!$A$2:$A$131,0)),0)</f>
        <v>0.38</v>
      </c>
      <c r="J1803" s="13" t="n">
        <f aca="false">IF(ISNUMBER(MATCH(E1803,'NCO-2015 scores'!$A$2:$A$131,0)),IF(ISNUMBER(INDEX('NCO-2015 scores'!$C$2:$C$131,MATCH(E1803,'NCO-2015 scores'!$A$2:$A$131,0))),1,0),0)</f>
        <v>1</v>
      </c>
    </row>
    <row r="1804" customFormat="false" ht="15" hidden="false" customHeight="false" outlineLevel="0" collapsed="false">
      <c r="A1804" s="2" t="n">
        <v>1800</v>
      </c>
      <c r="B1804" s="2" t="s">
        <v>5419</v>
      </c>
      <c r="C1804" s="2" t="s">
        <v>5420</v>
      </c>
      <c r="D1804" s="2" t="s">
        <v>5421</v>
      </c>
      <c r="E1804" s="2" t="str">
        <f aca="false">LEFT(C1804,3)</f>
        <v>112</v>
      </c>
      <c r="F1804" s="2" t="str">
        <f aca="false">IF(D1804="","",LEFT(D1804,3))</f>
        <v>121</v>
      </c>
      <c r="G1804" s="2" t="str">
        <f aca="false">IF(F1804="","",IF(E1804=F1804,"Yes","No"))</f>
        <v>No</v>
      </c>
      <c r="H1804" s="2" t="n">
        <f aca="false">IF(D1804="",0,1/COUNTIF($D$2:$D$3451,D1804))</f>
        <v>1</v>
      </c>
      <c r="I1804" s="13" t="n">
        <f aca="false">IFERROR(INDEX('NCO-2015 scores'!$C$2:$C$131,MATCH(E1804,'NCO-2015 scores'!$A$2:$A$131,0)),0)</f>
        <v>0.38</v>
      </c>
      <c r="J1804" s="13" t="n">
        <f aca="false">IF(ISNUMBER(MATCH(E1804,'NCO-2015 scores'!$A$2:$A$131,0)),IF(ISNUMBER(INDEX('NCO-2015 scores'!$C$2:$C$131,MATCH(E1804,'NCO-2015 scores'!$A$2:$A$131,0))),1,0),0)</f>
        <v>1</v>
      </c>
    </row>
    <row r="1805" customFormat="false" ht="15" hidden="false" customHeight="false" outlineLevel="0" collapsed="false">
      <c r="A1805" s="2" t="n">
        <v>1801</v>
      </c>
      <c r="B1805" s="2" t="s">
        <v>5422</v>
      </c>
      <c r="C1805" s="2" t="s">
        <v>5423</v>
      </c>
      <c r="D1805" s="2" t="s">
        <v>5424</v>
      </c>
      <c r="E1805" s="2" t="str">
        <f aca="false">LEFT(C1805,3)</f>
        <v>112</v>
      </c>
      <c r="F1805" s="2" t="str">
        <f aca="false">IF(D1805="","",LEFT(D1805,3))</f>
        <v>121</v>
      </c>
      <c r="G1805" s="2" t="str">
        <f aca="false">IF(F1805="","",IF(E1805=F1805,"Yes","No"))</f>
        <v>No</v>
      </c>
      <c r="H1805" s="2" t="n">
        <f aca="false">IF(D1805="",0,1/COUNTIF($D$2:$D$3451,D1805))</f>
        <v>1</v>
      </c>
      <c r="I1805" s="13" t="n">
        <f aca="false">IFERROR(INDEX('NCO-2015 scores'!$C$2:$C$131,MATCH(E1805,'NCO-2015 scores'!$A$2:$A$131,0)),0)</f>
        <v>0.38</v>
      </c>
      <c r="J1805" s="13" t="n">
        <f aca="false">IF(ISNUMBER(MATCH(E1805,'NCO-2015 scores'!$A$2:$A$131,0)),IF(ISNUMBER(INDEX('NCO-2015 scores'!$C$2:$C$131,MATCH(E1805,'NCO-2015 scores'!$A$2:$A$131,0))),1,0),0)</f>
        <v>1</v>
      </c>
    </row>
    <row r="1806" customFormat="false" ht="15" hidden="false" customHeight="false" outlineLevel="0" collapsed="false">
      <c r="A1806" s="2" t="n">
        <v>1802</v>
      </c>
      <c r="B1806" s="2" t="s">
        <v>5425</v>
      </c>
      <c r="C1806" s="2" t="s">
        <v>5426</v>
      </c>
      <c r="D1806" s="2" t="s">
        <v>5427</v>
      </c>
      <c r="E1806" s="2" t="str">
        <f aca="false">LEFT(C1806,3)</f>
        <v>112</v>
      </c>
      <c r="F1806" s="2" t="str">
        <f aca="false">IF(D1806="","",LEFT(D1806,3))</f>
        <v>121</v>
      </c>
      <c r="G1806" s="2" t="str">
        <f aca="false">IF(F1806="","",IF(E1806=F1806,"Yes","No"))</f>
        <v>No</v>
      </c>
      <c r="H1806" s="2" t="n">
        <f aca="false">IF(D1806="",0,1/COUNTIF($D$2:$D$3451,D1806))</f>
        <v>1</v>
      </c>
      <c r="I1806" s="13" t="n">
        <f aca="false">IFERROR(INDEX('NCO-2015 scores'!$C$2:$C$131,MATCH(E1806,'NCO-2015 scores'!$A$2:$A$131,0)),0)</f>
        <v>0.38</v>
      </c>
      <c r="J1806" s="13" t="n">
        <f aca="false">IF(ISNUMBER(MATCH(E1806,'NCO-2015 scores'!$A$2:$A$131,0)),IF(ISNUMBER(INDEX('NCO-2015 scores'!$C$2:$C$131,MATCH(E1806,'NCO-2015 scores'!$A$2:$A$131,0))),1,0),0)</f>
        <v>1</v>
      </c>
    </row>
    <row r="1807" customFormat="false" ht="15" hidden="false" customHeight="false" outlineLevel="0" collapsed="false">
      <c r="A1807" s="2" t="n">
        <v>1803</v>
      </c>
      <c r="B1807" s="2" t="s">
        <v>5428</v>
      </c>
      <c r="C1807" s="2" t="s">
        <v>5429</v>
      </c>
      <c r="D1807" s="2" t="s">
        <v>5430</v>
      </c>
      <c r="E1807" s="2" t="str">
        <f aca="false">LEFT(C1807,3)</f>
        <v>112</v>
      </c>
      <c r="F1807" s="2" t="str">
        <f aca="false">IF(D1807="","",LEFT(D1807,3))</f>
        <v>121</v>
      </c>
      <c r="G1807" s="2" t="str">
        <f aca="false">IF(F1807="","",IF(E1807=F1807,"Yes","No"))</f>
        <v>No</v>
      </c>
      <c r="H1807" s="2" t="n">
        <f aca="false">IF(D1807="",0,1/COUNTIF($D$2:$D$3451,D1807))</f>
        <v>1</v>
      </c>
      <c r="I1807" s="13" t="n">
        <f aca="false">IFERROR(INDEX('NCO-2015 scores'!$C$2:$C$131,MATCH(E1807,'NCO-2015 scores'!$A$2:$A$131,0)),0)</f>
        <v>0.38</v>
      </c>
      <c r="J1807" s="13" t="n">
        <f aca="false">IF(ISNUMBER(MATCH(E1807,'NCO-2015 scores'!$A$2:$A$131,0)),IF(ISNUMBER(INDEX('NCO-2015 scores'!$C$2:$C$131,MATCH(E1807,'NCO-2015 scores'!$A$2:$A$131,0))),1,0),0)</f>
        <v>1</v>
      </c>
    </row>
    <row r="1808" customFormat="false" ht="15" hidden="false" customHeight="false" outlineLevel="0" collapsed="false">
      <c r="A1808" s="2" t="n">
        <v>1804</v>
      </c>
      <c r="B1808" s="2" t="s">
        <v>5431</v>
      </c>
      <c r="C1808" s="2" t="s">
        <v>5432</v>
      </c>
      <c r="D1808" s="2" t="s">
        <v>5433</v>
      </c>
      <c r="E1808" s="2" t="str">
        <f aca="false">LEFT(C1808,3)</f>
        <v>112</v>
      </c>
      <c r="F1808" s="2" t="str">
        <f aca="false">IF(D1808="","",LEFT(D1808,3))</f>
        <v>121</v>
      </c>
      <c r="G1808" s="2" t="str">
        <f aca="false">IF(F1808="","",IF(E1808=F1808,"Yes","No"))</f>
        <v>No</v>
      </c>
      <c r="H1808" s="2" t="n">
        <f aca="false">IF(D1808="",0,1/COUNTIF($D$2:$D$3451,D1808))</f>
        <v>1</v>
      </c>
      <c r="I1808" s="13" t="n">
        <f aca="false">IFERROR(INDEX('NCO-2015 scores'!$C$2:$C$131,MATCH(E1808,'NCO-2015 scores'!$A$2:$A$131,0)),0)</f>
        <v>0.38</v>
      </c>
      <c r="J1808" s="13" t="n">
        <f aca="false">IF(ISNUMBER(MATCH(E1808,'NCO-2015 scores'!$A$2:$A$131,0)),IF(ISNUMBER(INDEX('NCO-2015 scores'!$C$2:$C$131,MATCH(E1808,'NCO-2015 scores'!$A$2:$A$131,0))),1,0),0)</f>
        <v>1</v>
      </c>
    </row>
    <row r="1809" customFormat="false" ht="15" hidden="false" customHeight="false" outlineLevel="0" collapsed="false">
      <c r="A1809" s="2" t="n">
        <v>1805</v>
      </c>
      <c r="B1809" s="2" t="s">
        <v>5434</v>
      </c>
      <c r="C1809" s="2" t="s">
        <v>5435</v>
      </c>
      <c r="D1809" s="2" t="s">
        <v>5436</v>
      </c>
      <c r="E1809" s="2" t="str">
        <f aca="false">LEFT(C1809,3)</f>
        <v>112</v>
      </c>
      <c r="F1809" s="2" t="str">
        <f aca="false">IF(D1809="","",LEFT(D1809,3))</f>
        <v>121</v>
      </c>
      <c r="G1809" s="2" t="str">
        <f aca="false">IF(F1809="","",IF(E1809=F1809,"Yes","No"))</f>
        <v>No</v>
      </c>
      <c r="H1809" s="2" t="n">
        <f aca="false">IF(D1809="",0,1/COUNTIF($D$2:$D$3451,D1809))</f>
        <v>1</v>
      </c>
      <c r="I1809" s="13" t="n">
        <f aca="false">IFERROR(INDEX('NCO-2015 scores'!$C$2:$C$131,MATCH(E1809,'NCO-2015 scores'!$A$2:$A$131,0)),0)</f>
        <v>0.38</v>
      </c>
      <c r="J1809" s="13" t="n">
        <f aca="false">IF(ISNUMBER(MATCH(E1809,'NCO-2015 scores'!$A$2:$A$131,0)),IF(ISNUMBER(INDEX('NCO-2015 scores'!$C$2:$C$131,MATCH(E1809,'NCO-2015 scores'!$A$2:$A$131,0))),1,0),0)</f>
        <v>1</v>
      </c>
    </row>
    <row r="1810" customFormat="false" ht="15" hidden="false" customHeight="false" outlineLevel="0" collapsed="false">
      <c r="A1810" s="2" t="n">
        <v>1806</v>
      </c>
      <c r="B1810" s="2" t="s">
        <v>5437</v>
      </c>
      <c r="C1810" s="2" t="s">
        <v>5438</v>
      </c>
      <c r="D1810" s="2" t="s">
        <v>5439</v>
      </c>
      <c r="E1810" s="2" t="str">
        <f aca="false">LEFT(C1810,3)</f>
        <v>112</v>
      </c>
      <c r="F1810" s="2" t="str">
        <f aca="false">IF(D1810="","",LEFT(D1810,3))</f>
        <v>121</v>
      </c>
      <c r="G1810" s="2" t="str">
        <f aca="false">IF(F1810="","",IF(E1810=F1810,"Yes","No"))</f>
        <v>No</v>
      </c>
      <c r="H1810" s="2" t="n">
        <f aca="false">IF(D1810="",0,1/COUNTIF($D$2:$D$3451,D1810))</f>
        <v>1</v>
      </c>
      <c r="I1810" s="13" t="n">
        <f aca="false">IFERROR(INDEX('NCO-2015 scores'!$C$2:$C$131,MATCH(E1810,'NCO-2015 scores'!$A$2:$A$131,0)),0)</f>
        <v>0.38</v>
      </c>
      <c r="J1810" s="13" t="n">
        <f aca="false">IF(ISNUMBER(MATCH(E1810,'NCO-2015 scores'!$A$2:$A$131,0)),IF(ISNUMBER(INDEX('NCO-2015 scores'!$C$2:$C$131,MATCH(E1810,'NCO-2015 scores'!$A$2:$A$131,0))),1,0),0)</f>
        <v>1</v>
      </c>
    </row>
    <row r="1811" customFormat="false" ht="15" hidden="false" customHeight="false" outlineLevel="0" collapsed="false">
      <c r="A1811" s="2" t="n">
        <v>1807</v>
      </c>
      <c r="B1811" s="2" t="s">
        <v>5440</v>
      </c>
      <c r="C1811" s="2" t="s">
        <v>5441</v>
      </c>
      <c r="D1811" s="2" t="s">
        <v>5442</v>
      </c>
      <c r="E1811" s="2" t="str">
        <f aca="false">LEFT(C1811,3)</f>
        <v>112</v>
      </c>
      <c r="F1811" s="2" t="str">
        <f aca="false">IF(D1811="","",LEFT(D1811,3))</f>
        <v>121</v>
      </c>
      <c r="G1811" s="2" t="str">
        <f aca="false">IF(F1811="","",IF(E1811=F1811,"Yes","No"))</f>
        <v>No</v>
      </c>
      <c r="H1811" s="2" t="n">
        <f aca="false">IF(D1811="",0,1/COUNTIF($D$2:$D$3451,D1811))</f>
        <v>1</v>
      </c>
      <c r="I1811" s="13" t="n">
        <f aca="false">IFERROR(INDEX('NCO-2015 scores'!$C$2:$C$131,MATCH(E1811,'NCO-2015 scores'!$A$2:$A$131,0)),0)</f>
        <v>0.38</v>
      </c>
      <c r="J1811" s="13" t="n">
        <f aca="false">IF(ISNUMBER(MATCH(E1811,'NCO-2015 scores'!$A$2:$A$131,0)),IF(ISNUMBER(INDEX('NCO-2015 scores'!$C$2:$C$131,MATCH(E1811,'NCO-2015 scores'!$A$2:$A$131,0))),1,0),0)</f>
        <v>1</v>
      </c>
    </row>
    <row r="1812" customFormat="false" ht="15" hidden="false" customHeight="false" outlineLevel="0" collapsed="false">
      <c r="A1812" s="2" t="n">
        <v>1808</v>
      </c>
      <c r="B1812" s="2" t="s">
        <v>5443</v>
      </c>
      <c r="C1812" s="2" t="s">
        <v>5444</v>
      </c>
      <c r="D1812" s="2" t="s">
        <v>5445</v>
      </c>
      <c r="E1812" s="2" t="str">
        <f aca="false">LEFT(C1812,3)</f>
        <v>112</v>
      </c>
      <c r="F1812" s="2" t="str">
        <f aca="false">IF(D1812="","",LEFT(D1812,3))</f>
        <v>121</v>
      </c>
      <c r="G1812" s="2" t="str">
        <f aca="false">IF(F1812="","",IF(E1812=F1812,"Yes","No"))</f>
        <v>No</v>
      </c>
      <c r="H1812" s="2" t="n">
        <f aca="false">IF(D1812="",0,1/COUNTIF($D$2:$D$3451,D1812))</f>
        <v>1</v>
      </c>
      <c r="I1812" s="13" t="n">
        <f aca="false">IFERROR(INDEX('NCO-2015 scores'!$C$2:$C$131,MATCH(E1812,'NCO-2015 scores'!$A$2:$A$131,0)),0)</f>
        <v>0.38</v>
      </c>
      <c r="J1812" s="13" t="n">
        <f aca="false">IF(ISNUMBER(MATCH(E1812,'NCO-2015 scores'!$A$2:$A$131,0)),IF(ISNUMBER(INDEX('NCO-2015 scores'!$C$2:$C$131,MATCH(E1812,'NCO-2015 scores'!$A$2:$A$131,0))),1,0),0)</f>
        <v>1</v>
      </c>
    </row>
    <row r="1813" customFormat="false" ht="15" hidden="false" customHeight="false" outlineLevel="0" collapsed="false">
      <c r="A1813" s="2" t="n">
        <v>1809</v>
      </c>
      <c r="B1813" s="2" t="s">
        <v>5446</v>
      </c>
      <c r="C1813" s="2" t="s">
        <v>5447</v>
      </c>
      <c r="D1813" s="2" t="s">
        <v>5448</v>
      </c>
      <c r="E1813" s="2" t="str">
        <f aca="false">LEFT(C1813,3)</f>
        <v>112</v>
      </c>
      <c r="F1813" s="2" t="str">
        <f aca="false">IF(D1813="","",LEFT(D1813,3))</f>
        <v>121</v>
      </c>
      <c r="G1813" s="2" t="str">
        <f aca="false">IF(F1813="","",IF(E1813=F1813,"Yes","No"))</f>
        <v>No</v>
      </c>
      <c r="H1813" s="2" t="n">
        <f aca="false">IF(D1813="",0,1/COUNTIF($D$2:$D$3451,D1813))</f>
        <v>1</v>
      </c>
      <c r="I1813" s="13" t="n">
        <f aca="false">IFERROR(INDEX('NCO-2015 scores'!$C$2:$C$131,MATCH(E1813,'NCO-2015 scores'!$A$2:$A$131,0)),0)</f>
        <v>0.38</v>
      </c>
      <c r="J1813" s="13" t="n">
        <f aca="false">IF(ISNUMBER(MATCH(E1813,'NCO-2015 scores'!$A$2:$A$131,0)),IF(ISNUMBER(INDEX('NCO-2015 scores'!$C$2:$C$131,MATCH(E1813,'NCO-2015 scores'!$A$2:$A$131,0))),1,0),0)</f>
        <v>1</v>
      </c>
    </row>
    <row r="1814" customFormat="false" ht="15" hidden="false" customHeight="false" outlineLevel="0" collapsed="false">
      <c r="A1814" s="2" t="n">
        <v>1810</v>
      </c>
      <c r="B1814" s="2" t="s">
        <v>5449</v>
      </c>
      <c r="C1814" s="2" t="s">
        <v>5450</v>
      </c>
      <c r="D1814" s="2" t="s">
        <v>5451</v>
      </c>
      <c r="E1814" s="2" t="str">
        <f aca="false">LEFT(C1814,3)</f>
        <v>112</v>
      </c>
      <c r="F1814" s="2" t="str">
        <f aca="false">IF(D1814="","",LEFT(D1814,3))</f>
        <v>121</v>
      </c>
      <c r="G1814" s="2" t="str">
        <f aca="false">IF(F1814="","",IF(E1814=F1814,"Yes","No"))</f>
        <v>No</v>
      </c>
      <c r="H1814" s="2" t="n">
        <f aca="false">IF(D1814="",0,1/COUNTIF($D$2:$D$3451,D1814))</f>
        <v>1</v>
      </c>
      <c r="I1814" s="13" t="n">
        <f aca="false">IFERROR(INDEX('NCO-2015 scores'!$C$2:$C$131,MATCH(E1814,'NCO-2015 scores'!$A$2:$A$131,0)),0)</f>
        <v>0.38</v>
      </c>
      <c r="J1814" s="13" t="n">
        <f aca="false">IF(ISNUMBER(MATCH(E1814,'NCO-2015 scores'!$A$2:$A$131,0)),IF(ISNUMBER(INDEX('NCO-2015 scores'!$C$2:$C$131,MATCH(E1814,'NCO-2015 scores'!$A$2:$A$131,0))),1,0),0)</f>
        <v>1</v>
      </c>
    </row>
    <row r="1815" customFormat="false" ht="15" hidden="false" customHeight="false" outlineLevel="0" collapsed="false">
      <c r="A1815" s="2" t="n">
        <v>1811</v>
      </c>
      <c r="B1815" s="2" t="s">
        <v>5452</v>
      </c>
      <c r="C1815" s="2" t="s">
        <v>5453</v>
      </c>
      <c r="D1815" s="2" t="s">
        <v>5454</v>
      </c>
      <c r="E1815" s="2" t="str">
        <f aca="false">LEFT(C1815,3)</f>
        <v>112</v>
      </c>
      <c r="F1815" s="2" t="str">
        <f aca="false">IF(D1815="","",LEFT(D1815,3))</f>
        <v>121</v>
      </c>
      <c r="G1815" s="2" t="str">
        <f aca="false">IF(F1815="","",IF(E1815=F1815,"Yes","No"))</f>
        <v>No</v>
      </c>
      <c r="H1815" s="2" t="n">
        <f aca="false">IF(D1815="",0,1/COUNTIF($D$2:$D$3451,D1815))</f>
        <v>1</v>
      </c>
      <c r="I1815" s="13" t="n">
        <f aca="false">IFERROR(INDEX('NCO-2015 scores'!$C$2:$C$131,MATCH(E1815,'NCO-2015 scores'!$A$2:$A$131,0)),0)</f>
        <v>0.38</v>
      </c>
      <c r="J1815" s="13" t="n">
        <f aca="false">IF(ISNUMBER(MATCH(E1815,'NCO-2015 scores'!$A$2:$A$131,0)),IF(ISNUMBER(INDEX('NCO-2015 scores'!$C$2:$C$131,MATCH(E1815,'NCO-2015 scores'!$A$2:$A$131,0))),1,0),0)</f>
        <v>1</v>
      </c>
    </row>
    <row r="1816" customFormat="false" ht="15" hidden="false" customHeight="false" outlineLevel="0" collapsed="false">
      <c r="A1816" s="2" t="n">
        <v>1812</v>
      </c>
      <c r="B1816" s="2" t="s">
        <v>5455</v>
      </c>
      <c r="C1816" s="2" t="s">
        <v>5456</v>
      </c>
      <c r="D1816" s="2" t="s">
        <v>5457</v>
      </c>
      <c r="E1816" s="2" t="str">
        <f aca="false">LEFT(C1816,3)</f>
        <v>112</v>
      </c>
      <c r="F1816" s="2" t="str">
        <f aca="false">IF(D1816="","",LEFT(D1816,3))</f>
        <v>121</v>
      </c>
      <c r="G1816" s="2" t="str">
        <f aca="false">IF(F1816="","",IF(E1816=F1816,"Yes","No"))</f>
        <v>No</v>
      </c>
      <c r="H1816" s="2" t="n">
        <f aca="false">IF(D1816="",0,1/COUNTIF($D$2:$D$3451,D1816))</f>
        <v>1</v>
      </c>
      <c r="I1816" s="13" t="n">
        <f aca="false">IFERROR(INDEX('NCO-2015 scores'!$C$2:$C$131,MATCH(E1816,'NCO-2015 scores'!$A$2:$A$131,0)),0)</f>
        <v>0.38</v>
      </c>
      <c r="J1816" s="13" t="n">
        <f aca="false">IF(ISNUMBER(MATCH(E1816,'NCO-2015 scores'!$A$2:$A$131,0)),IF(ISNUMBER(INDEX('NCO-2015 scores'!$C$2:$C$131,MATCH(E1816,'NCO-2015 scores'!$A$2:$A$131,0))),1,0),0)</f>
        <v>1</v>
      </c>
    </row>
    <row r="1817" customFormat="false" ht="15" hidden="false" customHeight="false" outlineLevel="0" collapsed="false">
      <c r="A1817" s="2" t="n">
        <v>1813</v>
      </c>
      <c r="B1817" s="2" t="s">
        <v>5458</v>
      </c>
      <c r="C1817" s="2" t="s">
        <v>5459</v>
      </c>
      <c r="D1817" s="2" t="s">
        <v>5460</v>
      </c>
      <c r="E1817" s="2" t="str">
        <f aca="false">LEFT(C1817,3)</f>
        <v>112</v>
      </c>
      <c r="F1817" s="2" t="str">
        <f aca="false">IF(D1817="","",LEFT(D1817,3))</f>
        <v>121</v>
      </c>
      <c r="G1817" s="2" t="str">
        <f aca="false">IF(F1817="","",IF(E1817=F1817,"Yes","No"))</f>
        <v>No</v>
      </c>
      <c r="H1817" s="2" t="n">
        <f aca="false">IF(D1817="",0,1/COUNTIF($D$2:$D$3451,D1817))</f>
        <v>1</v>
      </c>
      <c r="I1817" s="13" t="n">
        <f aca="false">IFERROR(INDEX('NCO-2015 scores'!$C$2:$C$131,MATCH(E1817,'NCO-2015 scores'!$A$2:$A$131,0)),0)</f>
        <v>0.38</v>
      </c>
      <c r="J1817" s="13" t="n">
        <f aca="false">IF(ISNUMBER(MATCH(E1817,'NCO-2015 scores'!$A$2:$A$131,0)),IF(ISNUMBER(INDEX('NCO-2015 scores'!$C$2:$C$131,MATCH(E1817,'NCO-2015 scores'!$A$2:$A$131,0))),1,0),0)</f>
        <v>1</v>
      </c>
    </row>
    <row r="1818" customFormat="false" ht="15" hidden="false" customHeight="false" outlineLevel="0" collapsed="false">
      <c r="A1818" s="2" t="n">
        <v>1814</v>
      </c>
      <c r="B1818" s="2" t="s">
        <v>5461</v>
      </c>
      <c r="C1818" s="2" t="s">
        <v>5462</v>
      </c>
      <c r="D1818" s="2" t="s">
        <v>5463</v>
      </c>
      <c r="E1818" s="2" t="str">
        <f aca="false">LEFT(C1818,3)</f>
        <v>112</v>
      </c>
      <c r="F1818" s="2" t="str">
        <f aca="false">IF(D1818="","",LEFT(D1818,3))</f>
        <v>121</v>
      </c>
      <c r="G1818" s="2" t="str">
        <f aca="false">IF(F1818="","",IF(E1818=F1818,"Yes","No"))</f>
        <v>No</v>
      </c>
      <c r="H1818" s="2" t="n">
        <f aca="false">IF(D1818="",0,1/COUNTIF($D$2:$D$3451,D1818))</f>
        <v>1</v>
      </c>
      <c r="I1818" s="13" t="n">
        <f aca="false">IFERROR(INDEX('NCO-2015 scores'!$C$2:$C$131,MATCH(E1818,'NCO-2015 scores'!$A$2:$A$131,0)),0)</f>
        <v>0.38</v>
      </c>
      <c r="J1818" s="13" t="n">
        <f aca="false">IF(ISNUMBER(MATCH(E1818,'NCO-2015 scores'!$A$2:$A$131,0)),IF(ISNUMBER(INDEX('NCO-2015 scores'!$C$2:$C$131,MATCH(E1818,'NCO-2015 scores'!$A$2:$A$131,0))),1,0),0)</f>
        <v>1</v>
      </c>
    </row>
    <row r="1819" customFormat="false" ht="15" hidden="false" customHeight="false" outlineLevel="0" collapsed="false">
      <c r="A1819" s="2" t="n">
        <v>1815</v>
      </c>
      <c r="B1819" s="2" t="s">
        <v>5464</v>
      </c>
      <c r="C1819" s="2" t="s">
        <v>5465</v>
      </c>
      <c r="D1819" s="2" t="s">
        <v>5466</v>
      </c>
      <c r="E1819" s="2" t="str">
        <f aca="false">LEFT(C1819,3)</f>
        <v>112</v>
      </c>
      <c r="F1819" s="2" t="str">
        <f aca="false">IF(D1819="","",LEFT(D1819,3))</f>
        <v>121</v>
      </c>
      <c r="G1819" s="2" t="str">
        <f aca="false">IF(F1819="","",IF(E1819=F1819,"Yes","No"))</f>
        <v>No</v>
      </c>
      <c r="H1819" s="2" t="n">
        <f aca="false">IF(D1819="",0,1/COUNTIF($D$2:$D$3451,D1819))</f>
        <v>1</v>
      </c>
      <c r="I1819" s="13" t="n">
        <f aca="false">IFERROR(INDEX('NCO-2015 scores'!$C$2:$C$131,MATCH(E1819,'NCO-2015 scores'!$A$2:$A$131,0)),0)</f>
        <v>0.38</v>
      </c>
      <c r="J1819" s="13" t="n">
        <f aca="false">IF(ISNUMBER(MATCH(E1819,'NCO-2015 scores'!$A$2:$A$131,0)),IF(ISNUMBER(INDEX('NCO-2015 scores'!$C$2:$C$131,MATCH(E1819,'NCO-2015 scores'!$A$2:$A$131,0))),1,0),0)</f>
        <v>1</v>
      </c>
    </row>
    <row r="1820" customFormat="false" ht="15" hidden="false" customHeight="false" outlineLevel="0" collapsed="false">
      <c r="A1820" s="2" t="n">
        <v>1816</v>
      </c>
      <c r="B1820" s="2" t="s">
        <v>5467</v>
      </c>
      <c r="C1820" s="2" t="s">
        <v>5468</v>
      </c>
      <c r="D1820" s="2" t="s">
        <v>5469</v>
      </c>
      <c r="E1820" s="2" t="str">
        <f aca="false">LEFT(C1820,3)</f>
        <v>112</v>
      </c>
      <c r="F1820" s="2" t="str">
        <f aca="false">IF(D1820="","",LEFT(D1820,3))</f>
        <v>121</v>
      </c>
      <c r="G1820" s="2" t="str">
        <f aca="false">IF(F1820="","",IF(E1820=F1820,"Yes","No"))</f>
        <v>No</v>
      </c>
      <c r="H1820" s="2" t="n">
        <f aca="false">IF(D1820="",0,1/COUNTIF($D$2:$D$3451,D1820))</f>
        <v>1</v>
      </c>
      <c r="I1820" s="13" t="n">
        <f aca="false">IFERROR(INDEX('NCO-2015 scores'!$C$2:$C$131,MATCH(E1820,'NCO-2015 scores'!$A$2:$A$131,0)),0)</f>
        <v>0.38</v>
      </c>
      <c r="J1820" s="13" t="n">
        <f aca="false">IF(ISNUMBER(MATCH(E1820,'NCO-2015 scores'!$A$2:$A$131,0)),IF(ISNUMBER(INDEX('NCO-2015 scores'!$C$2:$C$131,MATCH(E1820,'NCO-2015 scores'!$A$2:$A$131,0))),1,0),0)</f>
        <v>1</v>
      </c>
    </row>
    <row r="1821" customFormat="false" ht="15" hidden="false" customHeight="false" outlineLevel="0" collapsed="false">
      <c r="A1821" s="2" t="n">
        <v>1817</v>
      </c>
      <c r="B1821" s="2" t="s">
        <v>5470</v>
      </c>
      <c r="C1821" s="2" t="s">
        <v>5471</v>
      </c>
      <c r="D1821" s="2" t="s">
        <v>5472</v>
      </c>
      <c r="E1821" s="2" t="str">
        <f aca="false">LEFT(C1821,3)</f>
        <v>112</v>
      </c>
      <c r="F1821" s="2" t="str">
        <f aca="false">IF(D1821="","",LEFT(D1821,3))</f>
        <v>121</v>
      </c>
      <c r="G1821" s="2" t="str">
        <f aca="false">IF(F1821="","",IF(E1821=F1821,"Yes","No"))</f>
        <v>No</v>
      </c>
      <c r="H1821" s="2" t="n">
        <f aca="false">IF(D1821="",0,1/COUNTIF($D$2:$D$3451,D1821))</f>
        <v>1</v>
      </c>
      <c r="I1821" s="13" t="n">
        <f aca="false">IFERROR(INDEX('NCO-2015 scores'!$C$2:$C$131,MATCH(E1821,'NCO-2015 scores'!$A$2:$A$131,0)),0)</f>
        <v>0.38</v>
      </c>
      <c r="J1821" s="13" t="n">
        <f aca="false">IF(ISNUMBER(MATCH(E1821,'NCO-2015 scores'!$A$2:$A$131,0)),IF(ISNUMBER(INDEX('NCO-2015 scores'!$C$2:$C$131,MATCH(E1821,'NCO-2015 scores'!$A$2:$A$131,0))),1,0),0)</f>
        <v>1</v>
      </c>
    </row>
    <row r="1822" customFormat="false" ht="15" hidden="false" customHeight="false" outlineLevel="0" collapsed="false">
      <c r="A1822" s="2" t="n">
        <v>1818</v>
      </c>
      <c r="B1822" s="2" t="s">
        <v>5473</v>
      </c>
      <c r="C1822" s="2" t="s">
        <v>5474</v>
      </c>
      <c r="D1822" s="2" t="s">
        <v>5475</v>
      </c>
      <c r="E1822" s="2" t="str">
        <f aca="false">LEFT(C1822,3)</f>
        <v>112</v>
      </c>
      <c r="F1822" s="2" t="str">
        <f aca="false">IF(D1822="","",LEFT(D1822,3))</f>
        <v>121</v>
      </c>
      <c r="G1822" s="2" t="str">
        <f aca="false">IF(F1822="","",IF(E1822=F1822,"Yes","No"))</f>
        <v>No</v>
      </c>
      <c r="H1822" s="2" t="n">
        <f aca="false">IF(D1822="",0,1/COUNTIF($D$2:$D$3451,D1822))</f>
        <v>1</v>
      </c>
      <c r="I1822" s="13" t="n">
        <f aca="false">IFERROR(INDEX('NCO-2015 scores'!$C$2:$C$131,MATCH(E1822,'NCO-2015 scores'!$A$2:$A$131,0)),0)</f>
        <v>0.38</v>
      </c>
      <c r="J1822" s="13" t="n">
        <f aca="false">IF(ISNUMBER(MATCH(E1822,'NCO-2015 scores'!$A$2:$A$131,0)),IF(ISNUMBER(INDEX('NCO-2015 scores'!$C$2:$C$131,MATCH(E1822,'NCO-2015 scores'!$A$2:$A$131,0))),1,0),0)</f>
        <v>1</v>
      </c>
    </row>
    <row r="1823" customFormat="false" ht="15" hidden="false" customHeight="false" outlineLevel="0" collapsed="false">
      <c r="A1823" s="2" t="n">
        <v>1819</v>
      </c>
      <c r="B1823" s="2" t="s">
        <v>5476</v>
      </c>
      <c r="C1823" s="2" t="s">
        <v>5477</v>
      </c>
      <c r="D1823" s="2" t="s">
        <v>5478</v>
      </c>
      <c r="E1823" s="2" t="str">
        <f aca="false">LEFT(C1823,3)</f>
        <v>112</v>
      </c>
      <c r="F1823" s="2" t="str">
        <f aca="false">IF(D1823="","",LEFT(D1823,3))</f>
        <v>121</v>
      </c>
      <c r="G1823" s="2" t="str">
        <f aca="false">IF(F1823="","",IF(E1823=F1823,"Yes","No"))</f>
        <v>No</v>
      </c>
      <c r="H1823" s="2" t="n">
        <f aca="false">IF(D1823="",0,1/COUNTIF($D$2:$D$3451,D1823))</f>
        <v>1</v>
      </c>
      <c r="I1823" s="13" t="n">
        <f aca="false">IFERROR(INDEX('NCO-2015 scores'!$C$2:$C$131,MATCH(E1823,'NCO-2015 scores'!$A$2:$A$131,0)),0)</f>
        <v>0.38</v>
      </c>
      <c r="J1823" s="13" t="n">
        <f aca="false">IF(ISNUMBER(MATCH(E1823,'NCO-2015 scores'!$A$2:$A$131,0)),IF(ISNUMBER(INDEX('NCO-2015 scores'!$C$2:$C$131,MATCH(E1823,'NCO-2015 scores'!$A$2:$A$131,0))),1,0),0)</f>
        <v>1</v>
      </c>
    </row>
    <row r="1824" customFormat="false" ht="15" hidden="false" customHeight="false" outlineLevel="0" collapsed="false">
      <c r="A1824" s="2" t="n">
        <v>1820</v>
      </c>
      <c r="B1824" s="2" t="s">
        <v>5479</v>
      </c>
      <c r="C1824" s="2" t="s">
        <v>5480</v>
      </c>
      <c r="D1824" s="2" t="s">
        <v>5481</v>
      </c>
      <c r="E1824" s="2" t="str">
        <f aca="false">LEFT(C1824,3)</f>
        <v>112</v>
      </c>
      <c r="F1824" s="2" t="str">
        <f aca="false">IF(D1824="","",LEFT(D1824,3))</f>
        <v>121</v>
      </c>
      <c r="G1824" s="2" t="str">
        <f aca="false">IF(F1824="","",IF(E1824=F1824,"Yes","No"))</f>
        <v>No</v>
      </c>
      <c r="H1824" s="2" t="n">
        <f aca="false">IF(D1824="",0,1/COUNTIF($D$2:$D$3451,D1824))</f>
        <v>1</v>
      </c>
      <c r="I1824" s="13" t="n">
        <f aca="false">IFERROR(INDEX('NCO-2015 scores'!$C$2:$C$131,MATCH(E1824,'NCO-2015 scores'!$A$2:$A$131,0)),0)</f>
        <v>0.38</v>
      </c>
      <c r="J1824" s="13" t="n">
        <f aca="false">IF(ISNUMBER(MATCH(E1824,'NCO-2015 scores'!$A$2:$A$131,0)),IF(ISNUMBER(INDEX('NCO-2015 scores'!$C$2:$C$131,MATCH(E1824,'NCO-2015 scores'!$A$2:$A$131,0))),1,0),0)</f>
        <v>1</v>
      </c>
    </row>
    <row r="1825" customFormat="false" ht="15" hidden="false" customHeight="false" outlineLevel="0" collapsed="false">
      <c r="A1825" s="2" t="n">
        <v>1821</v>
      </c>
      <c r="B1825" s="2" t="s">
        <v>5482</v>
      </c>
      <c r="C1825" s="2" t="s">
        <v>5483</v>
      </c>
      <c r="D1825" s="2" t="s">
        <v>5484</v>
      </c>
      <c r="E1825" s="2" t="str">
        <f aca="false">LEFT(C1825,3)</f>
        <v>112</v>
      </c>
      <c r="F1825" s="2" t="str">
        <f aca="false">IF(D1825="","",LEFT(D1825,3))</f>
        <v>121</v>
      </c>
      <c r="G1825" s="2" t="str">
        <f aca="false">IF(F1825="","",IF(E1825=F1825,"Yes","No"))</f>
        <v>No</v>
      </c>
      <c r="H1825" s="2" t="n">
        <f aca="false">IF(D1825="",0,1/COUNTIF($D$2:$D$3451,D1825))</f>
        <v>1</v>
      </c>
      <c r="I1825" s="13" t="n">
        <f aca="false">IFERROR(INDEX('NCO-2015 scores'!$C$2:$C$131,MATCH(E1825,'NCO-2015 scores'!$A$2:$A$131,0)),0)</f>
        <v>0.38</v>
      </c>
      <c r="J1825" s="13" t="n">
        <f aca="false">IF(ISNUMBER(MATCH(E1825,'NCO-2015 scores'!$A$2:$A$131,0)),IF(ISNUMBER(INDEX('NCO-2015 scores'!$C$2:$C$131,MATCH(E1825,'NCO-2015 scores'!$A$2:$A$131,0))),1,0),0)</f>
        <v>1</v>
      </c>
    </row>
    <row r="1826" customFormat="false" ht="15" hidden="false" customHeight="false" outlineLevel="0" collapsed="false">
      <c r="A1826" s="2" t="n">
        <v>1822</v>
      </c>
      <c r="B1826" s="2" t="s">
        <v>5485</v>
      </c>
      <c r="C1826" s="2" t="s">
        <v>5486</v>
      </c>
      <c r="D1826" s="2" t="s">
        <v>5487</v>
      </c>
      <c r="E1826" s="2" t="str">
        <f aca="false">LEFT(C1826,3)</f>
        <v>112</v>
      </c>
      <c r="F1826" s="2" t="str">
        <f aca="false">IF(D1826="","",LEFT(D1826,3))</f>
        <v>121</v>
      </c>
      <c r="G1826" s="2" t="str">
        <f aca="false">IF(F1826="","",IF(E1826=F1826,"Yes","No"))</f>
        <v>No</v>
      </c>
      <c r="H1826" s="2" t="n">
        <f aca="false">IF(D1826="",0,1/COUNTIF($D$2:$D$3451,D1826))</f>
        <v>1</v>
      </c>
      <c r="I1826" s="13" t="n">
        <f aca="false">IFERROR(INDEX('NCO-2015 scores'!$C$2:$C$131,MATCH(E1826,'NCO-2015 scores'!$A$2:$A$131,0)),0)</f>
        <v>0.38</v>
      </c>
      <c r="J1826" s="13" t="n">
        <f aca="false">IF(ISNUMBER(MATCH(E1826,'NCO-2015 scores'!$A$2:$A$131,0)),IF(ISNUMBER(INDEX('NCO-2015 scores'!$C$2:$C$131,MATCH(E1826,'NCO-2015 scores'!$A$2:$A$131,0))),1,0),0)</f>
        <v>1</v>
      </c>
    </row>
    <row r="1827" customFormat="false" ht="15" hidden="false" customHeight="false" outlineLevel="0" collapsed="false">
      <c r="A1827" s="2" t="n">
        <v>1823</v>
      </c>
      <c r="B1827" s="2" t="s">
        <v>5488</v>
      </c>
      <c r="C1827" s="2" t="s">
        <v>5489</v>
      </c>
      <c r="D1827" s="2" t="s">
        <v>5490</v>
      </c>
      <c r="E1827" s="2" t="str">
        <f aca="false">LEFT(C1827,3)</f>
        <v>112</v>
      </c>
      <c r="F1827" s="2" t="str">
        <f aca="false">IF(D1827="","",LEFT(D1827,3))</f>
        <v>121</v>
      </c>
      <c r="G1827" s="2" t="str">
        <f aca="false">IF(F1827="","",IF(E1827=F1827,"Yes","No"))</f>
        <v>No</v>
      </c>
      <c r="H1827" s="2" t="n">
        <f aca="false">IF(D1827="",0,1/COUNTIF($D$2:$D$3451,D1827))</f>
        <v>1</v>
      </c>
      <c r="I1827" s="13" t="n">
        <f aca="false">IFERROR(INDEX('NCO-2015 scores'!$C$2:$C$131,MATCH(E1827,'NCO-2015 scores'!$A$2:$A$131,0)),0)</f>
        <v>0.38</v>
      </c>
      <c r="J1827" s="13" t="n">
        <f aca="false">IF(ISNUMBER(MATCH(E1827,'NCO-2015 scores'!$A$2:$A$131,0)),IF(ISNUMBER(INDEX('NCO-2015 scores'!$C$2:$C$131,MATCH(E1827,'NCO-2015 scores'!$A$2:$A$131,0))),1,0),0)</f>
        <v>1</v>
      </c>
    </row>
    <row r="1828" customFormat="false" ht="15" hidden="false" customHeight="false" outlineLevel="0" collapsed="false">
      <c r="A1828" s="2" t="n">
        <v>1824</v>
      </c>
      <c r="B1828" s="2" t="s">
        <v>5491</v>
      </c>
      <c r="C1828" s="2" t="s">
        <v>5492</v>
      </c>
      <c r="D1828" s="2" t="s">
        <v>5493</v>
      </c>
      <c r="E1828" s="2" t="str">
        <f aca="false">LEFT(C1828,3)</f>
        <v>112</v>
      </c>
      <c r="F1828" s="2" t="str">
        <f aca="false">IF(D1828="","",LEFT(D1828,3))</f>
        <v>121</v>
      </c>
      <c r="G1828" s="2" t="str">
        <f aca="false">IF(F1828="","",IF(E1828=F1828,"Yes","No"))</f>
        <v>No</v>
      </c>
      <c r="H1828" s="2" t="n">
        <f aca="false">IF(D1828="",0,1/COUNTIF($D$2:$D$3451,D1828))</f>
        <v>1</v>
      </c>
      <c r="I1828" s="13" t="n">
        <f aca="false">IFERROR(INDEX('NCO-2015 scores'!$C$2:$C$131,MATCH(E1828,'NCO-2015 scores'!$A$2:$A$131,0)),0)</f>
        <v>0.38</v>
      </c>
      <c r="J1828" s="13" t="n">
        <f aca="false">IF(ISNUMBER(MATCH(E1828,'NCO-2015 scores'!$A$2:$A$131,0)),IF(ISNUMBER(INDEX('NCO-2015 scores'!$C$2:$C$131,MATCH(E1828,'NCO-2015 scores'!$A$2:$A$131,0))),1,0),0)</f>
        <v>1</v>
      </c>
    </row>
    <row r="1829" customFormat="false" ht="15" hidden="false" customHeight="false" outlineLevel="0" collapsed="false">
      <c r="A1829" s="2" t="n">
        <v>1825</v>
      </c>
      <c r="B1829" s="2" t="s">
        <v>5494</v>
      </c>
      <c r="C1829" s="2" t="s">
        <v>5495</v>
      </c>
      <c r="D1829" s="2"/>
      <c r="E1829" s="2" t="str">
        <f aca="false">LEFT(C1829,3)</f>
        <v>112</v>
      </c>
      <c r="F1829" s="2" t="str">
        <f aca="false">IF(D1829="","",LEFT(D1829,3))</f>
        <v/>
      </c>
      <c r="G1829" s="2" t="str">
        <f aca="false">IF(F1829="","",IF(E1829=F1829,"Yes","No"))</f>
        <v/>
      </c>
      <c r="H1829" s="2" t="n">
        <f aca="false">IF(D1829="",0,1/COUNTIF($D$2:$D$3451,D1829))</f>
        <v>0</v>
      </c>
      <c r="I1829" s="13" t="n">
        <f aca="false">IFERROR(INDEX('NCO-2015 scores'!$C$2:$C$131,MATCH(E1829,'NCO-2015 scores'!$A$2:$A$131,0)),0)</f>
        <v>0.38</v>
      </c>
      <c r="J1829" s="13" t="n">
        <f aca="false">IF(ISNUMBER(MATCH(E1829,'NCO-2015 scores'!$A$2:$A$131,0)),IF(ISNUMBER(INDEX('NCO-2015 scores'!$C$2:$C$131,MATCH(E1829,'NCO-2015 scores'!$A$2:$A$131,0))),1,0),0)</f>
        <v>1</v>
      </c>
    </row>
    <row r="1830" customFormat="false" ht="15" hidden="false" customHeight="false" outlineLevel="0" collapsed="false">
      <c r="A1830" s="2" t="n">
        <v>1826</v>
      </c>
      <c r="B1830" s="2" t="s">
        <v>5496</v>
      </c>
      <c r="C1830" s="2" t="s">
        <v>5497</v>
      </c>
      <c r="D1830" s="2"/>
      <c r="E1830" s="2" t="str">
        <f aca="false">LEFT(C1830,3)</f>
        <v>112</v>
      </c>
      <c r="F1830" s="2" t="str">
        <f aca="false">IF(D1830="","",LEFT(D1830,3))</f>
        <v/>
      </c>
      <c r="G1830" s="2" t="str">
        <f aca="false">IF(F1830="","",IF(E1830=F1830,"Yes","No"))</f>
        <v/>
      </c>
      <c r="H1830" s="2" t="n">
        <f aca="false">IF(D1830="",0,1/COUNTIF($D$2:$D$3451,D1830))</f>
        <v>0</v>
      </c>
      <c r="I1830" s="13" t="n">
        <f aca="false">IFERROR(INDEX('NCO-2015 scores'!$C$2:$C$131,MATCH(E1830,'NCO-2015 scores'!$A$2:$A$131,0)),0)</f>
        <v>0.38</v>
      </c>
      <c r="J1830" s="13" t="n">
        <f aca="false">IF(ISNUMBER(MATCH(E1830,'NCO-2015 scores'!$A$2:$A$131,0)),IF(ISNUMBER(INDEX('NCO-2015 scores'!$C$2:$C$131,MATCH(E1830,'NCO-2015 scores'!$A$2:$A$131,0))),1,0),0)</f>
        <v>1</v>
      </c>
    </row>
    <row r="1831" customFormat="false" ht="15" hidden="false" customHeight="false" outlineLevel="0" collapsed="false">
      <c r="A1831" s="2" t="n">
        <v>1827</v>
      </c>
      <c r="B1831" s="2" t="s">
        <v>5498</v>
      </c>
      <c r="C1831" s="2" t="s">
        <v>5499</v>
      </c>
      <c r="D1831" s="2" t="s">
        <v>5500</v>
      </c>
      <c r="E1831" s="2" t="str">
        <f aca="false">LEFT(C1831,3)</f>
        <v>112</v>
      </c>
      <c r="F1831" s="2" t="str">
        <f aca="false">IF(D1831="","",LEFT(D1831,3))</f>
        <v>121</v>
      </c>
      <c r="G1831" s="2" t="str">
        <f aca="false">IF(F1831="","",IF(E1831=F1831,"Yes","No"))</f>
        <v>No</v>
      </c>
      <c r="H1831" s="2" t="n">
        <f aca="false">IF(D1831="",0,1/COUNTIF($D$2:$D$3451,D1831))</f>
        <v>1</v>
      </c>
      <c r="I1831" s="13" t="n">
        <f aca="false">IFERROR(INDEX('NCO-2015 scores'!$C$2:$C$131,MATCH(E1831,'NCO-2015 scores'!$A$2:$A$131,0)),0)</f>
        <v>0.38</v>
      </c>
      <c r="J1831" s="13" t="n">
        <f aca="false">IF(ISNUMBER(MATCH(E1831,'NCO-2015 scores'!$A$2:$A$131,0)),IF(ISNUMBER(INDEX('NCO-2015 scores'!$C$2:$C$131,MATCH(E1831,'NCO-2015 scores'!$A$2:$A$131,0))),1,0),0)</f>
        <v>1</v>
      </c>
    </row>
    <row r="1832" customFormat="false" ht="15" hidden="false" customHeight="false" outlineLevel="0" collapsed="false">
      <c r="A1832" s="2" t="n">
        <v>1828</v>
      </c>
      <c r="B1832" s="2" t="s">
        <v>5501</v>
      </c>
      <c r="C1832" s="2" t="s">
        <v>5502</v>
      </c>
      <c r="D1832" s="2" t="s">
        <v>5503</v>
      </c>
      <c r="E1832" s="2" t="str">
        <f aca="false">LEFT(C1832,3)</f>
        <v>112</v>
      </c>
      <c r="F1832" s="2" t="str">
        <f aca="false">IF(D1832="","",LEFT(D1832,3))</f>
        <v>121</v>
      </c>
      <c r="G1832" s="2" t="str">
        <f aca="false">IF(F1832="","",IF(E1832=F1832,"Yes","No"))</f>
        <v>No</v>
      </c>
      <c r="H1832" s="2" t="n">
        <f aca="false">IF(D1832="",0,1/COUNTIF($D$2:$D$3451,D1832))</f>
        <v>1</v>
      </c>
      <c r="I1832" s="13" t="n">
        <f aca="false">IFERROR(INDEX('NCO-2015 scores'!$C$2:$C$131,MATCH(E1832,'NCO-2015 scores'!$A$2:$A$131,0)),0)</f>
        <v>0.38</v>
      </c>
      <c r="J1832" s="13" t="n">
        <f aca="false">IF(ISNUMBER(MATCH(E1832,'NCO-2015 scores'!$A$2:$A$131,0)),IF(ISNUMBER(INDEX('NCO-2015 scores'!$C$2:$C$131,MATCH(E1832,'NCO-2015 scores'!$A$2:$A$131,0))),1,0),0)</f>
        <v>1</v>
      </c>
    </row>
    <row r="1833" customFormat="false" ht="15" hidden="false" customHeight="false" outlineLevel="0" collapsed="false">
      <c r="A1833" s="2" t="n">
        <v>1829</v>
      </c>
      <c r="B1833" s="2" t="s">
        <v>5504</v>
      </c>
      <c r="C1833" s="2" t="s">
        <v>5505</v>
      </c>
      <c r="D1833" s="2" t="s">
        <v>5506</v>
      </c>
      <c r="E1833" s="2" t="str">
        <f aca="false">LEFT(C1833,3)</f>
        <v>112</v>
      </c>
      <c r="F1833" s="2" t="str">
        <f aca="false">IF(D1833="","",LEFT(D1833,3))</f>
        <v>121</v>
      </c>
      <c r="G1833" s="2" t="str">
        <f aca="false">IF(F1833="","",IF(E1833=F1833,"Yes","No"))</f>
        <v>No</v>
      </c>
      <c r="H1833" s="2" t="n">
        <f aca="false">IF(D1833="",0,1/COUNTIF($D$2:$D$3451,D1833))</f>
        <v>1</v>
      </c>
      <c r="I1833" s="13" t="n">
        <f aca="false">IFERROR(INDEX('NCO-2015 scores'!$C$2:$C$131,MATCH(E1833,'NCO-2015 scores'!$A$2:$A$131,0)),0)</f>
        <v>0.38</v>
      </c>
      <c r="J1833" s="13" t="n">
        <f aca="false">IF(ISNUMBER(MATCH(E1833,'NCO-2015 scores'!$A$2:$A$131,0)),IF(ISNUMBER(INDEX('NCO-2015 scores'!$C$2:$C$131,MATCH(E1833,'NCO-2015 scores'!$A$2:$A$131,0))),1,0),0)</f>
        <v>1</v>
      </c>
    </row>
    <row r="1834" customFormat="false" ht="15" hidden="false" customHeight="false" outlineLevel="0" collapsed="false">
      <c r="A1834" s="2" t="n">
        <v>1830</v>
      </c>
      <c r="B1834" s="2" t="s">
        <v>5507</v>
      </c>
      <c r="C1834" s="2" t="s">
        <v>5508</v>
      </c>
      <c r="D1834" s="2" t="s">
        <v>5509</v>
      </c>
      <c r="E1834" s="2" t="str">
        <f aca="false">LEFT(C1834,3)</f>
        <v>112</v>
      </c>
      <c r="F1834" s="2" t="str">
        <f aca="false">IF(D1834="","",LEFT(D1834,3))</f>
        <v>121</v>
      </c>
      <c r="G1834" s="2" t="str">
        <f aca="false">IF(F1834="","",IF(E1834=F1834,"Yes","No"))</f>
        <v>No</v>
      </c>
      <c r="H1834" s="2" t="n">
        <f aca="false">IF(D1834="",0,1/COUNTIF($D$2:$D$3451,D1834))</f>
        <v>1</v>
      </c>
      <c r="I1834" s="13" t="n">
        <f aca="false">IFERROR(INDEX('NCO-2015 scores'!$C$2:$C$131,MATCH(E1834,'NCO-2015 scores'!$A$2:$A$131,0)),0)</f>
        <v>0.38</v>
      </c>
      <c r="J1834" s="13" t="n">
        <f aca="false">IF(ISNUMBER(MATCH(E1834,'NCO-2015 scores'!$A$2:$A$131,0)),IF(ISNUMBER(INDEX('NCO-2015 scores'!$C$2:$C$131,MATCH(E1834,'NCO-2015 scores'!$A$2:$A$131,0))),1,0),0)</f>
        <v>1</v>
      </c>
    </row>
    <row r="1835" customFormat="false" ht="15" hidden="false" customHeight="false" outlineLevel="0" collapsed="false">
      <c r="A1835" s="2" t="n">
        <v>1831</v>
      </c>
      <c r="B1835" s="2" t="s">
        <v>5510</v>
      </c>
      <c r="C1835" s="2" t="s">
        <v>5511</v>
      </c>
      <c r="D1835" s="2" t="s">
        <v>5512</v>
      </c>
      <c r="E1835" s="2" t="str">
        <f aca="false">LEFT(C1835,3)</f>
        <v>112</v>
      </c>
      <c r="F1835" s="2" t="str">
        <f aca="false">IF(D1835="","",LEFT(D1835,3))</f>
        <v>121</v>
      </c>
      <c r="G1835" s="2" t="str">
        <f aca="false">IF(F1835="","",IF(E1835=F1835,"Yes","No"))</f>
        <v>No</v>
      </c>
      <c r="H1835" s="2" t="n">
        <f aca="false">IF(D1835="",0,1/COUNTIF($D$2:$D$3451,D1835))</f>
        <v>1</v>
      </c>
      <c r="I1835" s="13" t="n">
        <f aca="false">IFERROR(INDEX('NCO-2015 scores'!$C$2:$C$131,MATCH(E1835,'NCO-2015 scores'!$A$2:$A$131,0)),0)</f>
        <v>0.38</v>
      </c>
      <c r="J1835" s="13" t="n">
        <f aca="false">IF(ISNUMBER(MATCH(E1835,'NCO-2015 scores'!$A$2:$A$131,0)),IF(ISNUMBER(INDEX('NCO-2015 scores'!$C$2:$C$131,MATCH(E1835,'NCO-2015 scores'!$A$2:$A$131,0))),1,0),0)</f>
        <v>1</v>
      </c>
    </row>
    <row r="1836" customFormat="false" ht="15" hidden="false" customHeight="false" outlineLevel="0" collapsed="false">
      <c r="A1836" s="2" t="n">
        <v>1832</v>
      </c>
      <c r="B1836" s="2" t="s">
        <v>5513</v>
      </c>
      <c r="C1836" s="2" t="s">
        <v>5514</v>
      </c>
      <c r="D1836" s="2" t="s">
        <v>5515</v>
      </c>
      <c r="E1836" s="2" t="str">
        <f aca="false">LEFT(C1836,3)</f>
        <v>112</v>
      </c>
      <c r="F1836" s="2" t="str">
        <f aca="false">IF(D1836="","",LEFT(D1836,3))</f>
        <v>121</v>
      </c>
      <c r="G1836" s="2" t="str">
        <f aca="false">IF(F1836="","",IF(E1836=F1836,"Yes","No"))</f>
        <v>No</v>
      </c>
      <c r="H1836" s="2" t="n">
        <f aca="false">IF(D1836="",0,1/COUNTIF($D$2:$D$3451,D1836))</f>
        <v>1</v>
      </c>
      <c r="I1836" s="13" t="n">
        <f aca="false">IFERROR(INDEX('NCO-2015 scores'!$C$2:$C$131,MATCH(E1836,'NCO-2015 scores'!$A$2:$A$131,0)),0)</f>
        <v>0.38</v>
      </c>
      <c r="J1836" s="13" t="n">
        <f aca="false">IF(ISNUMBER(MATCH(E1836,'NCO-2015 scores'!$A$2:$A$131,0)),IF(ISNUMBER(INDEX('NCO-2015 scores'!$C$2:$C$131,MATCH(E1836,'NCO-2015 scores'!$A$2:$A$131,0))),1,0),0)</f>
        <v>1</v>
      </c>
    </row>
    <row r="1837" customFormat="false" ht="15" hidden="false" customHeight="false" outlineLevel="0" collapsed="false">
      <c r="A1837" s="2" t="n">
        <v>1833</v>
      </c>
      <c r="B1837" s="2" t="s">
        <v>5516</v>
      </c>
      <c r="C1837" s="2" t="s">
        <v>5517</v>
      </c>
      <c r="D1837" s="2" t="s">
        <v>5518</v>
      </c>
      <c r="E1837" s="2" t="str">
        <f aca="false">LEFT(C1837,3)</f>
        <v>112</v>
      </c>
      <c r="F1837" s="2" t="str">
        <f aca="false">IF(D1837="","",LEFT(D1837,3))</f>
        <v>121</v>
      </c>
      <c r="G1837" s="2" t="str">
        <f aca="false">IF(F1837="","",IF(E1837=F1837,"Yes","No"))</f>
        <v>No</v>
      </c>
      <c r="H1837" s="2" t="n">
        <f aca="false">IF(D1837="",0,1/COUNTIF($D$2:$D$3451,D1837))</f>
        <v>1</v>
      </c>
      <c r="I1837" s="13" t="n">
        <f aca="false">IFERROR(INDEX('NCO-2015 scores'!$C$2:$C$131,MATCH(E1837,'NCO-2015 scores'!$A$2:$A$131,0)),0)</f>
        <v>0.38</v>
      </c>
      <c r="J1837" s="13" t="n">
        <f aca="false">IF(ISNUMBER(MATCH(E1837,'NCO-2015 scores'!$A$2:$A$131,0)),IF(ISNUMBER(INDEX('NCO-2015 scores'!$C$2:$C$131,MATCH(E1837,'NCO-2015 scores'!$A$2:$A$131,0))),1,0),0)</f>
        <v>1</v>
      </c>
    </row>
    <row r="1838" customFormat="false" ht="15" hidden="false" customHeight="false" outlineLevel="0" collapsed="false">
      <c r="A1838" s="2" t="n">
        <v>1834</v>
      </c>
      <c r="B1838" s="2" t="s">
        <v>5519</v>
      </c>
      <c r="C1838" s="2" t="s">
        <v>5520</v>
      </c>
      <c r="D1838" s="2" t="s">
        <v>5521</v>
      </c>
      <c r="E1838" s="2" t="str">
        <f aca="false">LEFT(C1838,3)</f>
        <v>112</v>
      </c>
      <c r="F1838" s="2" t="str">
        <f aca="false">IF(D1838="","",LEFT(D1838,3))</f>
        <v>121</v>
      </c>
      <c r="G1838" s="2" t="str">
        <f aca="false">IF(F1838="","",IF(E1838=F1838,"Yes","No"))</f>
        <v>No</v>
      </c>
      <c r="H1838" s="2" t="n">
        <f aca="false">IF(D1838="",0,1/COUNTIF($D$2:$D$3451,D1838))</f>
        <v>1</v>
      </c>
      <c r="I1838" s="13" t="n">
        <f aca="false">IFERROR(INDEX('NCO-2015 scores'!$C$2:$C$131,MATCH(E1838,'NCO-2015 scores'!$A$2:$A$131,0)),0)</f>
        <v>0.38</v>
      </c>
      <c r="J1838" s="13" t="n">
        <f aca="false">IF(ISNUMBER(MATCH(E1838,'NCO-2015 scores'!$A$2:$A$131,0)),IF(ISNUMBER(INDEX('NCO-2015 scores'!$C$2:$C$131,MATCH(E1838,'NCO-2015 scores'!$A$2:$A$131,0))),1,0),0)</f>
        <v>1</v>
      </c>
    </row>
    <row r="1839" customFormat="false" ht="15" hidden="false" customHeight="false" outlineLevel="0" collapsed="false">
      <c r="A1839" s="2" t="n">
        <v>1835</v>
      </c>
      <c r="B1839" s="2" t="s">
        <v>5522</v>
      </c>
      <c r="C1839" s="2" t="s">
        <v>5523</v>
      </c>
      <c r="D1839" s="2" t="s">
        <v>5524</v>
      </c>
      <c r="E1839" s="2" t="str">
        <f aca="false">LEFT(C1839,3)</f>
        <v>932</v>
      </c>
      <c r="F1839" s="2" t="str">
        <f aca="false">IF(D1839="","",LEFT(D1839,3))</f>
        <v>932</v>
      </c>
      <c r="G1839" s="2" t="str">
        <f aca="false">IF(F1839="","",IF(E1839=F1839,"Yes","No"))</f>
        <v>Yes</v>
      </c>
      <c r="H1839" s="2" t="n">
        <f aca="false">IF(D1839="",0,1/COUNTIF($D$2:$D$3451,D1839))</f>
        <v>1</v>
      </c>
      <c r="I1839" s="13" t="n">
        <f aca="false">IFERROR(INDEX('NCO-2015 scores'!$C$2:$C$131,MATCH(E1839,'NCO-2015 scores'!$A$2:$A$131,0)),0)</f>
        <v>0.16</v>
      </c>
      <c r="J1839" s="13" t="n">
        <f aca="false">IF(ISNUMBER(MATCH(E1839,'NCO-2015 scores'!$A$2:$A$131,0)),IF(ISNUMBER(INDEX('NCO-2015 scores'!$C$2:$C$131,MATCH(E1839,'NCO-2015 scores'!$A$2:$A$131,0))),1,0),0)</f>
        <v>1</v>
      </c>
    </row>
    <row r="1840" customFormat="false" ht="15" hidden="false" customHeight="false" outlineLevel="0" collapsed="false">
      <c r="A1840" s="2" t="n">
        <v>1836</v>
      </c>
      <c r="B1840" s="2" t="s">
        <v>5525</v>
      </c>
      <c r="C1840" s="2" t="s">
        <v>5526</v>
      </c>
      <c r="D1840" s="2" t="s">
        <v>5527</v>
      </c>
      <c r="E1840" s="2" t="str">
        <f aca="false">LEFT(C1840,3)</f>
        <v>932</v>
      </c>
      <c r="F1840" s="2" t="str">
        <f aca="false">IF(D1840="","",LEFT(D1840,3))</f>
        <v>932</v>
      </c>
      <c r="G1840" s="2" t="str">
        <f aca="false">IF(F1840="","",IF(E1840=F1840,"Yes","No"))</f>
        <v>Yes</v>
      </c>
      <c r="H1840" s="2" t="n">
        <f aca="false">IF(D1840="",0,1/COUNTIF($D$2:$D$3451,D1840))</f>
        <v>1</v>
      </c>
      <c r="I1840" s="13" t="n">
        <f aca="false">IFERROR(INDEX('NCO-2015 scores'!$C$2:$C$131,MATCH(E1840,'NCO-2015 scores'!$A$2:$A$131,0)),0)</f>
        <v>0.16</v>
      </c>
      <c r="J1840" s="13" t="n">
        <f aca="false">IF(ISNUMBER(MATCH(E1840,'NCO-2015 scores'!$A$2:$A$131,0)),IF(ISNUMBER(INDEX('NCO-2015 scores'!$C$2:$C$131,MATCH(E1840,'NCO-2015 scores'!$A$2:$A$131,0))),1,0),0)</f>
        <v>1</v>
      </c>
    </row>
    <row r="1841" customFormat="false" ht="15" hidden="false" customHeight="false" outlineLevel="0" collapsed="false">
      <c r="A1841" s="2" t="n">
        <v>1837</v>
      </c>
      <c r="B1841" s="2" t="s">
        <v>5528</v>
      </c>
      <c r="C1841" s="2" t="s">
        <v>5529</v>
      </c>
      <c r="D1841" s="2" t="s">
        <v>5530</v>
      </c>
      <c r="E1841" s="2" t="str">
        <f aca="false">LEFT(C1841,3)</f>
        <v>932</v>
      </c>
      <c r="F1841" s="2" t="str">
        <f aca="false">IF(D1841="","",LEFT(D1841,3))</f>
        <v>932</v>
      </c>
      <c r="G1841" s="2" t="str">
        <f aca="false">IF(F1841="","",IF(E1841=F1841,"Yes","No"))</f>
        <v>Yes</v>
      </c>
      <c r="H1841" s="2" t="n">
        <f aca="false">IF(D1841="",0,1/COUNTIF($D$2:$D$3451,D1841))</f>
        <v>1</v>
      </c>
      <c r="I1841" s="13" t="n">
        <f aca="false">IFERROR(INDEX('NCO-2015 scores'!$C$2:$C$131,MATCH(E1841,'NCO-2015 scores'!$A$2:$A$131,0)),0)</f>
        <v>0.16</v>
      </c>
      <c r="J1841" s="13" t="n">
        <f aca="false">IF(ISNUMBER(MATCH(E1841,'NCO-2015 scores'!$A$2:$A$131,0)),IF(ISNUMBER(INDEX('NCO-2015 scores'!$C$2:$C$131,MATCH(E1841,'NCO-2015 scores'!$A$2:$A$131,0))),1,0),0)</f>
        <v>1</v>
      </c>
    </row>
    <row r="1842" customFormat="false" ht="15" hidden="false" customHeight="false" outlineLevel="0" collapsed="false">
      <c r="A1842" s="2" t="n">
        <v>1838</v>
      </c>
      <c r="B1842" s="2" t="s">
        <v>5531</v>
      </c>
      <c r="C1842" s="2" t="s">
        <v>5532</v>
      </c>
      <c r="D1842" s="2"/>
      <c r="E1842" s="2" t="str">
        <f aca="false">LEFT(C1842,3)</f>
        <v>932</v>
      </c>
      <c r="F1842" s="2" t="str">
        <f aca="false">IF(D1842="","",LEFT(D1842,3))</f>
        <v/>
      </c>
      <c r="G1842" s="2" t="str">
        <f aca="false">IF(F1842="","",IF(E1842=F1842,"Yes","No"))</f>
        <v/>
      </c>
      <c r="H1842" s="2" t="n">
        <f aca="false">IF(D1842="",0,1/COUNTIF($D$2:$D$3451,D1842))</f>
        <v>0</v>
      </c>
      <c r="I1842" s="13" t="n">
        <f aca="false">IFERROR(INDEX('NCO-2015 scores'!$C$2:$C$131,MATCH(E1842,'NCO-2015 scores'!$A$2:$A$131,0)),0)</f>
        <v>0.16</v>
      </c>
      <c r="J1842" s="13" t="n">
        <f aca="false">IF(ISNUMBER(MATCH(E1842,'NCO-2015 scores'!$A$2:$A$131,0)),IF(ISNUMBER(INDEX('NCO-2015 scores'!$C$2:$C$131,MATCH(E1842,'NCO-2015 scores'!$A$2:$A$131,0))),1,0),0)</f>
        <v>1</v>
      </c>
    </row>
    <row r="1843" customFormat="false" ht="15" hidden="false" customHeight="false" outlineLevel="0" collapsed="false">
      <c r="A1843" s="2" t="n">
        <v>1839</v>
      </c>
      <c r="B1843" s="2" t="s">
        <v>5533</v>
      </c>
      <c r="C1843" s="2" t="s">
        <v>5534</v>
      </c>
      <c r="D1843" s="2"/>
      <c r="E1843" s="2" t="str">
        <f aca="false">LEFT(C1843,3)</f>
        <v>932</v>
      </c>
      <c r="F1843" s="2" t="str">
        <f aca="false">IF(D1843="","",LEFT(D1843,3))</f>
        <v/>
      </c>
      <c r="G1843" s="2" t="str">
        <f aca="false">IF(F1843="","",IF(E1843=F1843,"Yes","No"))</f>
        <v/>
      </c>
      <c r="H1843" s="2" t="n">
        <f aca="false">IF(D1843="",0,1/COUNTIF($D$2:$D$3451,D1843))</f>
        <v>0</v>
      </c>
      <c r="I1843" s="13" t="n">
        <f aca="false">IFERROR(INDEX('NCO-2015 scores'!$C$2:$C$131,MATCH(E1843,'NCO-2015 scores'!$A$2:$A$131,0)),0)</f>
        <v>0.16</v>
      </c>
      <c r="J1843" s="13" t="n">
        <f aca="false">IF(ISNUMBER(MATCH(E1843,'NCO-2015 scores'!$A$2:$A$131,0)),IF(ISNUMBER(INDEX('NCO-2015 scores'!$C$2:$C$131,MATCH(E1843,'NCO-2015 scores'!$A$2:$A$131,0))),1,0),0)</f>
        <v>1</v>
      </c>
    </row>
    <row r="1844" customFormat="false" ht="15" hidden="false" customHeight="false" outlineLevel="0" collapsed="false">
      <c r="A1844" s="2" t="n">
        <v>1840</v>
      </c>
      <c r="B1844" s="2" t="s">
        <v>5535</v>
      </c>
      <c r="C1844" s="2" t="s">
        <v>5536</v>
      </c>
      <c r="D1844" s="2" t="s">
        <v>5537</v>
      </c>
      <c r="E1844" s="2" t="str">
        <f aca="false">LEFT(C1844,3)</f>
        <v>932</v>
      </c>
      <c r="F1844" s="2" t="str">
        <f aca="false">IF(D1844="","",LEFT(D1844,3))</f>
        <v>932</v>
      </c>
      <c r="G1844" s="2" t="str">
        <f aca="false">IF(F1844="","",IF(E1844=F1844,"Yes","No"))</f>
        <v>Yes</v>
      </c>
      <c r="H1844" s="2" t="n">
        <f aca="false">IF(D1844="",0,1/COUNTIF($D$2:$D$3451,D1844))</f>
        <v>1</v>
      </c>
      <c r="I1844" s="13" t="n">
        <f aca="false">IFERROR(INDEX('NCO-2015 scores'!$C$2:$C$131,MATCH(E1844,'NCO-2015 scores'!$A$2:$A$131,0)),0)</f>
        <v>0.16</v>
      </c>
      <c r="J1844" s="13" t="n">
        <f aca="false">IF(ISNUMBER(MATCH(E1844,'NCO-2015 scores'!$A$2:$A$131,0)),IF(ISNUMBER(INDEX('NCO-2015 scores'!$C$2:$C$131,MATCH(E1844,'NCO-2015 scores'!$A$2:$A$131,0))),1,0),0)</f>
        <v>1</v>
      </c>
    </row>
    <row r="1845" customFormat="false" ht="15" hidden="false" customHeight="false" outlineLevel="0" collapsed="false">
      <c r="A1845" s="2" t="n">
        <v>1841</v>
      </c>
      <c r="B1845" s="2" t="s">
        <v>5538</v>
      </c>
      <c r="C1845" s="2" t="s">
        <v>5539</v>
      </c>
      <c r="D1845" s="2" t="s">
        <v>5540</v>
      </c>
      <c r="E1845" s="2" t="str">
        <f aca="false">LEFT(C1845,3)</f>
        <v>932</v>
      </c>
      <c r="F1845" s="2" t="str">
        <f aca="false">IF(D1845="","",LEFT(D1845,3))</f>
        <v>932</v>
      </c>
      <c r="G1845" s="2" t="str">
        <f aca="false">IF(F1845="","",IF(E1845=F1845,"Yes","No"))</f>
        <v>Yes</v>
      </c>
      <c r="H1845" s="2" t="n">
        <f aca="false">IF(D1845="",0,1/COUNTIF($D$2:$D$3451,D1845))</f>
        <v>1</v>
      </c>
      <c r="I1845" s="13" t="n">
        <f aca="false">IFERROR(INDEX('NCO-2015 scores'!$C$2:$C$131,MATCH(E1845,'NCO-2015 scores'!$A$2:$A$131,0)),0)</f>
        <v>0.16</v>
      </c>
      <c r="J1845" s="13" t="n">
        <f aca="false">IF(ISNUMBER(MATCH(E1845,'NCO-2015 scores'!$A$2:$A$131,0)),IF(ISNUMBER(INDEX('NCO-2015 scores'!$C$2:$C$131,MATCH(E1845,'NCO-2015 scores'!$A$2:$A$131,0))),1,0),0)</f>
        <v>1</v>
      </c>
    </row>
    <row r="1846" customFormat="false" ht="15" hidden="false" customHeight="false" outlineLevel="0" collapsed="false">
      <c r="A1846" s="2" t="n">
        <v>1842</v>
      </c>
      <c r="B1846" s="2" t="s">
        <v>5541</v>
      </c>
      <c r="C1846" s="2" t="s">
        <v>5542</v>
      </c>
      <c r="D1846" s="2" t="s">
        <v>5543</v>
      </c>
      <c r="E1846" s="2" t="str">
        <f aca="false">LEFT(C1846,3)</f>
        <v>932</v>
      </c>
      <c r="F1846" s="2" t="str">
        <f aca="false">IF(D1846="","",LEFT(D1846,3))</f>
        <v>932</v>
      </c>
      <c r="G1846" s="2" t="str">
        <f aca="false">IF(F1846="","",IF(E1846=F1846,"Yes","No"))</f>
        <v>Yes</v>
      </c>
      <c r="H1846" s="2" t="n">
        <f aca="false">IF(D1846="",0,1/COUNTIF($D$2:$D$3451,D1846))</f>
        <v>1</v>
      </c>
      <c r="I1846" s="13" t="n">
        <f aca="false">IFERROR(INDEX('NCO-2015 scores'!$C$2:$C$131,MATCH(E1846,'NCO-2015 scores'!$A$2:$A$131,0)),0)</f>
        <v>0.16</v>
      </c>
      <c r="J1846" s="13" t="n">
        <f aca="false">IF(ISNUMBER(MATCH(E1846,'NCO-2015 scores'!$A$2:$A$131,0)),IF(ISNUMBER(INDEX('NCO-2015 scores'!$C$2:$C$131,MATCH(E1846,'NCO-2015 scores'!$A$2:$A$131,0))),1,0),0)</f>
        <v>1</v>
      </c>
    </row>
    <row r="1847" customFormat="false" ht="15" hidden="false" customHeight="false" outlineLevel="0" collapsed="false">
      <c r="A1847" s="2" t="n">
        <v>1843</v>
      </c>
      <c r="B1847" s="2" t="s">
        <v>5544</v>
      </c>
      <c r="C1847" s="2" t="s">
        <v>5545</v>
      </c>
      <c r="D1847" s="2" t="s">
        <v>5546</v>
      </c>
      <c r="E1847" s="2" t="str">
        <f aca="false">LEFT(C1847,3)</f>
        <v>132</v>
      </c>
      <c r="F1847" s="2" t="str">
        <f aca="false">IF(D1847="","",LEFT(D1847,3))</f>
        <v>122</v>
      </c>
      <c r="G1847" s="2" t="str">
        <f aca="false">IF(F1847="","",IF(E1847=F1847,"Yes","No"))</f>
        <v>No</v>
      </c>
      <c r="H1847" s="2" t="n">
        <f aca="false">IF(D1847="",0,1/COUNTIF($D$2:$D$3451,D1847))</f>
        <v>1</v>
      </c>
      <c r="I1847" s="13" t="n">
        <f aca="false">IFERROR(INDEX('NCO-2015 scores'!$C$2:$C$131,MATCH(E1847,'NCO-2015 scores'!$A$2:$A$131,0)),0)</f>
        <v>0.3625</v>
      </c>
      <c r="J1847" s="13" t="n">
        <f aca="false">IF(ISNUMBER(MATCH(E1847,'NCO-2015 scores'!$A$2:$A$131,0)),IF(ISNUMBER(INDEX('NCO-2015 scores'!$C$2:$C$131,MATCH(E1847,'NCO-2015 scores'!$A$2:$A$131,0))),1,0),0)</f>
        <v>1</v>
      </c>
    </row>
    <row r="1848" customFormat="false" ht="15" hidden="false" customHeight="false" outlineLevel="0" collapsed="false">
      <c r="A1848" s="2" t="n">
        <v>1844</v>
      </c>
      <c r="B1848" s="2" t="s">
        <v>5547</v>
      </c>
      <c r="C1848" s="2" t="s">
        <v>5548</v>
      </c>
      <c r="D1848" s="2" t="s">
        <v>5549</v>
      </c>
      <c r="E1848" s="2" t="str">
        <f aca="false">LEFT(C1848,3)</f>
        <v>132</v>
      </c>
      <c r="F1848" s="2" t="str">
        <f aca="false">IF(D1848="","",LEFT(D1848,3))</f>
        <v>122</v>
      </c>
      <c r="G1848" s="2" t="str">
        <f aca="false">IF(F1848="","",IF(E1848=F1848,"Yes","No"))</f>
        <v>No</v>
      </c>
      <c r="H1848" s="2" t="n">
        <f aca="false">IF(D1848="",0,1/COUNTIF($D$2:$D$3451,D1848))</f>
        <v>1</v>
      </c>
      <c r="I1848" s="13" t="n">
        <f aca="false">IFERROR(INDEX('NCO-2015 scores'!$C$2:$C$131,MATCH(E1848,'NCO-2015 scores'!$A$2:$A$131,0)),0)</f>
        <v>0.3625</v>
      </c>
      <c r="J1848" s="13" t="n">
        <f aca="false">IF(ISNUMBER(MATCH(E1848,'NCO-2015 scores'!$A$2:$A$131,0)),IF(ISNUMBER(INDEX('NCO-2015 scores'!$C$2:$C$131,MATCH(E1848,'NCO-2015 scores'!$A$2:$A$131,0))),1,0),0)</f>
        <v>1</v>
      </c>
    </row>
    <row r="1849" customFormat="false" ht="15" hidden="false" customHeight="false" outlineLevel="0" collapsed="false">
      <c r="A1849" s="2" t="n">
        <v>1845</v>
      </c>
      <c r="B1849" s="2" t="s">
        <v>5550</v>
      </c>
      <c r="C1849" s="2" t="s">
        <v>5551</v>
      </c>
      <c r="D1849" s="2" t="s">
        <v>5552</v>
      </c>
      <c r="E1849" s="2" t="str">
        <f aca="false">LEFT(C1849,3)</f>
        <v>132</v>
      </c>
      <c r="F1849" s="2" t="str">
        <f aca="false">IF(D1849="","",LEFT(D1849,3))</f>
        <v>130</v>
      </c>
      <c r="G1849" s="2" t="str">
        <f aca="false">IF(F1849="","",IF(E1849=F1849,"Yes","No"))</f>
        <v>No</v>
      </c>
      <c r="H1849" s="2" t="n">
        <f aca="false">IF(D1849="",0,1/COUNTIF($D$2:$D$3451,D1849))</f>
        <v>1</v>
      </c>
      <c r="I1849" s="13" t="n">
        <f aca="false">IFERROR(INDEX('NCO-2015 scores'!$C$2:$C$131,MATCH(E1849,'NCO-2015 scores'!$A$2:$A$131,0)),0)</f>
        <v>0.3625</v>
      </c>
      <c r="J1849" s="13" t="n">
        <f aca="false">IF(ISNUMBER(MATCH(E1849,'NCO-2015 scores'!$A$2:$A$131,0)),IF(ISNUMBER(INDEX('NCO-2015 scores'!$C$2:$C$131,MATCH(E1849,'NCO-2015 scores'!$A$2:$A$131,0))),1,0),0)</f>
        <v>1</v>
      </c>
    </row>
    <row r="1850" customFormat="false" ht="15" hidden="false" customHeight="false" outlineLevel="0" collapsed="false">
      <c r="A1850" s="2" t="n">
        <v>1846</v>
      </c>
      <c r="B1850" s="2" t="s">
        <v>5553</v>
      </c>
      <c r="C1850" s="2" t="s">
        <v>5554</v>
      </c>
      <c r="D1850" s="2" t="s">
        <v>5555</v>
      </c>
      <c r="E1850" s="2" t="str">
        <f aca="false">LEFT(C1850,3)</f>
        <v>132</v>
      </c>
      <c r="F1850" s="2" t="str">
        <f aca="false">IF(D1850="","",LEFT(D1850,3))</f>
        <v>130</v>
      </c>
      <c r="G1850" s="2" t="str">
        <f aca="false">IF(F1850="","",IF(E1850=F1850,"Yes","No"))</f>
        <v>No</v>
      </c>
      <c r="H1850" s="2" t="n">
        <f aca="false">IF(D1850="",0,1/COUNTIF($D$2:$D$3451,D1850))</f>
        <v>1</v>
      </c>
      <c r="I1850" s="13" t="n">
        <f aca="false">IFERROR(INDEX('NCO-2015 scores'!$C$2:$C$131,MATCH(E1850,'NCO-2015 scores'!$A$2:$A$131,0)),0)</f>
        <v>0.3625</v>
      </c>
      <c r="J1850" s="13" t="n">
        <f aca="false">IF(ISNUMBER(MATCH(E1850,'NCO-2015 scores'!$A$2:$A$131,0)),IF(ISNUMBER(INDEX('NCO-2015 scores'!$C$2:$C$131,MATCH(E1850,'NCO-2015 scores'!$A$2:$A$131,0))),1,0),0)</f>
        <v>1</v>
      </c>
    </row>
    <row r="1851" customFormat="false" ht="15" hidden="false" customHeight="false" outlineLevel="0" collapsed="false">
      <c r="A1851" s="2" t="n">
        <v>1847</v>
      </c>
      <c r="B1851" s="2" t="s">
        <v>5556</v>
      </c>
      <c r="C1851" s="2" t="s">
        <v>5557</v>
      </c>
      <c r="D1851" s="2" t="s">
        <v>5558</v>
      </c>
      <c r="E1851" s="2" t="str">
        <f aca="false">LEFT(C1851,3)</f>
        <v>132</v>
      </c>
      <c r="F1851" s="2" t="str">
        <f aca="false">IF(D1851="","",LEFT(D1851,3))</f>
        <v>130</v>
      </c>
      <c r="G1851" s="2" t="str">
        <f aca="false">IF(F1851="","",IF(E1851=F1851,"Yes","No"))</f>
        <v>No</v>
      </c>
      <c r="H1851" s="2" t="n">
        <f aca="false">IF(D1851="",0,1/COUNTIF($D$2:$D$3451,D1851))</f>
        <v>1</v>
      </c>
      <c r="I1851" s="13" t="n">
        <f aca="false">IFERROR(INDEX('NCO-2015 scores'!$C$2:$C$131,MATCH(E1851,'NCO-2015 scores'!$A$2:$A$131,0)),0)</f>
        <v>0.3625</v>
      </c>
      <c r="J1851" s="13" t="n">
        <f aca="false">IF(ISNUMBER(MATCH(E1851,'NCO-2015 scores'!$A$2:$A$131,0)),IF(ISNUMBER(INDEX('NCO-2015 scores'!$C$2:$C$131,MATCH(E1851,'NCO-2015 scores'!$A$2:$A$131,0))),1,0),0)</f>
        <v>1</v>
      </c>
    </row>
    <row r="1852" customFormat="false" ht="15" hidden="false" customHeight="false" outlineLevel="0" collapsed="false">
      <c r="A1852" s="2" t="n">
        <v>1848</v>
      </c>
      <c r="B1852" s="2" t="s">
        <v>5559</v>
      </c>
      <c r="C1852" s="2" t="s">
        <v>5560</v>
      </c>
      <c r="D1852" s="2" t="s">
        <v>5561</v>
      </c>
      <c r="E1852" s="2" t="str">
        <f aca="false">LEFT(C1852,3)</f>
        <v>132</v>
      </c>
      <c r="F1852" s="2" t="str">
        <f aca="false">IF(D1852="","",LEFT(D1852,3))</f>
        <v>130</v>
      </c>
      <c r="G1852" s="2" t="str">
        <f aca="false">IF(F1852="","",IF(E1852=F1852,"Yes","No"))</f>
        <v>No</v>
      </c>
      <c r="H1852" s="2" t="n">
        <f aca="false">IF(D1852="",0,1/COUNTIF($D$2:$D$3451,D1852))</f>
        <v>1</v>
      </c>
      <c r="I1852" s="13" t="n">
        <f aca="false">IFERROR(INDEX('NCO-2015 scores'!$C$2:$C$131,MATCH(E1852,'NCO-2015 scores'!$A$2:$A$131,0)),0)</f>
        <v>0.3625</v>
      </c>
      <c r="J1852" s="13" t="n">
        <f aca="false">IF(ISNUMBER(MATCH(E1852,'NCO-2015 scores'!$A$2:$A$131,0)),IF(ISNUMBER(INDEX('NCO-2015 scores'!$C$2:$C$131,MATCH(E1852,'NCO-2015 scores'!$A$2:$A$131,0))),1,0),0)</f>
        <v>1</v>
      </c>
    </row>
    <row r="1853" customFormat="false" ht="15" hidden="false" customHeight="false" outlineLevel="0" collapsed="false">
      <c r="A1853" s="2" t="n">
        <v>1849</v>
      </c>
      <c r="B1853" s="2" t="s">
        <v>5562</v>
      </c>
      <c r="C1853" s="2" t="s">
        <v>5563</v>
      </c>
      <c r="D1853" s="2" t="s">
        <v>5564</v>
      </c>
      <c r="E1853" s="2" t="str">
        <f aca="false">LEFT(C1853,3)</f>
        <v>132</v>
      </c>
      <c r="F1853" s="2" t="str">
        <f aca="false">IF(D1853="","",LEFT(D1853,3))</f>
        <v>122</v>
      </c>
      <c r="G1853" s="2" t="str">
        <f aca="false">IF(F1853="","",IF(E1853=F1853,"Yes","No"))</f>
        <v>No</v>
      </c>
      <c r="H1853" s="2" t="n">
        <f aca="false">IF(D1853="",0,1/COUNTIF($D$2:$D$3451,D1853))</f>
        <v>1</v>
      </c>
      <c r="I1853" s="13" t="n">
        <f aca="false">IFERROR(INDEX('NCO-2015 scores'!$C$2:$C$131,MATCH(E1853,'NCO-2015 scores'!$A$2:$A$131,0)),0)</f>
        <v>0.3625</v>
      </c>
      <c r="J1853" s="13" t="n">
        <f aca="false">IF(ISNUMBER(MATCH(E1853,'NCO-2015 scores'!$A$2:$A$131,0)),IF(ISNUMBER(INDEX('NCO-2015 scores'!$C$2:$C$131,MATCH(E1853,'NCO-2015 scores'!$A$2:$A$131,0))),1,0),0)</f>
        <v>1</v>
      </c>
    </row>
    <row r="1854" customFormat="false" ht="15" hidden="false" customHeight="false" outlineLevel="0" collapsed="false">
      <c r="A1854" s="2" t="n">
        <v>1850</v>
      </c>
      <c r="B1854" s="2" t="s">
        <v>5565</v>
      </c>
      <c r="C1854" s="2" t="s">
        <v>5566</v>
      </c>
      <c r="D1854" s="2" t="s">
        <v>5567</v>
      </c>
      <c r="E1854" s="2" t="str">
        <f aca="false">LEFT(C1854,3)</f>
        <v>132</v>
      </c>
      <c r="F1854" s="2" t="str">
        <f aca="false">IF(D1854="","",LEFT(D1854,3))</f>
        <v>130</v>
      </c>
      <c r="G1854" s="2" t="str">
        <f aca="false">IF(F1854="","",IF(E1854=F1854,"Yes","No"))</f>
        <v>No</v>
      </c>
      <c r="H1854" s="2" t="n">
        <f aca="false">IF(D1854="",0,1/COUNTIF($D$2:$D$3451,D1854))</f>
        <v>1</v>
      </c>
      <c r="I1854" s="13" t="n">
        <f aca="false">IFERROR(INDEX('NCO-2015 scores'!$C$2:$C$131,MATCH(E1854,'NCO-2015 scores'!$A$2:$A$131,0)),0)</f>
        <v>0.3625</v>
      </c>
      <c r="J1854" s="13" t="n">
        <f aca="false">IF(ISNUMBER(MATCH(E1854,'NCO-2015 scores'!$A$2:$A$131,0)),IF(ISNUMBER(INDEX('NCO-2015 scores'!$C$2:$C$131,MATCH(E1854,'NCO-2015 scores'!$A$2:$A$131,0))),1,0),0)</f>
        <v>1</v>
      </c>
    </row>
    <row r="1855" customFormat="false" ht="15" hidden="false" customHeight="false" outlineLevel="0" collapsed="false">
      <c r="A1855" s="2" t="n">
        <v>1851</v>
      </c>
      <c r="B1855" s="2" t="s">
        <v>5568</v>
      </c>
      <c r="C1855" s="2" t="s">
        <v>5569</v>
      </c>
      <c r="D1855" s="2" t="s">
        <v>5570</v>
      </c>
      <c r="E1855" s="2" t="str">
        <f aca="false">LEFT(C1855,3)</f>
        <v>132</v>
      </c>
      <c r="F1855" s="2" t="str">
        <f aca="false">IF(D1855="","",LEFT(D1855,3))</f>
        <v>122</v>
      </c>
      <c r="G1855" s="2" t="str">
        <f aca="false">IF(F1855="","",IF(E1855=F1855,"Yes","No"))</f>
        <v>No</v>
      </c>
      <c r="H1855" s="2" t="n">
        <f aca="false">IF(D1855="",0,1/COUNTIF($D$2:$D$3451,D1855))</f>
        <v>1</v>
      </c>
      <c r="I1855" s="13" t="n">
        <f aca="false">IFERROR(INDEX('NCO-2015 scores'!$C$2:$C$131,MATCH(E1855,'NCO-2015 scores'!$A$2:$A$131,0)),0)</f>
        <v>0.3625</v>
      </c>
      <c r="J1855" s="13" t="n">
        <f aca="false">IF(ISNUMBER(MATCH(E1855,'NCO-2015 scores'!$A$2:$A$131,0)),IF(ISNUMBER(INDEX('NCO-2015 scores'!$C$2:$C$131,MATCH(E1855,'NCO-2015 scores'!$A$2:$A$131,0))),1,0),0)</f>
        <v>1</v>
      </c>
    </row>
    <row r="1856" customFormat="false" ht="15" hidden="false" customHeight="false" outlineLevel="0" collapsed="false">
      <c r="A1856" s="2" t="n">
        <v>1852</v>
      </c>
      <c r="B1856" s="2" t="s">
        <v>5571</v>
      </c>
      <c r="C1856" s="2" t="s">
        <v>5572</v>
      </c>
      <c r="D1856" s="2" t="s">
        <v>5573</v>
      </c>
      <c r="E1856" s="2" t="str">
        <f aca="false">LEFT(C1856,3)</f>
        <v>132</v>
      </c>
      <c r="F1856" s="2" t="str">
        <f aca="false">IF(D1856="","",LEFT(D1856,3))</f>
        <v>122</v>
      </c>
      <c r="G1856" s="2" t="str">
        <f aca="false">IF(F1856="","",IF(E1856=F1856,"Yes","No"))</f>
        <v>No</v>
      </c>
      <c r="H1856" s="2" t="n">
        <f aca="false">IF(D1856="",0,1/COUNTIF($D$2:$D$3451,D1856))</f>
        <v>1</v>
      </c>
      <c r="I1856" s="13" t="n">
        <f aca="false">IFERROR(INDEX('NCO-2015 scores'!$C$2:$C$131,MATCH(E1856,'NCO-2015 scores'!$A$2:$A$131,0)),0)</f>
        <v>0.3625</v>
      </c>
      <c r="J1856" s="13" t="n">
        <f aca="false">IF(ISNUMBER(MATCH(E1856,'NCO-2015 scores'!$A$2:$A$131,0)),IF(ISNUMBER(INDEX('NCO-2015 scores'!$C$2:$C$131,MATCH(E1856,'NCO-2015 scores'!$A$2:$A$131,0))),1,0),0)</f>
        <v>1</v>
      </c>
    </row>
    <row r="1857" customFormat="false" ht="15" hidden="false" customHeight="false" outlineLevel="0" collapsed="false">
      <c r="A1857" s="2" t="n">
        <v>1853</v>
      </c>
      <c r="B1857" s="2" t="s">
        <v>5574</v>
      </c>
      <c r="C1857" s="2" t="s">
        <v>5575</v>
      </c>
      <c r="D1857" s="2" t="s">
        <v>5576</v>
      </c>
      <c r="E1857" s="2" t="str">
        <f aca="false">LEFT(C1857,3)</f>
        <v>132</v>
      </c>
      <c r="F1857" s="2" t="str">
        <f aca="false">IF(D1857="","",LEFT(D1857,3))</f>
        <v>122</v>
      </c>
      <c r="G1857" s="2" t="str">
        <f aca="false">IF(F1857="","",IF(E1857=F1857,"Yes","No"))</f>
        <v>No</v>
      </c>
      <c r="H1857" s="2" t="n">
        <f aca="false">IF(D1857="",0,1/COUNTIF($D$2:$D$3451,D1857))</f>
        <v>1</v>
      </c>
      <c r="I1857" s="13" t="n">
        <f aca="false">IFERROR(INDEX('NCO-2015 scores'!$C$2:$C$131,MATCH(E1857,'NCO-2015 scores'!$A$2:$A$131,0)),0)</f>
        <v>0.3625</v>
      </c>
      <c r="J1857" s="13" t="n">
        <f aca="false">IF(ISNUMBER(MATCH(E1857,'NCO-2015 scores'!$A$2:$A$131,0)),IF(ISNUMBER(INDEX('NCO-2015 scores'!$C$2:$C$131,MATCH(E1857,'NCO-2015 scores'!$A$2:$A$131,0))),1,0),0)</f>
        <v>1</v>
      </c>
    </row>
    <row r="1858" customFormat="false" ht="15" hidden="false" customHeight="false" outlineLevel="0" collapsed="false">
      <c r="A1858" s="2" t="n">
        <v>1854</v>
      </c>
      <c r="B1858" s="2" t="s">
        <v>5577</v>
      </c>
      <c r="C1858" s="2" t="s">
        <v>5578</v>
      </c>
      <c r="D1858" s="2" t="s">
        <v>5579</v>
      </c>
      <c r="E1858" s="2" t="str">
        <f aca="false">LEFT(C1858,3)</f>
        <v>312</v>
      </c>
      <c r="F1858" s="2" t="str">
        <f aca="false">IF(D1858="","",LEFT(D1858,3))</f>
        <v>816</v>
      </c>
      <c r="G1858" s="2" t="str">
        <f aca="false">IF(F1858="","",IF(E1858=F1858,"Yes","No"))</f>
        <v>No</v>
      </c>
      <c r="H1858" s="2" t="n">
        <f aca="false">IF(D1858="",0,1/COUNTIF($D$2:$D$3451,D1858))</f>
        <v>1</v>
      </c>
      <c r="I1858" s="13" t="n">
        <f aca="false">IFERROR(INDEX('NCO-2015 scores'!$C$2:$C$131,MATCH(E1858,'NCO-2015 scores'!$A$2:$A$131,0)),0)</f>
        <v>0.3067</v>
      </c>
      <c r="J1858" s="13" t="n">
        <f aca="false">IF(ISNUMBER(MATCH(E1858,'NCO-2015 scores'!$A$2:$A$131,0)),IF(ISNUMBER(INDEX('NCO-2015 scores'!$C$2:$C$131,MATCH(E1858,'NCO-2015 scores'!$A$2:$A$131,0))),1,0),0)</f>
        <v>1</v>
      </c>
    </row>
    <row r="1859" customFormat="false" ht="15" hidden="false" customHeight="false" outlineLevel="0" collapsed="false">
      <c r="A1859" s="2" t="n">
        <v>1855</v>
      </c>
      <c r="B1859" s="2" t="s">
        <v>5580</v>
      </c>
      <c r="C1859" s="2" t="s">
        <v>5581</v>
      </c>
      <c r="D1859" s="2" t="s">
        <v>5582</v>
      </c>
      <c r="E1859" s="2" t="str">
        <f aca="false">LEFT(C1859,3)</f>
        <v>312</v>
      </c>
      <c r="F1859" s="2" t="str">
        <f aca="false">IF(D1859="","",LEFT(D1859,3))</f>
        <v>812</v>
      </c>
      <c r="G1859" s="2" t="str">
        <f aca="false">IF(F1859="","",IF(E1859=F1859,"Yes","No"))</f>
        <v>No</v>
      </c>
      <c r="H1859" s="2" t="n">
        <f aca="false">IF(D1859="",0,1/COUNTIF($D$2:$D$3451,D1859))</f>
        <v>1</v>
      </c>
      <c r="I1859" s="13" t="n">
        <f aca="false">IFERROR(INDEX('NCO-2015 scores'!$C$2:$C$131,MATCH(E1859,'NCO-2015 scores'!$A$2:$A$131,0)),0)</f>
        <v>0.3067</v>
      </c>
      <c r="J1859" s="13" t="n">
        <f aca="false">IF(ISNUMBER(MATCH(E1859,'NCO-2015 scores'!$A$2:$A$131,0)),IF(ISNUMBER(INDEX('NCO-2015 scores'!$C$2:$C$131,MATCH(E1859,'NCO-2015 scores'!$A$2:$A$131,0))),1,0),0)</f>
        <v>1</v>
      </c>
    </row>
    <row r="1860" customFormat="false" ht="15" hidden="false" customHeight="false" outlineLevel="0" collapsed="false">
      <c r="A1860" s="2" t="n">
        <v>1856</v>
      </c>
      <c r="B1860" s="2" t="s">
        <v>5583</v>
      </c>
      <c r="C1860" s="2" t="s">
        <v>5584</v>
      </c>
      <c r="D1860" s="2" t="s">
        <v>5585</v>
      </c>
      <c r="E1860" s="2" t="str">
        <f aca="false">LEFT(C1860,3)</f>
        <v>312</v>
      </c>
      <c r="F1860" s="2" t="str">
        <f aca="false">IF(D1860="","",LEFT(D1860,3))</f>
        <v>816</v>
      </c>
      <c r="G1860" s="2" t="str">
        <f aca="false">IF(F1860="","",IF(E1860=F1860,"Yes","No"))</f>
        <v>No</v>
      </c>
      <c r="H1860" s="2" t="n">
        <f aca="false">IF(D1860="",0,1/COUNTIF($D$2:$D$3451,D1860))</f>
        <v>1</v>
      </c>
      <c r="I1860" s="13" t="n">
        <f aca="false">IFERROR(INDEX('NCO-2015 scores'!$C$2:$C$131,MATCH(E1860,'NCO-2015 scores'!$A$2:$A$131,0)),0)</f>
        <v>0.3067</v>
      </c>
      <c r="J1860" s="13" t="n">
        <f aca="false">IF(ISNUMBER(MATCH(E1860,'NCO-2015 scores'!$A$2:$A$131,0)),IF(ISNUMBER(INDEX('NCO-2015 scores'!$C$2:$C$131,MATCH(E1860,'NCO-2015 scores'!$A$2:$A$131,0))),1,0),0)</f>
        <v>1</v>
      </c>
    </row>
    <row r="1861" customFormat="false" ht="15" hidden="false" customHeight="false" outlineLevel="0" collapsed="false">
      <c r="A1861" s="2" t="n">
        <v>1857</v>
      </c>
      <c r="B1861" s="2" t="s">
        <v>5586</v>
      </c>
      <c r="C1861" s="2" t="s">
        <v>5587</v>
      </c>
      <c r="D1861" s="2" t="s">
        <v>5588</v>
      </c>
      <c r="E1861" s="2" t="str">
        <f aca="false">LEFT(C1861,3)</f>
        <v>312</v>
      </c>
      <c r="F1861" s="2" t="str">
        <f aca="false">IF(D1861="","",LEFT(D1861,3))</f>
        <v>812</v>
      </c>
      <c r="G1861" s="2" t="str">
        <f aca="false">IF(F1861="","",IF(E1861=F1861,"Yes","No"))</f>
        <v>No</v>
      </c>
      <c r="H1861" s="2" t="n">
        <f aca="false">IF(D1861="",0,1/COUNTIF($D$2:$D$3451,D1861))</f>
        <v>1</v>
      </c>
      <c r="I1861" s="13" t="n">
        <f aca="false">IFERROR(INDEX('NCO-2015 scores'!$C$2:$C$131,MATCH(E1861,'NCO-2015 scores'!$A$2:$A$131,0)),0)</f>
        <v>0.3067</v>
      </c>
      <c r="J1861" s="13" t="n">
        <f aca="false">IF(ISNUMBER(MATCH(E1861,'NCO-2015 scores'!$A$2:$A$131,0)),IF(ISNUMBER(INDEX('NCO-2015 scores'!$C$2:$C$131,MATCH(E1861,'NCO-2015 scores'!$A$2:$A$131,0))),1,0),0)</f>
        <v>1</v>
      </c>
    </row>
    <row r="1862" customFormat="false" ht="15" hidden="false" customHeight="false" outlineLevel="0" collapsed="false">
      <c r="A1862" s="2" t="n">
        <v>1858</v>
      </c>
      <c r="B1862" s="2" t="s">
        <v>5589</v>
      </c>
      <c r="C1862" s="2" t="s">
        <v>5590</v>
      </c>
      <c r="D1862" s="2" t="s">
        <v>5591</v>
      </c>
      <c r="E1862" s="2" t="str">
        <f aca="false">LEFT(C1862,3)</f>
        <v>312</v>
      </c>
      <c r="F1862" s="2" t="str">
        <f aca="false">IF(D1862="","",LEFT(D1862,3))</f>
        <v>812</v>
      </c>
      <c r="G1862" s="2" t="str">
        <f aca="false">IF(F1862="","",IF(E1862=F1862,"Yes","No"))</f>
        <v>No</v>
      </c>
      <c r="H1862" s="2" t="n">
        <f aca="false">IF(D1862="",0,1/COUNTIF($D$2:$D$3451,D1862))</f>
        <v>1</v>
      </c>
      <c r="I1862" s="13" t="n">
        <f aca="false">IFERROR(INDEX('NCO-2015 scores'!$C$2:$C$131,MATCH(E1862,'NCO-2015 scores'!$A$2:$A$131,0)),0)</f>
        <v>0.3067</v>
      </c>
      <c r="J1862" s="13" t="n">
        <f aca="false">IF(ISNUMBER(MATCH(E1862,'NCO-2015 scores'!$A$2:$A$131,0)),IF(ISNUMBER(INDEX('NCO-2015 scores'!$C$2:$C$131,MATCH(E1862,'NCO-2015 scores'!$A$2:$A$131,0))),1,0),0)</f>
        <v>1</v>
      </c>
    </row>
    <row r="1863" customFormat="false" ht="15" hidden="false" customHeight="false" outlineLevel="0" collapsed="false">
      <c r="A1863" s="2" t="n">
        <v>1859</v>
      </c>
      <c r="B1863" s="2" t="s">
        <v>5592</v>
      </c>
      <c r="C1863" s="2" t="s">
        <v>5593</v>
      </c>
      <c r="D1863" s="2"/>
      <c r="E1863" s="2" t="str">
        <f aca="false">LEFT(C1863,3)</f>
        <v>312</v>
      </c>
      <c r="F1863" s="2" t="str">
        <f aca="false">IF(D1863="","",LEFT(D1863,3))</f>
        <v/>
      </c>
      <c r="G1863" s="2" t="str">
        <f aca="false">IF(F1863="","",IF(E1863=F1863,"Yes","No"))</f>
        <v/>
      </c>
      <c r="H1863" s="2" t="n">
        <f aca="false">IF(D1863="",0,1/COUNTIF($D$2:$D$3451,D1863))</f>
        <v>0</v>
      </c>
      <c r="I1863" s="13" t="n">
        <f aca="false">IFERROR(INDEX('NCO-2015 scores'!$C$2:$C$131,MATCH(E1863,'NCO-2015 scores'!$A$2:$A$131,0)),0)</f>
        <v>0.3067</v>
      </c>
      <c r="J1863" s="13" t="n">
        <f aca="false">IF(ISNUMBER(MATCH(E1863,'NCO-2015 scores'!$A$2:$A$131,0)),IF(ISNUMBER(INDEX('NCO-2015 scores'!$C$2:$C$131,MATCH(E1863,'NCO-2015 scores'!$A$2:$A$131,0))),1,0),0)</f>
        <v>1</v>
      </c>
    </row>
    <row r="1864" customFormat="false" ht="15" hidden="false" customHeight="false" outlineLevel="0" collapsed="false">
      <c r="A1864" s="2" t="n">
        <v>1860</v>
      </c>
      <c r="B1864" s="2" t="s">
        <v>5594</v>
      </c>
      <c r="C1864" s="2" t="s">
        <v>5595</v>
      </c>
      <c r="D1864" s="2" t="s">
        <v>5596</v>
      </c>
      <c r="E1864" s="2" t="str">
        <f aca="false">LEFT(C1864,3)</f>
        <v>312</v>
      </c>
      <c r="F1864" s="2" t="str">
        <f aca="false">IF(D1864="","",LEFT(D1864,3))</f>
        <v>813</v>
      </c>
      <c r="G1864" s="2" t="str">
        <f aca="false">IF(F1864="","",IF(E1864=F1864,"Yes","No"))</f>
        <v>No</v>
      </c>
      <c r="H1864" s="2" t="n">
        <f aca="false">IF(D1864="",0,1/COUNTIF($D$2:$D$3451,D1864))</f>
        <v>1</v>
      </c>
      <c r="I1864" s="13" t="n">
        <f aca="false">IFERROR(INDEX('NCO-2015 scores'!$C$2:$C$131,MATCH(E1864,'NCO-2015 scores'!$A$2:$A$131,0)),0)</f>
        <v>0.3067</v>
      </c>
      <c r="J1864" s="13" t="n">
        <f aca="false">IF(ISNUMBER(MATCH(E1864,'NCO-2015 scores'!$A$2:$A$131,0)),IF(ISNUMBER(INDEX('NCO-2015 scores'!$C$2:$C$131,MATCH(E1864,'NCO-2015 scores'!$A$2:$A$131,0))),1,0),0)</f>
        <v>1</v>
      </c>
    </row>
    <row r="1865" customFormat="false" ht="15" hidden="false" customHeight="false" outlineLevel="0" collapsed="false">
      <c r="A1865" s="2" t="n">
        <v>1861</v>
      </c>
      <c r="B1865" s="2" t="s">
        <v>5597</v>
      </c>
      <c r="C1865" s="2" t="s">
        <v>5598</v>
      </c>
      <c r="D1865" s="2" t="s">
        <v>5599</v>
      </c>
      <c r="E1865" s="2" t="str">
        <f aca="false">LEFT(C1865,3)</f>
        <v>312</v>
      </c>
      <c r="F1865" s="2" t="str">
        <f aca="false">IF(D1865="","",LEFT(D1865,3))</f>
        <v>813</v>
      </c>
      <c r="G1865" s="2" t="str">
        <f aca="false">IF(F1865="","",IF(E1865=F1865,"Yes","No"))</f>
        <v>No</v>
      </c>
      <c r="H1865" s="2" t="n">
        <f aca="false">IF(D1865="",0,1/COUNTIF($D$2:$D$3451,D1865))</f>
        <v>1</v>
      </c>
      <c r="I1865" s="13" t="n">
        <f aca="false">IFERROR(INDEX('NCO-2015 scores'!$C$2:$C$131,MATCH(E1865,'NCO-2015 scores'!$A$2:$A$131,0)),0)</f>
        <v>0.3067</v>
      </c>
      <c r="J1865" s="13" t="n">
        <f aca="false">IF(ISNUMBER(MATCH(E1865,'NCO-2015 scores'!$A$2:$A$131,0)),IF(ISNUMBER(INDEX('NCO-2015 scores'!$C$2:$C$131,MATCH(E1865,'NCO-2015 scores'!$A$2:$A$131,0))),1,0),0)</f>
        <v>1</v>
      </c>
    </row>
    <row r="1866" customFormat="false" ht="15" hidden="false" customHeight="false" outlineLevel="0" collapsed="false">
      <c r="A1866" s="2" t="n">
        <v>1862</v>
      </c>
      <c r="B1866" s="2" t="s">
        <v>5600</v>
      </c>
      <c r="C1866" s="2" t="s">
        <v>5601</v>
      </c>
      <c r="D1866" s="2" t="s">
        <v>5602</v>
      </c>
      <c r="E1866" s="2" t="str">
        <f aca="false">LEFT(C1866,3)</f>
        <v>312</v>
      </c>
      <c r="F1866" s="2" t="str">
        <f aca="false">IF(D1866="","",LEFT(D1866,3))</f>
        <v>814</v>
      </c>
      <c r="G1866" s="2" t="str">
        <f aca="false">IF(F1866="","",IF(E1866=F1866,"Yes","No"))</f>
        <v>No</v>
      </c>
      <c r="H1866" s="2" t="n">
        <f aca="false">IF(D1866="",0,1/COUNTIF($D$2:$D$3451,D1866))</f>
        <v>1</v>
      </c>
      <c r="I1866" s="13" t="n">
        <f aca="false">IFERROR(INDEX('NCO-2015 scores'!$C$2:$C$131,MATCH(E1866,'NCO-2015 scores'!$A$2:$A$131,0)),0)</f>
        <v>0.3067</v>
      </c>
      <c r="J1866" s="13" t="n">
        <f aca="false">IF(ISNUMBER(MATCH(E1866,'NCO-2015 scores'!$A$2:$A$131,0)),IF(ISNUMBER(INDEX('NCO-2015 scores'!$C$2:$C$131,MATCH(E1866,'NCO-2015 scores'!$A$2:$A$131,0))),1,0),0)</f>
        <v>1</v>
      </c>
    </row>
    <row r="1867" customFormat="false" ht="15" hidden="false" customHeight="false" outlineLevel="0" collapsed="false">
      <c r="A1867" s="2" t="n">
        <v>1863</v>
      </c>
      <c r="B1867" s="2" t="s">
        <v>5603</v>
      </c>
      <c r="C1867" s="2" t="s">
        <v>5604</v>
      </c>
      <c r="D1867" s="2" t="s">
        <v>5605</v>
      </c>
      <c r="E1867" s="2" t="str">
        <f aca="false">LEFT(C1867,3)</f>
        <v>312</v>
      </c>
      <c r="F1867" s="2" t="str">
        <f aca="false">IF(D1867="","",LEFT(D1867,3))</f>
        <v>814</v>
      </c>
      <c r="G1867" s="2" t="str">
        <f aca="false">IF(F1867="","",IF(E1867=F1867,"Yes","No"))</f>
        <v>No</v>
      </c>
      <c r="H1867" s="2" t="n">
        <f aca="false">IF(D1867="",0,1/COUNTIF($D$2:$D$3451,D1867))</f>
        <v>1</v>
      </c>
      <c r="I1867" s="13" t="n">
        <f aca="false">IFERROR(INDEX('NCO-2015 scores'!$C$2:$C$131,MATCH(E1867,'NCO-2015 scores'!$A$2:$A$131,0)),0)</f>
        <v>0.3067</v>
      </c>
      <c r="J1867" s="13" t="n">
        <f aca="false">IF(ISNUMBER(MATCH(E1867,'NCO-2015 scores'!$A$2:$A$131,0)),IF(ISNUMBER(INDEX('NCO-2015 scores'!$C$2:$C$131,MATCH(E1867,'NCO-2015 scores'!$A$2:$A$131,0))),1,0),0)</f>
        <v>1</v>
      </c>
    </row>
    <row r="1868" customFormat="false" ht="15" hidden="false" customHeight="false" outlineLevel="0" collapsed="false">
      <c r="A1868" s="2" t="n">
        <v>1864</v>
      </c>
      <c r="B1868" s="2" t="s">
        <v>5606</v>
      </c>
      <c r="C1868" s="2" t="s">
        <v>5607</v>
      </c>
      <c r="D1868" s="2" t="s">
        <v>5608</v>
      </c>
      <c r="E1868" s="2" t="str">
        <f aca="false">LEFT(C1868,3)</f>
        <v>312</v>
      </c>
      <c r="F1868" s="2" t="str">
        <f aca="false">IF(D1868="","",LEFT(D1868,3))</f>
        <v>815</v>
      </c>
      <c r="G1868" s="2" t="str">
        <f aca="false">IF(F1868="","",IF(E1868=F1868,"Yes","No"))</f>
        <v>No</v>
      </c>
      <c r="H1868" s="2" t="n">
        <f aca="false">IF(D1868="",0,1/COUNTIF($D$2:$D$3451,D1868))</f>
        <v>1</v>
      </c>
      <c r="I1868" s="13" t="n">
        <f aca="false">IFERROR(INDEX('NCO-2015 scores'!$C$2:$C$131,MATCH(E1868,'NCO-2015 scores'!$A$2:$A$131,0)),0)</f>
        <v>0.3067</v>
      </c>
      <c r="J1868" s="13" t="n">
        <f aca="false">IF(ISNUMBER(MATCH(E1868,'NCO-2015 scores'!$A$2:$A$131,0)),IF(ISNUMBER(INDEX('NCO-2015 scores'!$C$2:$C$131,MATCH(E1868,'NCO-2015 scores'!$A$2:$A$131,0))),1,0),0)</f>
        <v>1</v>
      </c>
    </row>
    <row r="1869" customFormat="false" ht="15" hidden="false" customHeight="false" outlineLevel="0" collapsed="false">
      <c r="A1869" s="2" t="n">
        <v>1865</v>
      </c>
      <c r="B1869" s="2" t="s">
        <v>5609</v>
      </c>
      <c r="C1869" s="2" t="s">
        <v>5610</v>
      </c>
      <c r="D1869" s="2" t="s">
        <v>5611</v>
      </c>
      <c r="E1869" s="2" t="str">
        <f aca="false">LEFT(C1869,3)</f>
        <v>312</v>
      </c>
      <c r="F1869" s="2" t="str">
        <f aca="false">IF(D1869="","",LEFT(D1869,3))</f>
        <v>812</v>
      </c>
      <c r="G1869" s="2" t="str">
        <f aca="false">IF(F1869="","",IF(E1869=F1869,"Yes","No"))</f>
        <v>No</v>
      </c>
      <c r="H1869" s="2" t="n">
        <f aca="false">IF(D1869="",0,1/COUNTIF($D$2:$D$3451,D1869))</f>
        <v>1</v>
      </c>
      <c r="I1869" s="13" t="n">
        <f aca="false">IFERROR(INDEX('NCO-2015 scores'!$C$2:$C$131,MATCH(E1869,'NCO-2015 scores'!$A$2:$A$131,0)),0)</f>
        <v>0.3067</v>
      </c>
      <c r="J1869" s="13" t="n">
        <f aca="false">IF(ISNUMBER(MATCH(E1869,'NCO-2015 scores'!$A$2:$A$131,0)),IF(ISNUMBER(INDEX('NCO-2015 scores'!$C$2:$C$131,MATCH(E1869,'NCO-2015 scores'!$A$2:$A$131,0))),1,0),0)</f>
        <v>1</v>
      </c>
    </row>
    <row r="1870" customFormat="false" ht="15" hidden="false" customHeight="false" outlineLevel="0" collapsed="false">
      <c r="A1870" s="2" t="n">
        <v>1866</v>
      </c>
      <c r="B1870" s="2" t="s">
        <v>5612</v>
      </c>
      <c r="C1870" s="2" t="s">
        <v>5613</v>
      </c>
      <c r="D1870" s="2" t="s">
        <v>5614</v>
      </c>
      <c r="E1870" s="2" t="str">
        <f aca="false">LEFT(C1870,3)</f>
        <v>312</v>
      </c>
      <c r="F1870" s="2" t="str">
        <f aca="false">IF(D1870="","",LEFT(D1870,3))</f>
        <v>815</v>
      </c>
      <c r="G1870" s="2" t="str">
        <f aca="false">IF(F1870="","",IF(E1870=F1870,"Yes","No"))</f>
        <v>No</v>
      </c>
      <c r="H1870" s="2" t="n">
        <f aca="false">IF(D1870="",0,1/COUNTIF($D$2:$D$3451,D1870))</f>
        <v>1</v>
      </c>
      <c r="I1870" s="13" t="n">
        <f aca="false">IFERROR(INDEX('NCO-2015 scores'!$C$2:$C$131,MATCH(E1870,'NCO-2015 scores'!$A$2:$A$131,0)),0)</f>
        <v>0.3067</v>
      </c>
      <c r="J1870" s="13" t="n">
        <f aca="false">IF(ISNUMBER(MATCH(E1870,'NCO-2015 scores'!$A$2:$A$131,0)),IF(ISNUMBER(INDEX('NCO-2015 scores'!$C$2:$C$131,MATCH(E1870,'NCO-2015 scores'!$A$2:$A$131,0))),1,0),0)</f>
        <v>1</v>
      </c>
    </row>
    <row r="1871" customFormat="false" ht="15" hidden="false" customHeight="false" outlineLevel="0" collapsed="false">
      <c r="A1871" s="2" t="n">
        <v>1867</v>
      </c>
      <c r="B1871" s="2" t="s">
        <v>5615</v>
      </c>
      <c r="C1871" s="2" t="s">
        <v>5616</v>
      </c>
      <c r="D1871" s="2" t="s">
        <v>5617</v>
      </c>
      <c r="E1871" s="2" t="str">
        <f aca="false">LEFT(C1871,3)</f>
        <v>312</v>
      </c>
      <c r="F1871" s="2" t="str">
        <f aca="false">IF(D1871="","",LEFT(D1871,3))</f>
        <v>812</v>
      </c>
      <c r="G1871" s="2" t="str">
        <f aca="false">IF(F1871="","",IF(E1871=F1871,"Yes","No"))</f>
        <v>No</v>
      </c>
      <c r="H1871" s="2" t="n">
        <f aca="false">IF(D1871="",0,1/COUNTIF($D$2:$D$3451,D1871))</f>
        <v>1</v>
      </c>
      <c r="I1871" s="13" t="n">
        <f aca="false">IFERROR(INDEX('NCO-2015 scores'!$C$2:$C$131,MATCH(E1871,'NCO-2015 scores'!$A$2:$A$131,0)),0)</f>
        <v>0.3067</v>
      </c>
      <c r="J1871" s="13" t="n">
        <f aca="false">IF(ISNUMBER(MATCH(E1871,'NCO-2015 scores'!$A$2:$A$131,0)),IF(ISNUMBER(INDEX('NCO-2015 scores'!$C$2:$C$131,MATCH(E1871,'NCO-2015 scores'!$A$2:$A$131,0))),1,0),0)</f>
        <v>1</v>
      </c>
    </row>
    <row r="1872" customFormat="false" ht="15" hidden="false" customHeight="false" outlineLevel="0" collapsed="false">
      <c r="A1872" s="2" t="n">
        <v>1868</v>
      </c>
      <c r="B1872" s="2" t="s">
        <v>5618</v>
      </c>
      <c r="C1872" s="2" t="s">
        <v>5619</v>
      </c>
      <c r="D1872" s="2" t="s">
        <v>5620</v>
      </c>
      <c r="E1872" s="2" t="str">
        <f aca="false">LEFT(C1872,3)</f>
        <v>312</v>
      </c>
      <c r="F1872" s="2" t="str">
        <f aca="false">IF(D1872="","",LEFT(D1872,3))</f>
        <v>826</v>
      </c>
      <c r="G1872" s="2" t="str">
        <f aca="false">IF(F1872="","",IF(E1872=F1872,"Yes","No"))</f>
        <v>No</v>
      </c>
      <c r="H1872" s="2" t="n">
        <f aca="false">IF(D1872="",0,1/COUNTIF($D$2:$D$3451,D1872))</f>
        <v>1</v>
      </c>
      <c r="I1872" s="13" t="n">
        <f aca="false">IFERROR(INDEX('NCO-2015 scores'!$C$2:$C$131,MATCH(E1872,'NCO-2015 scores'!$A$2:$A$131,0)),0)</f>
        <v>0.3067</v>
      </c>
      <c r="J1872" s="13" t="n">
        <f aca="false">IF(ISNUMBER(MATCH(E1872,'NCO-2015 scores'!$A$2:$A$131,0)),IF(ISNUMBER(INDEX('NCO-2015 scores'!$C$2:$C$131,MATCH(E1872,'NCO-2015 scores'!$A$2:$A$131,0))),1,0),0)</f>
        <v>1</v>
      </c>
    </row>
    <row r="1873" customFormat="false" ht="15" hidden="false" customHeight="false" outlineLevel="0" collapsed="false">
      <c r="A1873" s="2" t="n">
        <v>1869</v>
      </c>
      <c r="B1873" s="2" t="s">
        <v>5621</v>
      </c>
      <c r="C1873" s="2" t="s">
        <v>5622</v>
      </c>
      <c r="D1873" s="2" t="s">
        <v>5623</v>
      </c>
      <c r="E1873" s="2" t="str">
        <f aca="false">LEFT(C1873,3)</f>
        <v>312</v>
      </c>
      <c r="F1873" s="2" t="str">
        <f aca="false">IF(D1873="","",LEFT(D1873,3))</f>
        <v>826</v>
      </c>
      <c r="G1873" s="2" t="str">
        <f aca="false">IF(F1873="","",IF(E1873=F1873,"Yes","No"))</f>
        <v>No</v>
      </c>
      <c r="H1873" s="2" t="n">
        <f aca="false">IF(D1873="",0,1/COUNTIF($D$2:$D$3451,D1873))</f>
        <v>1</v>
      </c>
      <c r="I1873" s="13" t="n">
        <f aca="false">IFERROR(INDEX('NCO-2015 scores'!$C$2:$C$131,MATCH(E1873,'NCO-2015 scores'!$A$2:$A$131,0)),0)</f>
        <v>0.3067</v>
      </c>
      <c r="J1873" s="13" t="n">
        <f aca="false">IF(ISNUMBER(MATCH(E1873,'NCO-2015 scores'!$A$2:$A$131,0)),IF(ISNUMBER(INDEX('NCO-2015 scores'!$C$2:$C$131,MATCH(E1873,'NCO-2015 scores'!$A$2:$A$131,0))),1,0),0)</f>
        <v>1</v>
      </c>
    </row>
    <row r="1874" customFormat="false" ht="15" hidden="false" customHeight="false" outlineLevel="0" collapsed="false">
      <c r="A1874" s="2" t="n">
        <v>1870</v>
      </c>
      <c r="B1874" s="2" t="s">
        <v>5624</v>
      </c>
      <c r="C1874" s="2" t="s">
        <v>5625</v>
      </c>
      <c r="D1874" s="2" t="s">
        <v>5626</v>
      </c>
      <c r="E1874" s="2" t="str">
        <f aca="false">LEFT(C1874,3)</f>
        <v>312</v>
      </c>
      <c r="F1874" s="2" t="str">
        <f aca="false">IF(D1874="","",LEFT(D1874,3))</f>
        <v>821</v>
      </c>
      <c r="G1874" s="2" t="str">
        <f aca="false">IF(F1874="","",IF(E1874=F1874,"Yes","No"))</f>
        <v>No</v>
      </c>
      <c r="H1874" s="2" t="n">
        <f aca="false">IF(D1874="",0,1/COUNTIF($D$2:$D$3451,D1874))</f>
        <v>1</v>
      </c>
      <c r="I1874" s="13" t="n">
        <f aca="false">IFERROR(INDEX('NCO-2015 scores'!$C$2:$C$131,MATCH(E1874,'NCO-2015 scores'!$A$2:$A$131,0)),0)</f>
        <v>0.3067</v>
      </c>
      <c r="J1874" s="13" t="n">
        <f aca="false">IF(ISNUMBER(MATCH(E1874,'NCO-2015 scores'!$A$2:$A$131,0)),IF(ISNUMBER(INDEX('NCO-2015 scores'!$C$2:$C$131,MATCH(E1874,'NCO-2015 scores'!$A$2:$A$131,0))),1,0),0)</f>
        <v>1</v>
      </c>
    </row>
    <row r="1875" customFormat="false" ht="15" hidden="false" customHeight="false" outlineLevel="0" collapsed="false">
      <c r="A1875" s="2" t="n">
        <v>1871</v>
      </c>
      <c r="B1875" s="2" t="s">
        <v>5627</v>
      </c>
      <c r="C1875" s="2" t="s">
        <v>5628</v>
      </c>
      <c r="D1875" s="2" t="s">
        <v>5629</v>
      </c>
      <c r="E1875" s="2" t="str">
        <f aca="false">LEFT(C1875,3)</f>
        <v>312</v>
      </c>
      <c r="F1875" s="2" t="str">
        <f aca="false">IF(D1875="","",LEFT(D1875,3))</f>
        <v>826</v>
      </c>
      <c r="G1875" s="2" t="str">
        <f aca="false">IF(F1875="","",IF(E1875=F1875,"Yes","No"))</f>
        <v>No</v>
      </c>
      <c r="H1875" s="2" t="n">
        <f aca="false">IF(D1875="",0,1/COUNTIF($D$2:$D$3451,D1875))</f>
        <v>1</v>
      </c>
      <c r="I1875" s="13" t="n">
        <f aca="false">IFERROR(INDEX('NCO-2015 scores'!$C$2:$C$131,MATCH(E1875,'NCO-2015 scores'!$A$2:$A$131,0)),0)</f>
        <v>0.3067</v>
      </c>
      <c r="J1875" s="13" t="n">
        <f aca="false">IF(ISNUMBER(MATCH(E1875,'NCO-2015 scores'!$A$2:$A$131,0)),IF(ISNUMBER(INDEX('NCO-2015 scores'!$C$2:$C$131,MATCH(E1875,'NCO-2015 scores'!$A$2:$A$131,0))),1,0),0)</f>
        <v>1</v>
      </c>
    </row>
    <row r="1876" customFormat="false" ht="15" hidden="false" customHeight="false" outlineLevel="0" collapsed="false">
      <c r="A1876" s="2" t="n">
        <v>1872</v>
      </c>
      <c r="B1876" s="2" t="s">
        <v>5630</v>
      </c>
      <c r="C1876" s="2" t="s">
        <v>5631</v>
      </c>
      <c r="D1876" s="2" t="s">
        <v>5632</v>
      </c>
      <c r="E1876" s="2" t="str">
        <f aca="false">LEFT(C1876,3)</f>
        <v>312</v>
      </c>
      <c r="F1876" s="2" t="str">
        <f aca="false">IF(D1876="","",LEFT(D1876,3))</f>
        <v>821</v>
      </c>
      <c r="G1876" s="2" t="str">
        <f aca="false">IF(F1876="","",IF(E1876=F1876,"Yes","No"))</f>
        <v>No</v>
      </c>
      <c r="H1876" s="2" t="n">
        <f aca="false">IF(D1876="",0,1/COUNTIF($D$2:$D$3451,D1876))</f>
        <v>1</v>
      </c>
      <c r="I1876" s="13" t="n">
        <f aca="false">IFERROR(INDEX('NCO-2015 scores'!$C$2:$C$131,MATCH(E1876,'NCO-2015 scores'!$A$2:$A$131,0)),0)</f>
        <v>0.3067</v>
      </c>
      <c r="J1876" s="13" t="n">
        <f aca="false">IF(ISNUMBER(MATCH(E1876,'NCO-2015 scores'!$A$2:$A$131,0)),IF(ISNUMBER(INDEX('NCO-2015 scores'!$C$2:$C$131,MATCH(E1876,'NCO-2015 scores'!$A$2:$A$131,0))),1,0),0)</f>
        <v>1</v>
      </c>
    </row>
    <row r="1877" customFormat="false" ht="15" hidden="false" customHeight="false" outlineLevel="0" collapsed="false">
      <c r="A1877" s="2" t="n">
        <v>1873</v>
      </c>
      <c r="B1877" s="2" t="s">
        <v>5633</v>
      </c>
      <c r="C1877" s="2" t="s">
        <v>5634</v>
      </c>
      <c r="D1877" s="2" t="s">
        <v>5635</v>
      </c>
      <c r="E1877" s="2" t="str">
        <f aca="false">LEFT(C1877,3)</f>
        <v>312</v>
      </c>
      <c r="F1877" s="2" t="str">
        <f aca="false">IF(D1877="","",LEFT(D1877,3))</f>
        <v>826</v>
      </c>
      <c r="G1877" s="2" t="str">
        <f aca="false">IF(F1877="","",IF(E1877=F1877,"Yes","No"))</f>
        <v>No</v>
      </c>
      <c r="H1877" s="2" t="n">
        <f aca="false">IF(D1877="",0,1/COUNTIF($D$2:$D$3451,D1877))</f>
        <v>1</v>
      </c>
      <c r="I1877" s="13" t="n">
        <f aca="false">IFERROR(INDEX('NCO-2015 scores'!$C$2:$C$131,MATCH(E1877,'NCO-2015 scores'!$A$2:$A$131,0)),0)</f>
        <v>0.3067</v>
      </c>
      <c r="J1877" s="13" t="n">
        <f aca="false">IF(ISNUMBER(MATCH(E1877,'NCO-2015 scores'!$A$2:$A$131,0)),IF(ISNUMBER(INDEX('NCO-2015 scores'!$C$2:$C$131,MATCH(E1877,'NCO-2015 scores'!$A$2:$A$131,0))),1,0),0)</f>
        <v>1</v>
      </c>
    </row>
    <row r="1878" customFormat="false" ht="15" hidden="false" customHeight="false" outlineLevel="0" collapsed="false">
      <c r="A1878" s="2" t="n">
        <v>1874</v>
      </c>
      <c r="B1878" s="2" t="s">
        <v>5636</v>
      </c>
      <c r="C1878" s="2" t="s">
        <v>5637</v>
      </c>
      <c r="D1878" s="2" t="s">
        <v>5638</v>
      </c>
      <c r="E1878" s="2" t="str">
        <f aca="false">LEFT(C1878,3)</f>
        <v>312</v>
      </c>
      <c r="F1878" s="2" t="str">
        <f aca="false">IF(D1878="","",LEFT(D1878,3))</f>
        <v>823</v>
      </c>
      <c r="G1878" s="2" t="str">
        <f aca="false">IF(F1878="","",IF(E1878=F1878,"Yes","No"))</f>
        <v>No</v>
      </c>
      <c r="H1878" s="2" t="n">
        <f aca="false">IF(D1878="",0,1/COUNTIF($D$2:$D$3451,D1878))</f>
        <v>1</v>
      </c>
      <c r="I1878" s="13" t="n">
        <f aca="false">IFERROR(INDEX('NCO-2015 scores'!$C$2:$C$131,MATCH(E1878,'NCO-2015 scores'!$A$2:$A$131,0)),0)</f>
        <v>0.3067</v>
      </c>
      <c r="J1878" s="13" t="n">
        <f aca="false">IF(ISNUMBER(MATCH(E1878,'NCO-2015 scores'!$A$2:$A$131,0)),IF(ISNUMBER(INDEX('NCO-2015 scores'!$C$2:$C$131,MATCH(E1878,'NCO-2015 scores'!$A$2:$A$131,0))),1,0),0)</f>
        <v>1</v>
      </c>
    </row>
    <row r="1879" customFormat="false" ht="15" hidden="false" customHeight="false" outlineLevel="0" collapsed="false">
      <c r="A1879" s="2" t="n">
        <v>1875</v>
      </c>
      <c r="B1879" s="2" t="s">
        <v>5639</v>
      </c>
      <c r="C1879" s="2" t="s">
        <v>5640</v>
      </c>
      <c r="D1879" s="2" t="s">
        <v>5641</v>
      </c>
      <c r="E1879" s="2" t="str">
        <f aca="false">LEFT(C1879,3)</f>
        <v>312</v>
      </c>
      <c r="F1879" s="2" t="str">
        <f aca="false">IF(D1879="","",LEFT(D1879,3))</f>
        <v>826</v>
      </c>
      <c r="G1879" s="2" t="str">
        <f aca="false">IF(F1879="","",IF(E1879=F1879,"Yes","No"))</f>
        <v>No</v>
      </c>
      <c r="H1879" s="2" t="n">
        <f aca="false">IF(D1879="",0,1/COUNTIF($D$2:$D$3451,D1879))</f>
        <v>1</v>
      </c>
      <c r="I1879" s="13" t="n">
        <f aca="false">IFERROR(INDEX('NCO-2015 scores'!$C$2:$C$131,MATCH(E1879,'NCO-2015 scores'!$A$2:$A$131,0)),0)</f>
        <v>0.3067</v>
      </c>
      <c r="J1879" s="13" t="n">
        <f aca="false">IF(ISNUMBER(MATCH(E1879,'NCO-2015 scores'!$A$2:$A$131,0)),IF(ISNUMBER(INDEX('NCO-2015 scores'!$C$2:$C$131,MATCH(E1879,'NCO-2015 scores'!$A$2:$A$131,0))),1,0),0)</f>
        <v>1</v>
      </c>
    </row>
    <row r="1880" customFormat="false" ht="15" hidden="false" customHeight="false" outlineLevel="0" collapsed="false">
      <c r="A1880" s="2" t="n">
        <v>1876</v>
      </c>
      <c r="B1880" s="2" t="s">
        <v>5642</v>
      </c>
      <c r="C1880" s="2" t="s">
        <v>5643</v>
      </c>
      <c r="D1880" s="2" t="s">
        <v>5644</v>
      </c>
      <c r="E1880" s="2" t="str">
        <f aca="false">LEFT(C1880,3)</f>
        <v>312</v>
      </c>
      <c r="F1880" s="2" t="str">
        <f aca="false">IF(D1880="","",LEFT(D1880,3))</f>
        <v>823</v>
      </c>
      <c r="G1880" s="2" t="str">
        <f aca="false">IF(F1880="","",IF(E1880=F1880,"Yes","No"))</f>
        <v>No</v>
      </c>
      <c r="H1880" s="2" t="n">
        <f aca="false">IF(D1880="",0,1/COUNTIF($D$2:$D$3451,D1880))</f>
        <v>1</v>
      </c>
      <c r="I1880" s="13" t="n">
        <f aca="false">IFERROR(INDEX('NCO-2015 scores'!$C$2:$C$131,MATCH(E1880,'NCO-2015 scores'!$A$2:$A$131,0)),0)</f>
        <v>0.3067</v>
      </c>
      <c r="J1880" s="13" t="n">
        <f aca="false">IF(ISNUMBER(MATCH(E1880,'NCO-2015 scores'!$A$2:$A$131,0)),IF(ISNUMBER(INDEX('NCO-2015 scores'!$C$2:$C$131,MATCH(E1880,'NCO-2015 scores'!$A$2:$A$131,0))),1,0),0)</f>
        <v>1</v>
      </c>
    </row>
    <row r="1881" customFormat="false" ht="15" hidden="false" customHeight="false" outlineLevel="0" collapsed="false">
      <c r="A1881" s="2" t="n">
        <v>1877</v>
      </c>
      <c r="B1881" s="2" t="s">
        <v>5645</v>
      </c>
      <c r="C1881" s="2" t="s">
        <v>5646</v>
      </c>
      <c r="D1881" s="2" t="s">
        <v>5647</v>
      </c>
      <c r="E1881" s="2" t="str">
        <f aca="false">LEFT(C1881,3)</f>
        <v>312</v>
      </c>
      <c r="F1881" s="2" t="str">
        <f aca="false">IF(D1881="","",LEFT(D1881,3))</f>
        <v>826</v>
      </c>
      <c r="G1881" s="2" t="str">
        <f aca="false">IF(F1881="","",IF(E1881=F1881,"Yes","No"))</f>
        <v>No</v>
      </c>
      <c r="H1881" s="2" t="n">
        <f aca="false">IF(D1881="",0,1/COUNTIF($D$2:$D$3451,D1881))</f>
        <v>1</v>
      </c>
      <c r="I1881" s="13" t="n">
        <f aca="false">IFERROR(INDEX('NCO-2015 scores'!$C$2:$C$131,MATCH(E1881,'NCO-2015 scores'!$A$2:$A$131,0)),0)</f>
        <v>0.3067</v>
      </c>
      <c r="J1881" s="13" t="n">
        <f aca="false">IF(ISNUMBER(MATCH(E1881,'NCO-2015 scores'!$A$2:$A$131,0)),IF(ISNUMBER(INDEX('NCO-2015 scores'!$C$2:$C$131,MATCH(E1881,'NCO-2015 scores'!$A$2:$A$131,0))),1,0),0)</f>
        <v>1</v>
      </c>
    </row>
    <row r="1882" customFormat="false" ht="15" hidden="false" customHeight="false" outlineLevel="0" collapsed="false">
      <c r="A1882" s="2" t="n">
        <v>1878</v>
      </c>
      <c r="B1882" s="2" t="s">
        <v>5648</v>
      </c>
      <c r="C1882" s="2" t="s">
        <v>5649</v>
      </c>
      <c r="D1882" s="2"/>
      <c r="E1882" s="2" t="str">
        <f aca="false">LEFT(C1882,3)</f>
        <v>312</v>
      </c>
      <c r="F1882" s="2" t="str">
        <f aca="false">IF(D1882="","",LEFT(D1882,3))</f>
        <v/>
      </c>
      <c r="G1882" s="2" t="str">
        <f aca="false">IF(F1882="","",IF(E1882=F1882,"Yes","No"))</f>
        <v/>
      </c>
      <c r="H1882" s="2" t="n">
        <f aca="false">IF(D1882="",0,1/COUNTIF($D$2:$D$3451,D1882))</f>
        <v>0</v>
      </c>
      <c r="I1882" s="13" t="n">
        <f aca="false">IFERROR(INDEX('NCO-2015 scores'!$C$2:$C$131,MATCH(E1882,'NCO-2015 scores'!$A$2:$A$131,0)),0)</f>
        <v>0.3067</v>
      </c>
      <c r="J1882" s="13" t="n">
        <f aca="false">IF(ISNUMBER(MATCH(E1882,'NCO-2015 scores'!$A$2:$A$131,0)),IF(ISNUMBER(INDEX('NCO-2015 scores'!$C$2:$C$131,MATCH(E1882,'NCO-2015 scores'!$A$2:$A$131,0))),1,0),0)</f>
        <v>1</v>
      </c>
    </row>
    <row r="1883" customFormat="false" ht="15" hidden="false" customHeight="false" outlineLevel="0" collapsed="false">
      <c r="A1883" s="2" t="n">
        <v>1879</v>
      </c>
      <c r="B1883" s="2" t="s">
        <v>5650</v>
      </c>
      <c r="C1883" s="2" t="s">
        <v>5651</v>
      </c>
      <c r="D1883" s="2" t="s">
        <v>5652</v>
      </c>
      <c r="E1883" s="2" t="str">
        <f aca="false">LEFT(C1883,3)</f>
        <v>312</v>
      </c>
      <c r="F1883" s="2" t="str">
        <f aca="false">IF(D1883="","",LEFT(D1883,3))</f>
        <v>743</v>
      </c>
      <c r="G1883" s="2" t="str">
        <f aca="false">IF(F1883="","",IF(E1883=F1883,"Yes","No"))</f>
        <v>No</v>
      </c>
      <c r="H1883" s="2" t="n">
        <f aca="false">IF(D1883="",0,1/COUNTIF($D$2:$D$3451,D1883))</f>
        <v>1</v>
      </c>
      <c r="I1883" s="13" t="n">
        <f aca="false">IFERROR(INDEX('NCO-2015 scores'!$C$2:$C$131,MATCH(E1883,'NCO-2015 scores'!$A$2:$A$131,0)),0)</f>
        <v>0.3067</v>
      </c>
      <c r="J1883" s="13" t="n">
        <f aca="false">IF(ISNUMBER(MATCH(E1883,'NCO-2015 scores'!$A$2:$A$131,0)),IF(ISNUMBER(INDEX('NCO-2015 scores'!$C$2:$C$131,MATCH(E1883,'NCO-2015 scores'!$A$2:$A$131,0))),1,0),0)</f>
        <v>1</v>
      </c>
    </row>
    <row r="1884" customFormat="false" ht="15" hidden="false" customHeight="false" outlineLevel="0" collapsed="false">
      <c r="A1884" s="2" t="n">
        <v>1880</v>
      </c>
      <c r="B1884" s="2" t="s">
        <v>5653</v>
      </c>
      <c r="C1884" s="2" t="s">
        <v>5654</v>
      </c>
      <c r="D1884" s="2"/>
      <c r="E1884" s="2" t="str">
        <f aca="false">LEFT(C1884,3)</f>
        <v>312</v>
      </c>
      <c r="F1884" s="2" t="str">
        <f aca="false">IF(D1884="","",LEFT(D1884,3))</f>
        <v/>
      </c>
      <c r="G1884" s="2" t="str">
        <f aca="false">IF(F1884="","",IF(E1884=F1884,"Yes","No"))</f>
        <v/>
      </c>
      <c r="H1884" s="2" t="n">
        <f aca="false">IF(D1884="",0,1/COUNTIF($D$2:$D$3451,D1884))</f>
        <v>0</v>
      </c>
      <c r="I1884" s="13" t="n">
        <f aca="false">IFERROR(INDEX('NCO-2015 scores'!$C$2:$C$131,MATCH(E1884,'NCO-2015 scores'!$A$2:$A$131,0)),0)</f>
        <v>0.3067</v>
      </c>
      <c r="J1884" s="13" t="n">
        <f aca="false">IF(ISNUMBER(MATCH(E1884,'NCO-2015 scores'!$A$2:$A$131,0)),IF(ISNUMBER(INDEX('NCO-2015 scores'!$C$2:$C$131,MATCH(E1884,'NCO-2015 scores'!$A$2:$A$131,0))),1,0),0)</f>
        <v>1</v>
      </c>
    </row>
    <row r="1885" customFormat="false" ht="15" hidden="false" customHeight="false" outlineLevel="0" collapsed="false">
      <c r="A1885" s="2" t="n">
        <v>1881</v>
      </c>
      <c r="B1885" s="2" t="s">
        <v>5655</v>
      </c>
      <c r="C1885" s="2" t="s">
        <v>5656</v>
      </c>
      <c r="D1885" s="2" t="s">
        <v>5657</v>
      </c>
      <c r="E1885" s="2" t="str">
        <f aca="false">LEFT(C1885,3)</f>
        <v>312</v>
      </c>
      <c r="F1885" s="2" t="str">
        <f aca="false">IF(D1885="","",LEFT(D1885,3))</f>
        <v>743</v>
      </c>
      <c r="G1885" s="2" t="str">
        <f aca="false">IF(F1885="","",IF(E1885=F1885,"Yes","No"))</f>
        <v>No</v>
      </c>
      <c r="H1885" s="2" t="n">
        <f aca="false">IF(D1885="",0,1/COUNTIF($D$2:$D$3451,D1885))</f>
        <v>1</v>
      </c>
      <c r="I1885" s="13" t="n">
        <f aca="false">IFERROR(INDEX('NCO-2015 scores'!$C$2:$C$131,MATCH(E1885,'NCO-2015 scores'!$A$2:$A$131,0)),0)</f>
        <v>0.3067</v>
      </c>
      <c r="J1885" s="13" t="n">
        <f aca="false">IF(ISNUMBER(MATCH(E1885,'NCO-2015 scores'!$A$2:$A$131,0)),IF(ISNUMBER(INDEX('NCO-2015 scores'!$C$2:$C$131,MATCH(E1885,'NCO-2015 scores'!$A$2:$A$131,0))),1,0),0)</f>
        <v>1</v>
      </c>
    </row>
    <row r="1886" customFormat="false" ht="15" hidden="false" customHeight="false" outlineLevel="0" collapsed="false">
      <c r="A1886" s="2" t="n">
        <v>1882</v>
      </c>
      <c r="B1886" s="2" t="s">
        <v>5658</v>
      </c>
      <c r="C1886" s="2" t="s">
        <v>5659</v>
      </c>
      <c r="D1886" s="2" t="s">
        <v>5660</v>
      </c>
      <c r="E1886" s="2" t="str">
        <f aca="false">LEFT(C1886,3)</f>
        <v>312</v>
      </c>
      <c r="F1886" s="2" t="str">
        <f aca="false">IF(D1886="","",LEFT(D1886,3))</f>
        <v>824</v>
      </c>
      <c r="G1886" s="2" t="str">
        <f aca="false">IF(F1886="","",IF(E1886=F1886,"Yes","No"))</f>
        <v>No</v>
      </c>
      <c r="H1886" s="2" t="n">
        <f aca="false">IF(D1886="",0,1/COUNTIF($D$2:$D$3451,D1886))</f>
        <v>1</v>
      </c>
      <c r="I1886" s="13" t="n">
        <f aca="false">IFERROR(INDEX('NCO-2015 scores'!$C$2:$C$131,MATCH(E1886,'NCO-2015 scores'!$A$2:$A$131,0)),0)</f>
        <v>0.3067</v>
      </c>
      <c r="J1886" s="13" t="n">
        <f aca="false">IF(ISNUMBER(MATCH(E1886,'NCO-2015 scores'!$A$2:$A$131,0)),IF(ISNUMBER(INDEX('NCO-2015 scores'!$C$2:$C$131,MATCH(E1886,'NCO-2015 scores'!$A$2:$A$131,0))),1,0),0)</f>
        <v>1</v>
      </c>
    </row>
    <row r="1887" customFormat="false" ht="15" hidden="false" customHeight="false" outlineLevel="0" collapsed="false">
      <c r="A1887" s="2" t="n">
        <v>1883</v>
      </c>
      <c r="B1887" s="2" t="s">
        <v>5661</v>
      </c>
      <c r="C1887" s="2" t="s">
        <v>5662</v>
      </c>
      <c r="D1887" s="2" t="s">
        <v>5663</v>
      </c>
      <c r="E1887" s="2" t="str">
        <f aca="false">LEFT(C1887,3)</f>
        <v>312</v>
      </c>
      <c r="F1887" s="2" t="str">
        <f aca="false">IF(D1887="","",LEFT(D1887,3))</f>
        <v>743</v>
      </c>
      <c r="G1887" s="2" t="str">
        <f aca="false">IF(F1887="","",IF(E1887=F1887,"Yes","No"))</f>
        <v>No</v>
      </c>
      <c r="H1887" s="2" t="n">
        <f aca="false">IF(D1887="",0,1/COUNTIF($D$2:$D$3451,D1887))</f>
        <v>1</v>
      </c>
      <c r="I1887" s="13" t="n">
        <f aca="false">IFERROR(INDEX('NCO-2015 scores'!$C$2:$C$131,MATCH(E1887,'NCO-2015 scores'!$A$2:$A$131,0)),0)</f>
        <v>0.3067</v>
      </c>
      <c r="J1887" s="13" t="n">
        <f aca="false">IF(ISNUMBER(MATCH(E1887,'NCO-2015 scores'!$A$2:$A$131,0)),IF(ISNUMBER(INDEX('NCO-2015 scores'!$C$2:$C$131,MATCH(E1887,'NCO-2015 scores'!$A$2:$A$131,0))),1,0),0)</f>
        <v>1</v>
      </c>
    </row>
    <row r="1888" customFormat="false" ht="15" hidden="false" customHeight="false" outlineLevel="0" collapsed="false">
      <c r="A1888" s="2" t="n">
        <v>1884</v>
      </c>
      <c r="B1888" s="2" t="s">
        <v>5664</v>
      </c>
      <c r="C1888" s="2" t="s">
        <v>5665</v>
      </c>
      <c r="D1888" s="2" t="s">
        <v>5666</v>
      </c>
      <c r="E1888" s="2" t="str">
        <f aca="false">LEFT(C1888,3)</f>
        <v>312</v>
      </c>
      <c r="F1888" s="2" t="str">
        <f aca="false">IF(D1888="","",LEFT(D1888,3))</f>
        <v>824</v>
      </c>
      <c r="G1888" s="2" t="str">
        <f aca="false">IF(F1888="","",IF(E1888=F1888,"Yes","No"))</f>
        <v>No</v>
      </c>
      <c r="H1888" s="2" t="n">
        <f aca="false">IF(D1888="",0,1/COUNTIF($D$2:$D$3451,D1888))</f>
        <v>1</v>
      </c>
      <c r="I1888" s="13" t="n">
        <f aca="false">IFERROR(INDEX('NCO-2015 scores'!$C$2:$C$131,MATCH(E1888,'NCO-2015 scores'!$A$2:$A$131,0)),0)</f>
        <v>0.3067</v>
      </c>
      <c r="J1888" s="13" t="n">
        <f aca="false">IF(ISNUMBER(MATCH(E1888,'NCO-2015 scores'!$A$2:$A$131,0)),IF(ISNUMBER(INDEX('NCO-2015 scores'!$C$2:$C$131,MATCH(E1888,'NCO-2015 scores'!$A$2:$A$131,0))),1,0),0)</f>
        <v>1</v>
      </c>
    </row>
    <row r="1889" customFormat="false" ht="15" hidden="false" customHeight="false" outlineLevel="0" collapsed="false">
      <c r="A1889" s="2" t="n">
        <v>1885</v>
      </c>
      <c r="B1889" s="2" t="s">
        <v>5667</v>
      </c>
      <c r="C1889" s="2" t="s">
        <v>5668</v>
      </c>
      <c r="D1889" s="2" t="s">
        <v>5669</v>
      </c>
      <c r="E1889" s="2" t="str">
        <f aca="false">LEFT(C1889,3)</f>
        <v>312</v>
      </c>
      <c r="F1889" s="2" t="str">
        <f aca="false">IF(D1889="","",LEFT(D1889,3))</f>
        <v>825</v>
      </c>
      <c r="G1889" s="2" t="str">
        <f aca="false">IF(F1889="","",IF(E1889=F1889,"Yes","No"))</f>
        <v>No</v>
      </c>
      <c r="H1889" s="2" t="n">
        <f aca="false">IF(D1889="",0,1/COUNTIF($D$2:$D$3451,D1889))</f>
        <v>1</v>
      </c>
      <c r="I1889" s="13" t="n">
        <f aca="false">IFERROR(INDEX('NCO-2015 scores'!$C$2:$C$131,MATCH(E1889,'NCO-2015 scores'!$A$2:$A$131,0)),0)</f>
        <v>0.3067</v>
      </c>
      <c r="J1889" s="13" t="n">
        <f aca="false">IF(ISNUMBER(MATCH(E1889,'NCO-2015 scores'!$A$2:$A$131,0)),IF(ISNUMBER(INDEX('NCO-2015 scores'!$C$2:$C$131,MATCH(E1889,'NCO-2015 scores'!$A$2:$A$131,0))),1,0),0)</f>
        <v>1</v>
      </c>
    </row>
    <row r="1890" customFormat="false" ht="15" hidden="false" customHeight="false" outlineLevel="0" collapsed="false">
      <c r="A1890" s="2" t="n">
        <v>1886</v>
      </c>
      <c r="B1890" s="2" t="s">
        <v>5670</v>
      </c>
      <c r="C1890" s="2" t="s">
        <v>5671</v>
      </c>
      <c r="D1890" s="2" t="s">
        <v>5672</v>
      </c>
      <c r="E1890" s="2" t="str">
        <f aca="false">LEFT(C1890,3)</f>
        <v>312</v>
      </c>
      <c r="F1890" s="2" t="str">
        <f aca="false">IF(D1890="","",LEFT(D1890,3))</f>
        <v>827</v>
      </c>
      <c r="G1890" s="2" t="str">
        <f aca="false">IF(F1890="","",IF(E1890=F1890,"Yes","No"))</f>
        <v>No</v>
      </c>
      <c r="H1890" s="2" t="n">
        <f aca="false">IF(D1890="",0,1/COUNTIF($D$2:$D$3451,D1890))</f>
        <v>1</v>
      </c>
      <c r="I1890" s="13" t="n">
        <f aca="false">IFERROR(INDEX('NCO-2015 scores'!$C$2:$C$131,MATCH(E1890,'NCO-2015 scores'!$A$2:$A$131,0)),0)</f>
        <v>0.3067</v>
      </c>
      <c r="J1890" s="13" t="n">
        <f aca="false">IF(ISNUMBER(MATCH(E1890,'NCO-2015 scores'!$A$2:$A$131,0)),IF(ISNUMBER(INDEX('NCO-2015 scores'!$C$2:$C$131,MATCH(E1890,'NCO-2015 scores'!$A$2:$A$131,0))),1,0),0)</f>
        <v>1</v>
      </c>
    </row>
    <row r="1891" customFormat="false" ht="15" hidden="false" customHeight="false" outlineLevel="0" collapsed="false">
      <c r="A1891" s="2" t="n">
        <v>1887</v>
      </c>
      <c r="B1891" s="2" t="s">
        <v>5673</v>
      </c>
      <c r="C1891" s="2" t="s">
        <v>5674</v>
      </c>
      <c r="D1891" s="2" t="s">
        <v>5675</v>
      </c>
      <c r="E1891" s="2" t="str">
        <f aca="false">LEFT(C1891,3)</f>
        <v>312</v>
      </c>
      <c r="F1891" s="2" t="str">
        <f aca="false">IF(D1891="","",LEFT(D1891,3))</f>
        <v>829</v>
      </c>
      <c r="G1891" s="2" t="str">
        <f aca="false">IF(F1891="","",IF(E1891=F1891,"Yes","No"))</f>
        <v>No</v>
      </c>
      <c r="H1891" s="2" t="n">
        <f aca="false">IF(D1891="",0,1/COUNTIF($D$2:$D$3451,D1891))</f>
        <v>1</v>
      </c>
      <c r="I1891" s="13" t="n">
        <f aca="false">IFERROR(INDEX('NCO-2015 scores'!$C$2:$C$131,MATCH(E1891,'NCO-2015 scores'!$A$2:$A$131,0)),0)</f>
        <v>0.3067</v>
      </c>
      <c r="J1891" s="13" t="n">
        <f aca="false">IF(ISNUMBER(MATCH(E1891,'NCO-2015 scores'!$A$2:$A$131,0)),IF(ISNUMBER(INDEX('NCO-2015 scores'!$C$2:$C$131,MATCH(E1891,'NCO-2015 scores'!$A$2:$A$131,0))),1,0),0)</f>
        <v>1</v>
      </c>
    </row>
    <row r="1892" customFormat="false" ht="15" hidden="false" customHeight="false" outlineLevel="0" collapsed="false">
      <c r="A1892" s="2" t="n">
        <v>1888</v>
      </c>
      <c r="B1892" s="2" t="s">
        <v>5676</v>
      </c>
      <c r="C1892" s="2" t="s">
        <v>5677</v>
      </c>
      <c r="D1892" s="2" t="s">
        <v>5678</v>
      </c>
      <c r="E1892" s="2" t="str">
        <f aca="false">LEFT(C1892,3)</f>
        <v>312</v>
      </c>
      <c r="F1892" s="2" t="str">
        <f aca="false">IF(D1892="","",LEFT(D1892,3))</f>
        <v>829</v>
      </c>
      <c r="G1892" s="2" t="str">
        <f aca="false">IF(F1892="","",IF(E1892=F1892,"Yes","No"))</f>
        <v>No</v>
      </c>
      <c r="H1892" s="2" t="n">
        <f aca="false">IF(D1892="",0,1/COUNTIF($D$2:$D$3451,D1892))</f>
        <v>1</v>
      </c>
      <c r="I1892" s="13" t="n">
        <f aca="false">IFERROR(INDEX('NCO-2015 scores'!$C$2:$C$131,MATCH(E1892,'NCO-2015 scores'!$A$2:$A$131,0)),0)</f>
        <v>0.3067</v>
      </c>
      <c r="J1892" s="13" t="n">
        <f aca="false">IF(ISNUMBER(MATCH(E1892,'NCO-2015 scores'!$A$2:$A$131,0)),IF(ISNUMBER(INDEX('NCO-2015 scores'!$C$2:$C$131,MATCH(E1892,'NCO-2015 scores'!$A$2:$A$131,0))),1,0),0)</f>
        <v>1</v>
      </c>
    </row>
    <row r="1893" customFormat="false" ht="15" hidden="false" customHeight="false" outlineLevel="0" collapsed="false">
      <c r="A1893" s="2" t="n">
        <v>1889</v>
      </c>
      <c r="B1893" s="2" t="s">
        <v>5679</v>
      </c>
      <c r="C1893" s="2" t="s">
        <v>5680</v>
      </c>
      <c r="D1893" s="2" t="s">
        <v>5681</v>
      </c>
      <c r="E1893" s="2" t="str">
        <f aca="false">LEFT(C1893,3)</f>
        <v>312</v>
      </c>
      <c r="F1893" s="2" t="str">
        <f aca="false">IF(D1893="","",LEFT(D1893,3))</f>
        <v>721</v>
      </c>
      <c r="G1893" s="2" t="str">
        <f aca="false">IF(F1893="","",IF(E1893=F1893,"Yes","No"))</f>
        <v>No</v>
      </c>
      <c r="H1893" s="2" t="n">
        <f aca="false">IF(D1893="",0,1/COUNTIF($D$2:$D$3451,D1893))</f>
        <v>1</v>
      </c>
      <c r="I1893" s="13" t="n">
        <f aca="false">IFERROR(INDEX('NCO-2015 scores'!$C$2:$C$131,MATCH(E1893,'NCO-2015 scores'!$A$2:$A$131,0)),0)</f>
        <v>0.3067</v>
      </c>
      <c r="J1893" s="13" t="n">
        <f aca="false">IF(ISNUMBER(MATCH(E1893,'NCO-2015 scores'!$A$2:$A$131,0)),IF(ISNUMBER(INDEX('NCO-2015 scores'!$C$2:$C$131,MATCH(E1893,'NCO-2015 scores'!$A$2:$A$131,0))),1,0),0)</f>
        <v>1</v>
      </c>
    </row>
    <row r="1894" customFormat="false" ht="15" hidden="false" customHeight="false" outlineLevel="0" collapsed="false">
      <c r="A1894" s="2" t="n">
        <v>1890</v>
      </c>
      <c r="B1894" s="2" t="s">
        <v>5682</v>
      </c>
      <c r="C1894" s="2" t="s">
        <v>5683</v>
      </c>
      <c r="D1894" s="2" t="s">
        <v>5684</v>
      </c>
      <c r="E1894" s="2" t="str">
        <f aca="false">LEFT(C1894,3)</f>
        <v>312</v>
      </c>
      <c r="F1894" s="2" t="str">
        <f aca="false">IF(D1894="","",LEFT(D1894,3))</f>
        <v>742</v>
      </c>
      <c r="G1894" s="2" t="str">
        <f aca="false">IF(F1894="","",IF(E1894=F1894,"Yes","No"))</f>
        <v>No</v>
      </c>
      <c r="H1894" s="2" t="n">
        <f aca="false">IF(D1894="",0,1/COUNTIF($D$2:$D$3451,D1894))</f>
        <v>1</v>
      </c>
      <c r="I1894" s="13" t="n">
        <f aca="false">IFERROR(INDEX('NCO-2015 scores'!$C$2:$C$131,MATCH(E1894,'NCO-2015 scores'!$A$2:$A$131,0)),0)</f>
        <v>0.3067</v>
      </c>
      <c r="J1894" s="13" t="n">
        <f aca="false">IF(ISNUMBER(MATCH(E1894,'NCO-2015 scores'!$A$2:$A$131,0)),IF(ISNUMBER(INDEX('NCO-2015 scores'!$C$2:$C$131,MATCH(E1894,'NCO-2015 scores'!$A$2:$A$131,0))),1,0),0)</f>
        <v>1</v>
      </c>
    </row>
    <row r="1895" customFormat="false" ht="15" hidden="false" customHeight="false" outlineLevel="0" collapsed="false">
      <c r="A1895" s="2" t="n">
        <v>1891</v>
      </c>
      <c r="B1895" s="2" t="s">
        <v>5685</v>
      </c>
      <c r="C1895" s="2" t="s">
        <v>5686</v>
      </c>
      <c r="D1895" s="2" t="s">
        <v>5687</v>
      </c>
      <c r="E1895" s="2" t="str">
        <f aca="false">LEFT(C1895,3)</f>
        <v>312</v>
      </c>
      <c r="F1895" s="2" t="str">
        <f aca="false">IF(D1895="","",LEFT(D1895,3))</f>
        <v>827</v>
      </c>
      <c r="G1895" s="2" t="str">
        <f aca="false">IF(F1895="","",IF(E1895=F1895,"Yes","No"))</f>
        <v>No</v>
      </c>
      <c r="H1895" s="2" t="n">
        <f aca="false">IF(D1895="",0,1/COUNTIF($D$2:$D$3451,D1895))</f>
        <v>1</v>
      </c>
      <c r="I1895" s="13" t="n">
        <f aca="false">IFERROR(INDEX('NCO-2015 scores'!$C$2:$C$131,MATCH(E1895,'NCO-2015 scores'!$A$2:$A$131,0)),0)</f>
        <v>0.3067</v>
      </c>
      <c r="J1895" s="13" t="n">
        <f aca="false">IF(ISNUMBER(MATCH(E1895,'NCO-2015 scores'!$A$2:$A$131,0)),IF(ISNUMBER(INDEX('NCO-2015 scores'!$C$2:$C$131,MATCH(E1895,'NCO-2015 scores'!$A$2:$A$131,0))),1,0),0)</f>
        <v>1</v>
      </c>
    </row>
    <row r="1896" customFormat="false" ht="15" hidden="false" customHeight="false" outlineLevel="0" collapsed="false">
      <c r="A1896" s="2" t="n">
        <v>1892</v>
      </c>
      <c r="B1896" s="2" t="s">
        <v>5688</v>
      </c>
      <c r="C1896" s="2" t="s">
        <v>5689</v>
      </c>
      <c r="D1896" s="2"/>
      <c r="E1896" s="2" t="str">
        <f aca="false">LEFT(C1896,3)</f>
        <v>312</v>
      </c>
      <c r="F1896" s="2" t="str">
        <f aca="false">IF(D1896="","",LEFT(D1896,3))</f>
        <v/>
      </c>
      <c r="G1896" s="2" t="str">
        <f aca="false">IF(F1896="","",IF(E1896=F1896,"Yes","No"))</f>
        <v/>
      </c>
      <c r="H1896" s="2" t="n">
        <f aca="false">IF(D1896="",0,1/COUNTIF($D$2:$D$3451,D1896))</f>
        <v>0</v>
      </c>
      <c r="I1896" s="13" t="n">
        <f aca="false">IFERROR(INDEX('NCO-2015 scores'!$C$2:$C$131,MATCH(E1896,'NCO-2015 scores'!$A$2:$A$131,0)),0)</f>
        <v>0.3067</v>
      </c>
      <c r="J1896" s="13" t="n">
        <f aca="false">IF(ISNUMBER(MATCH(E1896,'NCO-2015 scores'!$A$2:$A$131,0)),IF(ISNUMBER(INDEX('NCO-2015 scores'!$C$2:$C$131,MATCH(E1896,'NCO-2015 scores'!$A$2:$A$131,0))),1,0),0)</f>
        <v>1</v>
      </c>
    </row>
    <row r="1897" customFormat="false" ht="15" hidden="false" customHeight="false" outlineLevel="0" collapsed="false">
      <c r="A1897" s="2" t="n">
        <v>1893</v>
      </c>
      <c r="B1897" s="2" t="s">
        <v>5690</v>
      </c>
      <c r="C1897" s="2" t="s">
        <v>5691</v>
      </c>
      <c r="D1897" s="2"/>
      <c r="E1897" s="2" t="str">
        <f aca="false">LEFT(C1897,3)</f>
        <v>312</v>
      </c>
      <c r="F1897" s="2" t="str">
        <f aca="false">IF(D1897="","",LEFT(D1897,3))</f>
        <v/>
      </c>
      <c r="G1897" s="2" t="str">
        <f aca="false">IF(F1897="","",IF(E1897=F1897,"Yes","No"))</f>
        <v/>
      </c>
      <c r="H1897" s="2" t="n">
        <f aca="false">IF(D1897="",0,1/COUNTIF($D$2:$D$3451,D1897))</f>
        <v>0</v>
      </c>
      <c r="I1897" s="13" t="n">
        <f aca="false">IFERROR(INDEX('NCO-2015 scores'!$C$2:$C$131,MATCH(E1897,'NCO-2015 scores'!$A$2:$A$131,0)),0)</f>
        <v>0.3067</v>
      </c>
      <c r="J1897" s="13" t="n">
        <f aca="false">IF(ISNUMBER(MATCH(E1897,'NCO-2015 scores'!$A$2:$A$131,0)),IF(ISNUMBER(INDEX('NCO-2015 scores'!$C$2:$C$131,MATCH(E1897,'NCO-2015 scores'!$A$2:$A$131,0))),1,0),0)</f>
        <v>1</v>
      </c>
    </row>
    <row r="1898" customFormat="false" ht="15" hidden="false" customHeight="false" outlineLevel="0" collapsed="false">
      <c r="A1898" s="2" t="n">
        <v>1894</v>
      </c>
      <c r="B1898" s="2" t="s">
        <v>5692</v>
      </c>
      <c r="C1898" s="2" t="s">
        <v>5693</v>
      </c>
      <c r="D1898" s="2"/>
      <c r="E1898" s="2" t="str">
        <f aca="false">LEFT(C1898,3)</f>
        <v>312</v>
      </c>
      <c r="F1898" s="2" t="str">
        <f aca="false">IF(D1898="","",LEFT(D1898,3))</f>
        <v/>
      </c>
      <c r="G1898" s="2" t="str">
        <f aca="false">IF(F1898="","",IF(E1898=F1898,"Yes","No"))</f>
        <v/>
      </c>
      <c r="H1898" s="2" t="n">
        <f aca="false">IF(D1898="",0,1/COUNTIF($D$2:$D$3451,D1898))</f>
        <v>0</v>
      </c>
      <c r="I1898" s="13" t="n">
        <f aca="false">IFERROR(INDEX('NCO-2015 scores'!$C$2:$C$131,MATCH(E1898,'NCO-2015 scores'!$A$2:$A$131,0)),0)</f>
        <v>0.3067</v>
      </c>
      <c r="J1898" s="13" t="n">
        <f aca="false">IF(ISNUMBER(MATCH(E1898,'NCO-2015 scores'!$A$2:$A$131,0)),IF(ISNUMBER(INDEX('NCO-2015 scores'!$C$2:$C$131,MATCH(E1898,'NCO-2015 scores'!$A$2:$A$131,0))),1,0),0)</f>
        <v>1</v>
      </c>
    </row>
    <row r="1899" customFormat="false" ht="15" hidden="false" customHeight="false" outlineLevel="0" collapsed="false">
      <c r="A1899" s="2" t="n">
        <v>1895</v>
      </c>
      <c r="B1899" s="2" t="s">
        <v>5694</v>
      </c>
      <c r="C1899" s="2" t="s">
        <v>5695</v>
      </c>
      <c r="D1899" s="2" t="s">
        <v>5696</v>
      </c>
      <c r="E1899" s="2" t="str">
        <f aca="false">LEFT(C1899,3)</f>
        <v>312</v>
      </c>
      <c r="F1899" s="2" t="str">
        <f aca="false">IF(D1899="","",LEFT(D1899,3))</f>
        <v>721</v>
      </c>
      <c r="G1899" s="2" t="str">
        <f aca="false">IF(F1899="","",IF(E1899=F1899,"Yes","No"))</f>
        <v>No</v>
      </c>
      <c r="H1899" s="2" t="n">
        <f aca="false">IF(D1899="",0,1/COUNTIF($D$2:$D$3451,D1899))</f>
        <v>1</v>
      </c>
      <c r="I1899" s="13" t="n">
        <f aca="false">IFERROR(INDEX('NCO-2015 scores'!$C$2:$C$131,MATCH(E1899,'NCO-2015 scores'!$A$2:$A$131,0)),0)</f>
        <v>0.3067</v>
      </c>
      <c r="J1899" s="13" t="n">
        <f aca="false">IF(ISNUMBER(MATCH(E1899,'NCO-2015 scores'!$A$2:$A$131,0)),IF(ISNUMBER(INDEX('NCO-2015 scores'!$C$2:$C$131,MATCH(E1899,'NCO-2015 scores'!$A$2:$A$131,0))),1,0),0)</f>
        <v>1</v>
      </c>
    </row>
    <row r="1900" customFormat="false" ht="15" hidden="false" customHeight="false" outlineLevel="0" collapsed="false">
      <c r="A1900" s="2" t="n">
        <v>1896</v>
      </c>
      <c r="B1900" s="2" t="s">
        <v>5697</v>
      </c>
      <c r="C1900" s="2" t="s">
        <v>5698</v>
      </c>
      <c r="D1900" s="2"/>
      <c r="E1900" s="2" t="str">
        <f aca="false">LEFT(C1900,3)</f>
        <v>312</v>
      </c>
      <c r="F1900" s="2" t="str">
        <f aca="false">IF(D1900="","",LEFT(D1900,3))</f>
        <v/>
      </c>
      <c r="G1900" s="2" t="str">
        <f aca="false">IF(F1900="","",IF(E1900=F1900,"Yes","No"))</f>
        <v/>
      </c>
      <c r="H1900" s="2" t="n">
        <f aca="false">IF(D1900="",0,1/COUNTIF($D$2:$D$3451,D1900))</f>
        <v>0</v>
      </c>
      <c r="I1900" s="13" t="n">
        <f aca="false">IFERROR(INDEX('NCO-2015 scores'!$C$2:$C$131,MATCH(E1900,'NCO-2015 scores'!$A$2:$A$131,0)),0)</f>
        <v>0.3067</v>
      </c>
      <c r="J1900" s="13" t="n">
        <f aca="false">IF(ISNUMBER(MATCH(E1900,'NCO-2015 scores'!$A$2:$A$131,0)),IF(ISNUMBER(INDEX('NCO-2015 scores'!$C$2:$C$131,MATCH(E1900,'NCO-2015 scores'!$A$2:$A$131,0))),1,0),0)</f>
        <v>1</v>
      </c>
    </row>
    <row r="1901" customFormat="false" ht="15" hidden="false" customHeight="false" outlineLevel="0" collapsed="false">
      <c r="A1901" s="2" t="n">
        <v>1897</v>
      </c>
      <c r="B1901" s="2" t="s">
        <v>5699</v>
      </c>
      <c r="C1901" s="2" t="s">
        <v>5700</v>
      </c>
      <c r="D1901" s="2"/>
      <c r="E1901" s="2" t="str">
        <f aca="false">LEFT(C1901,3)</f>
        <v>312</v>
      </c>
      <c r="F1901" s="2" t="str">
        <f aca="false">IF(D1901="","",LEFT(D1901,3))</f>
        <v/>
      </c>
      <c r="G1901" s="2" t="str">
        <f aca="false">IF(F1901="","",IF(E1901=F1901,"Yes","No"))</f>
        <v/>
      </c>
      <c r="H1901" s="2" t="n">
        <f aca="false">IF(D1901="",0,1/COUNTIF($D$2:$D$3451,D1901))</f>
        <v>0</v>
      </c>
      <c r="I1901" s="13" t="n">
        <f aca="false">IFERROR(INDEX('NCO-2015 scores'!$C$2:$C$131,MATCH(E1901,'NCO-2015 scores'!$A$2:$A$131,0)),0)</f>
        <v>0.3067</v>
      </c>
      <c r="J1901" s="13" t="n">
        <f aca="false">IF(ISNUMBER(MATCH(E1901,'NCO-2015 scores'!$A$2:$A$131,0)),IF(ISNUMBER(INDEX('NCO-2015 scores'!$C$2:$C$131,MATCH(E1901,'NCO-2015 scores'!$A$2:$A$131,0))),1,0),0)</f>
        <v>1</v>
      </c>
    </row>
    <row r="1902" customFormat="false" ht="15" hidden="false" customHeight="false" outlineLevel="0" collapsed="false">
      <c r="A1902" s="2" t="n">
        <v>1898</v>
      </c>
      <c r="B1902" s="2" t="s">
        <v>5701</v>
      </c>
      <c r="C1902" s="2" t="s">
        <v>5702</v>
      </c>
      <c r="D1902" s="2"/>
      <c r="E1902" s="2" t="str">
        <f aca="false">LEFT(C1902,3)</f>
        <v>312</v>
      </c>
      <c r="F1902" s="2" t="str">
        <f aca="false">IF(D1902="","",LEFT(D1902,3))</f>
        <v/>
      </c>
      <c r="G1902" s="2" t="str">
        <f aca="false">IF(F1902="","",IF(E1902=F1902,"Yes","No"))</f>
        <v/>
      </c>
      <c r="H1902" s="2" t="n">
        <f aca="false">IF(D1902="",0,1/COUNTIF($D$2:$D$3451,D1902))</f>
        <v>0</v>
      </c>
      <c r="I1902" s="13" t="n">
        <f aca="false">IFERROR(INDEX('NCO-2015 scores'!$C$2:$C$131,MATCH(E1902,'NCO-2015 scores'!$A$2:$A$131,0)),0)</f>
        <v>0.3067</v>
      </c>
      <c r="J1902" s="13" t="n">
        <f aca="false">IF(ISNUMBER(MATCH(E1902,'NCO-2015 scores'!$A$2:$A$131,0)),IF(ISNUMBER(INDEX('NCO-2015 scores'!$C$2:$C$131,MATCH(E1902,'NCO-2015 scores'!$A$2:$A$131,0))),1,0),0)</f>
        <v>1</v>
      </c>
    </row>
    <row r="1903" customFormat="false" ht="15" hidden="false" customHeight="false" outlineLevel="0" collapsed="false">
      <c r="A1903" s="2" t="n">
        <v>1899</v>
      </c>
      <c r="B1903" s="2" t="s">
        <v>5703</v>
      </c>
      <c r="C1903" s="2" t="s">
        <v>5704</v>
      </c>
      <c r="D1903" s="2"/>
      <c r="E1903" s="2" t="str">
        <f aca="false">LEFT(C1903,3)</f>
        <v>312</v>
      </c>
      <c r="F1903" s="2" t="str">
        <f aca="false">IF(D1903="","",LEFT(D1903,3))</f>
        <v/>
      </c>
      <c r="G1903" s="2" t="str">
        <f aca="false">IF(F1903="","",IF(E1903=F1903,"Yes","No"))</f>
        <v/>
      </c>
      <c r="H1903" s="2" t="n">
        <f aca="false">IF(D1903="",0,1/COUNTIF($D$2:$D$3451,D1903))</f>
        <v>0</v>
      </c>
      <c r="I1903" s="13" t="n">
        <f aca="false">IFERROR(INDEX('NCO-2015 scores'!$C$2:$C$131,MATCH(E1903,'NCO-2015 scores'!$A$2:$A$131,0)),0)</f>
        <v>0.3067</v>
      </c>
      <c r="J1903" s="13" t="n">
        <f aca="false">IF(ISNUMBER(MATCH(E1903,'NCO-2015 scores'!$A$2:$A$131,0)),IF(ISNUMBER(INDEX('NCO-2015 scores'!$C$2:$C$131,MATCH(E1903,'NCO-2015 scores'!$A$2:$A$131,0))),1,0),0)</f>
        <v>1</v>
      </c>
    </row>
    <row r="1904" customFormat="false" ht="15" hidden="false" customHeight="false" outlineLevel="0" collapsed="false">
      <c r="A1904" s="2" t="n">
        <v>1900</v>
      </c>
      <c r="B1904" s="2" t="s">
        <v>5705</v>
      </c>
      <c r="C1904" s="2" t="s">
        <v>5706</v>
      </c>
      <c r="D1904" s="2"/>
      <c r="E1904" s="2" t="str">
        <f aca="false">LEFT(C1904,3)</f>
        <v>312</v>
      </c>
      <c r="F1904" s="2" t="str">
        <f aca="false">IF(D1904="","",LEFT(D1904,3))</f>
        <v/>
      </c>
      <c r="G1904" s="2" t="str">
        <f aca="false">IF(F1904="","",IF(E1904=F1904,"Yes","No"))</f>
        <v/>
      </c>
      <c r="H1904" s="2" t="n">
        <f aca="false">IF(D1904="",0,1/COUNTIF($D$2:$D$3451,D1904))</f>
        <v>0</v>
      </c>
      <c r="I1904" s="13" t="n">
        <f aca="false">IFERROR(INDEX('NCO-2015 scores'!$C$2:$C$131,MATCH(E1904,'NCO-2015 scores'!$A$2:$A$131,0)),0)</f>
        <v>0.3067</v>
      </c>
      <c r="J1904" s="13" t="n">
        <f aca="false">IF(ISNUMBER(MATCH(E1904,'NCO-2015 scores'!$A$2:$A$131,0)),IF(ISNUMBER(INDEX('NCO-2015 scores'!$C$2:$C$131,MATCH(E1904,'NCO-2015 scores'!$A$2:$A$131,0))),1,0),0)</f>
        <v>1</v>
      </c>
    </row>
    <row r="1905" customFormat="false" ht="15" hidden="false" customHeight="false" outlineLevel="0" collapsed="false">
      <c r="A1905" s="2" t="n">
        <v>1901</v>
      </c>
      <c r="B1905" s="2" t="s">
        <v>5707</v>
      </c>
      <c r="C1905" s="2" t="s">
        <v>5708</v>
      </c>
      <c r="D1905" s="2" t="s">
        <v>5709</v>
      </c>
      <c r="E1905" s="2" t="str">
        <f aca="false">LEFT(C1905,3)</f>
        <v>312</v>
      </c>
      <c r="F1905" s="2" t="str">
        <f aca="false">IF(D1905="","",LEFT(D1905,3))</f>
        <v>724</v>
      </c>
      <c r="G1905" s="2" t="str">
        <f aca="false">IF(F1905="","",IF(E1905=F1905,"Yes","No"))</f>
        <v>No</v>
      </c>
      <c r="H1905" s="2" t="n">
        <f aca="false">IF(D1905="",0,1/COUNTIF($D$2:$D$3451,D1905))</f>
        <v>1</v>
      </c>
      <c r="I1905" s="13" t="n">
        <f aca="false">IFERROR(INDEX('NCO-2015 scores'!$C$2:$C$131,MATCH(E1905,'NCO-2015 scores'!$A$2:$A$131,0)),0)</f>
        <v>0.3067</v>
      </c>
      <c r="J1905" s="13" t="n">
        <f aca="false">IF(ISNUMBER(MATCH(E1905,'NCO-2015 scores'!$A$2:$A$131,0)),IF(ISNUMBER(INDEX('NCO-2015 scores'!$C$2:$C$131,MATCH(E1905,'NCO-2015 scores'!$A$2:$A$131,0))),1,0),0)</f>
        <v>1</v>
      </c>
    </row>
    <row r="1906" customFormat="false" ht="15" hidden="false" customHeight="false" outlineLevel="0" collapsed="false">
      <c r="A1906" s="2" t="n">
        <v>1902</v>
      </c>
      <c r="B1906" s="2" t="s">
        <v>5710</v>
      </c>
      <c r="C1906" s="2" t="s">
        <v>5711</v>
      </c>
      <c r="D1906" s="2" t="s">
        <v>5712</v>
      </c>
      <c r="E1906" s="2" t="str">
        <f aca="false">LEFT(C1906,3)</f>
        <v>312</v>
      </c>
      <c r="F1906" s="2" t="str">
        <f aca="false">IF(D1906="","",LEFT(D1906,3))</f>
        <v>724</v>
      </c>
      <c r="G1906" s="2" t="str">
        <f aca="false">IF(F1906="","",IF(E1906=F1906,"Yes","No"))</f>
        <v>No</v>
      </c>
      <c r="H1906" s="2" t="n">
        <f aca="false">IF(D1906="",0,1/COUNTIF($D$2:$D$3451,D1906))</f>
        <v>1</v>
      </c>
      <c r="I1906" s="13" t="n">
        <f aca="false">IFERROR(INDEX('NCO-2015 scores'!$C$2:$C$131,MATCH(E1906,'NCO-2015 scores'!$A$2:$A$131,0)),0)</f>
        <v>0.3067</v>
      </c>
      <c r="J1906" s="13" t="n">
        <f aca="false">IF(ISNUMBER(MATCH(E1906,'NCO-2015 scores'!$A$2:$A$131,0)),IF(ISNUMBER(INDEX('NCO-2015 scores'!$C$2:$C$131,MATCH(E1906,'NCO-2015 scores'!$A$2:$A$131,0))),1,0),0)</f>
        <v>1</v>
      </c>
    </row>
    <row r="1907" customFormat="false" ht="15" hidden="false" customHeight="false" outlineLevel="0" collapsed="false">
      <c r="A1907" s="2" t="n">
        <v>1903</v>
      </c>
      <c r="B1907" s="2" t="s">
        <v>5713</v>
      </c>
      <c r="C1907" s="2" t="s">
        <v>5714</v>
      </c>
      <c r="D1907" s="2" t="s">
        <v>5715</v>
      </c>
      <c r="E1907" s="2" t="str">
        <f aca="false">LEFT(C1907,3)</f>
        <v>312</v>
      </c>
      <c r="F1907" s="2" t="str">
        <f aca="false">IF(D1907="","",LEFT(D1907,3))</f>
        <v>731</v>
      </c>
      <c r="G1907" s="2" t="str">
        <f aca="false">IF(F1907="","",IF(E1907=F1907,"Yes","No"))</f>
        <v>No</v>
      </c>
      <c r="H1907" s="2" t="n">
        <f aca="false">IF(D1907="",0,1/COUNTIF($D$2:$D$3451,D1907))</f>
        <v>1</v>
      </c>
      <c r="I1907" s="13" t="n">
        <f aca="false">IFERROR(INDEX('NCO-2015 scores'!$C$2:$C$131,MATCH(E1907,'NCO-2015 scores'!$A$2:$A$131,0)),0)</f>
        <v>0.3067</v>
      </c>
      <c r="J1907" s="13" t="n">
        <f aca="false">IF(ISNUMBER(MATCH(E1907,'NCO-2015 scores'!$A$2:$A$131,0)),IF(ISNUMBER(INDEX('NCO-2015 scores'!$C$2:$C$131,MATCH(E1907,'NCO-2015 scores'!$A$2:$A$131,0))),1,0),0)</f>
        <v>1</v>
      </c>
    </row>
    <row r="1908" customFormat="false" ht="15" hidden="false" customHeight="false" outlineLevel="0" collapsed="false">
      <c r="A1908" s="2" t="n">
        <v>1904</v>
      </c>
      <c r="B1908" s="2" t="s">
        <v>5716</v>
      </c>
      <c r="C1908" s="2" t="s">
        <v>5717</v>
      </c>
      <c r="D1908" s="2" t="s">
        <v>5718</v>
      </c>
      <c r="E1908" s="2" t="str">
        <f aca="false">LEFT(C1908,3)</f>
        <v>312</v>
      </c>
      <c r="F1908" s="2" t="str">
        <f aca="false">IF(D1908="","",LEFT(D1908,3))</f>
        <v>722</v>
      </c>
      <c r="G1908" s="2" t="str">
        <f aca="false">IF(F1908="","",IF(E1908=F1908,"Yes","No"))</f>
        <v>No</v>
      </c>
      <c r="H1908" s="2" t="n">
        <f aca="false">IF(D1908="",0,1/COUNTIF($D$2:$D$3451,D1908))</f>
        <v>1</v>
      </c>
      <c r="I1908" s="13" t="n">
        <f aca="false">IFERROR(INDEX('NCO-2015 scores'!$C$2:$C$131,MATCH(E1908,'NCO-2015 scores'!$A$2:$A$131,0)),0)</f>
        <v>0.3067</v>
      </c>
      <c r="J1908" s="13" t="n">
        <f aca="false">IF(ISNUMBER(MATCH(E1908,'NCO-2015 scores'!$A$2:$A$131,0)),IF(ISNUMBER(INDEX('NCO-2015 scores'!$C$2:$C$131,MATCH(E1908,'NCO-2015 scores'!$A$2:$A$131,0))),1,0),0)</f>
        <v>1</v>
      </c>
    </row>
    <row r="1909" customFormat="false" ht="15" hidden="false" customHeight="false" outlineLevel="0" collapsed="false">
      <c r="A1909" s="2" t="n">
        <v>1905</v>
      </c>
      <c r="B1909" s="2" t="s">
        <v>5719</v>
      </c>
      <c r="C1909" s="2" t="s">
        <v>5720</v>
      </c>
      <c r="D1909" s="2" t="s">
        <v>5721</v>
      </c>
      <c r="E1909" s="2" t="str">
        <f aca="false">LEFT(C1909,3)</f>
        <v>312</v>
      </c>
      <c r="F1909" s="2" t="str">
        <f aca="false">IF(D1909="","",LEFT(D1909,3))</f>
        <v>731</v>
      </c>
      <c r="G1909" s="2" t="str">
        <f aca="false">IF(F1909="","",IF(E1909=F1909,"Yes","No"))</f>
        <v>No</v>
      </c>
      <c r="H1909" s="2" t="n">
        <f aca="false">IF(D1909="",0,1/COUNTIF($D$2:$D$3451,D1909))</f>
        <v>1</v>
      </c>
      <c r="I1909" s="13" t="n">
        <f aca="false">IFERROR(INDEX('NCO-2015 scores'!$C$2:$C$131,MATCH(E1909,'NCO-2015 scores'!$A$2:$A$131,0)),0)</f>
        <v>0.3067</v>
      </c>
      <c r="J1909" s="13" t="n">
        <f aca="false">IF(ISNUMBER(MATCH(E1909,'NCO-2015 scores'!$A$2:$A$131,0)),IF(ISNUMBER(INDEX('NCO-2015 scores'!$C$2:$C$131,MATCH(E1909,'NCO-2015 scores'!$A$2:$A$131,0))),1,0),0)</f>
        <v>1</v>
      </c>
    </row>
    <row r="1910" customFormat="false" ht="15" hidden="false" customHeight="false" outlineLevel="0" collapsed="false">
      <c r="A1910" s="2" t="n">
        <v>1906</v>
      </c>
      <c r="B1910" s="2" t="s">
        <v>5722</v>
      </c>
      <c r="C1910" s="2" t="s">
        <v>5723</v>
      </c>
      <c r="D1910" s="2" t="s">
        <v>5724</v>
      </c>
      <c r="E1910" s="2" t="str">
        <f aca="false">LEFT(C1910,3)</f>
        <v>312</v>
      </c>
      <c r="F1910" s="2" t="str">
        <f aca="false">IF(D1910="","",LEFT(D1910,3))</f>
        <v>722</v>
      </c>
      <c r="G1910" s="2" t="str">
        <f aca="false">IF(F1910="","",IF(E1910=F1910,"Yes","No"))</f>
        <v>No</v>
      </c>
      <c r="H1910" s="2" t="n">
        <f aca="false">IF(D1910="",0,1/COUNTIF($D$2:$D$3451,D1910))</f>
        <v>1</v>
      </c>
      <c r="I1910" s="13" t="n">
        <f aca="false">IFERROR(INDEX('NCO-2015 scores'!$C$2:$C$131,MATCH(E1910,'NCO-2015 scores'!$A$2:$A$131,0)),0)</f>
        <v>0.3067</v>
      </c>
      <c r="J1910" s="13" t="n">
        <f aca="false">IF(ISNUMBER(MATCH(E1910,'NCO-2015 scores'!$A$2:$A$131,0)),IF(ISNUMBER(INDEX('NCO-2015 scores'!$C$2:$C$131,MATCH(E1910,'NCO-2015 scores'!$A$2:$A$131,0))),1,0),0)</f>
        <v>1</v>
      </c>
    </row>
    <row r="1911" customFormat="false" ht="15" hidden="false" customHeight="false" outlineLevel="0" collapsed="false">
      <c r="A1911" s="2" t="n">
        <v>1907</v>
      </c>
      <c r="B1911" s="2" t="s">
        <v>5725</v>
      </c>
      <c r="C1911" s="2" t="s">
        <v>5726</v>
      </c>
      <c r="D1911" s="2" t="s">
        <v>5727</v>
      </c>
      <c r="E1911" s="2" t="str">
        <f aca="false">LEFT(C1911,3)</f>
        <v>312</v>
      </c>
      <c r="F1911" s="2" t="str">
        <f aca="false">IF(D1911="","",LEFT(D1911,3))</f>
        <v>731</v>
      </c>
      <c r="G1911" s="2" t="str">
        <f aca="false">IF(F1911="","",IF(E1911=F1911,"Yes","No"))</f>
        <v>No</v>
      </c>
      <c r="H1911" s="2" t="n">
        <f aca="false">IF(D1911="",0,1/COUNTIF($D$2:$D$3451,D1911))</f>
        <v>1</v>
      </c>
      <c r="I1911" s="13" t="n">
        <f aca="false">IFERROR(INDEX('NCO-2015 scores'!$C$2:$C$131,MATCH(E1911,'NCO-2015 scores'!$A$2:$A$131,0)),0)</f>
        <v>0.3067</v>
      </c>
      <c r="J1911" s="13" t="n">
        <f aca="false">IF(ISNUMBER(MATCH(E1911,'NCO-2015 scores'!$A$2:$A$131,0)),IF(ISNUMBER(INDEX('NCO-2015 scores'!$C$2:$C$131,MATCH(E1911,'NCO-2015 scores'!$A$2:$A$131,0))),1,0),0)</f>
        <v>1</v>
      </c>
    </row>
    <row r="1912" customFormat="false" ht="15" hidden="false" customHeight="false" outlineLevel="0" collapsed="false">
      <c r="A1912" s="2" t="n">
        <v>1908</v>
      </c>
      <c r="B1912" s="2" t="s">
        <v>5728</v>
      </c>
      <c r="C1912" s="2" t="s">
        <v>5729</v>
      </c>
      <c r="D1912" s="2" t="s">
        <v>5730</v>
      </c>
      <c r="E1912" s="2" t="str">
        <f aca="false">LEFT(C1912,3)</f>
        <v>312</v>
      </c>
      <c r="F1912" s="2" t="str">
        <f aca="false">IF(D1912="","",LEFT(D1912,3))</f>
        <v>723</v>
      </c>
      <c r="G1912" s="2" t="str">
        <f aca="false">IF(F1912="","",IF(E1912=F1912,"Yes","No"))</f>
        <v>No</v>
      </c>
      <c r="H1912" s="2" t="n">
        <f aca="false">IF(D1912="",0,1/COUNTIF($D$2:$D$3451,D1912))</f>
        <v>1</v>
      </c>
      <c r="I1912" s="13" t="n">
        <f aca="false">IFERROR(INDEX('NCO-2015 scores'!$C$2:$C$131,MATCH(E1912,'NCO-2015 scores'!$A$2:$A$131,0)),0)</f>
        <v>0.3067</v>
      </c>
      <c r="J1912" s="13" t="n">
        <f aca="false">IF(ISNUMBER(MATCH(E1912,'NCO-2015 scores'!$A$2:$A$131,0)),IF(ISNUMBER(INDEX('NCO-2015 scores'!$C$2:$C$131,MATCH(E1912,'NCO-2015 scores'!$A$2:$A$131,0))),1,0),0)</f>
        <v>1</v>
      </c>
    </row>
    <row r="1913" customFormat="false" ht="15" hidden="false" customHeight="false" outlineLevel="0" collapsed="false">
      <c r="A1913" s="2" t="n">
        <v>1909</v>
      </c>
      <c r="B1913" s="2" t="s">
        <v>5731</v>
      </c>
      <c r="C1913" s="2" t="s">
        <v>5732</v>
      </c>
      <c r="D1913" s="2"/>
      <c r="E1913" s="2" t="str">
        <f aca="false">LEFT(C1913,3)</f>
        <v>312</v>
      </c>
      <c r="F1913" s="2" t="str">
        <f aca="false">IF(D1913="","",LEFT(D1913,3))</f>
        <v/>
      </c>
      <c r="G1913" s="2" t="str">
        <f aca="false">IF(F1913="","",IF(E1913=F1913,"Yes","No"))</f>
        <v/>
      </c>
      <c r="H1913" s="2" t="n">
        <f aca="false">IF(D1913="",0,1/COUNTIF($D$2:$D$3451,D1913))</f>
        <v>0</v>
      </c>
      <c r="I1913" s="13" t="n">
        <f aca="false">IFERROR(INDEX('NCO-2015 scores'!$C$2:$C$131,MATCH(E1913,'NCO-2015 scores'!$A$2:$A$131,0)),0)</f>
        <v>0.3067</v>
      </c>
      <c r="J1913" s="13" t="n">
        <f aca="false">IF(ISNUMBER(MATCH(E1913,'NCO-2015 scores'!$A$2:$A$131,0)),IF(ISNUMBER(INDEX('NCO-2015 scores'!$C$2:$C$131,MATCH(E1913,'NCO-2015 scores'!$A$2:$A$131,0))),1,0),0)</f>
        <v>1</v>
      </c>
    </row>
    <row r="1914" customFormat="false" ht="15" hidden="false" customHeight="false" outlineLevel="0" collapsed="false">
      <c r="A1914" s="2" t="n">
        <v>1910</v>
      </c>
      <c r="B1914" s="2" t="s">
        <v>5733</v>
      </c>
      <c r="C1914" s="2" t="s">
        <v>5734</v>
      </c>
      <c r="D1914" s="2" t="s">
        <v>5735</v>
      </c>
      <c r="E1914" s="2" t="str">
        <f aca="false">LEFT(C1914,3)</f>
        <v>312</v>
      </c>
      <c r="F1914" s="2" t="str">
        <f aca="false">IF(D1914="","",LEFT(D1914,3))</f>
        <v>723</v>
      </c>
      <c r="G1914" s="2" t="str">
        <f aca="false">IF(F1914="","",IF(E1914=F1914,"Yes","No"))</f>
        <v>No</v>
      </c>
      <c r="H1914" s="2" t="n">
        <f aca="false">IF(D1914="",0,1/COUNTIF($D$2:$D$3451,D1914))</f>
        <v>1</v>
      </c>
      <c r="I1914" s="13" t="n">
        <f aca="false">IFERROR(INDEX('NCO-2015 scores'!$C$2:$C$131,MATCH(E1914,'NCO-2015 scores'!$A$2:$A$131,0)),0)</f>
        <v>0.3067</v>
      </c>
      <c r="J1914" s="13" t="n">
        <f aca="false">IF(ISNUMBER(MATCH(E1914,'NCO-2015 scores'!$A$2:$A$131,0)),IF(ISNUMBER(INDEX('NCO-2015 scores'!$C$2:$C$131,MATCH(E1914,'NCO-2015 scores'!$A$2:$A$131,0))),1,0),0)</f>
        <v>1</v>
      </c>
    </row>
    <row r="1915" customFormat="false" ht="15" hidden="false" customHeight="false" outlineLevel="0" collapsed="false">
      <c r="A1915" s="2" t="n">
        <v>1911</v>
      </c>
      <c r="B1915" s="2" t="s">
        <v>5736</v>
      </c>
      <c r="C1915" s="2" t="s">
        <v>5737</v>
      </c>
      <c r="D1915" s="2"/>
      <c r="E1915" s="2" t="str">
        <f aca="false">LEFT(C1915,3)</f>
        <v>312</v>
      </c>
      <c r="F1915" s="2" t="str">
        <f aca="false">IF(D1915="","",LEFT(D1915,3))</f>
        <v/>
      </c>
      <c r="G1915" s="2" t="str">
        <f aca="false">IF(F1915="","",IF(E1915=F1915,"Yes","No"))</f>
        <v/>
      </c>
      <c r="H1915" s="2" t="n">
        <f aca="false">IF(D1915="",0,1/COUNTIF($D$2:$D$3451,D1915))</f>
        <v>0</v>
      </c>
      <c r="I1915" s="13" t="n">
        <f aca="false">IFERROR(INDEX('NCO-2015 scores'!$C$2:$C$131,MATCH(E1915,'NCO-2015 scores'!$A$2:$A$131,0)),0)</f>
        <v>0.3067</v>
      </c>
      <c r="J1915" s="13" t="n">
        <f aca="false">IF(ISNUMBER(MATCH(E1915,'NCO-2015 scores'!$A$2:$A$131,0)),IF(ISNUMBER(INDEX('NCO-2015 scores'!$C$2:$C$131,MATCH(E1915,'NCO-2015 scores'!$A$2:$A$131,0))),1,0),0)</f>
        <v>1</v>
      </c>
    </row>
    <row r="1916" customFormat="false" ht="15" hidden="false" customHeight="false" outlineLevel="0" collapsed="false">
      <c r="A1916" s="2" t="n">
        <v>1912</v>
      </c>
      <c r="B1916" s="2" t="s">
        <v>5738</v>
      </c>
      <c r="C1916" s="2" t="s">
        <v>5739</v>
      </c>
      <c r="D1916" s="2" t="s">
        <v>5740</v>
      </c>
      <c r="E1916" s="2" t="str">
        <f aca="false">LEFT(C1916,3)</f>
        <v>312</v>
      </c>
      <c r="F1916" s="2" t="str">
        <f aca="false">IF(D1916="","",LEFT(D1916,3))</f>
        <v>723</v>
      </c>
      <c r="G1916" s="2" t="str">
        <f aca="false">IF(F1916="","",IF(E1916=F1916,"Yes","No"))</f>
        <v>No</v>
      </c>
      <c r="H1916" s="2" t="n">
        <f aca="false">IF(D1916="",0,1/COUNTIF($D$2:$D$3451,D1916))</f>
        <v>1</v>
      </c>
      <c r="I1916" s="13" t="n">
        <f aca="false">IFERROR(INDEX('NCO-2015 scores'!$C$2:$C$131,MATCH(E1916,'NCO-2015 scores'!$A$2:$A$131,0)),0)</f>
        <v>0.3067</v>
      </c>
      <c r="J1916" s="13" t="n">
        <f aca="false">IF(ISNUMBER(MATCH(E1916,'NCO-2015 scores'!$A$2:$A$131,0)),IF(ISNUMBER(INDEX('NCO-2015 scores'!$C$2:$C$131,MATCH(E1916,'NCO-2015 scores'!$A$2:$A$131,0))),1,0),0)</f>
        <v>1</v>
      </c>
    </row>
    <row r="1917" customFormat="false" ht="15" hidden="false" customHeight="false" outlineLevel="0" collapsed="false">
      <c r="A1917" s="2" t="n">
        <v>1913</v>
      </c>
      <c r="B1917" s="2" t="s">
        <v>5741</v>
      </c>
      <c r="C1917" s="2" t="s">
        <v>5742</v>
      </c>
      <c r="D1917" s="2"/>
      <c r="E1917" s="2" t="str">
        <f aca="false">LEFT(C1917,3)</f>
        <v>312</v>
      </c>
      <c r="F1917" s="2" t="str">
        <f aca="false">IF(D1917="","",LEFT(D1917,3))</f>
        <v/>
      </c>
      <c r="G1917" s="2" t="str">
        <f aca="false">IF(F1917="","",IF(E1917=F1917,"Yes","No"))</f>
        <v/>
      </c>
      <c r="H1917" s="2" t="n">
        <f aca="false">IF(D1917="",0,1/COUNTIF($D$2:$D$3451,D1917))</f>
        <v>0</v>
      </c>
      <c r="I1917" s="13" t="n">
        <f aca="false">IFERROR(INDEX('NCO-2015 scores'!$C$2:$C$131,MATCH(E1917,'NCO-2015 scores'!$A$2:$A$131,0)),0)</f>
        <v>0.3067</v>
      </c>
      <c r="J1917" s="13" t="n">
        <f aca="false">IF(ISNUMBER(MATCH(E1917,'NCO-2015 scores'!$A$2:$A$131,0)),IF(ISNUMBER(INDEX('NCO-2015 scores'!$C$2:$C$131,MATCH(E1917,'NCO-2015 scores'!$A$2:$A$131,0))),1,0),0)</f>
        <v>1</v>
      </c>
    </row>
    <row r="1918" customFormat="false" ht="15" hidden="false" customHeight="false" outlineLevel="0" collapsed="false">
      <c r="A1918" s="2" t="n">
        <v>1914</v>
      </c>
      <c r="B1918" s="2" t="s">
        <v>5743</v>
      </c>
      <c r="C1918" s="2" t="s">
        <v>5744</v>
      </c>
      <c r="D1918" s="2" t="s">
        <v>5745</v>
      </c>
      <c r="E1918" s="2" t="str">
        <f aca="false">LEFT(C1918,3)</f>
        <v>312</v>
      </c>
      <c r="F1918" s="2" t="str">
        <f aca="false">IF(D1918="","",LEFT(D1918,3))</f>
        <v>724</v>
      </c>
      <c r="G1918" s="2" t="str">
        <f aca="false">IF(F1918="","",IF(E1918=F1918,"Yes","No"))</f>
        <v>No</v>
      </c>
      <c r="H1918" s="2" t="n">
        <f aca="false">IF(D1918="",0,1/COUNTIF($D$2:$D$3451,D1918))</f>
        <v>1</v>
      </c>
      <c r="I1918" s="13" t="n">
        <f aca="false">IFERROR(INDEX('NCO-2015 scores'!$C$2:$C$131,MATCH(E1918,'NCO-2015 scores'!$A$2:$A$131,0)),0)</f>
        <v>0.3067</v>
      </c>
      <c r="J1918" s="13" t="n">
        <f aca="false">IF(ISNUMBER(MATCH(E1918,'NCO-2015 scores'!$A$2:$A$131,0)),IF(ISNUMBER(INDEX('NCO-2015 scores'!$C$2:$C$131,MATCH(E1918,'NCO-2015 scores'!$A$2:$A$131,0))),1,0),0)</f>
        <v>1</v>
      </c>
    </row>
    <row r="1919" customFormat="false" ht="15" hidden="false" customHeight="false" outlineLevel="0" collapsed="false">
      <c r="A1919" s="2" t="n">
        <v>1915</v>
      </c>
      <c r="B1919" s="2" t="s">
        <v>5746</v>
      </c>
      <c r="C1919" s="2" t="s">
        <v>5747</v>
      </c>
      <c r="D1919" s="2" t="s">
        <v>5748</v>
      </c>
      <c r="E1919" s="2" t="str">
        <f aca="false">LEFT(C1919,3)</f>
        <v>312</v>
      </c>
      <c r="F1919" s="2" t="str">
        <f aca="false">IF(D1919="","",LEFT(D1919,3))</f>
        <v>724</v>
      </c>
      <c r="G1919" s="2" t="str">
        <f aca="false">IF(F1919="","",IF(E1919=F1919,"Yes","No"))</f>
        <v>No</v>
      </c>
      <c r="H1919" s="2" t="n">
        <f aca="false">IF(D1919="",0,1/COUNTIF($D$2:$D$3451,D1919))</f>
        <v>1</v>
      </c>
      <c r="I1919" s="13" t="n">
        <f aca="false">IFERROR(INDEX('NCO-2015 scores'!$C$2:$C$131,MATCH(E1919,'NCO-2015 scores'!$A$2:$A$131,0)),0)</f>
        <v>0.3067</v>
      </c>
      <c r="J1919" s="13" t="n">
        <f aca="false">IF(ISNUMBER(MATCH(E1919,'NCO-2015 scores'!$A$2:$A$131,0)),IF(ISNUMBER(INDEX('NCO-2015 scores'!$C$2:$C$131,MATCH(E1919,'NCO-2015 scores'!$A$2:$A$131,0))),1,0),0)</f>
        <v>1</v>
      </c>
    </row>
    <row r="1920" customFormat="false" ht="15" hidden="false" customHeight="false" outlineLevel="0" collapsed="false">
      <c r="A1920" s="2" t="n">
        <v>1916</v>
      </c>
      <c r="B1920" s="2" t="s">
        <v>5749</v>
      </c>
      <c r="C1920" s="2" t="s">
        <v>5750</v>
      </c>
      <c r="D1920" s="2" t="s">
        <v>5751</v>
      </c>
      <c r="E1920" s="2" t="str">
        <f aca="false">LEFT(C1920,3)</f>
        <v>312</v>
      </c>
      <c r="F1920" s="2" t="str">
        <f aca="false">IF(D1920="","",LEFT(D1920,3))</f>
        <v>724</v>
      </c>
      <c r="G1920" s="2" t="str">
        <f aca="false">IF(F1920="","",IF(E1920=F1920,"Yes","No"))</f>
        <v>No</v>
      </c>
      <c r="H1920" s="2" t="n">
        <f aca="false">IF(D1920="",0,1/COUNTIF($D$2:$D$3451,D1920))</f>
        <v>1</v>
      </c>
      <c r="I1920" s="13" t="n">
        <f aca="false">IFERROR(INDEX('NCO-2015 scores'!$C$2:$C$131,MATCH(E1920,'NCO-2015 scores'!$A$2:$A$131,0)),0)</f>
        <v>0.3067</v>
      </c>
      <c r="J1920" s="13" t="n">
        <f aca="false">IF(ISNUMBER(MATCH(E1920,'NCO-2015 scores'!$A$2:$A$131,0)),IF(ISNUMBER(INDEX('NCO-2015 scores'!$C$2:$C$131,MATCH(E1920,'NCO-2015 scores'!$A$2:$A$131,0))),1,0),0)</f>
        <v>1</v>
      </c>
    </row>
    <row r="1921" customFormat="false" ht="15" hidden="false" customHeight="false" outlineLevel="0" collapsed="false">
      <c r="A1921" s="2" t="n">
        <v>1917</v>
      </c>
      <c r="B1921" s="2" t="s">
        <v>5752</v>
      </c>
      <c r="C1921" s="2" t="s">
        <v>5753</v>
      </c>
      <c r="D1921" s="2"/>
      <c r="E1921" s="2" t="str">
        <f aca="false">LEFT(C1921,3)</f>
        <v>312</v>
      </c>
      <c r="F1921" s="2" t="str">
        <f aca="false">IF(D1921="","",LEFT(D1921,3))</f>
        <v/>
      </c>
      <c r="G1921" s="2" t="str">
        <f aca="false">IF(F1921="","",IF(E1921=F1921,"Yes","No"))</f>
        <v/>
      </c>
      <c r="H1921" s="2" t="n">
        <f aca="false">IF(D1921="",0,1/COUNTIF($D$2:$D$3451,D1921))</f>
        <v>0</v>
      </c>
      <c r="I1921" s="13" t="n">
        <f aca="false">IFERROR(INDEX('NCO-2015 scores'!$C$2:$C$131,MATCH(E1921,'NCO-2015 scores'!$A$2:$A$131,0)),0)</f>
        <v>0.3067</v>
      </c>
      <c r="J1921" s="13" t="n">
        <f aca="false">IF(ISNUMBER(MATCH(E1921,'NCO-2015 scores'!$A$2:$A$131,0)),IF(ISNUMBER(INDEX('NCO-2015 scores'!$C$2:$C$131,MATCH(E1921,'NCO-2015 scores'!$A$2:$A$131,0))),1,0),0)</f>
        <v>1</v>
      </c>
    </row>
    <row r="1922" customFormat="false" ht="15" hidden="false" customHeight="false" outlineLevel="0" collapsed="false">
      <c r="A1922" s="2" t="n">
        <v>1918</v>
      </c>
      <c r="B1922" s="2" t="s">
        <v>5754</v>
      </c>
      <c r="C1922" s="2" t="s">
        <v>5755</v>
      </c>
      <c r="D1922" s="2"/>
      <c r="E1922" s="2" t="str">
        <f aca="false">LEFT(C1922,3)</f>
        <v>312</v>
      </c>
      <c r="F1922" s="2" t="str">
        <f aca="false">IF(D1922="","",LEFT(D1922,3))</f>
        <v/>
      </c>
      <c r="G1922" s="2" t="str">
        <f aca="false">IF(F1922="","",IF(E1922=F1922,"Yes","No"))</f>
        <v/>
      </c>
      <c r="H1922" s="2" t="n">
        <f aca="false">IF(D1922="",0,1/COUNTIF($D$2:$D$3451,D1922))</f>
        <v>0</v>
      </c>
      <c r="I1922" s="13" t="n">
        <f aca="false">IFERROR(INDEX('NCO-2015 scores'!$C$2:$C$131,MATCH(E1922,'NCO-2015 scores'!$A$2:$A$131,0)),0)</f>
        <v>0.3067</v>
      </c>
      <c r="J1922" s="13" t="n">
        <f aca="false">IF(ISNUMBER(MATCH(E1922,'NCO-2015 scores'!$A$2:$A$131,0)),IF(ISNUMBER(INDEX('NCO-2015 scores'!$C$2:$C$131,MATCH(E1922,'NCO-2015 scores'!$A$2:$A$131,0))),1,0),0)</f>
        <v>1</v>
      </c>
    </row>
    <row r="1923" customFormat="false" ht="15" hidden="false" customHeight="false" outlineLevel="0" collapsed="false">
      <c r="A1923" s="2" t="n">
        <v>1919</v>
      </c>
      <c r="B1923" s="2" t="s">
        <v>5756</v>
      </c>
      <c r="C1923" s="2" t="s">
        <v>5757</v>
      </c>
      <c r="D1923" s="2"/>
      <c r="E1923" s="2" t="str">
        <f aca="false">LEFT(C1923,3)</f>
        <v>312</v>
      </c>
      <c r="F1923" s="2" t="str">
        <f aca="false">IF(D1923="","",LEFT(D1923,3))</f>
        <v/>
      </c>
      <c r="G1923" s="2" t="str">
        <f aca="false">IF(F1923="","",IF(E1923=F1923,"Yes","No"))</f>
        <v/>
      </c>
      <c r="H1923" s="2" t="n">
        <f aca="false">IF(D1923="",0,1/COUNTIF($D$2:$D$3451,D1923))</f>
        <v>0</v>
      </c>
      <c r="I1923" s="13" t="n">
        <f aca="false">IFERROR(INDEX('NCO-2015 scores'!$C$2:$C$131,MATCH(E1923,'NCO-2015 scores'!$A$2:$A$131,0)),0)</f>
        <v>0.3067</v>
      </c>
      <c r="J1923" s="13" t="n">
        <f aca="false">IF(ISNUMBER(MATCH(E1923,'NCO-2015 scores'!$A$2:$A$131,0)),IF(ISNUMBER(INDEX('NCO-2015 scores'!$C$2:$C$131,MATCH(E1923,'NCO-2015 scores'!$A$2:$A$131,0))),1,0),0)</f>
        <v>1</v>
      </c>
    </row>
    <row r="1924" customFormat="false" ht="15" hidden="false" customHeight="false" outlineLevel="0" collapsed="false">
      <c r="A1924" s="2" t="n">
        <v>1920</v>
      </c>
      <c r="B1924" s="2" t="s">
        <v>5758</v>
      </c>
      <c r="C1924" s="2" t="s">
        <v>5759</v>
      </c>
      <c r="D1924" s="2"/>
      <c r="E1924" s="2" t="str">
        <f aca="false">LEFT(C1924,3)</f>
        <v>312</v>
      </c>
      <c r="F1924" s="2" t="str">
        <f aca="false">IF(D1924="","",LEFT(D1924,3))</f>
        <v/>
      </c>
      <c r="G1924" s="2" t="str">
        <f aca="false">IF(F1924="","",IF(E1924=F1924,"Yes","No"))</f>
        <v/>
      </c>
      <c r="H1924" s="2" t="n">
        <f aca="false">IF(D1924="",0,1/COUNTIF($D$2:$D$3451,D1924))</f>
        <v>0</v>
      </c>
      <c r="I1924" s="13" t="n">
        <f aca="false">IFERROR(INDEX('NCO-2015 scores'!$C$2:$C$131,MATCH(E1924,'NCO-2015 scores'!$A$2:$A$131,0)),0)</f>
        <v>0.3067</v>
      </c>
      <c r="J1924" s="13" t="n">
        <f aca="false">IF(ISNUMBER(MATCH(E1924,'NCO-2015 scores'!$A$2:$A$131,0)),IF(ISNUMBER(INDEX('NCO-2015 scores'!$C$2:$C$131,MATCH(E1924,'NCO-2015 scores'!$A$2:$A$131,0))),1,0),0)</f>
        <v>1</v>
      </c>
    </row>
    <row r="1925" customFormat="false" ht="15" hidden="false" customHeight="false" outlineLevel="0" collapsed="false">
      <c r="A1925" s="2" t="n">
        <v>1921</v>
      </c>
      <c r="B1925" s="2" t="s">
        <v>5760</v>
      </c>
      <c r="C1925" s="2" t="s">
        <v>5761</v>
      </c>
      <c r="D1925" s="2"/>
      <c r="E1925" s="2" t="str">
        <f aca="false">LEFT(C1925,3)</f>
        <v>312</v>
      </c>
      <c r="F1925" s="2" t="str">
        <f aca="false">IF(D1925="","",LEFT(D1925,3))</f>
        <v/>
      </c>
      <c r="G1925" s="2" t="str">
        <f aca="false">IF(F1925="","",IF(E1925=F1925,"Yes","No"))</f>
        <v/>
      </c>
      <c r="H1925" s="2" t="n">
        <f aca="false">IF(D1925="",0,1/COUNTIF($D$2:$D$3451,D1925))</f>
        <v>0</v>
      </c>
      <c r="I1925" s="13" t="n">
        <f aca="false">IFERROR(INDEX('NCO-2015 scores'!$C$2:$C$131,MATCH(E1925,'NCO-2015 scores'!$A$2:$A$131,0)),0)</f>
        <v>0.3067</v>
      </c>
      <c r="J1925" s="13" t="n">
        <f aca="false">IF(ISNUMBER(MATCH(E1925,'NCO-2015 scores'!$A$2:$A$131,0)),IF(ISNUMBER(INDEX('NCO-2015 scores'!$C$2:$C$131,MATCH(E1925,'NCO-2015 scores'!$A$2:$A$131,0))),1,0),0)</f>
        <v>1</v>
      </c>
    </row>
    <row r="1926" customFormat="false" ht="15" hidden="false" customHeight="false" outlineLevel="0" collapsed="false">
      <c r="A1926" s="2" t="n">
        <v>1922</v>
      </c>
      <c r="B1926" s="2" t="s">
        <v>5762</v>
      </c>
      <c r="C1926" s="2" t="s">
        <v>5763</v>
      </c>
      <c r="D1926" s="2"/>
      <c r="E1926" s="2" t="str">
        <f aca="false">LEFT(C1926,3)</f>
        <v>312</v>
      </c>
      <c r="F1926" s="2" t="str">
        <f aca="false">IF(D1926="","",LEFT(D1926,3))</f>
        <v/>
      </c>
      <c r="G1926" s="2" t="str">
        <f aca="false">IF(F1926="","",IF(E1926=F1926,"Yes","No"))</f>
        <v/>
      </c>
      <c r="H1926" s="2" t="n">
        <f aca="false">IF(D1926="",0,1/COUNTIF($D$2:$D$3451,D1926))</f>
        <v>0</v>
      </c>
      <c r="I1926" s="13" t="n">
        <f aca="false">IFERROR(INDEX('NCO-2015 scores'!$C$2:$C$131,MATCH(E1926,'NCO-2015 scores'!$A$2:$A$131,0)),0)</f>
        <v>0.3067</v>
      </c>
      <c r="J1926" s="13" t="n">
        <f aca="false">IF(ISNUMBER(MATCH(E1926,'NCO-2015 scores'!$A$2:$A$131,0)),IF(ISNUMBER(INDEX('NCO-2015 scores'!$C$2:$C$131,MATCH(E1926,'NCO-2015 scores'!$A$2:$A$131,0))),1,0),0)</f>
        <v>1</v>
      </c>
    </row>
    <row r="1927" customFormat="false" ht="15" hidden="false" customHeight="false" outlineLevel="0" collapsed="false">
      <c r="A1927" s="2" t="n">
        <v>1923</v>
      </c>
      <c r="B1927" s="2" t="s">
        <v>5764</v>
      </c>
      <c r="C1927" s="2" t="s">
        <v>5765</v>
      </c>
      <c r="D1927" s="2" t="s">
        <v>5766</v>
      </c>
      <c r="E1927" s="2" t="str">
        <f aca="false">LEFT(C1927,3)</f>
        <v>312</v>
      </c>
      <c r="F1927" s="2" t="str">
        <f aca="false">IF(D1927="","",LEFT(D1927,3))</f>
        <v>734</v>
      </c>
      <c r="G1927" s="2" t="str">
        <f aca="false">IF(F1927="","",IF(E1927=F1927,"Yes","No"))</f>
        <v>No</v>
      </c>
      <c r="H1927" s="2" t="n">
        <f aca="false">IF(D1927="",0,1/COUNTIF($D$2:$D$3451,D1927))</f>
        <v>1</v>
      </c>
      <c r="I1927" s="13" t="n">
        <f aca="false">IFERROR(INDEX('NCO-2015 scores'!$C$2:$C$131,MATCH(E1927,'NCO-2015 scores'!$A$2:$A$131,0)),0)</f>
        <v>0.3067</v>
      </c>
      <c r="J1927" s="13" t="n">
        <f aca="false">IF(ISNUMBER(MATCH(E1927,'NCO-2015 scores'!$A$2:$A$131,0)),IF(ISNUMBER(INDEX('NCO-2015 scores'!$C$2:$C$131,MATCH(E1927,'NCO-2015 scores'!$A$2:$A$131,0))),1,0),0)</f>
        <v>1</v>
      </c>
    </row>
    <row r="1928" customFormat="false" ht="15" hidden="false" customHeight="false" outlineLevel="0" collapsed="false">
      <c r="A1928" s="2" t="n">
        <v>1924</v>
      </c>
      <c r="B1928" s="2" t="s">
        <v>5767</v>
      </c>
      <c r="C1928" s="2" t="s">
        <v>5768</v>
      </c>
      <c r="D1928" s="2" t="s">
        <v>5769</v>
      </c>
      <c r="E1928" s="2" t="str">
        <f aca="false">LEFT(C1928,3)</f>
        <v>312</v>
      </c>
      <c r="F1928" s="2" t="str">
        <f aca="false">IF(D1928="","",LEFT(D1928,3))</f>
        <v>734</v>
      </c>
      <c r="G1928" s="2" t="str">
        <f aca="false">IF(F1928="","",IF(E1928=F1928,"Yes","No"))</f>
        <v>No</v>
      </c>
      <c r="H1928" s="2" t="n">
        <f aca="false">IF(D1928="",0,1/COUNTIF($D$2:$D$3451,D1928))</f>
        <v>1</v>
      </c>
      <c r="I1928" s="13" t="n">
        <f aca="false">IFERROR(INDEX('NCO-2015 scores'!$C$2:$C$131,MATCH(E1928,'NCO-2015 scores'!$A$2:$A$131,0)),0)</f>
        <v>0.3067</v>
      </c>
      <c r="J1928" s="13" t="n">
        <f aca="false">IF(ISNUMBER(MATCH(E1928,'NCO-2015 scores'!$A$2:$A$131,0)),IF(ISNUMBER(INDEX('NCO-2015 scores'!$C$2:$C$131,MATCH(E1928,'NCO-2015 scores'!$A$2:$A$131,0))),1,0),0)</f>
        <v>1</v>
      </c>
    </row>
    <row r="1929" customFormat="false" ht="15" hidden="false" customHeight="false" outlineLevel="0" collapsed="false">
      <c r="A1929" s="2" t="n">
        <v>1925</v>
      </c>
      <c r="B1929" s="2" t="s">
        <v>5770</v>
      </c>
      <c r="C1929" s="2" t="s">
        <v>5771</v>
      </c>
      <c r="D1929" s="2" t="s">
        <v>5772</v>
      </c>
      <c r="E1929" s="2" t="str">
        <f aca="false">LEFT(C1929,3)</f>
        <v>312</v>
      </c>
      <c r="F1929" s="2" t="str">
        <f aca="false">IF(D1929="","",LEFT(D1929,3))</f>
        <v>741</v>
      </c>
      <c r="G1929" s="2" t="str">
        <f aca="false">IF(F1929="","",IF(E1929=F1929,"Yes","No"))</f>
        <v>No</v>
      </c>
      <c r="H1929" s="2" t="n">
        <f aca="false">IF(D1929="",0,1/COUNTIF($D$2:$D$3451,D1929))</f>
        <v>1</v>
      </c>
      <c r="I1929" s="13" t="n">
        <f aca="false">IFERROR(INDEX('NCO-2015 scores'!$C$2:$C$131,MATCH(E1929,'NCO-2015 scores'!$A$2:$A$131,0)),0)</f>
        <v>0.3067</v>
      </c>
      <c r="J1929" s="13" t="n">
        <f aca="false">IF(ISNUMBER(MATCH(E1929,'NCO-2015 scores'!$A$2:$A$131,0)),IF(ISNUMBER(INDEX('NCO-2015 scores'!$C$2:$C$131,MATCH(E1929,'NCO-2015 scores'!$A$2:$A$131,0))),1,0),0)</f>
        <v>1</v>
      </c>
    </row>
    <row r="1930" customFormat="false" ht="15" hidden="false" customHeight="false" outlineLevel="0" collapsed="false">
      <c r="A1930" s="2" t="n">
        <v>1926</v>
      </c>
      <c r="B1930" s="2" t="s">
        <v>5773</v>
      </c>
      <c r="C1930" s="2" t="s">
        <v>5774</v>
      </c>
      <c r="D1930" s="2" t="s">
        <v>5775</v>
      </c>
      <c r="E1930" s="2" t="str">
        <f aca="false">LEFT(C1930,3)</f>
        <v>312</v>
      </c>
      <c r="F1930" s="2" t="str">
        <f aca="false">IF(D1930="","",LEFT(D1930,3))</f>
        <v>741</v>
      </c>
      <c r="G1930" s="2" t="str">
        <f aca="false">IF(F1930="","",IF(E1930=F1930,"Yes","No"))</f>
        <v>No</v>
      </c>
      <c r="H1930" s="2" t="n">
        <f aca="false">IF(D1930="",0,1/COUNTIF($D$2:$D$3451,D1930))</f>
        <v>1</v>
      </c>
      <c r="I1930" s="13" t="n">
        <f aca="false">IFERROR(INDEX('NCO-2015 scores'!$C$2:$C$131,MATCH(E1930,'NCO-2015 scores'!$A$2:$A$131,0)),0)</f>
        <v>0.3067</v>
      </c>
      <c r="J1930" s="13" t="n">
        <f aca="false">IF(ISNUMBER(MATCH(E1930,'NCO-2015 scores'!$A$2:$A$131,0)),IF(ISNUMBER(INDEX('NCO-2015 scores'!$C$2:$C$131,MATCH(E1930,'NCO-2015 scores'!$A$2:$A$131,0))),1,0),0)</f>
        <v>1</v>
      </c>
    </row>
    <row r="1931" customFormat="false" ht="15" hidden="false" customHeight="false" outlineLevel="0" collapsed="false">
      <c r="A1931" s="2" t="n">
        <v>1927</v>
      </c>
      <c r="B1931" s="2" t="s">
        <v>5776</v>
      </c>
      <c r="C1931" s="2" t="s">
        <v>5777</v>
      </c>
      <c r="D1931" s="2"/>
      <c r="E1931" s="2" t="str">
        <f aca="false">LEFT(C1931,3)</f>
        <v>312</v>
      </c>
      <c r="F1931" s="2" t="str">
        <f aca="false">IF(D1931="","",LEFT(D1931,3))</f>
        <v/>
      </c>
      <c r="G1931" s="2" t="str">
        <f aca="false">IF(F1931="","",IF(E1931=F1931,"Yes","No"))</f>
        <v/>
      </c>
      <c r="H1931" s="2" t="n">
        <f aca="false">IF(D1931="",0,1/COUNTIF($D$2:$D$3451,D1931))</f>
        <v>0</v>
      </c>
      <c r="I1931" s="13" t="n">
        <f aca="false">IFERROR(INDEX('NCO-2015 scores'!$C$2:$C$131,MATCH(E1931,'NCO-2015 scores'!$A$2:$A$131,0)),0)</f>
        <v>0.3067</v>
      </c>
      <c r="J1931" s="13" t="n">
        <f aca="false">IF(ISNUMBER(MATCH(E1931,'NCO-2015 scores'!$A$2:$A$131,0)),IF(ISNUMBER(INDEX('NCO-2015 scores'!$C$2:$C$131,MATCH(E1931,'NCO-2015 scores'!$A$2:$A$131,0))),1,0),0)</f>
        <v>1</v>
      </c>
    </row>
    <row r="1932" customFormat="false" ht="15" hidden="false" customHeight="false" outlineLevel="0" collapsed="false">
      <c r="A1932" s="2" t="n">
        <v>1928</v>
      </c>
      <c r="B1932" s="2" t="s">
        <v>5778</v>
      </c>
      <c r="C1932" s="2" t="s">
        <v>5779</v>
      </c>
      <c r="D1932" s="2" t="s">
        <v>5780</v>
      </c>
      <c r="E1932" s="2" t="str">
        <f aca="false">LEFT(C1932,3)</f>
        <v>312</v>
      </c>
      <c r="F1932" s="2" t="str">
        <f aca="false">IF(D1932="","",LEFT(D1932,3))</f>
        <v>741</v>
      </c>
      <c r="G1932" s="2" t="str">
        <f aca="false">IF(F1932="","",IF(E1932=F1932,"Yes","No"))</f>
        <v>No</v>
      </c>
      <c r="H1932" s="2" t="n">
        <f aca="false">IF(D1932="",0,1/COUNTIF($D$2:$D$3451,D1932))</f>
        <v>1</v>
      </c>
      <c r="I1932" s="13" t="n">
        <f aca="false">IFERROR(INDEX('NCO-2015 scores'!$C$2:$C$131,MATCH(E1932,'NCO-2015 scores'!$A$2:$A$131,0)),0)</f>
        <v>0.3067</v>
      </c>
      <c r="J1932" s="13" t="n">
        <f aca="false">IF(ISNUMBER(MATCH(E1932,'NCO-2015 scores'!$A$2:$A$131,0)),IF(ISNUMBER(INDEX('NCO-2015 scores'!$C$2:$C$131,MATCH(E1932,'NCO-2015 scores'!$A$2:$A$131,0))),1,0),0)</f>
        <v>1</v>
      </c>
    </row>
    <row r="1933" customFormat="false" ht="15" hidden="false" customHeight="false" outlineLevel="0" collapsed="false">
      <c r="A1933" s="2" t="n">
        <v>1929</v>
      </c>
      <c r="B1933" s="2" t="s">
        <v>5781</v>
      </c>
      <c r="C1933" s="2" t="s">
        <v>5782</v>
      </c>
      <c r="D1933" s="2"/>
      <c r="E1933" s="2" t="str">
        <f aca="false">LEFT(C1933,3)</f>
        <v>312</v>
      </c>
      <c r="F1933" s="2" t="str">
        <f aca="false">IF(D1933="","",LEFT(D1933,3))</f>
        <v/>
      </c>
      <c r="G1933" s="2" t="str">
        <f aca="false">IF(F1933="","",IF(E1933=F1933,"Yes","No"))</f>
        <v/>
      </c>
      <c r="H1933" s="2" t="n">
        <f aca="false">IF(D1933="",0,1/COUNTIF($D$2:$D$3451,D1933))</f>
        <v>0</v>
      </c>
      <c r="I1933" s="13" t="n">
        <f aca="false">IFERROR(INDEX('NCO-2015 scores'!$C$2:$C$131,MATCH(E1933,'NCO-2015 scores'!$A$2:$A$131,0)),0)</f>
        <v>0.3067</v>
      </c>
      <c r="J1933" s="13" t="n">
        <f aca="false">IF(ISNUMBER(MATCH(E1933,'NCO-2015 scores'!$A$2:$A$131,0)),IF(ISNUMBER(INDEX('NCO-2015 scores'!$C$2:$C$131,MATCH(E1933,'NCO-2015 scores'!$A$2:$A$131,0))),1,0),0)</f>
        <v>1</v>
      </c>
    </row>
    <row r="1934" customFormat="false" ht="15" hidden="false" customHeight="false" outlineLevel="0" collapsed="false">
      <c r="A1934" s="2" t="n">
        <v>1930</v>
      </c>
      <c r="B1934" s="2" t="s">
        <v>5783</v>
      </c>
      <c r="C1934" s="2" t="s">
        <v>5784</v>
      </c>
      <c r="D1934" s="2" t="s">
        <v>5785</v>
      </c>
      <c r="E1934" s="2" t="str">
        <f aca="false">LEFT(C1934,3)</f>
        <v>312</v>
      </c>
      <c r="F1934" s="2" t="str">
        <f aca="false">IF(D1934="","",LEFT(D1934,3))</f>
        <v>741</v>
      </c>
      <c r="G1934" s="2" t="str">
        <f aca="false">IF(F1934="","",IF(E1934=F1934,"Yes","No"))</f>
        <v>No</v>
      </c>
      <c r="H1934" s="2" t="n">
        <f aca="false">IF(D1934="",0,1/COUNTIF($D$2:$D$3451,D1934))</f>
        <v>1</v>
      </c>
      <c r="I1934" s="13" t="n">
        <f aca="false">IFERROR(INDEX('NCO-2015 scores'!$C$2:$C$131,MATCH(E1934,'NCO-2015 scores'!$A$2:$A$131,0)),0)</f>
        <v>0.3067</v>
      </c>
      <c r="J1934" s="13" t="n">
        <f aca="false">IF(ISNUMBER(MATCH(E1934,'NCO-2015 scores'!$A$2:$A$131,0)),IF(ISNUMBER(INDEX('NCO-2015 scores'!$C$2:$C$131,MATCH(E1934,'NCO-2015 scores'!$A$2:$A$131,0))),1,0),0)</f>
        <v>1</v>
      </c>
    </row>
    <row r="1935" customFormat="false" ht="15" hidden="false" customHeight="false" outlineLevel="0" collapsed="false">
      <c r="A1935" s="2" t="n">
        <v>1931</v>
      </c>
      <c r="B1935" s="2" t="s">
        <v>5786</v>
      </c>
      <c r="C1935" s="2" t="s">
        <v>5787</v>
      </c>
      <c r="D1935" s="2"/>
      <c r="E1935" s="2" t="str">
        <f aca="false">LEFT(C1935,3)</f>
        <v>312</v>
      </c>
      <c r="F1935" s="2" t="str">
        <f aca="false">IF(D1935="","",LEFT(D1935,3))</f>
        <v/>
      </c>
      <c r="G1935" s="2" t="str">
        <f aca="false">IF(F1935="","",IF(E1935=F1935,"Yes","No"))</f>
        <v/>
      </c>
      <c r="H1935" s="2" t="n">
        <f aca="false">IF(D1935="",0,1/COUNTIF($D$2:$D$3451,D1935))</f>
        <v>0</v>
      </c>
      <c r="I1935" s="13" t="n">
        <f aca="false">IFERROR(INDEX('NCO-2015 scores'!$C$2:$C$131,MATCH(E1935,'NCO-2015 scores'!$A$2:$A$131,0)),0)</f>
        <v>0.3067</v>
      </c>
      <c r="J1935" s="13" t="n">
        <f aca="false">IF(ISNUMBER(MATCH(E1935,'NCO-2015 scores'!$A$2:$A$131,0)),IF(ISNUMBER(INDEX('NCO-2015 scores'!$C$2:$C$131,MATCH(E1935,'NCO-2015 scores'!$A$2:$A$131,0))),1,0),0)</f>
        <v>1</v>
      </c>
    </row>
    <row r="1936" customFormat="false" ht="15" hidden="false" customHeight="false" outlineLevel="0" collapsed="false">
      <c r="A1936" s="2" t="n">
        <v>1932</v>
      </c>
      <c r="B1936" s="2" t="s">
        <v>5788</v>
      </c>
      <c r="C1936" s="2" t="s">
        <v>5789</v>
      </c>
      <c r="D1936" s="2" t="s">
        <v>5790</v>
      </c>
      <c r="E1936" s="2" t="str">
        <f aca="false">LEFT(C1936,3)</f>
        <v>722</v>
      </c>
      <c r="F1936" s="2" t="str">
        <f aca="false">IF(D1936="","",LEFT(D1936,3))</f>
        <v>722</v>
      </c>
      <c r="G1936" s="2" t="str">
        <f aca="false">IF(F1936="","",IF(E1936=F1936,"Yes","No"))</f>
        <v>Yes</v>
      </c>
      <c r="H1936" s="2" t="n">
        <f aca="false">IF(D1936="",0,1/COUNTIF($D$2:$D$3451,D1936))</f>
        <v>1</v>
      </c>
      <c r="I1936" s="13" t="n">
        <f aca="false">IFERROR(INDEX('NCO-2015 scores'!$C$2:$C$131,MATCH(E1936,'NCO-2015 scores'!$A$2:$A$131,0)),0)</f>
        <v>0.18</v>
      </c>
      <c r="J1936" s="13" t="n">
        <f aca="false">IF(ISNUMBER(MATCH(E1936,'NCO-2015 scores'!$A$2:$A$131,0)),IF(ISNUMBER(INDEX('NCO-2015 scores'!$C$2:$C$131,MATCH(E1936,'NCO-2015 scores'!$A$2:$A$131,0))),1,0),0)</f>
        <v>1</v>
      </c>
    </row>
    <row r="1937" customFormat="false" ht="15" hidden="false" customHeight="false" outlineLevel="0" collapsed="false">
      <c r="A1937" s="2" t="n">
        <v>1933</v>
      </c>
      <c r="B1937" s="2" t="s">
        <v>5791</v>
      </c>
      <c r="C1937" s="2" t="s">
        <v>5792</v>
      </c>
      <c r="D1937" s="2" t="s">
        <v>5793</v>
      </c>
      <c r="E1937" s="2" t="str">
        <f aca="false">LEFT(C1937,3)</f>
        <v>722</v>
      </c>
      <c r="F1937" s="2" t="str">
        <f aca="false">IF(D1937="","",LEFT(D1937,3))</f>
        <v>722</v>
      </c>
      <c r="G1937" s="2" t="str">
        <f aca="false">IF(F1937="","",IF(E1937=F1937,"Yes","No"))</f>
        <v>Yes</v>
      </c>
      <c r="H1937" s="2" t="n">
        <f aca="false">IF(D1937="",0,1/COUNTIF($D$2:$D$3451,D1937))</f>
        <v>1</v>
      </c>
      <c r="I1937" s="13" t="n">
        <f aca="false">IFERROR(INDEX('NCO-2015 scores'!$C$2:$C$131,MATCH(E1937,'NCO-2015 scores'!$A$2:$A$131,0)),0)</f>
        <v>0.18</v>
      </c>
      <c r="J1937" s="13" t="n">
        <f aca="false">IF(ISNUMBER(MATCH(E1937,'NCO-2015 scores'!$A$2:$A$131,0)),IF(ISNUMBER(INDEX('NCO-2015 scores'!$C$2:$C$131,MATCH(E1937,'NCO-2015 scores'!$A$2:$A$131,0))),1,0),0)</f>
        <v>1</v>
      </c>
    </row>
    <row r="1938" customFormat="false" ht="15" hidden="false" customHeight="false" outlineLevel="0" collapsed="false">
      <c r="A1938" s="2" t="n">
        <v>1934</v>
      </c>
      <c r="B1938" s="2" t="s">
        <v>5794</v>
      </c>
      <c r="C1938" s="2" t="s">
        <v>5795</v>
      </c>
      <c r="D1938" s="2" t="s">
        <v>5796</v>
      </c>
      <c r="E1938" s="2" t="str">
        <f aca="false">LEFT(C1938,3)</f>
        <v>722</v>
      </c>
      <c r="F1938" s="2" t="str">
        <f aca="false">IF(D1938="","",LEFT(D1938,3))</f>
        <v>722</v>
      </c>
      <c r="G1938" s="2" t="str">
        <f aca="false">IF(F1938="","",IF(E1938=F1938,"Yes","No"))</f>
        <v>Yes</v>
      </c>
      <c r="H1938" s="2" t="n">
        <f aca="false">IF(D1938="",0,1/COUNTIF($D$2:$D$3451,D1938))</f>
        <v>1</v>
      </c>
      <c r="I1938" s="13" t="n">
        <f aca="false">IFERROR(INDEX('NCO-2015 scores'!$C$2:$C$131,MATCH(E1938,'NCO-2015 scores'!$A$2:$A$131,0)),0)</f>
        <v>0.18</v>
      </c>
      <c r="J1938" s="13" t="n">
        <f aca="false">IF(ISNUMBER(MATCH(E1938,'NCO-2015 scores'!$A$2:$A$131,0)),IF(ISNUMBER(INDEX('NCO-2015 scores'!$C$2:$C$131,MATCH(E1938,'NCO-2015 scores'!$A$2:$A$131,0))),1,0),0)</f>
        <v>1</v>
      </c>
    </row>
    <row r="1939" customFormat="false" ht="15" hidden="false" customHeight="false" outlineLevel="0" collapsed="false">
      <c r="A1939" s="2" t="n">
        <v>1935</v>
      </c>
      <c r="B1939" s="2" t="s">
        <v>5797</v>
      </c>
      <c r="C1939" s="2" t="s">
        <v>5798</v>
      </c>
      <c r="D1939" s="2" t="s">
        <v>5799</v>
      </c>
      <c r="E1939" s="2" t="str">
        <f aca="false">LEFT(C1939,3)</f>
        <v>722</v>
      </c>
      <c r="F1939" s="2" t="str">
        <f aca="false">IF(D1939="","",LEFT(D1939,3))</f>
        <v>722</v>
      </c>
      <c r="G1939" s="2" t="str">
        <f aca="false">IF(F1939="","",IF(E1939=F1939,"Yes","No"))</f>
        <v>Yes</v>
      </c>
      <c r="H1939" s="2" t="n">
        <f aca="false">IF(D1939="",0,1/COUNTIF($D$2:$D$3451,D1939))</f>
        <v>1</v>
      </c>
      <c r="I1939" s="13" t="n">
        <f aca="false">IFERROR(INDEX('NCO-2015 scores'!$C$2:$C$131,MATCH(E1939,'NCO-2015 scores'!$A$2:$A$131,0)),0)</f>
        <v>0.18</v>
      </c>
      <c r="J1939" s="13" t="n">
        <f aca="false">IF(ISNUMBER(MATCH(E1939,'NCO-2015 scores'!$A$2:$A$131,0)),IF(ISNUMBER(INDEX('NCO-2015 scores'!$C$2:$C$131,MATCH(E1939,'NCO-2015 scores'!$A$2:$A$131,0))),1,0),0)</f>
        <v>1</v>
      </c>
    </row>
    <row r="1940" customFormat="false" ht="15" hidden="false" customHeight="false" outlineLevel="0" collapsed="false">
      <c r="A1940" s="2" t="n">
        <v>1936</v>
      </c>
      <c r="B1940" s="2" t="s">
        <v>5800</v>
      </c>
      <c r="C1940" s="2" t="s">
        <v>5801</v>
      </c>
      <c r="D1940" s="2" t="s">
        <v>5802</v>
      </c>
      <c r="E1940" s="2" t="str">
        <f aca="false">LEFT(C1940,3)</f>
        <v>722</v>
      </c>
      <c r="F1940" s="2" t="str">
        <f aca="false">IF(D1940="","",LEFT(D1940,3))</f>
        <v>722</v>
      </c>
      <c r="G1940" s="2" t="str">
        <f aca="false">IF(F1940="","",IF(E1940=F1940,"Yes","No"))</f>
        <v>Yes</v>
      </c>
      <c r="H1940" s="2" t="n">
        <f aca="false">IF(D1940="",0,1/COUNTIF($D$2:$D$3451,D1940))</f>
        <v>1</v>
      </c>
      <c r="I1940" s="13" t="n">
        <f aca="false">IFERROR(INDEX('NCO-2015 scores'!$C$2:$C$131,MATCH(E1940,'NCO-2015 scores'!$A$2:$A$131,0)),0)</f>
        <v>0.18</v>
      </c>
      <c r="J1940" s="13" t="n">
        <f aca="false">IF(ISNUMBER(MATCH(E1940,'NCO-2015 scores'!$A$2:$A$131,0)),IF(ISNUMBER(INDEX('NCO-2015 scores'!$C$2:$C$131,MATCH(E1940,'NCO-2015 scores'!$A$2:$A$131,0))),1,0),0)</f>
        <v>1</v>
      </c>
    </row>
    <row r="1941" customFormat="false" ht="15" hidden="false" customHeight="false" outlineLevel="0" collapsed="false">
      <c r="A1941" s="2" t="n">
        <v>1937</v>
      </c>
      <c r="B1941" s="2" t="s">
        <v>5803</v>
      </c>
      <c r="C1941" s="2" t="s">
        <v>5804</v>
      </c>
      <c r="D1941" s="2" t="s">
        <v>5805</v>
      </c>
      <c r="E1941" s="2" t="str">
        <f aca="false">LEFT(C1941,3)</f>
        <v>722</v>
      </c>
      <c r="F1941" s="2" t="str">
        <f aca="false">IF(D1941="","",LEFT(D1941,3))</f>
        <v>722</v>
      </c>
      <c r="G1941" s="2" t="str">
        <f aca="false">IF(F1941="","",IF(E1941=F1941,"Yes","No"))</f>
        <v>Yes</v>
      </c>
      <c r="H1941" s="2" t="n">
        <f aca="false">IF(D1941="",0,1/COUNTIF($D$2:$D$3451,D1941))</f>
        <v>1</v>
      </c>
      <c r="I1941" s="13" t="n">
        <f aca="false">IFERROR(INDEX('NCO-2015 scores'!$C$2:$C$131,MATCH(E1941,'NCO-2015 scores'!$A$2:$A$131,0)),0)</f>
        <v>0.18</v>
      </c>
      <c r="J1941" s="13" t="n">
        <f aca="false">IF(ISNUMBER(MATCH(E1941,'NCO-2015 scores'!$A$2:$A$131,0)),IF(ISNUMBER(INDEX('NCO-2015 scores'!$C$2:$C$131,MATCH(E1941,'NCO-2015 scores'!$A$2:$A$131,0))),1,0),0)</f>
        <v>1</v>
      </c>
    </row>
    <row r="1942" customFormat="false" ht="15" hidden="false" customHeight="false" outlineLevel="0" collapsed="false">
      <c r="A1942" s="2" t="n">
        <v>1938</v>
      </c>
      <c r="B1942" s="2" t="s">
        <v>5806</v>
      </c>
      <c r="C1942" s="2" t="s">
        <v>5807</v>
      </c>
      <c r="D1942" s="2" t="s">
        <v>5808</v>
      </c>
      <c r="E1942" s="2" t="str">
        <f aca="false">LEFT(C1942,3)</f>
        <v>722</v>
      </c>
      <c r="F1942" s="2" t="str">
        <f aca="false">IF(D1942="","",LEFT(D1942,3))</f>
        <v>722</v>
      </c>
      <c r="G1942" s="2" t="str">
        <f aca="false">IF(F1942="","",IF(E1942=F1942,"Yes","No"))</f>
        <v>Yes</v>
      </c>
      <c r="H1942" s="2" t="n">
        <f aca="false">IF(D1942="",0,1/COUNTIF($D$2:$D$3451,D1942))</f>
        <v>1</v>
      </c>
      <c r="I1942" s="13" t="n">
        <f aca="false">IFERROR(INDEX('NCO-2015 scores'!$C$2:$C$131,MATCH(E1942,'NCO-2015 scores'!$A$2:$A$131,0)),0)</f>
        <v>0.18</v>
      </c>
      <c r="J1942" s="13" t="n">
        <f aca="false">IF(ISNUMBER(MATCH(E1942,'NCO-2015 scores'!$A$2:$A$131,0)),IF(ISNUMBER(INDEX('NCO-2015 scores'!$C$2:$C$131,MATCH(E1942,'NCO-2015 scores'!$A$2:$A$131,0))),1,0),0)</f>
        <v>1</v>
      </c>
    </row>
    <row r="1943" customFormat="false" ht="15" hidden="false" customHeight="false" outlineLevel="0" collapsed="false">
      <c r="A1943" s="2" t="n">
        <v>1939</v>
      </c>
      <c r="B1943" s="2" t="s">
        <v>5809</v>
      </c>
      <c r="C1943" s="2" t="s">
        <v>5810</v>
      </c>
      <c r="D1943" s="2" t="s">
        <v>5811</v>
      </c>
      <c r="E1943" s="2" t="str">
        <f aca="false">LEFT(C1943,3)</f>
        <v>722</v>
      </c>
      <c r="F1943" s="2" t="str">
        <f aca="false">IF(D1943="","",LEFT(D1943,3))</f>
        <v>722</v>
      </c>
      <c r="G1943" s="2" t="str">
        <f aca="false">IF(F1943="","",IF(E1943=F1943,"Yes","No"))</f>
        <v>Yes</v>
      </c>
      <c r="H1943" s="2" t="n">
        <f aca="false">IF(D1943="",0,1/COUNTIF($D$2:$D$3451,D1943))</f>
        <v>1</v>
      </c>
      <c r="I1943" s="13" t="n">
        <f aca="false">IFERROR(INDEX('NCO-2015 scores'!$C$2:$C$131,MATCH(E1943,'NCO-2015 scores'!$A$2:$A$131,0)),0)</f>
        <v>0.18</v>
      </c>
      <c r="J1943" s="13" t="n">
        <f aca="false">IF(ISNUMBER(MATCH(E1943,'NCO-2015 scores'!$A$2:$A$131,0)),IF(ISNUMBER(INDEX('NCO-2015 scores'!$C$2:$C$131,MATCH(E1943,'NCO-2015 scores'!$A$2:$A$131,0))),1,0),0)</f>
        <v>1</v>
      </c>
    </row>
    <row r="1944" customFormat="false" ht="15" hidden="false" customHeight="false" outlineLevel="0" collapsed="false">
      <c r="A1944" s="2" t="n">
        <v>1940</v>
      </c>
      <c r="B1944" s="2" t="s">
        <v>5812</v>
      </c>
      <c r="C1944" s="2" t="s">
        <v>5813</v>
      </c>
      <c r="D1944" s="2" t="s">
        <v>5814</v>
      </c>
      <c r="E1944" s="2" t="str">
        <f aca="false">LEFT(C1944,3)</f>
        <v>722</v>
      </c>
      <c r="F1944" s="2" t="str">
        <f aca="false">IF(D1944="","",LEFT(D1944,3))</f>
        <v>722</v>
      </c>
      <c r="G1944" s="2" t="str">
        <f aca="false">IF(F1944="","",IF(E1944=F1944,"Yes","No"))</f>
        <v>Yes</v>
      </c>
      <c r="H1944" s="2" t="n">
        <f aca="false">IF(D1944="",0,1/COUNTIF($D$2:$D$3451,D1944))</f>
        <v>1</v>
      </c>
      <c r="I1944" s="13" t="n">
        <f aca="false">IFERROR(INDEX('NCO-2015 scores'!$C$2:$C$131,MATCH(E1944,'NCO-2015 scores'!$A$2:$A$131,0)),0)</f>
        <v>0.18</v>
      </c>
      <c r="J1944" s="13" t="n">
        <f aca="false">IF(ISNUMBER(MATCH(E1944,'NCO-2015 scores'!$A$2:$A$131,0)),IF(ISNUMBER(INDEX('NCO-2015 scores'!$C$2:$C$131,MATCH(E1944,'NCO-2015 scores'!$A$2:$A$131,0))),1,0),0)</f>
        <v>1</v>
      </c>
    </row>
    <row r="1945" customFormat="false" ht="15" hidden="false" customHeight="false" outlineLevel="0" collapsed="false">
      <c r="A1945" s="2" t="n">
        <v>1941</v>
      </c>
      <c r="B1945" s="2" t="s">
        <v>5815</v>
      </c>
      <c r="C1945" s="2" t="s">
        <v>5816</v>
      </c>
      <c r="D1945" s="2" t="s">
        <v>5817</v>
      </c>
      <c r="E1945" s="2" t="str">
        <f aca="false">LEFT(C1945,3)</f>
        <v>212</v>
      </c>
      <c r="F1945" s="2" t="str">
        <f aca="false">IF(D1945="","",LEFT(D1945,3))</f>
        <v>212</v>
      </c>
      <c r="G1945" s="2" t="str">
        <f aca="false">IF(F1945="","",IF(E1945=F1945,"Yes","No"))</f>
        <v>Yes</v>
      </c>
      <c r="H1945" s="2" t="n">
        <f aca="false">IF(D1945="",0,1/COUNTIF($D$2:$D$3451,D1945))</f>
        <v>1</v>
      </c>
      <c r="I1945" s="13" t="n">
        <f aca="false">IFERROR(INDEX('NCO-2015 scores'!$C$2:$C$131,MATCH(E1945,'NCO-2015 scores'!$A$2:$A$131,0)),0)</f>
        <v>0.56</v>
      </c>
      <c r="J1945" s="13" t="n">
        <f aca="false">IF(ISNUMBER(MATCH(E1945,'NCO-2015 scores'!$A$2:$A$131,0)),IF(ISNUMBER(INDEX('NCO-2015 scores'!$C$2:$C$131,MATCH(E1945,'NCO-2015 scores'!$A$2:$A$131,0))),1,0),0)</f>
        <v>1</v>
      </c>
    </row>
    <row r="1946" customFormat="false" ht="15" hidden="false" customHeight="false" outlineLevel="0" collapsed="false">
      <c r="A1946" s="2" t="n">
        <v>1942</v>
      </c>
      <c r="B1946" s="2" t="s">
        <v>5818</v>
      </c>
      <c r="C1946" s="2" t="s">
        <v>5819</v>
      </c>
      <c r="D1946" s="2" t="s">
        <v>5820</v>
      </c>
      <c r="E1946" s="2" t="str">
        <f aca="false">LEFT(C1946,3)</f>
        <v>212</v>
      </c>
      <c r="F1946" s="2" t="str">
        <f aca="false">IF(D1946="","",LEFT(D1946,3))</f>
        <v>212</v>
      </c>
      <c r="G1946" s="2" t="str">
        <f aca="false">IF(F1946="","",IF(E1946=F1946,"Yes","No"))</f>
        <v>Yes</v>
      </c>
      <c r="H1946" s="2" t="n">
        <f aca="false">IF(D1946="",0,1/COUNTIF($D$2:$D$3451,D1946))</f>
        <v>1</v>
      </c>
      <c r="I1946" s="13" t="n">
        <f aca="false">IFERROR(INDEX('NCO-2015 scores'!$C$2:$C$131,MATCH(E1946,'NCO-2015 scores'!$A$2:$A$131,0)),0)</f>
        <v>0.56</v>
      </c>
      <c r="J1946" s="13" t="n">
        <f aca="false">IF(ISNUMBER(MATCH(E1946,'NCO-2015 scores'!$A$2:$A$131,0)),IF(ISNUMBER(INDEX('NCO-2015 scores'!$C$2:$C$131,MATCH(E1946,'NCO-2015 scores'!$A$2:$A$131,0))),1,0),0)</f>
        <v>1</v>
      </c>
    </row>
    <row r="1947" customFormat="false" ht="15" hidden="false" customHeight="false" outlineLevel="0" collapsed="false">
      <c r="A1947" s="2" t="n">
        <v>1943</v>
      </c>
      <c r="B1947" s="2" t="s">
        <v>5821</v>
      </c>
      <c r="C1947" s="2" t="s">
        <v>5822</v>
      </c>
      <c r="D1947" s="2" t="s">
        <v>5823</v>
      </c>
      <c r="E1947" s="2" t="str">
        <f aca="false">LEFT(C1947,3)</f>
        <v>212</v>
      </c>
      <c r="F1947" s="2" t="str">
        <f aca="false">IF(D1947="","",LEFT(D1947,3))</f>
        <v>212</v>
      </c>
      <c r="G1947" s="2" t="str">
        <f aca="false">IF(F1947="","",IF(E1947=F1947,"Yes","No"))</f>
        <v>Yes</v>
      </c>
      <c r="H1947" s="2" t="n">
        <f aca="false">IF(D1947="",0,1/COUNTIF($D$2:$D$3451,D1947))</f>
        <v>1</v>
      </c>
      <c r="I1947" s="13" t="n">
        <f aca="false">IFERROR(INDEX('NCO-2015 scores'!$C$2:$C$131,MATCH(E1947,'NCO-2015 scores'!$A$2:$A$131,0)),0)</f>
        <v>0.56</v>
      </c>
      <c r="J1947" s="13" t="n">
        <f aca="false">IF(ISNUMBER(MATCH(E1947,'NCO-2015 scores'!$A$2:$A$131,0)),IF(ISNUMBER(INDEX('NCO-2015 scores'!$C$2:$C$131,MATCH(E1947,'NCO-2015 scores'!$A$2:$A$131,0))),1,0),0)</f>
        <v>1</v>
      </c>
    </row>
    <row r="1948" customFormat="false" ht="15" hidden="false" customHeight="false" outlineLevel="0" collapsed="false">
      <c r="A1948" s="2" t="n">
        <v>1944</v>
      </c>
      <c r="B1948" s="2" t="s">
        <v>5824</v>
      </c>
      <c r="C1948" s="2" t="s">
        <v>5825</v>
      </c>
      <c r="D1948" s="2" t="s">
        <v>5826</v>
      </c>
      <c r="E1948" s="2" t="str">
        <f aca="false">LEFT(C1948,3)</f>
        <v>212</v>
      </c>
      <c r="F1948" s="2" t="str">
        <f aca="false">IF(D1948="","",LEFT(D1948,3))</f>
        <v>212</v>
      </c>
      <c r="G1948" s="2" t="str">
        <f aca="false">IF(F1948="","",IF(E1948=F1948,"Yes","No"))</f>
        <v>Yes</v>
      </c>
      <c r="H1948" s="2" t="n">
        <f aca="false">IF(D1948="",0,1/COUNTIF($D$2:$D$3451,D1948))</f>
        <v>1</v>
      </c>
      <c r="I1948" s="13" t="n">
        <f aca="false">IFERROR(INDEX('NCO-2015 scores'!$C$2:$C$131,MATCH(E1948,'NCO-2015 scores'!$A$2:$A$131,0)),0)</f>
        <v>0.56</v>
      </c>
      <c r="J1948" s="13" t="n">
        <f aca="false">IF(ISNUMBER(MATCH(E1948,'NCO-2015 scores'!$A$2:$A$131,0)),IF(ISNUMBER(INDEX('NCO-2015 scores'!$C$2:$C$131,MATCH(E1948,'NCO-2015 scores'!$A$2:$A$131,0))),1,0),0)</f>
        <v>1</v>
      </c>
    </row>
    <row r="1949" customFormat="false" ht="15" hidden="false" customHeight="false" outlineLevel="0" collapsed="false">
      <c r="A1949" s="2" t="n">
        <v>1945</v>
      </c>
      <c r="B1949" s="2" t="s">
        <v>5827</v>
      </c>
      <c r="C1949" s="2" t="s">
        <v>5828</v>
      </c>
      <c r="D1949" s="2" t="s">
        <v>5829</v>
      </c>
      <c r="E1949" s="2" t="str">
        <f aca="false">LEFT(C1949,3)</f>
        <v>212</v>
      </c>
      <c r="F1949" s="2" t="str">
        <f aca="false">IF(D1949="","",LEFT(D1949,3))</f>
        <v>212</v>
      </c>
      <c r="G1949" s="2" t="str">
        <f aca="false">IF(F1949="","",IF(E1949=F1949,"Yes","No"))</f>
        <v>Yes</v>
      </c>
      <c r="H1949" s="2" t="n">
        <f aca="false">IF(D1949="",0,1/COUNTIF($D$2:$D$3451,D1949))</f>
        <v>1</v>
      </c>
      <c r="I1949" s="13" t="n">
        <f aca="false">IFERROR(INDEX('NCO-2015 scores'!$C$2:$C$131,MATCH(E1949,'NCO-2015 scores'!$A$2:$A$131,0)),0)</f>
        <v>0.56</v>
      </c>
      <c r="J1949" s="13" t="n">
        <f aca="false">IF(ISNUMBER(MATCH(E1949,'NCO-2015 scores'!$A$2:$A$131,0)),IF(ISNUMBER(INDEX('NCO-2015 scores'!$C$2:$C$131,MATCH(E1949,'NCO-2015 scores'!$A$2:$A$131,0))),1,0),0)</f>
        <v>1</v>
      </c>
    </row>
    <row r="1950" customFormat="false" ht="15" hidden="false" customHeight="false" outlineLevel="0" collapsed="false">
      <c r="A1950" s="2" t="n">
        <v>1946</v>
      </c>
      <c r="B1950" s="2" t="s">
        <v>5830</v>
      </c>
      <c r="C1950" s="2" t="s">
        <v>5831</v>
      </c>
      <c r="D1950" s="2" t="s">
        <v>5832</v>
      </c>
      <c r="E1950" s="2" t="str">
        <f aca="false">LEFT(C1950,3)</f>
        <v>212</v>
      </c>
      <c r="F1950" s="2" t="str">
        <f aca="false">IF(D1950="","",LEFT(D1950,3))</f>
        <v>212</v>
      </c>
      <c r="G1950" s="2" t="str">
        <f aca="false">IF(F1950="","",IF(E1950=F1950,"Yes","No"))</f>
        <v>Yes</v>
      </c>
      <c r="H1950" s="2" t="n">
        <f aca="false">IF(D1950="",0,1/COUNTIF($D$2:$D$3451,D1950))</f>
        <v>1</v>
      </c>
      <c r="I1950" s="13" t="n">
        <f aca="false">IFERROR(INDEX('NCO-2015 scores'!$C$2:$C$131,MATCH(E1950,'NCO-2015 scores'!$A$2:$A$131,0)),0)</f>
        <v>0.56</v>
      </c>
      <c r="J1950" s="13" t="n">
        <f aca="false">IF(ISNUMBER(MATCH(E1950,'NCO-2015 scores'!$A$2:$A$131,0)),IF(ISNUMBER(INDEX('NCO-2015 scores'!$C$2:$C$131,MATCH(E1950,'NCO-2015 scores'!$A$2:$A$131,0))),1,0),0)</f>
        <v>1</v>
      </c>
    </row>
    <row r="1951" customFormat="false" ht="15" hidden="false" customHeight="false" outlineLevel="0" collapsed="false">
      <c r="A1951" s="2" t="n">
        <v>1947</v>
      </c>
      <c r="B1951" s="2" t="s">
        <v>5833</v>
      </c>
      <c r="C1951" s="2" t="s">
        <v>5834</v>
      </c>
      <c r="D1951" s="2"/>
      <c r="E1951" s="2" t="str">
        <f aca="false">LEFT(C1951,3)</f>
        <v>212</v>
      </c>
      <c r="F1951" s="2" t="str">
        <f aca="false">IF(D1951="","",LEFT(D1951,3))</f>
        <v/>
      </c>
      <c r="G1951" s="2" t="str">
        <f aca="false">IF(F1951="","",IF(E1951=F1951,"Yes","No"))</f>
        <v/>
      </c>
      <c r="H1951" s="2" t="n">
        <f aca="false">IF(D1951="",0,1/COUNTIF($D$2:$D$3451,D1951))</f>
        <v>0</v>
      </c>
      <c r="I1951" s="13" t="n">
        <f aca="false">IFERROR(INDEX('NCO-2015 scores'!$C$2:$C$131,MATCH(E1951,'NCO-2015 scores'!$A$2:$A$131,0)),0)</f>
        <v>0.56</v>
      </c>
      <c r="J1951" s="13" t="n">
        <f aca="false">IF(ISNUMBER(MATCH(E1951,'NCO-2015 scores'!$A$2:$A$131,0)),IF(ISNUMBER(INDEX('NCO-2015 scores'!$C$2:$C$131,MATCH(E1951,'NCO-2015 scores'!$A$2:$A$131,0))),1,0),0)</f>
        <v>1</v>
      </c>
    </row>
    <row r="1952" customFormat="false" ht="15" hidden="false" customHeight="false" outlineLevel="0" collapsed="false">
      <c r="A1952" s="2" t="n">
        <v>1948</v>
      </c>
      <c r="B1952" s="2" t="s">
        <v>5835</v>
      </c>
      <c r="C1952" s="2" t="s">
        <v>5836</v>
      </c>
      <c r="D1952" s="2" t="s">
        <v>5837</v>
      </c>
      <c r="E1952" s="2" t="str">
        <f aca="false">LEFT(C1952,3)</f>
        <v>311</v>
      </c>
      <c r="F1952" s="2" t="str">
        <f aca="false">IF(D1952="","",LEFT(D1952,3))</f>
        <v>311</v>
      </c>
      <c r="G1952" s="2" t="str">
        <f aca="false">IF(F1952="","",IF(E1952=F1952,"Yes","No"))</f>
        <v>Yes</v>
      </c>
      <c r="H1952" s="2" t="n">
        <f aca="false">IF(D1952="",0,1/COUNTIF($D$2:$D$3451,D1952))</f>
        <v>1</v>
      </c>
      <c r="I1952" s="13" t="n">
        <f aca="false">IFERROR(INDEX('NCO-2015 scores'!$C$2:$C$131,MATCH(E1952,'NCO-2015 scores'!$A$2:$A$131,0)),0)</f>
        <v>0.2956</v>
      </c>
      <c r="J1952" s="13" t="n">
        <f aca="false">IF(ISNUMBER(MATCH(E1952,'NCO-2015 scores'!$A$2:$A$131,0)),IF(ISNUMBER(INDEX('NCO-2015 scores'!$C$2:$C$131,MATCH(E1952,'NCO-2015 scores'!$A$2:$A$131,0))),1,0),0)</f>
        <v>1</v>
      </c>
    </row>
    <row r="1953" customFormat="false" ht="15" hidden="false" customHeight="false" outlineLevel="0" collapsed="false">
      <c r="A1953" s="2" t="n">
        <v>1949</v>
      </c>
      <c r="B1953" s="2" t="s">
        <v>5838</v>
      </c>
      <c r="C1953" s="2" t="s">
        <v>5839</v>
      </c>
      <c r="D1953" s="2"/>
      <c r="E1953" s="2" t="str">
        <f aca="false">LEFT(C1953,3)</f>
        <v>311</v>
      </c>
      <c r="F1953" s="2" t="str">
        <f aca="false">IF(D1953="","",LEFT(D1953,3))</f>
        <v/>
      </c>
      <c r="G1953" s="2" t="str">
        <f aca="false">IF(F1953="","",IF(E1953=F1953,"Yes","No"))</f>
        <v/>
      </c>
      <c r="H1953" s="2" t="n">
        <f aca="false">IF(D1953="",0,1/COUNTIF($D$2:$D$3451,D1953))</f>
        <v>0</v>
      </c>
      <c r="I1953" s="13" t="n">
        <f aca="false">IFERROR(INDEX('NCO-2015 scores'!$C$2:$C$131,MATCH(E1953,'NCO-2015 scores'!$A$2:$A$131,0)),0)</f>
        <v>0.2956</v>
      </c>
      <c r="J1953" s="13" t="n">
        <f aca="false">IF(ISNUMBER(MATCH(E1953,'NCO-2015 scores'!$A$2:$A$131,0)),IF(ISNUMBER(INDEX('NCO-2015 scores'!$C$2:$C$131,MATCH(E1953,'NCO-2015 scores'!$A$2:$A$131,0))),1,0),0)</f>
        <v>1</v>
      </c>
    </row>
    <row r="1954" customFormat="false" ht="15" hidden="false" customHeight="false" outlineLevel="0" collapsed="false">
      <c r="A1954" s="2" t="n">
        <v>1950</v>
      </c>
      <c r="B1954" s="2" t="s">
        <v>5840</v>
      </c>
      <c r="C1954" s="2" t="s">
        <v>5841</v>
      </c>
      <c r="D1954" s="2" t="s">
        <v>5842</v>
      </c>
      <c r="E1954" s="2" t="str">
        <f aca="false">LEFT(C1954,3)</f>
        <v>311</v>
      </c>
      <c r="F1954" s="2" t="str">
        <f aca="false">IF(D1954="","",LEFT(D1954,3))</f>
        <v>311</v>
      </c>
      <c r="G1954" s="2" t="str">
        <f aca="false">IF(F1954="","",IF(E1954=F1954,"Yes","No"))</f>
        <v>Yes</v>
      </c>
      <c r="H1954" s="2" t="n">
        <f aca="false">IF(D1954="",0,1/COUNTIF($D$2:$D$3451,D1954))</f>
        <v>1</v>
      </c>
      <c r="I1954" s="13" t="n">
        <f aca="false">IFERROR(INDEX('NCO-2015 scores'!$C$2:$C$131,MATCH(E1954,'NCO-2015 scores'!$A$2:$A$131,0)),0)</f>
        <v>0.2956</v>
      </c>
      <c r="J1954" s="13" t="n">
        <f aca="false">IF(ISNUMBER(MATCH(E1954,'NCO-2015 scores'!$A$2:$A$131,0)),IF(ISNUMBER(INDEX('NCO-2015 scores'!$C$2:$C$131,MATCH(E1954,'NCO-2015 scores'!$A$2:$A$131,0))),1,0),0)</f>
        <v>1</v>
      </c>
    </row>
    <row r="1955" customFormat="false" ht="15" hidden="false" customHeight="false" outlineLevel="0" collapsed="false">
      <c r="A1955" s="2" t="n">
        <v>1951</v>
      </c>
      <c r="B1955" s="2" t="s">
        <v>5843</v>
      </c>
      <c r="C1955" s="2" t="s">
        <v>5844</v>
      </c>
      <c r="D1955" s="2"/>
      <c r="E1955" s="2" t="str">
        <f aca="false">LEFT(C1955,3)</f>
        <v>311</v>
      </c>
      <c r="F1955" s="2" t="str">
        <f aca="false">IF(D1955="","",LEFT(D1955,3))</f>
        <v/>
      </c>
      <c r="G1955" s="2" t="str">
        <f aca="false">IF(F1955="","",IF(E1955=F1955,"Yes","No"))</f>
        <v/>
      </c>
      <c r="H1955" s="2" t="n">
        <f aca="false">IF(D1955="",0,1/COUNTIF($D$2:$D$3451,D1955))</f>
        <v>0</v>
      </c>
      <c r="I1955" s="13" t="n">
        <f aca="false">IFERROR(INDEX('NCO-2015 scores'!$C$2:$C$131,MATCH(E1955,'NCO-2015 scores'!$A$2:$A$131,0)),0)</f>
        <v>0.2956</v>
      </c>
      <c r="J1955" s="13" t="n">
        <f aca="false">IF(ISNUMBER(MATCH(E1955,'NCO-2015 scores'!$A$2:$A$131,0)),IF(ISNUMBER(INDEX('NCO-2015 scores'!$C$2:$C$131,MATCH(E1955,'NCO-2015 scores'!$A$2:$A$131,0))),1,0),0)</f>
        <v>1</v>
      </c>
    </row>
    <row r="1956" customFormat="false" ht="15" hidden="false" customHeight="false" outlineLevel="0" collapsed="false">
      <c r="A1956" s="2" t="n">
        <v>1952</v>
      </c>
      <c r="B1956" s="2" t="s">
        <v>5845</v>
      </c>
      <c r="C1956" s="2" t="s">
        <v>5846</v>
      </c>
      <c r="D1956" s="2"/>
      <c r="E1956" s="2" t="str">
        <f aca="false">LEFT(C1956,3)</f>
        <v>311</v>
      </c>
      <c r="F1956" s="2" t="str">
        <f aca="false">IF(D1956="","",LEFT(D1956,3))</f>
        <v/>
      </c>
      <c r="G1956" s="2" t="str">
        <f aca="false">IF(F1956="","",IF(E1956=F1956,"Yes","No"))</f>
        <v/>
      </c>
      <c r="H1956" s="2" t="n">
        <f aca="false">IF(D1956="",0,1/COUNTIF($D$2:$D$3451,D1956))</f>
        <v>0</v>
      </c>
      <c r="I1956" s="13" t="n">
        <f aca="false">IFERROR(INDEX('NCO-2015 scores'!$C$2:$C$131,MATCH(E1956,'NCO-2015 scores'!$A$2:$A$131,0)),0)</f>
        <v>0.2956</v>
      </c>
      <c r="J1956" s="13" t="n">
        <f aca="false">IF(ISNUMBER(MATCH(E1956,'NCO-2015 scores'!$A$2:$A$131,0)),IF(ISNUMBER(INDEX('NCO-2015 scores'!$C$2:$C$131,MATCH(E1956,'NCO-2015 scores'!$A$2:$A$131,0))),1,0),0)</f>
        <v>1</v>
      </c>
    </row>
    <row r="1957" customFormat="false" ht="15" hidden="false" customHeight="false" outlineLevel="0" collapsed="false">
      <c r="A1957" s="2" t="n">
        <v>1953</v>
      </c>
      <c r="B1957" s="2" t="s">
        <v>5847</v>
      </c>
      <c r="C1957" s="2" t="s">
        <v>5848</v>
      </c>
      <c r="D1957" s="2"/>
      <c r="E1957" s="2" t="str">
        <f aca="false">LEFT(C1957,3)</f>
        <v>311</v>
      </c>
      <c r="F1957" s="2" t="str">
        <f aca="false">IF(D1957="","",LEFT(D1957,3))</f>
        <v/>
      </c>
      <c r="G1957" s="2" t="str">
        <f aca="false">IF(F1957="","",IF(E1957=F1957,"Yes","No"))</f>
        <v/>
      </c>
      <c r="H1957" s="2" t="n">
        <f aca="false">IF(D1957="",0,1/COUNTIF($D$2:$D$3451,D1957))</f>
        <v>0</v>
      </c>
      <c r="I1957" s="13" t="n">
        <f aca="false">IFERROR(INDEX('NCO-2015 scores'!$C$2:$C$131,MATCH(E1957,'NCO-2015 scores'!$A$2:$A$131,0)),0)</f>
        <v>0.2956</v>
      </c>
      <c r="J1957" s="13" t="n">
        <f aca="false">IF(ISNUMBER(MATCH(E1957,'NCO-2015 scores'!$A$2:$A$131,0)),IF(ISNUMBER(INDEX('NCO-2015 scores'!$C$2:$C$131,MATCH(E1957,'NCO-2015 scores'!$A$2:$A$131,0))),1,0),0)</f>
        <v>1</v>
      </c>
    </row>
    <row r="1958" customFormat="false" ht="15" hidden="false" customHeight="false" outlineLevel="0" collapsed="false">
      <c r="A1958" s="2" t="n">
        <v>1954</v>
      </c>
      <c r="B1958" s="2" t="s">
        <v>5849</v>
      </c>
      <c r="C1958" s="2" t="s">
        <v>5850</v>
      </c>
      <c r="D1958" s="2"/>
      <c r="E1958" s="2" t="str">
        <f aca="false">LEFT(C1958,3)</f>
        <v>311</v>
      </c>
      <c r="F1958" s="2" t="str">
        <f aca="false">IF(D1958="","",LEFT(D1958,3))</f>
        <v/>
      </c>
      <c r="G1958" s="2" t="str">
        <f aca="false">IF(F1958="","",IF(E1958=F1958,"Yes","No"))</f>
        <v/>
      </c>
      <c r="H1958" s="2" t="n">
        <f aca="false">IF(D1958="",0,1/COUNTIF($D$2:$D$3451,D1958))</f>
        <v>0</v>
      </c>
      <c r="I1958" s="13" t="n">
        <f aca="false">IFERROR(INDEX('NCO-2015 scores'!$C$2:$C$131,MATCH(E1958,'NCO-2015 scores'!$A$2:$A$131,0)),0)</f>
        <v>0.2956</v>
      </c>
      <c r="J1958" s="13" t="n">
        <f aca="false">IF(ISNUMBER(MATCH(E1958,'NCO-2015 scores'!$A$2:$A$131,0)),IF(ISNUMBER(INDEX('NCO-2015 scores'!$C$2:$C$131,MATCH(E1958,'NCO-2015 scores'!$A$2:$A$131,0))),1,0),0)</f>
        <v>1</v>
      </c>
    </row>
    <row r="1959" customFormat="false" ht="15" hidden="false" customHeight="false" outlineLevel="0" collapsed="false">
      <c r="A1959" s="2" t="n">
        <v>1955</v>
      </c>
      <c r="B1959" s="2" t="s">
        <v>5851</v>
      </c>
      <c r="C1959" s="2" t="s">
        <v>5852</v>
      </c>
      <c r="D1959" s="2" t="s">
        <v>5853</v>
      </c>
      <c r="E1959" s="2" t="str">
        <f aca="false">LEFT(C1959,3)</f>
        <v>311</v>
      </c>
      <c r="F1959" s="2" t="str">
        <f aca="false">IF(D1959="","",LEFT(D1959,3))</f>
        <v>311</v>
      </c>
      <c r="G1959" s="2" t="str">
        <f aca="false">IF(F1959="","",IF(E1959=F1959,"Yes","No"))</f>
        <v>Yes</v>
      </c>
      <c r="H1959" s="2" t="n">
        <f aca="false">IF(D1959="",0,1/COUNTIF($D$2:$D$3451,D1959))</f>
        <v>1</v>
      </c>
      <c r="I1959" s="13" t="n">
        <f aca="false">IFERROR(INDEX('NCO-2015 scores'!$C$2:$C$131,MATCH(E1959,'NCO-2015 scores'!$A$2:$A$131,0)),0)</f>
        <v>0.2956</v>
      </c>
      <c r="J1959" s="13" t="n">
        <f aca="false">IF(ISNUMBER(MATCH(E1959,'NCO-2015 scores'!$A$2:$A$131,0)),IF(ISNUMBER(INDEX('NCO-2015 scores'!$C$2:$C$131,MATCH(E1959,'NCO-2015 scores'!$A$2:$A$131,0))),1,0),0)</f>
        <v>1</v>
      </c>
    </row>
    <row r="1960" customFormat="false" ht="15" hidden="false" customHeight="false" outlineLevel="0" collapsed="false">
      <c r="A1960" s="2" t="n">
        <v>1956</v>
      </c>
      <c r="B1960" s="2" t="s">
        <v>5854</v>
      </c>
      <c r="C1960" s="2" t="s">
        <v>5855</v>
      </c>
      <c r="D1960" s="2" t="s">
        <v>5856</v>
      </c>
      <c r="E1960" s="2" t="str">
        <f aca="false">LEFT(C1960,3)</f>
        <v>311</v>
      </c>
      <c r="F1960" s="2" t="str">
        <f aca="false">IF(D1960="","",LEFT(D1960,3))</f>
        <v>311</v>
      </c>
      <c r="G1960" s="2" t="str">
        <f aca="false">IF(F1960="","",IF(E1960=F1960,"Yes","No"))</f>
        <v>Yes</v>
      </c>
      <c r="H1960" s="2" t="n">
        <f aca="false">IF(D1960="",0,1/COUNTIF($D$2:$D$3451,D1960))</f>
        <v>1</v>
      </c>
      <c r="I1960" s="13" t="n">
        <f aca="false">IFERROR(INDEX('NCO-2015 scores'!$C$2:$C$131,MATCH(E1960,'NCO-2015 scores'!$A$2:$A$131,0)),0)</f>
        <v>0.2956</v>
      </c>
      <c r="J1960" s="13" t="n">
        <f aca="false">IF(ISNUMBER(MATCH(E1960,'NCO-2015 scores'!$A$2:$A$131,0)),IF(ISNUMBER(INDEX('NCO-2015 scores'!$C$2:$C$131,MATCH(E1960,'NCO-2015 scores'!$A$2:$A$131,0))),1,0),0)</f>
        <v>1</v>
      </c>
    </row>
    <row r="1961" customFormat="false" ht="15" hidden="false" customHeight="false" outlineLevel="0" collapsed="false">
      <c r="A1961" s="2" t="n">
        <v>1957</v>
      </c>
      <c r="B1961" s="2" t="s">
        <v>5857</v>
      </c>
      <c r="C1961" s="2" t="s">
        <v>5858</v>
      </c>
      <c r="D1961" s="2"/>
      <c r="E1961" s="2" t="str">
        <f aca="false">LEFT(C1961,3)</f>
        <v>311</v>
      </c>
      <c r="F1961" s="2" t="str">
        <f aca="false">IF(D1961="","",LEFT(D1961,3))</f>
        <v/>
      </c>
      <c r="G1961" s="2" t="str">
        <f aca="false">IF(F1961="","",IF(E1961=F1961,"Yes","No"))</f>
        <v/>
      </c>
      <c r="H1961" s="2" t="n">
        <f aca="false">IF(D1961="",0,1/COUNTIF($D$2:$D$3451,D1961))</f>
        <v>0</v>
      </c>
      <c r="I1961" s="13" t="n">
        <f aca="false">IFERROR(INDEX('NCO-2015 scores'!$C$2:$C$131,MATCH(E1961,'NCO-2015 scores'!$A$2:$A$131,0)),0)</f>
        <v>0.2956</v>
      </c>
      <c r="J1961" s="13" t="n">
        <f aca="false">IF(ISNUMBER(MATCH(E1961,'NCO-2015 scores'!$A$2:$A$131,0)),IF(ISNUMBER(INDEX('NCO-2015 scores'!$C$2:$C$131,MATCH(E1961,'NCO-2015 scores'!$A$2:$A$131,0))),1,0),0)</f>
        <v>1</v>
      </c>
    </row>
    <row r="1962" customFormat="false" ht="15" hidden="false" customHeight="false" outlineLevel="0" collapsed="false">
      <c r="A1962" s="2" t="n">
        <v>1958</v>
      </c>
      <c r="B1962" s="2" t="s">
        <v>5859</v>
      </c>
      <c r="C1962" s="2" t="s">
        <v>5860</v>
      </c>
      <c r="D1962" s="2"/>
      <c r="E1962" s="2" t="str">
        <f aca="false">LEFT(C1962,3)</f>
        <v>311</v>
      </c>
      <c r="F1962" s="2" t="str">
        <f aca="false">IF(D1962="","",LEFT(D1962,3))</f>
        <v/>
      </c>
      <c r="G1962" s="2" t="str">
        <f aca="false">IF(F1962="","",IF(E1962=F1962,"Yes","No"))</f>
        <v/>
      </c>
      <c r="H1962" s="2" t="n">
        <f aca="false">IF(D1962="",0,1/COUNTIF($D$2:$D$3451,D1962))</f>
        <v>0</v>
      </c>
      <c r="I1962" s="13" t="n">
        <f aca="false">IFERROR(INDEX('NCO-2015 scores'!$C$2:$C$131,MATCH(E1962,'NCO-2015 scores'!$A$2:$A$131,0)),0)</f>
        <v>0.2956</v>
      </c>
      <c r="J1962" s="13" t="n">
        <f aca="false">IF(ISNUMBER(MATCH(E1962,'NCO-2015 scores'!$A$2:$A$131,0)),IF(ISNUMBER(INDEX('NCO-2015 scores'!$C$2:$C$131,MATCH(E1962,'NCO-2015 scores'!$A$2:$A$131,0))),1,0),0)</f>
        <v>1</v>
      </c>
    </row>
    <row r="1963" customFormat="false" ht="15" hidden="false" customHeight="false" outlineLevel="0" collapsed="false">
      <c r="A1963" s="2" t="n">
        <v>1959</v>
      </c>
      <c r="B1963" s="2" t="s">
        <v>5861</v>
      </c>
      <c r="C1963" s="2" t="s">
        <v>5862</v>
      </c>
      <c r="D1963" s="2"/>
      <c r="E1963" s="2" t="str">
        <f aca="false">LEFT(C1963,3)</f>
        <v>311</v>
      </c>
      <c r="F1963" s="2" t="str">
        <f aca="false">IF(D1963="","",LEFT(D1963,3))</f>
        <v/>
      </c>
      <c r="G1963" s="2" t="str">
        <f aca="false">IF(F1963="","",IF(E1963=F1963,"Yes","No"))</f>
        <v/>
      </c>
      <c r="H1963" s="2" t="n">
        <f aca="false">IF(D1963="",0,1/COUNTIF($D$2:$D$3451,D1963))</f>
        <v>0</v>
      </c>
      <c r="I1963" s="13" t="n">
        <f aca="false">IFERROR(INDEX('NCO-2015 scores'!$C$2:$C$131,MATCH(E1963,'NCO-2015 scores'!$A$2:$A$131,0)),0)</f>
        <v>0.2956</v>
      </c>
      <c r="J1963" s="13" t="n">
        <f aca="false">IF(ISNUMBER(MATCH(E1963,'NCO-2015 scores'!$A$2:$A$131,0)),IF(ISNUMBER(INDEX('NCO-2015 scores'!$C$2:$C$131,MATCH(E1963,'NCO-2015 scores'!$A$2:$A$131,0))),1,0),0)</f>
        <v>1</v>
      </c>
    </row>
    <row r="1964" customFormat="false" ht="15" hidden="false" customHeight="false" outlineLevel="0" collapsed="false">
      <c r="A1964" s="2" t="n">
        <v>1960</v>
      </c>
      <c r="B1964" s="2" t="s">
        <v>5863</v>
      </c>
      <c r="C1964" s="2" t="s">
        <v>5864</v>
      </c>
      <c r="D1964" s="2"/>
      <c r="E1964" s="2" t="str">
        <f aca="false">LEFT(C1964,3)</f>
        <v>311</v>
      </c>
      <c r="F1964" s="2" t="str">
        <f aca="false">IF(D1964="","",LEFT(D1964,3))</f>
        <v/>
      </c>
      <c r="G1964" s="2" t="str">
        <f aca="false">IF(F1964="","",IF(E1964=F1964,"Yes","No"))</f>
        <v/>
      </c>
      <c r="H1964" s="2" t="n">
        <f aca="false">IF(D1964="",0,1/COUNTIF($D$2:$D$3451,D1964))</f>
        <v>0</v>
      </c>
      <c r="I1964" s="13" t="n">
        <f aca="false">IFERROR(INDEX('NCO-2015 scores'!$C$2:$C$131,MATCH(E1964,'NCO-2015 scores'!$A$2:$A$131,0)),0)</f>
        <v>0.2956</v>
      </c>
      <c r="J1964" s="13" t="n">
        <f aca="false">IF(ISNUMBER(MATCH(E1964,'NCO-2015 scores'!$A$2:$A$131,0)),IF(ISNUMBER(INDEX('NCO-2015 scores'!$C$2:$C$131,MATCH(E1964,'NCO-2015 scores'!$A$2:$A$131,0))),1,0),0)</f>
        <v>1</v>
      </c>
    </row>
    <row r="1965" customFormat="false" ht="15" hidden="false" customHeight="false" outlineLevel="0" collapsed="false">
      <c r="A1965" s="2" t="n">
        <v>1961</v>
      </c>
      <c r="B1965" s="2" t="s">
        <v>5865</v>
      </c>
      <c r="C1965" s="2" t="s">
        <v>5866</v>
      </c>
      <c r="D1965" s="2" t="s">
        <v>5867</v>
      </c>
      <c r="E1965" s="2" t="str">
        <f aca="false">LEFT(C1965,3)</f>
        <v>311</v>
      </c>
      <c r="F1965" s="2" t="str">
        <f aca="false">IF(D1965="","",LEFT(D1965,3))</f>
        <v>311</v>
      </c>
      <c r="G1965" s="2" t="str">
        <f aca="false">IF(F1965="","",IF(E1965=F1965,"Yes","No"))</f>
        <v>Yes</v>
      </c>
      <c r="H1965" s="2" t="n">
        <f aca="false">IF(D1965="",0,1/COUNTIF($D$2:$D$3451,D1965))</f>
        <v>1</v>
      </c>
      <c r="I1965" s="13" t="n">
        <f aca="false">IFERROR(INDEX('NCO-2015 scores'!$C$2:$C$131,MATCH(E1965,'NCO-2015 scores'!$A$2:$A$131,0)),0)</f>
        <v>0.2956</v>
      </c>
      <c r="J1965" s="13" t="n">
        <f aca="false">IF(ISNUMBER(MATCH(E1965,'NCO-2015 scores'!$A$2:$A$131,0)),IF(ISNUMBER(INDEX('NCO-2015 scores'!$C$2:$C$131,MATCH(E1965,'NCO-2015 scores'!$A$2:$A$131,0))),1,0),0)</f>
        <v>1</v>
      </c>
    </row>
    <row r="1966" customFormat="false" ht="15" hidden="false" customHeight="false" outlineLevel="0" collapsed="false">
      <c r="A1966" s="2" t="n">
        <v>1962</v>
      </c>
      <c r="B1966" s="2" t="s">
        <v>5868</v>
      </c>
      <c r="C1966" s="2" t="s">
        <v>5869</v>
      </c>
      <c r="D1966" s="2" t="s">
        <v>5870</v>
      </c>
      <c r="E1966" s="2" t="str">
        <f aca="false">LEFT(C1966,3)</f>
        <v>311</v>
      </c>
      <c r="F1966" s="2" t="str">
        <f aca="false">IF(D1966="","",LEFT(D1966,3))</f>
        <v>311</v>
      </c>
      <c r="G1966" s="2" t="str">
        <f aca="false">IF(F1966="","",IF(E1966=F1966,"Yes","No"))</f>
        <v>Yes</v>
      </c>
      <c r="H1966" s="2" t="n">
        <f aca="false">IF(D1966="",0,1/COUNTIF($D$2:$D$3451,D1966))</f>
        <v>1</v>
      </c>
      <c r="I1966" s="13" t="n">
        <f aca="false">IFERROR(INDEX('NCO-2015 scores'!$C$2:$C$131,MATCH(E1966,'NCO-2015 scores'!$A$2:$A$131,0)),0)</f>
        <v>0.2956</v>
      </c>
      <c r="J1966" s="13" t="n">
        <f aca="false">IF(ISNUMBER(MATCH(E1966,'NCO-2015 scores'!$A$2:$A$131,0)),IF(ISNUMBER(INDEX('NCO-2015 scores'!$C$2:$C$131,MATCH(E1966,'NCO-2015 scores'!$A$2:$A$131,0))),1,0),0)</f>
        <v>1</v>
      </c>
    </row>
    <row r="1967" customFormat="false" ht="15" hidden="false" customHeight="false" outlineLevel="0" collapsed="false">
      <c r="A1967" s="2" t="n">
        <v>1963</v>
      </c>
      <c r="B1967" s="2" t="s">
        <v>5871</v>
      </c>
      <c r="C1967" s="2" t="s">
        <v>5872</v>
      </c>
      <c r="D1967" s="2" t="s">
        <v>5873</v>
      </c>
      <c r="E1967" s="2" t="str">
        <f aca="false">LEFT(C1967,3)</f>
        <v>311</v>
      </c>
      <c r="F1967" s="2" t="str">
        <f aca="false">IF(D1967="","",LEFT(D1967,3))</f>
        <v>311</v>
      </c>
      <c r="G1967" s="2" t="str">
        <f aca="false">IF(F1967="","",IF(E1967=F1967,"Yes","No"))</f>
        <v>Yes</v>
      </c>
      <c r="H1967" s="2" t="n">
        <f aca="false">IF(D1967="",0,1/COUNTIF($D$2:$D$3451,D1967))</f>
        <v>1</v>
      </c>
      <c r="I1967" s="13" t="n">
        <f aca="false">IFERROR(INDEX('NCO-2015 scores'!$C$2:$C$131,MATCH(E1967,'NCO-2015 scores'!$A$2:$A$131,0)),0)</f>
        <v>0.2956</v>
      </c>
      <c r="J1967" s="13" t="n">
        <f aca="false">IF(ISNUMBER(MATCH(E1967,'NCO-2015 scores'!$A$2:$A$131,0)),IF(ISNUMBER(INDEX('NCO-2015 scores'!$C$2:$C$131,MATCH(E1967,'NCO-2015 scores'!$A$2:$A$131,0))),1,0),0)</f>
        <v>1</v>
      </c>
    </row>
    <row r="1968" customFormat="false" ht="15" hidden="false" customHeight="false" outlineLevel="0" collapsed="false">
      <c r="A1968" s="2" t="n">
        <v>1964</v>
      </c>
      <c r="B1968" s="2" t="s">
        <v>5874</v>
      </c>
      <c r="C1968" s="2" t="s">
        <v>5875</v>
      </c>
      <c r="D1968" s="2"/>
      <c r="E1968" s="2" t="str">
        <f aca="false">LEFT(C1968,3)</f>
        <v>311</v>
      </c>
      <c r="F1968" s="2" t="str">
        <f aca="false">IF(D1968="","",LEFT(D1968,3))</f>
        <v/>
      </c>
      <c r="G1968" s="2" t="str">
        <f aca="false">IF(F1968="","",IF(E1968=F1968,"Yes","No"))</f>
        <v/>
      </c>
      <c r="H1968" s="2" t="n">
        <f aca="false">IF(D1968="",0,1/COUNTIF($D$2:$D$3451,D1968))</f>
        <v>0</v>
      </c>
      <c r="I1968" s="13" t="n">
        <f aca="false">IFERROR(INDEX('NCO-2015 scores'!$C$2:$C$131,MATCH(E1968,'NCO-2015 scores'!$A$2:$A$131,0)),0)</f>
        <v>0.2956</v>
      </c>
      <c r="J1968" s="13" t="n">
        <f aca="false">IF(ISNUMBER(MATCH(E1968,'NCO-2015 scores'!$A$2:$A$131,0)),IF(ISNUMBER(INDEX('NCO-2015 scores'!$C$2:$C$131,MATCH(E1968,'NCO-2015 scores'!$A$2:$A$131,0))),1,0),0)</f>
        <v>1</v>
      </c>
    </row>
    <row r="1969" customFormat="false" ht="15" hidden="false" customHeight="false" outlineLevel="0" collapsed="false">
      <c r="A1969" s="2" t="n">
        <v>1965</v>
      </c>
      <c r="B1969" s="2" t="s">
        <v>5876</v>
      </c>
      <c r="C1969" s="2" t="s">
        <v>5877</v>
      </c>
      <c r="D1969" s="2" t="s">
        <v>5878</v>
      </c>
      <c r="E1969" s="2" t="str">
        <f aca="false">LEFT(C1969,3)</f>
        <v>311</v>
      </c>
      <c r="F1969" s="2" t="str">
        <f aca="false">IF(D1969="","",LEFT(D1969,3))</f>
        <v>311</v>
      </c>
      <c r="G1969" s="2" t="str">
        <f aca="false">IF(F1969="","",IF(E1969=F1969,"Yes","No"))</f>
        <v>Yes</v>
      </c>
      <c r="H1969" s="2" t="n">
        <f aca="false">IF(D1969="",0,1/COUNTIF($D$2:$D$3451,D1969))</f>
        <v>1</v>
      </c>
      <c r="I1969" s="13" t="n">
        <f aca="false">IFERROR(INDEX('NCO-2015 scores'!$C$2:$C$131,MATCH(E1969,'NCO-2015 scores'!$A$2:$A$131,0)),0)</f>
        <v>0.2956</v>
      </c>
      <c r="J1969" s="13" t="n">
        <f aca="false">IF(ISNUMBER(MATCH(E1969,'NCO-2015 scores'!$A$2:$A$131,0)),IF(ISNUMBER(INDEX('NCO-2015 scores'!$C$2:$C$131,MATCH(E1969,'NCO-2015 scores'!$A$2:$A$131,0))),1,0),0)</f>
        <v>1</v>
      </c>
    </row>
    <row r="1970" customFormat="false" ht="15" hidden="false" customHeight="false" outlineLevel="0" collapsed="false">
      <c r="A1970" s="2" t="n">
        <v>1966</v>
      </c>
      <c r="B1970" s="2" t="s">
        <v>5879</v>
      </c>
      <c r="C1970" s="2" t="s">
        <v>5880</v>
      </c>
      <c r="D1970" s="2" t="s">
        <v>5881</v>
      </c>
      <c r="E1970" s="2" t="str">
        <f aca="false">LEFT(C1970,3)</f>
        <v>311</v>
      </c>
      <c r="F1970" s="2" t="str">
        <f aca="false">IF(D1970="","",LEFT(D1970,3))</f>
        <v>311</v>
      </c>
      <c r="G1970" s="2" t="str">
        <f aca="false">IF(F1970="","",IF(E1970=F1970,"Yes","No"))</f>
        <v>Yes</v>
      </c>
      <c r="H1970" s="2" t="n">
        <f aca="false">IF(D1970="",0,1/COUNTIF($D$2:$D$3451,D1970))</f>
        <v>1</v>
      </c>
      <c r="I1970" s="13" t="n">
        <f aca="false">IFERROR(INDEX('NCO-2015 scores'!$C$2:$C$131,MATCH(E1970,'NCO-2015 scores'!$A$2:$A$131,0)),0)</f>
        <v>0.2956</v>
      </c>
      <c r="J1970" s="13" t="n">
        <f aca="false">IF(ISNUMBER(MATCH(E1970,'NCO-2015 scores'!$A$2:$A$131,0)),IF(ISNUMBER(INDEX('NCO-2015 scores'!$C$2:$C$131,MATCH(E1970,'NCO-2015 scores'!$A$2:$A$131,0))),1,0),0)</f>
        <v>1</v>
      </c>
    </row>
    <row r="1971" customFormat="false" ht="15" hidden="false" customHeight="false" outlineLevel="0" collapsed="false">
      <c r="A1971" s="2" t="n">
        <v>1967</v>
      </c>
      <c r="B1971" s="2" t="s">
        <v>5882</v>
      </c>
      <c r="C1971" s="2" t="s">
        <v>5883</v>
      </c>
      <c r="D1971" s="2"/>
      <c r="E1971" s="2" t="str">
        <f aca="false">LEFT(C1971,3)</f>
        <v>311</v>
      </c>
      <c r="F1971" s="2" t="str">
        <f aca="false">IF(D1971="","",LEFT(D1971,3))</f>
        <v/>
      </c>
      <c r="G1971" s="2" t="str">
        <f aca="false">IF(F1971="","",IF(E1971=F1971,"Yes","No"))</f>
        <v/>
      </c>
      <c r="H1971" s="2" t="n">
        <f aca="false">IF(D1971="",0,1/COUNTIF($D$2:$D$3451,D1971))</f>
        <v>0</v>
      </c>
      <c r="I1971" s="13" t="n">
        <f aca="false">IFERROR(INDEX('NCO-2015 scores'!$C$2:$C$131,MATCH(E1971,'NCO-2015 scores'!$A$2:$A$131,0)),0)</f>
        <v>0.2956</v>
      </c>
      <c r="J1971" s="13" t="n">
        <f aca="false">IF(ISNUMBER(MATCH(E1971,'NCO-2015 scores'!$A$2:$A$131,0)),IF(ISNUMBER(INDEX('NCO-2015 scores'!$C$2:$C$131,MATCH(E1971,'NCO-2015 scores'!$A$2:$A$131,0))),1,0),0)</f>
        <v>1</v>
      </c>
    </row>
    <row r="1972" customFormat="false" ht="15" hidden="false" customHeight="false" outlineLevel="0" collapsed="false">
      <c r="A1972" s="2" t="n">
        <v>1968</v>
      </c>
      <c r="B1972" s="2" t="s">
        <v>5884</v>
      </c>
      <c r="C1972" s="2" t="s">
        <v>5885</v>
      </c>
      <c r="D1972" s="2"/>
      <c r="E1972" s="2" t="str">
        <f aca="false">LEFT(C1972,3)</f>
        <v>311</v>
      </c>
      <c r="F1972" s="2" t="str">
        <f aca="false">IF(D1972="","",LEFT(D1972,3))</f>
        <v/>
      </c>
      <c r="G1972" s="2" t="str">
        <f aca="false">IF(F1972="","",IF(E1972=F1972,"Yes","No"))</f>
        <v/>
      </c>
      <c r="H1972" s="2" t="n">
        <f aca="false">IF(D1972="",0,1/COUNTIF($D$2:$D$3451,D1972))</f>
        <v>0</v>
      </c>
      <c r="I1972" s="13" t="n">
        <f aca="false">IFERROR(INDEX('NCO-2015 scores'!$C$2:$C$131,MATCH(E1972,'NCO-2015 scores'!$A$2:$A$131,0)),0)</f>
        <v>0.2956</v>
      </c>
      <c r="J1972" s="13" t="n">
        <f aca="false">IF(ISNUMBER(MATCH(E1972,'NCO-2015 scores'!$A$2:$A$131,0)),IF(ISNUMBER(INDEX('NCO-2015 scores'!$C$2:$C$131,MATCH(E1972,'NCO-2015 scores'!$A$2:$A$131,0))),1,0),0)</f>
        <v>1</v>
      </c>
    </row>
    <row r="1973" customFormat="false" ht="15" hidden="false" customHeight="false" outlineLevel="0" collapsed="false">
      <c r="A1973" s="2" t="n">
        <v>1969</v>
      </c>
      <c r="B1973" s="2" t="s">
        <v>5886</v>
      </c>
      <c r="C1973" s="2" t="s">
        <v>5887</v>
      </c>
      <c r="D1973" s="2"/>
      <c r="E1973" s="2" t="str">
        <f aca="false">LEFT(C1973,3)</f>
        <v>214</v>
      </c>
      <c r="F1973" s="2" t="str">
        <f aca="false">IF(D1973="","",LEFT(D1973,3))</f>
        <v/>
      </c>
      <c r="G1973" s="2" t="str">
        <f aca="false">IF(F1973="","",IF(E1973=F1973,"Yes","No"))</f>
        <v/>
      </c>
      <c r="H1973" s="2" t="n">
        <f aca="false">IF(D1973="",0,1/COUNTIF($D$2:$D$3451,D1973))</f>
        <v>0</v>
      </c>
      <c r="I1973" s="13" t="n">
        <f aca="false">IFERROR(INDEX('NCO-2015 scores'!$C$2:$C$131,MATCH(E1973,'NCO-2015 scores'!$A$2:$A$131,0)),0)</f>
        <v>0.33</v>
      </c>
      <c r="J1973" s="13" t="n">
        <f aca="false">IF(ISNUMBER(MATCH(E1973,'NCO-2015 scores'!$A$2:$A$131,0)),IF(ISNUMBER(INDEX('NCO-2015 scores'!$C$2:$C$131,MATCH(E1973,'NCO-2015 scores'!$A$2:$A$131,0))),1,0),0)</f>
        <v>1</v>
      </c>
    </row>
    <row r="1974" customFormat="false" ht="15" hidden="false" customHeight="false" outlineLevel="0" collapsed="false">
      <c r="A1974" s="2" t="n">
        <v>1970</v>
      </c>
      <c r="B1974" s="2" t="s">
        <v>5888</v>
      </c>
      <c r="C1974" s="2" t="s">
        <v>5889</v>
      </c>
      <c r="D1974" s="2" t="s">
        <v>5890</v>
      </c>
      <c r="E1974" s="2" t="str">
        <f aca="false">LEFT(C1974,3)</f>
        <v>214</v>
      </c>
      <c r="F1974" s="2" t="str">
        <f aca="false">IF(D1974="","",LEFT(D1974,3))</f>
        <v>214</v>
      </c>
      <c r="G1974" s="2" t="str">
        <f aca="false">IF(F1974="","",IF(E1974=F1974,"Yes","No"))</f>
        <v>Yes</v>
      </c>
      <c r="H1974" s="2" t="n">
        <f aca="false">IF(D1974="",0,1/COUNTIF($D$2:$D$3451,D1974))</f>
        <v>1</v>
      </c>
      <c r="I1974" s="13" t="n">
        <f aca="false">IFERROR(INDEX('NCO-2015 scores'!$C$2:$C$131,MATCH(E1974,'NCO-2015 scores'!$A$2:$A$131,0)),0)</f>
        <v>0.33</v>
      </c>
      <c r="J1974" s="13" t="n">
        <f aca="false">IF(ISNUMBER(MATCH(E1974,'NCO-2015 scores'!$A$2:$A$131,0)),IF(ISNUMBER(INDEX('NCO-2015 scores'!$C$2:$C$131,MATCH(E1974,'NCO-2015 scores'!$A$2:$A$131,0))),1,0),0)</f>
        <v>1</v>
      </c>
    </row>
    <row r="1975" customFormat="false" ht="15" hidden="false" customHeight="false" outlineLevel="0" collapsed="false">
      <c r="A1975" s="2" t="n">
        <v>1971</v>
      </c>
      <c r="B1975" s="2" t="s">
        <v>5891</v>
      </c>
      <c r="C1975" s="2" t="s">
        <v>5892</v>
      </c>
      <c r="D1975" s="2"/>
      <c r="E1975" s="2" t="str">
        <f aca="false">LEFT(C1975,3)</f>
        <v>214</v>
      </c>
      <c r="F1975" s="2" t="str">
        <f aca="false">IF(D1975="","",LEFT(D1975,3))</f>
        <v/>
      </c>
      <c r="G1975" s="2" t="str">
        <f aca="false">IF(F1975="","",IF(E1975=F1975,"Yes","No"))</f>
        <v/>
      </c>
      <c r="H1975" s="2" t="n">
        <f aca="false">IF(D1975="",0,1/COUNTIF($D$2:$D$3451,D1975))</f>
        <v>0</v>
      </c>
      <c r="I1975" s="13" t="n">
        <f aca="false">IFERROR(INDEX('NCO-2015 scores'!$C$2:$C$131,MATCH(E1975,'NCO-2015 scores'!$A$2:$A$131,0)),0)</f>
        <v>0.33</v>
      </c>
      <c r="J1975" s="13" t="n">
        <f aca="false">IF(ISNUMBER(MATCH(E1975,'NCO-2015 scores'!$A$2:$A$131,0)),IF(ISNUMBER(INDEX('NCO-2015 scores'!$C$2:$C$131,MATCH(E1975,'NCO-2015 scores'!$A$2:$A$131,0))),1,0),0)</f>
        <v>1</v>
      </c>
    </row>
    <row r="1976" customFormat="false" ht="15" hidden="false" customHeight="false" outlineLevel="0" collapsed="false">
      <c r="A1976" s="2" t="n">
        <v>1972</v>
      </c>
      <c r="B1976" s="2" t="s">
        <v>5893</v>
      </c>
      <c r="C1976" s="2" t="s">
        <v>5894</v>
      </c>
      <c r="D1976" s="2"/>
      <c r="E1976" s="2" t="str">
        <f aca="false">LEFT(C1976,3)</f>
        <v>214</v>
      </c>
      <c r="F1976" s="2" t="str">
        <f aca="false">IF(D1976="","",LEFT(D1976,3))</f>
        <v/>
      </c>
      <c r="G1976" s="2" t="str">
        <f aca="false">IF(F1976="","",IF(E1976=F1976,"Yes","No"))</f>
        <v/>
      </c>
      <c r="H1976" s="2" t="n">
        <f aca="false">IF(D1976="",0,1/COUNTIF($D$2:$D$3451,D1976))</f>
        <v>0</v>
      </c>
      <c r="I1976" s="13" t="n">
        <f aca="false">IFERROR(INDEX('NCO-2015 scores'!$C$2:$C$131,MATCH(E1976,'NCO-2015 scores'!$A$2:$A$131,0)),0)</f>
        <v>0.33</v>
      </c>
      <c r="J1976" s="13" t="n">
        <f aca="false">IF(ISNUMBER(MATCH(E1976,'NCO-2015 scores'!$A$2:$A$131,0)),IF(ISNUMBER(INDEX('NCO-2015 scores'!$C$2:$C$131,MATCH(E1976,'NCO-2015 scores'!$A$2:$A$131,0))),1,0),0)</f>
        <v>1</v>
      </c>
    </row>
    <row r="1977" customFormat="false" ht="15" hidden="false" customHeight="false" outlineLevel="0" collapsed="false">
      <c r="A1977" s="2" t="n">
        <v>1973</v>
      </c>
      <c r="B1977" s="2" t="s">
        <v>5895</v>
      </c>
      <c r="C1977" s="2" t="s">
        <v>5896</v>
      </c>
      <c r="D1977" s="2"/>
      <c r="E1977" s="2" t="str">
        <f aca="false">LEFT(C1977,3)</f>
        <v>214</v>
      </c>
      <c r="F1977" s="2" t="str">
        <f aca="false">IF(D1977="","",LEFT(D1977,3))</f>
        <v/>
      </c>
      <c r="G1977" s="2" t="str">
        <f aca="false">IF(F1977="","",IF(E1977=F1977,"Yes","No"))</f>
        <v/>
      </c>
      <c r="H1977" s="2" t="n">
        <f aca="false">IF(D1977="",0,1/COUNTIF($D$2:$D$3451,D1977))</f>
        <v>0</v>
      </c>
      <c r="I1977" s="13" t="n">
        <f aca="false">IFERROR(INDEX('NCO-2015 scores'!$C$2:$C$131,MATCH(E1977,'NCO-2015 scores'!$A$2:$A$131,0)),0)</f>
        <v>0.33</v>
      </c>
      <c r="J1977" s="13" t="n">
        <f aca="false">IF(ISNUMBER(MATCH(E1977,'NCO-2015 scores'!$A$2:$A$131,0)),IF(ISNUMBER(INDEX('NCO-2015 scores'!$C$2:$C$131,MATCH(E1977,'NCO-2015 scores'!$A$2:$A$131,0))),1,0),0)</f>
        <v>1</v>
      </c>
    </row>
    <row r="1978" customFormat="false" ht="15" hidden="false" customHeight="false" outlineLevel="0" collapsed="false">
      <c r="A1978" s="2" t="n">
        <v>1974</v>
      </c>
      <c r="B1978" s="2" t="s">
        <v>5897</v>
      </c>
      <c r="C1978" s="2" t="s">
        <v>5898</v>
      </c>
      <c r="D1978" s="2"/>
      <c r="E1978" s="2" t="str">
        <f aca="false">LEFT(C1978,3)</f>
        <v>214</v>
      </c>
      <c r="F1978" s="2" t="str">
        <f aca="false">IF(D1978="","",LEFT(D1978,3))</f>
        <v/>
      </c>
      <c r="G1978" s="2" t="str">
        <f aca="false">IF(F1978="","",IF(E1978=F1978,"Yes","No"))</f>
        <v/>
      </c>
      <c r="H1978" s="2" t="n">
        <f aca="false">IF(D1978="",0,1/COUNTIF($D$2:$D$3451,D1978))</f>
        <v>0</v>
      </c>
      <c r="I1978" s="13" t="n">
        <f aca="false">IFERROR(INDEX('NCO-2015 scores'!$C$2:$C$131,MATCH(E1978,'NCO-2015 scores'!$A$2:$A$131,0)),0)</f>
        <v>0.33</v>
      </c>
      <c r="J1978" s="13" t="n">
        <f aca="false">IF(ISNUMBER(MATCH(E1978,'NCO-2015 scores'!$A$2:$A$131,0)),IF(ISNUMBER(INDEX('NCO-2015 scores'!$C$2:$C$131,MATCH(E1978,'NCO-2015 scores'!$A$2:$A$131,0))),1,0),0)</f>
        <v>1</v>
      </c>
    </row>
    <row r="1979" customFormat="false" ht="15" hidden="false" customHeight="false" outlineLevel="0" collapsed="false">
      <c r="A1979" s="2" t="n">
        <v>1975</v>
      </c>
      <c r="B1979" s="2" t="s">
        <v>5899</v>
      </c>
      <c r="C1979" s="2" t="s">
        <v>5900</v>
      </c>
      <c r="D1979" s="2"/>
      <c r="E1979" s="2" t="str">
        <f aca="false">LEFT(C1979,3)</f>
        <v>214</v>
      </c>
      <c r="F1979" s="2" t="str">
        <f aca="false">IF(D1979="","",LEFT(D1979,3))</f>
        <v/>
      </c>
      <c r="G1979" s="2" t="str">
        <f aca="false">IF(F1979="","",IF(E1979=F1979,"Yes","No"))</f>
        <v/>
      </c>
      <c r="H1979" s="2" t="n">
        <f aca="false">IF(D1979="",0,1/COUNTIF($D$2:$D$3451,D1979))</f>
        <v>0</v>
      </c>
      <c r="I1979" s="13" t="n">
        <f aca="false">IFERROR(INDEX('NCO-2015 scores'!$C$2:$C$131,MATCH(E1979,'NCO-2015 scores'!$A$2:$A$131,0)),0)</f>
        <v>0.33</v>
      </c>
      <c r="J1979" s="13" t="n">
        <f aca="false">IF(ISNUMBER(MATCH(E1979,'NCO-2015 scores'!$A$2:$A$131,0)),IF(ISNUMBER(INDEX('NCO-2015 scores'!$C$2:$C$131,MATCH(E1979,'NCO-2015 scores'!$A$2:$A$131,0))),1,0),0)</f>
        <v>1</v>
      </c>
    </row>
    <row r="1980" customFormat="false" ht="15" hidden="false" customHeight="false" outlineLevel="0" collapsed="false">
      <c r="A1980" s="2" t="n">
        <v>1976</v>
      </c>
      <c r="B1980" s="2" t="s">
        <v>5901</v>
      </c>
      <c r="C1980" s="2" t="s">
        <v>5902</v>
      </c>
      <c r="D1980" s="2" t="s">
        <v>5903</v>
      </c>
      <c r="E1980" s="2" t="str">
        <f aca="false">LEFT(C1980,3)</f>
        <v>214</v>
      </c>
      <c r="F1980" s="2" t="str">
        <f aca="false">IF(D1980="","",LEFT(D1980,3))</f>
        <v>214</v>
      </c>
      <c r="G1980" s="2" t="str">
        <f aca="false">IF(F1980="","",IF(E1980=F1980,"Yes","No"))</f>
        <v>Yes</v>
      </c>
      <c r="H1980" s="2" t="n">
        <f aca="false">IF(D1980="",0,1/COUNTIF($D$2:$D$3451,D1980))</f>
        <v>1</v>
      </c>
      <c r="I1980" s="13" t="n">
        <f aca="false">IFERROR(INDEX('NCO-2015 scores'!$C$2:$C$131,MATCH(E1980,'NCO-2015 scores'!$A$2:$A$131,0)),0)</f>
        <v>0.33</v>
      </c>
      <c r="J1980" s="13" t="n">
        <f aca="false">IF(ISNUMBER(MATCH(E1980,'NCO-2015 scores'!$A$2:$A$131,0)),IF(ISNUMBER(INDEX('NCO-2015 scores'!$C$2:$C$131,MATCH(E1980,'NCO-2015 scores'!$A$2:$A$131,0))),1,0),0)</f>
        <v>1</v>
      </c>
    </row>
    <row r="1981" customFormat="false" ht="15" hidden="false" customHeight="false" outlineLevel="0" collapsed="false">
      <c r="A1981" s="2" t="n">
        <v>1977</v>
      </c>
      <c r="B1981" s="2" t="s">
        <v>5904</v>
      </c>
      <c r="C1981" s="2" t="s">
        <v>5905</v>
      </c>
      <c r="D1981" s="2" t="s">
        <v>5906</v>
      </c>
      <c r="E1981" s="2" t="str">
        <f aca="false">LEFT(C1981,3)</f>
        <v>214</v>
      </c>
      <c r="F1981" s="2" t="str">
        <f aca="false">IF(D1981="","",LEFT(D1981,3))</f>
        <v>214</v>
      </c>
      <c r="G1981" s="2" t="str">
        <f aca="false">IF(F1981="","",IF(E1981=F1981,"Yes","No"))</f>
        <v>Yes</v>
      </c>
      <c r="H1981" s="2" t="n">
        <f aca="false">IF(D1981="",0,1/COUNTIF($D$2:$D$3451,D1981))</f>
        <v>1</v>
      </c>
      <c r="I1981" s="13" t="n">
        <f aca="false">IFERROR(INDEX('NCO-2015 scores'!$C$2:$C$131,MATCH(E1981,'NCO-2015 scores'!$A$2:$A$131,0)),0)</f>
        <v>0.33</v>
      </c>
      <c r="J1981" s="13" t="n">
        <f aca="false">IF(ISNUMBER(MATCH(E1981,'NCO-2015 scores'!$A$2:$A$131,0)),IF(ISNUMBER(INDEX('NCO-2015 scores'!$C$2:$C$131,MATCH(E1981,'NCO-2015 scores'!$A$2:$A$131,0))),1,0),0)</f>
        <v>1</v>
      </c>
    </row>
    <row r="1982" customFormat="false" ht="15" hidden="false" customHeight="false" outlineLevel="0" collapsed="false">
      <c r="A1982" s="2" t="n">
        <v>1978</v>
      </c>
      <c r="B1982" s="2" t="s">
        <v>5907</v>
      </c>
      <c r="C1982" s="2" t="s">
        <v>5908</v>
      </c>
      <c r="D1982" s="2"/>
      <c r="E1982" s="2" t="str">
        <f aca="false">LEFT(C1982,3)</f>
        <v>214</v>
      </c>
      <c r="F1982" s="2" t="str">
        <f aca="false">IF(D1982="","",LEFT(D1982,3))</f>
        <v/>
      </c>
      <c r="G1982" s="2" t="str">
        <f aca="false">IF(F1982="","",IF(E1982=F1982,"Yes","No"))</f>
        <v/>
      </c>
      <c r="H1982" s="2" t="n">
        <f aca="false">IF(D1982="",0,1/COUNTIF($D$2:$D$3451,D1982))</f>
        <v>0</v>
      </c>
      <c r="I1982" s="13" t="n">
        <f aca="false">IFERROR(INDEX('NCO-2015 scores'!$C$2:$C$131,MATCH(E1982,'NCO-2015 scores'!$A$2:$A$131,0)),0)</f>
        <v>0.33</v>
      </c>
      <c r="J1982" s="13" t="n">
        <f aca="false">IF(ISNUMBER(MATCH(E1982,'NCO-2015 scores'!$A$2:$A$131,0)),IF(ISNUMBER(INDEX('NCO-2015 scores'!$C$2:$C$131,MATCH(E1982,'NCO-2015 scores'!$A$2:$A$131,0))),1,0),0)</f>
        <v>1</v>
      </c>
    </row>
    <row r="1983" customFormat="false" ht="15" hidden="false" customHeight="false" outlineLevel="0" collapsed="false">
      <c r="A1983" s="2" t="n">
        <v>1979</v>
      </c>
      <c r="B1983" s="2" t="s">
        <v>5909</v>
      </c>
      <c r="C1983" s="2" t="s">
        <v>5910</v>
      </c>
      <c r="D1983" s="2" t="s">
        <v>5911</v>
      </c>
      <c r="E1983" s="2" t="str">
        <f aca="false">LEFT(C1983,3)</f>
        <v>214</v>
      </c>
      <c r="F1983" s="2" t="str">
        <f aca="false">IF(D1983="","",LEFT(D1983,3))</f>
        <v>214</v>
      </c>
      <c r="G1983" s="2" t="str">
        <f aca="false">IF(F1983="","",IF(E1983=F1983,"Yes","No"))</f>
        <v>Yes</v>
      </c>
      <c r="H1983" s="2" t="n">
        <f aca="false">IF(D1983="",0,1/COUNTIF($D$2:$D$3451,D1983))</f>
        <v>1</v>
      </c>
      <c r="I1983" s="13" t="n">
        <f aca="false">IFERROR(INDEX('NCO-2015 scores'!$C$2:$C$131,MATCH(E1983,'NCO-2015 scores'!$A$2:$A$131,0)),0)</f>
        <v>0.33</v>
      </c>
      <c r="J1983" s="13" t="n">
        <f aca="false">IF(ISNUMBER(MATCH(E1983,'NCO-2015 scores'!$A$2:$A$131,0)),IF(ISNUMBER(INDEX('NCO-2015 scores'!$C$2:$C$131,MATCH(E1983,'NCO-2015 scores'!$A$2:$A$131,0))),1,0),0)</f>
        <v>1</v>
      </c>
    </row>
    <row r="1984" customFormat="false" ht="15" hidden="false" customHeight="false" outlineLevel="0" collapsed="false">
      <c r="A1984" s="2" t="n">
        <v>1980</v>
      </c>
      <c r="B1984" s="2" t="s">
        <v>5912</v>
      </c>
      <c r="C1984" s="2" t="s">
        <v>5913</v>
      </c>
      <c r="D1984" s="2"/>
      <c r="E1984" s="2" t="str">
        <f aca="false">LEFT(C1984,3)</f>
        <v>214</v>
      </c>
      <c r="F1984" s="2" t="str">
        <f aca="false">IF(D1984="","",LEFT(D1984,3))</f>
        <v/>
      </c>
      <c r="G1984" s="2" t="str">
        <f aca="false">IF(F1984="","",IF(E1984=F1984,"Yes","No"))</f>
        <v/>
      </c>
      <c r="H1984" s="2" t="n">
        <f aca="false">IF(D1984="",0,1/COUNTIF($D$2:$D$3451,D1984))</f>
        <v>0</v>
      </c>
      <c r="I1984" s="13" t="n">
        <f aca="false">IFERROR(INDEX('NCO-2015 scores'!$C$2:$C$131,MATCH(E1984,'NCO-2015 scores'!$A$2:$A$131,0)),0)</f>
        <v>0.33</v>
      </c>
      <c r="J1984" s="13" t="n">
        <f aca="false">IF(ISNUMBER(MATCH(E1984,'NCO-2015 scores'!$A$2:$A$131,0)),IF(ISNUMBER(INDEX('NCO-2015 scores'!$C$2:$C$131,MATCH(E1984,'NCO-2015 scores'!$A$2:$A$131,0))),1,0),0)</f>
        <v>1</v>
      </c>
    </row>
    <row r="1985" customFormat="false" ht="15" hidden="false" customHeight="false" outlineLevel="0" collapsed="false">
      <c r="A1985" s="2" t="n">
        <v>1981</v>
      </c>
      <c r="B1985" s="2" t="s">
        <v>5914</v>
      </c>
      <c r="C1985" s="2" t="s">
        <v>5915</v>
      </c>
      <c r="D1985" s="2" t="s">
        <v>5916</v>
      </c>
      <c r="E1985" s="2" t="str">
        <f aca="false">LEFT(C1985,3)</f>
        <v>214</v>
      </c>
      <c r="F1985" s="2" t="str">
        <f aca="false">IF(D1985="","",LEFT(D1985,3))</f>
        <v>214</v>
      </c>
      <c r="G1985" s="2" t="str">
        <f aca="false">IF(F1985="","",IF(E1985=F1985,"Yes","No"))</f>
        <v>Yes</v>
      </c>
      <c r="H1985" s="2" t="n">
        <f aca="false">IF(D1985="",0,1/COUNTIF($D$2:$D$3451,D1985))</f>
        <v>1</v>
      </c>
      <c r="I1985" s="13" t="n">
        <f aca="false">IFERROR(INDEX('NCO-2015 scores'!$C$2:$C$131,MATCH(E1985,'NCO-2015 scores'!$A$2:$A$131,0)),0)</f>
        <v>0.33</v>
      </c>
      <c r="J1985" s="13" t="n">
        <f aca="false">IF(ISNUMBER(MATCH(E1985,'NCO-2015 scores'!$A$2:$A$131,0)),IF(ISNUMBER(INDEX('NCO-2015 scores'!$C$2:$C$131,MATCH(E1985,'NCO-2015 scores'!$A$2:$A$131,0))),1,0),0)</f>
        <v>1</v>
      </c>
    </row>
    <row r="1986" customFormat="false" ht="15" hidden="false" customHeight="false" outlineLevel="0" collapsed="false">
      <c r="A1986" s="2" t="n">
        <v>1982</v>
      </c>
      <c r="B1986" s="2" t="s">
        <v>5917</v>
      </c>
      <c r="C1986" s="2" t="s">
        <v>5918</v>
      </c>
      <c r="D1986" s="2"/>
      <c r="E1986" s="2" t="str">
        <f aca="false">LEFT(C1986,3)</f>
        <v>214</v>
      </c>
      <c r="F1986" s="2" t="str">
        <f aca="false">IF(D1986="","",LEFT(D1986,3))</f>
        <v/>
      </c>
      <c r="G1986" s="2" t="str">
        <f aca="false">IF(F1986="","",IF(E1986=F1986,"Yes","No"))</f>
        <v/>
      </c>
      <c r="H1986" s="2" t="n">
        <f aca="false">IF(D1986="",0,1/COUNTIF($D$2:$D$3451,D1986))</f>
        <v>0</v>
      </c>
      <c r="I1986" s="13" t="n">
        <f aca="false">IFERROR(INDEX('NCO-2015 scores'!$C$2:$C$131,MATCH(E1986,'NCO-2015 scores'!$A$2:$A$131,0)),0)</f>
        <v>0.33</v>
      </c>
      <c r="J1986" s="13" t="n">
        <f aca="false">IF(ISNUMBER(MATCH(E1986,'NCO-2015 scores'!$A$2:$A$131,0)),IF(ISNUMBER(INDEX('NCO-2015 scores'!$C$2:$C$131,MATCH(E1986,'NCO-2015 scores'!$A$2:$A$131,0))),1,0),0)</f>
        <v>1</v>
      </c>
    </row>
    <row r="1987" customFormat="false" ht="15" hidden="false" customHeight="false" outlineLevel="0" collapsed="false">
      <c r="A1987" s="2" t="n">
        <v>1983</v>
      </c>
      <c r="B1987" s="2" t="s">
        <v>5919</v>
      </c>
      <c r="C1987" s="2" t="s">
        <v>5920</v>
      </c>
      <c r="D1987" s="2"/>
      <c r="E1987" s="2" t="str">
        <f aca="false">LEFT(C1987,3)</f>
        <v>214</v>
      </c>
      <c r="F1987" s="2" t="str">
        <f aca="false">IF(D1987="","",LEFT(D1987,3))</f>
        <v/>
      </c>
      <c r="G1987" s="2" t="str">
        <f aca="false">IF(F1987="","",IF(E1987=F1987,"Yes","No"))</f>
        <v/>
      </c>
      <c r="H1987" s="2" t="n">
        <f aca="false">IF(D1987="",0,1/COUNTIF($D$2:$D$3451,D1987))</f>
        <v>0</v>
      </c>
      <c r="I1987" s="13" t="n">
        <f aca="false">IFERROR(INDEX('NCO-2015 scores'!$C$2:$C$131,MATCH(E1987,'NCO-2015 scores'!$A$2:$A$131,0)),0)</f>
        <v>0.33</v>
      </c>
      <c r="J1987" s="13" t="n">
        <f aca="false">IF(ISNUMBER(MATCH(E1987,'NCO-2015 scores'!$A$2:$A$131,0)),IF(ISNUMBER(INDEX('NCO-2015 scores'!$C$2:$C$131,MATCH(E1987,'NCO-2015 scores'!$A$2:$A$131,0))),1,0),0)</f>
        <v>1</v>
      </c>
    </row>
    <row r="1988" customFormat="false" ht="15" hidden="false" customHeight="false" outlineLevel="0" collapsed="false">
      <c r="A1988" s="2" t="n">
        <v>1984</v>
      </c>
      <c r="B1988" s="2" t="s">
        <v>5921</v>
      </c>
      <c r="C1988" s="2" t="s">
        <v>5922</v>
      </c>
      <c r="D1988" s="2" t="s">
        <v>5923</v>
      </c>
      <c r="E1988" s="2" t="str">
        <f aca="false">LEFT(C1988,3)</f>
        <v>214</v>
      </c>
      <c r="F1988" s="2" t="str">
        <f aca="false">IF(D1988="","",LEFT(D1988,3))</f>
        <v>214</v>
      </c>
      <c r="G1988" s="2" t="str">
        <f aca="false">IF(F1988="","",IF(E1988=F1988,"Yes","No"))</f>
        <v>Yes</v>
      </c>
      <c r="H1988" s="2" t="n">
        <f aca="false">IF(D1988="",0,1/COUNTIF($D$2:$D$3451,D1988))</f>
        <v>1</v>
      </c>
      <c r="I1988" s="13" t="n">
        <f aca="false">IFERROR(INDEX('NCO-2015 scores'!$C$2:$C$131,MATCH(E1988,'NCO-2015 scores'!$A$2:$A$131,0)),0)</f>
        <v>0.33</v>
      </c>
      <c r="J1988" s="13" t="n">
        <f aca="false">IF(ISNUMBER(MATCH(E1988,'NCO-2015 scores'!$A$2:$A$131,0)),IF(ISNUMBER(INDEX('NCO-2015 scores'!$C$2:$C$131,MATCH(E1988,'NCO-2015 scores'!$A$2:$A$131,0))),1,0),0)</f>
        <v>1</v>
      </c>
    </row>
    <row r="1989" customFormat="false" ht="15" hidden="false" customHeight="false" outlineLevel="0" collapsed="false">
      <c r="A1989" s="2" t="n">
        <v>1985</v>
      </c>
      <c r="B1989" s="2" t="s">
        <v>5924</v>
      </c>
      <c r="C1989" s="2" t="s">
        <v>5925</v>
      </c>
      <c r="D1989" s="2" t="s">
        <v>5926</v>
      </c>
      <c r="E1989" s="2" t="str">
        <f aca="false">LEFT(C1989,3)</f>
        <v>214</v>
      </c>
      <c r="F1989" s="2" t="str">
        <f aca="false">IF(D1989="","",LEFT(D1989,3))</f>
        <v>214</v>
      </c>
      <c r="G1989" s="2" t="str">
        <f aca="false">IF(F1989="","",IF(E1989=F1989,"Yes","No"))</f>
        <v>Yes</v>
      </c>
      <c r="H1989" s="2" t="n">
        <f aca="false">IF(D1989="",0,1/COUNTIF($D$2:$D$3451,D1989))</f>
        <v>1</v>
      </c>
      <c r="I1989" s="13" t="n">
        <f aca="false">IFERROR(INDEX('NCO-2015 scores'!$C$2:$C$131,MATCH(E1989,'NCO-2015 scores'!$A$2:$A$131,0)),0)</f>
        <v>0.33</v>
      </c>
      <c r="J1989" s="13" t="n">
        <f aca="false">IF(ISNUMBER(MATCH(E1989,'NCO-2015 scores'!$A$2:$A$131,0)),IF(ISNUMBER(INDEX('NCO-2015 scores'!$C$2:$C$131,MATCH(E1989,'NCO-2015 scores'!$A$2:$A$131,0))),1,0),0)</f>
        <v>1</v>
      </c>
    </row>
    <row r="1990" customFormat="false" ht="15" hidden="false" customHeight="false" outlineLevel="0" collapsed="false">
      <c r="A1990" s="2" t="n">
        <v>1986</v>
      </c>
      <c r="B1990" s="2" t="s">
        <v>5927</v>
      </c>
      <c r="C1990" s="2" t="s">
        <v>5928</v>
      </c>
      <c r="D1990" s="2" t="s">
        <v>5929</v>
      </c>
      <c r="E1990" s="2" t="str">
        <f aca="false">LEFT(C1990,3)</f>
        <v>214</v>
      </c>
      <c r="F1990" s="2" t="str">
        <f aca="false">IF(D1990="","",LEFT(D1990,3))</f>
        <v>214</v>
      </c>
      <c r="G1990" s="2" t="str">
        <f aca="false">IF(F1990="","",IF(E1990=F1990,"Yes","No"))</f>
        <v>Yes</v>
      </c>
      <c r="H1990" s="2" t="n">
        <f aca="false">IF(D1990="",0,1/COUNTIF($D$2:$D$3451,D1990))</f>
        <v>1</v>
      </c>
      <c r="I1990" s="13" t="n">
        <f aca="false">IFERROR(INDEX('NCO-2015 scores'!$C$2:$C$131,MATCH(E1990,'NCO-2015 scores'!$A$2:$A$131,0)),0)</f>
        <v>0.33</v>
      </c>
      <c r="J1990" s="13" t="n">
        <f aca="false">IF(ISNUMBER(MATCH(E1990,'NCO-2015 scores'!$A$2:$A$131,0)),IF(ISNUMBER(INDEX('NCO-2015 scores'!$C$2:$C$131,MATCH(E1990,'NCO-2015 scores'!$A$2:$A$131,0))),1,0),0)</f>
        <v>1</v>
      </c>
    </row>
    <row r="1991" customFormat="false" ht="15" hidden="false" customHeight="false" outlineLevel="0" collapsed="false">
      <c r="A1991" s="2" t="n">
        <v>1987</v>
      </c>
      <c r="B1991" s="2" t="s">
        <v>5930</v>
      </c>
      <c r="C1991" s="2" t="s">
        <v>5931</v>
      </c>
      <c r="D1991" s="2"/>
      <c r="E1991" s="2" t="str">
        <f aca="false">LEFT(C1991,3)</f>
        <v>214</v>
      </c>
      <c r="F1991" s="2" t="str">
        <f aca="false">IF(D1991="","",LEFT(D1991,3))</f>
        <v/>
      </c>
      <c r="G1991" s="2" t="str">
        <f aca="false">IF(F1991="","",IF(E1991=F1991,"Yes","No"))</f>
        <v/>
      </c>
      <c r="H1991" s="2" t="n">
        <f aca="false">IF(D1991="",0,1/COUNTIF($D$2:$D$3451,D1991))</f>
        <v>0</v>
      </c>
      <c r="I1991" s="13" t="n">
        <f aca="false">IFERROR(INDEX('NCO-2015 scores'!$C$2:$C$131,MATCH(E1991,'NCO-2015 scores'!$A$2:$A$131,0)),0)</f>
        <v>0.33</v>
      </c>
      <c r="J1991" s="13" t="n">
        <f aca="false">IF(ISNUMBER(MATCH(E1991,'NCO-2015 scores'!$A$2:$A$131,0)),IF(ISNUMBER(INDEX('NCO-2015 scores'!$C$2:$C$131,MATCH(E1991,'NCO-2015 scores'!$A$2:$A$131,0))),1,0),0)</f>
        <v>1</v>
      </c>
    </row>
    <row r="1992" customFormat="false" ht="15" hidden="false" customHeight="false" outlineLevel="0" collapsed="false">
      <c r="A1992" s="2" t="n">
        <v>1988</v>
      </c>
      <c r="B1992" s="2" t="s">
        <v>5932</v>
      </c>
      <c r="C1992" s="2" t="s">
        <v>5933</v>
      </c>
      <c r="D1992" s="2"/>
      <c r="E1992" s="2" t="str">
        <f aca="false">LEFT(C1992,3)</f>
        <v>214</v>
      </c>
      <c r="F1992" s="2" t="str">
        <f aca="false">IF(D1992="","",LEFT(D1992,3))</f>
        <v/>
      </c>
      <c r="G1992" s="2" t="str">
        <f aca="false">IF(F1992="","",IF(E1992=F1992,"Yes","No"))</f>
        <v/>
      </c>
      <c r="H1992" s="2" t="n">
        <f aca="false">IF(D1992="",0,1/COUNTIF($D$2:$D$3451,D1992))</f>
        <v>0</v>
      </c>
      <c r="I1992" s="13" t="n">
        <f aca="false">IFERROR(INDEX('NCO-2015 scores'!$C$2:$C$131,MATCH(E1992,'NCO-2015 scores'!$A$2:$A$131,0)),0)</f>
        <v>0.33</v>
      </c>
      <c r="J1992" s="13" t="n">
        <f aca="false">IF(ISNUMBER(MATCH(E1992,'NCO-2015 scores'!$A$2:$A$131,0)),IF(ISNUMBER(INDEX('NCO-2015 scores'!$C$2:$C$131,MATCH(E1992,'NCO-2015 scores'!$A$2:$A$131,0))),1,0),0)</f>
        <v>1</v>
      </c>
    </row>
    <row r="1993" customFormat="false" ht="15" hidden="false" customHeight="false" outlineLevel="0" collapsed="false">
      <c r="A1993" s="2" t="n">
        <v>1989</v>
      </c>
      <c r="B1993" s="2" t="s">
        <v>4266</v>
      </c>
      <c r="C1993" s="2" t="s">
        <v>5934</v>
      </c>
      <c r="D1993" s="2"/>
      <c r="E1993" s="2" t="str">
        <f aca="false">LEFT(C1993,3)</f>
        <v>214</v>
      </c>
      <c r="F1993" s="2" t="str">
        <f aca="false">IF(D1993="","",LEFT(D1993,3))</f>
        <v/>
      </c>
      <c r="G1993" s="2" t="str">
        <f aca="false">IF(F1993="","",IF(E1993=F1993,"Yes","No"))</f>
        <v/>
      </c>
      <c r="H1993" s="2" t="n">
        <f aca="false">IF(D1993="",0,1/COUNTIF($D$2:$D$3451,D1993))</f>
        <v>0</v>
      </c>
      <c r="I1993" s="13" t="n">
        <f aca="false">IFERROR(INDEX('NCO-2015 scores'!$C$2:$C$131,MATCH(E1993,'NCO-2015 scores'!$A$2:$A$131,0)),0)</f>
        <v>0.33</v>
      </c>
      <c r="J1993" s="13" t="n">
        <f aca="false">IF(ISNUMBER(MATCH(E1993,'NCO-2015 scores'!$A$2:$A$131,0)),IF(ISNUMBER(INDEX('NCO-2015 scores'!$C$2:$C$131,MATCH(E1993,'NCO-2015 scores'!$A$2:$A$131,0))),1,0),0)</f>
        <v>1</v>
      </c>
    </row>
    <row r="1994" customFormat="false" ht="15" hidden="false" customHeight="false" outlineLevel="0" collapsed="false">
      <c r="A1994" s="2" t="n">
        <v>1990</v>
      </c>
      <c r="B1994" s="2" t="s">
        <v>5935</v>
      </c>
      <c r="C1994" s="2" t="s">
        <v>5936</v>
      </c>
      <c r="D1994" s="2"/>
      <c r="E1994" s="2" t="str">
        <f aca="false">LEFT(C1994,3)</f>
        <v>214</v>
      </c>
      <c r="F1994" s="2" t="str">
        <f aca="false">IF(D1994="","",LEFT(D1994,3))</f>
        <v/>
      </c>
      <c r="G1994" s="2" t="str">
        <f aca="false">IF(F1994="","",IF(E1994=F1994,"Yes","No"))</f>
        <v/>
      </c>
      <c r="H1994" s="2" t="n">
        <f aca="false">IF(D1994="",0,1/COUNTIF($D$2:$D$3451,D1994))</f>
        <v>0</v>
      </c>
      <c r="I1994" s="13" t="n">
        <f aca="false">IFERROR(INDEX('NCO-2015 scores'!$C$2:$C$131,MATCH(E1994,'NCO-2015 scores'!$A$2:$A$131,0)),0)</f>
        <v>0.33</v>
      </c>
      <c r="J1994" s="13" t="n">
        <f aca="false">IF(ISNUMBER(MATCH(E1994,'NCO-2015 scores'!$A$2:$A$131,0)),IF(ISNUMBER(INDEX('NCO-2015 scores'!$C$2:$C$131,MATCH(E1994,'NCO-2015 scores'!$A$2:$A$131,0))),1,0),0)</f>
        <v>1</v>
      </c>
    </row>
    <row r="1995" customFormat="false" ht="15" hidden="false" customHeight="false" outlineLevel="0" collapsed="false">
      <c r="A1995" s="2" t="n">
        <v>1991</v>
      </c>
      <c r="B1995" s="2" t="s">
        <v>5937</v>
      </c>
      <c r="C1995" s="2" t="s">
        <v>5938</v>
      </c>
      <c r="D1995" s="2"/>
      <c r="E1995" s="2" t="str">
        <f aca="false">LEFT(C1995,3)</f>
        <v>214</v>
      </c>
      <c r="F1995" s="2" t="str">
        <f aca="false">IF(D1995="","",LEFT(D1995,3))</f>
        <v/>
      </c>
      <c r="G1995" s="2" t="str">
        <f aca="false">IF(F1995="","",IF(E1995=F1995,"Yes","No"))</f>
        <v/>
      </c>
      <c r="H1995" s="2" t="n">
        <f aca="false">IF(D1995="",0,1/COUNTIF($D$2:$D$3451,D1995))</f>
        <v>0</v>
      </c>
      <c r="I1995" s="13" t="n">
        <f aca="false">IFERROR(INDEX('NCO-2015 scores'!$C$2:$C$131,MATCH(E1995,'NCO-2015 scores'!$A$2:$A$131,0)),0)</f>
        <v>0.33</v>
      </c>
      <c r="J1995" s="13" t="n">
        <f aca="false">IF(ISNUMBER(MATCH(E1995,'NCO-2015 scores'!$A$2:$A$131,0)),IF(ISNUMBER(INDEX('NCO-2015 scores'!$C$2:$C$131,MATCH(E1995,'NCO-2015 scores'!$A$2:$A$131,0))),1,0),0)</f>
        <v>1</v>
      </c>
    </row>
    <row r="1996" customFormat="false" ht="15" hidden="false" customHeight="false" outlineLevel="0" collapsed="false">
      <c r="A1996" s="2" t="n">
        <v>1992</v>
      </c>
      <c r="B1996" s="2" t="s">
        <v>5939</v>
      </c>
      <c r="C1996" s="2" t="s">
        <v>5940</v>
      </c>
      <c r="D1996" s="2" t="s">
        <v>5941</v>
      </c>
      <c r="E1996" s="2" t="str">
        <f aca="false">LEFT(C1996,3)</f>
        <v>214</v>
      </c>
      <c r="F1996" s="2" t="str">
        <f aca="false">IF(D1996="","",LEFT(D1996,3))</f>
        <v>214</v>
      </c>
      <c r="G1996" s="2" t="str">
        <f aca="false">IF(F1996="","",IF(E1996=F1996,"Yes","No"))</f>
        <v>Yes</v>
      </c>
      <c r="H1996" s="2" t="n">
        <f aca="false">IF(D1996="",0,1/COUNTIF($D$2:$D$3451,D1996))</f>
        <v>1</v>
      </c>
      <c r="I1996" s="13" t="n">
        <f aca="false">IFERROR(INDEX('NCO-2015 scores'!$C$2:$C$131,MATCH(E1996,'NCO-2015 scores'!$A$2:$A$131,0)),0)</f>
        <v>0.33</v>
      </c>
      <c r="J1996" s="13" t="n">
        <f aca="false">IF(ISNUMBER(MATCH(E1996,'NCO-2015 scores'!$A$2:$A$131,0)),IF(ISNUMBER(INDEX('NCO-2015 scores'!$C$2:$C$131,MATCH(E1996,'NCO-2015 scores'!$A$2:$A$131,0))),1,0),0)</f>
        <v>1</v>
      </c>
    </row>
    <row r="1997" customFormat="false" ht="15" hidden="false" customHeight="false" outlineLevel="0" collapsed="false">
      <c r="A1997" s="2" t="n">
        <v>1993</v>
      </c>
      <c r="B1997" s="2" t="s">
        <v>5942</v>
      </c>
      <c r="C1997" s="2" t="s">
        <v>5943</v>
      </c>
      <c r="D1997" s="2" t="s">
        <v>5944</v>
      </c>
      <c r="E1997" s="2" t="str">
        <f aca="false">LEFT(C1997,3)</f>
        <v>214</v>
      </c>
      <c r="F1997" s="2" t="str">
        <f aca="false">IF(D1997="","",LEFT(D1997,3))</f>
        <v>214</v>
      </c>
      <c r="G1997" s="2" t="str">
        <f aca="false">IF(F1997="","",IF(E1997=F1997,"Yes","No"))</f>
        <v>Yes</v>
      </c>
      <c r="H1997" s="2" t="n">
        <f aca="false">IF(D1997="",0,1/COUNTIF($D$2:$D$3451,D1997))</f>
        <v>1</v>
      </c>
      <c r="I1997" s="13" t="n">
        <f aca="false">IFERROR(INDEX('NCO-2015 scores'!$C$2:$C$131,MATCH(E1997,'NCO-2015 scores'!$A$2:$A$131,0)),0)</f>
        <v>0.33</v>
      </c>
      <c r="J1997" s="13" t="n">
        <f aca="false">IF(ISNUMBER(MATCH(E1997,'NCO-2015 scores'!$A$2:$A$131,0)),IF(ISNUMBER(INDEX('NCO-2015 scores'!$C$2:$C$131,MATCH(E1997,'NCO-2015 scores'!$A$2:$A$131,0))),1,0),0)</f>
        <v>1</v>
      </c>
    </row>
    <row r="1998" customFormat="false" ht="15" hidden="false" customHeight="false" outlineLevel="0" collapsed="false">
      <c r="A1998" s="2" t="n">
        <v>1994</v>
      </c>
      <c r="B1998" s="2" t="s">
        <v>5945</v>
      </c>
      <c r="C1998" s="2" t="s">
        <v>5946</v>
      </c>
      <c r="D1998" s="2" t="s">
        <v>5947</v>
      </c>
      <c r="E1998" s="2" t="str">
        <f aca="false">LEFT(C1998,3)</f>
        <v>214</v>
      </c>
      <c r="F1998" s="2" t="str">
        <f aca="false">IF(D1998="","",LEFT(D1998,3))</f>
        <v>214</v>
      </c>
      <c r="G1998" s="2" t="str">
        <f aca="false">IF(F1998="","",IF(E1998=F1998,"Yes","No"))</f>
        <v>Yes</v>
      </c>
      <c r="H1998" s="2" t="n">
        <f aca="false">IF(D1998="",0,1/COUNTIF($D$2:$D$3451,D1998))</f>
        <v>1</v>
      </c>
      <c r="I1998" s="13" t="n">
        <f aca="false">IFERROR(INDEX('NCO-2015 scores'!$C$2:$C$131,MATCH(E1998,'NCO-2015 scores'!$A$2:$A$131,0)),0)</f>
        <v>0.33</v>
      </c>
      <c r="J1998" s="13" t="n">
        <f aca="false">IF(ISNUMBER(MATCH(E1998,'NCO-2015 scores'!$A$2:$A$131,0)),IF(ISNUMBER(INDEX('NCO-2015 scores'!$C$2:$C$131,MATCH(E1998,'NCO-2015 scores'!$A$2:$A$131,0))),1,0),0)</f>
        <v>1</v>
      </c>
    </row>
    <row r="1999" customFormat="false" ht="15" hidden="false" customHeight="false" outlineLevel="0" collapsed="false">
      <c r="A1999" s="2" t="n">
        <v>1995</v>
      </c>
      <c r="B1999" s="2" t="s">
        <v>5948</v>
      </c>
      <c r="C1999" s="2" t="s">
        <v>5949</v>
      </c>
      <c r="D1999" s="2" t="s">
        <v>5950</v>
      </c>
      <c r="E1999" s="2" t="str">
        <f aca="false">LEFT(C1999,3)</f>
        <v>214</v>
      </c>
      <c r="F1999" s="2" t="str">
        <f aca="false">IF(D1999="","",LEFT(D1999,3))</f>
        <v>214</v>
      </c>
      <c r="G1999" s="2" t="str">
        <f aca="false">IF(F1999="","",IF(E1999=F1999,"Yes","No"))</f>
        <v>Yes</v>
      </c>
      <c r="H1999" s="2" t="n">
        <f aca="false">IF(D1999="",0,1/COUNTIF($D$2:$D$3451,D1999))</f>
        <v>1</v>
      </c>
      <c r="I1999" s="13" t="n">
        <f aca="false">IFERROR(INDEX('NCO-2015 scores'!$C$2:$C$131,MATCH(E1999,'NCO-2015 scores'!$A$2:$A$131,0)),0)</f>
        <v>0.33</v>
      </c>
      <c r="J1999" s="13" t="n">
        <f aca="false">IF(ISNUMBER(MATCH(E1999,'NCO-2015 scores'!$A$2:$A$131,0)),IF(ISNUMBER(INDEX('NCO-2015 scores'!$C$2:$C$131,MATCH(E1999,'NCO-2015 scores'!$A$2:$A$131,0))),1,0),0)</f>
        <v>1</v>
      </c>
    </row>
    <row r="2000" customFormat="false" ht="15" hidden="false" customHeight="false" outlineLevel="0" collapsed="false">
      <c r="A2000" s="2" t="n">
        <v>1996</v>
      </c>
      <c r="B2000" s="2" t="s">
        <v>5951</v>
      </c>
      <c r="C2000" s="2" t="s">
        <v>5952</v>
      </c>
      <c r="D2000" s="2"/>
      <c r="E2000" s="2" t="str">
        <f aca="false">LEFT(C2000,3)</f>
        <v>214</v>
      </c>
      <c r="F2000" s="2" t="str">
        <f aca="false">IF(D2000="","",LEFT(D2000,3))</f>
        <v/>
      </c>
      <c r="G2000" s="2" t="str">
        <f aca="false">IF(F2000="","",IF(E2000=F2000,"Yes","No"))</f>
        <v/>
      </c>
      <c r="H2000" s="2" t="n">
        <f aca="false">IF(D2000="",0,1/COUNTIF($D$2:$D$3451,D2000))</f>
        <v>0</v>
      </c>
      <c r="I2000" s="13" t="n">
        <f aca="false">IFERROR(INDEX('NCO-2015 scores'!$C$2:$C$131,MATCH(E2000,'NCO-2015 scores'!$A$2:$A$131,0)),0)</f>
        <v>0.33</v>
      </c>
      <c r="J2000" s="13" t="n">
        <f aca="false">IF(ISNUMBER(MATCH(E2000,'NCO-2015 scores'!$A$2:$A$131,0)),IF(ISNUMBER(INDEX('NCO-2015 scores'!$C$2:$C$131,MATCH(E2000,'NCO-2015 scores'!$A$2:$A$131,0))),1,0),0)</f>
        <v>1</v>
      </c>
    </row>
    <row r="2001" customFormat="false" ht="15" hidden="false" customHeight="false" outlineLevel="0" collapsed="false">
      <c r="A2001" s="2" t="n">
        <v>1997</v>
      </c>
      <c r="B2001" s="2" t="s">
        <v>5953</v>
      </c>
      <c r="C2001" s="2" t="s">
        <v>5954</v>
      </c>
      <c r="D2001" s="2" t="s">
        <v>5955</v>
      </c>
      <c r="E2001" s="2" t="str">
        <f aca="false">LEFT(C2001,3)</f>
        <v>214</v>
      </c>
      <c r="F2001" s="2" t="str">
        <f aca="false">IF(D2001="","",LEFT(D2001,3))</f>
        <v>214</v>
      </c>
      <c r="G2001" s="2" t="str">
        <f aca="false">IF(F2001="","",IF(E2001=F2001,"Yes","No"))</f>
        <v>Yes</v>
      </c>
      <c r="H2001" s="2" t="n">
        <f aca="false">IF(D2001="",0,1/COUNTIF($D$2:$D$3451,D2001))</f>
        <v>1</v>
      </c>
      <c r="I2001" s="13" t="n">
        <f aca="false">IFERROR(INDEX('NCO-2015 scores'!$C$2:$C$131,MATCH(E2001,'NCO-2015 scores'!$A$2:$A$131,0)),0)</f>
        <v>0.33</v>
      </c>
      <c r="J2001" s="13" t="n">
        <f aca="false">IF(ISNUMBER(MATCH(E2001,'NCO-2015 scores'!$A$2:$A$131,0)),IF(ISNUMBER(INDEX('NCO-2015 scores'!$C$2:$C$131,MATCH(E2001,'NCO-2015 scores'!$A$2:$A$131,0))),1,0),0)</f>
        <v>1</v>
      </c>
    </row>
    <row r="2002" customFormat="false" ht="15" hidden="false" customHeight="false" outlineLevel="0" collapsed="false">
      <c r="A2002" s="2" t="n">
        <v>1998</v>
      </c>
      <c r="B2002" s="2" t="s">
        <v>5956</v>
      </c>
      <c r="C2002" s="2" t="s">
        <v>5957</v>
      </c>
      <c r="D2002" s="2"/>
      <c r="E2002" s="2" t="str">
        <f aca="false">LEFT(C2002,3)</f>
        <v>214</v>
      </c>
      <c r="F2002" s="2" t="str">
        <f aca="false">IF(D2002="","",LEFT(D2002,3))</f>
        <v/>
      </c>
      <c r="G2002" s="2" t="str">
        <f aca="false">IF(F2002="","",IF(E2002=F2002,"Yes","No"))</f>
        <v/>
      </c>
      <c r="H2002" s="2" t="n">
        <f aca="false">IF(D2002="",0,1/COUNTIF($D$2:$D$3451,D2002))</f>
        <v>0</v>
      </c>
      <c r="I2002" s="13" t="n">
        <f aca="false">IFERROR(INDEX('NCO-2015 scores'!$C$2:$C$131,MATCH(E2002,'NCO-2015 scores'!$A$2:$A$131,0)),0)</f>
        <v>0.33</v>
      </c>
      <c r="J2002" s="13" t="n">
        <f aca="false">IF(ISNUMBER(MATCH(E2002,'NCO-2015 scores'!$A$2:$A$131,0)),IF(ISNUMBER(INDEX('NCO-2015 scores'!$C$2:$C$131,MATCH(E2002,'NCO-2015 scores'!$A$2:$A$131,0))),1,0),0)</f>
        <v>1</v>
      </c>
    </row>
    <row r="2003" customFormat="false" ht="15" hidden="false" customHeight="false" outlineLevel="0" collapsed="false">
      <c r="A2003" s="2" t="n">
        <v>1999</v>
      </c>
      <c r="B2003" s="2" t="s">
        <v>5958</v>
      </c>
      <c r="C2003" s="2" t="s">
        <v>5959</v>
      </c>
      <c r="D2003" s="2"/>
      <c r="E2003" s="2" t="str">
        <f aca="false">LEFT(C2003,3)</f>
        <v>214</v>
      </c>
      <c r="F2003" s="2" t="str">
        <f aca="false">IF(D2003="","",LEFT(D2003,3))</f>
        <v/>
      </c>
      <c r="G2003" s="2" t="str">
        <f aca="false">IF(F2003="","",IF(E2003=F2003,"Yes","No"))</f>
        <v/>
      </c>
      <c r="H2003" s="2" t="n">
        <f aca="false">IF(D2003="",0,1/COUNTIF($D$2:$D$3451,D2003))</f>
        <v>0</v>
      </c>
      <c r="I2003" s="13" t="n">
        <f aca="false">IFERROR(INDEX('NCO-2015 scores'!$C$2:$C$131,MATCH(E2003,'NCO-2015 scores'!$A$2:$A$131,0)),0)</f>
        <v>0.33</v>
      </c>
      <c r="J2003" s="13" t="n">
        <f aca="false">IF(ISNUMBER(MATCH(E2003,'NCO-2015 scores'!$A$2:$A$131,0)),IF(ISNUMBER(INDEX('NCO-2015 scores'!$C$2:$C$131,MATCH(E2003,'NCO-2015 scores'!$A$2:$A$131,0))),1,0),0)</f>
        <v>1</v>
      </c>
    </row>
    <row r="2004" customFormat="false" ht="15" hidden="false" customHeight="false" outlineLevel="0" collapsed="false">
      <c r="A2004" s="2" t="n">
        <v>2000</v>
      </c>
      <c r="B2004" s="2" t="s">
        <v>5960</v>
      </c>
      <c r="C2004" s="2" t="s">
        <v>5961</v>
      </c>
      <c r="D2004" s="2"/>
      <c r="E2004" s="2" t="str">
        <f aca="false">LEFT(C2004,3)</f>
        <v>214</v>
      </c>
      <c r="F2004" s="2" t="str">
        <f aca="false">IF(D2004="","",LEFT(D2004,3))</f>
        <v/>
      </c>
      <c r="G2004" s="2" t="str">
        <f aca="false">IF(F2004="","",IF(E2004=F2004,"Yes","No"))</f>
        <v/>
      </c>
      <c r="H2004" s="2" t="n">
        <f aca="false">IF(D2004="",0,1/COUNTIF($D$2:$D$3451,D2004))</f>
        <v>0</v>
      </c>
      <c r="I2004" s="13" t="n">
        <f aca="false">IFERROR(INDEX('NCO-2015 scores'!$C$2:$C$131,MATCH(E2004,'NCO-2015 scores'!$A$2:$A$131,0)),0)</f>
        <v>0.33</v>
      </c>
      <c r="J2004" s="13" t="n">
        <f aca="false">IF(ISNUMBER(MATCH(E2004,'NCO-2015 scores'!$A$2:$A$131,0)),IF(ISNUMBER(INDEX('NCO-2015 scores'!$C$2:$C$131,MATCH(E2004,'NCO-2015 scores'!$A$2:$A$131,0))),1,0),0)</f>
        <v>1</v>
      </c>
    </row>
    <row r="2005" customFormat="false" ht="15" hidden="false" customHeight="false" outlineLevel="0" collapsed="false">
      <c r="A2005" s="2" t="n">
        <v>2001</v>
      </c>
      <c r="B2005" s="2" t="s">
        <v>5962</v>
      </c>
      <c r="C2005" s="2" t="s">
        <v>5963</v>
      </c>
      <c r="D2005" s="2"/>
      <c r="E2005" s="2" t="str">
        <f aca="false">LEFT(C2005,3)</f>
        <v>214</v>
      </c>
      <c r="F2005" s="2" t="str">
        <f aca="false">IF(D2005="","",LEFT(D2005,3))</f>
        <v/>
      </c>
      <c r="G2005" s="2" t="str">
        <f aca="false">IF(F2005="","",IF(E2005=F2005,"Yes","No"))</f>
        <v/>
      </c>
      <c r="H2005" s="2" t="n">
        <f aca="false">IF(D2005="",0,1/COUNTIF($D$2:$D$3451,D2005))</f>
        <v>0</v>
      </c>
      <c r="I2005" s="13" t="n">
        <f aca="false">IFERROR(INDEX('NCO-2015 scores'!$C$2:$C$131,MATCH(E2005,'NCO-2015 scores'!$A$2:$A$131,0)),0)</f>
        <v>0.33</v>
      </c>
      <c r="J2005" s="13" t="n">
        <f aca="false">IF(ISNUMBER(MATCH(E2005,'NCO-2015 scores'!$A$2:$A$131,0)),IF(ISNUMBER(INDEX('NCO-2015 scores'!$C$2:$C$131,MATCH(E2005,'NCO-2015 scores'!$A$2:$A$131,0))),1,0),0)</f>
        <v>1</v>
      </c>
    </row>
    <row r="2006" customFormat="false" ht="15" hidden="false" customHeight="false" outlineLevel="0" collapsed="false">
      <c r="A2006" s="2" t="n">
        <v>2002</v>
      </c>
      <c r="B2006" s="2" t="s">
        <v>5964</v>
      </c>
      <c r="C2006" s="2" t="s">
        <v>5965</v>
      </c>
      <c r="D2006" s="2" t="s">
        <v>5966</v>
      </c>
      <c r="E2006" s="2" t="str">
        <f aca="false">LEFT(C2006,3)</f>
        <v>821</v>
      </c>
      <c r="F2006" s="2" t="str">
        <f aca="false">IF(D2006="","",LEFT(D2006,3))</f>
        <v>828</v>
      </c>
      <c r="G2006" s="2" t="str">
        <f aca="false">IF(F2006="","",IF(E2006=F2006,"Yes","No"))</f>
        <v>No</v>
      </c>
      <c r="H2006" s="2" t="n">
        <f aca="false">IF(D2006="",0,1/COUNTIF($D$2:$D$3451,D2006))</f>
        <v>1</v>
      </c>
      <c r="I2006" s="13" t="n">
        <f aca="false">IFERROR(INDEX('NCO-2015 scores'!$C$2:$C$131,MATCH(E2006,'NCO-2015 scores'!$A$2:$A$131,0)),0)</f>
        <v>0.29</v>
      </c>
      <c r="J2006" s="13" t="n">
        <f aca="false">IF(ISNUMBER(MATCH(E2006,'NCO-2015 scores'!$A$2:$A$131,0)),IF(ISNUMBER(INDEX('NCO-2015 scores'!$C$2:$C$131,MATCH(E2006,'NCO-2015 scores'!$A$2:$A$131,0))),1,0),0)</f>
        <v>1</v>
      </c>
    </row>
    <row r="2007" customFormat="false" ht="15" hidden="false" customHeight="false" outlineLevel="0" collapsed="false">
      <c r="A2007" s="2" t="n">
        <v>2003</v>
      </c>
      <c r="B2007" s="2" t="s">
        <v>5967</v>
      </c>
      <c r="C2007" s="2" t="s">
        <v>5968</v>
      </c>
      <c r="D2007" s="2" t="s">
        <v>5969</v>
      </c>
      <c r="E2007" s="2" t="str">
        <f aca="false">LEFT(C2007,3)</f>
        <v>821</v>
      </c>
      <c r="F2007" s="2" t="str">
        <f aca="false">IF(D2007="","",LEFT(D2007,3))</f>
        <v>828</v>
      </c>
      <c r="G2007" s="2" t="str">
        <f aca="false">IF(F2007="","",IF(E2007=F2007,"Yes","No"))</f>
        <v>No</v>
      </c>
      <c r="H2007" s="2" t="n">
        <f aca="false">IF(D2007="",0,1/COUNTIF($D$2:$D$3451,D2007))</f>
        <v>1</v>
      </c>
      <c r="I2007" s="13" t="n">
        <f aca="false">IFERROR(INDEX('NCO-2015 scores'!$C$2:$C$131,MATCH(E2007,'NCO-2015 scores'!$A$2:$A$131,0)),0)</f>
        <v>0.29</v>
      </c>
      <c r="J2007" s="13" t="n">
        <f aca="false">IF(ISNUMBER(MATCH(E2007,'NCO-2015 scores'!$A$2:$A$131,0)),IF(ISNUMBER(INDEX('NCO-2015 scores'!$C$2:$C$131,MATCH(E2007,'NCO-2015 scores'!$A$2:$A$131,0))),1,0),0)</f>
        <v>1</v>
      </c>
    </row>
    <row r="2008" customFormat="false" ht="15" hidden="false" customHeight="false" outlineLevel="0" collapsed="false">
      <c r="A2008" s="2" t="n">
        <v>2004</v>
      </c>
      <c r="B2008" s="2" t="s">
        <v>5970</v>
      </c>
      <c r="C2008" s="2" t="s">
        <v>5971</v>
      </c>
      <c r="D2008" s="2" t="s">
        <v>5972</v>
      </c>
      <c r="E2008" s="2" t="str">
        <f aca="false">LEFT(C2008,3)</f>
        <v>821</v>
      </c>
      <c r="F2008" s="2" t="str">
        <f aca="false">IF(D2008="","",LEFT(D2008,3))</f>
        <v>828</v>
      </c>
      <c r="G2008" s="2" t="str">
        <f aca="false">IF(F2008="","",IF(E2008=F2008,"Yes","No"))</f>
        <v>No</v>
      </c>
      <c r="H2008" s="2" t="n">
        <f aca="false">IF(D2008="",0,1/COUNTIF($D$2:$D$3451,D2008))</f>
        <v>1</v>
      </c>
      <c r="I2008" s="13" t="n">
        <f aca="false">IFERROR(INDEX('NCO-2015 scores'!$C$2:$C$131,MATCH(E2008,'NCO-2015 scores'!$A$2:$A$131,0)),0)</f>
        <v>0.29</v>
      </c>
      <c r="J2008" s="13" t="n">
        <f aca="false">IF(ISNUMBER(MATCH(E2008,'NCO-2015 scores'!$A$2:$A$131,0)),IF(ISNUMBER(INDEX('NCO-2015 scores'!$C$2:$C$131,MATCH(E2008,'NCO-2015 scores'!$A$2:$A$131,0))),1,0),0)</f>
        <v>1</v>
      </c>
    </row>
    <row r="2009" customFormat="false" ht="15" hidden="false" customHeight="false" outlineLevel="0" collapsed="false">
      <c r="A2009" s="2" t="n">
        <v>2005</v>
      </c>
      <c r="B2009" s="2" t="s">
        <v>5973</v>
      </c>
      <c r="C2009" s="2" t="s">
        <v>5974</v>
      </c>
      <c r="D2009" s="2" t="s">
        <v>5975</v>
      </c>
      <c r="E2009" s="2" t="str">
        <f aca="false">LEFT(C2009,3)</f>
        <v>821</v>
      </c>
      <c r="F2009" s="2" t="str">
        <f aca="false">IF(D2009="","",LEFT(D2009,3))</f>
        <v>828</v>
      </c>
      <c r="G2009" s="2" t="str">
        <f aca="false">IF(F2009="","",IF(E2009=F2009,"Yes","No"))</f>
        <v>No</v>
      </c>
      <c r="H2009" s="2" t="n">
        <f aca="false">IF(D2009="",0,1/COUNTIF($D$2:$D$3451,D2009))</f>
        <v>1</v>
      </c>
      <c r="I2009" s="13" t="n">
        <f aca="false">IFERROR(INDEX('NCO-2015 scores'!$C$2:$C$131,MATCH(E2009,'NCO-2015 scores'!$A$2:$A$131,0)),0)</f>
        <v>0.29</v>
      </c>
      <c r="J2009" s="13" t="n">
        <f aca="false">IF(ISNUMBER(MATCH(E2009,'NCO-2015 scores'!$A$2:$A$131,0)),IF(ISNUMBER(INDEX('NCO-2015 scores'!$C$2:$C$131,MATCH(E2009,'NCO-2015 scores'!$A$2:$A$131,0))),1,0),0)</f>
        <v>1</v>
      </c>
    </row>
    <row r="2010" customFormat="false" ht="15" hidden="false" customHeight="false" outlineLevel="0" collapsed="false">
      <c r="A2010" s="2" t="n">
        <v>2006</v>
      </c>
      <c r="B2010" s="2" t="s">
        <v>5976</v>
      </c>
      <c r="C2010" s="2" t="s">
        <v>5977</v>
      </c>
      <c r="D2010" s="2" t="s">
        <v>5978</v>
      </c>
      <c r="E2010" s="2" t="str">
        <f aca="false">LEFT(C2010,3)</f>
        <v>821</v>
      </c>
      <c r="F2010" s="2" t="str">
        <f aca="false">IF(D2010="","",LEFT(D2010,3))</f>
        <v>828</v>
      </c>
      <c r="G2010" s="2" t="str">
        <f aca="false">IF(F2010="","",IF(E2010=F2010,"Yes","No"))</f>
        <v>No</v>
      </c>
      <c r="H2010" s="2" t="n">
        <f aca="false">IF(D2010="",0,1/COUNTIF($D$2:$D$3451,D2010))</f>
        <v>1</v>
      </c>
      <c r="I2010" s="13" t="n">
        <f aca="false">IFERROR(INDEX('NCO-2015 scores'!$C$2:$C$131,MATCH(E2010,'NCO-2015 scores'!$A$2:$A$131,0)),0)</f>
        <v>0.29</v>
      </c>
      <c r="J2010" s="13" t="n">
        <f aca="false">IF(ISNUMBER(MATCH(E2010,'NCO-2015 scores'!$A$2:$A$131,0)),IF(ISNUMBER(INDEX('NCO-2015 scores'!$C$2:$C$131,MATCH(E2010,'NCO-2015 scores'!$A$2:$A$131,0))),1,0),0)</f>
        <v>1</v>
      </c>
    </row>
    <row r="2011" customFormat="false" ht="15" hidden="false" customHeight="false" outlineLevel="0" collapsed="false">
      <c r="A2011" s="2" t="n">
        <v>2007</v>
      </c>
      <c r="B2011" s="2" t="s">
        <v>5979</v>
      </c>
      <c r="C2011" s="2" t="s">
        <v>5980</v>
      </c>
      <c r="D2011" s="2" t="s">
        <v>5981</v>
      </c>
      <c r="E2011" s="2" t="str">
        <f aca="false">LEFT(C2011,3)</f>
        <v>821</v>
      </c>
      <c r="F2011" s="2" t="str">
        <f aca="false">IF(D2011="","",LEFT(D2011,3))</f>
        <v>828</v>
      </c>
      <c r="G2011" s="2" t="str">
        <f aca="false">IF(F2011="","",IF(E2011=F2011,"Yes","No"))</f>
        <v>No</v>
      </c>
      <c r="H2011" s="2" t="n">
        <f aca="false">IF(D2011="",0,1/COUNTIF($D$2:$D$3451,D2011))</f>
        <v>1</v>
      </c>
      <c r="I2011" s="13" t="n">
        <f aca="false">IFERROR(INDEX('NCO-2015 scores'!$C$2:$C$131,MATCH(E2011,'NCO-2015 scores'!$A$2:$A$131,0)),0)</f>
        <v>0.29</v>
      </c>
      <c r="J2011" s="13" t="n">
        <f aca="false">IF(ISNUMBER(MATCH(E2011,'NCO-2015 scores'!$A$2:$A$131,0)),IF(ISNUMBER(INDEX('NCO-2015 scores'!$C$2:$C$131,MATCH(E2011,'NCO-2015 scores'!$A$2:$A$131,0))),1,0),0)</f>
        <v>1</v>
      </c>
    </row>
    <row r="2012" customFormat="false" ht="15" hidden="false" customHeight="false" outlineLevel="0" collapsed="false">
      <c r="A2012" s="2" t="n">
        <v>2008</v>
      </c>
      <c r="B2012" s="2" t="s">
        <v>5982</v>
      </c>
      <c r="C2012" s="2" t="s">
        <v>5983</v>
      </c>
      <c r="D2012" s="2" t="s">
        <v>5984</v>
      </c>
      <c r="E2012" s="2" t="str">
        <f aca="false">LEFT(C2012,3)</f>
        <v>821</v>
      </c>
      <c r="F2012" s="2" t="str">
        <f aca="false">IF(D2012="","",LEFT(D2012,3))</f>
        <v>828</v>
      </c>
      <c r="G2012" s="2" t="str">
        <f aca="false">IF(F2012="","",IF(E2012=F2012,"Yes","No"))</f>
        <v>No</v>
      </c>
      <c r="H2012" s="2" t="n">
        <f aca="false">IF(D2012="",0,1/COUNTIF($D$2:$D$3451,D2012))</f>
        <v>1</v>
      </c>
      <c r="I2012" s="13" t="n">
        <f aca="false">IFERROR(INDEX('NCO-2015 scores'!$C$2:$C$131,MATCH(E2012,'NCO-2015 scores'!$A$2:$A$131,0)),0)</f>
        <v>0.29</v>
      </c>
      <c r="J2012" s="13" t="n">
        <f aca="false">IF(ISNUMBER(MATCH(E2012,'NCO-2015 scores'!$A$2:$A$131,0)),IF(ISNUMBER(INDEX('NCO-2015 scores'!$C$2:$C$131,MATCH(E2012,'NCO-2015 scores'!$A$2:$A$131,0))),1,0),0)</f>
        <v>1</v>
      </c>
    </row>
    <row r="2013" customFormat="false" ht="15" hidden="false" customHeight="false" outlineLevel="0" collapsed="false">
      <c r="A2013" s="2" t="n">
        <v>2009</v>
      </c>
      <c r="B2013" s="2" t="s">
        <v>5985</v>
      </c>
      <c r="C2013" s="2" t="s">
        <v>5986</v>
      </c>
      <c r="D2013" s="2" t="s">
        <v>5987</v>
      </c>
      <c r="E2013" s="2" t="str">
        <f aca="false">LEFT(C2013,3)</f>
        <v>821</v>
      </c>
      <c r="F2013" s="2" t="str">
        <f aca="false">IF(D2013="","",LEFT(D2013,3))</f>
        <v>828</v>
      </c>
      <c r="G2013" s="2" t="str">
        <f aca="false">IF(F2013="","",IF(E2013=F2013,"Yes","No"))</f>
        <v>No</v>
      </c>
      <c r="H2013" s="2" t="n">
        <f aca="false">IF(D2013="",0,1/COUNTIF($D$2:$D$3451,D2013))</f>
        <v>1</v>
      </c>
      <c r="I2013" s="13" t="n">
        <f aca="false">IFERROR(INDEX('NCO-2015 scores'!$C$2:$C$131,MATCH(E2013,'NCO-2015 scores'!$A$2:$A$131,0)),0)</f>
        <v>0.29</v>
      </c>
      <c r="J2013" s="13" t="n">
        <f aca="false">IF(ISNUMBER(MATCH(E2013,'NCO-2015 scores'!$A$2:$A$131,0)),IF(ISNUMBER(INDEX('NCO-2015 scores'!$C$2:$C$131,MATCH(E2013,'NCO-2015 scores'!$A$2:$A$131,0))),1,0),0)</f>
        <v>1</v>
      </c>
    </row>
    <row r="2014" customFormat="false" ht="15" hidden="false" customHeight="false" outlineLevel="0" collapsed="false">
      <c r="A2014" s="2" t="n">
        <v>2010</v>
      </c>
      <c r="B2014" s="2" t="s">
        <v>5988</v>
      </c>
      <c r="C2014" s="2" t="s">
        <v>5989</v>
      </c>
      <c r="D2014" s="2"/>
      <c r="E2014" s="2" t="str">
        <f aca="false">LEFT(C2014,3)</f>
        <v>821</v>
      </c>
      <c r="F2014" s="2" t="str">
        <f aca="false">IF(D2014="","",LEFT(D2014,3))</f>
        <v/>
      </c>
      <c r="G2014" s="2" t="str">
        <f aca="false">IF(F2014="","",IF(E2014=F2014,"Yes","No"))</f>
        <v/>
      </c>
      <c r="H2014" s="2" t="n">
        <f aca="false">IF(D2014="",0,1/COUNTIF($D$2:$D$3451,D2014))</f>
        <v>0</v>
      </c>
      <c r="I2014" s="13" t="n">
        <f aca="false">IFERROR(INDEX('NCO-2015 scores'!$C$2:$C$131,MATCH(E2014,'NCO-2015 scores'!$A$2:$A$131,0)),0)</f>
        <v>0.29</v>
      </c>
      <c r="J2014" s="13" t="n">
        <f aca="false">IF(ISNUMBER(MATCH(E2014,'NCO-2015 scores'!$A$2:$A$131,0)),IF(ISNUMBER(INDEX('NCO-2015 scores'!$C$2:$C$131,MATCH(E2014,'NCO-2015 scores'!$A$2:$A$131,0))),1,0),0)</f>
        <v>1</v>
      </c>
    </row>
    <row r="2015" customFormat="false" ht="15" hidden="false" customHeight="false" outlineLevel="0" collapsed="false">
      <c r="A2015" s="2" t="n">
        <v>2011</v>
      </c>
      <c r="B2015" s="2" t="s">
        <v>5990</v>
      </c>
      <c r="C2015" s="2" t="s">
        <v>5991</v>
      </c>
      <c r="D2015" s="2" t="s">
        <v>5992</v>
      </c>
      <c r="E2015" s="2" t="str">
        <f aca="false">LEFT(C2015,3)</f>
        <v>821</v>
      </c>
      <c r="F2015" s="2" t="str">
        <f aca="false">IF(D2015="","",LEFT(D2015,3))</f>
        <v>828</v>
      </c>
      <c r="G2015" s="2" t="str">
        <f aca="false">IF(F2015="","",IF(E2015=F2015,"Yes","No"))</f>
        <v>No</v>
      </c>
      <c r="H2015" s="2" t="n">
        <f aca="false">IF(D2015="",0,1/COUNTIF($D$2:$D$3451,D2015))</f>
        <v>1</v>
      </c>
      <c r="I2015" s="13" t="n">
        <f aca="false">IFERROR(INDEX('NCO-2015 scores'!$C$2:$C$131,MATCH(E2015,'NCO-2015 scores'!$A$2:$A$131,0)),0)</f>
        <v>0.29</v>
      </c>
      <c r="J2015" s="13" t="n">
        <f aca="false">IF(ISNUMBER(MATCH(E2015,'NCO-2015 scores'!$A$2:$A$131,0)),IF(ISNUMBER(INDEX('NCO-2015 scores'!$C$2:$C$131,MATCH(E2015,'NCO-2015 scores'!$A$2:$A$131,0))),1,0),0)</f>
        <v>1</v>
      </c>
    </row>
    <row r="2016" customFormat="false" ht="15" hidden="false" customHeight="false" outlineLevel="0" collapsed="false">
      <c r="A2016" s="2" t="n">
        <v>2012</v>
      </c>
      <c r="B2016" s="2" t="s">
        <v>5993</v>
      </c>
      <c r="C2016" s="2" t="s">
        <v>5994</v>
      </c>
      <c r="D2016" s="2" t="s">
        <v>5995</v>
      </c>
      <c r="E2016" s="2" t="str">
        <f aca="false">LEFT(C2016,3)</f>
        <v>821</v>
      </c>
      <c r="F2016" s="2" t="str">
        <f aca="false">IF(D2016="","",LEFT(D2016,3))</f>
        <v>828</v>
      </c>
      <c r="G2016" s="2" t="str">
        <f aca="false">IF(F2016="","",IF(E2016=F2016,"Yes","No"))</f>
        <v>No</v>
      </c>
      <c r="H2016" s="2" t="n">
        <f aca="false">IF(D2016="",0,1/COUNTIF($D$2:$D$3451,D2016))</f>
        <v>1</v>
      </c>
      <c r="I2016" s="13" t="n">
        <f aca="false">IFERROR(INDEX('NCO-2015 scores'!$C$2:$C$131,MATCH(E2016,'NCO-2015 scores'!$A$2:$A$131,0)),0)</f>
        <v>0.29</v>
      </c>
      <c r="J2016" s="13" t="n">
        <f aca="false">IF(ISNUMBER(MATCH(E2016,'NCO-2015 scores'!$A$2:$A$131,0)),IF(ISNUMBER(INDEX('NCO-2015 scores'!$C$2:$C$131,MATCH(E2016,'NCO-2015 scores'!$A$2:$A$131,0))),1,0),0)</f>
        <v>1</v>
      </c>
    </row>
    <row r="2017" customFormat="false" ht="15" hidden="false" customHeight="false" outlineLevel="0" collapsed="false">
      <c r="A2017" s="2" t="n">
        <v>2013</v>
      </c>
      <c r="B2017" s="2" t="s">
        <v>5996</v>
      </c>
      <c r="C2017" s="2" t="s">
        <v>5997</v>
      </c>
      <c r="D2017" s="2"/>
      <c r="E2017" s="2" t="str">
        <f aca="false">LEFT(C2017,3)</f>
        <v>821</v>
      </c>
      <c r="F2017" s="2" t="str">
        <f aca="false">IF(D2017="","",LEFT(D2017,3))</f>
        <v/>
      </c>
      <c r="G2017" s="2" t="str">
        <f aca="false">IF(F2017="","",IF(E2017=F2017,"Yes","No"))</f>
        <v/>
      </c>
      <c r="H2017" s="2" t="n">
        <f aca="false">IF(D2017="",0,1/COUNTIF($D$2:$D$3451,D2017))</f>
        <v>0</v>
      </c>
      <c r="I2017" s="13" t="n">
        <f aca="false">IFERROR(INDEX('NCO-2015 scores'!$C$2:$C$131,MATCH(E2017,'NCO-2015 scores'!$A$2:$A$131,0)),0)</f>
        <v>0.29</v>
      </c>
      <c r="J2017" s="13" t="n">
        <f aca="false">IF(ISNUMBER(MATCH(E2017,'NCO-2015 scores'!$A$2:$A$131,0)),IF(ISNUMBER(INDEX('NCO-2015 scores'!$C$2:$C$131,MATCH(E2017,'NCO-2015 scores'!$A$2:$A$131,0))),1,0),0)</f>
        <v>1</v>
      </c>
    </row>
    <row r="2018" customFormat="false" ht="15" hidden="false" customHeight="false" outlineLevel="0" collapsed="false">
      <c r="A2018" s="2" t="n">
        <v>2014</v>
      </c>
      <c r="B2018" s="2" t="s">
        <v>5998</v>
      </c>
      <c r="C2018" s="2" t="s">
        <v>5999</v>
      </c>
      <c r="D2018" s="2" t="s">
        <v>6000</v>
      </c>
      <c r="E2018" s="2" t="str">
        <f aca="false">LEFT(C2018,3)</f>
        <v>821</v>
      </c>
      <c r="F2018" s="2" t="str">
        <f aca="false">IF(D2018="","",LEFT(D2018,3))</f>
        <v>828</v>
      </c>
      <c r="G2018" s="2" t="str">
        <f aca="false">IF(F2018="","",IF(E2018=F2018,"Yes","No"))</f>
        <v>No</v>
      </c>
      <c r="H2018" s="2" t="n">
        <f aca="false">IF(D2018="",0,1/COUNTIF($D$2:$D$3451,D2018))</f>
        <v>1</v>
      </c>
      <c r="I2018" s="13" t="n">
        <f aca="false">IFERROR(INDEX('NCO-2015 scores'!$C$2:$C$131,MATCH(E2018,'NCO-2015 scores'!$A$2:$A$131,0)),0)</f>
        <v>0.29</v>
      </c>
      <c r="J2018" s="13" t="n">
        <f aca="false">IF(ISNUMBER(MATCH(E2018,'NCO-2015 scores'!$A$2:$A$131,0)),IF(ISNUMBER(INDEX('NCO-2015 scores'!$C$2:$C$131,MATCH(E2018,'NCO-2015 scores'!$A$2:$A$131,0))),1,0),0)</f>
        <v>1</v>
      </c>
    </row>
    <row r="2019" customFormat="false" ht="15" hidden="false" customHeight="false" outlineLevel="0" collapsed="false">
      <c r="A2019" s="2" t="n">
        <v>2015</v>
      </c>
      <c r="B2019" s="2" t="s">
        <v>6001</v>
      </c>
      <c r="C2019" s="2" t="s">
        <v>6002</v>
      </c>
      <c r="D2019" s="2"/>
      <c r="E2019" s="2" t="str">
        <f aca="false">LEFT(C2019,3)</f>
        <v>821</v>
      </c>
      <c r="F2019" s="2" t="str">
        <f aca="false">IF(D2019="","",LEFT(D2019,3))</f>
        <v/>
      </c>
      <c r="G2019" s="2" t="str">
        <f aca="false">IF(F2019="","",IF(E2019=F2019,"Yes","No"))</f>
        <v/>
      </c>
      <c r="H2019" s="2" t="n">
        <f aca="false">IF(D2019="",0,1/COUNTIF($D$2:$D$3451,D2019))</f>
        <v>0</v>
      </c>
      <c r="I2019" s="13" t="n">
        <f aca="false">IFERROR(INDEX('NCO-2015 scores'!$C$2:$C$131,MATCH(E2019,'NCO-2015 scores'!$A$2:$A$131,0)),0)</f>
        <v>0.29</v>
      </c>
      <c r="J2019" s="13" t="n">
        <f aca="false">IF(ISNUMBER(MATCH(E2019,'NCO-2015 scores'!$A$2:$A$131,0)),IF(ISNUMBER(INDEX('NCO-2015 scores'!$C$2:$C$131,MATCH(E2019,'NCO-2015 scores'!$A$2:$A$131,0))),1,0),0)</f>
        <v>1</v>
      </c>
    </row>
    <row r="2020" customFormat="false" ht="15" hidden="false" customHeight="false" outlineLevel="0" collapsed="false">
      <c r="A2020" s="2" t="n">
        <v>2016</v>
      </c>
      <c r="B2020" s="2" t="s">
        <v>6003</v>
      </c>
      <c r="C2020" s="2" t="s">
        <v>6004</v>
      </c>
      <c r="D2020" s="2" t="s">
        <v>6005</v>
      </c>
      <c r="E2020" s="2" t="str">
        <f aca="false">LEFT(C2020,3)</f>
        <v>821</v>
      </c>
      <c r="F2020" s="2" t="str">
        <f aca="false">IF(D2020="","",LEFT(D2020,3))</f>
        <v>828</v>
      </c>
      <c r="G2020" s="2" t="str">
        <f aca="false">IF(F2020="","",IF(E2020=F2020,"Yes","No"))</f>
        <v>No</v>
      </c>
      <c r="H2020" s="2" t="n">
        <f aca="false">IF(D2020="",0,1/COUNTIF($D$2:$D$3451,D2020))</f>
        <v>1</v>
      </c>
      <c r="I2020" s="13" t="n">
        <f aca="false">IFERROR(INDEX('NCO-2015 scores'!$C$2:$C$131,MATCH(E2020,'NCO-2015 scores'!$A$2:$A$131,0)),0)</f>
        <v>0.29</v>
      </c>
      <c r="J2020" s="13" t="n">
        <f aca="false">IF(ISNUMBER(MATCH(E2020,'NCO-2015 scores'!$A$2:$A$131,0)),IF(ISNUMBER(INDEX('NCO-2015 scores'!$C$2:$C$131,MATCH(E2020,'NCO-2015 scores'!$A$2:$A$131,0))),1,0),0)</f>
        <v>1</v>
      </c>
    </row>
    <row r="2021" customFormat="false" ht="15" hidden="false" customHeight="false" outlineLevel="0" collapsed="false">
      <c r="A2021" s="2" t="n">
        <v>2017</v>
      </c>
      <c r="B2021" s="2" t="s">
        <v>6006</v>
      </c>
      <c r="C2021" s="2" t="s">
        <v>6007</v>
      </c>
      <c r="D2021" s="2" t="s">
        <v>6008</v>
      </c>
      <c r="E2021" s="2" t="str">
        <f aca="false">LEFT(C2021,3)</f>
        <v>821</v>
      </c>
      <c r="F2021" s="2" t="str">
        <f aca="false">IF(D2021="","",LEFT(D2021,3))</f>
        <v>828</v>
      </c>
      <c r="G2021" s="2" t="str">
        <f aca="false">IF(F2021="","",IF(E2021=F2021,"Yes","No"))</f>
        <v>No</v>
      </c>
      <c r="H2021" s="2" t="n">
        <f aca="false">IF(D2021="",0,1/COUNTIF($D$2:$D$3451,D2021))</f>
        <v>1</v>
      </c>
      <c r="I2021" s="13" t="n">
        <f aca="false">IFERROR(INDEX('NCO-2015 scores'!$C$2:$C$131,MATCH(E2021,'NCO-2015 scores'!$A$2:$A$131,0)),0)</f>
        <v>0.29</v>
      </c>
      <c r="J2021" s="13" t="n">
        <f aca="false">IF(ISNUMBER(MATCH(E2021,'NCO-2015 scores'!$A$2:$A$131,0)),IF(ISNUMBER(INDEX('NCO-2015 scores'!$C$2:$C$131,MATCH(E2021,'NCO-2015 scores'!$A$2:$A$131,0))),1,0),0)</f>
        <v>1</v>
      </c>
    </row>
    <row r="2022" customFormat="false" ht="15" hidden="false" customHeight="false" outlineLevel="0" collapsed="false">
      <c r="A2022" s="2" t="n">
        <v>2018</v>
      </c>
      <c r="B2022" s="2" t="s">
        <v>6009</v>
      </c>
      <c r="C2022" s="2" t="s">
        <v>6010</v>
      </c>
      <c r="D2022" s="2" t="s">
        <v>6011</v>
      </c>
      <c r="E2022" s="2" t="str">
        <f aca="false">LEFT(C2022,3)</f>
        <v>821</v>
      </c>
      <c r="F2022" s="2" t="str">
        <f aca="false">IF(D2022="","",LEFT(D2022,3))</f>
        <v>828</v>
      </c>
      <c r="G2022" s="2" t="str">
        <f aca="false">IF(F2022="","",IF(E2022=F2022,"Yes","No"))</f>
        <v>No</v>
      </c>
      <c r="H2022" s="2" t="n">
        <f aca="false">IF(D2022="",0,1/COUNTIF($D$2:$D$3451,D2022))</f>
        <v>1</v>
      </c>
      <c r="I2022" s="13" t="n">
        <f aca="false">IFERROR(INDEX('NCO-2015 scores'!$C$2:$C$131,MATCH(E2022,'NCO-2015 scores'!$A$2:$A$131,0)),0)</f>
        <v>0.29</v>
      </c>
      <c r="J2022" s="13" t="n">
        <f aca="false">IF(ISNUMBER(MATCH(E2022,'NCO-2015 scores'!$A$2:$A$131,0)),IF(ISNUMBER(INDEX('NCO-2015 scores'!$C$2:$C$131,MATCH(E2022,'NCO-2015 scores'!$A$2:$A$131,0))),1,0),0)</f>
        <v>1</v>
      </c>
    </row>
    <row r="2023" customFormat="false" ht="15" hidden="false" customHeight="false" outlineLevel="0" collapsed="false">
      <c r="A2023" s="2" t="n">
        <v>2019</v>
      </c>
      <c r="B2023" s="2" t="s">
        <v>6012</v>
      </c>
      <c r="C2023" s="2" t="s">
        <v>6013</v>
      </c>
      <c r="D2023" s="2" t="s">
        <v>6014</v>
      </c>
      <c r="E2023" s="2" t="str">
        <f aca="false">LEFT(C2023,3)</f>
        <v>321</v>
      </c>
      <c r="F2023" s="2" t="str">
        <f aca="false">IF(D2023="","",LEFT(D2023,3))</f>
        <v>731</v>
      </c>
      <c r="G2023" s="2" t="str">
        <f aca="false">IF(F2023="","",IF(E2023=F2023,"Yes","No"))</f>
        <v>No</v>
      </c>
      <c r="H2023" s="2" t="n">
        <f aca="false">IF(D2023="",0,1/COUNTIF($D$2:$D$3451,D2023))</f>
        <v>1</v>
      </c>
      <c r="I2023" s="13" t="n">
        <f aca="false">IFERROR(INDEX('NCO-2015 scores'!$C$2:$C$131,MATCH(E2023,'NCO-2015 scores'!$A$2:$A$131,0)),0)</f>
        <v>0.2525</v>
      </c>
      <c r="J2023" s="13" t="n">
        <f aca="false">IF(ISNUMBER(MATCH(E2023,'NCO-2015 scores'!$A$2:$A$131,0)),IF(ISNUMBER(INDEX('NCO-2015 scores'!$C$2:$C$131,MATCH(E2023,'NCO-2015 scores'!$A$2:$A$131,0))),1,0),0)</f>
        <v>1</v>
      </c>
    </row>
    <row r="2024" customFormat="false" ht="15" hidden="false" customHeight="false" outlineLevel="0" collapsed="false">
      <c r="A2024" s="2" t="n">
        <v>2020</v>
      </c>
      <c r="B2024" s="2" t="s">
        <v>6015</v>
      </c>
      <c r="C2024" s="2" t="s">
        <v>6016</v>
      </c>
      <c r="D2024" s="2"/>
      <c r="E2024" s="2" t="str">
        <f aca="false">LEFT(C2024,3)</f>
        <v>321</v>
      </c>
      <c r="F2024" s="2" t="str">
        <f aca="false">IF(D2024="","",LEFT(D2024,3))</f>
        <v/>
      </c>
      <c r="G2024" s="2" t="str">
        <f aca="false">IF(F2024="","",IF(E2024=F2024,"Yes","No"))</f>
        <v/>
      </c>
      <c r="H2024" s="2" t="n">
        <f aca="false">IF(D2024="",0,1/COUNTIF($D$2:$D$3451,D2024))</f>
        <v>0</v>
      </c>
      <c r="I2024" s="13" t="n">
        <f aca="false">IFERROR(INDEX('NCO-2015 scores'!$C$2:$C$131,MATCH(E2024,'NCO-2015 scores'!$A$2:$A$131,0)),0)</f>
        <v>0.2525</v>
      </c>
      <c r="J2024" s="13" t="n">
        <f aca="false">IF(ISNUMBER(MATCH(E2024,'NCO-2015 scores'!$A$2:$A$131,0)),IF(ISNUMBER(INDEX('NCO-2015 scores'!$C$2:$C$131,MATCH(E2024,'NCO-2015 scores'!$A$2:$A$131,0))),1,0),0)</f>
        <v>1</v>
      </c>
    </row>
    <row r="2025" customFormat="false" ht="15" hidden="false" customHeight="false" outlineLevel="0" collapsed="false">
      <c r="A2025" s="2" t="n">
        <v>2021</v>
      </c>
      <c r="B2025" s="2" t="s">
        <v>6017</v>
      </c>
      <c r="C2025" s="2" t="s">
        <v>6018</v>
      </c>
      <c r="D2025" s="2" t="s">
        <v>6019</v>
      </c>
      <c r="E2025" s="2" t="str">
        <f aca="false">LEFT(C2025,3)</f>
        <v>321</v>
      </c>
      <c r="F2025" s="2" t="str">
        <f aca="false">IF(D2025="","",LEFT(D2025,3))</f>
        <v>321</v>
      </c>
      <c r="G2025" s="2" t="str">
        <f aca="false">IF(F2025="","",IF(E2025=F2025,"Yes","No"))</f>
        <v>Yes</v>
      </c>
      <c r="H2025" s="2" t="n">
        <f aca="false">IF(D2025="",0,1/COUNTIF($D$2:$D$3451,D2025))</f>
        <v>1</v>
      </c>
      <c r="I2025" s="13" t="n">
        <f aca="false">IFERROR(INDEX('NCO-2015 scores'!$C$2:$C$131,MATCH(E2025,'NCO-2015 scores'!$A$2:$A$131,0)),0)</f>
        <v>0.2525</v>
      </c>
      <c r="J2025" s="13" t="n">
        <f aca="false">IF(ISNUMBER(MATCH(E2025,'NCO-2015 scores'!$A$2:$A$131,0)),IF(ISNUMBER(INDEX('NCO-2015 scores'!$C$2:$C$131,MATCH(E2025,'NCO-2015 scores'!$A$2:$A$131,0))),1,0),0)</f>
        <v>1</v>
      </c>
    </row>
    <row r="2026" customFormat="false" ht="15" hidden="false" customHeight="false" outlineLevel="0" collapsed="false">
      <c r="A2026" s="2" t="n">
        <v>2022</v>
      </c>
      <c r="B2026" s="2" t="s">
        <v>6020</v>
      </c>
      <c r="C2026" s="2" t="s">
        <v>6021</v>
      </c>
      <c r="D2026" s="2" t="s">
        <v>6022</v>
      </c>
      <c r="E2026" s="2" t="str">
        <f aca="false">LEFT(C2026,3)</f>
        <v>321</v>
      </c>
      <c r="F2026" s="2" t="str">
        <f aca="false">IF(D2026="","",LEFT(D2026,3))</f>
        <v>321</v>
      </c>
      <c r="G2026" s="2" t="str">
        <f aca="false">IF(F2026="","",IF(E2026=F2026,"Yes","No"))</f>
        <v>Yes</v>
      </c>
      <c r="H2026" s="2" t="n">
        <f aca="false">IF(D2026="",0,1/COUNTIF($D$2:$D$3451,D2026))</f>
        <v>1</v>
      </c>
      <c r="I2026" s="13" t="n">
        <f aca="false">IFERROR(INDEX('NCO-2015 scores'!$C$2:$C$131,MATCH(E2026,'NCO-2015 scores'!$A$2:$A$131,0)),0)</f>
        <v>0.2525</v>
      </c>
      <c r="J2026" s="13" t="n">
        <f aca="false">IF(ISNUMBER(MATCH(E2026,'NCO-2015 scores'!$A$2:$A$131,0)),IF(ISNUMBER(INDEX('NCO-2015 scores'!$C$2:$C$131,MATCH(E2026,'NCO-2015 scores'!$A$2:$A$131,0))),1,0),0)</f>
        <v>1</v>
      </c>
    </row>
    <row r="2027" customFormat="false" ht="15" hidden="false" customHeight="false" outlineLevel="0" collapsed="false">
      <c r="A2027" s="2" t="n">
        <v>2023</v>
      </c>
      <c r="B2027" s="2" t="s">
        <v>6023</v>
      </c>
      <c r="C2027" s="2" t="s">
        <v>6024</v>
      </c>
      <c r="D2027" s="2"/>
      <c r="E2027" s="2" t="str">
        <f aca="false">LEFT(C2027,3)</f>
        <v>321</v>
      </c>
      <c r="F2027" s="2" t="str">
        <f aca="false">IF(D2027="","",LEFT(D2027,3))</f>
        <v/>
      </c>
      <c r="G2027" s="2" t="str">
        <f aca="false">IF(F2027="","",IF(E2027=F2027,"Yes","No"))</f>
        <v/>
      </c>
      <c r="H2027" s="2" t="n">
        <f aca="false">IF(D2027="",0,1/COUNTIF($D$2:$D$3451,D2027))</f>
        <v>0</v>
      </c>
      <c r="I2027" s="13" t="n">
        <f aca="false">IFERROR(INDEX('NCO-2015 scores'!$C$2:$C$131,MATCH(E2027,'NCO-2015 scores'!$A$2:$A$131,0)),0)</f>
        <v>0.2525</v>
      </c>
      <c r="J2027" s="13" t="n">
        <f aca="false">IF(ISNUMBER(MATCH(E2027,'NCO-2015 scores'!$A$2:$A$131,0)),IF(ISNUMBER(INDEX('NCO-2015 scores'!$C$2:$C$131,MATCH(E2027,'NCO-2015 scores'!$A$2:$A$131,0))),1,0),0)</f>
        <v>1</v>
      </c>
    </row>
    <row r="2028" customFormat="false" ht="15" hidden="false" customHeight="false" outlineLevel="0" collapsed="false">
      <c r="A2028" s="2" t="n">
        <v>2024</v>
      </c>
      <c r="B2028" s="2" t="s">
        <v>6025</v>
      </c>
      <c r="C2028" s="2" t="s">
        <v>6026</v>
      </c>
      <c r="D2028" s="2"/>
      <c r="E2028" s="2" t="str">
        <f aca="false">LEFT(C2028,3)</f>
        <v>321</v>
      </c>
      <c r="F2028" s="2" t="str">
        <f aca="false">IF(D2028="","",LEFT(D2028,3))</f>
        <v/>
      </c>
      <c r="G2028" s="2" t="str">
        <f aca="false">IF(F2028="","",IF(E2028=F2028,"Yes","No"))</f>
        <v/>
      </c>
      <c r="H2028" s="2" t="n">
        <f aca="false">IF(D2028="",0,1/COUNTIF($D$2:$D$3451,D2028))</f>
        <v>0</v>
      </c>
      <c r="I2028" s="13" t="n">
        <f aca="false">IFERROR(INDEX('NCO-2015 scores'!$C$2:$C$131,MATCH(E2028,'NCO-2015 scores'!$A$2:$A$131,0)),0)</f>
        <v>0.2525</v>
      </c>
      <c r="J2028" s="13" t="n">
        <f aca="false">IF(ISNUMBER(MATCH(E2028,'NCO-2015 scores'!$A$2:$A$131,0)),IF(ISNUMBER(INDEX('NCO-2015 scores'!$C$2:$C$131,MATCH(E2028,'NCO-2015 scores'!$A$2:$A$131,0))),1,0),0)</f>
        <v>1</v>
      </c>
    </row>
    <row r="2029" customFormat="false" ht="15" hidden="false" customHeight="false" outlineLevel="0" collapsed="false">
      <c r="A2029" s="2" t="n">
        <v>2025</v>
      </c>
      <c r="B2029" s="2" t="s">
        <v>6027</v>
      </c>
      <c r="C2029" s="2" t="s">
        <v>6028</v>
      </c>
      <c r="D2029" s="2"/>
      <c r="E2029" s="2" t="str">
        <f aca="false">LEFT(C2029,3)</f>
        <v>321</v>
      </c>
      <c r="F2029" s="2" t="str">
        <f aca="false">IF(D2029="","",LEFT(D2029,3))</f>
        <v/>
      </c>
      <c r="G2029" s="2" t="str">
        <f aca="false">IF(F2029="","",IF(E2029=F2029,"Yes","No"))</f>
        <v/>
      </c>
      <c r="H2029" s="2" t="n">
        <f aca="false">IF(D2029="",0,1/COUNTIF($D$2:$D$3451,D2029))</f>
        <v>0</v>
      </c>
      <c r="I2029" s="13" t="n">
        <f aca="false">IFERROR(INDEX('NCO-2015 scores'!$C$2:$C$131,MATCH(E2029,'NCO-2015 scores'!$A$2:$A$131,0)),0)</f>
        <v>0.2525</v>
      </c>
      <c r="J2029" s="13" t="n">
        <f aca="false">IF(ISNUMBER(MATCH(E2029,'NCO-2015 scores'!$A$2:$A$131,0)),IF(ISNUMBER(INDEX('NCO-2015 scores'!$C$2:$C$131,MATCH(E2029,'NCO-2015 scores'!$A$2:$A$131,0))),1,0),0)</f>
        <v>1</v>
      </c>
    </row>
    <row r="2030" customFormat="false" ht="15" hidden="false" customHeight="false" outlineLevel="0" collapsed="false">
      <c r="A2030" s="2" t="n">
        <v>2026</v>
      </c>
      <c r="B2030" s="2" t="s">
        <v>6029</v>
      </c>
      <c r="C2030" s="2" t="s">
        <v>6030</v>
      </c>
      <c r="D2030" s="2"/>
      <c r="E2030" s="2" t="str">
        <f aca="false">LEFT(C2030,3)</f>
        <v>321</v>
      </c>
      <c r="F2030" s="2" t="str">
        <f aca="false">IF(D2030="","",LEFT(D2030,3))</f>
        <v/>
      </c>
      <c r="G2030" s="2" t="str">
        <f aca="false">IF(F2030="","",IF(E2030=F2030,"Yes","No"))</f>
        <v/>
      </c>
      <c r="H2030" s="2" t="n">
        <f aca="false">IF(D2030="",0,1/COUNTIF($D$2:$D$3451,D2030))</f>
        <v>0</v>
      </c>
      <c r="I2030" s="13" t="n">
        <f aca="false">IFERROR(INDEX('NCO-2015 scores'!$C$2:$C$131,MATCH(E2030,'NCO-2015 scores'!$A$2:$A$131,0)),0)</f>
        <v>0.2525</v>
      </c>
      <c r="J2030" s="13" t="n">
        <f aca="false">IF(ISNUMBER(MATCH(E2030,'NCO-2015 scores'!$A$2:$A$131,0)),IF(ISNUMBER(INDEX('NCO-2015 scores'!$C$2:$C$131,MATCH(E2030,'NCO-2015 scores'!$A$2:$A$131,0))),1,0),0)</f>
        <v>1</v>
      </c>
    </row>
    <row r="2031" customFormat="false" ht="15" hidden="false" customHeight="false" outlineLevel="0" collapsed="false">
      <c r="A2031" s="2" t="n">
        <v>2027</v>
      </c>
      <c r="B2031" s="2" t="s">
        <v>6031</v>
      </c>
      <c r="C2031" s="2" t="s">
        <v>6032</v>
      </c>
      <c r="D2031" s="2"/>
      <c r="E2031" s="2" t="str">
        <f aca="false">LEFT(C2031,3)</f>
        <v>321</v>
      </c>
      <c r="F2031" s="2" t="str">
        <f aca="false">IF(D2031="","",LEFT(D2031,3))</f>
        <v/>
      </c>
      <c r="G2031" s="2" t="str">
        <f aca="false">IF(F2031="","",IF(E2031=F2031,"Yes","No"))</f>
        <v/>
      </c>
      <c r="H2031" s="2" t="n">
        <f aca="false">IF(D2031="",0,1/COUNTIF($D$2:$D$3451,D2031))</f>
        <v>0</v>
      </c>
      <c r="I2031" s="13" t="n">
        <f aca="false">IFERROR(INDEX('NCO-2015 scores'!$C$2:$C$131,MATCH(E2031,'NCO-2015 scores'!$A$2:$A$131,0)),0)</f>
        <v>0.2525</v>
      </c>
      <c r="J2031" s="13" t="n">
        <f aca="false">IF(ISNUMBER(MATCH(E2031,'NCO-2015 scores'!$A$2:$A$131,0)),IF(ISNUMBER(INDEX('NCO-2015 scores'!$C$2:$C$131,MATCH(E2031,'NCO-2015 scores'!$A$2:$A$131,0))),1,0),0)</f>
        <v>1</v>
      </c>
    </row>
    <row r="2032" customFormat="false" ht="15" hidden="false" customHeight="false" outlineLevel="0" collapsed="false">
      <c r="A2032" s="2" t="n">
        <v>2028</v>
      </c>
      <c r="B2032" s="2" t="s">
        <v>6033</v>
      </c>
      <c r="C2032" s="2" t="s">
        <v>6034</v>
      </c>
      <c r="D2032" s="2" t="s">
        <v>6035</v>
      </c>
      <c r="E2032" s="2" t="str">
        <f aca="false">LEFT(C2032,3)</f>
        <v>321</v>
      </c>
      <c r="F2032" s="2" t="str">
        <f aca="false">IF(D2032="","",LEFT(D2032,3))</f>
        <v>321</v>
      </c>
      <c r="G2032" s="2" t="str">
        <f aca="false">IF(F2032="","",IF(E2032=F2032,"Yes","No"))</f>
        <v>Yes</v>
      </c>
      <c r="H2032" s="2" t="n">
        <f aca="false">IF(D2032="",0,1/COUNTIF($D$2:$D$3451,D2032))</f>
        <v>1</v>
      </c>
      <c r="I2032" s="13" t="n">
        <f aca="false">IFERROR(INDEX('NCO-2015 scores'!$C$2:$C$131,MATCH(E2032,'NCO-2015 scores'!$A$2:$A$131,0)),0)</f>
        <v>0.2525</v>
      </c>
      <c r="J2032" s="13" t="n">
        <f aca="false">IF(ISNUMBER(MATCH(E2032,'NCO-2015 scores'!$A$2:$A$131,0)),IF(ISNUMBER(INDEX('NCO-2015 scores'!$C$2:$C$131,MATCH(E2032,'NCO-2015 scores'!$A$2:$A$131,0))),1,0),0)</f>
        <v>1</v>
      </c>
    </row>
    <row r="2033" customFormat="false" ht="15" hidden="false" customHeight="false" outlineLevel="0" collapsed="false">
      <c r="A2033" s="2" t="n">
        <v>2029</v>
      </c>
      <c r="B2033" s="2" t="s">
        <v>6036</v>
      </c>
      <c r="C2033" s="2" t="s">
        <v>6037</v>
      </c>
      <c r="D2033" s="2"/>
      <c r="E2033" s="2" t="str">
        <f aca="false">LEFT(C2033,3)</f>
        <v>325</v>
      </c>
      <c r="F2033" s="2" t="str">
        <f aca="false">IF(D2033="","",LEFT(D2033,3))</f>
        <v/>
      </c>
      <c r="G2033" s="2" t="str">
        <f aca="false">IF(F2033="","",IF(E2033=F2033,"Yes","No"))</f>
        <v/>
      </c>
      <c r="H2033" s="2" t="n">
        <f aca="false">IF(D2033="",0,1/COUNTIF($D$2:$D$3451,D2033))</f>
        <v>0</v>
      </c>
      <c r="I2033" s="13" t="n">
        <f aca="false">IFERROR(INDEX('NCO-2015 scores'!$C$2:$C$131,MATCH(E2033,'NCO-2015 scores'!$A$2:$A$131,0)),0)</f>
        <v>0.2689</v>
      </c>
      <c r="J2033" s="13" t="n">
        <f aca="false">IF(ISNUMBER(MATCH(E2033,'NCO-2015 scores'!$A$2:$A$131,0)),IF(ISNUMBER(INDEX('NCO-2015 scores'!$C$2:$C$131,MATCH(E2033,'NCO-2015 scores'!$A$2:$A$131,0))),1,0),0)</f>
        <v>1</v>
      </c>
    </row>
    <row r="2034" customFormat="false" ht="15" hidden="false" customHeight="false" outlineLevel="0" collapsed="false">
      <c r="A2034" s="2" t="n">
        <v>2030</v>
      </c>
      <c r="B2034" s="2" t="s">
        <v>6038</v>
      </c>
      <c r="C2034" s="2" t="s">
        <v>6039</v>
      </c>
      <c r="D2034" s="2"/>
      <c r="E2034" s="2" t="str">
        <f aca="false">LEFT(C2034,3)</f>
        <v>325</v>
      </c>
      <c r="F2034" s="2" t="str">
        <f aca="false">IF(D2034="","",LEFT(D2034,3))</f>
        <v/>
      </c>
      <c r="G2034" s="2" t="str">
        <f aca="false">IF(F2034="","",IF(E2034=F2034,"Yes","No"))</f>
        <v/>
      </c>
      <c r="H2034" s="2" t="n">
        <f aca="false">IF(D2034="",0,1/COUNTIF($D$2:$D$3451,D2034))</f>
        <v>0</v>
      </c>
      <c r="I2034" s="13" t="n">
        <f aca="false">IFERROR(INDEX('NCO-2015 scores'!$C$2:$C$131,MATCH(E2034,'NCO-2015 scores'!$A$2:$A$131,0)),0)</f>
        <v>0.2689</v>
      </c>
      <c r="J2034" s="13" t="n">
        <f aca="false">IF(ISNUMBER(MATCH(E2034,'NCO-2015 scores'!$A$2:$A$131,0)),IF(ISNUMBER(INDEX('NCO-2015 scores'!$C$2:$C$131,MATCH(E2034,'NCO-2015 scores'!$A$2:$A$131,0))),1,0),0)</f>
        <v>1</v>
      </c>
    </row>
    <row r="2035" customFormat="false" ht="15" hidden="false" customHeight="false" outlineLevel="0" collapsed="false">
      <c r="A2035" s="2" t="n">
        <v>2031</v>
      </c>
      <c r="B2035" s="2" t="s">
        <v>6040</v>
      </c>
      <c r="C2035" s="2" t="s">
        <v>6041</v>
      </c>
      <c r="D2035" s="2" t="s">
        <v>6042</v>
      </c>
      <c r="E2035" s="2" t="str">
        <f aca="false">LEFT(C2035,3)</f>
        <v>325</v>
      </c>
      <c r="F2035" s="2" t="str">
        <f aca="false">IF(D2035="","",LEFT(D2035,3))</f>
        <v>322</v>
      </c>
      <c r="G2035" s="2" t="str">
        <f aca="false">IF(F2035="","",IF(E2035=F2035,"Yes","No"))</f>
        <v>No</v>
      </c>
      <c r="H2035" s="2" t="n">
        <f aca="false">IF(D2035="",0,1/COUNTIF($D$2:$D$3451,D2035))</f>
        <v>1</v>
      </c>
      <c r="I2035" s="13" t="n">
        <f aca="false">IFERROR(INDEX('NCO-2015 scores'!$C$2:$C$131,MATCH(E2035,'NCO-2015 scores'!$A$2:$A$131,0)),0)</f>
        <v>0.2689</v>
      </c>
      <c r="J2035" s="13" t="n">
        <f aca="false">IF(ISNUMBER(MATCH(E2035,'NCO-2015 scores'!$A$2:$A$131,0)),IF(ISNUMBER(INDEX('NCO-2015 scores'!$C$2:$C$131,MATCH(E2035,'NCO-2015 scores'!$A$2:$A$131,0))),1,0),0)</f>
        <v>1</v>
      </c>
    </row>
    <row r="2036" customFormat="false" ht="15" hidden="false" customHeight="false" outlineLevel="0" collapsed="false">
      <c r="A2036" s="2" t="n">
        <v>2032</v>
      </c>
      <c r="B2036" s="2" t="s">
        <v>6043</v>
      </c>
      <c r="C2036" s="2" t="s">
        <v>6044</v>
      </c>
      <c r="D2036" s="2" t="s">
        <v>6045</v>
      </c>
      <c r="E2036" s="2" t="str">
        <f aca="false">LEFT(C2036,3)</f>
        <v>321</v>
      </c>
      <c r="F2036" s="2" t="str">
        <f aca="false">IF(D2036="","",LEFT(D2036,3))</f>
        <v>313</v>
      </c>
      <c r="G2036" s="2" t="str">
        <f aca="false">IF(F2036="","",IF(E2036=F2036,"Yes","No"))</f>
        <v>No</v>
      </c>
      <c r="H2036" s="2" t="n">
        <f aca="false">IF(D2036="",0,1/COUNTIF($D$2:$D$3451,D2036))</f>
        <v>1</v>
      </c>
      <c r="I2036" s="13" t="n">
        <f aca="false">IFERROR(INDEX('NCO-2015 scores'!$C$2:$C$131,MATCH(E2036,'NCO-2015 scores'!$A$2:$A$131,0)),0)</f>
        <v>0.2525</v>
      </c>
      <c r="J2036" s="13" t="n">
        <f aca="false">IF(ISNUMBER(MATCH(E2036,'NCO-2015 scores'!$A$2:$A$131,0)),IF(ISNUMBER(INDEX('NCO-2015 scores'!$C$2:$C$131,MATCH(E2036,'NCO-2015 scores'!$A$2:$A$131,0))),1,0),0)</f>
        <v>1</v>
      </c>
    </row>
    <row r="2037" customFormat="false" ht="15" hidden="false" customHeight="false" outlineLevel="0" collapsed="false">
      <c r="A2037" s="2" t="n">
        <v>2033</v>
      </c>
      <c r="B2037" s="2" t="s">
        <v>6046</v>
      </c>
      <c r="C2037" s="2" t="s">
        <v>6047</v>
      </c>
      <c r="D2037" s="2" t="s">
        <v>6048</v>
      </c>
      <c r="E2037" s="2" t="str">
        <f aca="false">LEFT(C2037,3)</f>
        <v>321</v>
      </c>
      <c r="F2037" s="2" t="str">
        <f aca="false">IF(D2037="","",LEFT(D2037,3))</f>
        <v>313</v>
      </c>
      <c r="G2037" s="2" t="str">
        <f aca="false">IF(F2037="","",IF(E2037=F2037,"Yes","No"))</f>
        <v>No</v>
      </c>
      <c r="H2037" s="2" t="n">
        <f aca="false">IF(D2037="",0,1/COUNTIF($D$2:$D$3451,D2037))</f>
        <v>1</v>
      </c>
      <c r="I2037" s="13" t="n">
        <f aca="false">IFERROR(INDEX('NCO-2015 scores'!$C$2:$C$131,MATCH(E2037,'NCO-2015 scores'!$A$2:$A$131,0)),0)</f>
        <v>0.2525</v>
      </c>
      <c r="J2037" s="13" t="n">
        <f aca="false">IF(ISNUMBER(MATCH(E2037,'NCO-2015 scores'!$A$2:$A$131,0)),IF(ISNUMBER(INDEX('NCO-2015 scores'!$C$2:$C$131,MATCH(E2037,'NCO-2015 scores'!$A$2:$A$131,0))),1,0),0)</f>
        <v>1</v>
      </c>
    </row>
    <row r="2038" customFormat="false" ht="15" hidden="false" customHeight="false" outlineLevel="0" collapsed="false">
      <c r="A2038" s="2" t="n">
        <v>2034</v>
      </c>
      <c r="B2038" s="2" t="s">
        <v>6049</v>
      </c>
      <c r="C2038" s="2" t="s">
        <v>6050</v>
      </c>
      <c r="D2038" s="2"/>
      <c r="E2038" s="2" t="str">
        <f aca="false">LEFT(C2038,3)</f>
        <v>321</v>
      </c>
      <c r="F2038" s="2" t="str">
        <f aca="false">IF(D2038="","",LEFT(D2038,3))</f>
        <v/>
      </c>
      <c r="G2038" s="2" t="str">
        <f aca="false">IF(F2038="","",IF(E2038=F2038,"Yes","No"))</f>
        <v/>
      </c>
      <c r="H2038" s="2" t="n">
        <f aca="false">IF(D2038="",0,1/COUNTIF($D$2:$D$3451,D2038))</f>
        <v>0</v>
      </c>
      <c r="I2038" s="13" t="n">
        <f aca="false">IFERROR(INDEX('NCO-2015 scores'!$C$2:$C$131,MATCH(E2038,'NCO-2015 scores'!$A$2:$A$131,0)),0)</f>
        <v>0.2525</v>
      </c>
      <c r="J2038" s="13" t="n">
        <f aca="false">IF(ISNUMBER(MATCH(E2038,'NCO-2015 scores'!$A$2:$A$131,0)),IF(ISNUMBER(INDEX('NCO-2015 scores'!$C$2:$C$131,MATCH(E2038,'NCO-2015 scores'!$A$2:$A$131,0))),1,0),0)</f>
        <v>1</v>
      </c>
    </row>
    <row r="2039" customFormat="false" ht="15" hidden="false" customHeight="false" outlineLevel="0" collapsed="false">
      <c r="A2039" s="2" t="n">
        <v>2035</v>
      </c>
      <c r="B2039" s="2" t="s">
        <v>6051</v>
      </c>
      <c r="C2039" s="2" t="s">
        <v>6052</v>
      </c>
      <c r="D2039" s="2" t="s">
        <v>6053</v>
      </c>
      <c r="E2039" s="2" t="str">
        <f aca="false">LEFT(C2039,3)</f>
        <v>321</v>
      </c>
      <c r="F2039" s="2" t="str">
        <f aca="false">IF(D2039="","",LEFT(D2039,3))</f>
        <v>313</v>
      </c>
      <c r="G2039" s="2" t="str">
        <f aca="false">IF(F2039="","",IF(E2039=F2039,"Yes","No"))</f>
        <v>No</v>
      </c>
      <c r="H2039" s="2" t="n">
        <f aca="false">IF(D2039="",0,1/COUNTIF($D$2:$D$3451,D2039))</f>
        <v>1</v>
      </c>
      <c r="I2039" s="13" t="n">
        <f aca="false">IFERROR(INDEX('NCO-2015 scores'!$C$2:$C$131,MATCH(E2039,'NCO-2015 scores'!$A$2:$A$131,0)),0)</f>
        <v>0.2525</v>
      </c>
      <c r="J2039" s="13" t="n">
        <f aca="false">IF(ISNUMBER(MATCH(E2039,'NCO-2015 scores'!$A$2:$A$131,0)),IF(ISNUMBER(INDEX('NCO-2015 scores'!$C$2:$C$131,MATCH(E2039,'NCO-2015 scores'!$A$2:$A$131,0))),1,0),0)</f>
        <v>1</v>
      </c>
    </row>
    <row r="2040" customFormat="false" ht="15" hidden="false" customHeight="false" outlineLevel="0" collapsed="false">
      <c r="A2040" s="2" t="n">
        <v>2036</v>
      </c>
      <c r="B2040" s="2" t="s">
        <v>6054</v>
      </c>
      <c r="C2040" s="2" t="s">
        <v>6055</v>
      </c>
      <c r="D2040" s="2"/>
      <c r="E2040" s="2" t="str">
        <f aca="false">LEFT(C2040,3)</f>
        <v>321</v>
      </c>
      <c r="F2040" s="2" t="str">
        <f aca="false">IF(D2040="","",LEFT(D2040,3))</f>
        <v/>
      </c>
      <c r="G2040" s="2" t="str">
        <f aca="false">IF(F2040="","",IF(E2040=F2040,"Yes","No"))</f>
        <v/>
      </c>
      <c r="H2040" s="2" t="n">
        <f aca="false">IF(D2040="",0,1/COUNTIF($D$2:$D$3451,D2040))</f>
        <v>0</v>
      </c>
      <c r="I2040" s="13" t="n">
        <f aca="false">IFERROR(INDEX('NCO-2015 scores'!$C$2:$C$131,MATCH(E2040,'NCO-2015 scores'!$A$2:$A$131,0)),0)</f>
        <v>0.2525</v>
      </c>
      <c r="J2040" s="13" t="n">
        <f aca="false">IF(ISNUMBER(MATCH(E2040,'NCO-2015 scores'!$A$2:$A$131,0)),IF(ISNUMBER(INDEX('NCO-2015 scores'!$C$2:$C$131,MATCH(E2040,'NCO-2015 scores'!$A$2:$A$131,0))),1,0),0)</f>
        <v>1</v>
      </c>
    </row>
    <row r="2041" customFormat="false" ht="15" hidden="false" customHeight="false" outlineLevel="0" collapsed="false">
      <c r="A2041" s="2" t="n">
        <v>2037</v>
      </c>
      <c r="B2041" s="2" t="s">
        <v>6056</v>
      </c>
      <c r="C2041" s="2" t="s">
        <v>6057</v>
      </c>
      <c r="D2041" s="2"/>
      <c r="E2041" s="2" t="str">
        <f aca="false">LEFT(C2041,3)</f>
        <v>321</v>
      </c>
      <c r="F2041" s="2" t="str">
        <f aca="false">IF(D2041="","",LEFT(D2041,3))</f>
        <v/>
      </c>
      <c r="G2041" s="2" t="str">
        <f aca="false">IF(F2041="","",IF(E2041=F2041,"Yes","No"))</f>
        <v/>
      </c>
      <c r="H2041" s="2" t="n">
        <f aca="false">IF(D2041="",0,1/COUNTIF($D$2:$D$3451,D2041))</f>
        <v>0</v>
      </c>
      <c r="I2041" s="13" t="n">
        <f aca="false">IFERROR(INDEX('NCO-2015 scores'!$C$2:$C$131,MATCH(E2041,'NCO-2015 scores'!$A$2:$A$131,0)),0)</f>
        <v>0.2525</v>
      </c>
      <c r="J2041" s="13" t="n">
        <f aca="false">IF(ISNUMBER(MATCH(E2041,'NCO-2015 scores'!$A$2:$A$131,0)),IF(ISNUMBER(INDEX('NCO-2015 scores'!$C$2:$C$131,MATCH(E2041,'NCO-2015 scores'!$A$2:$A$131,0))),1,0),0)</f>
        <v>1</v>
      </c>
    </row>
    <row r="2042" customFormat="false" ht="15" hidden="false" customHeight="false" outlineLevel="0" collapsed="false">
      <c r="A2042" s="2" t="n">
        <v>2038</v>
      </c>
      <c r="B2042" s="2" t="s">
        <v>6058</v>
      </c>
      <c r="C2042" s="2" t="s">
        <v>6059</v>
      </c>
      <c r="D2042" s="2"/>
      <c r="E2042" s="2" t="str">
        <f aca="false">LEFT(C2042,3)</f>
        <v>325</v>
      </c>
      <c r="F2042" s="2" t="str">
        <f aca="false">IF(D2042="","",LEFT(D2042,3))</f>
        <v/>
      </c>
      <c r="G2042" s="2" t="str">
        <f aca="false">IF(F2042="","",IF(E2042=F2042,"Yes","No"))</f>
        <v/>
      </c>
      <c r="H2042" s="2" t="n">
        <f aca="false">IF(D2042="",0,1/COUNTIF($D$2:$D$3451,D2042))</f>
        <v>0</v>
      </c>
      <c r="I2042" s="13" t="n">
        <f aca="false">IFERROR(INDEX('NCO-2015 scores'!$C$2:$C$131,MATCH(E2042,'NCO-2015 scores'!$A$2:$A$131,0)),0)</f>
        <v>0.2689</v>
      </c>
      <c r="J2042" s="13" t="n">
        <f aca="false">IF(ISNUMBER(MATCH(E2042,'NCO-2015 scores'!$A$2:$A$131,0)),IF(ISNUMBER(INDEX('NCO-2015 scores'!$C$2:$C$131,MATCH(E2042,'NCO-2015 scores'!$A$2:$A$131,0))),1,0),0)</f>
        <v>1</v>
      </c>
    </row>
    <row r="2043" customFormat="false" ht="15" hidden="false" customHeight="false" outlineLevel="0" collapsed="false">
      <c r="A2043" s="2" t="n">
        <v>2039</v>
      </c>
      <c r="B2043" s="2" t="s">
        <v>6060</v>
      </c>
      <c r="C2043" s="2" t="s">
        <v>6061</v>
      </c>
      <c r="D2043" s="2" t="s">
        <v>6062</v>
      </c>
      <c r="E2043" s="2" t="str">
        <f aca="false">LEFT(C2043,3)</f>
        <v>962</v>
      </c>
      <c r="F2043" s="2" t="str">
        <f aca="false">IF(D2043="","",LEFT(D2043,3))</f>
        <v>915</v>
      </c>
      <c r="G2043" s="2" t="str">
        <f aca="false">IF(F2043="","",IF(E2043=F2043,"Yes","No"))</f>
        <v>No</v>
      </c>
      <c r="H2043" s="2" t="n">
        <f aca="false">IF(D2043="",0,1/COUNTIF($D$2:$D$3451,D2043))</f>
        <v>1</v>
      </c>
      <c r="I2043" s="13" t="n">
        <f aca="false">IFERROR(INDEX('NCO-2015 scores'!$C$2:$C$131,MATCH(E2043,'NCO-2015 scores'!$A$2:$A$131,0)),0)</f>
        <v>0.248</v>
      </c>
      <c r="J2043" s="13" t="n">
        <f aca="false">IF(ISNUMBER(MATCH(E2043,'NCO-2015 scores'!$A$2:$A$131,0)),IF(ISNUMBER(INDEX('NCO-2015 scores'!$C$2:$C$131,MATCH(E2043,'NCO-2015 scores'!$A$2:$A$131,0))),1,0),0)</f>
        <v>1</v>
      </c>
    </row>
    <row r="2044" customFormat="false" ht="15" hidden="false" customHeight="false" outlineLevel="0" collapsed="false">
      <c r="A2044" s="2" t="n">
        <v>2040</v>
      </c>
      <c r="B2044" s="2" t="s">
        <v>6063</v>
      </c>
      <c r="C2044" s="2" t="s">
        <v>6064</v>
      </c>
      <c r="D2044" s="2" t="s">
        <v>6065</v>
      </c>
      <c r="E2044" s="2" t="str">
        <f aca="false">LEFT(C2044,3)</f>
        <v>962</v>
      </c>
      <c r="F2044" s="2" t="str">
        <f aca="false">IF(D2044="","",LEFT(D2044,3))</f>
        <v>915</v>
      </c>
      <c r="G2044" s="2" t="str">
        <f aca="false">IF(F2044="","",IF(E2044=F2044,"Yes","No"))</f>
        <v>No</v>
      </c>
      <c r="H2044" s="2" t="n">
        <f aca="false">IF(D2044="",0,1/COUNTIF($D$2:$D$3451,D2044))</f>
        <v>1</v>
      </c>
      <c r="I2044" s="13" t="n">
        <f aca="false">IFERROR(INDEX('NCO-2015 scores'!$C$2:$C$131,MATCH(E2044,'NCO-2015 scores'!$A$2:$A$131,0)),0)</f>
        <v>0.248</v>
      </c>
      <c r="J2044" s="13" t="n">
        <f aca="false">IF(ISNUMBER(MATCH(E2044,'NCO-2015 scores'!$A$2:$A$131,0)),IF(ISNUMBER(INDEX('NCO-2015 scores'!$C$2:$C$131,MATCH(E2044,'NCO-2015 scores'!$A$2:$A$131,0))),1,0),0)</f>
        <v>1</v>
      </c>
    </row>
    <row r="2045" customFormat="false" ht="15" hidden="false" customHeight="false" outlineLevel="0" collapsed="false">
      <c r="A2045" s="2" t="n">
        <v>2041</v>
      </c>
      <c r="B2045" s="2" t="s">
        <v>6066</v>
      </c>
      <c r="C2045" s="2" t="s">
        <v>6067</v>
      </c>
      <c r="D2045" s="2" t="s">
        <v>6068</v>
      </c>
      <c r="E2045" s="2" t="str">
        <f aca="false">LEFT(C2045,3)</f>
        <v>962</v>
      </c>
      <c r="F2045" s="2" t="str">
        <f aca="false">IF(D2045="","",LEFT(D2045,3))</f>
        <v>916</v>
      </c>
      <c r="G2045" s="2" t="str">
        <f aca="false">IF(F2045="","",IF(E2045=F2045,"Yes","No"))</f>
        <v>No</v>
      </c>
      <c r="H2045" s="2" t="n">
        <f aca="false">IF(D2045="",0,1/COUNTIF($D$2:$D$3451,D2045))</f>
        <v>1</v>
      </c>
      <c r="I2045" s="13" t="n">
        <f aca="false">IFERROR(INDEX('NCO-2015 scores'!$C$2:$C$131,MATCH(E2045,'NCO-2015 scores'!$A$2:$A$131,0)),0)</f>
        <v>0.248</v>
      </c>
      <c r="J2045" s="13" t="n">
        <f aca="false">IF(ISNUMBER(MATCH(E2045,'NCO-2015 scores'!$A$2:$A$131,0)),IF(ISNUMBER(INDEX('NCO-2015 scores'!$C$2:$C$131,MATCH(E2045,'NCO-2015 scores'!$A$2:$A$131,0))),1,0),0)</f>
        <v>1</v>
      </c>
    </row>
    <row r="2046" customFormat="false" ht="15" hidden="false" customHeight="false" outlineLevel="0" collapsed="false">
      <c r="A2046" s="2" t="n">
        <v>2042</v>
      </c>
      <c r="B2046" s="2" t="s">
        <v>6069</v>
      </c>
      <c r="C2046" s="2" t="s">
        <v>6070</v>
      </c>
      <c r="D2046" s="2" t="s">
        <v>6071</v>
      </c>
      <c r="E2046" s="2" t="str">
        <f aca="false">LEFT(C2046,3)</f>
        <v>962</v>
      </c>
      <c r="F2046" s="2" t="str">
        <f aca="false">IF(D2046="","",LEFT(D2046,3))</f>
        <v>915</v>
      </c>
      <c r="G2046" s="2" t="str">
        <f aca="false">IF(F2046="","",IF(E2046=F2046,"Yes","No"))</f>
        <v>No</v>
      </c>
      <c r="H2046" s="2" t="n">
        <f aca="false">IF(D2046="",0,1/COUNTIF($D$2:$D$3451,D2046))</f>
        <v>1</v>
      </c>
      <c r="I2046" s="13" t="n">
        <f aca="false">IFERROR(INDEX('NCO-2015 scores'!$C$2:$C$131,MATCH(E2046,'NCO-2015 scores'!$A$2:$A$131,0)),0)</f>
        <v>0.248</v>
      </c>
      <c r="J2046" s="13" t="n">
        <f aca="false">IF(ISNUMBER(MATCH(E2046,'NCO-2015 scores'!$A$2:$A$131,0)),IF(ISNUMBER(INDEX('NCO-2015 scores'!$C$2:$C$131,MATCH(E2046,'NCO-2015 scores'!$A$2:$A$131,0))),1,0),0)</f>
        <v>1</v>
      </c>
    </row>
    <row r="2047" customFormat="false" ht="15" hidden="false" customHeight="false" outlineLevel="0" collapsed="false">
      <c r="A2047" s="2" t="n">
        <v>2043</v>
      </c>
      <c r="B2047" s="2" t="s">
        <v>6072</v>
      </c>
      <c r="C2047" s="2" t="s">
        <v>6073</v>
      </c>
      <c r="D2047" s="2" t="s">
        <v>6074</v>
      </c>
      <c r="E2047" s="2" t="str">
        <f aca="false">LEFT(C2047,3)</f>
        <v>962</v>
      </c>
      <c r="F2047" s="2" t="str">
        <f aca="false">IF(D2047="","",LEFT(D2047,3))</f>
        <v>915</v>
      </c>
      <c r="G2047" s="2" t="str">
        <f aca="false">IF(F2047="","",IF(E2047=F2047,"Yes","No"))</f>
        <v>No</v>
      </c>
      <c r="H2047" s="2" t="n">
        <f aca="false">IF(D2047="",0,1/COUNTIF($D$2:$D$3451,D2047))</f>
        <v>1</v>
      </c>
      <c r="I2047" s="13" t="n">
        <f aca="false">IFERROR(INDEX('NCO-2015 scores'!$C$2:$C$131,MATCH(E2047,'NCO-2015 scores'!$A$2:$A$131,0)),0)</f>
        <v>0.248</v>
      </c>
      <c r="J2047" s="13" t="n">
        <f aca="false">IF(ISNUMBER(MATCH(E2047,'NCO-2015 scores'!$A$2:$A$131,0)),IF(ISNUMBER(INDEX('NCO-2015 scores'!$C$2:$C$131,MATCH(E2047,'NCO-2015 scores'!$A$2:$A$131,0))),1,0),0)</f>
        <v>1</v>
      </c>
    </row>
    <row r="2048" customFormat="false" ht="15" hidden="false" customHeight="false" outlineLevel="0" collapsed="false">
      <c r="A2048" s="2" t="n">
        <v>2044</v>
      </c>
      <c r="B2048" s="2" t="s">
        <v>6075</v>
      </c>
      <c r="C2048" s="2" t="s">
        <v>6076</v>
      </c>
      <c r="D2048" s="2" t="s">
        <v>6077</v>
      </c>
      <c r="E2048" s="2" t="str">
        <f aca="false">LEFT(C2048,3)</f>
        <v>962</v>
      </c>
      <c r="F2048" s="2" t="str">
        <f aca="false">IF(D2048="","",LEFT(D2048,3))</f>
        <v>915</v>
      </c>
      <c r="G2048" s="2" t="str">
        <f aca="false">IF(F2048="","",IF(E2048=F2048,"Yes","No"))</f>
        <v>No</v>
      </c>
      <c r="H2048" s="2" t="n">
        <f aca="false">IF(D2048="",0,1/COUNTIF($D$2:$D$3451,D2048))</f>
        <v>1</v>
      </c>
      <c r="I2048" s="13" t="n">
        <f aca="false">IFERROR(INDEX('NCO-2015 scores'!$C$2:$C$131,MATCH(E2048,'NCO-2015 scores'!$A$2:$A$131,0)),0)</f>
        <v>0.248</v>
      </c>
      <c r="J2048" s="13" t="n">
        <f aca="false">IF(ISNUMBER(MATCH(E2048,'NCO-2015 scores'!$A$2:$A$131,0)),IF(ISNUMBER(INDEX('NCO-2015 scores'!$C$2:$C$131,MATCH(E2048,'NCO-2015 scores'!$A$2:$A$131,0))),1,0),0)</f>
        <v>1</v>
      </c>
    </row>
    <row r="2049" customFormat="false" ht="15" hidden="false" customHeight="false" outlineLevel="0" collapsed="false">
      <c r="A2049" s="2" t="n">
        <v>2045</v>
      </c>
      <c r="B2049" s="2" t="s">
        <v>6078</v>
      </c>
      <c r="C2049" s="2" t="s">
        <v>6079</v>
      </c>
      <c r="D2049" s="2" t="s">
        <v>6080</v>
      </c>
      <c r="E2049" s="2" t="str">
        <f aca="false">LEFT(C2049,3)</f>
        <v>962</v>
      </c>
      <c r="F2049" s="2" t="str">
        <f aca="false">IF(D2049="","",LEFT(D2049,3))</f>
        <v>915</v>
      </c>
      <c r="G2049" s="2" t="str">
        <f aca="false">IF(F2049="","",IF(E2049=F2049,"Yes","No"))</f>
        <v>No</v>
      </c>
      <c r="H2049" s="2" t="n">
        <f aca="false">IF(D2049="",0,1/COUNTIF($D$2:$D$3451,D2049))</f>
        <v>1</v>
      </c>
      <c r="I2049" s="13" t="n">
        <f aca="false">IFERROR(INDEX('NCO-2015 scores'!$C$2:$C$131,MATCH(E2049,'NCO-2015 scores'!$A$2:$A$131,0)),0)</f>
        <v>0.248</v>
      </c>
      <c r="J2049" s="13" t="n">
        <f aca="false">IF(ISNUMBER(MATCH(E2049,'NCO-2015 scores'!$A$2:$A$131,0)),IF(ISNUMBER(INDEX('NCO-2015 scores'!$C$2:$C$131,MATCH(E2049,'NCO-2015 scores'!$A$2:$A$131,0))),1,0),0)</f>
        <v>1</v>
      </c>
    </row>
    <row r="2050" customFormat="false" ht="15" hidden="false" customHeight="false" outlineLevel="0" collapsed="false">
      <c r="A2050" s="2" t="n">
        <v>2046</v>
      </c>
      <c r="B2050" s="2" t="s">
        <v>6081</v>
      </c>
      <c r="C2050" s="2" t="s">
        <v>6082</v>
      </c>
      <c r="D2050" s="2" t="s">
        <v>6083</v>
      </c>
      <c r="E2050" s="2" t="str">
        <f aca="false">LEFT(C2050,3)</f>
        <v>962</v>
      </c>
      <c r="F2050" s="2" t="str">
        <f aca="false">IF(D2050="","",LEFT(D2050,3))</f>
        <v>915</v>
      </c>
      <c r="G2050" s="2" t="str">
        <f aca="false">IF(F2050="","",IF(E2050=F2050,"Yes","No"))</f>
        <v>No</v>
      </c>
      <c r="H2050" s="2" t="n">
        <f aca="false">IF(D2050="",0,1/COUNTIF($D$2:$D$3451,D2050))</f>
        <v>1</v>
      </c>
      <c r="I2050" s="13" t="n">
        <f aca="false">IFERROR(INDEX('NCO-2015 scores'!$C$2:$C$131,MATCH(E2050,'NCO-2015 scores'!$A$2:$A$131,0)),0)</f>
        <v>0.248</v>
      </c>
      <c r="J2050" s="13" t="n">
        <f aca="false">IF(ISNUMBER(MATCH(E2050,'NCO-2015 scores'!$A$2:$A$131,0)),IF(ISNUMBER(INDEX('NCO-2015 scores'!$C$2:$C$131,MATCH(E2050,'NCO-2015 scores'!$A$2:$A$131,0))),1,0),0)</f>
        <v>1</v>
      </c>
    </row>
    <row r="2051" customFormat="false" ht="15" hidden="false" customHeight="false" outlineLevel="0" collapsed="false">
      <c r="A2051" s="2" t="n">
        <v>2047</v>
      </c>
      <c r="B2051" s="2" t="s">
        <v>6084</v>
      </c>
      <c r="C2051" s="2" t="s">
        <v>6085</v>
      </c>
      <c r="D2051" s="2" t="s">
        <v>6086</v>
      </c>
      <c r="E2051" s="2" t="str">
        <f aca="false">LEFT(C2051,3)</f>
        <v>962</v>
      </c>
      <c r="F2051" s="2" t="str">
        <f aca="false">IF(D2051="","",LEFT(D2051,3))</f>
        <v>915</v>
      </c>
      <c r="G2051" s="2" t="str">
        <f aca="false">IF(F2051="","",IF(E2051=F2051,"Yes","No"))</f>
        <v>No</v>
      </c>
      <c r="H2051" s="2" t="n">
        <f aca="false">IF(D2051="",0,1/COUNTIF($D$2:$D$3451,D2051))</f>
        <v>1</v>
      </c>
      <c r="I2051" s="13" t="n">
        <f aca="false">IFERROR(INDEX('NCO-2015 scores'!$C$2:$C$131,MATCH(E2051,'NCO-2015 scores'!$A$2:$A$131,0)),0)</f>
        <v>0.248</v>
      </c>
      <c r="J2051" s="13" t="n">
        <f aca="false">IF(ISNUMBER(MATCH(E2051,'NCO-2015 scores'!$A$2:$A$131,0)),IF(ISNUMBER(INDEX('NCO-2015 scores'!$C$2:$C$131,MATCH(E2051,'NCO-2015 scores'!$A$2:$A$131,0))),1,0),0)</f>
        <v>1</v>
      </c>
    </row>
    <row r="2052" customFormat="false" ht="15" hidden="false" customHeight="false" outlineLevel="0" collapsed="false">
      <c r="A2052" s="2" t="n">
        <v>2048</v>
      </c>
      <c r="B2052" s="2" t="s">
        <v>6087</v>
      </c>
      <c r="C2052" s="2" t="s">
        <v>6088</v>
      </c>
      <c r="D2052" s="2" t="s">
        <v>6089</v>
      </c>
      <c r="E2052" s="2" t="str">
        <f aca="false">LEFT(C2052,3)</f>
        <v>962</v>
      </c>
      <c r="F2052" s="2" t="str">
        <f aca="false">IF(D2052="","",LEFT(D2052,3))</f>
        <v>915</v>
      </c>
      <c r="G2052" s="2" t="str">
        <f aca="false">IF(F2052="","",IF(E2052=F2052,"Yes","No"))</f>
        <v>No</v>
      </c>
      <c r="H2052" s="2" t="n">
        <f aca="false">IF(D2052="",0,1/COUNTIF($D$2:$D$3451,D2052))</f>
        <v>1</v>
      </c>
      <c r="I2052" s="13" t="n">
        <f aca="false">IFERROR(INDEX('NCO-2015 scores'!$C$2:$C$131,MATCH(E2052,'NCO-2015 scores'!$A$2:$A$131,0)),0)</f>
        <v>0.248</v>
      </c>
      <c r="J2052" s="13" t="n">
        <f aca="false">IF(ISNUMBER(MATCH(E2052,'NCO-2015 scores'!$A$2:$A$131,0)),IF(ISNUMBER(INDEX('NCO-2015 scores'!$C$2:$C$131,MATCH(E2052,'NCO-2015 scores'!$A$2:$A$131,0))),1,0),0)</f>
        <v>1</v>
      </c>
    </row>
    <row r="2053" customFormat="false" ht="15" hidden="false" customHeight="false" outlineLevel="0" collapsed="false">
      <c r="A2053" s="2" t="n">
        <v>2049</v>
      </c>
      <c r="B2053" s="2" t="s">
        <v>6090</v>
      </c>
      <c r="C2053" s="2" t="s">
        <v>6091</v>
      </c>
      <c r="D2053" s="2" t="s">
        <v>6092</v>
      </c>
      <c r="E2053" s="2" t="str">
        <f aca="false">LEFT(C2053,3)</f>
        <v>812</v>
      </c>
      <c r="F2053" s="2" t="str">
        <f aca="false">IF(D2053="","",LEFT(D2053,3))</f>
        <v>822</v>
      </c>
      <c r="G2053" s="2" t="str">
        <f aca="false">IF(F2053="","",IF(E2053=F2053,"Yes","No"))</f>
        <v>No</v>
      </c>
      <c r="H2053" s="2" t="n">
        <f aca="false">IF(D2053="",0,1/COUNTIF($D$2:$D$3451,D2053))</f>
        <v>1</v>
      </c>
      <c r="I2053" s="13" t="n">
        <f aca="false">IFERROR(INDEX('NCO-2015 scores'!$C$2:$C$131,MATCH(E2053,'NCO-2015 scores'!$A$2:$A$131,0)),0)</f>
        <v>0.23</v>
      </c>
      <c r="J2053" s="13" t="n">
        <f aca="false">IF(ISNUMBER(MATCH(E2053,'NCO-2015 scores'!$A$2:$A$131,0)),IF(ISNUMBER(INDEX('NCO-2015 scores'!$C$2:$C$131,MATCH(E2053,'NCO-2015 scores'!$A$2:$A$131,0))),1,0),0)</f>
        <v>1</v>
      </c>
    </row>
    <row r="2054" customFormat="false" ht="15" hidden="false" customHeight="false" outlineLevel="0" collapsed="false">
      <c r="A2054" s="2" t="n">
        <v>2050</v>
      </c>
      <c r="B2054" s="2" t="s">
        <v>6093</v>
      </c>
      <c r="C2054" s="2" t="s">
        <v>6094</v>
      </c>
      <c r="D2054" s="2"/>
      <c r="E2054" s="2" t="str">
        <f aca="false">LEFT(C2054,3)</f>
        <v>812</v>
      </c>
      <c r="F2054" s="2" t="str">
        <f aca="false">IF(D2054="","",LEFT(D2054,3))</f>
        <v/>
      </c>
      <c r="G2054" s="2" t="str">
        <f aca="false">IF(F2054="","",IF(E2054=F2054,"Yes","No"))</f>
        <v/>
      </c>
      <c r="H2054" s="2" t="n">
        <f aca="false">IF(D2054="",0,1/COUNTIF($D$2:$D$3451,D2054))</f>
        <v>0</v>
      </c>
      <c r="I2054" s="13" t="n">
        <f aca="false">IFERROR(INDEX('NCO-2015 scores'!$C$2:$C$131,MATCH(E2054,'NCO-2015 scores'!$A$2:$A$131,0)),0)</f>
        <v>0.23</v>
      </c>
      <c r="J2054" s="13" t="n">
        <f aca="false">IF(ISNUMBER(MATCH(E2054,'NCO-2015 scores'!$A$2:$A$131,0)),IF(ISNUMBER(INDEX('NCO-2015 scores'!$C$2:$C$131,MATCH(E2054,'NCO-2015 scores'!$A$2:$A$131,0))),1,0),0)</f>
        <v>1</v>
      </c>
    </row>
    <row r="2055" customFormat="false" ht="15" hidden="false" customHeight="false" outlineLevel="0" collapsed="false">
      <c r="A2055" s="2" t="n">
        <v>2051</v>
      </c>
      <c r="B2055" s="2" t="s">
        <v>6095</v>
      </c>
      <c r="C2055" s="2" t="s">
        <v>6096</v>
      </c>
      <c r="D2055" s="2" t="s">
        <v>6097</v>
      </c>
      <c r="E2055" s="2" t="str">
        <f aca="false">LEFT(C2055,3)</f>
        <v>812</v>
      </c>
      <c r="F2055" s="2" t="str">
        <f aca="false">IF(D2055="","",LEFT(D2055,3))</f>
        <v>822</v>
      </c>
      <c r="G2055" s="2" t="str">
        <f aca="false">IF(F2055="","",IF(E2055=F2055,"Yes","No"))</f>
        <v>No</v>
      </c>
      <c r="H2055" s="2" t="n">
        <f aca="false">IF(D2055="",0,1/COUNTIF($D$2:$D$3451,D2055))</f>
        <v>1</v>
      </c>
      <c r="I2055" s="13" t="n">
        <f aca="false">IFERROR(INDEX('NCO-2015 scores'!$C$2:$C$131,MATCH(E2055,'NCO-2015 scores'!$A$2:$A$131,0)),0)</f>
        <v>0.23</v>
      </c>
      <c r="J2055" s="13" t="n">
        <f aca="false">IF(ISNUMBER(MATCH(E2055,'NCO-2015 scores'!$A$2:$A$131,0)),IF(ISNUMBER(INDEX('NCO-2015 scores'!$C$2:$C$131,MATCH(E2055,'NCO-2015 scores'!$A$2:$A$131,0))),1,0),0)</f>
        <v>1</v>
      </c>
    </row>
    <row r="2056" customFormat="false" ht="15" hidden="false" customHeight="false" outlineLevel="0" collapsed="false">
      <c r="A2056" s="2" t="n">
        <v>2052</v>
      </c>
      <c r="B2056" s="2" t="s">
        <v>6098</v>
      </c>
      <c r="C2056" s="2" t="s">
        <v>6099</v>
      </c>
      <c r="D2056" s="2" t="s">
        <v>6100</v>
      </c>
      <c r="E2056" s="2" t="str">
        <f aca="false">LEFT(C2056,3)</f>
        <v>812</v>
      </c>
      <c r="F2056" s="2" t="str">
        <f aca="false">IF(D2056="","",LEFT(D2056,3))</f>
        <v>822</v>
      </c>
      <c r="G2056" s="2" t="str">
        <f aca="false">IF(F2056="","",IF(E2056=F2056,"Yes","No"))</f>
        <v>No</v>
      </c>
      <c r="H2056" s="2" t="n">
        <f aca="false">IF(D2056="",0,1/COUNTIF($D$2:$D$3451,D2056))</f>
        <v>1</v>
      </c>
      <c r="I2056" s="13" t="n">
        <f aca="false">IFERROR(INDEX('NCO-2015 scores'!$C$2:$C$131,MATCH(E2056,'NCO-2015 scores'!$A$2:$A$131,0)),0)</f>
        <v>0.23</v>
      </c>
      <c r="J2056" s="13" t="n">
        <f aca="false">IF(ISNUMBER(MATCH(E2056,'NCO-2015 scores'!$A$2:$A$131,0)),IF(ISNUMBER(INDEX('NCO-2015 scores'!$C$2:$C$131,MATCH(E2056,'NCO-2015 scores'!$A$2:$A$131,0))),1,0),0)</f>
        <v>1</v>
      </c>
    </row>
    <row r="2057" customFormat="false" ht="15" hidden="false" customHeight="false" outlineLevel="0" collapsed="false">
      <c r="A2057" s="2" t="n">
        <v>2053</v>
      </c>
      <c r="B2057" s="2" t="s">
        <v>6101</v>
      </c>
      <c r="C2057" s="2" t="s">
        <v>6102</v>
      </c>
      <c r="D2057" s="2" t="s">
        <v>6103</v>
      </c>
      <c r="E2057" s="2" t="str">
        <f aca="false">LEFT(C2057,3)</f>
        <v>812</v>
      </c>
      <c r="F2057" s="2" t="str">
        <f aca="false">IF(D2057="","",LEFT(D2057,3))</f>
        <v>822</v>
      </c>
      <c r="G2057" s="2" t="str">
        <f aca="false">IF(F2057="","",IF(E2057=F2057,"Yes","No"))</f>
        <v>No</v>
      </c>
      <c r="H2057" s="2" t="n">
        <f aca="false">IF(D2057="",0,1/COUNTIF($D$2:$D$3451,D2057))</f>
        <v>1</v>
      </c>
      <c r="I2057" s="13" t="n">
        <f aca="false">IFERROR(INDEX('NCO-2015 scores'!$C$2:$C$131,MATCH(E2057,'NCO-2015 scores'!$A$2:$A$131,0)),0)</f>
        <v>0.23</v>
      </c>
      <c r="J2057" s="13" t="n">
        <f aca="false">IF(ISNUMBER(MATCH(E2057,'NCO-2015 scores'!$A$2:$A$131,0)),IF(ISNUMBER(INDEX('NCO-2015 scores'!$C$2:$C$131,MATCH(E2057,'NCO-2015 scores'!$A$2:$A$131,0))),1,0),0)</f>
        <v>1</v>
      </c>
    </row>
    <row r="2058" customFormat="false" ht="15" hidden="false" customHeight="false" outlineLevel="0" collapsed="false">
      <c r="A2058" s="2" t="n">
        <v>2054</v>
      </c>
      <c r="B2058" s="2" t="s">
        <v>6104</v>
      </c>
      <c r="C2058" s="2" t="s">
        <v>6105</v>
      </c>
      <c r="D2058" s="2" t="s">
        <v>6106</v>
      </c>
      <c r="E2058" s="2" t="str">
        <f aca="false">LEFT(C2058,3)</f>
        <v>812</v>
      </c>
      <c r="F2058" s="2" t="str">
        <f aca="false">IF(D2058="","",LEFT(D2058,3))</f>
        <v>822</v>
      </c>
      <c r="G2058" s="2" t="str">
        <f aca="false">IF(F2058="","",IF(E2058=F2058,"Yes","No"))</f>
        <v>No</v>
      </c>
      <c r="H2058" s="2" t="n">
        <f aca="false">IF(D2058="",0,1/COUNTIF($D$2:$D$3451,D2058))</f>
        <v>1</v>
      </c>
      <c r="I2058" s="13" t="n">
        <f aca="false">IFERROR(INDEX('NCO-2015 scores'!$C$2:$C$131,MATCH(E2058,'NCO-2015 scores'!$A$2:$A$131,0)),0)</f>
        <v>0.23</v>
      </c>
      <c r="J2058" s="13" t="n">
        <f aca="false">IF(ISNUMBER(MATCH(E2058,'NCO-2015 scores'!$A$2:$A$131,0)),IF(ISNUMBER(INDEX('NCO-2015 scores'!$C$2:$C$131,MATCH(E2058,'NCO-2015 scores'!$A$2:$A$131,0))),1,0),0)</f>
        <v>1</v>
      </c>
    </row>
    <row r="2059" customFormat="false" ht="15" hidden="false" customHeight="false" outlineLevel="0" collapsed="false">
      <c r="A2059" s="2" t="n">
        <v>2055</v>
      </c>
      <c r="B2059" s="2" t="s">
        <v>6107</v>
      </c>
      <c r="C2059" s="2" t="s">
        <v>6108</v>
      </c>
      <c r="D2059" s="2" t="s">
        <v>6109</v>
      </c>
      <c r="E2059" s="2" t="str">
        <f aca="false">LEFT(C2059,3)</f>
        <v>812</v>
      </c>
      <c r="F2059" s="2" t="str">
        <f aca="false">IF(D2059="","",LEFT(D2059,3))</f>
        <v>822</v>
      </c>
      <c r="G2059" s="2" t="str">
        <f aca="false">IF(F2059="","",IF(E2059=F2059,"Yes","No"))</f>
        <v>No</v>
      </c>
      <c r="H2059" s="2" t="n">
        <f aca="false">IF(D2059="",0,1/COUNTIF($D$2:$D$3451,D2059))</f>
        <v>1</v>
      </c>
      <c r="I2059" s="13" t="n">
        <f aca="false">IFERROR(INDEX('NCO-2015 scores'!$C$2:$C$131,MATCH(E2059,'NCO-2015 scores'!$A$2:$A$131,0)),0)</f>
        <v>0.23</v>
      </c>
      <c r="J2059" s="13" t="n">
        <f aca="false">IF(ISNUMBER(MATCH(E2059,'NCO-2015 scores'!$A$2:$A$131,0)),IF(ISNUMBER(INDEX('NCO-2015 scores'!$C$2:$C$131,MATCH(E2059,'NCO-2015 scores'!$A$2:$A$131,0))),1,0),0)</f>
        <v>1</v>
      </c>
    </row>
    <row r="2060" customFormat="false" ht="15" hidden="false" customHeight="false" outlineLevel="0" collapsed="false">
      <c r="A2060" s="2" t="n">
        <v>2056</v>
      </c>
      <c r="B2060" s="2" t="s">
        <v>6110</v>
      </c>
      <c r="C2060" s="2" t="s">
        <v>6111</v>
      </c>
      <c r="D2060" s="2" t="s">
        <v>6112</v>
      </c>
      <c r="E2060" s="2" t="str">
        <f aca="false">LEFT(C2060,3)</f>
        <v>812</v>
      </c>
      <c r="F2060" s="2" t="str">
        <f aca="false">IF(D2060="","",LEFT(D2060,3))</f>
        <v>822</v>
      </c>
      <c r="G2060" s="2" t="str">
        <f aca="false">IF(F2060="","",IF(E2060=F2060,"Yes","No"))</f>
        <v>No</v>
      </c>
      <c r="H2060" s="2" t="n">
        <f aca="false">IF(D2060="",0,1/COUNTIF($D$2:$D$3451,D2060))</f>
        <v>1</v>
      </c>
      <c r="I2060" s="13" t="n">
        <f aca="false">IFERROR(INDEX('NCO-2015 scores'!$C$2:$C$131,MATCH(E2060,'NCO-2015 scores'!$A$2:$A$131,0)),0)</f>
        <v>0.23</v>
      </c>
      <c r="J2060" s="13" t="n">
        <f aca="false">IF(ISNUMBER(MATCH(E2060,'NCO-2015 scores'!$A$2:$A$131,0)),IF(ISNUMBER(INDEX('NCO-2015 scores'!$C$2:$C$131,MATCH(E2060,'NCO-2015 scores'!$A$2:$A$131,0))),1,0),0)</f>
        <v>1</v>
      </c>
    </row>
    <row r="2061" customFormat="false" ht="15" hidden="false" customHeight="false" outlineLevel="0" collapsed="false">
      <c r="A2061" s="2" t="n">
        <v>2057</v>
      </c>
      <c r="B2061" s="2" t="s">
        <v>6113</v>
      </c>
      <c r="C2061" s="2" t="s">
        <v>6114</v>
      </c>
      <c r="D2061" s="2" t="s">
        <v>6115</v>
      </c>
      <c r="E2061" s="2" t="str">
        <f aca="false">LEFT(C2061,3)</f>
        <v>812</v>
      </c>
      <c r="F2061" s="2" t="str">
        <f aca="false">IF(D2061="","",LEFT(D2061,3))</f>
        <v>822</v>
      </c>
      <c r="G2061" s="2" t="str">
        <f aca="false">IF(F2061="","",IF(E2061=F2061,"Yes","No"))</f>
        <v>No</v>
      </c>
      <c r="H2061" s="2" t="n">
        <f aca="false">IF(D2061="",0,1/COUNTIF($D$2:$D$3451,D2061))</f>
        <v>1</v>
      </c>
      <c r="I2061" s="13" t="n">
        <f aca="false">IFERROR(INDEX('NCO-2015 scores'!$C$2:$C$131,MATCH(E2061,'NCO-2015 scores'!$A$2:$A$131,0)),0)</f>
        <v>0.23</v>
      </c>
      <c r="J2061" s="13" t="n">
        <f aca="false">IF(ISNUMBER(MATCH(E2061,'NCO-2015 scores'!$A$2:$A$131,0)),IF(ISNUMBER(INDEX('NCO-2015 scores'!$C$2:$C$131,MATCH(E2061,'NCO-2015 scores'!$A$2:$A$131,0))),1,0),0)</f>
        <v>1</v>
      </c>
    </row>
    <row r="2062" customFormat="false" ht="15" hidden="false" customHeight="false" outlineLevel="0" collapsed="false">
      <c r="A2062" s="2" t="n">
        <v>2058</v>
      </c>
      <c r="B2062" s="2" t="s">
        <v>6116</v>
      </c>
      <c r="C2062" s="2" t="s">
        <v>6117</v>
      </c>
      <c r="D2062" s="2" t="s">
        <v>6118</v>
      </c>
      <c r="E2062" s="2" t="str">
        <f aca="false">LEFT(C2062,3)</f>
        <v>812</v>
      </c>
      <c r="F2062" s="2" t="str">
        <f aca="false">IF(D2062="","",LEFT(D2062,3))</f>
        <v>822</v>
      </c>
      <c r="G2062" s="2" t="str">
        <f aca="false">IF(F2062="","",IF(E2062=F2062,"Yes","No"))</f>
        <v>No</v>
      </c>
      <c r="H2062" s="2" t="n">
        <f aca="false">IF(D2062="",0,1/COUNTIF($D$2:$D$3451,D2062))</f>
        <v>1</v>
      </c>
      <c r="I2062" s="13" t="n">
        <f aca="false">IFERROR(INDEX('NCO-2015 scores'!$C$2:$C$131,MATCH(E2062,'NCO-2015 scores'!$A$2:$A$131,0)),0)</f>
        <v>0.23</v>
      </c>
      <c r="J2062" s="13" t="n">
        <f aca="false">IF(ISNUMBER(MATCH(E2062,'NCO-2015 scores'!$A$2:$A$131,0)),IF(ISNUMBER(INDEX('NCO-2015 scores'!$C$2:$C$131,MATCH(E2062,'NCO-2015 scores'!$A$2:$A$131,0))),1,0),0)</f>
        <v>1</v>
      </c>
    </row>
    <row r="2063" customFormat="false" ht="15" hidden="false" customHeight="false" outlineLevel="0" collapsed="false">
      <c r="A2063" s="2" t="n">
        <v>2059</v>
      </c>
      <c r="B2063" s="2" t="s">
        <v>6119</v>
      </c>
      <c r="C2063" s="2" t="s">
        <v>6120</v>
      </c>
      <c r="D2063" s="2" t="s">
        <v>6121</v>
      </c>
      <c r="E2063" s="2" t="str">
        <f aca="false">LEFT(C2063,3)</f>
        <v>812</v>
      </c>
      <c r="F2063" s="2" t="str">
        <f aca="false">IF(D2063="","",LEFT(D2063,3))</f>
        <v>822</v>
      </c>
      <c r="G2063" s="2" t="str">
        <f aca="false">IF(F2063="","",IF(E2063=F2063,"Yes","No"))</f>
        <v>No</v>
      </c>
      <c r="H2063" s="2" t="n">
        <f aca="false">IF(D2063="",0,1/COUNTIF($D$2:$D$3451,D2063))</f>
        <v>1</v>
      </c>
      <c r="I2063" s="13" t="n">
        <f aca="false">IFERROR(INDEX('NCO-2015 scores'!$C$2:$C$131,MATCH(E2063,'NCO-2015 scores'!$A$2:$A$131,0)),0)</f>
        <v>0.23</v>
      </c>
      <c r="J2063" s="13" t="n">
        <f aca="false">IF(ISNUMBER(MATCH(E2063,'NCO-2015 scores'!$A$2:$A$131,0)),IF(ISNUMBER(INDEX('NCO-2015 scores'!$C$2:$C$131,MATCH(E2063,'NCO-2015 scores'!$A$2:$A$131,0))),1,0),0)</f>
        <v>1</v>
      </c>
    </row>
    <row r="2064" customFormat="false" ht="15" hidden="false" customHeight="false" outlineLevel="0" collapsed="false">
      <c r="A2064" s="2" t="n">
        <v>2060</v>
      </c>
      <c r="B2064" s="2" t="s">
        <v>6122</v>
      </c>
      <c r="C2064" s="2" t="s">
        <v>6123</v>
      </c>
      <c r="D2064" s="2" t="s">
        <v>6124</v>
      </c>
      <c r="E2064" s="2" t="str">
        <f aca="false">LEFT(C2064,3)</f>
        <v>812</v>
      </c>
      <c r="F2064" s="2" t="str">
        <f aca="false">IF(D2064="","",LEFT(D2064,3))</f>
        <v>822</v>
      </c>
      <c r="G2064" s="2" t="str">
        <f aca="false">IF(F2064="","",IF(E2064=F2064,"Yes","No"))</f>
        <v>No</v>
      </c>
      <c r="H2064" s="2" t="n">
        <f aca="false">IF(D2064="",0,1/COUNTIF($D$2:$D$3451,D2064))</f>
        <v>1</v>
      </c>
      <c r="I2064" s="13" t="n">
        <f aca="false">IFERROR(INDEX('NCO-2015 scores'!$C$2:$C$131,MATCH(E2064,'NCO-2015 scores'!$A$2:$A$131,0)),0)</f>
        <v>0.23</v>
      </c>
      <c r="J2064" s="13" t="n">
        <f aca="false">IF(ISNUMBER(MATCH(E2064,'NCO-2015 scores'!$A$2:$A$131,0)),IF(ISNUMBER(INDEX('NCO-2015 scores'!$C$2:$C$131,MATCH(E2064,'NCO-2015 scores'!$A$2:$A$131,0))),1,0),0)</f>
        <v>1</v>
      </c>
    </row>
    <row r="2065" customFormat="false" ht="15" hidden="false" customHeight="false" outlineLevel="0" collapsed="false">
      <c r="A2065" s="2" t="n">
        <v>2061</v>
      </c>
      <c r="B2065" s="2" t="s">
        <v>6125</v>
      </c>
      <c r="C2065" s="2" t="s">
        <v>6126</v>
      </c>
      <c r="D2065" s="2" t="s">
        <v>6127</v>
      </c>
      <c r="E2065" s="2" t="str">
        <f aca="false">LEFT(C2065,3)</f>
        <v>812</v>
      </c>
      <c r="F2065" s="2" t="str">
        <f aca="false">IF(D2065="","",LEFT(D2065,3))</f>
        <v>822</v>
      </c>
      <c r="G2065" s="2" t="str">
        <f aca="false">IF(F2065="","",IF(E2065=F2065,"Yes","No"))</f>
        <v>No</v>
      </c>
      <c r="H2065" s="2" t="n">
        <f aca="false">IF(D2065="",0,1/COUNTIF($D$2:$D$3451,D2065))</f>
        <v>1</v>
      </c>
      <c r="I2065" s="13" t="n">
        <f aca="false">IFERROR(INDEX('NCO-2015 scores'!$C$2:$C$131,MATCH(E2065,'NCO-2015 scores'!$A$2:$A$131,0)),0)</f>
        <v>0.23</v>
      </c>
      <c r="J2065" s="13" t="n">
        <f aca="false">IF(ISNUMBER(MATCH(E2065,'NCO-2015 scores'!$A$2:$A$131,0)),IF(ISNUMBER(INDEX('NCO-2015 scores'!$C$2:$C$131,MATCH(E2065,'NCO-2015 scores'!$A$2:$A$131,0))),1,0),0)</f>
        <v>1</v>
      </c>
    </row>
    <row r="2066" customFormat="false" ht="15" hidden="false" customHeight="false" outlineLevel="0" collapsed="false">
      <c r="A2066" s="2" t="n">
        <v>2062</v>
      </c>
      <c r="B2066" s="2" t="s">
        <v>6128</v>
      </c>
      <c r="C2066" s="2" t="s">
        <v>6129</v>
      </c>
      <c r="D2066" s="2" t="s">
        <v>6130</v>
      </c>
      <c r="E2066" s="2" t="str">
        <f aca="false">LEFT(C2066,3)</f>
        <v>812</v>
      </c>
      <c r="F2066" s="2" t="str">
        <f aca="false">IF(D2066="","",LEFT(D2066,3))</f>
        <v>822</v>
      </c>
      <c r="G2066" s="2" t="str">
        <f aca="false">IF(F2066="","",IF(E2066=F2066,"Yes","No"))</f>
        <v>No</v>
      </c>
      <c r="H2066" s="2" t="n">
        <f aca="false">IF(D2066="",0,1/COUNTIF($D$2:$D$3451,D2066))</f>
        <v>1</v>
      </c>
      <c r="I2066" s="13" t="n">
        <f aca="false">IFERROR(INDEX('NCO-2015 scores'!$C$2:$C$131,MATCH(E2066,'NCO-2015 scores'!$A$2:$A$131,0)),0)</f>
        <v>0.23</v>
      </c>
      <c r="J2066" s="13" t="n">
        <f aca="false">IF(ISNUMBER(MATCH(E2066,'NCO-2015 scores'!$A$2:$A$131,0)),IF(ISNUMBER(INDEX('NCO-2015 scores'!$C$2:$C$131,MATCH(E2066,'NCO-2015 scores'!$A$2:$A$131,0))),1,0),0)</f>
        <v>1</v>
      </c>
    </row>
    <row r="2067" customFormat="false" ht="15" hidden="false" customHeight="false" outlineLevel="0" collapsed="false">
      <c r="A2067" s="2" t="n">
        <v>2063</v>
      </c>
      <c r="B2067" s="2" t="s">
        <v>6131</v>
      </c>
      <c r="C2067" s="2" t="s">
        <v>6132</v>
      </c>
      <c r="D2067" s="2" t="s">
        <v>6133</v>
      </c>
      <c r="E2067" s="2" t="str">
        <f aca="false">LEFT(C2067,3)</f>
        <v>812</v>
      </c>
      <c r="F2067" s="2" t="str">
        <f aca="false">IF(D2067="","",LEFT(D2067,3))</f>
        <v>822</v>
      </c>
      <c r="G2067" s="2" t="str">
        <f aca="false">IF(F2067="","",IF(E2067=F2067,"Yes","No"))</f>
        <v>No</v>
      </c>
      <c r="H2067" s="2" t="n">
        <f aca="false">IF(D2067="",0,1/COUNTIF($D$2:$D$3451,D2067))</f>
        <v>1</v>
      </c>
      <c r="I2067" s="13" t="n">
        <f aca="false">IFERROR(INDEX('NCO-2015 scores'!$C$2:$C$131,MATCH(E2067,'NCO-2015 scores'!$A$2:$A$131,0)),0)</f>
        <v>0.23</v>
      </c>
      <c r="J2067" s="13" t="n">
        <f aca="false">IF(ISNUMBER(MATCH(E2067,'NCO-2015 scores'!$A$2:$A$131,0)),IF(ISNUMBER(INDEX('NCO-2015 scores'!$C$2:$C$131,MATCH(E2067,'NCO-2015 scores'!$A$2:$A$131,0))),1,0),0)</f>
        <v>1</v>
      </c>
    </row>
    <row r="2068" customFormat="false" ht="15" hidden="false" customHeight="false" outlineLevel="0" collapsed="false">
      <c r="A2068" s="2" t="n">
        <v>2064</v>
      </c>
      <c r="B2068" s="2" t="s">
        <v>6134</v>
      </c>
      <c r="C2068" s="2" t="s">
        <v>6135</v>
      </c>
      <c r="D2068" s="2" t="s">
        <v>6136</v>
      </c>
      <c r="E2068" s="2" t="str">
        <f aca="false">LEFT(C2068,3)</f>
        <v>812</v>
      </c>
      <c r="F2068" s="2" t="str">
        <f aca="false">IF(D2068="","",LEFT(D2068,3))</f>
        <v>822</v>
      </c>
      <c r="G2068" s="2" t="str">
        <f aca="false">IF(F2068="","",IF(E2068=F2068,"Yes","No"))</f>
        <v>No</v>
      </c>
      <c r="H2068" s="2" t="n">
        <f aca="false">IF(D2068="",0,1/COUNTIF($D$2:$D$3451,D2068))</f>
        <v>1</v>
      </c>
      <c r="I2068" s="13" t="n">
        <f aca="false">IFERROR(INDEX('NCO-2015 scores'!$C$2:$C$131,MATCH(E2068,'NCO-2015 scores'!$A$2:$A$131,0)),0)</f>
        <v>0.23</v>
      </c>
      <c r="J2068" s="13" t="n">
        <f aca="false">IF(ISNUMBER(MATCH(E2068,'NCO-2015 scores'!$A$2:$A$131,0)),IF(ISNUMBER(INDEX('NCO-2015 scores'!$C$2:$C$131,MATCH(E2068,'NCO-2015 scores'!$A$2:$A$131,0))),1,0),0)</f>
        <v>1</v>
      </c>
    </row>
    <row r="2069" customFormat="false" ht="15" hidden="false" customHeight="false" outlineLevel="0" collapsed="false">
      <c r="A2069" s="2" t="n">
        <v>2065</v>
      </c>
      <c r="B2069" s="2" t="s">
        <v>6137</v>
      </c>
      <c r="C2069" s="2" t="s">
        <v>6138</v>
      </c>
      <c r="D2069" s="2" t="s">
        <v>6139</v>
      </c>
      <c r="E2069" s="2" t="str">
        <f aca="false">LEFT(C2069,3)</f>
        <v>812</v>
      </c>
      <c r="F2069" s="2" t="str">
        <f aca="false">IF(D2069="","",LEFT(D2069,3))</f>
        <v>822</v>
      </c>
      <c r="G2069" s="2" t="str">
        <f aca="false">IF(F2069="","",IF(E2069=F2069,"Yes","No"))</f>
        <v>No</v>
      </c>
      <c r="H2069" s="2" t="n">
        <f aca="false">IF(D2069="",0,1/COUNTIF($D$2:$D$3451,D2069))</f>
        <v>1</v>
      </c>
      <c r="I2069" s="13" t="n">
        <f aca="false">IFERROR(INDEX('NCO-2015 scores'!$C$2:$C$131,MATCH(E2069,'NCO-2015 scores'!$A$2:$A$131,0)),0)</f>
        <v>0.23</v>
      </c>
      <c r="J2069" s="13" t="n">
        <f aca="false">IF(ISNUMBER(MATCH(E2069,'NCO-2015 scores'!$A$2:$A$131,0)),IF(ISNUMBER(INDEX('NCO-2015 scores'!$C$2:$C$131,MATCH(E2069,'NCO-2015 scores'!$A$2:$A$131,0))),1,0),0)</f>
        <v>1</v>
      </c>
    </row>
    <row r="2070" customFormat="false" ht="15" hidden="false" customHeight="false" outlineLevel="0" collapsed="false">
      <c r="A2070" s="2" t="n">
        <v>2066</v>
      </c>
      <c r="B2070" s="2" t="s">
        <v>6140</v>
      </c>
      <c r="C2070" s="2" t="s">
        <v>6141</v>
      </c>
      <c r="D2070" s="2" t="s">
        <v>6142</v>
      </c>
      <c r="E2070" s="2" t="str">
        <f aca="false">LEFT(C2070,3)</f>
        <v>812</v>
      </c>
      <c r="F2070" s="2" t="str">
        <f aca="false">IF(D2070="","",LEFT(D2070,3))</f>
        <v>822</v>
      </c>
      <c r="G2070" s="2" t="str">
        <f aca="false">IF(F2070="","",IF(E2070=F2070,"Yes","No"))</f>
        <v>No</v>
      </c>
      <c r="H2070" s="2" t="n">
        <f aca="false">IF(D2070="",0,1/COUNTIF($D$2:$D$3451,D2070))</f>
        <v>1</v>
      </c>
      <c r="I2070" s="13" t="n">
        <f aca="false">IFERROR(INDEX('NCO-2015 scores'!$C$2:$C$131,MATCH(E2070,'NCO-2015 scores'!$A$2:$A$131,0)),0)</f>
        <v>0.23</v>
      </c>
      <c r="J2070" s="13" t="n">
        <f aca="false">IF(ISNUMBER(MATCH(E2070,'NCO-2015 scores'!$A$2:$A$131,0)),IF(ISNUMBER(INDEX('NCO-2015 scores'!$C$2:$C$131,MATCH(E2070,'NCO-2015 scores'!$A$2:$A$131,0))),1,0),0)</f>
        <v>1</v>
      </c>
    </row>
    <row r="2071" customFormat="false" ht="15" hidden="false" customHeight="false" outlineLevel="0" collapsed="false">
      <c r="A2071" s="2" t="n">
        <v>2067</v>
      </c>
      <c r="B2071" s="2" t="s">
        <v>6143</v>
      </c>
      <c r="C2071" s="2" t="s">
        <v>6144</v>
      </c>
      <c r="D2071" s="2" t="s">
        <v>6145</v>
      </c>
      <c r="E2071" s="2" t="str">
        <f aca="false">LEFT(C2071,3)</f>
        <v>812</v>
      </c>
      <c r="F2071" s="2" t="str">
        <f aca="false">IF(D2071="","",LEFT(D2071,3))</f>
        <v>822</v>
      </c>
      <c r="G2071" s="2" t="str">
        <f aca="false">IF(F2071="","",IF(E2071=F2071,"Yes","No"))</f>
        <v>No</v>
      </c>
      <c r="H2071" s="2" t="n">
        <f aca="false">IF(D2071="",0,1/COUNTIF($D$2:$D$3451,D2071))</f>
        <v>1</v>
      </c>
      <c r="I2071" s="13" t="n">
        <f aca="false">IFERROR(INDEX('NCO-2015 scores'!$C$2:$C$131,MATCH(E2071,'NCO-2015 scores'!$A$2:$A$131,0)),0)</f>
        <v>0.23</v>
      </c>
      <c r="J2071" s="13" t="n">
        <f aca="false">IF(ISNUMBER(MATCH(E2071,'NCO-2015 scores'!$A$2:$A$131,0)),IF(ISNUMBER(INDEX('NCO-2015 scores'!$C$2:$C$131,MATCH(E2071,'NCO-2015 scores'!$A$2:$A$131,0))),1,0),0)</f>
        <v>1</v>
      </c>
    </row>
    <row r="2072" customFormat="false" ht="15" hidden="false" customHeight="false" outlineLevel="0" collapsed="false">
      <c r="A2072" s="2" t="n">
        <v>2068</v>
      </c>
      <c r="B2072" s="2" t="s">
        <v>6146</v>
      </c>
      <c r="C2072" s="2" t="s">
        <v>6147</v>
      </c>
      <c r="D2072" s="2" t="s">
        <v>6148</v>
      </c>
      <c r="E2072" s="2" t="str">
        <f aca="false">LEFT(C2072,3)</f>
        <v>812</v>
      </c>
      <c r="F2072" s="2" t="str">
        <f aca="false">IF(D2072="","",LEFT(D2072,3))</f>
        <v>822</v>
      </c>
      <c r="G2072" s="2" t="str">
        <f aca="false">IF(F2072="","",IF(E2072=F2072,"Yes","No"))</f>
        <v>No</v>
      </c>
      <c r="H2072" s="2" t="n">
        <f aca="false">IF(D2072="",0,1/COUNTIF($D$2:$D$3451,D2072))</f>
        <v>1</v>
      </c>
      <c r="I2072" s="13" t="n">
        <f aca="false">IFERROR(INDEX('NCO-2015 scores'!$C$2:$C$131,MATCH(E2072,'NCO-2015 scores'!$A$2:$A$131,0)),0)</f>
        <v>0.23</v>
      </c>
      <c r="J2072" s="13" t="n">
        <f aca="false">IF(ISNUMBER(MATCH(E2072,'NCO-2015 scores'!$A$2:$A$131,0)),IF(ISNUMBER(INDEX('NCO-2015 scores'!$C$2:$C$131,MATCH(E2072,'NCO-2015 scores'!$A$2:$A$131,0))),1,0),0)</f>
        <v>1</v>
      </c>
    </row>
    <row r="2073" customFormat="false" ht="15" hidden="false" customHeight="false" outlineLevel="0" collapsed="false">
      <c r="A2073" s="2" t="n">
        <v>2069</v>
      </c>
      <c r="B2073" s="2" t="s">
        <v>6149</v>
      </c>
      <c r="C2073" s="2" t="s">
        <v>6150</v>
      </c>
      <c r="D2073" s="2" t="s">
        <v>6151</v>
      </c>
      <c r="E2073" s="2" t="str">
        <f aca="false">LEFT(C2073,3)</f>
        <v>812</v>
      </c>
      <c r="F2073" s="2" t="str">
        <f aca="false">IF(D2073="","",LEFT(D2073,3))</f>
        <v>822</v>
      </c>
      <c r="G2073" s="2" t="str">
        <f aca="false">IF(F2073="","",IF(E2073=F2073,"Yes","No"))</f>
        <v>No</v>
      </c>
      <c r="H2073" s="2" t="n">
        <f aca="false">IF(D2073="",0,1/COUNTIF($D$2:$D$3451,D2073))</f>
        <v>1</v>
      </c>
      <c r="I2073" s="13" t="n">
        <f aca="false">IFERROR(INDEX('NCO-2015 scores'!$C$2:$C$131,MATCH(E2073,'NCO-2015 scores'!$A$2:$A$131,0)),0)</f>
        <v>0.23</v>
      </c>
      <c r="J2073" s="13" t="n">
        <f aca="false">IF(ISNUMBER(MATCH(E2073,'NCO-2015 scores'!$A$2:$A$131,0)),IF(ISNUMBER(INDEX('NCO-2015 scores'!$C$2:$C$131,MATCH(E2073,'NCO-2015 scores'!$A$2:$A$131,0))),1,0),0)</f>
        <v>1</v>
      </c>
    </row>
    <row r="2074" customFormat="false" ht="15" hidden="false" customHeight="false" outlineLevel="0" collapsed="false">
      <c r="A2074" s="2" t="n">
        <v>2070</v>
      </c>
      <c r="B2074" s="2" t="s">
        <v>6152</v>
      </c>
      <c r="C2074" s="2" t="s">
        <v>6153</v>
      </c>
      <c r="D2074" s="2" t="s">
        <v>6154</v>
      </c>
      <c r="E2074" s="2" t="str">
        <f aca="false">LEFT(C2074,3)</f>
        <v>812</v>
      </c>
      <c r="F2074" s="2" t="str">
        <f aca="false">IF(D2074="","",LEFT(D2074,3))</f>
        <v>822</v>
      </c>
      <c r="G2074" s="2" t="str">
        <f aca="false">IF(F2074="","",IF(E2074=F2074,"Yes","No"))</f>
        <v>No</v>
      </c>
      <c r="H2074" s="2" t="n">
        <f aca="false">IF(D2074="",0,1/COUNTIF($D$2:$D$3451,D2074))</f>
        <v>1</v>
      </c>
      <c r="I2074" s="13" t="n">
        <f aca="false">IFERROR(INDEX('NCO-2015 scores'!$C$2:$C$131,MATCH(E2074,'NCO-2015 scores'!$A$2:$A$131,0)),0)</f>
        <v>0.23</v>
      </c>
      <c r="J2074" s="13" t="n">
        <f aca="false">IF(ISNUMBER(MATCH(E2074,'NCO-2015 scores'!$A$2:$A$131,0)),IF(ISNUMBER(INDEX('NCO-2015 scores'!$C$2:$C$131,MATCH(E2074,'NCO-2015 scores'!$A$2:$A$131,0))),1,0),0)</f>
        <v>1</v>
      </c>
    </row>
    <row r="2075" customFormat="false" ht="15" hidden="false" customHeight="false" outlineLevel="0" collapsed="false">
      <c r="A2075" s="2" t="n">
        <v>2071</v>
      </c>
      <c r="B2075" s="2" t="s">
        <v>6155</v>
      </c>
      <c r="C2075" s="2" t="s">
        <v>6156</v>
      </c>
      <c r="D2075" s="2" t="s">
        <v>6157</v>
      </c>
      <c r="E2075" s="2" t="str">
        <f aca="false">LEFT(C2075,3)</f>
        <v>812</v>
      </c>
      <c r="F2075" s="2" t="str">
        <f aca="false">IF(D2075="","",LEFT(D2075,3))</f>
        <v>822</v>
      </c>
      <c r="G2075" s="2" t="str">
        <f aca="false">IF(F2075="","",IF(E2075=F2075,"Yes","No"))</f>
        <v>No</v>
      </c>
      <c r="H2075" s="2" t="n">
        <f aca="false">IF(D2075="",0,1/COUNTIF($D$2:$D$3451,D2075))</f>
        <v>1</v>
      </c>
      <c r="I2075" s="13" t="n">
        <f aca="false">IFERROR(INDEX('NCO-2015 scores'!$C$2:$C$131,MATCH(E2075,'NCO-2015 scores'!$A$2:$A$131,0)),0)</f>
        <v>0.23</v>
      </c>
      <c r="J2075" s="13" t="n">
        <f aca="false">IF(ISNUMBER(MATCH(E2075,'NCO-2015 scores'!$A$2:$A$131,0)),IF(ISNUMBER(INDEX('NCO-2015 scores'!$C$2:$C$131,MATCH(E2075,'NCO-2015 scores'!$A$2:$A$131,0))),1,0),0)</f>
        <v>1</v>
      </c>
    </row>
    <row r="2076" customFormat="false" ht="15" hidden="false" customHeight="false" outlineLevel="0" collapsed="false">
      <c r="A2076" s="2" t="n">
        <v>2072</v>
      </c>
      <c r="B2076" s="2" t="s">
        <v>6158</v>
      </c>
      <c r="C2076" s="2" t="s">
        <v>6159</v>
      </c>
      <c r="D2076" s="2"/>
      <c r="E2076" s="2" t="str">
        <f aca="false">LEFT(C2076,3)</f>
        <v>721</v>
      </c>
      <c r="F2076" s="2" t="str">
        <f aca="false">IF(D2076="","",LEFT(D2076,3))</f>
        <v/>
      </c>
      <c r="G2076" s="2" t="str">
        <f aca="false">IF(F2076="","",IF(E2076=F2076,"Yes","No"))</f>
        <v/>
      </c>
      <c r="H2076" s="2" t="n">
        <f aca="false">IF(D2076="",0,1/COUNTIF($D$2:$D$3451,D2076))</f>
        <v>0</v>
      </c>
      <c r="I2076" s="13" t="n">
        <f aca="false">IFERROR(INDEX('NCO-2015 scores'!$C$2:$C$131,MATCH(E2076,'NCO-2015 scores'!$A$2:$A$131,0)),0)</f>
        <v>0.142</v>
      </c>
      <c r="J2076" s="13" t="n">
        <f aca="false">IF(ISNUMBER(MATCH(E2076,'NCO-2015 scores'!$A$2:$A$131,0)),IF(ISNUMBER(INDEX('NCO-2015 scores'!$C$2:$C$131,MATCH(E2076,'NCO-2015 scores'!$A$2:$A$131,0))),1,0),0)</f>
        <v>1</v>
      </c>
    </row>
    <row r="2077" customFormat="false" ht="15" hidden="false" customHeight="false" outlineLevel="0" collapsed="false">
      <c r="A2077" s="2" t="n">
        <v>2073</v>
      </c>
      <c r="B2077" s="2" t="s">
        <v>6160</v>
      </c>
      <c r="C2077" s="2" t="s">
        <v>6161</v>
      </c>
      <c r="D2077" s="2" t="s">
        <v>6162</v>
      </c>
      <c r="E2077" s="2" t="str">
        <f aca="false">LEFT(C2077,3)</f>
        <v>721</v>
      </c>
      <c r="F2077" s="2" t="str">
        <f aca="false">IF(D2077="","",LEFT(D2077,3))</f>
        <v>721</v>
      </c>
      <c r="G2077" s="2" t="str">
        <f aca="false">IF(F2077="","",IF(E2077=F2077,"Yes","No"))</f>
        <v>Yes</v>
      </c>
      <c r="H2077" s="2" t="n">
        <f aca="false">IF(D2077="",0,1/COUNTIF($D$2:$D$3451,D2077))</f>
        <v>1</v>
      </c>
      <c r="I2077" s="13" t="n">
        <f aca="false">IFERROR(INDEX('NCO-2015 scores'!$C$2:$C$131,MATCH(E2077,'NCO-2015 scores'!$A$2:$A$131,0)),0)</f>
        <v>0.142</v>
      </c>
      <c r="J2077" s="13" t="n">
        <f aca="false">IF(ISNUMBER(MATCH(E2077,'NCO-2015 scores'!$A$2:$A$131,0)),IF(ISNUMBER(INDEX('NCO-2015 scores'!$C$2:$C$131,MATCH(E2077,'NCO-2015 scores'!$A$2:$A$131,0))),1,0),0)</f>
        <v>1</v>
      </c>
    </row>
    <row r="2078" customFormat="false" ht="15" hidden="false" customHeight="false" outlineLevel="0" collapsed="false">
      <c r="A2078" s="2" t="n">
        <v>2074</v>
      </c>
      <c r="B2078" s="2" t="s">
        <v>6163</v>
      </c>
      <c r="C2078" s="2" t="s">
        <v>6164</v>
      </c>
      <c r="D2078" s="2" t="s">
        <v>6165</v>
      </c>
      <c r="E2078" s="2" t="str">
        <f aca="false">LEFT(C2078,3)</f>
        <v>721</v>
      </c>
      <c r="F2078" s="2" t="str">
        <f aca="false">IF(D2078="","",LEFT(D2078,3))</f>
        <v>721</v>
      </c>
      <c r="G2078" s="2" t="str">
        <f aca="false">IF(F2078="","",IF(E2078=F2078,"Yes","No"))</f>
        <v>Yes</v>
      </c>
      <c r="H2078" s="2" t="n">
        <f aca="false">IF(D2078="",0,1/COUNTIF($D$2:$D$3451,D2078))</f>
        <v>1</v>
      </c>
      <c r="I2078" s="13" t="n">
        <f aca="false">IFERROR(INDEX('NCO-2015 scores'!$C$2:$C$131,MATCH(E2078,'NCO-2015 scores'!$A$2:$A$131,0)),0)</f>
        <v>0.142</v>
      </c>
      <c r="J2078" s="13" t="n">
        <f aca="false">IF(ISNUMBER(MATCH(E2078,'NCO-2015 scores'!$A$2:$A$131,0)),IF(ISNUMBER(INDEX('NCO-2015 scores'!$C$2:$C$131,MATCH(E2078,'NCO-2015 scores'!$A$2:$A$131,0))),1,0),0)</f>
        <v>1</v>
      </c>
    </row>
    <row r="2079" customFormat="false" ht="15" hidden="false" customHeight="false" outlineLevel="0" collapsed="false">
      <c r="A2079" s="2" t="n">
        <v>2075</v>
      </c>
      <c r="B2079" s="2" t="s">
        <v>6166</v>
      </c>
      <c r="C2079" s="2" t="s">
        <v>6167</v>
      </c>
      <c r="D2079" s="2" t="s">
        <v>6168</v>
      </c>
      <c r="E2079" s="2" t="str">
        <f aca="false">LEFT(C2079,3)</f>
        <v>721</v>
      </c>
      <c r="F2079" s="2" t="str">
        <f aca="false">IF(D2079="","",LEFT(D2079,3))</f>
        <v>721</v>
      </c>
      <c r="G2079" s="2" t="str">
        <f aca="false">IF(F2079="","",IF(E2079=F2079,"Yes","No"))</f>
        <v>Yes</v>
      </c>
      <c r="H2079" s="2" t="n">
        <f aca="false">IF(D2079="",0,1/COUNTIF($D$2:$D$3451,D2079))</f>
        <v>1</v>
      </c>
      <c r="I2079" s="13" t="n">
        <f aca="false">IFERROR(INDEX('NCO-2015 scores'!$C$2:$C$131,MATCH(E2079,'NCO-2015 scores'!$A$2:$A$131,0)),0)</f>
        <v>0.142</v>
      </c>
      <c r="J2079" s="13" t="n">
        <f aca="false">IF(ISNUMBER(MATCH(E2079,'NCO-2015 scores'!$A$2:$A$131,0)),IF(ISNUMBER(INDEX('NCO-2015 scores'!$C$2:$C$131,MATCH(E2079,'NCO-2015 scores'!$A$2:$A$131,0))),1,0),0)</f>
        <v>1</v>
      </c>
    </row>
    <row r="2080" customFormat="false" ht="15" hidden="false" customHeight="false" outlineLevel="0" collapsed="false">
      <c r="A2080" s="2" t="n">
        <v>2076</v>
      </c>
      <c r="B2080" s="2" t="s">
        <v>6169</v>
      </c>
      <c r="C2080" s="2" t="s">
        <v>6170</v>
      </c>
      <c r="D2080" s="2" t="s">
        <v>6171</v>
      </c>
      <c r="E2080" s="2" t="str">
        <f aca="false">LEFT(C2080,3)</f>
        <v>721</v>
      </c>
      <c r="F2080" s="2" t="str">
        <f aca="false">IF(D2080="","",LEFT(D2080,3))</f>
        <v>721</v>
      </c>
      <c r="G2080" s="2" t="str">
        <f aca="false">IF(F2080="","",IF(E2080=F2080,"Yes","No"))</f>
        <v>Yes</v>
      </c>
      <c r="H2080" s="2" t="n">
        <f aca="false">IF(D2080="",0,1/COUNTIF($D$2:$D$3451,D2080))</f>
        <v>1</v>
      </c>
      <c r="I2080" s="13" t="n">
        <f aca="false">IFERROR(INDEX('NCO-2015 scores'!$C$2:$C$131,MATCH(E2080,'NCO-2015 scores'!$A$2:$A$131,0)),0)</f>
        <v>0.142</v>
      </c>
      <c r="J2080" s="13" t="n">
        <f aca="false">IF(ISNUMBER(MATCH(E2080,'NCO-2015 scores'!$A$2:$A$131,0)),IF(ISNUMBER(INDEX('NCO-2015 scores'!$C$2:$C$131,MATCH(E2080,'NCO-2015 scores'!$A$2:$A$131,0))),1,0),0)</f>
        <v>1</v>
      </c>
    </row>
    <row r="2081" customFormat="false" ht="15" hidden="false" customHeight="false" outlineLevel="0" collapsed="false">
      <c r="A2081" s="2" t="n">
        <v>2077</v>
      </c>
      <c r="B2081" s="2" t="s">
        <v>6172</v>
      </c>
      <c r="C2081" s="2" t="s">
        <v>6173</v>
      </c>
      <c r="D2081" s="2"/>
      <c r="E2081" s="2" t="str">
        <f aca="false">LEFT(C2081,3)</f>
        <v>721</v>
      </c>
      <c r="F2081" s="2" t="str">
        <f aca="false">IF(D2081="","",LEFT(D2081,3))</f>
        <v/>
      </c>
      <c r="G2081" s="2" t="str">
        <f aca="false">IF(F2081="","",IF(E2081=F2081,"Yes","No"))</f>
        <v/>
      </c>
      <c r="H2081" s="2" t="n">
        <f aca="false">IF(D2081="",0,1/COUNTIF($D$2:$D$3451,D2081))</f>
        <v>0</v>
      </c>
      <c r="I2081" s="13" t="n">
        <f aca="false">IFERROR(INDEX('NCO-2015 scores'!$C$2:$C$131,MATCH(E2081,'NCO-2015 scores'!$A$2:$A$131,0)),0)</f>
        <v>0.142</v>
      </c>
      <c r="J2081" s="13" t="n">
        <f aca="false">IF(ISNUMBER(MATCH(E2081,'NCO-2015 scores'!$A$2:$A$131,0)),IF(ISNUMBER(INDEX('NCO-2015 scores'!$C$2:$C$131,MATCH(E2081,'NCO-2015 scores'!$A$2:$A$131,0))),1,0),0)</f>
        <v>1</v>
      </c>
    </row>
    <row r="2082" customFormat="false" ht="15" hidden="false" customHeight="false" outlineLevel="0" collapsed="false">
      <c r="A2082" s="2" t="n">
        <v>2078</v>
      </c>
      <c r="B2082" s="2" t="s">
        <v>6174</v>
      </c>
      <c r="C2082" s="2" t="s">
        <v>6175</v>
      </c>
      <c r="D2082" s="2" t="s">
        <v>6176</v>
      </c>
      <c r="E2082" s="2" t="str">
        <f aca="false">LEFT(C2082,3)</f>
        <v>721</v>
      </c>
      <c r="F2082" s="2" t="str">
        <f aca="false">IF(D2082="","",LEFT(D2082,3))</f>
        <v>721</v>
      </c>
      <c r="G2082" s="2" t="str">
        <f aca="false">IF(F2082="","",IF(E2082=F2082,"Yes","No"))</f>
        <v>Yes</v>
      </c>
      <c r="H2082" s="2" t="n">
        <f aca="false">IF(D2082="",0,1/COUNTIF($D$2:$D$3451,D2082))</f>
        <v>1</v>
      </c>
      <c r="I2082" s="13" t="n">
        <f aca="false">IFERROR(INDEX('NCO-2015 scores'!$C$2:$C$131,MATCH(E2082,'NCO-2015 scores'!$A$2:$A$131,0)),0)</f>
        <v>0.142</v>
      </c>
      <c r="J2082" s="13" t="n">
        <f aca="false">IF(ISNUMBER(MATCH(E2082,'NCO-2015 scores'!$A$2:$A$131,0)),IF(ISNUMBER(INDEX('NCO-2015 scores'!$C$2:$C$131,MATCH(E2082,'NCO-2015 scores'!$A$2:$A$131,0))),1,0),0)</f>
        <v>1</v>
      </c>
    </row>
    <row r="2083" customFormat="false" ht="15" hidden="false" customHeight="false" outlineLevel="0" collapsed="false">
      <c r="A2083" s="2" t="n">
        <v>2079</v>
      </c>
      <c r="B2083" s="2" t="s">
        <v>6177</v>
      </c>
      <c r="C2083" s="2" t="s">
        <v>6178</v>
      </c>
      <c r="D2083" s="2" t="s">
        <v>6179</v>
      </c>
      <c r="E2083" s="2" t="str">
        <f aca="false">LEFT(C2083,3)</f>
        <v>721</v>
      </c>
      <c r="F2083" s="2" t="str">
        <f aca="false">IF(D2083="","",LEFT(D2083,3))</f>
        <v>721</v>
      </c>
      <c r="G2083" s="2" t="str">
        <f aca="false">IF(F2083="","",IF(E2083=F2083,"Yes","No"))</f>
        <v>Yes</v>
      </c>
      <c r="H2083" s="2" t="n">
        <f aca="false">IF(D2083="",0,1/COUNTIF($D$2:$D$3451,D2083))</f>
        <v>1</v>
      </c>
      <c r="I2083" s="13" t="n">
        <f aca="false">IFERROR(INDEX('NCO-2015 scores'!$C$2:$C$131,MATCH(E2083,'NCO-2015 scores'!$A$2:$A$131,0)),0)</f>
        <v>0.142</v>
      </c>
      <c r="J2083" s="13" t="n">
        <f aca="false">IF(ISNUMBER(MATCH(E2083,'NCO-2015 scores'!$A$2:$A$131,0)),IF(ISNUMBER(INDEX('NCO-2015 scores'!$C$2:$C$131,MATCH(E2083,'NCO-2015 scores'!$A$2:$A$131,0))),1,0),0)</f>
        <v>1</v>
      </c>
    </row>
    <row r="2084" customFormat="false" ht="15" hidden="false" customHeight="false" outlineLevel="0" collapsed="false">
      <c r="A2084" s="2" t="n">
        <v>2080</v>
      </c>
      <c r="B2084" s="2" t="s">
        <v>6180</v>
      </c>
      <c r="C2084" s="2" t="s">
        <v>6181</v>
      </c>
      <c r="D2084" s="2" t="s">
        <v>6182</v>
      </c>
      <c r="E2084" s="2" t="str">
        <f aca="false">LEFT(C2084,3)</f>
        <v>721</v>
      </c>
      <c r="F2084" s="2" t="str">
        <f aca="false">IF(D2084="","",LEFT(D2084,3))</f>
        <v>721</v>
      </c>
      <c r="G2084" s="2" t="str">
        <f aca="false">IF(F2084="","",IF(E2084=F2084,"Yes","No"))</f>
        <v>Yes</v>
      </c>
      <c r="H2084" s="2" t="n">
        <f aca="false">IF(D2084="",0,1/COUNTIF($D$2:$D$3451,D2084))</f>
        <v>1</v>
      </c>
      <c r="I2084" s="13" t="n">
        <f aca="false">IFERROR(INDEX('NCO-2015 scores'!$C$2:$C$131,MATCH(E2084,'NCO-2015 scores'!$A$2:$A$131,0)),0)</f>
        <v>0.142</v>
      </c>
      <c r="J2084" s="13" t="n">
        <f aca="false">IF(ISNUMBER(MATCH(E2084,'NCO-2015 scores'!$A$2:$A$131,0)),IF(ISNUMBER(INDEX('NCO-2015 scores'!$C$2:$C$131,MATCH(E2084,'NCO-2015 scores'!$A$2:$A$131,0))),1,0),0)</f>
        <v>1</v>
      </c>
    </row>
    <row r="2085" customFormat="false" ht="15" hidden="false" customHeight="false" outlineLevel="0" collapsed="false">
      <c r="A2085" s="2" t="n">
        <v>2081</v>
      </c>
      <c r="B2085" s="2" t="s">
        <v>6183</v>
      </c>
      <c r="C2085" s="2" t="s">
        <v>6184</v>
      </c>
      <c r="D2085" s="2"/>
      <c r="E2085" s="2" t="str">
        <f aca="false">LEFT(C2085,3)</f>
        <v>721</v>
      </c>
      <c r="F2085" s="2" t="str">
        <f aca="false">IF(D2085="","",LEFT(D2085,3))</f>
        <v/>
      </c>
      <c r="G2085" s="2" t="str">
        <f aca="false">IF(F2085="","",IF(E2085=F2085,"Yes","No"))</f>
        <v/>
      </c>
      <c r="H2085" s="2" t="n">
        <f aca="false">IF(D2085="",0,1/COUNTIF($D$2:$D$3451,D2085))</f>
        <v>0</v>
      </c>
      <c r="I2085" s="13" t="n">
        <f aca="false">IFERROR(INDEX('NCO-2015 scores'!$C$2:$C$131,MATCH(E2085,'NCO-2015 scores'!$A$2:$A$131,0)),0)</f>
        <v>0.142</v>
      </c>
      <c r="J2085" s="13" t="n">
        <f aca="false">IF(ISNUMBER(MATCH(E2085,'NCO-2015 scores'!$A$2:$A$131,0)),IF(ISNUMBER(INDEX('NCO-2015 scores'!$C$2:$C$131,MATCH(E2085,'NCO-2015 scores'!$A$2:$A$131,0))),1,0),0)</f>
        <v>1</v>
      </c>
    </row>
    <row r="2086" customFormat="false" ht="15" hidden="false" customHeight="false" outlineLevel="0" collapsed="false">
      <c r="A2086" s="2" t="n">
        <v>2082</v>
      </c>
      <c r="B2086" s="2" t="s">
        <v>6185</v>
      </c>
      <c r="C2086" s="2" t="s">
        <v>6186</v>
      </c>
      <c r="D2086" s="2" t="s">
        <v>6187</v>
      </c>
      <c r="E2086" s="2" t="str">
        <f aca="false">LEFT(C2086,3)</f>
        <v>722</v>
      </c>
      <c r="F2086" s="2" t="str">
        <f aca="false">IF(D2086="","",LEFT(D2086,3))</f>
        <v>722</v>
      </c>
      <c r="G2086" s="2" t="str">
        <f aca="false">IF(F2086="","",IF(E2086=F2086,"Yes","No"))</f>
        <v>Yes</v>
      </c>
      <c r="H2086" s="2" t="n">
        <f aca="false">IF(D2086="",0,1/COUNTIF($D$2:$D$3451,D2086))</f>
        <v>1</v>
      </c>
      <c r="I2086" s="13" t="n">
        <f aca="false">IFERROR(INDEX('NCO-2015 scores'!$C$2:$C$131,MATCH(E2086,'NCO-2015 scores'!$A$2:$A$131,0)),0)</f>
        <v>0.18</v>
      </c>
      <c r="J2086" s="13" t="n">
        <f aca="false">IF(ISNUMBER(MATCH(E2086,'NCO-2015 scores'!$A$2:$A$131,0)),IF(ISNUMBER(INDEX('NCO-2015 scores'!$C$2:$C$131,MATCH(E2086,'NCO-2015 scores'!$A$2:$A$131,0))),1,0),0)</f>
        <v>1</v>
      </c>
    </row>
    <row r="2087" customFormat="false" ht="15" hidden="false" customHeight="false" outlineLevel="0" collapsed="false">
      <c r="A2087" s="2" t="n">
        <v>2083</v>
      </c>
      <c r="B2087" s="2" t="s">
        <v>6188</v>
      </c>
      <c r="C2087" s="2" t="s">
        <v>6189</v>
      </c>
      <c r="D2087" s="2" t="s">
        <v>6190</v>
      </c>
      <c r="E2087" s="2" t="str">
        <f aca="false">LEFT(C2087,3)</f>
        <v>722</v>
      </c>
      <c r="F2087" s="2" t="str">
        <f aca="false">IF(D2087="","",LEFT(D2087,3))</f>
        <v>722</v>
      </c>
      <c r="G2087" s="2" t="str">
        <f aca="false">IF(F2087="","",IF(E2087=F2087,"Yes","No"))</f>
        <v>Yes</v>
      </c>
      <c r="H2087" s="2" t="n">
        <f aca="false">IF(D2087="",0,1/COUNTIF($D$2:$D$3451,D2087))</f>
        <v>1</v>
      </c>
      <c r="I2087" s="13" t="n">
        <f aca="false">IFERROR(INDEX('NCO-2015 scores'!$C$2:$C$131,MATCH(E2087,'NCO-2015 scores'!$A$2:$A$131,0)),0)</f>
        <v>0.18</v>
      </c>
      <c r="J2087" s="13" t="n">
        <f aca="false">IF(ISNUMBER(MATCH(E2087,'NCO-2015 scores'!$A$2:$A$131,0)),IF(ISNUMBER(INDEX('NCO-2015 scores'!$C$2:$C$131,MATCH(E2087,'NCO-2015 scores'!$A$2:$A$131,0))),1,0),0)</f>
        <v>1</v>
      </c>
    </row>
    <row r="2088" customFormat="false" ht="15" hidden="false" customHeight="false" outlineLevel="0" collapsed="false">
      <c r="A2088" s="2" t="n">
        <v>2084</v>
      </c>
      <c r="B2088" s="2" t="s">
        <v>6191</v>
      </c>
      <c r="C2088" s="2" t="s">
        <v>6192</v>
      </c>
      <c r="D2088" s="2" t="s">
        <v>6193</v>
      </c>
      <c r="E2088" s="2" t="str">
        <f aca="false">LEFT(C2088,3)</f>
        <v>722</v>
      </c>
      <c r="F2088" s="2" t="str">
        <f aca="false">IF(D2088="","",LEFT(D2088,3))</f>
        <v>722</v>
      </c>
      <c r="G2088" s="2" t="str">
        <f aca="false">IF(F2088="","",IF(E2088=F2088,"Yes","No"))</f>
        <v>Yes</v>
      </c>
      <c r="H2088" s="2" t="n">
        <f aca="false">IF(D2088="",0,1/COUNTIF($D$2:$D$3451,D2088))</f>
        <v>1</v>
      </c>
      <c r="I2088" s="13" t="n">
        <f aca="false">IFERROR(INDEX('NCO-2015 scores'!$C$2:$C$131,MATCH(E2088,'NCO-2015 scores'!$A$2:$A$131,0)),0)</f>
        <v>0.18</v>
      </c>
      <c r="J2088" s="13" t="n">
        <f aca="false">IF(ISNUMBER(MATCH(E2088,'NCO-2015 scores'!$A$2:$A$131,0)),IF(ISNUMBER(INDEX('NCO-2015 scores'!$C$2:$C$131,MATCH(E2088,'NCO-2015 scores'!$A$2:$A$131,0))),1,0),0)</f>
        <v>1</v>
      </c>
    </row>
    <row r="2089" customFormat="false" ht="15" hidden="false" customHeight="false" outlineLevel="0" collapsed="false">
      <c r="A2089" s="2" t="n">
        <v>2085</v>
      </c>
      <c r="B2089" s="2" t="s">
        <v>6194</v>
      </c>
      <c r="C2089" s="2" t="s">
        <v>6195</v>
      </c>
      <c r="D2089" s="2" t="s">
        <v>6196</v>
      </c>
      <c r="E2089" s="2" t="str">
        <f aca="false">LEFT(C2089,3)</f>
        <v>722</v>
      </c>
      <c r="F2089" s="2" t="str">
        <f aca="false">IF(D2089="","",LEFT(D2089,3))</f>
        <v>722</v>
      </c>
      <c r="G2089" s="2" t="str">
        <f aca="false">IF(F2089="","",IF(E2089=F2089,"Yes","No"))</f>
        <v>Yes</v>
      </c>
      <c r="H2089" s="2" t="n">
        <f aca="false">IF(D2089="",0,1/COUNTIF($D$2:$D$3451,D2089))</f>
        <v>1</v>
      </c>
      <c r="I2089" s="13" t="n">
        <f aca="false">IFERROR(INDEX('NCO-2015 scores'!$C$2:$C$131,MATCH(E2089,'NCO-2015 scores'!$A$2:$A$131,0)),0)</f>
        <v>0.18</v>
      </c>
      <c r="J2089" s="13" t="n">
        <f aca="false">IF(ISNUMBER(MATCH(E2089,'NCO-2015 scores'!$A$2:$A$131,0)),IF(ISNUMBER(INDEX('NCO-2015 scores'!$C$2:$C$131,MATCH(E2089,'NCO-2015 scores'!$A$2:$A$131,0))),1,0),0)</f>
        <v>1</v>
      </c>
    </row>
    <row r="2090" customFormat="false" ht="15" hidden="false" customHeight="false" outlineLevel="0" collapsed="false">
      <c r="A2090" s="2" t="n">
        <v>2086</v>
      </c>
      <c r="B2090" s="2" t="s">
        <v>6197</v>
      </c>
      <c r="C2090" s="2" t="s">
        <v>6198</v>
      </c>
      <c r="D2090" s="2" t="s">
        <v>6199</v>
      </c>
      <c r="E2090" s="2" t="str">
        <f aca="false">LEFT(C2090,3)</f>
        <v>722</v>
      </c>
      <c r="F2090" s="2" t="str">
        <f aca="false">IF(D2090="","",LEFT(D2090,3))</f>
        <v>722</v>
      </c>
      <c r="G2090" s="2" t="str">
        <f aca="false">IF(F2090="","",IF(E2090=F2090,"Yes","No"))</f>
        <v>Yes</v>
      </c>
      <c r="H2090" s="2" t="n">
        <f aca="false">IF(D2090="",0,1/COUNTIF($D$2:$D$3451,D2090))</f>
        <v>1</v>
      </c>
      <c r="I2090" s="13" t="n">
        <f aca="false">IFERROR(INDEX('NCO-2015 scores'!$C$2:$C$131,MATCH(E2090,'NCO-2015 scores'!$A$2:$A$131,0)),0)</f>
        <v>0.18</v>
      </c>
      <c r="J2090" s="13" t="n">
        <f aca="false">IF(ISNUMBER(MATCH(E2090,'NCO-2015 scores'!$A$2:$A$131,0)),IF(ISNUMBER(INDEX('NCO-2015 scores'!$C$2:$C$131,MATCH(E2090,'NCO-2015 scores'!$A$2:$A$131,0))),1,0),0)</f>
        <v>1</v>
      </c>
    </row>
    <row r="2091" customFormat="false" ht="15" hidden="false" customHeight="false" outlineLevel="0" collapsed="false">
      <c r="A2091" s="2" t="n">
        <v>2087</v>
      </c>
      <c r="B2091" s="2" t="s">
        <v>6200</v>
      </c>
      <c r="C2091" s="2" t="s">
        <v>6201</v>
      </c>
      <c r="D2091" s="2" t="s">
        <v>6202</v>
      </c>
      <c r="E2091" s="2" t="str">
        <f aca="false">LEFT(C2091,3)</f>
        <v>722</v>
      </c>
      <c r="F2091" s="2" t="str">
        <f aca="false">IF(D2091="","",LEFT(D2091,3))</f>
        <v>722</v>
      </c>
      <c r="G2091" s="2" t="str">
        <f aca="false">IF(F2091="","",IF(E2091=F2091,"Yes","No"))</f>
        <v>Yes</v>
      </c>
      <c r="H2091" s="2" t="n">
        <f aca="false">IF(D2091="",0,1/COUNTIF($D$2:$D$3451,D2091))</f>
        <v>1</v>
      </c>
      <c r="I2091" s="13" t="n">
        <f aca="false">IFERROR(INDEX('NCO-2015 scores'!$C$2:$C$131,MATCH(E2091,'NCO-2015 scores'!$A$2:$A$131,0)),0)</f>
        <v>0.18</v>
      </c>
      <c r="J2091" s="13" t="n">
        <f aca="false">IF(ISNUMBER(MATCH(E2091,'NCO-2015 scores'!$A$2:$A$131,0)),IF(ISNUMBER(INDEX('NCO-2015 scores'!$C$2:$C$131,MATCH(E2091,'NCO-2015 scores'!$A$2:$A$131,0))),1,0),0)</f>
        <v>1</v>
      </c>
    </row>
    <row r="2092" customFormat="false" ht="15" hidden="false" customHeight="false" outlineLevel="0" collapsed="false">
      <c r="A2092" s="2" t="n">
        <v>2088</v>
      </c>
      <c r="B2092" s="2" t="s">
        <v>6203</v>
      </c>
      <c r="C2092" s="2" t="s">
        <v>6204</v>
      </c>
      <c r="D2092" s="2" t="s">
        <v>6205</v>
      </c>
      <c r="E2092" s="2" t="str">
        <f aca="false">LEFT(C2092,3)</f>
        <v>722</v>
      </c>
      <c r="F2092" s="2" t="str">
        <f aca="false">IF(D2092="","",LEFT(D2092,3))</f>
        <v>722</v>
      </c>
      <c r="G2092" s="2" t="str">
        <f aca="false">IF(F2092="","",IF(E2092=F2092,"Yes","No"))</f>
        <v>Yes</v>
      </c>
      <c r="H2092" s="2" t="n">
        <f aca="false">IF(D2092="",0,1/COUNTIF($D$2:$D$3451,D2092))</f>
        <v>1</v>
      </c>
      <c r="I2092" s="13" t="n">
        <f aca="false">IFERROR(INDEX('NCO-2015 scores'!$C$2:$C$131,MATCH(E2092,'NCO-2015 scores'!$A$2:$A$131,0)),0)</f>
        <v>0.18</v>
      </c>
      <c r="J2092" s="13" t="n">
        <f aca="false">IF(ISNUMBER(MATCH(E2092,'NCO-2015 scores'!$A$2:$A$131,0)),IF(ISNUMBER(INDEX('NCO-2015 scores'!$C$2:$C$131,MATCH(E2092,'NCO-2015 scores'!$A$2:$A$131,0))),1,0),0)</f>
        <v>1</v>
      </c>
    </row>
    <row r="2093" customFormat="false" ht="15" hidden="false" customHeight="false" outlineLevel="0" collapsed="false">
      <c r="A2093" s="2" t="n">
        <v>2089</v>
      </c>
      <c r="B2093" s="2" t="s">
        <v>6206</v>
      </c>
      <c r="C2093" s="2" t="s">
        <v>6207</v>
      </c>
      <c r="D2093" s="2"/>
      <c r="E2093" s="2" t="str">
        <f aca="false">LEFT(C2093,3)</f>
        <v>722</v>
      </c>
      <c r="F2093" s="2" t="str">
        <f aca="false">IF(D2093="","",LEFT(D2093,3))</f>
        <v/>
      </c>
      <c r="G2093" s="2" t="str">
        <f aca="false">IF(F2093="","",IF(E2093=F2093,"Yes","No"))</f>
        <v/>
      </c>
      <c r="H2093" s="2" t="n">
        <f aca="false">IF(D2093="",0,1/COUNTIF($D$2:$D$3451,D2093))</f>
        <v>0</v>
      </c>
      <c r="I2093" s="13" t="n">
        <f aca="false">IFERROR(INDEX('NCO-2015 scores'!$C$2:$C$131,MATCH(E2093,'NCO-2015 scores'!$A$2:$A$131,0)),0)</f>
        <v>0.18</v>
      </c>
      <c r="J2093" s="13" t="n">
        <f aca="false">IF(ISNUMBER(MATCH(E2093,'NCO-2015 scores'!$A$2:$A$131,0)),IF(ISNUMBER(INDEX('NCO-2015 scores'!$C$2:$C$131,MATCH(E2093,'NCO-2015 scores'!$A$2:$A$131,0))),1,0),0)</f>
        <v>1</v>
      </c>
    </row>
    <row r="2094" customFormat="false" ht="15" hidden="false" customHeight="false" outlineLevel="0" collapsed="false">
      <c r="A2094" s="2" t="n">
        <v>2090</v>
      </c>
      <c r="B2094" s="2" t="s">
        <v>6208</v>
      </c>
      <c r="C2094" s="2" t="s">
        <v>6209</v>
      </c>
      <c r="D2094" s="2" t="s">
        <v>6210</v>
      </c>
      <c r="E2094" s="2" t="str">
        <f aca="false">LEFT(C2094,3)</f>
        <v>722</v>
      </c>
      <c r="F2094" s="2" t="str">
        <f aca="false">IF(D2094="","",LEFT(D2094,3))</f>
        <v>722</v>
      </c>
      <c r="G2094" s="2" t="str">
        <f aca="false">IF(F2094="","",IF(E2094=F2094,"Yes","No"))</f>
        <v>Yes</v>
      </c>
      <c r="H2094" s="2" t="n">
        <f aca="false">IF(D2094="",0,1/COUNTIF($D$2:$D$3451,D2094))</f>
        <v>1</v>
      </c>
      <c r="I2094" s="13" t="n">
        <f aca="false">IFERROR(INDEX('NCO-2015 scores'!$C$2:$C$131,MATCH(E2094,'NCO-2015 scores'!$A$2:$A$131,0)),0)</f>
        <v>0.18</v>
      </c>
      <c r="J2094" s="13" t="n">
        <f aca="false">IF(ISNUMBER(MATCH(E2094,'NCO-2015 scores'!$A$2:$A$131,0)),IF(ISNUMBER(INDEX('NCO-2015 scores'!$C$2:$C$131,MATCH(E2094,'NCO-2015 scores'!$A$2:$A$131,0))),1,0),0)</f>
        <v>1</v>
      </c>
    </row>
    <row r="2095" customFormat="false" ht="15" hidden="false" customHeight="false" outlineLevel="0" collapsed="false">
      <c r="A2095" s="2" t="n">
        <v>2091</v>
      </c>
      <c r="B2095" s="2" t="s">
        <v>6211</v>
      </c>
      <c r="C2095" s="2" t="s">
        <v>6212</v>
      </c>
      <c r="D2095" s="2" t="s">
        <v>6213</v>
      </c>
      <c r="E2095" s="2" t="str">
        <f aca="false">LEFT(C2095,3)</f>
        <v>722</v>
      </c>
      <c r="F2095" s="2" t="str">
        <f aca="false">IF(D2095="","",LEFT(D2095,3))</f>
        <v>722</v>
      </c>
      <c r="G2095" s="2" t="str">
        <f aca="false">IF(F2095="","",IF(E2095=F2095,"Yes","No"))</f>
        <v>Yes</v>
      </c>
      <c r="H2095" s="2" t="n">
        <f aca="false">IF(D2095="",0,1/COUNTIF($D$2:$D$3451,D2095))</f>
        <v>1</v>
      </c>
      <c r="I2095" s="13" t="n">
        <f aca="false">IFERROR(INDEX('NCO-2015 scores'!$C$2:$C$131,MATCH(E2095,'NCO-2015 scores'!$A$2:$A$131,0)),0)</f>
        <v>0.18</v>
      </c>
      <c r="J2095" s="13" t="n">
        <f aca="false">IF(ISNUMBER(MATCH(E2095,'NCO-2015 scores'!$A$2:$A$131,0)),IF(ISNUMBER(INDEX('NCO-2015 scores'!$C$2:$C$131,MATCH(E2095,'NCO-2015 scores'!$A$2:$A$131,0))),1,0),0)</f>
        <v>1</v>
      </c>
    </row>
    <row r="2096" customFormat="false" ht="15" hidden="false" customHeight="false" outlineLevel="0" collapsed="false">
      <c r="A2096" s="2" t="n">
        <v>2092</v>
      </c>
      <c r="B2096" s="2" t="s">
        <v>6214</v>
      </c>
      <c r="C2096" s="2" t="s">
        <v>6215</v>
      </c>
      <c r="D2096" s="2" t="s">
        <v>6216</v>
      </c>
      <c r="E2096" s="2" t="str">
        <f aca="false">LEFT(C2096,3)</f>
        <v>722</v>
      </c>
      <c r="F2096" s="2" t="str">
        <f aca="false">IF(D2096="","",LEFT(D2096,3))</f>
        <v>722</v>
      </c>
      <c r="G2096" s="2" t="str">
        <f aca="false">IF(F2096="","",IF(E2096=F2096,"Yes","No"))</f>
        <v>Yes</v>
      </c>
      <c r="H2096" s="2" t="n">
        <f aca="false">IF(D2096="",0,1/COUNTIF($D$2:$D$3451,D2096))</f>
        <v>1</v>
      </c>
      <c r="I2096" s="13" t="n">
        <f aca="false">IFERROR(INDEX('NCO-2015 scores'!$C$2:$C$131,MATCH(E2096,'NCO-2015 scores'!$A$2:$A$131,0)),0)</f>
        <v>0.18</v>
      </c>
      <c r="J2096" s="13" t="n">
        <f aca="false">IF(ISNUMBER(MATCH(E2096,'NCO-2015 scores'!$A$2:$A$131,0)),IF(ISNUMBER(INDEX('NCO-2015 scores'!$C$2:$C$131,MATCH(E2096,'NCO-2015 scores'!$A$2:$A$131,0))),1,0),0)</f>
        <v>1</v>
      </c>
    </row>
    <row r="2097" customFormat="false" ht="15" hidden="false" customHeight="false" outlineLevel="0" collapsed="false">
      <c r="A2097" s="2" t="n">
        <v>2093</v>
      </c>
      <c r="B2097" s="2" t="s">
        <v>6217</v>
      </c>
      <c r="C2097" s="2" t="s">
        <v>6218</v>
      </c>
      <c r="D2097" s="2" t="s">
        <v>6219</v>
      </c>
      <c r="E2097" s="2" t="str">
        <f aca="false">LEFT(C2097,3)</f>
        <v>722</v>
      </c>
      <c r="F2097" s="2" t="str">
        <f aca="false">IF(D2097="","",LEFT(D2097,3))</f>
        <v>722</v>
      </c>
      <c r="G2097" s="2" t="str">
        <f aca="false">IF(F2097="","",IF(E2097=F2097,"Yes","No"))</f>
        <v>Yes</v>
      </c>
      <c r="H2097" s="2" t="n">
        <f aca="false">IF(D2097="",0,1/COUNTIF($D$2:$D$3451,D2097))</f>
        <v>1</v>
      </c>
      <c r="I2097" s="13" t="n">
        <f aca="false">IFERROR(INDEX('NCO-2015 scores'!$C$2:$C$131,MATCH(E2097,'NCO-2015 scores'!$A$2:$A$131,0)),0)</f>
        <v>0.18</v>
      </c>
      <c r="J2097" s="13" t="n">
        <f aca="false">IF(ISNUMBER(MATCH(E2097,'NCO-2015 scores'!$A$2:$A$131,0)),IF(ISNUMBER(INDEX('NCO-2015 scores'!$C$2:$C$131,MATCH(E2097,'NCO-2015 scores'!$A$2:$A$131,0))),1,0),0)</f>
        <v>1</v>
      </c>
    </row>
    <row r="2098" customFormat="false" ht="15" hidden="false" customHeight="false" outlineLevel="0" collapsed="false">
      <c r="A2098" s="2" t="n">
        <v>2094</v>
      </c>
      <c r="B2098" s="2" t="s">
        <v>6220</v>
      </c>
      <c r="C2098" s="2" t="s">
        <v>6221</v>
      </c>
      <c r="D2098" s="2"/>
      <c r="E2098" s="2" t="str">
        <f aca="false">LEFT(C2098,3)</f>
        <v>722</v>
      </c>
      <c r="F2098" s="2" t="str">
        <f aca="false">IF(D2098="","",LEFT(D2098,3))</f>
        <v/>
      </c>
      <c r="G2098" s="2" t="str">
        <f aca="false">IF(F2098="","",IF(E2098=F2098,"Yes","No"))</f>
        <v/>
      </c>
      <c r="H2098" s="2" t="n">
        <f aca="false">IF(D2098="",0,1/COUNTIF($D$2:$D$3451,D2098))</f>
        <v>0</v>
      </c>
      <c r="I2098" s="13" t="n">
        <f aca="false">IFERROR(INDEX('NCO-2015 scores'!$C$2:$C$131,MATCH(E2098,'NCO-2015 scores'!$A$2:$A$131,0)),0)</f>
        <v>0.18</v>
      </c>
      <c r="J2098" s="13" t="n">
        <f aca="false">IF(ISNUMBER(MATCH(E2098,'NCO-2015 scores'!$A$2:$A$131,0)),IF(ISNUMBER(INDEX('NCO-2015 scores'!$C$2:$C$131,MATCH(E2098,'NCO-2015 scores'!$A$2:$A$131,0))),1,0),0)</f>
        <v>1</v>
      </c>
    </row>
    <row r="2099" customFormat="false" ht="15" hidden="false" customHeight="false" outlineLevel="0" collapsed="false">
      <c r="A2099" s="2" t="n">
        <v>2095</v>
      </c>
      <c r="B2099" s="2" t="s">
        <v>6222</v>
      </c>
      <c r="C2099" s="2" t="s">
        <v>6223</v>
      </c>
      <c r="D2099" s="2"/>
      <c r="E2099" s="2" t="str">
        <f aca="false">LEFT(C2099,3)</f>
        <v>722</v>
      </c>
      <c r="F2099" s="2" t="str">
        <f aca="false">IF(D2099="","",LEFT(D2099,3))</f>
        <v/>
      </c>
      <c r="G2099" s="2" t="str">
        <f aca="false">IF(F2099="","",IF(E2099=F2099,"Yes","No"))</f>
        <v/>
      </c>
      <c r="H2099" s="2" t="n">
        <f aca="false">IF(D2099="",0,1/COUNTIF($D$2:$D$3451,D2099))</f>
        <v>0</v>
      </c>
      <c r="I2099" s="13" t="n">
        <f aca="false">IFERROR(INDEX('NCO-2015 scores'!$C$2:$C$131,MATCH(E2099,'NCO-2015 scores'!$A$2:$A$131,0)),0)</f>
        <v>0.18</v>
      </c>
      <c r="J2099" s="13" t="n">
        <f aca="false">IF(ISNUMBER(MATCH(E2099,'NCO-2015 scores'!$A$2:$A$131,0)),IF(ISNUMBER(INDEX('NCO-2015 scores'!$C$2:$C$131,MATCH(E2099,'NCO-2015 scores'!$A$2:$A$131,0))),1,0),0)</f>
        <v>1</v>
      </c>
    </row>
    <row r="2100" customFormat="false" ht="15" hidden="false" customHeight="false" outlineLevel="0" collapsed="false">
      <c r="A2100" s="2" t="n">
        <v>2096</v>
      </c>
      <c r="B2100" s="2" t="s">
        <v>6224</v>
      </c>
      <c r="C2100" s="2" t="s">
        <v>6225</v>
      </c>
      <c r="D2100" s="2"/>
      <c r="E2100" s="2" t="str">
        <f aca="false">LEFT(C2100,3)</f>
        <v>722</v>
      </c>
      <c r="F2100" s="2" t="str">
        <f aca="false">IF(D2100="","",LEFT(D2100,3))</f>
        <v/>
      </c>
      <c r="G2100" s="2" t="str">
        <f aca="false">IF(F2100="","",IF(E2100=F2100,"Yes","No"))</f>
        <v/>
      </c>
      <c r="H2100" s="2" t="n">
        <f aca="false">IF(D2100="",0,1/COUNTIF($D$2:$D$3451,D2100))</f>
        <v>0</v>
      </c>
      <c r="I2100" s="13" t="n">
        <f aca="false">IFERROR(INDEX('NCO-2015 scores'!$C$2:$C$131,MATCH(E2100,'NCO-2015 scores'!$A$2:$A$131,0)),0)</f>
        <v>0.18</v>
      </c>
      <c r="J2100" s="13" t="n">
        <f aca="false">IF(ISNUMBER(MATCH(E2100,'NCO-2015 scores'!$A$2:$A$131,0)),IF(ISNUMBER(INDEX('NCO-2015 scores'!$C$2:$C$131,MATCH(E2100,'NCO-2015 scores'!$A$2:$A$131,0))),1,0),0)</f>
        <v>1</v>
      </c>
    </row>
    <row r="2101" customFormat="false" ht="15" hidden="false" customHeight="false" outlineLevel="0" collapsed="false">
      <c r="A2101" s="2" t="n">
        <v>2097</v>
      </c>
      <c r="B2101" s="2" t="s">
        <v>6226</v>
      </c>
      <c r="C2101" s="2" t="s">
        <v>6227</v>
      </c>
      <c r="D2101" s="2" t="s">
        <v>6228</v>
      </c>
      <c r="E2101" s="2" t="str">
        <f aca="false">LEFT(C2101,3)</f>
        <v>812</v>
      </c>
      <c r="F2101" s="2" t="str">
        <f aca="false">IF(D2101="","",LEFT(D2101,3))</f>
        <v>812</v>
      </c>
      <c r="G2101" s="2" t="str">
        <f aca="false">IF(F2101="","",IF(E2101=F2101,"Yes","No"))</f>
        <v>Yes</v>
      </c>
      <c r="H2101" s="2" t="n">
        <f aca="false">IF(D2101="",0,1/COUNTIF($D$2:$D$3451,D2101))</f>
        <v>1</v>
      </c>
      <c r="I2101" s="13" t="n">
        <f aca="false">IFERROR(INDEX('NCO-2015 scores'!$C$2:$C$131,MATCH(E2101,'NCO-2015 scores'!$A$2:$A$131,0)),0)</f>
        <v>0.23</v>
      </c>
      <c r="J2101" s="13" t="n">
        <f aca="false">IF(ISNUMBER(MATCH(E2101,'NCO-2015 scores'!$A$2:$A$131,0)),IF(ISNUMBER(INDEX('NCO-2015 scores'!$C$2:$C$131,MATCH(E2101,'NCO-2015 scores'!$A$2:$A$131,0))),1,0),0)</f>
        <v>1</v>
      </c>
    </row>
    <row r="2102" customFormat="false" ht="15" hidden="false" customHeight="false" outlineLevel="0" collapsed="false">
      <c r="A2102" s="2" t="n">
        <v>2098</v>
      </c>
      <c r="B2102" s="2" t="s">
        <v>6229</v>
      </c>
      <c r="C2102" s="2" t="s">
        <v>6230</v>
      </c>
      <c r="D2102" s="2" t="s">
        <v>6231</v>
      </c>
      <c r="E2102" s="2" t="str">
        <f aca="false">LEFT(C2102,3)</f>
        <v>812</v>
      </c>
      <c r="F2102" s="2" t="str">
        <f aca="false">IF(D2102="","",LEFT(D2102,3))</f>
        <v>812</v>
      </c>
      <c r="G2102" s="2" t="str">
        <f aca="false">IF(F2102="","",IF(E2102=F2102,"Yes","No"))</f>
        <v>Yes</v>
      </c>
      <c r="H2102" s="2" t="n">
        <f aca="false">IF(D2102="",0,1/COUNTIF($D$2:$D$3451,D2102))</f>
        <v>1</v>
      </c>
      <c r="I2102" s="13" t="n">
        <f aca="false">IFERROR(INDEX('NCO-2015 scores'!$C$2:$C$131,MATCH(E2102,'NCO-2015 scores'!$A$2:$A$131,0)),0)</f>
        <v>0.23</v>
      </c>
      <c r="J2102" s="13" t="n">
        <f aca="false">IF(ISNUMBER(MATCH(E2102,'NCO-2015 scores'!$A$2:$A$131,0)),IF(ISNUMBER(INDEX('NCO-2015 scores'!$C$2:$C$131,MATCH(E2102,'NCO-2015 scores'!$A$2:$A$131,0))),1,0),0)</f>
        <v>1</v>
      </c>
    </row>
    <row r="2103" customFormat="false" ht="15" hidden="false" customHeight="false" outlineLevel="0" collapsed="false">
      <c r="A2103" s="2" t="n">
        <v>2099</v>
      </c>
      <c r="B2103" s="2" t="s">
        <v>6232</v>
      </c>
      <c r="C2103" s="2" t="s">
        <v>6233</v>
      </c>
      <c r="D2103" s="2" t="s">
        <v>6234</v>
      </c>
      <c r="E2103" s="2" t="str">
        <f aca="false">LEFT(C2103,3)</f>
        <v>812</v>
      </c>
      <c r="F2103" s="2" t="str">
        <f aca="false">IF(D2103="","",LEFT(D2103,3))</f>
        <v>812</v>
      </c>
      <c r="G2103" s="2" t="str">
        <f aca="false">IF(F2103="","",IF(E2103=F2103,"Yes","No"))</f>
        <v>Yes</v>
      </c>
      <c r="H2103" s="2" t="n">
        <f aca="false">IF(D2103="",0,1/COUNTIF($D$2:$D$3451,D2103))</f>
        <v>1</v>
      </c>
      <c r="I2103" s="13" t="n">
        <f aca="false">IFERROR(INDEX('NCO-2015 scores'!$C$2:$C$131,MATCH(E2103,'NCO-2015 scores'!$A$2:$A$131,0)),0)</f>
        <v>0.23</v>
      </c>
      <c r="J2103" s="13" t="n">
        <f aca="false">IF(ISNUMBER(MATCH(E2103,'NCO-2015 scores'!$A$2:$A$131,0)),IF(ISNUMBER(INDEX('NCO-2015 scores'!$C$2:$C$131,MATCH(E2103,'NCO-2015 scores'!$A$2:$A$131,0))),1,0),0)</f>
        <v>1</v>
      </c>
    </row>
    <row r="2104" customFormat="false" ht="15" hidden="false" customHeight="false" outlineLevel="0" collapsed="false">
      <c r="A2104" s="2" t="n">
        <v>2100</v>
      </c>
      <c r="B2104" s="2" t="s">
        <v>6235</v>
      </c>
      <c r="C2104" s="2" t="s">
        <v>6236</v>
      </c>
      <c r="D2104" s="2" t="s">
        <v>6237</v>
      </c>
      <c r="E2104" s="2" t="str">
        <f aca="false">LEFT(C2104,3)</f>
        <v>812</v>
      </c>
      <c r="F2104" s="2" t="str">
        <f aca="false">IF(D2104="","",LEFT(D2104,3))</f>
        <v>812</v>
      </c>
      <c r="G2104" s="2" t="str">
        <f aca="false">IF(F2104="","",IF(E2104=F2104,"Yes","No"))</f>
        <v>Yes</v>
      </c>
      <c r="H2104" s="2" t="n">
        <f aca="false">IF(D2104="",0,1/COUNTIF($D$2:$D$3451,D2104))</f>
        <v>1</v>
      </c>
      <c r="I2104" s="13" t="n">
        <f aca="false">IFERROR(INDEX('NCO-2015 scores'!$C$2:$C$131,MATCH(E2104,'NCO-2015 scores'!$A$2:$A$131,0)),0)</f>
        <v>0.23</v>
      </c>
      <c r="J2104" s="13" t="n">
        <f aca="false">IF(ISNUMBER(MATCH(E2104,'NCO-2015 scores'!$A$2:$A$131,0)),IF(ISNUMBER(INDEX('NCO-2015 scores'!$C$2:$C$131,MATCH(E2104,'NCO-2015 scores'!$A$2:$A$131,0))),1,0),0)</f>
        <v>1</v>
      </c>
    </row>
    <row r="2105" customFormat="false" ht="15" hidden="false" customHeight="false" outlineLevel="0" collapsed="false">
      <c r="A2105" s="2" t="n">
        <v>2101</v>
      </c>
      <c r="B2105" s="2" t="s">
        <v>6238</v>
      </c>
      <c r="C2105" s="2" t="s">
        <v>6239</v>
      </c>
      <c r="D2105" s="2" t="s">
        <v>6240</v>
      </c>
      <c r="E2105" s="2" t="str">
        <f aca="false">LEFT(C2105,3)</f>
        <v>812</v>
      </c>
      <c r="F2105" s="2" t="str">
        <f aca="false">IF(D2105="","",LEFT(D2105,3))</f>
        <v>812</v>
      </c>
      <c r="G2105" s="2" t="str">
        <f aca="false">IF(F2105="","",IF(E2105=F2105,"Yes","No"))</f>
        <v>Yes</v>
      </c>
      <c r="H2105" s="2" t="n">
        <f aca="false">IF(D2105="",0,1/COUNTIF($D$2:$D$3451,D2105))</f>
        <v>1</v>
      </c>
      <c r="I2105" s="13" t="n">
        <f aca="false">IFERROR(INDEX('NCO-2015 scores'!$C$2:$C$131,MATCH(E2105,'NCO-2015 scores'!$A$2:$A$131,0)),0)</f>
        <v>0.23</v>
      </c>
      <c r="J2105" s="13" t="n">
        <f aca="false">IF(ISNUMBER(MATCH(E2105,'NCO-2015 scores'!$A$2:$A$131,0)),IF(ISNUMBER(INDEX('NCO-2015 scores'!$C$2:$C$131,MATCH(E2105,'NCO-2015 scores'!$A$2:$A$131,0))),1,0),0)</f>
        <v>1</v>
      </c>
    </row>
    <row r="2106" customFormat="false" ht="15" hidden="false" customHeight="false" outlineLevel="0" collapsed="false">
      <c r="A2106" s="2" t="n">
        <v>2102</v>
      </c>
      <c r="B2106" s="2" t="s">
        <v>6241</v>
      </c>
      <c r="C2106" s="2" t="s">
        <v>6242</v>
      </c>
      <c r="D2106" s="2" t="s">
        <v>6243</v>
      </c>
      <c r="E2106" s="2" t="str">
        <f aca="false">LEFT(C2106,3)</f>
        <v>812</v>
      </c>
      <c r="F2106" s="2" t="str">
        <f aca="false">IF(D2106="","",LEFT(D2106,3))</f>
        <v>812</v>
      </c>
      <c r="G2106" s="2" t="str">
        <f aca="false">IF(F2106="","",IF(E2106=F2106,"Yes","No"))</f>
        <v>Yes</v>
      </c>
      <c r="H2106" s="2" t="n">
        <f aca="false">IF(D2106="",0,1/COUNTIF($D$2:$D$3451,D2106))</f>
        <v>1</v>
      </c>
      <c r="I2106" s="13" t="n">
        <f aca="false">IFERROR(INDEX('NCO-2015 scores'!$C$2:$C$131,MATCH(E2106,'NCO-2015 scores'!$A$2:$A$131,0)),0)</f>
        <v>0.23</v>
      </c>
      <c r="J2106" s="13" t="n">
        <f aca="false">IF(ISNUMBER(MATCH(E2106,'NCO-2015 scores'!$A$2:$A$131,0)),IF(ISNUMBER(INDEX('NCO-2015 scores'!$C$2:$C$131,MATCH(E2106,'NCO-2015 scores'!$A$2:$A$131,0))),1,0),0)</f>
        <v>1</v>
      </c>
    </row>
    <row r="2107" customFormat="false" ht="15" hidden="false" customHeight="false" outlineLevel="0" collapsed="false">
      <c r="A2107" s="2" t="n">
        <v>2103</v>
      </c>
      <c r="B2107" s="2" t="s">
        <v>6244</v>
      </c>
      <c r="C2107" s="2" t="s">
        <v>6245</v>
      </c>
      <c r="D2107" s="2" t="s">
        <v>6246</v>
      </c>
      <c r="E2107" s="2" t="str">
        <f aca="false">LEFT(C2107,3)</f>
        <v>812</v>
      </c>
      <c r="F2107" s="2" t="str">
        <f aca="false">IF(D2107="","",LEFT(D2107,3))</f>
        <v>812</v>
      </c>
      <c r="G2107" s="2" t="str">
        <f aca="false">IF(F2107="","",IF(E2107=F2107,"Yes","No"))</f>
        <v>Yes</v>
      </c>
      <c r="H2107" s="2" t="n">
        <f aca="false">IF(D2107="",0,1/COUNTIF($D$2:$D$3451,D2107))</f>
        <v>1</v>
      </c>
      <c r="I2107" s="13" t="n">
        <f aca="false">IFERROR(INDEX('NCO-2015 scores'!$C$2:$C$131,MATCH(E2107,'NCO-2015 scores'!$A$2:$A$131,0)),0)</f>
        <v>0.23</v>
      </c>
      <c r="J2107" s="13" t="n">
        <f aca="false">IF(ISNUMBER(MATCH(E2107,'NCO-2015 scores'!$A$2:$A$131,0)),IF(ISNUMBER(INDEX('NCO-2015 scores'!$C$2:$C$131,MATCH(E2107,'NCO-2015 scores'!$A$2:$A$131,0))),1,0),0)</f>
        <v>1</v>
      </c>
    </row>
    <row r="2108" customFormat="false" ht="15" hidden="false" customHeight="false" outlineLevel="0" collapsed="false">
      <c r="A2108" s="2" t="n">
        <v>2104</v>
      </c>
      <c r="B2108" s="2" t="s">
        <v>6247</v>
      </c>
      <c r="C2108" s="2" t="s">
        <v>6248</v>
      </c>
      <c r="D2108" s="2"/>
      <c r="E2108" s="2" t="str">
        <f aca="false">LEFT(C2108,3)</f>
        <v>812</v>
      </c>
      <c r="F2108" s="2" t="str">
        <f aca="false">IF(D2108="","",LEFT(D2108,3))</f>
        <v/>
      </c>
      <c r="G2108" s="2" t="str">
        <f aca="false">IF(F2108="","",IF(E2108=F2108,"Yes","No"))</f>
        <v/>
      </c>
      <c r="H2108" s="2" t="n">
        <f aca="false">IF(D2108="",0,1/COUNTIF($D$2:$D$3451,D2108))</f>
        <v>0</v>
      </c>
      <c r="I2108" s="13" t="n">
        <f aca="false">IFERROR(INDEX('NCO-2015 scores'!$C$2:$C$131,MATCH(E2108,'NCO-2015 scores'!$A$2:$A$131,0)),0)</f>
        <v>0.23</v>
      </c>
      <c r="J2108" s="13" t="n">
        <f aca="false">IF(ISNUMBER(MATCH(E2108,'NCO-2015 scores'!$A$2:$A$131,0)),IF(ISNUMBER(INDEX('NCO-2015 scores'!$C$2:$C$131,MATCH(E2108,'NCO-2015 scores'!$A$2:$A$131,0))),1,0),0)</f>
        <v>1</v>
      </c>
    </row>
    <row r="2109" customFormat="false" ht="15" hidden="false" customHeight="false" outlineLevel="0" collapsed="false">
      <c r="A2109" s="2" t="n">
        <v>2105</v>
      </c>
      <c r="B2109" s="2" t="s">
        <v>6249</v>
      </c>
      <c r="C2109" s="2" t="s">
        <v>6250</v>
      </c>
      <c r="D2109" s="2" t="s">
        <v>6251</v>
      </c>
      <c r="E2109" s="2" t="str">
        <f aca="false">LEFT(C2109,3)</f>
        <v>812</v>
      </c>
      <c r="F2109" s="2" t="str">
        <f aca="false">IF(D2109="","",LEFT(D2109,3))</f>
        <v>812</v>
      </c>
      <c r="G2109" s="2" t="str">
        <f aca="false">IF(F2109="","",IF(E2109=F2109,"Yes","No"))</f>
        <v>Yes</v>
      </c>
      <c r="H2109" s="2" t="n">
        <f aca="false">IF(D2109="",0,1/COUNTIF($D$2:$D$3451,D2109))</f>
        <v>1</v>
      </c>
      <c r="I2109" s="13" t="n">
        <f aca="false">IFERROR(INDEX('NCO-2015 scores'!$C$2:$C$131,MATCH(E2109,'NCO-2015 scores'!$A$2:$A$131,0)),0)</f>
        <v>0.23</v>
      </c>
      <c r="J2109" s="13" t="n">
        <f aca="false">IF(ISNUMBER(MATCH(E2109,'NCO-2015 scores'!$A$2:$A$131,0)),IF(ISNUMBER(INDEX('NCO-2015 scores'!$C$2:$C$131,MATCH(E2109,'NCO-2015 scores'!$A$2:$A$131,0))),1,0),0)</f>
        <v>1</v>
      </c>
    </row>
    <row r="2110" customFormat="false" ht="15" hidden="false" customHeight="false" outlineLevel="0" collapsed="false">
      <c r="A2110" s="2" t="n">
        <v>2106</v>
      </c>
      <c r="B2110" s="2" t="s">
        <v>6252</v>
      </c>
      <c r="C2110" s="2" t="s">
        <v>6253</v>
      </c>
      <c r="D2110" s="2" t="s">
        <v>6254</v>
      </c>
      <c r="E2110" s="2" t="str">
        <f aca="false">LEFT(C2110,3)</f>
        <v>812</v>
      </c>
      <c r="F2110" s="2" t="str">
        <f aca="false">IF(D2110="","",LEFT(D2110,3))</f>
        <v>812</v>
      </c>
      <c r="G2110" s="2" t="str">
        <f aca="false">IF(F2110="","",IF(E2110=F2110,"Yes","No"))</f>
        <v>Yes</v>
      </c>
      <c r="H2110" s="2" t="n">
        <f aca="false">IF(D2110="",0,1/COUNTIF($D$2:$D$3451,D2110))</f>
        <v>1</v>
      </c>
      <c r="I2110" s="13" t="n">
        <f aca="false">IFERROR(INDEX('NCO-2015 scores'!$C$2:$C$131,MATCH(E2110,'NCO-2015 scores'!$A$2:$A$131,0)),0)</f>
        <v>0.23</v>
      </c>
      <c r="J2110" s="13" t="n">
        <f aca="false">IF(ISNUMBER(MATCH(E2110,'NCO-2015 scores'!$A$2:$A$131,0)),IF(ISNUMBER(INDEX('NCO-2015 scores'!$C$2:$C$131,MATCH(E2110,'NCO-2015 scores'!$A$2:$A$131,0))),1,0),0)</f>
        <v>1</v>
      </c>
    </row>
    <row r="2111" customFormat="false" ht="15" hidden="false" customHeight="false" outlineLevel="0" collapsed="false">
      <c r="A2111" s="2" t="n">
        <v>2107</v>
      </c>
      <c r="B2111" s="2" t="s">
        <v>6255</v>
      </c>
      <c r="C2111" s="2" t="s">
        <v>6256</v>
      </c>
      <c r="D2111" s="2" t="s">
        <v>6257</v>
      </c>
      <c r="E2111" s="2" t="str">
        <f aca="false">LEFT(C2111,3)</f>
        <v>812</v>
      </c>
      <c r="F2111" s="2" t="str">
        <f aca="false">IF(D2111="","",LEFT(D2111,3))</f>
        <v>812</v>
      </c>
      <c r="G2111" s="2" t="str">
        <f aca="false">IF(F2111="","",IF(E2111=F2111,"Yes","No"))</f>
        <v>Yes</v>
      </c>
      <c r="H2111" s="2" t="n">
        <f aca="false">IF(D2111="",0,1/COUNTIF($D$2:$D$3451,D2111))</f>
        <v>1</v>
      </c>
      <c r="I2111" s="13" t="n">
        <f aca="false">IFERROR(INDEX('NCO-2015 scores'!$C$2:$C$131,MATCH(E2111,'NCO-2015 scores'!$A$2:$A$131,0)),0)</f>
        <v>0.23</v>
      </c>
      <c r="J2111" s="13" t="n">
        <f aca="false">IF(ISNUMBER(MATCH(E2111,'NCO-2015 scores'!$A$2:$A$131,0)),IF(ISNUMBER(INDEX('NCO-2015 scores'!$C$2:$C$131,MATCH(E2111,'NCO-2015 scores'!$A$2:$A$131,0))),1,0),0)</f>
        <v>1</v>
      </c>
    </row>
    <row r="2112" customFormat="false" ht="15" hidden="false" customHeight="false" outlineLevel="0" collapsed="false">
      <c r="A2112" s="2" t="n">
        <v>2108</v>
      </c>
      <c r="B2112" s="2" t="s">
        <v>6258</v>
      </c>
      <c r="C2112" s="2" t="s">
        <v>6259</v>
      </c>
      <c r="D2112" s="2" t="s">
        <v>6260</v>
      </c>
      <c r="E2112" s="2" t="str">
        <f aca="false">LEFT(C2112,3)</f>
        <v>812</v>
      </c>
      <c r="F2112" s="2" t="str">
        <f aca="false">IF(D2112="","",LEFT(D2112,3))</f>
        <v>812</v>
      </c>
      <c r="G2112" s="2" t="str">
        <f aca="false">IF(F2112="","",IF(E2112=F2112,"Yes","No"))</f>
        <v>Yes</v>
      </c>
      <c r="H2112" s="2" t="n">
        <f aca="false">IF(D2112="",0,1/COUNTIF($D$2:$D$3451,D2112))</f>
        <v>1</v>
      </c>
      <c r="I2112" s="13" t="n">
        <f aca="false">IFERROR(INDEX('NCO-2015 scores'!$C$2:$C$131,MATCH(E2112,'NCO-2015 scores'!$A$2:$A$131,0)),0)</f>
        <v>0.23</v>
      </c>
      <c r="J2112" s="13" t="n">
        <f aca="false">IF(ISNUMBER(MATCH(E2112,'NCO-2015 scores'!$A$2:$A$131,0)),IF(ISNUMBER(INDEX('NCO-2015 scores'!$C$2:$C$131,MATCH(E2112,'NCO-2015 scores'!$A$2:$A$131,0))),1,0),0)</f>
        <v>1</v>
      </c>
    </row>
    <row r="2113" customFormat="false" ht="15" hidden="false" customHeight="false" outlineLevel="0" collapsed="false">
      <c r="A2113" s="2" t="n">
        <v>2109</v>
      </c>
      <c r="B2113" s="2" t="s">
        <v>6261</v>
      </c>
      <c r="C2113" s="2" t="s">
        <v>6262</v>
      </c>
      <c r="D2113" s="2"/>
      <c r="E2113" s="2" t="str">
        <f aca="false">LEFT(C2113,3)</f>
        <v>812</v>
      </c>
      <c r="F2113" s="2" t="str">
        <f aca="false">IF(D2113="","",LEFT(D2113,3))</f>
        <v/>
      </c>
      <c r="G2113" s="2" t="str">
        <f aca="false">IF(F2113="","",IF(E2113=F2113,"Yes","No"))</f>
        <v/>
      </c>
      <c r="H2113" s="2" t="n">
        <f aca="false">IF(D2113="",0,1/COUNTIF($D$2:$D$3451,D2113))</f>
        <v>0</v>
      </c>
      <c r="I2113" s="13" t="n">
        <f aca="false">IFERROR(INDEX('NCO-2015 scores'!$C$2:$C$131,MATCH(E2113,'NCO-2015 scores'!$A$2:$A$131,0)),0)</f>
        <v>0.23</v>
      </c>
      <c r="J2113" s="13" t="n">
        <f aca="false">IF(ISNUMBER(MATCH(E2113,'NCO-2015 scores'!$A$2:$A$131,0)),IF(ISNUMBER(INDEX('NCO-2015 scores'!$C$2:$C$131,MATCH(E2113,'NCO-2015 scores'!$A$2:$A$131,0))),1,0),0)</f>
        <v>1</v>
      </c>
    </row>
    <row r="2114" customFormat="false" ht="15" hidden="false" customHeight="false" outlineLevel="0" collapsed="false">
      <c r="A2114" s="2" t="n">
        <v>2110</v>
      </c>
      <c r="B2114" s="2" t="s">
        <v>6263</v>
      </c>
      <c r="C2114" s="2" t="s">
        <v>6264</v>
      </c>
      <c r="D2114" s="2" t="s">
        <v>6265</v>
      </c>
      <c r="E2114" s="2" t="str">
        <f aca="false">LEFT(C2114,3)</f>
        <v>812</v>
      </c>
      <c r="F2114" s="2" t="str">
        <f aca="false">IF(D2114="","",LEFT(D2114,3))</f>
        <v>812</v>
      </c>
      <c r="G2114" s="2" t="str">
        <f aca="false">IF(F2114="","",IF(E2114=F2114,"Yes","No"))</f>
        <v>Yes</v>
      </c>
      <c r="H2114" s="2" t="n">
        <f aca="false">IF(D2114="",0,1/COUNTIF($D$2:$D$3451,D2114))</f>
        <v>1</v>
      </c>
      <c r="I2114" s="13" t="n">
        <f aca="false">IFERROR(INDEX('NCO-2015 scores'!$C$2:$C$131,MATCH(E2114,'NCO-2015 scores'!$A$2:$A$131,0)),0)</f>
        <v>0.23</v>
      </c>
      <c r="J2114" s="13" t="n">
        <f aca="false">IF(ISNUMBER(MATCH(E2114,'NCO-2015 scores'!$A$2:$A$131,0)),IF(ISNUMBER(INDEX('NCO-2015 scores'!$C$2:$C$131,MATCH(E2114,'NCO-2015 scores'!$A$2:$A$131,0))),1,0),0)</f>
        <v>1</v>
      </c>
    </row>
    <row r="2115" customFormat="false" ht="15" hidden="false" customHeight="false" outlineLevel="0" collapsed="false">
      <c r="A2115" s="2" t="n">
        <v>2111</v>
      </c>
      <c r="B2115" s="2" t="s">
        <v>6266</v>
      </c>
      <c r="C2115" s="2" t="s">
        <v>6267</v>
      </c>
      <c r="D2115" s="2"/>
      <c r="E2115" s="2" t="str">
        <f aca="false">LEFT(C2115,3)</f>
        <v>812</v>
      </c>
      <c r="F2115" s="2" t="str">
        <f aca="false">IF(D2115="","",LEFT(D2115,3))</f>
        <v/>
      </c>
      <c r="G2115" s="2" t="str">
        <f aca="false">IF(F2115="","",IF(E2115=F2115,"Yes","No"))</f>
        <v/>
      </c>
      <c r="H2115" s="2" t="n">
        <f aca="false">IF(D2115="",0,1/COUNTIF($D$2:$D$3451,D2115))</f>
        <v>0</v>
      </c>
      <c r="I2115" s="13" t="n">
        <f aca="false">IFERROR(INDEX('NCO-2015 scores'!$C$2:$C$131,MATCH(E2115,'NCO-2015 scores'!$A$2:$A$131,0)),0)</f>
        <v>0.23</v>
      </c>
      <c r="J2115" s="13" t="n">
        <f aca="false">IF(ISNUMBER(MATCH(E2115,'NCO-2015 scores'!$A$2:$A$131,0)),IF(ISNUMBER(INDEX('NCO-2015 scores'!$C$2:$C$131,MATCH(E2115,'NCO-2015 scores'!$A$2:$A$131,0))),1,0),0)</f>
        <v>1</v>
      </c>
    </row>
    <row r="2116" customFormat="false" ht="15" hidden="false" customHeight="false" outlineLevel="0" collapsed="false">
      <c r="A2116" s="2" t="n">
        <v>2112</v>
      </c>
      <c r="B2116" s="2" t="s">
        <v>6268</v>
      </c>
      <c r="C2116" s="2" t="s">
        <v>6269</v>
      </c>
      <c r="D2116" s="2" t="s">
        <v>6270</v>
      </c>
      <c r="E2116" s="2" t="str">
        <f aca="false">LEFT(C2116,3)</f>
        <v>812</v>
      </c>
      <c r="F2116" s="2" t="str">
        <f aca="false">IF(D2116="","",LEFT(D2116,3))</f>
        <v>812</v>
      </c>
      <c r="G2116" s="2" t="str">
        <f aca="false">IF(F2116="","",IF(E2116=F2116,"Yes","No"))</f>
        <v>Yes</v>
      </c>
      <c r="H2116" s="2" t="n">
        <f aca="false">IF(D2116="",0,1/COUNTIF($D$2:$D$3451,D2116))</f>
        <v>1</v>
      </c>
      <c r="I2116" s="13" t="n">
        <f aca="false">IFERROR(INDEX('NCO-2015 scores'!$C$2:$C$131,MATCH(E2116,'NCO-2015 scores'!$A$2:$A$131,0)),0)</f>
        <v>0.23</v>
      </c>
      <c r="J2116" s="13" t="n">
        <f aca="false">IF(ISNUMBER(MATCH(E2116,'NCO-2015 scores'!$A$2:$A$131,0)),IF(ISNUMBER(INDEX('NCO-2015 scores'!$C$2:$C$131,MATCH(E2116,'NCO-2015 scores'!$A$2:$A$131,0))),1,0),0)</f>
        <v>1</v>
      </c>
    </row>
    <row r="2117" customFormat="false" ht="15" hidden="false" customHeight="false" outlineLevel="0" collapsed="false">
      <c r="A2117" s="2" t="n">
        <v>2113</v>
      </c>
      <c r="B2117" s="2" t="s">
        <v>6271</v>
      </c>
      <c r="C2117" s="2" t="s">
        <v>6272</v>
      </c>
      <c r="D2117" s="2" t="s">
        <v>6273</v>
      </c>
      <c r="E2117" s="2" t="str">
        <f aca="false">LEFT(C2117,3)</f>
        <v>812</v>
      </c>
      <c r="F2117" s="2" t="str">
        <f aca="false">IF(D2117="","",LEFT(D2117,3))</f>
        <v>812</v>
      </c>
      <c r="G2117" s="2" t="str">
        <f aca="false">IF(F2117="","",IF(E2117=F2117,"Yes","No"))</f>
        <v>Yes</v>
      </c>
      <c r="H2117" s="2" t="n">
        <f aca="false">IF(D2117="",0,1/COUNTIF($D$2:$D$3451,D2117))</f>
        <v>1</v>
      </c>
      <c r="I2117" s="13" t="n">
        <f aca="false">IFERROR(INDEX('NCO-2015 scores'!$C$2:$C$131,MATCH(E2117,'NCO-2015 scores'!$A$2:$A$131,0)),0)</f>
        <v>0.23</v>
      </c>
      <c r="J2117" s="13" t="n">
        <f aca="false">IF(ISNUMBER(MATCH(E2117,'NCO-2015 scores'!$A$2:$A$131,0)),IF(ISNUMBER(INDEX('NCO-2015 scores'!$C$2:$C$131,MATCH(E2117,'NCO-2015 scores'!$A$2:$A$131,0))),1,0),0)</f>
        <v>1</v>
      </c>
    </row>
    <row r="2118" customFormat="false" ht="15" hidden="false" customHeight="false" outlineLevel="0" collapsed="false">
      <c r="A2118" s="2" t="n">
        <v>2114</v>
      </c>
      <c r="B2118" s="2" t="s">
        <v>6274</v>
      </c>
      <c r="C2118" s="2" t="s">
        <v>6275</v>
      </c>
      <c r="D2118" s="2" t="s">
        <v>6276</v>
      </c>
      <c r="E2118" s="2" t="str">
        <f aca="false">LEFT(C2118,3)</f>
        <v>812</v>
      </c>
      <c r="F2118" s="2" t="str">
        <f aca="false">IF(D2118="","",LEFT(D2118,3))</f>
        <v>812</v>
      </c>
      <c r="G2118" s="2" t="str">
        <f aca="false">IF(F2118="","",IF(E2118=F2118,"Yes","No"))</f>
        <v>Yes</v>
      </c>
      <c r="H2118" s="2" t="n">
        <f aca="false">IF(D2118="",0,1/COUNTIF($D$2:$D$3451,D2118))</f>
        <v>1</v>
      </c>
      <c r="I2118" s="13" t="n">
        <f aca="false">IFERROR(INDEX('NCO-2015 scores'!$C$2:$C$131,MATCH(E2118,'NCO-2015 scores'!$A$2:$A$131,0)),0)</f>
        <v>0.23</v>
      </c>
      <c r="J2118" s="13" t="n">
        <f aca="false">IF(ISNUMBER(MATCH(E2118,'NCO-2015 scores'!$A$2:$A$131,0)),IF(ISNUMBER(INDEX('NCO-2015 scores'!$C$2:$C$131,MATCH(E2118,'NCO-2015 scores'!$A$2:$A$131,0))),1,0),0)</f>
        <v>1</v>
      </c>
    </row>
    <row r="2119" customFormat="false" ht="15" hidden="false" customHeight="false" outlineLevel="0" collapsed="false">
      <c r="A2119" s="2" t="n">
        <v>2115</v>
      </c>
      <c r="B2119" s="2" t="s">
        <v>6277</v>
      </c>
      <c r="C2119" s="2" t="s">
        <v>6278</v>
      </c>
      <c r="D2119" s="2" t="s">
        <v>6279</v>
      </c>
      <c r="E2119" s="2" t="str">
        <f aca="false">LEFT(C2119,3)</f>
        <v>812</v>
      </c>
      <c r="F2119" s="2" t="str">
        <f aca="false">IF(D2119="","",LEFT(D2119,3))</f>
        <v>812</v>
      </c>
      <c r="G2119" s="2" t="str">
        <f aca="false">IF(F2119="","",IF(E2119=F2119,"Yes","No"))</f>
        <v>Yes</v>
      </c>
      <c r="H2119" s="2" t="n">
        <f aca="false">IF(D2119="",0,1/COUNTIF($D$2:$D$3451,D2119))</f>
        <v>1</v>
      </c>
      <c r="I2119" s="13" t="n">
        <f aca="false">IFERROR(INDEX('NCO-2015 scores'!$C$2:$C$131,MATCH(E2119,'NCO-2015 scores'!$A$2:$A$131,0)),0)</f>
        <v>0.23</v>
      </c>
      <c r="J2119" s="13" t="n">
        <f aca="false">IF(ISNUMBER(MATCH(E2119,'NCO-2015 scores'!$A$2:$A$131,0)),IF(ISNUMBER(INDEX('NCO-2015 scores'!$C$2:$C$131,MATCH(E2119,'NCO-2015 scores'!$A$2:$A$131,0))),1,0),0)</f>
        <v>1</v>
      </c>
    </row>
    <row r="2120" customFormat="false" ht="15" hidden="false" customHeight="false" outlineLevel="0" collapsed="false">
      <c r="A2120" s="2" t="n">
        <v>2116</v>
      </c>
      <c r="B2120" s="2" t="s">
        <v>6280</v>
      </c>
      <c r="C2120" s="2" t="s">
        <v>6281</v>
      </c>
      <c r="D2120" s="2" t="s">
        <v>6282</v>
      </c>
      <c r="E2120" s="2" t="str">
        <f aca="false">LEFT(C2120,3)</f>
        <v>812</v>
      </c>
      <c r="F2120" s="2" t="str">
        <f aca="false">IF(D2120="","",LEFT(D2120,3))</f>
        <v>812</v>
      </c>
      <c r="G2120" s="2" t="str">
        <f aca="false">IF(F2120="","",IF(E2120=F2120,"Yes","No"))</f>
        <v>Yes</v>
      </c>
      <c r="H2120" s="2" t="n">
        <f aca="false">IF(D2120="",0,1/COUNTIF($D$2:$D$3451,D2120))</f>
        <v>1</v>
      </c>
      <c r="I2120" s="13" t="n">
        <f aca="false">IFERROR(INDEX('NCO-2015 scores'!$C$2:$C$131,MATCH(E2120,'NCO-2015 scores'!$A$2:$A$131,0)),0)</f>
        <v>0.23</v>
      </c>
      <c r="J2120" s="13" t="n">
        <f aca="false">IF(ISNUMBER(MATCH(E2120,'NCO-2015 scores'!$A$2:$A$131,0)),IF(ISNUMBER(INDEX('NCO-2015 scores'!$C$2:$C$131,MATCH(E2120,'NCO-2015 scores'!$A$2:$A$131,0))),1,0),0)</f>
        <v>1</v>
      </c>
    </row>
    <row r="2121" customFormat="false" ht="15" hidden="false" customHeight="false" outlineLevel="0" collapsed="false">
      <c r="A2121" s="2" t="n">
        <v>2117</v>
      </c>
      <c r="B2121" s="2" t="s">
        <v>6283</v>
      </c>
      <c r="C2121" s="2" t="s">
        <v>6284</v>
      </c>
      <c r="D2121" s="2" t="s">
        <v>6285</v>
      </c>
      <c r="E2121" s="2" t="str">
        <f aca="false">LEFT(C2121,3)</f>
        <v>812</v>
      </c>
      <c r="F2121" s="2" t="str">
        <f aca="false">IF(D2121="","",LEFT(D2121,3))</f>
        <v>812</v>
      </c>
      <c r="G2121" s="2" t="str">
        <f aca="false">IF(F2121="","",IF(E2121=F2121,"Yes","No"))</f>
        <v>Yes</v>
      </c>
      <c r="H2121" s="2" t="n">
        <f aca="false">IF(D2121="",0,1/COUNTIF($D$2:$D$3451,D2121))</f>
        <v>1</v>
      </c>
      <c r="I2121" s="13" t="n">
        <f aca="false">IFERROR(INDEX('NCO-2015 scores'!$C$2:$C$131,MATCH(E2121,'NCO-2015 scores'!$A$2:$A$131,0)),0)</f>
        <v>0.23</v>
      </c>
      <c r="J2121" s="13" t="n">
        <f aca="false">IF(ISNUMBER(MATCH(E2121,'NCO-2015 scores'!$A$2:$A$131,0)),IF(ISNUMBER(INDEX('NCO-2015 scores'!$C$2:$C$131,MATCH(E2121,'NCO-2015 scores'!$A$2:$A$131,0))),1,0),0)</f>
        <v>1</v>
      </c>
    </row>
    <row r="2122" customFormat="false" ht="15" hidden="false" customHeight="false" outlineLevel="0" collapsed="false">
      <c r="A2122" s="2" t="n">
        <v>2118</v>
      </c>
      <c r="B2122" s="2" t="s">
        <v>6286</v>
      </c>
      <c r="C2122" s="2" t="s">
        <v>6287</v>
      </c>
      <c r="D2122" s="2" t="s">
        <v>6288</v>
      </c>
      <c r="E2122" s="2" t="str">
        <f aca="false">LEFT(C2122,3)</f>
        <v>812</v>
      </c>
      <c r="F2122" s="2" t="str">
        <f aca="false">IF(D2122="","",LEFT(D2122,3))</f>
        <v>812</v>
      </c>
      <c r="G2122" s="2" t="str">
        <f aca="false">IF(F2122="","",IF(E2122=F2122,"Yes","No"))</f>
        <v>Yes</v>
      </c>
      <c r="H2122" s="2" t="n">
        <f aca="false">IF(D2122="",0,1/COUNTIF($D$2:$D$3451,D2122))</f>
        <v>1</v>
      </c>
      <c r="I2122" s="13" t="n">
        <f aca="false">IFERROR(INDEX('NCO-2015 scores'!$C$2:$C$131,MATCH(E2122,'NCO-2015 scores'!$A$2:$A$131,0)),0)</f>
        <v>0.23</v>
      </c>
      <c r="J2122" s="13" t="n">
        <f aca="false">IF(ISNUMBER(MATCH(E2122,'NCO-2015 scores'!$A$2:$A$131,0)),IF(ISNUMBER(INDEX('NCO-2015 scores'!$C$2:$C$131,MATCH(E2122,'NCO-2015 scores'!$A$2:$A$131,0))),1,0),0)</f>
        <v>1</v>
      </c>
    </row>
    <row r="2123" customFormat="false" ht="15" hidden="false" customHeight="false" outlineLevel="0" collapsed="false">
      <c r="A2123" s="2" t="n">
        <v>2119</v>
      </c>
      <c r="B2123" s="2" t="s">
        <v>6289</v>
      </c>
      <c r="C2123" s="2" t="s">
        <v>6290</v>
      </c>
      <c r="D2123" s="2" t="s">
        <v>6291</v>
      </c>
      <c r="E2123" s="2" t="str">
        <f aca="false">LEFT(C2123,3)</f>
        <v>812</v>
      </c>
      <c r="F2123" s="2" t="str">
        <f aca="false">IF(D2123="","",LEFT(D2123,3))</f>
        <v>812</v>
      </c>
      <c r="G2123" s="2" t="str">
        <f aca="false">IF(F2123="","",IF(E2123=F2123,"Yes","No"))</f>
        <v>Yes</v>
      </c>
      <c r="H2123" s="2" t="n">
        <f aca="false">IF(D2123="",0,1/COUNTIF($D$2:$D$3451,D2123))</f>
        <v>1</v>
      </c>
      <c r="I2123" s="13" t="n">
        <f aca="false">IFERROR(INDEX('NCO-2015 scores'!$C$2:$C$131,MATCH(E2123,'NCO-2015 scores'!$A$2:$A$131,0)),0)</f>
        <v>0.23</v>
      </c>
      <c r="J2123" s="13" t="n">
        <f aca="false">IF(ISNUMBER(MATCH(E2123,'NCO-2015 scores'!$A$2:$A$131,0)),IF(ISNUMBER(INDEX('NCO-2015 scores'!$C$2:$C$131,MATCH(E2123,'NCO-2015 scores'!$A$2:$A$131,0))),1,0),0)</f>
        <v>1</v>
      </c>
    </row>
    <row r="2124" customFormat="false" ht="15" hidden="false" customHeight="false" outlineLevel="0" collapsed="false">
      <c r="A2124" s="2" t="n">
        <v>2120</v>
      </c>
      <c r="B2124" s="2" t="s">
        <v>6292</v>
      </c>
      <c r="C2124" s="2" t="s">
        <v>6293</v>
      </c>
      <c r="D2124" s="2" t="s">
        <v>6294</v>
      </c>
      <c r="E2124" s="2" t="str">
        <f aca="false">LEFT(C2124,3)</f>
        <v>812</v>
      </c>
      <c r="F2124" s="2" t="str">
        <f aca="false">IF(D2124="","",LEFT(D2124,3))</f>
        <v>812</v>
      </c>
      <c r="G2124" s="2" t="str">
        <f aca="false">IF(F2124="","",IF(E2124=F2124,"Yes","No"))</f>
        <v>Yes</v>
      </c>
      <c r="H2124" s="2" t="n">
        <f aca="false">IF(D2124="",0,1/COUNTIF($D$2:$D$3451,D2124))</f>
        <v>1</v>
      </c>
      <c r="I2124" s="13" t="n">
        <f aca="false">IFERROR(INDEX('NCO-2015 scores'!$C$2:$C$131,MATCH(E2124,'NCO-2015 scores'!$A$2:$A$131,0)),0)</f>
        <v>0.23</v>
      </c>
      <c r="J2124" s="13" t="n">
        <f aca="false">IF(ISNUMBER(MATCH(E2124,'NCO-2015 scores'!$A$2:$A$131,0)),IF(ISNUMBER(INDEX('NCO-2015 scores'!$C$2:$C$131,MATCH(E2124,'NCO-2015 scores'!$A$2:$A$131,0))),1,0),0)</f>
        <v>1</v>
      </c>
    </row>
    <row r="2125" customFormat="false" ht="15" hidden="false" customHeight="false" outlineLevel="0" collapsed="false">
      <c r="A2125" s="2" t="n">
        <v>2121</v>
      </c>
      <c r="B2125" s="2" t="s">
        <v>6295</v>
      </c>
      <c r="C2125" s="2" t="s">
        <v>6296</v>
      </c>
      <c r="D2125" s="2" t="s">
        <v>6297</v>
      </c>
      <c r="E2125" s="2" t="str">
        <f aca="false">LEFT(C2125,3)</f>
        <v>812</v>
      </c>
      <c r="F2125" s="2" t="str">
        <f aca="false">IF(D2125="","",LEFT(D2125,3))</f>
        <v>812</v>
      </c>
      <c r="G2125" s="2" t="str">
        <f aca="false">IF(F2125="","",IF(E2125=F2125,"Yes","No"))</f>
        <v>Yes</v>
      </c>
      <c r="H2125" s="2" t="n">
        <f aca="false">IF(D2125="",0,1/COUNTIF($D$2:$D$3451,D2125))</f>
        <v>1</v>
      </c>
      <c r="I2125" s="13" t="n">
        <f aca="false">IFERROR(INDEX('NCO-2015 scores'!$C$2:$C$131,MATCH(E2125,'NCO-2015 scores'!$A$2:$A$131,0)),0)</f>
        <v>0.23</v>
      </c>
      <c r="J2125" s="13" t="n">
        <f aca="false">IF(ISNUMBER(MATCH(E2125,'NCO-2015 scores'!$A$2:$A$131,0)),IF(ISNUMBER(INDEX('NCO-2015 scores'!$C$2:$C$131,MATCH(E2125,'NCO-2015 scores'!$A$2:$A$131,0))),1,0),0)</f>
        <v>1</v>
      </c>
    </row>
    <row r="2126" customFormat="false" ht="15" hidden="false" customHeight="false" outlineLevel="0" collapsed="false">
      <c r="A2126" s="2" t="n">
        <v>2122</v>
      </c>
      <c r="B2126" s="2" t="s">
        <v>6298</v>
      </c>
      <c r="C2126" s="2" t="s">
        <v>6299</v>
      </c>
      <c r="D2126" s="2" t="s">
        <v>6300</v>
      </c>
      <c r="E2126" s="2" t="str">
        <f aca="false">LEFT(C2126,3)</f>
        <v>313</v>
      </c>
      <c r="F2126" s="2" t="str">
        <f aca="false">IF(D2126="","",LEFT(D2126,3))</f>
        <v>812</v>
      </c>
      <c r="G2126" s="2" t="str">
        <f aca="false">IF(F2126="","",IF(E2126=F2126,"Yes","No"))</f>
        <v>No</v>
      </c>
      <c r="H2126" s="2" t="n">
        <f aca="false">IF(D2126="",0,1/COUNTIF($D$2:$D$3451,D2126))</f>
        <v>1</v>
      </c>
      <c r="I2126" s="13" t="n">
        <f aca="false">IFERROR(INDEX('NCO-2015 scores'!$C$2:$C$131,MATCH(E2126,'NCO-2015 scores'!$A$2:$A$131,0)),0)</f>
        <v>0.288</v>
      </c>
      <c r="J2126" s="13" t="n">
        <f aca="false">IF(ISNUMBER(MATCH(E2126,'NCO-2015 scores'!$A$2:$A$131,0)),IF(ISNUMBER(INDEX('NCO-2015 scores'!$C$2:$C$131,MATCH(E2126,'NCO-2015 scores'!$A$2:$A$131,0))),1,0),0)</f>
        <v>1</v>
      </c>
    </row>
    <row r="2127" customFormat="false" ht="15" hidden="false" customHeight="false" outlineLevel="0" collapsed="false">
      <c r="A2127" s="2" t="n">
        <v>2123</v>
      </c>
      <c r="B2127" s="2" t="s">
        <v>6301</v>
      </c>
      <c r="C2127" s="2" t="s">
        <v>6302</v>
      </c>
      <c r="D2127" s="2" t="s">
        <v>6303</v>
      </c>
      <c r="E2127" s="2" t="str">
        <f aca="false">LEFT(C2127,3)</f>
        <v>313</v>
      </c>
      <c r="F2127" s="2" t="str">
        <f aca="false">IF(D2127="","",LEFT(D2127,3))</f>
        <v>812</v>
      </c>
      <c r="G2127" s="2" t="str">
        <f aca="false">IF(F2127="","",IF(E2127=F2127,"Yes","No"))</f>
        <v>No</v>
      </c>
      <c r="H2127" s="2" t="n">
        <f aca="false">IF(D2127="",0,1/COUNTIF($D$2:$D$3451,D2127))</f>
        <v>1</v>
      </c>
      <c r="I2127" s="13" t="n">
        <f aca="false">IFERROR(INDEX('NCO-2015 scores'!$C$2:$C$131,MATCH(E2127,'NCO-2015 scores'!$A$2:$A$131,0)),0)</f>
        <v>0.288</v>
      </c>
      <c r="J2127" s="13" t="n">
        <f aca="false">IF(ISNUMBER(MATCH(E2127,'NCO-2015 scores'!$A$2:$A$131,0)),IF(ISNUMBER(INDEX('NCO-2015 scores'!$C$2:$C$131,MATCH(E2127,'NCO-2015 scores'!$A$2:$A$131,0))),1,0),0)</f>
        <v>1</v>
      </c>
    </row>
    <row r="2128" customFormat="false" ht="15" hidden="false" customHeight="false" outlineLevel="0" collapsed="false">
      <c r="A2128" s="2" t="n">
        <v>2124</v>
      </c>
      <c r="B2128" s="2" t="s">
        <v>6304</v>
      </c>
      <c r="C2128" s="2" t="s">
        <v>6305</v>
      </c>
      <c r="D2128" s="2" t="s">
        <v>6306</v>
      </c>
      <c r="E2128" s="2" t="str">
        <f aca="false">LEFT(C2128,3)</f>
        <v>313</v>
      </c>
      <c r="F2128" s="2" t="str">
        <f aca="false">IF(D2128="","",LEFT(D2128,3))</f>
        <v>812</v>
      </c>
      <c r="G2128" s="2" t="str">
        <f aca="false">IF(F2128="","",IF(E2128=F2128,"Yes","No"))</f>
        <v>No</v>
      </c>
      <c r="H2128" s="2" t="n">
        <f aca="false">IF(D2128="",0,1/COUNTIF($D$2:$D$3451,D2128))</f>
        <v>1</v>
      </c>
      <c r="I2128" s="13" t="n">
        <f aca="false">IFERROR(INDEX('NCO-2015 scores'!$C$2:$C$131,MATCH(E2128,'NCO-2015 scores'!$A$2:$A$131,0)),0)</f>
        <v>0.288</v>
      </c>
      <c r="J2128" s="13" t="n">
        <f aca="false">IF(ISNUMBER(MATCH(E2128,'NCO-2015 scores'!$A$2:$A$131,0)),IF(ISNUMBER(INDEX('NCO-2015 scores'!$C$2:$C$131,MATCH(E2128,'NCO-2015 scores'!$A$2:$A$131,0))),1,0),0)</f>
        <v>1</v>
      </c>
    </row>
    <row r="2129" customFormat="false" ht="15" hidden="false" customHeight="false" outlineLevel="0" collapsed="false">
      <c r="A2129" s="2" t="n">
        <v>2125</v>
      </c>
      <c r="B2129" s="2" t="s">
        <v>6307</v>
      </c>
      <c r="C2129" s="2" t="s">
        <v>6308</v>
      </c>
      <c r="D2129" s="2" t="s">
        <v>6309</v>
      </c>
      <c r="E2129" s="2" t="str">
        <f aca="false">LEFT(C2129,3)</f>
        <v>313</v>
      </c>
      <c r="F2129" s="2" t="str">
        <f aca="false">IF(D2129="","",LEFT(D2129,3))</f>
        <v>812</v>
      </c>
      <c r="G2129" s="2" t="str">
        <f aca="false">IF(F2129="","",IF(E2129=F2129,"Yes","No"))</f>
        <v>No</v>
      </c>
      <c r="H2129" s="2" t="n">
        <f aca="false">IF(D2129="",0,1/COUNTIF($D$2:$D$3451,D2129))</f>
        <v>1</v>
      </c>
      <c r="I2129" s="13" t="n">
        <f aca="false">IFERROR(INDEX('NCO-2015 scores'!$C$2:$C$131,MATCH(E2129,'NCO-2015 scores'!$A$2:$A$131,0)),0)</f>
        <v>0.288</v>
      </c>
      <c r="J2129" s="13" t="n">
        <f aca="false">IF(ISNUMBER(MATCH(E2129,'NCO-2015 scores'!$A$2:$A$131,0)),IF(ISNUMBER(INDEX('NCO-2015 scores'!$C$2:$C$131,MATCH(E2129,'NCO-2015 scores'!$A$2:$A$131,0))),1,0),0)</f>
        <v>1</v>
      </c>
    </row>
    <row r="2130" customFormat="false" ht="15" hidden="false" customHeight="false" outlineLevel="0" collapsed="false">
      <c r="A2130" s="2" t="n">
        <v>2126</v>
      </c>
      <c r="B2130" s="2" t="s">
        <v>6310</v>
      </c>
      <c r="C2130" s="2" t="s">
        <v>6311</v>
      </c>
      <c r="D2130" s="2"/>
      <c r="E2130" s="2" t="str">
        <f aca="false">LEFT(C2130,3)</f>
        <v>313</v>
      </c>
      <c r="F2130" s="2" t="str">
        <f aca="false">IF(D2130="","",LEFT(D2130,3))</f>
        <v/>
      </c>
      <c r="G2130" s="2" t="str">
        <f aca="false">IF(F2130="","",IF(E2130=F2130,"Yes","No"))</f>
        <v/>
      </c>
      <c r="H2130" s="2" t="n">
        <f aca="false">IF(D2130="",0,1/COUNTIF($D$2:$D$3451,D2130))</f>
        <v>0</v>
      </c>
      <c r="I2130" s="13" t="n">
        <f aca="false">IFERROR(INDEX('NCO-2015 scores'!$C$2:$C$131,MATCH(E2130,'NCO-2015 scores'!$A$2:$A$131,0)),0)</f>
        <v>0.288</v>
      </c>
      <c r="J2130" s="13" t="n">
        <f aca="false">IF(ISNUMBER(MATCH(E2130,'NCO-2015 scores'!$A$2:$A$131,0)),IF(ISNUMBER(INDEX('NCO-2015 scores'!$C$2:$C$131,MATCH(E2130,'NCO-2015 scores'!$A$2:$A$131,0))),1,0),0)</f>
        <v>1</v>
      </c>
    </row>
    <row r="2131" customFormat="false" ht="15" hidden="false" customHeight="false" outlineLevel="0" collapsed="false">
      <c r="A2131" s="2" t="n">
        <v>2127</v>
      </c>
      <c r="B2131" s="2" t="s">
        <v>6312</v>
      </c>
      <c r="C2131" s="2" t="s">
        <v>6313</v>
      </c>
      <c r="D2131" s="2" t="s">
        <v>6314</v>
      </c>
      <c r="E2131" s="2" t="str">
        <f aca="false">LEFT(C2131,3)</f>
        <v>313</v>
      </c>
      <c r="F2131" s="2" t="str">
        <f aca="false">IF(D2131="","",LEFT(D2131,3))</f>
        <v>812</v>
      </c>
      <c r="G2131" s="2" t="str">
        <f aca="false">IF(F2131="","",IF(E2131=F2131,"Yes","No"))</f>
        <v>No</v>
      </c>
      <c r="H2131" s="2" t="n">
        <f aca="false">IF(D2131="",0,1/COUNTIF($D$2:$D$3451,D2131))</f>
        <v>1</v>
      </c>
      <c r="I2131" s="13" t="n">
        <f aca="false">IFERROR(INDEX('NCO-2015 scores'!$C$2:$C$131,MATCH(E2131,'NCO-2015 scores'!$A$2:$A$131,0)),0)</f>
        <v>0.288</v>
      </c>
      <c r="J2131" s="13" t="n">
        <f aca="false">IF(ISNUMBER(MATCH(E2131,'NCO-2015 scores'!$A$2:$A$131,0)),IF(ISNUMBER(INDEX('NCO-2015 scores'!$C$2:$C$131,MATCH(E2131,'NCO-2015 scores'!$A$2:$A$131,0))),1,0),0)</f>
        <v>1</v>
      </c>
    </row>
    <row r="2132" customFormat="false" ht="15" hidden="false" customHeight="false" outlineLevel="0" collapsed="false">
      <c r="A2132" s="2" t="n">
        <v>2128</v>
      </c>
      <c r="B2132" s="2" t="s">
        <v>6315</v>
      </c>
      <c r="C2132" s="2" t="s">
        <v>6316</v>
      </c>
      <c r="D2132" s="2" t="s">
        <v>6317</v>
      </c>
      <c r="E2132" s="2" t="str">
        <f aca="false">LEFT(C2132,3)</f>
        <v>313</v>
      </c>
      <c r="F2132" s="2" t="str">
        <f aca="false">IF(D2132="","",LEFT(D2132,3))</f>
        <v>812</v>
      </c>
      <c r="G2132" s="2" t="str">
        <f aca="false">IF(F2132="","",IF(E2132=F2132,"Yes","No"))</f>
        <v>No</v>
      </c>
      <c r="H2132" s="2" t="n">
        <f aca="false">IF(D2132="",0,1/COUNTIF($D$2:$D$3451,D2132))</f>
        <v>1</v>
      </c>
      <c r="I2132" s="13" t="n">
        <f aca="false">IFERROR(INDEX('NCO-2015 scores'!$C$2:$C$131,MATCH(E2132,'NCO-2015 scores'!$A$2:$A$131,0)),0)</f>
        <v>0.288</v>
      </c>
      <c r="J2132" s="13" t="n">
        <f aca="false">IF(ISNUMBER(MATCH(E2132,'NCO-2015 scores'!$A$2:$A$131,0)),IF(ISNUMBER(INDEX('NCO-2015 scores'!$C$2:$C$131,MATCH(E2132,'NCO-2015 scores'!$A$2:$A$131,0))),1,0),0)</f>
        <v>1</v>
      </c>
    </row>
    <row r="2133" customFormat="false" ht="15" hidden="false" customHeight="false" outlineLevel="0" collapsed="false">
      <c r="A2133" s="2" t="n">
        <v>2129</v>
      </c>
      <c r="B2133" s="2" t="s">
        <v>6318</v>
      </c>
      <c r="C2133" s="2" t="s">
        <v>6319</v>
      </c>
      <c r="D2133" s="2" t="s">
        <v>6320</v>
      </c>
      <c r="E2133" s="2" t="str">
        <f aca="false">LEFT(C2133,3)</f>
        <v>313</v>
      </c>
      <c r="F2133" s="2" t="str">
        <f aca="false">IF(D2133="","",LEFT(D2133,3))</f>
        <v>812</v>
      </c>
      <c r="G2133" s="2" t="str">
        <f aca="false">IF(F2133="","",IF(E2133=F2133,"Yes","No"))</f>
        <v>No</v>
      </c>
      <c r="H2133" s="2" t="n">
        <f aca="false">IF(D2133="",0,1/COUNTIF($D$2:$D$3451,D2133))</f>
        <v>1</v>
      </c>
      <c r="I2133" s="13" t="n">
        <f aca="false">IFERROR(INDEX('NCO-2015 scores'!$C$2:$C$131,MATCH(E2133,'NCO-2015 scores'!$A$2:$A$131,0)),0)</f>
        <v>0.288</v>
      </c>
      <c r="J2133" s="13" t="n">
        <f aca="false">IF(ISNUMBER(MATCH(E2133,'NCO-2015 scores'!$A$2:$A$131,0)),IF(ISNUMBER(INDEX('NCO-2015 scores'!$C$2:$C$131,MATCH(E2133,'NCO-2015 scores'!$A$2:$A$131,0))),1,0),0)</f>
        <v>1</v>
      </c>
    </row>
    <row r="2134" customFormat="false" ht="15" hidden="false" customHeight="false" outlineLevel="0" collapsed="false">
      <c r="A2134" s="2" t="n">
        <v>2130</v>
      </c>
      <c r="B2134" s="2" t="s">
        <v>6321</v>
      </c>
      <c r="C2134" s="2" t="s">
        <v>6322</v>
      </c>
      <c r="D2134" s="2" t="s">
        <v>6323</v>
      </c>
      <c r="E2134" s="2" t="str">
        <f aca="false">LEFT(C2134,3)</f>
        <v>313</v>
      </c>
      <c r="F2134" s="2" t="str">
        <f aca="false">IF(D2134="","",LEFT(D2134,3))</f>
        <v>812</v>
      </c>
      <c r="G2134" s="2" t="str">
        <f aca="false">IF(F2134="","",IF(E2134=F2134,"Yes","No"))</f>
        <v>No</v>
      </c>
      <c r="H2134" s="2" t="n">
        <f aca="false">IF(D2134="",0,1/COUNTIF($D$2:$D$3451,D2134))</f>
        <v>1</v>
      </c>
      <c r="I2134" s="13" t="n">
        <f aca="false">IFERROR(INDEX('NCO-2015 scores'!$C$2:$C$131,MATCH(E2134,'NCO-2015 scores'!$A$2:$A$131,0)),0)</f>
        <v>0.288</v>
      </c>
      <c r="J2134" s="13" t="n">
        <f aca="false">IF(ISNUMBER(MATCH(E2134,'NCO-2015 scores'!$A$2:$A$131,0)),IF(ISNUMBER(INDEX('NCO-2015 scores'!$C$2:$C$131,MATCH(E2134,'NCO-2015 scores'!$A$2:$A$131,0))),1,0),0)</f>
        <v>1</v>
      </c>
    </row>
    <row r="2135" customFormat="false" ht="15" hidden="false" customHeight="false" outlineLevel="0" collapsed="false">
      <c r="A2135" s="2" t="n">
        <v>2131</v>
      </c>
      <c r="B2135" s="2" t="s">
        <v>6324</v>
      </c>
      <c r="C2135" s="2" t="s">
        <v>6325</v>
      </c>
      <c r="D2135" s="2" t="s">
        <v>6326</v>
      </c>
      <c r="E2135" s="2" t="str">
        <f aca="false">LEFT(C2135,3)</f>
        <v>313</v>
      </c>
      <c r="F2135" s="2" t="str">
        <f aca="false">IF(D2135="","",LEFT(D2135,3))</f>
        <v>812</v>
      </c>
      <c r="G2135" s="2" t="str">
        <f aca="false">IF(F2135="","",IF(E2135=F2135,"Yes","No"))</f>
        <v>No</v>
      </c>
      <c r="H2135" s="2" t="n">
        <f aca="false">IF(D2135="",0,1/COUNTIF($D$2:$D$3451,D2135))</f>
        <v>1</v>
      </c>
      <c r="I2135" s="13" t="n">
        <f aca="false">IFERROR(INDEX('NCO-2015 scores'!$C$2:$C$131,MATCH(E2135,'NCO-2015 scores'!$A$2:$A$131,0)),0)</f>
        <v>0.288</v>
      </c>
      <c r="J2135" s="13" t="n">
        <f aca="false">IF(ISNUMBER(MATCH(E2135,'NCO-2015 scores'!$A$2:$A$131,0)),IF(ISNUMBER(INDEX('NCO-2015 scores'!$C$2:$C$131,MATCH(E2135,'NCO-2015 scores'!$A$2:$A$131,0))),1,0),0)</f>
        <v>1</v>
      </c>
    </row>
    <row r="2136" customFormat="false" ht="15" hidden="false" customHeight="false" outlineLevel="0" collapsed="false">
      <c r="A2136" s="2" t="n">
        <v>2132</v>
      </c>
      <c r="B2136" s="2" t="s">
        <v>6327</v>
      </c>
      <c r="C2136" s="2" t="s">
        <v>6328</v>
      </c>
      <c r="D2136" s="2" t="s">
        <v>6329</v>
      </c>
      <c r="E2136" s="2" t="str">
        <f aca="false">LEFT(C2136,3)</f>
        <v>313</v>
      </c>
      <c r="F2136" s="2" t="str">
        <f aca="false">IF(D2136="","",LEFT(D2136,3))</f>
        <v>812</v>
      </c>
      <c r="G2136" s="2" t="str">
        <f aca="false">IF(F2136="","",IF(E2136=F2136,"Yes","No"))</f>
        <v>No</v>
      </c>
      <c r="H2136" s="2" t="n">
        <f aca="false">IF(D2136="",0,1/COUNTIF($D$2:$D$3451,D2136))</f>
        <v>1</v>
      </c>
      <c r="I2136" s="13" t="n">
        <f aca="false">IFERROR(INDEX('NCO-2015 scores'!$C$2:$C$131,MATCH(E2136,'NCO-2015 scores'!$A$2:$A$131,0)),0)</f>
        <v>0.288</v>
      </c>
      <c r="J2136" s="13" t="n">
        <f aca="false">IF(ISNUMBER(MATCH(E2136,'NCO-2015 scores'!$A$2:$A$131,0)),IF(ISNUMBER(INDEX('NCO-2015 scores'!$C$2:$C$131,MATCH(E2136,'NCO-2015 scores'!$A$2:$A$131,0))),1,0),0)</f>
        <v>1</v>
      </c>
    </row>
    <row r="2137" customFormat="false" ht="15" hidden="false" customHeight="false" outlineLevel="0" collapsed="false">
      <c r="A2137" s="2" t="n">
        <v>2133</v>
      </c>
      <c r="B2137" s="2" t="s">
        <v>6330</v>
      </c>
      <c r="C2137" s="2" t="s">
        <v>6331</v>
      </c>
      <c r="D2137" s="2"/>
      <c r="E2137" s="2" t="str">
        <f aca="false">LEFT(C2137,3)</f>
        <v>313</v>
      </c>
      <c r="F2137" s="2" t="str">
        <f aca="false">IF(D2137="","",LEFT(D2137,3))</f>
        <v/>
      </c>
      <c r="G2137" s="2" t="str">
        <f aca="false">IF(F2137="","",IF(E2137=F2137,"Yes","No"))</f>
        <v/>
      </c>
      <c r="H2137" s="2" t="n">
        <f aca="false">IF(D2137="",0,1/COUNTIF($D$2:$D$3451,D2137))</f>
        <v>0</v>
      </c>
      <c r="I2137" s="13" t="n">
        <f aca="false">IFERROR(INDEX('NCO-2015 scores'!$C$2:$C$131,MATCH(E2137,'NCO-2015 scores'!$A$2:$A$131,0)),0)</f>
        <v>0.288</v>
      </c>
      <c r="J2137" s="13" t="n">
        <f aca="false">IF(ISNUMBER(MATCH(E2137,'NCO-2015 scores'!$A$2:$A$131,0)),IF(ISNUMBER(INDEX('NCO-2015 scores'!$C$2:$C$131,MATCH(E2137,'NCO-2015 scores'!$A$2:$A$131,0))),1,0),0)</f>
        <v>1</v>
      </c>
    </row>
    <row r="2138" customFormat="false" ht="15" hidden="false" customHeight="false" outlineLevel="0" collapsed="false">
      <c r="A2138" s="2" t="n">
        <v>2134</v>
      </c>
      <c r="B2138" s="2" t="s">
        <v>6332</v>
      </c>
      <c r="C2138" s="2" t="s">
        <v>6333</v>
      </c>
      <c r="D2138" s="2" t="s">
        <v>6334</v>
      </c>
      <c r="E2138" s="2" t="str">
        <f aca="false">LEFT(C2138,3)</f>
        <v>313</v>
      </c>
      <c r="F2138" s="2" t="str">
        <f aca="false">IF(D2138="","",LEFT(D2138,3))</f>
        <v>812</v>
      </c>
      <c r="G2138" s="2" t="str">
        <f aca="false">IF(F2138="","",IF(E2138=F2138,"Yes","No"))</f>
        <v>No</v>
      </c>
      <c r="H2138" s="2" t="n">
        <f aca="false">IF(D2138="",0,1/COUNTIF($D$2:$D$3451,D2138))</f>
        <v>1</v>
      </c>
      <c r="I2138" s="13" t="n">
        <f aca="false">IFERROR(INDEX('NCO-2015 scores'!$C$2:$C$131,MATCH(E2138,'NCO-2015 scores'!$A$2:$A$131,0)),0)</f>
        <v>0.288</v>
      </c>
      <c r="J2138" s="13" t="n">
        <f aca="false">IF(ISNUMBER(MATCH(E2138,'NCO-2015 scores'!$A$2:$A$131,0)),IF(ISNUMBER(INDEX('NCO-2015 scores'!$C$2:$C$131,MATCH(E2138,'NCO-2015 scores'!$A$2:$A$131,0))),1,0),0)</f>
        <v>1</v>
      </c>
    </row>
    <row r="2139" customFormat="false" ht="15" hidden="false" customHeight="false" outlineLevel="0" collapsed="false">
      <c r="A2139" s="2" t="n">
        <v>2135</v>
      </c>
      <c r="B2139" s="2" t="s">
        <v>6335</v>
      </c>
      <c r="C2139" s="2" t="s">
        <v>6336</v>
      </c>
      <c r="D2139" s="2" t="s">
        <v>6337</v>
      </c>
      <c r="E2139" s="2" t="str">
        <f aca="false">LEFT(C2139,3)</f>
        <v>313</v>
      </c>
      <c r="F2139" s="2" t="str">
        <f aca="false">IF(D2139="","",LEFT(D2139,3))</f>
        <v>812</v>
      </c>
      <c r="G2139" s="2" t="str">
        <f aca="false">IF(F2139="","",IF(E2139=F2139,"Yes","No"))</f>
        <v>No</v>
      </c>
      <c r="H2139" s="2" t="n">
        <f aca="false">IF(D2139="",0,1/COUNTIF($D$2:$D$3451,D2139))</f>
        <v>1</v>
      </c>
      <c r="I2139" s="13" t="n">
        <f aca="false">IFERROR(INDEX('NCO-2015 scores'!$C$2:$C$131,MATCH(E2139,'NCO-2015 scores'!$A$2:$A$131,0)),0)</f>
        <v>0.288</v>
      </c>
      <c r="J2139" s="13" t="n">
        <f aca="false">IF(ISNUMBER(MATCH(E2139,'NCO-2015 scores'!$A$2:$A$131,0)),IF(ISNUMBER(INDEX('NCO-2015 scores'!$C$2:$C$131,MATCH(E2139,'NCO-2015 scores'!$A$2:$A$131,0))),1,0),0)</f>
        <v>1</v>
      </c>
    </row>
    <row r="2140" customFormat="false" ht="15" hidden="false" customHeight="false" outlineLevel="0" collapsed="false">
      <c r="A2140" s="2" t="n">
        <v>2136</v>
      </c>
      <c r="B2140" s="2" t="s">
        <v>6338</v>
      </c>
      <c r="C2140" s="2" t="s">
        <v>6339</v>
      </c>
      <c r="D2140" s="2" t="s">
        <v>6340</v>
      </c>
      <c r="E2140" s="2" t="str">
        <f aca="false">LEFT(C2140,3)</f>
        <v>313</v>
      </c>
      <c r="F2140" s="2" t="str">
        <f aca="false">IF(D2140="","",LEFT(D2140,3))</f>
        <v>812</v>
      </c>
      <c r="G2140" s="2" t="str">
        <f aca="false">IF(F2140="","",IF(E2140=F2140,"Yes","No"))</f>
        <v>No</v>
      </c>
      <c r="H2140" s="2" t="n">
        <f aca="false">IF(D2140="",0,1/COUNTIF($D$2:$D$3451,D2140))</f>
        <v>1</v>
      </c>
      <c r="I2140" s="13" t="n">
        <f aca="false">IFERROR(INDEX('NCO-2015 scores'!$C$2:$C$131,MATCH(E2140,'NCO-2015 scores'!$A$2:$A$131,0)),0)</f>
        <v>0.288</v>
      </c>
      <c r="J2140" s="13" t="n">
        <f aca="false">IF(ISNUMBER(MATCH(E2140,'NCO-2015 scores'!$A$2:$A$131,0)),IF(ISNUMBER(INDEX('NCO-2015 scores'!$C$2:$C$131,MATCH(E2140,'NCO-2015 scores'!$A$2:$A$131,0))),1,0),0)</f>
        <v>1</v>
      </c>
    </row>
    <row r="2141" customFormat="false" ht="15" hidden="false" customHeight="false" outlineLevel="0" collapsed="false">
      <c r="A2141" s="2" t="n">
        <v>2137</v>
      </c>
      <c r="B2141" s="2" t="s">
        <v>6341</v>
      </c>
      <c r="C2141" s="2" t="s">
        <v>6342</v>
      </c>
      <c r="D2141" s="2" t="s">
        <v>6343</v>
      </c>
      <c r="E2141" s="2" t="str">
        <f aca="false">LEFT(C2141,3)</f>
        <v>313</v>
      </c>
      <c r="F2141" s="2" t="str">
        <f aca="false">IF(D2141="","",LEFT(D2141,3))</f>
        <v>812</v>
      </c>
      <c r="G2141" s="2" t="str">
        <f aca="false">IF(F2141="","",IF(E2141=F2141,"Yes","No"))</f>
        <v>No</v>
      </c>
      <c r="H2141" s="2" t="n">
        <f aca="false">IF(D2141="",0,1/COUNTIF($D$2:$D$3451,D2141))</f>
        <v>1</v>
      </c>
      <c r="I2141" s="13" t="n">
        <f aca="false">IFERROR(INDEX('NCO-2015 scores'!$C$2:$C$131,MATCH(E2141,'NCO-2015 scores'!$A$2:$A$131,0)),0)</f>
        <v>0.288</v>
      </c>
      <c r="J2141" s="13" t="n">
        <f aca="false">IF(ISNUMBER(MATCH(E2141,'NCO-2015 scores'!$A$2:$A$131,0)),IF(ISNUMBER(INDEX('NCO-2015 scores'!$C$2:$C$131,MATCH(E2141,'NCO-2015 scores'!$A$2:$A$131,0))),1,0),0)</f>
        <v>1</v>
      </c>
    </row>
    <row r="2142" customFormat="false" ht="15" hidden="false" customHeight="false" outlineLevel="0" collapsed="false">
      <c r="A2142" s="2" t="n">
        <v>2138</v>
      </c>
      <c r="B2142" s="2" t="s">
        <v>6344</v>
      </c>
      <c r="C2142" s="2" t="s">
        <v>6345</v>
      </c>
      <c r="D2142" s="2"/>
      <c r="E2142" s="2" t="str">
        <f aca="false">LEFT(C2142,3)</f>
        <v>313</v>
      </c>
      <c r="F2142" s="2" t="str">
        <f aca="false">IF(D2142="","",LEFT(D2142,3))</f>
        <v/>
      </c>
      <c r="G2142" s="2" t="str">
        <f aca="false">IF(F2142="","",IF(E2142=F2142,"Yes","No"))</f>
        <v/>
      </c>
      <c r="H2142" s="2" t="n">
        <f aca="false">IF(D2142="",0,1/COUNTIF($D$2:$D$3451,D2142))</f>
        <v>0</v>
      </c>
      <c r="I2142" s="13" t="n">
        <f aca="false">IFERROR(INDEX('NCO-2015 scores'!$C$2:$C$131,MATCH(E2142,'NCO-2015 scores'!$A$2:$A$131,0)),0)</f>
        <v>0.288</v>
      </c>
      <c r="J2142" s="13" t="n">
        <f aca="false">IF(ISNUMBER(MATCH(E2142,'NCO-2015 scores'!$A$2:$A$131,0)),IF(ISNUMBER(INDEX('NCO-2015 scores'!$C$2:$C$131,MATCH(E2142,'NCO-2015 scores'!$A$2:$A$131,0))),1,0),0)</f>
        <v>1</v>
      </c>
    </row>
    <row r="2143" customFormat="false" ht="15" hidden="false" customHeight="false" outlineLevel="0" collapsed="false">
      <c r="A2143" s="2" t="n">
        <v>2139</v>
      </c>
      <c r="B2143" s="2" t="s">
        <v>6346</v>
      </c>
      <c r="C2143" s="2" t="s">
        <v>6347</v>
      </c>
      <c r="D2143" s="2"/>
      <c r="E2143" s="2" t="str">
        <f aca="false">LEFT(C2143,3)</f>
        <v>313</v>
      </c>
      <c r="F2143" s="2" t="str">
        <f aca="false">IF(D2143="","",LEFT(D2143,3))</f>
        <v/>
      </c>
      <c r="G2143" s="2" t="str">
        <f aca="false">IF(F2143="","",IF(E2143=F2143,"Yes","No"))</f>
        <v/>
      </c>
      <c r="H2143" s="2" t="n">
        <f aca="false">IF(D2143="",0,1/COUNTIF($D$2:$D$3451,D2143))</f>
        <v>0</v>
      </c>
      <c r="I2143" s="13" t="n">
        <f aca="false">IFERROR(INDEX('NCO-2015 scores'!$C$2:$C$131,MATCH(E2143,'NCO-2015 scores'!$A$2:$A$131,0)),0)</f>
        <v>0.288</v>
      </c>
      <c r="J2143" s="13" t="n">
        <f aca="false">IF(ISNUMBER(MATCH(E2143,'NCO-2015 scores'!$A$2:$A$131,0)),IF(ISNUMBER(INDEX('NCO-2015 scores'!$C$2:$C$131,MATCH(E2143,'NCO-2015 scores'!$A$2:$A$131,0))),1,0),0)</f>
        <v>1</v>
      </c>
    </row>
    <row r="2144" customFormat="false" ht="15" hidden="false" customHeight="false" outlineLevel="0" collapsed="false">
      <c r="A2144" s="2" t="n">
        <v>2140</v>
      </c>
      <c r="B2144" s="2" t="s">
        <v>6348</v>
      </c>
      <c r="C2144" s="2" t="s">
        <v>6349</v>
      </c>
      <c r="D2144" s="2"/>
      <c r="E2144" s="2" t="str">
        <f aca="false">LEFT(C2144,3)</f>
        <v>313</v>
      </c>
      <c r="F2144" s="2" t="str">
        <f aca="false">IF(D2144="","",LEFT(D2144,3))</f>
        <v/>
      </c>
      <c r="G2144" s="2" t="str">
        <f aca="false">IF(F2144="","",IF(E2144=F2144,"Yes","No"))</f>
        <v/>
      </c>
      <c r="H2144" s="2" t="n">
        <f aca="false">IF(D2144="",0,1/COUNTIF($D$2:$D$3451,D2144))</f>
        <v>0</v>
      </c>
      <c r="I2144" s="13" t="n">
        <f aca="false">IFERROR(INDEX('NCO-2015 scores'!$C$2:$C$131,MATCH(E2144,'NCO-2015 scores'!$A$2:$A$131,0)),0)</f>
        <v>0.288</v>
      </c>
      <c r="J2144" s="13" t="n">
        <f aca="false">IF(ISNUMBER(MATCH(E2144,'NCO-2015 scores'!$A$2:$A$131,0)),IF(ISNUMBER(INDEX('NCO-2015 scores'!$C$2:$C$131,MATCH(E2144,'NCO-2015 scores'!$A$2:$A$131,0))),1,0),0)</f>
        <v>1</v>
      </c>
    </row>
    <row r="2145" customFormat="false" ht="15" hidden="false" customHeight="false" outlineLevel="0" collapsed="false">
      <c r="A2145" s="2" t="n">
        <v>2141</v>
      </c>
      <c r="B2145" s="2" t="s">
        <v>6350</v>
      </c>
      <c r="C2145" s="2" t="s">
        <v>6351</v>
      </c>
      <c r="D2145" s="2" t="s">
        <v>6352</v>
      </c>
      <c r="E2145" s="2" t="str">
        <f aca="false">LEFT(C2145,3)</f>
        <v>313</v>
      </c>
      <c r="F2145" s="2" t="str">
        <f aca="false">IF(D2145="","",LEFT(D2145,3))</f>
        <v>812</v>
      </c>
      <c r="G2145" s="2" t="str">
        <f aca="false">IF(F2145="","",IF(E2145=F2145,"Yes","No"))</f>
        <v>No</v>
      </c>
      <c r="H2145" s="2" t="n">
        <f aca="false">IF(D2145="",0,1/COUNTIF($D$2:$D$3451,D2145))</f>
        <v>1</v>
      </c>
      <c r="I2145" s="13" t="n">
        <f aca="false">IFERROR(INDEX('NCO-2015 scores'!$C$2:$C$131,MATCH(E2145,'NCO-2015 scores'!$A$2:$A$131,0)),0)</f>
        <v>0.288</v>
      </c>
      <c r="J2145" s="13" t="n">
        <f aca="false">IF(ISNUMBER(MATCH(E2145,'NCO-2015 scores'!$A$2:$A$131,0)),IF(ISNUMBER(INDEX('NCO-2015 scores'!$C$2:$C$131,MATCH(E2145,'NCO-2015 scores'!$A$2:$A$131,0))),1,0),0)</f>
        <v>1</v>
      </c>
    </row>
    <row r="2146" customFormat="false" ht="15" hidden="false" customHeight="false" outlineLevel="0" collapsed="false">
      <c r="A2146" s="2" t="n">
        <v>2142</v>
      </c>
      <c r="B2146" s="2" t="s">
        <v>6353</v>
      </c>
      <c r="C2146" s="2" t="s">
        <v>6354</v>
      </c>
      <c r="D2146" s="2" t="s">
        <v>6355</v>
      </c>
      <c r="E2146" s="2" t="str">
        <f aca="false">LEFT(C2146,3)</f>
        <v>313</v>
      </c>
      <c r="F2146" s="2" t="str">
        <f aca="false">IF(D2146="","",LEFT(D2146,3))</f>
        <v>812</v>
      </c>
      <c r="G2146" s="2" t="str">
        <f aca="false">IF(F2146="","",IF(E2146=F2146,"Yes","No"))</f>
        <v>No</v>
      </c>
      <c r="H2146" s="2" t="n">
        <f aca="false">IF(D2146="",0,1/COUNTIF($D$2:$D$3451,D2146))</f>
        <v>1</v>
      </c>
      <c r="I2146" s="13" t="n">
        <f aca="false">IFERROR(INDEX('NCO-2015 scores'!$C$2:$C$131,MATCH(E2146,'NCO-2015 scores'!$A$2:$A$131,0)),0)</f>
        <v>0.288</v>
      </c>
      <c r="J2146" s="13" t="n">
        <f aca="false">IF(ISNUMBER(MATCH(E2146,'NCO-2015 scores'!$A$2:$A$131,0)),IF(ISNUMBER(INDEX('NCO-2015 scores'!$C$2:$C$131,MATCH(E2146,'NCO-2015 scores'!$A$2:$A$131,0))),1,0),0)</f>
        <v>1</v>
      </c>
    </row>
    <row r="2147" customFormat="false" ht="15" hidden="false" customHeight="false" outlineLevel="0" collapsed="false">
      <c r="A2147" s="2" t="n">
        <v>2143</v>
      </c>
      <c r="B2147" s="2" t="s">
        <v>6356</v>
      </c>
      <c r="C2147" s="2" t="s">
        <v>6357</v>
      </c>
      <c r="D2147" s="2" t="s">
        <v>6358</v>
      </c>
      <c r="E2147" s="2" t="str">
        <f aca="false">LEFT(C2147,3)</f>
        <v>313</v>
      </c>
      <c r="F2147" s="2" t="str">
        <f aca="false">IF(D2147="","",LEFT(D2147,3))</f>
        <v>812</v>
      </c>
      <c r="G2147" s="2" t="str">
        <f aca="false">IF(F2147="","",IF(E2147=F2147,"Yes","No"))</f>
        <v>No</v>
      </c>
      <c r="H2147" s="2" t="n">
        <f aca="false">IF(D2147="",0,1/COUNTIF($D$2:$D$3451,D2147))</f>
        <v>1</v>
      </c>
      <c r="I2147" s="13" t="n">
        <f aca="false">IFERROR(INDEX('NCO-2015 scores'!$C$2:$C$131,MATCH(E2147,'NCO-2015 scores'!$A$2:$A$131,0)),0)</f>
        <v>0.288</v>
      </c>
      <c r="J2147" s="13" t="n">
        <f aca="false">IF(ISNUMBER(MATCH(E2147,'NCO-2015 scores'!$A$2:$A$131,0)),IF(ISNUMBER(INDEX('NCO-2015 scores'!$C$2:$C$131,MATCH(E2147,'NCO-2015 scores'!$A$2:$A$131,0))),1,0),0)</f>
        <v>1</v>
      </c>
    </row>
    <row r="2148" customFormat="false" ht="15" hidden="false" customHeight="false" outlineLevel="0" collapsed="false">
      <c r="A2148" s="2" t="n">
        <v>2144</v>
      </c>
      <c r="B2148" s="2" t="s">
        <v>6359</v>
      </c>
      <c r="C2148" s="2" t="s">
        <v>6360</v>
      </c>
      <c r="D2148" s="2" t="s">
        <v>6361</v>
      </c>
      <c r="E2148" s="2" t="str">
        <f aca="false">LEFT(C2148,3)</f>
        <v>722</v>
      </c>
      <c r="F2148" s="2" t="str">
        <f aca="false">IF(D2148="","",LEFT(D2148,3))</f>
        <v>722</v>
      </c>
      <c r="G2148" s="2" t="str">
        <f aca="false">IF(F2148="","",IF(E2148=F2148,"Yes","No"))</f>
        <v>Yes</v>
      </c>
      <c r="H2148" s="2" t="n">
        <f aca="false">IF(D2148="",0,1/COUNTIF($D$2:$D$3451,D2148))</f>
        <v>1</v>
      </c>
      <c r="I2148" s="13" t="n">
        <f aca="false">IFERROR(INDEX('NCO-2015 scores'!$C$2:$C$131,MATCH(E2148,'NCO-2015 scores'!$A$2:$A$131,0)),0)</f>
        <v>0.18</v>
      </c>
      <c r="J2148" s="13" t="n">
        <f aca="false">IF(ISNUMBER(MATCH(E2148,'NCO-2015 scores'!$A$2:$A$131,0)),IF(ISNUMBER(INDEX('NCO-2015 scores'!$C$2:$C$131,MATCH(E2148,'NCO-2015 scores'!$A$2:$A$131,0))),1,0),0)</f>
        <v>1</v>
      </c>
    </row>
    <row r="2149" customFormat="false" ht="15" hidden="false" customHeight="false" outlineLevel="0" collapsed="false">
      <c r="A2149" s="2" t="n">
        <v>2145</v>
      </c>
      <c r="B2149" s="2" t="s">
        <v>6362</v>
      </c>
      <c r="C2149" s="2" t="s">
        <v>6363</v>
      </c>
      <c r="D2149" s="2" t="s">
        <v>6364</v>
      </c>
      <c r="E2149" s="2" t="str">
        <f aca="false">LEFT(C2149,3)</f>
        <v>722</v>
      </c>
      <c r="F2149" s="2" t="str">
        <f aca="false">IF(D2149="","",LEFT(D2149,3))</f>
        <v>722</v>
      </c>
      <c r="G2149" s="2" t="str">
        <f aca="false">IF(F2149="","",IF(E2149=F2149,"Yes","No"))</f>
        <v>Yes</v>
      </c>
      <c r="H2149" s="2" t="n">
        <f aca="false">IF(D2149="",0,1/COUNTIF($D$2:$D$3451,D2149))</f>
        <v>1</v>
      </c>
      <c r="I2149" s="13" t="n">
        <f aca="false">IFERROR(INDEX('NCO-2015 scores'!$C$2:$C$131,MATCH(E2149,'NCO-2015 scores'!$A$2:$A$131,0)),0)</f>
        <v>0.18</v>
      </c>
      <c r="J2149" s="13" t="n">
        <f aca="false">IF(ISNUMBER(MATCH(E2149,'NCO-2015 scores'!$A$2:$A$131,0)),IF(ISNUMBER(INDEX('NCO-2015 scores'!$C$2:$C$131,MATCH(E2149,'NCO-2015 scores'!$A$2:$A$131,0))),1,0),0)</f>
        <v>1</v>
      </c>
    </row>
    <row r="2150" customFormat="false" ht="15" hidden="false" customHeight="false" outlineLevel="0" collapsed="false">
      <c r="A2150" s="2" t="n">
        <v>2146</v>
      </c>
      <c r="B2150" s="2" t="s">
        <v>6365</v>
      </c>
      <c r="C2150" s="2" t="s">
        <v>6366</v>
      </c>
      <c r="D2150" s="2"/>
      <c r="E2150" s="2" t="str">
        <f aca="false">LEFT(C2150,3)</f>
        <v>722</v>
      </c>
      <c r="F2150" s="2" t="str">
        <f aca="false">IF(D2150="","",LEFT(D2150,3))</f>
        <v/>
      </c>
      <c r="G2150" s="2" t="str">
        <f aca="false">IF(F2150="","",IF(E2150=F2150,"Yes","No"))</f>
        <v/>
      </c>
      <c r="H2150" s="2" t="n">
        <f aca="false">IF(D2150="",0,1/COUNTIF($D$2:$D$3451,D2150))</f>
        <v>0</v>
      </c>
      <c r="I2150" s="13" t="n">
        <f aca="false">IFERROR(INDEX('NCO-2015 scores'!$C$2:$C$131,MATCH(E2150,'NCO-2015 scores'!$A$2:$A$131,0)),0)</f>
        <v>0.18</v>
      </c>
      <c r="J2150" s="13" t="n">
        <f aca="false">IF(ISNUMBER(MATCH(E2150,'NCO-2015 scores'!$A$2:$A$131,0)),IF(ISNUMBER(INDEX('NCO-2015 scores'!$C$2:$C$131,MATCH(E2150,'NCO-2015 scores'!$A$2:$A$131,0))),1,0),0)</f>
        <v>1</v>
      </c>
    </row>
    <row r="2151" customFormat="false" ht="15" hidden="false" customHeight="false" outlineLevel="0" collapsed="false">
      <c r="A2151" s="2" t="n">
        <v>2147</v>
      </c>
      <c r="B2151" s="2" t="s">
        <v>6367</v>
      </c>
      <c r="C2151" s="2" t="s">
        <v>6368</v>
      </c>
      <c r="D2151" s="2" t="s">
        <v>6369</v>
      </c>
      <c r="E2151" s="2" t="str">
        <f aca="false">LEFT(C2151,3)</f>
        <v>722</v>
      </c>
      <c r="F2151" s="2" t="str">
        <f aca="false">IF(D2151="","",LEFT(D2151,3))</f>
        <v>821</v>
      </c>
      <c r="G2151" s="2" t="str">
        <f aca="false">IF(F2151="","",IF(E2151=F2151,"Yes","No"))</f>
        <v>No</v>
      </c>
      <c r="H2151" s="2" t="n">
        <f aca="false">IF(D2151="",0,1/COUNTIF($D$2:$D$3451,D2151))</f>
        <v>1</v>
      </c>
      <c r="I2151" s="13" t="n">
        <f aca="false">IFERROR(INDEX('NCO-2015 scores'!$C$2:$C$131,MATCH(E2151,'NCO-2015 scores'!$A$2:$A$131,0)),0)</f>
        <v>0.18</v>
      </c>
      <c r="J2151" s="13" t="n">
        <f aca="false">IF(ISNUMBER(MATCH(E2151,'NCO-2015 scores'!$A$2:$A$131,0)),IF(ISNUMBER(INDEX('NCO-2015 scores'!$C$2:$C$131,MATCH(E2151,'NCO-2015 scores'!$A$2:$A$131,0))),1,0),0)</f>
        <v>1</v>
      </c>
    </row>
    <row r="2152" customFormat="false" ht="15" hidden="false" customHeight="false" outlineLevel="0" collapsed="false">
      <c r="A2152" s="2" t="n">
        <v>2148</v>
      </c>
      <c r="B2152" s="2" t="s">
        <v>6370</v>
      </c>
      <c r="C2152" s="2" t="s">
        <v>6371</v>
      </c>
      <c r="D2152" s="2" t="s">
        <v>6372</v>
      </c>
      <c r="E2152" s="2" t="str">
        <f aca="false">LEFT(C2152,3)</f>
        <v>722</v>
      </c>
      <c r="F2152" s="2" t="str">
        <f aca="false">IF(D2152="","",LEFT(D2152,3))</f>
        <v>821</v>
      </c>
      <c r="G2152" s="2" t="str">
        <f aca="false">IF(F2152="","",IF(E2152=F2152,"Yes","No"))</f>
        <v>No</v>
      </c>
      <c r="H2152" s="2" t="n">
        <f aca="false">IF(D2152="",0,1/COUNTIF($D$2:$D$3451,D2152))</f>
        <v>1</v>
      </c>
      <c r="I2152" s="13" t="n">
        <f aca="false">IFERROR(INDEX('NCO-2015 scores'!$C$2:$C$131,MATCH(E2152,'NCO-2015 scores'!$A$2:$A$131,0)),0)</f>
        <v>0.18</v>
      </c>
      <c r="J2152" s="13" t="n">
        <f aca="false">IF(ISNUMBER(MATCH(E2152,'NCO-2015 scores'!$A$2:$A$131,0)),IF(ISNUMBER(INDEX('NCO-2015 scores'!$C$2:$C$131,MATCH(E2152,'NCO-2015 scores'!$A$2:$A$131,0))),1,0),0)</f>
        <v>1</v>
      </c>
    </row>
    <row r="2153" customFormat="false" ht="15" hidden="false" customHeight="false" outlineLevel="0" collapsed="false">
      <c r="A2153" s="2" t="n">
        <v>2149</v>
      </c>
      <c r="B2153" s="2" t="s">
        <v>6373</v>
      </c>
      <c r="C2153" s="2" t="s">
        <v>6374</v>
      </c>
      <c r="D2153" s="2"/>
      <c r="E2153" s="2" t="str">
        <f aca="false">LEFT(C2153,3)</f>
        <v>722</v>
      </c>
      <c r="F2153" s="2" t="str">
        <f aca="false">IF(D2153="","",LEFT(D2153,3))</f>
        <v/>
      </c>
      <c r="G2153" s="2" t="str">
        <f aca="false">IF(F2153="","",IF(E2153=F2153,"Yes","No"))</f>
        <v/>
      </c>
      <c r="H2153" s="2" t="n">
        <f aca="false">IF(D2153="",0,1/COUNTIF($D$2:$D$3451,D2153))</f>
        <v>0</v>
      </c>
      <c r="I2153" s="13" t="n">
        <f aca="false">IFERROR(INDEX('NCO-2015 scores'!$C$2:$C$131,MATCH(E2153,'NCO-2015 scores'!$A$2:$A$131,0)),0)</f>
        <v>0.18</v>
      </c>
      <c r="J2153" s="13" t="n">
        <f aca="false">IF(ISNUMBER(MATCH(E2153,'NCO-2015 scores'!$A$2:$A$131,0)),IF(ISNUMBER(INDEX('NCO-2015 scores'!$C$2:$C$131,MATCH(E2153,'NCO-2015 scores'!$A$2:$A$131,0))),1,0),0)</f>
        <v>1</v>
      </c>
    </row>
    <row r="2154" customFormat="false" ht="15" hidden="false" customHeight="false" outlineLevel="0" collapsed="false">
      <c r="A2154" s="2" t="n">
        <v>2150</v>
      </c>
      <c r="B2154" s="2" t="s">
        <v>6375</v>
      </c>
      <c r="C2154" s="2" t="s">
        <v>6376</v>
      </c>
      <c r="D2154" s="2" t="s">
        <v>6377</v>
      </c>
      <c r="E2154" s="2" t="str">
        <f aca="false">LEFT(C2154,3)</f>
        <v>722</v>
      </c>
      <c r="F2154" s="2" t="str">
        <f aca="false">IF(D2154="","",LEFT(D2154,3))</f>
        <v>821</v>
      </c>
      <c r="G2154" s="2" t="str">
        <f aca="false">IF(F2154="","",IF(E2154=F2154,"Yes","No"))</f>
        <v>No</v>
      </c>
      <c r="H2154" s="2" t="n">
        <f aca="false">IF(D2154="",0,1/COUNTIF($D$2:$D$3451,D2154))</f>
        <v>1</v>
      </c>
      <c r="I2154" s="13" t="n">
        <f aca="false">IFERROR(INDEX('NCO-2015 scores'!$C$2:$C$131,MATCH(E2154,'NCO-2015 scores'!$A$2:$A$131,0)),0)</f>
        <v>0.18</v>
      </c>
      <c r="J2154" s="13" t="n">
        <f aca="false">IF(ISNUMBER(MATCH(E2154,'NCO-2015 scores'!$A$2:$A$131,0)),IF(ISNUMBER(INDEX('NCO-2015 scores'!$C$2:$C$131,MATCH(E2154,'NCO-2015 scores'!$A$2:$A$131,0))),1,0),0)</f>
        <v>1</v>
      </c>
    </row>
    <row r="2155" customFormat="false" ht="15" hidden="false" customHeight="false" outlineLevel="0" collapsed="false">
      <c r="A2155" s="2" t="n">
        <v>2151</v>
      </c>
      <c r="B2155" s="2" t="s">
        <v>6378</v>
      </c>
      <c r="C2155" s="2" t="s">
        <v>6379</v>
      </c>
      <c r="D2155" s="2" t="s">
        <v>6380</v>
      </c>
      <c r="E2155" s="2" t="str">
        <f aca="false">LEFT(C2155,3)</f>
        <v>722</v>
      </c>
      <c r="F2155" s="2" t="str">
        <f aca="false">IF(D2155="","",LEFT(D2155,3))</f>
        <v>821</v>
      </c>
      <c r="G2155" s="2" t="str">
        <f aca="false">IF(F2155="","",IF(E2155=F2155,"Yes","No"))</f>
        <v>No</v>
      </c>
      <c r="H2155" s="2" t="n">
        <f aca="false">IF(D2155="",0,1/COUNTIF($D$2:$D$3451,D2155))</f>
        <v>1</v>
      </c>
      <c r="I2155" s="13" t="n">
        <f aca="false">IFERROR(INDEX('NCO-2015 scores'!$C$2:$C$131,MATCH(E2155,'NCO-2015 scores'!$A$2:$A$131,0)),0)</f>
        <v>0.18</v>
      </c>
      <c r="J2155" s="13" t="n">
        <f aca="false">IF(ISNUMBER(MATCH(E2155,'NCO-2015 scores'!$A$2:$A$131,0)),IF(ISNUMBER(INDEX('NCO-2015 scores'!$C$2:$C$131,MATCH(E2155,'NCO-2015 scores'!$A$2:$A$131,0))),1,0),0)</f>
        <v>1</v>
      </c>
    </row>
    <row r="2156" customFormat="false" ht="15" hidden="false" customHeight="false" outlineLevel="0" collapsed="false">
      <c r="A2156" s="2" t="n">
        <v>2152</v>
      </c>
      <c r="B2156" s="2" t="s">
        <v>6381</v>
      </c>
      <c r="C2156" s="2" t="s">
        <v>6382</v>
      </c>
      <c r="D2156" s="2" t="s">
        <v>6383</v>
      </c>
      <c r="E2156" s="2" t="str">
        <f aca="false">LEFT(C2156,3)</f>
        <v>722</v>
      </c>
      <c r="F2156" s="2" t="str">
        <f aca="false">IF(D2156="","",LEFT(D2156,3))</f>
        <v>722</v>
      </c>
      <c r="G2156" s="2" t="str">
        <f aca="false">IF(F2156="","",IF(E2156=F2156,"Yes","No"))</f>
        <v>Yes</v>
      </c>
      <c r="H2156" s="2" t="n">
        <f aca="false">IF(D2156="",0,1/COUNTIF($D$2:$D$3451,D2156))</f>
        <v>1</v>
      </c>
      <c r="I2156" s="13" t="n">
        <f aca="false">IFERROR(INDEX('NCO-2015 scores'!$C$2:$C$131,MATCH(E2156,'NCO-2015 scores'!$A$2:$A$131,0)),0)</f>
        <v>0.18</v>
      </c>
      <c r="J2156" s="13" t="n">
        <f aca="false">IF(ISNUMBER(MATCH(E2156,'NCO-2015 scores'!$A$2:$A$131,0)),IF(ISNUMBER(INDEX('NCO-2015 scores'!$C$2:$C$131,MATCH(E2156,'NCO-2015 scores'!$A$2:$A$131,0))),1,0),0)</f>
        <v>1</v>
      </c>
    </row>
    <row r="2157" customFormat="false" ht="15" hidden="false" customHeight="false" outlineLevel="0" collapsed="false">
      <c r="A2157" s="2" t="n">
        <v>2153</v>
      </c>
      <c r="B2157" s="2" t="s">
        <v>6384</v>
      </c>
      <c r="C2157" s="2" t="s">
        <v>6385</v>
      </c>
      <c r="D2157" s="2" t="s">
        <v>6386</v>
      </c>
      <c r="E2157" s="2" t="str">
        <f aca="false">LEFT(C2157,3)</f>
        <v>722</v>
      </c>
      <c r="F2157" s="2" t="str">
        <f aca="false">IF(D2157="","",LEFT(D2157,3))</f>
        <v>722</v>
      </c>
      <c r="G2157" s="2" t="str">
        <f aca="false">IF(F2157="","",IF(E2157=F2157,"Yes","No"))</f>
        <v>Yes</v>
      </c>
      <c r="H2157" s="2" t="n">
        <f aca="false">IF(D2157="",0,1/COUNTIF($D$2:$D$3451,D2157))</f>
        <v>1</v>
      </c>
      <c r="I2157" s="13" t="n">
        <f aca="false">IFERROR(INDEX('NCO-2015 scores'!$C$2:$C$131,MATCH(E2157,'NCO-2015 scores'!$A$2:$A$131,0)),0)</f>
        <v>0.18</v>
      </c>
      <c r="J2157" s="13" t="n">
        <f aca="false">IF(ISNUMBER(MATCH(E2157,'NCO-2015 scores'!$A$2:$A$131,0)),IF(ISNUMBER(INDEX('NCO-2015 scores'!$C$2:$C$131,MATCH(E2157,'NCO-2015 scores'!$A$2:$A$131,0))),1,0),0)</f>
        <v>1</v>
      </c>
    </row>
    <row r="2158" customFormat="false" ht="15" hidden="false" customHeight="false" outlineLevel="0" collapsed="false">
      <c r="A2158" s="2" t="n">
        <v>2154</v>
      </c>
      <c r="B2158" s="2" t="s">
        <v>6387</v>
      </c>
      <c r="C2158" s="2" t="s">
        <v>6388</v>
      </c>
      <c r="D2158" s="2"/>
      <c r="E2158" s="2" t="str">
        <f aca="false">LEFT(C2158,3)</f>
        <v>722</v>
      </c>
      <c r="F2158" s="2" t="str">
        <f aca="false">IF(D2158="","",LEFT(D2158,3))</f>
        <v/>
      </c>
      <c r="G2158" s="2" t="str">
        <f aca="false">IF(F2158="","",IF(E2158=F2158,"Yes","No"))</f>
        <v/>
      </c>
      <c r="H2158" s="2" t="n">
        <f aca="false">IF(D2158="",0,1/COUNTIF($D$2:$D$3451,D2158))</f>
        <v>0</v>
      </c>
      <c r="I2158" s="13" t="n">
        <f aca="false">IFERROR(INDEX('NCO-2015 scores'!$C$2:$C$131,MATCH(E2158,'NCO-2015 scores'!$A$2:$A$131,0)),0)</f>
        <v>0.18</v>
      </c>
      <c r="J2158" s="13" t="n">
        <f aca="false">IF(ISNUMBER(MATCH(E2158,'NCO-2015 scores'!$A$2:$A$131,0)),IF(ISNUMBER(INDEX('NCO-2015 scores'!$C$2:$C$131,MATCH(E2158,'NCO-2015 scores'!$A$2:$A$131,0))),1,0),0)</f>
        <v>1</v>
      </c>
    </row>
    <row r="2159" customFormat="false" ht="15" hidden="false" customHeight="false" outlineLevel="0" collapsed="false">
      <c r="A2159" s="2" t="n">
        <v>2155</v>
      </c>
      <c r="B2159" s="2" t="s">
        <v>6389</v>
      </c>
      <c r="C2159" s="2" t="s">
        <v>6390</v>
      </c>
      <c r="D2159" s="2" t="s">
        <v>6391</v>
      </c>
      <c r="E2159" s="2" t="str">
        <f aca="false">LEFT(C2159,3)</f>
        <v>722</v>
      </c>
      <c r="F2159" s="2" t="str">
        <f aca="false">IF(D2159="","",LEFT(D2159,3))</f>
        <v>821</v>
      </c>
      <c r="G2159" s="2" t="str">
        <f aca="false">IF(F2159="","",IF(E2159=F2159,"Yes","No"))</f>
        <v>No</v>
      </c>
      <c r="H2159" s="2" t="n">
        <f aca="false">IF(D2159="",0,1/COUNTIF($D$2:$D$3451,D2159))</f>
        <v>1</v>
      </c>
      <c r="I2159" s="13" t="n">
        <f aca="false">IFERROR(INDEX('NCO-2015 scores'!$C$2:$C$131,MATCH(E2159,'NCO-2015 scores'!$A$2:$A$131,0)),0)</f>
        <v>0.18</v>
      </c>
      <c r="J2159" s="13" t="n">
        <f aca="false">IF(ISNUMBER(MATCH(E2159,'NCO-2015 scores'!$A$2:$A$131,0)),IF(ISNUMBER(INDEX('NCO-2015 scores'!$C$2:$C$131,MATCH(E2159,'NCO-2015 scores'!$A$2:$A$131,0))),1,0),0)</f>
        <v>1</v>
      </c>
    </row>
    <row r="2160" customFormat="false" ht="15" hidden="false" customHeight="false" outlineLevel="0" collapsed="false">
      <c r="A2160" s="2" t="n">
        <v>2156</v>
      </c>
      <c r="B2160" s="2" t="s">
        <v>6392</v>
      </c>
      <c r="C2160" s="2" t="s">
        <v>6393</v>
      </c>
      <c r="D2160" s="2"/>
      <c r="E2160" s="2" t="str">
        <f aca="false">LEFT(C2160,3)</f>
        <v>722</v>
      </c>
      <c r="F2160" s="2" t="str">
        <f aca="false">IF(D2160="","",LEFT(D2160,3))</f>
        <v/>
      </c>
      <c r="G2160" s="2" t="str">
        <f aca="false">IF(F2160="","",IF(E2160=F2160,"Yes","No"))</f>
        <v/>
      </c>
      <c r="H2160" s="2" t="n">
        <f aca="false">IF(D2160="",0,1/COUNTIF($D$2:$D$3451,D2160))</f>
        <v>0</v>
      </c>
      <c r="I2160" s="13" t="n">
        <f aca="false">IFERROR(INDEX('NCO-2015 scores'!$C$2:$C$131,MATCH(E2160,'NCO-2015 scores'!$A$2:$A$131,0)),0)</f>
        <v>0.18</v>
      </c>
      <c r="J2160" s="13" t="n">
        <f aca="false">IF(ISNUMBER(MATCH(E2160,'NCO-2015 scores'!$A$2:$A$131,0)),IF(ISNUMBER(INDEX('NCO-2015 scores'!$C$2:$C$131,MATCH(E2160,'NCO-2015 scores'!$A$2:$A$131,0))),1,0),0)</f>
        <v>1</v>
      </c>
    </row>
    <row r="2161" customFormat="false" ht="15" hidden="false" customHeight="false" outlineLevel="0" collapsed="false">
      <c r="A2161" s="2" t="n">
        <v>2157</v>
      </c>
      <c r="B2161" s="2" t="s">
        <v>6394</v>
      </c>
      <c r="C2161" s="2" t="s">
        <v>6395</v>
      </c>
      <c r="D2161" s="2" t="s">
        <v>6396</v>
      </c>
      <c r="E2161" s="2" t="str">
        <f aca="false">LEFT(C2161,3)</f>
        <v>722</v>
      </c>
      <c r="F2161" s="2" t="str">
        <f aca="false">IF(D2161="","",LEFT(D2161,3))</f>
        <v>821</v>
      </c>
      <c r="G2161" s="2" t="str">
        <f aca="false">IF(F2161="","",IF(E2161=F2161,"Yes","No"))</f>
        <v>No</v>
      </c>
      <c r="H2161" s="2" t="n">
        <f aca="false">IF(D2161="",0,1/COUNTIF($D$2:$D$3451,D2161))</f>
        <v>1</v>
      </c>
      <c r="I2161" s="13" t="n">
        <f aca="false">IFERROR(INDEX('NCO-2015 scores'!$C$2:$C$131,MATCH(E2161,'NCO-2015 scores'!$A$2:$A$131,0)),0)</f>
        <v>0.18</v>
      </c>
      <c r="J2161" s="13" t="n">
        <f aca="false">IF(ISNUMBER(MATCH(E2161,'NCO-2015 scores'!$A$2:$A$131,0)),IF(ISNUMBER(INDEX('NCO-2015 scores'!$C$2:$C$131,MATCH(E2161,'NCO-2015 scores'!$A$2:$A$131,0))),1,0),0)</f>
        <v>1</v>
      </c>
    </row>
    <row r="2162" customFormat="false" ht="15" hidden="false" customHeight="false" outlineLevel="0" collapsed="false">
      <c r="A2162" s="2" t="n">
        <v>2158</v>
      </c>
      <c r="B2162" s="2" t="s">
        <v>6397</v>
      </c>
      <c r="C2162" s="2" t="s">
        <v>6398</v>
      </c>
      <c r="D2162" s="2" t="s">
        <v>6399</v>
      </c>
      <c r="E2162" s="2" t="str">
        <f aca="false">LEFT(C2162,3)</f>
        <v>722</v>
      </c>
      <c r="F2162" s="2" t="str">
        <f aca="false">IF(D2162="","",LEFT(D2162,3))</f>
        <v>821</v>
      </c>
      <c r="G2162" s="2" t="str">
        <f aca="false">IF(F2162="","",IF(E2162=F2162,"Yes","No"))</f>
        <v>No</v>
      </c>
      <c r="H2162" s="2" t="n">
        <f aca="false">IF(D2162="",0,1/COUNTIF($D$2:$D$3451,D2162))</f>
        <v>1</v>
      </c>
      <c r="I2162" s="13" t="n">
        <f aca="false">IFERROR(INDEX('NCO-2015 scores'!$C$2:$C$131,MATCH(E2162,'NCO-2015 scores'!$A$2:$A$131,0)),0)</f>
        <v>0.18</v>
      </c>
      <c r="J2162" s="13" t="n">
        <f aca="false">IF(ISNUMBER(MATCH(E2162,'NCO-2015 scores'!$A$2:$A$131,0)),IF(ISNUMBER(INDEX('NCO-2015 scores'!$C$2:$C$131,MATCH(E2162,'NCO-2015 scores'!$A$2:$A$131,0))),1,0),0)</f>
        <v>1</v>
      </c>
    </row>
    <row r="2163" customFormat="false" ht="15" hidden="false" customHeight="false" outlineLevel="0" collapsed="false">
      <c r="A2163" s="2" t="n">
        <v>2159</v>
      </c>
      <c r="B2163" s="2" t="s">
        <v>6400</v>
      </c>
      <c r="C2163" s="2" t="s">
        <v>6401</v>
      </c>
      <c r="D2163" s="2" t="s">
        <v>6402</v>
      </c>
      <c r="E2163" s="2" t="str">
        <f aca="false">LEFT(C2163,3)</f>
        <v>722</v>
      </c>
      <c r="F2163" s="2" t="str">
        <f aca="false">IF(D2163="","",LEFT(D2163,3))</f>
        <v>821</v>
      </c>
      <c r="G2163" s="2" t="str">
        <f aca="false">IF(F2163="","",IF(E2163=F2163,"Yes","No"))</f>
        <v>No</v>
      </c>
      <c r="H2163" s="2" t="n">
        <f aca="false">IF(D2163="",0,1/COUNTIF($D$2:$D$3451,D2163))</f>
        <v>1</v>
      </c>
      <c r="I2163" s="13" t="n">
        <f aca="false">IFERROR(INDEX('NCO-2015 scores'!$C$2:$C$131,MATCH(E2163,'NCO-2015 scores'!$A$2:$A$131,0)),0)</f>
        <v>0.18</v>
      </c>
      <c r="J2163" s="13" t="n">
        <f aca="false">IF(ISNUMBER(MATCH(E2163,'NCO-2015 scores'!$A$2:$A$131,0)),IF(ISNUMBER(INDEX('NCO-2015 scores'!$C$2:$C$131,MATCH(E2163,'NCO-2015 scores'!$A$2:$A$131,0))),1,0),0)</f>
        <v>1</v>
      </c>
    </row>
    <row r="2164" customFormat="false" ht="15" hidden="false" customHeight="false" outlineLevel="0" collapsed="false">
      <c r="A2164" s="2" t="n">
        <v>2160</v>
      </c>
      <c r="B2164" s="2" t="s">
        <v>6403</v>
      </c>
      <c r="C2164" s="2" t="s">
        <v>6404</v>
      </c>
      <c r="D2164" s="2" t="s">
        <v>6405</v>
      </c>
      <c r="E2164" s="2" t="str">
        <f aca="false">LEFT(C2164,3)</f>
        <v>722</v>
      </c>
      <c r="F2164" s="2" t="str">
        <f aca="false">IF(D2164="","",LEFT(D2164,3))</f>
        <v>821</v>
      </c>
      <c r="G2164" s="2" t="str">
        <f aca="false">IF(F2164="","",IF(E2164=F2164,"Yes","No"))</f>
        <v>No</v>
      </c>
      <c r="H2164" s="2" t="n">
        <f aca="false">IF(D2164="",0,1/COUNTIF($D$2:$D$3451,D2164))</f>
        <v>1</v>
      </c>
      <c r="I2164" s="13" t="n">
        <f aca="false">IFERROR(INDEX('NCO-2015 scores'!$C$2:$C$131,MATCH(E2164,'NCO-2015 scores'!$A$2:$A$131,0)),0)</f>
        <v>0.18</v>
      </c>
      <c r="J2164" s="13" t="n">
        <f aca="false">IF(ISNUMBER(MATCH(E2164,'NCO-2015 scores'!$A$2:$A$131,0)),IF(ISNUMBER(INDEX('NCO-2015 scores'!$C$2:$C$131,MATCH(E2164,'NCO-2015 scores'!$A$2:$A$131,0))),1,0),0)</f>
        <v>1</v>
      </c>
    </row>
    <row r="2165" customFormat="false" ht="15" hidden="false" customHeight="false" outlineLevel="0" collapsed="false">
      <c r="A2165" s="2" t="n">
        <v>2161</v>
      </c>
      <c r="B2165" s="2" t="s">
        <v>6406</v>
      </c>
      <c r="C2165" s="2" t="s">
        <v>6407</v>
      </c>
      <c r="D2165" s="2" t="s">
        <v>6408</v>
      </c>
      <c r="E2165" s="2" t="str">
        <f aca="false">LEFT(C2165,3)</f>
        <v>722</v>
      </c>
      <c r="F2165" s="2" t="str">
        <f aca="false">IF(D2165="","",LEFT(D2165,3))</f>
        <v>821</v>
      </c>
      <c r="G2165" s="2" t="str">
        <f aca="false">IF(F2165="","",IF(E2165=F2165,"Yes","No"))</f>
        <v>No</v>
      </c>
      <c r="H2165" s="2" t="n">
        <f aca="false">IF(D2165="",0,1/COUNTIF($D$2:$D$3451,D2165))</f>
        <v>1</v>
      </c>
      <c r="I2165" s="13" t="n">
        <f aca="false">IFERROR(INDEX('NCO-2015 scores'!$C$2:$C$131,MATCH(E2165,'NCO-2015 scores'!$A$2:$A$131,0)),0)</f>
        <v>0.18</v>
      </c>
      <c r="J2165" s="13" t="n">
        <f aca="false">IF(ISNUMBER(MATCH(E2165,'NCO-2015 scores'!$A$2:$A$131,0)),IF(ISNUMBER(INDEX('NCO-2015 scores'!$C$2:$C$131,MATCH(E2165,'NCO-2015 scores'!$A$2:$A$131,0))),1,0),0)</f>
        <v>1</v>
      </c>
    </row>
    <row r="2166" customFormat="false" ht="15" hidden="false" customHeight="false" outlineLevel="0" collapsed="false">
      <c r="A2166" s="2" t="n">
        <v>2162</v>
      </c>
      <c r="B2166" s="2" t="s">
        <v>6409</v>
      </c>
      <c r="C2166" s="2" t="s">
        <v>6410</v>
      </c>
      <c r="D2166" s="2" t="s">
        <v>6411</v>
      </c>
      <c r="E2166" s="2" t="str">
        <f aca="false">LEFT(C2166,3)</f>
        <v>722</v>
      </c>
      <c r="F2166" s="2" t="str">
        <f aca="false">IF(D2166="","",LEFT(D2166,3))</f>
        <v>821</v>
      </c>
      <c r="G2166" s="2" t="str">
        <f aca="false">IF(F2166="","",IF(E2166=F2166,"Yes","No"))</f>
        <v>No</v>
      </c>
      <c r="H2166" s="2" t="n">
        <f aca="false">IF(D2166="",0,1/COUNTIF($D$2:$D$3451,D2166))</f>
        <v>1</v>
      </c>
      <c r="I2166" s="13" t="n">
        <f aca="false">IFERROR(INDEX('NCO-2015 scores'!$C$2:$C$131,MATCH(E2166,'NCO-2015 scores'!$A$2:$A$131,0)),0)</f>
        <v>0.18</v>
      </c>
      <c r="J2166" s="13" t="n">
        <f aca="false">IF(ISNUMBER(MATCH(E2166,'NCO-2015 scores'!$A$2:$A$131,0)),IF(ISNUMBER(INDEX('NCO-2015 scores'!$C$2:$C$131,MATCH(E2166,'NCO-2015 scores'!$A$2:$A$131,0))),1,0),0)</f>
        <v>1</v>
      </c>
    </row>
    <row r="2167" customFormat="false" ht="15" hidden="false" customHeight="false" outlineLevel="0" collapsed="false">
      <c r="A2167" s="2" t="n">
        <v>2163</v>
      </c>
      <c r="B2167" s="2" t="s">
        <v>6412</v>
      </c>
      <c r="C2167" s="2" t="s">
        <v>6413</v>
      </c>
      <c r="D2167" s="2" t="s">
        <v>6414</v>
      </c>
      <c r="E2167" s="2" t="str">
        <f aca="false">LEFT(C2167,3)</f>
        <v>722</v>
      </c>
      <c r="F2167" s="2" t="str">
        <f aca="false">IF(D2167="","",LEFT(D2167,3))</f>
        <v>821</v>
      </c>
      <c r="G2167" s="2" t="str">
        <f aca="false">IF(F2167="","",IF(E2167=F2167,"Yes","No"))</f>
        <v>No</v>
      </c>
      <c r="H2167" s="2" t="n">
        <f aca="false">IF(D2167="",0,1/COUNTIF($D$2:$D$3451,D2167))</f>
        <v>1</v>
      </c>
      <c r="I2167" s="13" t="n">
        <f aca="false">IFERROR(INDEX('NCO-2015 scores'!$C$2:$C$131,MATCH(E2167,'NCO-2015 scores'!$A$2:$A$131,0)),0)</f>
        <v>0.18</v>
      </c>
      <c r="J2167" s="13" t="n">
        <f aca="false">IF(ISNUMBER(MATCH(E2167,'NCO-2015 scores'!$A$2:$A$131,0)),IF(ISNUMBER(INDEX('NCO-2015 scores'!$C$2:$C$131,MATCH(E2167,'NCO-2015 scores'!$A$2:$A$131,0))),1,0),0)</f>
        <v>1</v>
      </c>
    </row>
    <row r="2168" customFormat="false" ht="15" hidden="false" customHeight="false" outlineLevel="0" collapsed="false">
      <c r="A2168" s="2" t="n">
        <v>2164</v>
      </c>
      <c r="B2168" s="2" t="s">
        <v>6415</v>
      </c>
      <c r="C2168" s="2" t="s">
        <v>6416</v>
      </c>
      <c r="D2168" s="2" t="s">
        <v>6417</v>
      </c>
      <c r="E2168" s="2" t="str">
        <f aca="false">LEFT(C2168,3)</f>
        <v>722</v>
      </c>
      <c r="F2168" s="2" t="str">
        <f aca="false">IF(D2168="","",LEFT(D2168,3))</f>
        <v>821</v>
      </c>
      <c r="G2168" s="2" t="str">
        <f aca="false">IF(F2168="","",IF(E2168=F2168,"Yes","No"))</f>
        <v>No</v>
      </c>
      <c r="H2168" s="2" t="n">
        <f aca="false">IF(D2168="",0,1/COUNTIF($D$2:$D$3451,D2168))</f>
        <v>1</v>
      </c>
      <c r="I2168" s="13" t="n">
        <f aca="false">IFERROR(INDEX('NCO-2015 scores'!$C$2:$C$131,MATCH(E2168,'NCO-2015 scores'!$A$2:$A$131,0)),0)</f>
        <v>0.18</v>
      </c>
      <c r="J2168" s="13" t="n">
        <f aca="false">IF(ISNUMBER(MATCH(E2168,'NCO-2015 scores'!$A$2:$A$131,0)),IF(ISNUMBER(INDEX('NCO-2015 scores'!$C$2:$C$131,MATCH(E2168,'NCO-2015 scores'!$A$2:$A$131,0))),1,0),0)</f>
        <v>1</v>
      </c>
    </row>
    <row r="2169" customFormat="false" ht="15" hidden="false" customHeight="false" outlineLevel="0" collapsed="false">
      <c r="A2169" s="2" t="n">
        <v>2165</v>
      </c>
      <c r="B2169" s="2" t="s">
        <v>6418</v>
      </c>
      <c r="C2169" s="2" t="s">
        <v>6419</v>
      </c>
      <c r="D2169" s="2" t="s">
        <v>6420</v>
      </c>
      <c r="E2169" s="2" t="str">
        <f aca="false">LEFT(C2169,3)</f>
        <v>722</v>
      </c>
      <c r="F2169" s="2" t="str">
        <f aca="false">IF(D2169="","",LEFT(D2169,3))</f>
        <v>821</v>
      </c>
      <c r="G2169" s="2" t="str">
        <f aca="false">IF(F2169="","",IF(E2169=F2169,"Yes","No"))</f>
        <v>No</v>
      </c>
      <c r="H2169" s="2" t="n">
        <f aca="false">IF(D2169="",0,1/COUNTIF($D$2:$D$3451,D2169))</f>
        <v>1</v>
      </c>
      <c r="I2169" s="13" t="n">
        <f aca="false">IFERROR(INDEX('NCO-2015 scores'!$C$2:$C$131,MATCH(E2169,'NCO-2015 scores'!$A$2:$A$131,0)),0)</f>
        <v>0.18</v>
      </c>
      <c r="J2169" s="13" t="n">
        <f aca="false">IF(ISNUMBER(MATCH(E2169,'NCO-2015 scores'!$A$2:$A$131,0)),IF(ISNUMBER(INDEX('NCO-2015 scores'!$C$2:$C$131,MATCH(E2169,'NCO-2015 scores'!$A$2:$A$131,0))),1,0),0)</f>
        <v>1</v>
      </c>
    </row>
    <row r="2170" customFormat="false" ht="15" hidden="false" customHeight="false" outlineLevel="0" collapsed="false">
      <c r="A2170" s="2" t="n">
        <v>2166</v>
      </c>
      <c r="B2170" s="2" t="s">
        <v>6421</v>
      </c>
      <c r="C2170" s="2" t="s">
        <v>6422</v>
      </c>
      <c r="D2170" s="2" t="s">
        <v>6423</v>
      </c>
      <c r="E2170" s="2" t="str">
        <f aca="false">LEFT(C2170,3)</f>
        <v>722</v>
      </c>
      <c r="F2170" s="2" t="str">
        <f aca="false">IF(D2170="","",LEFT(D2170,3))</f>
        <v>821</v>
      </c>
      <c r="G2170" s="2" t="str">
        <f aca="false">IF(F2170="","",IF(E2170=F2170,"Yes","No"))</f>
        <v>No</v>
      </c>
      <c r="H2170" s="2" t="n">
        <f aca="false">IF(D2170="",0,1/COUNTIF($D$2:$D$3451,D2170))</f>
        <v>1</v>
      </c>
      <c r="I2170" s="13" t="n">
        <f aca="false">IFERROR(INDEX('NCO-2015 scores'!$C$2:$C$131,MATCH(E2170,'NCO-2015 scores'!$A$2:$A$131,0)),0)</f>
        <v>0.18</v>
      </c>
      <c r="J2170" s="13" t="n">
        <f aca="false">IF(ISNUMBER(MATCH(E2170,'NCO-2015 scores'!$A$2:$A$131,0)),IF(ISNUMBER(INDEX('NCO-2015 scores'!$C$2:$C$131,MATCH(E2170,'NCO-2015 scores'!$A$2:$A$131,0))),1,0),0)</f>
        <v>1</v>
      </c>
    </row>
    <row r="2171" customFormat="false" ht="15" hidden="false" customHeight="false" outlineLevel="0" collapsed="false">
      <c r="A2171" s="2" t="n">
        <v>2167</v>
      </c>
      <c r="B2171" s="2" t="s">
        <v>6424</v>
      </c>
      <c r="C2171" s="2" t="s">
        <v>6425</v>
      </c>
      <c r="D2171" s="2" t="s">
        <v>6426</v>
      </c>
      <c r="E2171" s="2" t="str">
        <f aca="false">LEFT(C2171,3)</f>
        <v>722</v>
      </c>
      <c r="F2171" s="2" t="str">
        <f aca="false">IF(D2171="","",LEFT(D2171,3))</f>
        <v>821</v>
      </c>
      <c r="G2171" s="2" t="str">
        <f aca="false">IF(F2171="","",IF(E2171=F2171,"Yes","No"))</f>
        <v>No</v>
      </c>
      <c r="H2171" s="2" t="n">
        <f aca="false">IF(D2171="",0,1/COUNTIF($D$2:$D$3451,D2171))</f>
        <v>1</v>
      </c>
      <c r="I2171" s="13" t="n">
        <f aca="false">IFERROR(INDEX('NCO-2015 scores'!$C$2:$C$131,MATCH(E2171,'NCO-2015 scores'!$A$2:$A$131,0)),0)</f>
        <v>0.18</v>
      </c>
      <c r="J2171" s="13" t="n">
        <f aca="false">IF(ISNUMBER(MATCH(E2171,'NCO-2015 scores'!$A$2:$A$131,0)),IF(ISNUMBER(INDEX('NCO-2015 scores'!$C$2:$C$131,MATCH(E2171,'NCO-2015 scores'!$A$2:$A$131,0))),1,0),0)</f>
        <v>1</v>
      </c>
    </row>
    <row r="2172" customFormat="false" ht="15" hidden="false" customHeight="false" outlineLevel="0" collapsed="false">
      <c r="A2172" s="2" t="n">
        <v>2168</v>
      </c>
      <c r="B2172" s="2" t="s">
        <v>6427</v>
      </c>
      <c r="C2172" s="2" t="s">
        <v>6428</v>
      </c>
      <c r="D2172" s="2" t="s">
        <v>6429</v>
      </c>
      <c r="E2172" s="2" t="str">
        <f aca="false">LEFT(C2172,3)</f>
        <v>722</v>
      </c>
      <c r="F2172" s="2" t="str">
        <f aca="false">IF(D2172="","",LEFT(D2172,3))</f>
        <v>821</v>
      </c>
      <c r="G2172" s="2" t="str">
        <f aca="false">IF(F2172="","",IF(E2172=F2172,"Yes","No"))</f>
        <v>No</v>
      </c>
      <c r="H2172" s="2" t="n">
        <f aca="false">IF(D2172="",0,1/COUNTIF($D$2:$D$3451,D2172))</f>
        <v>1</v>
      </c>
      <c r="I2172" s="13" t="n">
        <f aca="false">IFERROR(INDEX('NCO-2015 scores'!$C$2:$C$131,MATCH(E2172,'NCO-2015 scores'!$A$2:$A$131,0)),0)</f>
        <v>0.18</v>
      </c>
      <c r="J2172" s="13" t="n">
        <f aca="false">IF(ISNUMBER(MATCH(E2172,'NCO-2015 scores'!$A$2:$A$131,0)),IF(ISNUMBER(INDEX('NCO-2015 scores'!$C$2:$C$131,MATCH(E2172,'NCO-2015 scores'!$A$2:$A$131,0))),1,0),0)</f>
        <v>1</v>
      </c>
    </row>
    <row r="2173" customFormat="false" ht="15" hidden="false" customHeight="false" outlineLevel="0" collapsed="false">
      <c r="A2173" s="2" t="n">
        <v>2169</v>
      </c>
      <c r="B2173" s="2" t="s">
        <v>6430</v>
      </c>
      <c r="C2173" s="2" t="s">
        <v>6431</v>
      </c>
      <c r="D2173" s="2" t="s">
        <v>6432</v>
      </c>
      <c r="E2173" s="2" t="str">
        <f aca="false">LEFT(C2173,3)</f>
        <v>722</v>
      </c>
      <c r="F2173" s="2" t="str">
        <f aca="false">IF(D2173="","",LEFT(D2173,3))</f>
        <v>821</v>
      </c>
      <c r="G2173" s="2" t="str">
        <f aca="false">IF(F2173="","",IF(E2173=F2173,"Yes","No"))</f>
        <v>No</v>
      </c>
      <c r="H2173" s="2" t="n">
        <f aca="false">IF(D2173="",0,1/COUNTIF($D$2:$D$3451,D2173))</f>
        <v>1</v>
      </c>
      <c r="I2173" s="13" t="n">
        <f aca="false">IFERROR(INDEX('NCO-2015 scores'!$C$2:$C$131,MATCH(E2173,'NCO-2015 scores'!$A$2:$A$131,0)),0)</f>
        <v>0.18</v>
      </c>
      <c r="J2173" s="13" t="n">
        <f aca="false">IF(ISNUMBER(MATCH(E2173,'NCO-2015 scores'!$A$2:$A$131,0)),IF(ISNUMBER(INDEX('NCO-2015 scores'!$C$2:$C$131,MATCH(E2173,'NCO-2015 scores'!$A$2:$A$131,0))),1,0),0)</f>
        <v>1</v>
      </c>
    </row>
    <row r="2174" customFormat="false" ht="15" hidden="false" customHeight="false" outlineLevel="0" collapsed="false">
      <c r="A2174" s="2" t="n">
        <v>2170</v>
      </c>
      <c r="B2174" s="2" t="s">
        <v>6433</v>
      </c>
      <c r="C2174" s="2" t="s">
        <v>6434</v>
      </c>
      <c r="D2174" s="2" t="s">
        <v>6435</v>
      </c>
      <c r="E2174" s="2" t="str">
        <f aca="false">LEFT(C2174,3)</f>
        <v>722</v>
      </c>
      <c r="F2174" s="2" t="str">
        <f aca="false">IF(D2174="","",LEFT(D2174,3))</f>
        <v>821</v>
      </c>
      <c r="G2174" s="2" t="str">
        <f aca="false">IF(F2174="","",IF(E2174=F2174,"Yes","No"))</f>
        <v>No</v>
      </c>
      <c r="H2174" s="2" t="n">
        <f aca="false">IF(D2174="",0,1/COUNTIF($D$2:$D$3451,D2174))</f>
        <v>1</v>
      </c>
      <c r="I2174" s="13" t="n">
        <f aca="false">IFERROR(INDEX('NCO-2015 scores'!$C$2:$C$131,MATCH(E2174,'NCO-2015 scores'!$A$2:$A$131,0)),0)</f>
        <v>0.18</v>
      </c>
      <c r="J2174" s="13" t="n">
        <f aca="false">IF(ISNUMBER(MATCH(E2174,'NCO-2015 scores'!$A$2:$A$131,0)),IF(ISNUMBER(INDEX('NCO-2015 scores'!$C$2:$C$131,MATCH(E2174,'NCO-2015 scores'!$A$2:$A$131,0))),1,0),0)</f>
        <v>1</v>
      </c>
    </row>
    <row r="2175" customFormat="false" ht="15" hidden="false" customHeight="false" outlineLevel="0" collapsed="false">
      <c r="A2175" s="2" t="n">
        <v>2171</v>
      </c>
      <c r="B2175" s="2" t="s">
        <v>6436</v>
      </c>
      <c r="C2175" s="2" t="s">
        <v>6437</v>
      </c>
      <c r="D2175" s="2" t="s">
        <v>6438</v>
      </c>
      <c r="E2175" s="2" t="str">
        <f aca="false">LEFT(C2175,3)</f>
        <v>722</v>
      </c>
      <c r="F2175" s="2" t="str">
        <f aca="false">IF(D2175="","",LEFT(D2175,3))</f>
        <v>821</v>
      </c>
      <c r="G2175" s="2" t="str">
        <f aca="false">IF(F2175="","",IF(E2175=F2175,"Yes","No"))</f>
        <v>No</v>
      </c>
      <c r="H2175" s="2" t="n">
        <f aca="false">IF(D2175="",0,1/COUNTIF($D$2:$D$3451,D2175))</f>
        <v>1</v>
      </c>
      <c r="I2175" s="13" t="n">
        <f aca="false">IFERROR(INDEX('NCO-2015 scores'!$C$2:$C$131,MATCH(E2175,'NCO-2015 scores'!$A$2:$A$131,0)),0)</f>
        <v>0.18</v>
      </c>
      <c r="J2175" s="13" t="n">
        <f aca="false">IF(ISNUMBER(MATCH(E2175,'NCO-2015 scores'!$A$2:$A$131,0)),IF(ISNUMBER(INDEX('NCO-2015 scores'!$C$2:$C$131,MATCH(E2175,'NCO-2015 scores'!$A$2:$A$131,0))),1,0),0)</f>
        <v>1</v>
      </c>
    </row>
    <row r="2176" customFormat="false" ht="15" hidden="false" customHeight="false" outlineLevel="0" collapsed="false">
      <c r="A2176" s="2" t="n">
        <v>2172</v>
      </c>
      <c r="B2176" s="2" t="s">
        <v>6439</v>
      </c>
      <c r="C2176" s="2" t="s">
        <v>6440</v>
      </c>
      <c r="D2176" s="2" t="s">
        <v>6441</v>
      </c>
      <c r="E2176" s="2" t="str">
        <f aca="false">LEFT(C2176,3)</f>
        <v>722</v>
      </c>
      <c r="F2176" s="2" t="str">
        <f aca="false">IF(D2176="","",LEFT(D2176,3))</f>
        <v>821</v>
      </c>
      <c r="G2176" s="2" t="str">
        <f aca="false">IF(F2176="","",IF(E2176=F2176,"Yes","No"))</f>
        <v>No</v>
      </c>
      <c r="H2176" s="2" t="n">
        <f aca="false">IF(D2176="",0,1/COUNTIF($D$2:$D$3451,D2176))</f>
        <v>1</v>
      </c>
      <c r="I2176" s="13" t="n">
        <f aca="false">IFERROR(INDEX('NCO-2015 scores'!$C$2:$C$131,MATCH(E2176,'NCO-2015 scores'!$A$2:$A$131,0)),0)</f>
        <v>0.18</v>
      </c>
      <c r="J2176" s="13" t="n">
        <f aca="false">IF(ISNUMBER(MATCH(E2176,'NCO-2015 scores'!$A$2:$A$131,0)),IF(ISNUMBER(INDEX('NCO-2015 scores'!$C$2:$C$131,MATCH(E2176,'NCO-2015 scores'!$A$2:$A$131,0))),1,0),0)</f>
        <v>1</v>
      </c>
    </row>
    <row r="2177" customFormat="false" ht="15" hidden="false" customHeight="false" outlineLevel="0" collapsed="false">
      <c r="A2177" s="2" t="n">
        <v>2173</v>
      </c>
      <c r="B2177" s="2" t="s">
        <v>6442</v>
      </c>
      <c r="C2177" s="2" t="s">
        <v>6443</v>
      </c>
      <c r="D2177" s="2" t="s">
        <v>6444</v>
      </c>
      <c r="E2177" s="2" t="str">
        <f aca="false">LEFT(C2177,3)</f>
        <v>722</v>
      </c>
      <c r="F2177" s="2" t="str">
        <f aca="false">IF(D2177="","",LEFT(D2177,3))</f>
        <v>821</v>
      </c>
      <c r="G2177" s="2" t="str">
        <f aca="false">IF(F2177="","",IF(E2177=F2177,"Yes","No"))</f>
        <v>No</v>
      </c>
      <c r="H2177" s="2" t="n">
        <f aca="false">IF(D2177="",0,1/COUNTIF($D$2:$D$3451,D2177))</f>
        <v>1</v>
      </c>
      <c r="I2177" s="13" t="n">
        <f aca="false">IFERROR(INDEX('NCO-2015 scores'!$C$2:$C$131,MATCH(E2177,'NCO-2015 scores'!$A$2:$A$131,0)),0)</f>
        <v>0.18</v>
      </c>
      <c r="J2177" s="13" t="n">
        <f aca="false">IF(ISNUMBER(MATCH(E2177,'NCO-2015 scores'!$A$2:$A$131,0)),IF(ISNUMBER(INDEX('NCO-2015 scores'!$C$2:$C$131,MATCH(E2177,'NCO-2015 scores'!$A$2:$A$131,0))),1,0),0)</f>
        <v>1</v>
      </c>
    </row>
    <row r="2178" customFormat="false" ht="15" hidden="false" customHeight="false" outlineLevel="0" collapsed="false">
      <c r="A2178" s="2" t="n">
        <v>2174</v>
      </c>
      <c r="B2178" s="2" t="s">
        <v>6445</v>
      </c>
      <c r="C2178" s="2" t="s">
        <v>6446</v>
      </c>
      <c r="D2178" s="2" t="s">
        <v>6447</v>
      </c>
      <c r="E2178" s="2" t="str">
        <f aca="false">LEFT(C2178,3)</f>
        <v>722</v>
      </c>
      <c r="F2178" s="2" t="str">
        <f aca="false">IF(D2178="","",LEFT(D2178,3))</f>
        <v>821</v>
      </c>
      <c r="G2178" s="2" t="str">
        <f aca="false">IF(F2178="","",IF(E2178=F2178,"Yes","No"))</f>
        <v>No</v>
      </c>
      <c r="H2178" s="2" t="n">
        <f aca="false">IF(D2178="",0,1/COUNTIF($D$2:$D$3451,D2178))</f>
        <v>1</v>
      </c>
      <c r="I2178" s="13" t="n">
        <f aca="false">IFERROR(INDEX('NCO-2015 scores'!$C$2:$C$131,MATCH(E2178,'NCO-2015 scores'!$A$2:$A$131,0)),0)</f>
        <v>0.18</v>
      </c>
      <c r="J2178" s="13" t="n">
        <f aca="false">IF(ISNUMBER(MATCH(E2178,'NCO-2015 scores'!$A$2:$A$131,0)),IF(ISNUMBER(INDEX('NCO-2015 scores'!$C$2:$C$131,MATCH(E2178,'NCO-2015 scores'!$A$2:$A$131,0))),1,0),0)</f>
        <v>1</v>
      </c>
    </row>
    <row r="2179" customFormat="false" ht="15" hidden="false" customHeight="false" outlineLevel="0" collapsed="false">
      <c r="A2179" s="2" t="n">
        <v>2175</v>
      </c>
      <c r="B2179" s="2" t="s">
        <v>6448</v>
      </c>
      <c r="C2179" s="2" t="s">
        <v>6449</v>
      </c>
      <c r="D2179" s="2" t="s">
        <v>6450</v>
      </c>
      <c r="E2179" s="2" t="str">
        <f aca="false">LEFT(C2179,3)</f>
        <v>722</v>
      </c>
      <c r="F2179" s="2" t="str">
        <f aca="false">IF(D2179="","",LEFT(D2179,3))</f>
        <v>821</v>
      </c>
      <c r="G2179" s="2" t="str">
        <f aca="false">IF(F2179="","",IF(E2179=F2179,"Yes","No"))</f>
        <v>No</v>
      </c>
      <c r="H2179" s="2" t="n">
        <f aca="false">IF(D2179="",0,1/COUNTIF($D$2:$D$3451,D2179))</f>
        <v>1</v>
      </c>
      <c r="I2179" s="13" t="n">
        <f aca="false">IFERROR(INDEX('NCO-2015 scores'!$C$2:$C$131,MATCH(E2179,'NCO-2015 scores'!$A$2:$A$131,0)),0)</f>
        <v>0.18</v>
      </c>
      <c r="J2179" s="13" t="n">
        <f aca="false">IF(ISNUMBER(MATCH(E2179,'NCO-2015 scores'!$A$2:$A$131,0)),IF(ISNUMBER(INDEX('NCO-2015 scores'!$C$2:$C$131,MATCH(E2179,'NCO-2015 scores'!$A$2:$A$131,0))),1,0),0)</f>
        <v>1</v>
      </c>
    </row>
    <row r="2180" customFormat="false" ht="15" hidden="false" customHeight="false" outlineLevel="0" collapsed="false">
      <c r="A2180" s="2" t="n">
        <v>2176</v>
      </c>
      <c r="B2180" s="2" t="s">
        <v>6451</v>
      </c>
      <c r="C2180" s="2" t="s">
        <v>6452</v>
      </c>
      <c r="D2180" s="2" t="s">
        <v>6453</v>
      </c>
      <c r="E2180" s="2" t="str">
        <f aca="false">LEFT(C2180,3)</f>
        <v>722</v>
      </c>
      <c r="F2180" s="2" t="str">
        <f aca="false">IF(D2180="","",LEFT(D2180,3))</f>
        <v>821</v>
      </c>
      <c r="G2180" s="2" t="str">
        <f aca="false">IF(F2180="","",IF(E2180=F2180,"Yes","No"))</f>
        <v>No</v>
      </c>
      <c r="H2180" s="2" t="n">
        <f aca="false">IF(D2180="",0,1/COUNTIF($D$2:$D$3451,D2180))</f>
        <v>1</v>
      </c>
      <c r="I2180" s="13" t="n">
        <f aca="false">IFERROR(INDEX('NCO-2015 scores'!$C$2:$C$131,MATCH(E2180,'NCO-2015 scores'!$A$2:$A$131,0)),0)</f>
        <v>0.18</v>
      </c>
      <c r="J2180" s="13" t="n">
        <f aca="false">IF(ISNUMBER(MATCH(E2180,'NCO-2015 scores'!$A$2:$A$131,0)),IF(ISNUMBER(INDEX('NCO-2015 scores'!$C$2:$C$131,MATCH(E2180,'NCO-2015 scores'!$A$2:$A$131,0))),1,0),0)</f>
        <v>1</v>
      </c>
    </row>
    <row r="2181" customFormat="false" ht="15" hidden="false" customHeight="false" outlineLevel="0" collapsed="false">
      <c r="A2181" s="2" t="n">
        <v>2177</v>
      </c>
      <c r="B2181" s="2" t="s">
        <v>6454</v>
      </c>
      <c r="C2181" s="2" t="s">
        <v>6455</v>
      </c>
      <c r="D2181" s="2"/>
      <c r="E2181" s="2" t="str">
        <f aca="false">LEFT(C2181,3)</f>
        <v>722</v>
      </c>
      <c r="F2181" s="2" t="str">
        <f aca="false">IF(D2181="","",LEFT(D2181,3))</f>
        <v/>
      </c>
      <c r="G2181" s="2" t="str">
        <f aca="false">IF(F2181="","",IF(E2181=F2181,"Yes","No"))</f>
        <v/>
      </c>
      <c r="H2181" s="2" t="n">
        <f aca="false">IF(D2181="",0,1/COUNTIF($D$2:$D$3451,D2181))</f>
        <v>0</v>
      </c>
      <c r="I2181" s="13" t="n">
        <f aca="false">IFERROR(INDEX('NCO-2015 scores'!$C$2:$C$131,MATCH(E2181,'NCO-2015 scores'!$A$2:$A$131,0)),0)</f>
        <v>0.18</v>
      </c>
      <c r="J2181" s="13" t="n">
        <f aca="false">IF(ISNUMBER(MATCH(E2181,'NCO-2015 scores'!$A$2:$A$131,0)),IF(ISNUMBER(INDEX('NCO-2015 scores'!$C$2:$C$131,MATCH(E2181,'NCO-2015 scores'!$A$2:$A$131,0))),1,0),0)</f>
        <v>1</v>
      </c>
    </row>
    <row r="2182" customFormat="false" ht="15" hidden="false" customHeight="false" outlineLevel="0" collapsed="false">
      <c r="A2182" s="2" t="n">
        <v>2178</v>
      </c>
      <c r="B2182" s="2" t="s">
        <v>6456</v>
      </c>
      <c r="C2182" s="2" t="s">
        <v>6457</v>
      </c>
      <c r="D2182" s="2"/>
      <c r="E2182" s="2" t="str">
        <f aca="false">LEFT(C2182,3)</f>
        <v>722</v>
      </c>
      <c r="F2182" s="2" t="str">
        <f aca="false">IF(D2182="","",LEFT(D2182,3))</f>
        <v/>
      </c>
      <c r="G2182" s="2" t="str">
        <f aca="false">IF(F2182="","",IF(E2182=F2182,"Yes","No"))</f>
        <v/>
      </c>
      <c r="H2182" s="2" t="n">
        <f aca="false">IF(D2182="",0,1/COUNTIF($D$2:$D$3451,D2182))</f>
        <v>0</v>
      </c>
      <c r="I2182" s="13" t="n">
        <f aca="false">IFERROR(INDEX('NCO-2015 scores'!$C$2:$C$131,MATCH(E2182,'NCO-2015 scores'!$A$2:$A$131,0)),0)</f>
        <v>0.18</v>
      </c>
      <c r="J2182" s="13" t="n">
        <f aca="false">IF(ISNUMBER(MATCH(E2182,'NCO-2015 scores'!$A$2:$A$131,0)),IF(ISNUMBER(INDEX('NCO-2015 scores'!$C$2:$C$131,MATCH(E2182,'NCO-2015 scores'!$A$2:$A$131,0))),1,0),0)</f>
        <v>1</v>
      </c>
    </row>
    <row r="2183" customFormat="false" ht="15" hidden="false" customHeight="false" outlineLevel="0" collapsed="false">
      <c r="A2183" s="2" t="n">
        <v>2179</v>
      </c>
      <c r="B2183" s="2" t="s">
        <v>6458</v>
      </c>
      <c r="C2183" s="2" t="s">
        <v>6459</v>
      </c>
      <c r="D2183" s="2"/>
      <c r="E2183" s="2" t="str">
        <f aca="false">LEFT(C2183,3)</f>
        <v>722</v>
      </c>
      <c r="F2183" s="2" t="str">
        <f aca="false">IF(D2183="","",LEFT(D2183,3))</f>
        <v/>
      </c>
      <c r="G2183" s="2" t="str">
        <f aca="false">IF(F2183="","",IF(E2183=F2183,"Yes","No"))</f>
        <v/>
      </c>
      <c r="H2183" s="2" t="n">
        <f aca="false">IF(D2183="",0,1/COUNTIF($D$2:$D$3451,D2183))</f>
        <v>0</v>
      </c>
      <c r="I2183" s="13" t="n">
        <f aca="false">IFERROR(INDEX('NCO-2015 scores'!$C$2:$C$131,MATCH(E2183,'NCO-2015 scores'!$A$2:$A$131,0)),0)</f>
        <v>0.18</v>
      </c>
      <c r="J2183" s="13" t="n">
        <f aca="false">IF(ISNUMBER(MATCH(E2183,'NCO-2015 scores'!$A$2:$A$131,0)),IF(ISNUMBER(INDEX('NCO-2015 scores'!$C$2:$C$131,MATCH(E2183,'NCO-2015 scores'!$A$2:$A$131,0))),1,0),0)</f>
        <v>1</v>
      </c>
    </row>
    <row r="2184" customFormat="false" ht="15" hidden="false" customHeight="false" outlineLevel="0" collapsed="false">
      <c r="A2184" s="2" t="n">
        <v>2180</v>
      </c>
      <c r="B2184" s="2" t="s">
        <v>6460</v>
      </c>
      <c r="C2184" s="2" t="s">
        <v>6461</v>
      </c>
      <c r="D2184" s="2" t="s">
        <v>6462</v>
      </c>
      <c r="E2184" s="2" t="str">
        <f aca="false">LEFT(C2184,3)</f>
        <v>722</v>
      </c>
      <c r="F2184" s="2" t="str">
        <f aca="false">IF(D2184="","",LEFT(D2184,3))</f>
        <v>821</v>
      </c>
      <c r="G2184" s="2" t="str">
        <f aca="false">IF(F2184="","",IF(E2184=F2184,"Yes","No"))</f>
        <v>No</v>
      </c>
      <c r="H2184" s="2" t="n">
        <f aca="false">IF(D2184="",0,1/COUNTIF($D$2:$D$3451,D2184))</f>
        <v>1</v>
      </c>
      <c r="I2184" s="13" t="n">
        <f aca="false">IFERROR(INDEX('NCO-2015 scores'!$C$2:$C$131,MATCH(E2184,'NCO-2015 scores'!$A$2:$A$131,0)),0)</f>
        <v>0.18</v>
      </c>
      <c r="J2184" s="13" t="n">
        <f aca="false">IF(ISNUMBER(MATCH(E2184,'NCO-2015 scores'!$A$2:$A$131,0)),IF(ISNUMBER(INDEX('NCO-2015 scores'!$C$2:$C$131,MATCH(E2184,'NCO-2015 scores'!$A$2:$A$131,0))),1,0),0)</f>
        <v>1</v>
      </c>
    </row>
    <row r="2185" customFormat="false" ht="15" hidden="false" customHeight="false" outlineLevel="0" collapsed="false">
      <c r="A2185" s="2" t="n">
        <v>2181</v>
      </c>
      <c r="B2185" s="2" t="s">
        <v>6463</v>
      </c>
      <c r="C2185" s="2" t="s">
        <v>6464</v>
      </c>
      <c r="D2185" s="2"/>
      <c r="E2185" s="2" t="str">
        <f aca="false">LEFT(C2185,3)</f>
        <v>722</v>
      </c>
      <c r="F2185" s="2" t="str">
        <f aca="false">IF(D2185="","",LEFT(D2185,3))</f>
        <v/>
      </c>
      <c r="G2185" s="2" t="str">
        <f aca="false">IF(F2185="","",IF(E2185=F2185,"Yes","No"))</f>
        <v/>
      </c>
      <c r="H2185" s="2" t="n">
        <f aca="false">IF(D2185="",0,1/COUNTIF($D$2:$D$3451,D2185))</f>
        <v>0</v>
      </c>
      <c r="I2185" s="13" t="n">
        <f aca="false">IFERROR(INDEX('NCO-2015 scores'!$C$2:$C$131,MATCH(E2185,'NCO-2015 scores'!$A$2:$A$131,0)),0)</f>
        <v>0.18</v>
      </c>
      <c r="J2185" s="13" t="n">
        <f aca="false">IF(ISNUMBER(MATCH(E2185,'NCO-2015 scores'!$A$2:$A$131,0)),IF(ISNUMBER(INDEX('NCO-2015 scores'!$C$2:$C$131,MATCH(E2185,'NCO-2015 scores'!$A$2:$A$131,0))),1,0),0)</f>
        <v>1</v>
      </c>
    </row>
    <row r="2186" customFormat="false" ht="15" hidden="false" customHeight="false" outlineLevel="0" collapsed="false">
      <c r="A2186" s="2" t="n">
        <v>2182</v>
      </c>
      <c r="B2186" s="2" t="s">
        <v>6465</v>
      </c>
      <c r="C2186" s="2" t="s">
        <v>6466</v>
      </c>
      <c r="D2186" s="2"/>
      <c r="E2186" s="2" t="str">
        <f aca="false">LEFT(C2186,3)</f>
        <v>722</v>
      </c>
      <c r="F2186" s="2" t="str">
        <f aca="false">IF(D2186="","",LEFT(D2186,3))</f>
        <v/>
      </c>
      <c r="G2186" s="2" t="str">
        <f aca="false">IF(F2186="","",IF(E2186=F2186,"Yes","No"))</f>
        <v/>
      </c>
      <c r="H2186" s="2" t="n">
        <f aca="false">IF(D2186="",0,1/COUNTIF($D$2:$D$3451,D2186))</f>
        <v>0</v>
      </c>
      <c r="I2186" s="13" t="n">
        <f aca="false">IFERROR(INDEX('NCO-2015 scores'!$C$2:$C$131,MATCH(E2186,'NCO-2015 scores'!$A$2:$A$131,0)),0)</f>
        <v>0.18</v>
      </c>
      <c r="J2186" s="13" t="n">
        <f aca="false">IF(ISNUMBER(MATCH(E2186,'NCO-2015 scores'!$A$2:$A$131,0)),IF(ISNUMBER(INDEX('NCO-2015 scores'!$C$2:$C$131,MATCH(E2186,'NCO-2015 scores'!$A$2:$A$131,0))),1,0),0)</f>
        <v>1</v>
      </c>
    </row>
    <row r="2187" customFormat="false" ht="15" hidden="false" customHeight="false" outlineLevel="0" collapsed="false">
      <c r="A2187" s="2" t="n">
        <v>2183</v>
      </c>
      <c r="B2187" s="2" t="s">
        <v>6467</v>
      </c>
      <c r="C2187" s="2" t="s">
        <v>6468</v>
      </c>
      <c r="D2187" s="2"/>
      <c r="E2187" s="2" t="str">
        <f aca="false">LEFT(C2187,3)</f>
        <v>722</v>
      </c>
      <c r="F2187" s="2" t="str">
        <f aca="false">IF(D2187="","",LEFT(D2187,3))</f>
        <v/>
      </c>
      <c r="G2187" s="2" t="str">
        <f aca="false">IF(F2187="","",IF(E2187=F2187,"Yes","No"))</f>
        <v/>
      </c>
      <c r="H2187" s="2" t="n">
        <f aca="false">IF(D2187="",0,1/COUNTIF($D$2:$D$3451,D2187))</f>
        <v>0</v>
      </c>
      <c r="I2187" s="13" t="n">
        <f aca="false">IFERROR(INDEX('NCO-2015 scores'!$C$2:$C$131,MATCH(E2187,'NCO-2015 scores'!$A$2:$A$131,0)),0)</f>
        <v>0.18</v>
      </c>
      <c r="J2187" s="13" t="n">
        <f aca="false">IF(ISNUMBER(MATCH(E2187,'NCO-2015 scores'!$A$2:$A$131,0)),IF(ISNUMBER(INDEX('NCO-2015 scores'!$C$2:$C$131,MATCH(E2187,'NCO-2015 scores'!$A$2:$A$131,0))),1,0),0)</f>
        <v>1</v>
      </c>
    </row>
    <row r="2188" customFormat="false" ht="15" hidden="false" customHeight="false" outlineLevel="0" collapsed="false">
      <c r="A2188" s="2" t="n">
        <v>2184</v>
      </c>
      <c r="B2188" s="2" t="s">
        <v>6469</v>
      </c>
      <c r="C2188" s="2" t="s">
        <v>6470</v>
      </c>
      <c r="D2188" s="2"/>
      <c r="E2188" s="2" t="str">
        <f aca="false">LEFT(C2188,3)</f>
        <v>722</v>
      </c>
      <c r="F2188" s="2" t="str">
        <f aca="false">IF(D2188="","",LEFT(D2188,3))</f>
        <v/>
      </c>
      <c r="G2188" s="2" t="str">
        <f aca="false">IF(F2188="","",IF(E2188=F2188,"Yes","No"))</f>
        <v/>
      </c>
      <c r="H2188" s="2" t="n">
        <f aca="false">IF(D2188="",0,1/COUNTIF($D$2:$D$3451,D2188))</f>
        <v>0</v>
      </c>
      <c r="I2188" s="13" t="n">
        <f aca="false">IFERROR(INDEX('NCO-2015 scores'!$C$2:$C$131,MATCH(E2188,'NCO-2015 scores'!$A$2:$A$131,0)),0)</f>
        <v>0.18</v>
      </c>
      <c r="J2188" s="13" t="n">
        <f aca="false">IF(ISNUMBER(MATCH(E2188,'NCO-2015 scores'!$A$2:$A$131,0)),IF(ISNUMBER(INDEX('NCO-2015 scores'!$C$2:$C$131,MATCH(E2188,'NCO-2015 scores'!$A$2:$A$131,0))),1,0),0)</f>
        <v>1</v>
      </c>
    </row>
    <row r="2189" customFormat="false" ht="15" hidden="false" customHeight="false" outlineLevel="0" collapsed="false">
      <c r="A2189" s="2" t="n">
        <v>2185</v>
      </c>
      <c r="B2189" s="2" t="s">
        <v>6471</v>
      </c>
      <c r="C2189" s="2" t="s">
        <v>6472</v>
      </c>
      <c r="D2189" s="2"/>
      <c r="E2189" s="2" t="str">
        <f aca="false">LEFT(C2189,3)</f>
        <v>722</v>
      </c>
      <c r="F2189" s="2" t="str">
        <f aca="false">IF(D2189="","",LEFT(D2189,3))</f>
        <v/>
      </c>
      <c r="G2189" s="2" t="str">
        <f aca="false">IF(F2189="","",IF(E2189=F2189,"Yes","No"))</f>
        <v/>
      </c>
      <c r="H2189" s="2" t="n">
        <f aca="false">IF(D2189="",0,1/COUNTIF($D$2:$D$3451,D2189))</f>
        <v>0</v>
      </c>
      <c r="I2189" s="13" t="n">
        <f aca="false">IFERROR(INDEX('NCO-2015 scores'!$C$2:$C$131,MATCH(E2189,'NCO-2015 scores'!$A$2:$A$131,0)),0)</f>
        <v>0.18</v>
      </c>
      <c r="J2189" s="13" t="n">
        <f aca="false">IF(ISNUMBER(MATCH(E2189,'NCO-2015 scores'!$A$2:$A$131,0)),IF(ISNUMBER(INDEX('NCO-2015 scores'!$C$2:$C$131,MATCH(E2189,'NCO-2015 scores'!$A$2:$A$131,0))),1,0),0)</f>
        <v>1</v>
      </c>
    </row>
    <row r="2190" customFormat="false" ht="15" hidden="false" customHeight="false" outlineLevel="0" collapsed="false">
      <c r="A2190" s="2" t="n">
        <v>2186</v>
      </c>
      <c r="B2190" s="2" t="s">
        <v>6473</v>
      </c>
      <c r="C2190" s="2" t="s">
        <v>6474</v>
      </c>
      <c r="D2190" s="2" t="s">
        <v>6475</v>
      </c>
      <c r="E2190" s="2" t="str">
        <f aca="false">LEFT(C2190,3)</f>
        <v>211</v>
      </c>
      <c r="F2190" s="2" t="str">
        <f aca="false">IF(D2190="","",LEFT(D2190,3))</f>
        <v>211</v>
      </c>
      <c r="G2190" s="2" t="str">
        <f aca="false">IF(F2190="","",IF(E2190=F2190,"Yes","No"))</f>
        <v>Yes</v>
      </c>
      <c r="H2190" s="2" t="n">
        <f aca="false">IF(D2190="",0,1/COUNTIF($D$2:$D$3451,D2190))</f>
        <v>1</v>
      </c>
      <c r="I2190" s="13" t="n">
        <f aca="false">IFERROR(INDEX('NCO-2015 scores'!$C$2:$C$131,MATCH(E2190,'NCO-2015 scores'!$A$2:$A$131,0)),0)</f>
        <v>0.4175</v>
      </c>
      <c r="J2190" s="13" t="n">
        <f aca="false">IF(ISNUMBER(MATCH(E2190,'NCO-2015 scores'!$A$2:$A$131,0)),IF(ISNUMBER(INDEX('NCO-2015 scores'!$C$2:$C$131,MATCH(E2190,'NCO-2015 scores'!$A$2:$A$131,0))),1,0),0)</f>
        <v>1</v>
      </c>
    </row>
    <row r="2191" customFormat="false" ht="15" hidden="false" customHeight="false" outlineLevel="0" collapsed="false">
      <c r="A2191" s="2" t="n">
        <v>2187</v>
      </c>
      <c r="B2191" s="2" t="s">
        <v>6476</v>
      </c>
      <c r="C2191" s="2" t="s">
        <v>6477</v>
      </c>
      <c r="D2191" s="2" t="s">
        <v>6478</v>
      </c>
      <c r="E2191" s="2" t="str">
        <f aca="false">LEFT(C2191,3)</f>
        <v>211</v>
      </c>
      <c r="F2191" s="2" t="str">
        <f aca="false">IF(D2191="","",LEFT(D2191,3))</f>
        <v>211</v>
      </c>
      <c r="G2191" s="2" t="str">
        <f aca="false">IF(F2191="","",IF(E2191=F2191,"Yes","No"))</f>
        <v>Yes</v>
      </c>
      <c r="H2191" s="2" t="n">
        <f aca="false">IF(D2191="",0,1/COUNTIF($D$2:$D$3451,D2191))</f>
        <v>1</v>
      </c>
      <c r="I2191" s="13" t="n">
        <f aca="false">IFERROR(INDEX('NCO-2015 scores'!$C$2:$C$131,MATCH(E2191,'NCO-2015 scores'!$A$2:$A$131,0)),0)</f>
        <v>0.4175</v>
      </c>
      <c r="J2191" s="13" t="n">
        <f aca="false">IF(ISNUMBER(MATCH(E2191,'NCO-2015 scores'!$A$2:$A$131,0)),IF(ISNUMBER(INDEX('NCO-2015 scores'!$C$2:$C$131,MATCH(E2191,'NCO-2015 scores'!$A$2:$A$131,0))),1,0),0)</f>
        <v>1</v>
      </c>
    </row>
    <row r="2192" customFormat="false" ht="15" hidden="false" customHeight="false" outlineLevel="0" collapsed="false">
      <c r="A2192" s="2" t="n">
        <v>2188</v>
      </c>
      <c r="B2192" s="2" t="s">
        <v>6479</v>
      </c>
      <c r="C2192" s="2" t="s">
        <v>6480</v>
      </c>
      <c r="D2192" s="2" t="s">
        <v>6481</v>
      </c>
      <c r="E2192" s="2" t="str">
        <f aca="false">LEFT(C2192,3)</f>
        <v>962</v>
      </c>
      <c r="F2192" s="2" t="str">
        <f aca="false">IF(D2192="","",LEFT(D2192,3))</f>
        <v>915</v>
      </c>
      <c r="G2192" s="2" t="str">
        <f aca="false">IF(F2192="","",IF(E2192=F2192,"Yes","No"))</f>
        <v>No</v>
      </c>
      <c r="H2192" s="2" t="n">
        <f aca="false">IF(D2192="",0,1/COUNTIF($D$2:$D$3451,D2192))</f>
        <v>1</v>
      </c>
      <c r="I2192" s="13" t="n">
        <f aca="false">IFERROR(INDEX('NCO-2015 scores'!$C$2:$C$131,MATCH(E2192,'NCO-2015 scores'!$A$2:$A$131,0)),0)</f>
        <v>0.248</v>
      </c>
      <c r="J2192" s="13" t="n">
        <f aca="false">IF(ISNUMBER(MATCH(E2192,'NCO-2015 scores'!$A$2:$A$131,0)),IF(ISNUMBER(INDEX('NCO-2015 scores'!$C$2:$C$131,MATCH(E2192,'NCO-2015 scores'!$A$2:$A$131,0))),1,0),0)</f>
        <v>1</v>
      </c>
    </row>
    <row r="2193" customFormat="false" ht="15" hidden="false" customHeight="false" outlineLevel="0" collapsed="false">
      <c r="A2193" s="2" t="n">
        <v>2189</v>
      </c>
      <c r="B2193" s="2" t="s">
        <v>6482</v>
      </c>
      <c r="C2193" s="2" t="s">
        <v>6483</v>
      </c>
      <c r="D2193" s="2" t="s">
        <v>6484</v>
      </c>
      <c r="E2193" s="2" t="str">
        <f aca="false">LEFT(C2193,3)</f>
        <v>962</v>
      </c>
      <c r="F2193" s="2" t="str">
        <f aca="false">IF(D2193="","",LEFT(D2193,3))</f>
        <v>915</v>
      </c>
      <c r="G2193" s="2" t="str">
        <f aca="false">IF(F2193="","",IF(E2193=F2193,"Yes","No"))</f>
        <v>No</v>
      </c>
      <c r="H2193" s="2" t="n">
        <f aca="false">IF(D2193="",0,1/COUNTIF($D$2:$D$3451,D2193))</f>
        <v>1</v>
      </c>
      <c r="I2193" s="13" t="n">
        <f aca="false">IFERROR(INDEX('NCO-2015 scores'!$C$2:$C$131,MATCH(E2193,'NCO-2015 scores'!$A$2:$A$131,0)),0)</f>
        <v>0.248</v>
      </c>
      <c r="J2193" s="13" t="n">
        <f aca="false">IF(ISNUMBER(MATCH(E2193,'NCO-2015 scores'!$A$2:$A$131,0)),IF(ISNUMBER(INDEX('NCO-2015 scores'!$C$2:$C$131,MATCH(E2193,'NCO-2015 scores'!$A$2:$A$131,0))),1,0),0)</f>
        <v>1</v>
      </c>
    </row>
    <row r="2194" customFormat="false" ht="15" hidden="false" customHeight="false" outlineLevel="0" collapsed="false">
      <c r="A2194" s="2" t="n">
        <v>2190</v>
      </c>
      <c r="B2194" s="2" t="s">
        <v>6485</v>
      </c>
      <c r="C2194" s="2" t="s">
        <v>6486</v>
      </c>
      <c r="D2194" s="2" t="s">
        <v>6487</v>
      </c>
      <c r="E2194" s="2" t="str">
        <f aca="false">LEFT(C2194,3)</f>
        <v>962</v>
      </c>
      <c r="F2194" s="2" t="str">
        <f aca="false">IF(D2194="","",LEFT(D2194,3))</f>
        <v>915</v>
      </c>
      <c r="G2194" s="2" t="str">
        <f aca="false">IF(F2194="","",IF(E2194=F2194,"Yes","No"))</f>
        <v>No</v>
      </c>
      <c r="H2194" s="2" t="n">
        <f aca="false">IF(D2194="",0,1/COUNTIF($D$2:$D$3451,D2194))</f>
        <v>1</v>
      </c>
      <c r="I2194" s="13" t="n">
        <f aca="false">IFERROR(INDEX('NCO-2015 scores'!$C$2:$C$131,MATCH(E2194,'NCO-2015 scores'!$A$2:$A$131,0)),0)</f>
        <v>0.248</v>
      </c>
      <c r="J2194" s="13" t="n">
        <f aca="false">IF(ISNUMBER(MATCH(E2194,'NCO-2015 scores'!$A$2:$A$131,0)),IF(ISNUMBER(INDEX('NCO-2015 scores'!$C$2:$C$131,MATCH(E2194,'NCO-2015 scores'!$A$2:$A$131,0))),1,0),0)</f>
        <v>1</v>
      </c>
    </row>
    <row r="2195" customFormat="false" ht="15" hidden="false" customHeight="false" outlineLevel="0" collapsed="false">
      <c r="A2195" s="2" t="n">
        <v>2191</v>
      </c>
      <c r="B2195" s="2" t="s">
        <v>6488</v>
      </c>
      <c r="C2195" s="2" t="s">
        <v>6489</v>
      </c>
      <c r="D2195" s="2" t="s">
        <v>6490</v>
      </c>
      <c r="E2195" s="2" t="str">
        <f aca="false">LEFT(C2195,3)</f>
        <v>962</v>
      </c>
      <c r="F2195" s="2" t="str">
        <f aca="false">IF(D2195="","",LEFT(D2195,3))</f>
        <v>915</v>
      </c>
      <c r="G2195" s="2" t="str">
        <f aca="false">IF(F2195="","",IF(E2195=F2195,"Yes","No"))</f>
        <v>No</v>
      </c>
      <c r="H2195" s="2" t="n">
        <f aca="false">IF(D2195="",0,1/COUNTIF($D$2:$D$3451,D2195))</f>
        <v>1</v>
      </c>
      <c r="I2195" s="13" t="n">
        <f aca="false">IFERROR(INDEX('NCO-2015 scores'!$C$2:$C$131,MATCH(E2195,'NCO-2015 scores'!$A$2:$A$131,0)),0)</f>
        <v>0.248</v>
      </c>
      <c r="J2195" s="13" t="n">
        <f aca="false">IF(ISNUMBER(MATCH(E2195,'NCO-2015 scores'!$A$2:$A$131,0)),IF(ISNUMBER(INDEX('NCO-2015 scores'!$C$2:$C$131,MATCH(E2195,'NCO-2015 scores'!$A$2:$A$131,0))),1,0),0)</f>
        <v>1</v>
      </c>
    </row>
    <row r="2196" customFormat="false" ht="15" hidden="false" customHeight="false" outlineLevel="0" collapsed="false">
      <c r="A2196" s="2" t="n">
        <v>2192</v>
      </c>
      <c r="B2196" s="2" t="s">
        <v>6491</v>
      </c>
      <c r="C2196" s="2" t="s">
        <v>6492</v>
      </c>
      <c r="D2196" s="2"/>
      <c r="E2196" s="2" t="str">
        <f aca="false">LEFT(C2196,3)</f>
        <v>962</v>
      </c>
      <c r="F2196" s="2" t="str">
        <f aca="false">IF(D2196="","",LEFT(D2196,3))</f>
        <v/>
      </c>
      <c r="G2196" s="2" t="str">
        <f aca="false">IF(F2196="","",IF(E2196=F2196,"Yes","No"))</f>
        <v/>
      </c>
      <c r="H2196" s="2" t="n">
        <f aca="false">IF(D2196="",0,1/COUNTIF($D$2:$D$3451,D2196))</f>
        <v>0</v>
      </c>
      <c r="I2196" s="13" t="n">
        <f aca="false">IFERROR(INDEX('NCO-2015 scores'!$C$2:$C$131,MATCH(E2196,'NCO-2015 scores'!$A$2:$A$131,0)),0)</f>
        <v>0.248</v>
      </c>
      <c r="J2196" s="13" t="n">
        <f aca="false">IF(ISNUMBER(MATCH(E2196,'NCO-2015 scores'!$A$2:$A$131,0)),IF(ISNUMBER(INDEX('NCO-2015 scores'!$C$2:$C$131,MATCH(E2196,'NCO-2015 scores'!$A$2:$A$131,0))),1,0),0)</f>
        <v>1</v>
      </c>
    </row>
    <row r="2197" customFormat="false" ht="15" hidden="false" customHeight="false" outlineLevel="0" collapsed="false">
      <c r="A2197" s="2" t="n">
        <v>2193</v>
      </c>
      <c r="B2197" s="2" t="s">
        <v>6493</v>
      </c>
      <c r="C2197" s="2" t="s">
        <v>6494</v>
      </c>
      <c r="D2197" s="2"/>
      <c r="E2197" s="2" t="str">
        <f aca="false">LEFT(C2197,3)</f>
        <v>962</v>
      </c>
      <c r="F2197" s="2" t="str">
        <f aca="false">IF(D2197="","",LEFT(D2197,3))</f>
        <v/>
      </c>
      <c r="G2197" s="2" t="str">
        <f aca="false">IF(F2197="","",IF(E2197=F2197,"Yes","No"))</f>
        <v/>
      </c>
      <c r="H2197" s="2" t="n">
        <f aca="false">IF(D2197="",0,1/COUNTIF($D$2:$D$3451,D2197))</f>
        <v>0</v>
      </c>
      <c r="I2197" s="13" t="n">
        <f aca="false">IFERROR(INDEX('NCO-2015 scores'!$C$2:$C$131,MATCH(E2197,'NCO-2015 scores'!$A$2:$A$131,0)),0)</f>
        <v>0.248</v>
      </c>
      <c r="J2197" s="13" t="n">
        <f aca="false">IF(ISNUMBER(MATCH(E2197,'NCO-2015 scores'!$A$2:$A$131,0)),IF(ISNUMBER(INDEX('NCO-2015 scores'!$C$2:$C$131,MATCH(E2197,'NCO-2015 scores'!$A$2:$A$131,0))),1,0),0)</f>
        <v>1</v>
      </c>
    </row>
    <row r="2198" customFormat="false" ht="15" hidden="false" customHeight="false" outlineLevel="0" collapsed="false">
      <c r="A2198" s="2" t="n">
        <v>2194</v>
      </c>
      <c r="B2198" s="2" t="s">
        <v>6495</v>
      </c>
      <c r="C2198" s="2" t="s">
        <v>6496</v>
      </c>
      <c r="D2198" s="2"/>
      <c r="E2198" s="2" t="str">
        <f aca="false">LEFT(C2198,3)</f>
        <v>962</v>
      </c>
      <c r="F2198" s="2" t="str">
        <f aca="false">IF(D2198="","",LEFT(D2198,3))</f>
        <v/>
      </c>
      <c r="G2198" s="2" t="str">
        <f aca="false">IF(F2198="","",IF(E2198=F2198,"Yes","No"))</f>
        <v/>
      </c>
      <c r="H2198" s="2" t="n">
        <f aca="false">IF(D2198="",0,1/COUNTIF($D$2:$D$3451,D2198))</f>
        <v>0</v>
      </c>
      <c r="I2198" s="13" t="n">
        <f aca="false">IFERROR(INDEX('NCO-2015 scores'!$C$2:$C$131,MATCH(E2198,'NCO-2015 scores'!$A$2:$A$131,0)),0)</f>
        <v>0.248</v>
      </c>
      <c r="J2198" s="13" t="n">
        <f aca="false">IF(ISNUMBER(MATCH(E2198,'NCO-2015 scores'!$A$2:$A$131,0)),IF(ISNUMBER(INDEX('NCO-2015 scores'!$C$2:$C$131,MATCH(E2198,'NCO-2015 scores'!$A$2:$A$131,0))),1,0),0)</f>
        <v>1</v>
      </c>
    </row>
    <row r="2199" customFormat="false" ht="15" hidden="false" customHeight="false" outlineLevel="0" collapsed="false">
      <c r="A2199" s="2" t="n">
        <v>2195</v>
      </c>
      <c r="B2199" s="2" t="s">
        <v>6497</v>
      </c>
      <c r="C2199" s="2" t="s">
        <v>6498</v>
      </c>
      <c r="D2199" s="2"/>
      <c r="E2199" s="2" t="str">
        <f aca="false">LEFT(C2199,3)</f>
        <v>962</v>
      </c>
      <c r="F2199" s="2" t="str">
        <f aca="false">IF(D2199="","",LEFT(D2199,3))</f>
        <v/>
      </c>
      <c r="G2199" s="2" t="str">
        <f aca="false">IF(F2199="","",IF(E2199=F2199,"Yes","No"))</f>
        <v/>
      </c>
      <c r="H2199" s="2" t="n">
        <f aca="false">IF(D2199="",0,1/COUNTIF($D$2:$D$3451,D2199))</f>
        <v>0</v>
      </c>
      <c r="I2199" s="13" t="n">
        <f aca="false">IFERROR(INDEX('NCO-2015 scores'!$C$2:$C$131,MATCH(E2199,'NCO-2015 scores'!$A$2:$A$131,0)),0)</f>
        <v>0.248</v>
      </c>
      <c r="J2199" s="13" t="n">
        <f aca="false">IF(ISNUMBER(MATCH(E2199,'NCO-2015 scores'!$A$2:$A$131,0)),IF(ISNUMBER(INDEX('NCO-2015 scores'!$C$2:$C$131,MATCH(E2199,'NCO-2015 scores'!$A$2:$A$131,0))),1,0),0)</f>
        <v>1</v>
      </c>
    </row>
    <row r="2200" customFormat="false" ht="15" hidden="false" customHeight="false" outlineLevel="0" collapsed="false">
      <c r="A2200" s="2" t="n">
        <v>2196</v>
      </c>
      <c r="B2200" s="2" t="s">
        <v>6499</v>
      </c>
      <c r="C2200" s="2" t="s">
        <v>6500</v>
      </c>
      <c r="D2200" s="2" t="s">
        <v>6501</v>
      </c>
      <c r="E2200" s="2" t="str">
        <f aca="false">LEFT(C2200,3)</f>
        <v>322</v>
      </c>
      <c r="F2200" s="2" t="str">
        <f aca="false">IF(D2200="","",LEFT(D2200,3))</f>
        <v>323</v>
      </c>
      <c r="G2200" s="2" t="str">
        <f aca="false">IF(F2200="","",IF(E2200=F2200,"Yes","No"))</f>
        <v>No</v>
      </c>
      <c r="H2200" s="2" t="n">
        <f aca="false">IF(D2200="",0,1/COUNTIF($D$2:$D$3451,D2200))</f>
        <v>1</v>
      </c>
      <c r="I2200" s="13" t="n">
        <f aca="false">IFERROR(INDEX('NCO-2015 scores'!$C$2:$C$131,MATCH(E2200,'NCO-2015 scores'!$A$2:$A$131,0)),0)</f>
        <v>0.21</v>
      </c>
      <c r="J2200" s="13" t="n">
        <f aca="false">IF(ISNUMBER(MATCH(E2200,'NCO-2015 scores'!$A$2:$A$131,0)),IF(ISNUMBER(INDEX('NCO-2015 scores'!$C$2:$C$131,MATCH(E2200,'NCO-2015 scores'!$A$2:$A$131,0))),1,0),0)</f>
        <v>1</v>
      </c>
    </row>
    <row r="2201" customFormat="false" ht="15" hidden="false" customHeight="false" outlineLevel="0" collapsed="false">
      <c r="A2201" s="2" t="n">
        <v>2197</v>
      </c>
      <c r="B2201" s="2" t="s">
        <v>6502</v>
      </c>
      <c r="C2201" s="2" t="s">
        <v>6503</v>
      </c>
      <c r="D2201" s="2" t="s">
        <v>6504</v>
      </c>
      <c r="E2201" s="2" t="str">
        <f aca="false">LEFT(C2201,3)</f>
        <v>322</v>
      </c>
      <c r="F2201" s="2" t="str">
        <f aca="false">IF(D2201="","",LEFT(D2201,3))</f>
        <v>323</v>
      </c>
      <c r="G2201" s="2" t="str">
        <f aca="false">IF(F2201="","",IF(E2201=F2201,"Yes","No"))</f>
        <v>No</v>
      </c>
      <c r="H2201" s="2" t="n">
        <f aca="false">IF(D2201="",0,1/COUNTIF($D$2:$D$3451,D2201))</f>
        <v>1</v>
      </c>
      <c r="I2201" s="13" t="n">
        <f aca="false">IFERROR(INDEX('NCO-2015 scores'!$C$2:$C$131,MATCH(E2201,'NCO-2015 scores'!$A$2:$A$131,0)),0)</f>
        <v>0.21</v>
      </c>
      <c r="J2201" s="13" t="n">
        <f aca="false">IF(ISNUMBER(MATCH(E2201,'NCO-2015 scores'!$A$2:$A$131,0)),IF(ISNUMBER(INDEX('NCO-2015 scores'!$C$2:$C$131,MATCH(E2201,'NCO-2015 scores'!$A$2:$A$131,0))),1,0),0)</f>
        <v>1</v>
      </c>
    </row>
    <row r="2202" customFormat="false" ht="15" hidden="false" customHeight="false" outlineLevel="0" collapsed="false">
      <c r="A2202" s="2" t="n">
        <v>2198</v>
      </c>
      <c r="B2202" s="2" t="s">
        <v>6505</v>
      </c>
      <c r="C2202" s="2" t="s">
        <v>6506</v>
      </c>
      <c r="D2202" s="2" t="s">
        <v>6507</v>
      </c>
      <c r="E2202" s="2" t="str">
        <f aca="false">LEFT(C2202,3)</f>
        <v>322</v>
      </c>
      <c r="F2202" s="2" t="str">
        <f aca="false">IF(D2202="","",LEFT(D2202,3))</f>
        <v>323</v>
      </c>
      <c r="G2202" s="2" t="str">
        <f aca="false">IF(F2202="","",IF(E2202=F2202,"Yes","No"))</f>
        <v>No</v>
      </c>
      <c r="H2202" s="2" t="n">
        <f aca="false">IF(D2202="",0,1/COUNTIF($D$2:$D$3451,D2202))</f>
        <v>1</v>
      </c>
      <c r="I2202" s="13" t="n">
        <f aca="false">IFERROR(INDEX('NCO-2015 scores'!$C$2:$C$131,MATCH(E2202,'NCO-2015 scores'!$A$2:$A$131,0)),0)</f>
        <v>0.21</v>
      </c>
      <c r="J2202" s="13" t="n">
        <f aca="false">IF(ISNUMBER(MATCH(E2202,'NCO-2015 scores'!$A$2:$A$131,0)),IF(ISNUMBER(INDEX('NCO-2015 scores'!$C$2:$C$131,MATCH(E2202,'NCO-2015 scores'!$A$2:$A$131,0))),1,0),0)</f>
        <v>1</v>
      </c>
    </row>
    <row r="2203" customFormat="false" ht="15" hidden="false" customHeight="false" outlineLevel="0" collapsed="false">
      <c r="A2203" s="2" t="n">
        <v>2199</v>
      </c>
      <c r="B2203" s="2" t="s">
        <v>6508</v>
      </c>
      <c r="C2203" s="2" t="s">
        <v>6509</v>
      </c>
      <c r="D2203" s="2" t="s">
        <v>6510</v>
      </c>
      <c r="E2203" s="2" t="str">
        <f aca="false">LEFT(C2203,3)</f>
        <v>322</v>
      </c>
      <c r="F2203" s="2" t="str">
        <f aca="false">IF(D2203="","",LEFT(D2203,3))</f>
        <v>323</v>
      </c>
      <c r="G2203" s="2" t="str">
        <f aca="false">IF(F2203="","",IF(E2203=F2203,"Yes","No"))</f>
        <v>No</v>
      </c>
      <c r="H2203" s="2" t="n">
        <f aca="false">IF(D2203="",0,1/COUNTIF($D$2:$D$3451,D2203))</f>
        <v>1</v>
      </c>
      <c r="I2203" s="13" t="n">
        <f aca="false">IFERROR(INDEX('NCO-2015 scores'!$C$2:$C$131,MATCH(E2203,'NCO-2015 scores'!$A$2:$A$131,0)),0)</f>
        <v>0.21</v>
      </c>
      <c r="J2203" s="13" t="n">
        <f aca="false">IF(ISNUMBER(MATCH(E2203,'NCO-2015 scores'!$A$2:$A$131,0)),IF(ISNUMBER(INDEX('NCO-2015 scores'!$C$2:$C$131,MATCH(E2203,'NCO-2015 scores'!$A$2:$A$131,0))),1,0),0)</f>
        <v>1</v>
      </c>
    </row>
    <row r="2204" customFormat="false" ht="15" hidden="false" customHeight="false" outlineLevel="0" collapsed="false">
      <c r="A2204" s="2" t="n">
        <v>2200</v>
      </c>
      <c r="B2204" s="2" t="s">
        <v>6511</v>
      </c>
      <c r="C2204" s="2" t="s">
        <v>6512</v>
      </c>
      <c r="D2204" s="2" t="s">
        <v>6513</v>
      </c>
      <c r="E2204" s="2" t="str">
        <f aca="false">LEFT(C2204,3)</f>
        <v>811</v>
      </c>
      <c r="F2204" s="2" t="str">
        <f aca="false">IF(D2204="","",LEFT(D2204,3))</f>
        <v>711</v>
      </c>
      <c r="G2204" s="2" t="str">
        <f aca="false">IF(F2204="","",IF(E2204=F2204,"Yes","No"))</f>
        <v>No</v>
      </c>
      <c r="H2204" s="2" t="n">
        <f aca="false">IF(D2204="",0,1/COUNTIF($D$2:$D$3451,D2204))</f>
        <v>1</v>
      </c>
      <c r="I2204" s="13" t="n">
        <f aca="false">IFERROR(INDEX('NCO-2015 scores'!$C$2:$C$131,MATCH(E2204,'NCO-2015 scores'!$A$2:$A$131,0)),0)</f>
        <v>0.2</v>
      </c>
      <c r="J2204" s="13" t="n">
        <f aca="false">IF(ISNUMBER(MATCH(E2204,'NCO-2015 scores'!$A$2:$A$131,0)),IF(ISNUMBER(INDEX('NCO-2015 scores'!$C$2:$C$131,MATCH(E2204,'NCO-2015 scores'!$A$2:$A$131,0))),1,0),0)</f>
        <v>1</v>
      </c>
    </row>
    <row r="2205" customFormat="false" ht="15" hidden="false" customHeight="false" outlineLevel="0" collapsed="false">
      <c r="A2205" s="2" t="n">
        <v>2201</v>
      </c>
      <c r="B2205" s="2" t="s">
        <v>6514</v>
      </c>
      <c r="C2205" s="2" t="s">
        <v>6515</v>
      </c>
      <c r="D2205" s="2" t="s">
        <v>6516</v>
      </c>
      <c r="E2205" s="2" t="str">
        <f aca="false">LEFT(C2205,3)</f>
        <v>811</v>
      </c>
      <c r="F2205" s="2" t="str">
        <f aca="false">IF(D2205="","",LEFT(D2205,3))</f>
        <v>711</v>
      </c>
      <c r="G2205" s="2" t="str">
        <f aca="false">IF(F2205="","",IF(E2205=F2205,"Yes","No"))</f>
        <v>No</v>
      </c>
      <c r="H2205" s="2" t="n">
        <f aca="false">IF(D2205="",0,1/COUNTIF($D$2:$D$3451,D2205))</f>
        <v>1</v>
      </c>
      <c r="I2205" s="13" t="n">
        <f aca="false">IFERROR(INDEX('NCO-2015 scores'!$C$2:$C$131,MATCH(E2205,'NCO-2015 scores'!$A$2:$A$131,0)),0)</f>
        <v>0.2</v>
      </c>
      <c r="J2205" s="13" t="n">
        <f aca="false">IF(ISNUMBER(MATCH(E2205,'NCO-2015 scores'!$A$2:$A$131,0)),IF(ISNUMBER(INDEX('NCO-2015 scores'!$C$2:$C$131,MATCH(E2205,'NCO-2015 scores'!$A$2:$A$131,0))),1,0),0)</f>
        <v>1</v>
      </c>
    </row>
    <row r="2206" customFormat="false" ht="15" hidden="false" customHeight="false" outlineLevel="0" collapsed="false">
      <c r="A2206" s="2" t="n">
        <v>2202</v>
      </c>
      <c r="B2206" s="2" t="s">
        <v>6517</v>
      </c>
      <c r="C2206" s="2" t="s">
        <v>6518</v>
      </c>
      <c r="D2206" s="2" t="s">
        <v>6519</v>
      </c>
      <c r="E2206" s="2" t="str">
        <f aca="false">LEFT(C2206,3)</f>
        <v>811</v>
      </c>
      <c r="F2206" s="2" t="str">
        <f aca="false">IF(D2206="","",LEFT(D2206,3))</f>
        <v>711</v>
      </c>
      <c r="G2206" s="2" t="str">
        <f aca="false">IF(F2206="","",IF(E2206=F2206,"Yes","No"))</f>
        <v>No</v>
      </c>
      <c r="H2206" s="2" t="n">
        <f aca="false">IF(D2206="",0,1/COUNTIF($D$2:$D$3451,D2206))</f>
        <v>1</v>
      </c>
      <c r="I2206" s="13" t="n">
        <f aca="false">IFERROR(INDEX('NCO-2015 scores'!$C$2:$C$131,MATCH(E2206,'NCO-2015 scores'!$A$2:$A$131,0)),0)</f>
        <v>0.2</v>
      </c>
      <c r="J2206" s="13" t="n">
        <f aca="false">IF(ISNUMBER(MATCH(E2206,'NCO-2015 scores'!$A$2:$A$131,0)),IF(ISNUMBER(INDEX('NCO-2015 scores'!$C$2:$C$131,MATCH(E2206,'NCO-2015 scores'!$A$2:$A$131,0))),1,0),0)</f>
        <v>1</v>
      </c>
    </row>
    <row r="2207" customFormat="false" ht="15" hidden="false" customHeight="false" outlineLevel="0" collapsed="false">
      <c r="A2207" s="2" t="n">
        <v>2203</v>
      </c>
      <c r="B2207" s="2" t="s">
        <v>6520</v>
      </c>
      <c r="C2207" s="2" t="s">
        <v>6521</v>
      </c>
      <c r="D2207" s="2" t="s">
        <v>6522</v>
      </c>
      <c r="E2207" s="2" t="str">
        <f aca="false">LEFT(C2207,3)</f>
        <v>811</v>
      </c>
      <c r="F2207" s="2" t="str">
        <f aca="false">IF(D2207="","",LEFT(D2207,3))</f>
        <v>711</v>
      </c>
      <c r="G2207" s="2" t="str">
        <f aca="false">IF(F2207="","",IF(E2207=F2207,"Yes","No"))</f>
        <v>No</v>
      </c>
      <c r="H2207" s="2" t="n">
        <f aca="false">IF(D2207="",0,1/COUNTIF($D$2:$D$3451,D2207))</f>
        <v>1</v>
      </c>
      <c r="I2207" s="13" t="n">
        <f aca="false">IFERROR(INDEX('NCO-2015 scores'!$C$2:$C$131,MATCH(E2207,'NCO-2015 scores'!$A$2:$A$131,0)),0)</f>
        <v>0.2</v>
      </c>
      <c r="J2207" s="13" t="n">
        <f aca="false">IF(ISNUMBER(MATCH(E2207,'NCO-2015 scores'!$A$2:$A$131,0)),IF(ISNUMBER(INDEX('NCO-2015 scores'!$C$2:$C$131,MATCH(E2207,'NCO-2015 scores'!$A$2:$A$131,0))),1,0),0)</f>
        <v>1</v>
      </c>
    </row>
    <row r="2208" customFormat="false" ht="15" hidden="false" customHeight="false" outlineLevel="0" collapsed="false">
      <c r="A2208" s="2" t="n">
        <v>2204</v>
      </c>
      <c r="B2208" s="2" t="s">
        <v>6523</v>
      </c>
      <c r="C2208" s="2" t="s">
        <v>6524</v>
      </c>
      <c r="D2208" s="2" t="s">
        <v>6525</v>
      </c>
      <c r="E2208" s="2" t="str">
        <f aca="false">LEFT(C2208,3)</f>
        <v>811</v>
      </c>
      <c r="F2208" s="2" t="str">
        <f aca="false">IF(D2208="","",LEFT(D2208,3))</f>
        <v>811</v>
      </c>
      <c r="G2208" s="2" t="str">
        <f aca="false">IF(F2208="","",IF(E2208=F2208,"Yes","No"))</f>
        <v>Yes</v>
      </c>
      <c r="H2208" s="2" t="n">
        <f aca="false">IF(D2208="",0,1/COUNTIF($D$2:$D$3451,D2208))</f>
        <v>1</v>
      </c>
      <c r="I2208" s="13" t="n">
        <f aca="false">IFERROR(INDEX('NCO-2015 scores'!$C$2:$C$131,MATCH(E2208,'NCO-2015 scores'!$A$2:$A$131,0)),0)</f>
        <v>0.2</v>
      </c>
      <c r="J2208" s="13" t="n">
        <f aca="false">IF(ISNUMBER(MATCH(E2208,'NCO-2015 scores'!$A$2:$A$131,0)),IF(ISNUMBER(INDEX('NCO-2015 scores'!$C$2:$C$131,MATCH(E2208,'NCO-2015 scores'!$A$2:$A$131,0))),1,0),0)</f>
        <v>1</v>
      </c>
    </row>
    <row r="2209" customFormat="false" ht="15" hidden="false" customHeight="false" outlineLevel="0" collapsed="false">
      <c r="A2209" s="2" t="n">
        <v>2205</v>
      </c>
      <c r="B2209" s="2" t="s">
        <v>6526</v>
      </c>
      <c r="C2209" s="2" t="s">
        <v>6527</v>
      </c>
      <c r="D2209" s="2" t="s">
        <v>6528</v>
      </c>
      <c r="E2209" s="2" t="str">
        <f aca="false">LEFT(C2209,3)</f>
        <v>811</v>
      </c>
      <c r="F2209" s="2" t="str">
        <f aca="false">IF(D2209="","",LEFT(D2209,3))</f>
        <v>711</v>
      </c>
      <c r="G2209" s="2" t="str">
        <f aca="false">IF(F2209="","",IF(E2209=F2209,"Yes","No"))</f>
        <v>No</v>
      </c>
      <c r="H2209" s="2" t="n">
        <f aca="false">IF(D2209="",0,1/COUNTIF($D$2:$D$3451,D2209))</f>
        <v>1</v>
      </c>
      <c r="I2209" s="13" t="n">
        <f aca="false">IFERROR(INDEX('NCO-2015 scores'!$C$2:$C$131,MATCH(E2209,'NCO-2015 scores'!$A$2:$A$131,0)),0)</f>
        <v>0.2</v>
      </c>
      <c r="J2209" s="13" t="n">
        <f aca="false">IF(ISNUMBER(MATCH(E2209,'NCO-2015 scores'!$A$2:$A$131,0)),IF(ISNUMBER(INDEX('NCO-2015 scores'!$C$2:$C$131,MATCH(E2209,'NCO-2015 scores'!$A$2:$A$131,0))),1,0),0)</f>
        <v>1</v>
      </c>
    </row>
    <row r="2210" customFormat="false" ht="15" hidden="false" customHeight="false" outlineLevel="0" collapsed="false">
      <c r="A2210" s="2" t="n">
        <v>2206</v>
      </c>
      <c r="B2210" s="2" t="s">
        <v>6529</v>
      </c>
      <c r="C2210" s="2" t="s">
        <v>6530</v>
      </c>
      <c r="D2210" s="2" t="s">
        <v>6531</v>
      </c>
      <c r="E2210" s="2" t="str">
        <f aca="false">LEFT(C2210,3)</f>
        <v>811</v>
      </c>
      <c r="F2210" s="2" t="str">
        <f aca="false">IF(D2210="","",LEFT(D2210,3))</f>
        <v>811</v>
      </c>
      <c r="G2210" s="2" t="str">
        <f aca="false">IF(F2210="","",IF(E2210=F2210,"Yes","No"))</f>
        <v>Yes</v>
      </c>
      <c r="H2210" s="2" t="n">
        <f aca="false">IF(D2210="",0,1/COUNTIF($D$2:$D$3451,D2210))</f>
        <v>1</v>
      </c>
      <c r="I2210" s="13" t="n">
        <f aca="false">IFERROR(INDEX('NCO-2015 scores'!$C$2:$C$131,MATCH(E2210,'NCO-2015 scores'!$A$2:$A$131,0)),0)</f>
        <v>0.2</v>
      </c>
      <c r="J2210" s="13" t="n">
        <f aca="false">IF(ISNUMBER(MATCH(E2210,'NCO-2015 scores'!$A$2:$A$131,0)),IF(ISNUMBER(INDEX('NCO-2015 scores'!$C$2:$C$131,MATCH(E2210,'NCO-2015 scores'!$A$2:$A$131,0))),1,0),0)</f>
        <v>1</v>
      </c>
    </row>
    <row r="2211" customFormat="false" ht="15" hidden="false" customHeight="false" outlineLevel="0" collapsed="false">
      <c r="A2211" s="2" t="n">
        <v>2207</v>
      </c>
      <c r="B2211" s="2" t="s">
        <v>6532</v>
      </c>
      <c r="C2211" s="2" t="s">
        <v>6533</v>
      </c>
      <c r="D2211" s="2" t="s">
        <v>6534</v>
      </c>
      <c r="E2211" s="2" t="str">
        <f aca="false">LEFT(C2211,3)</f>
        <v>811</v>
      </c>
      <c r="F2211" s="2" t="str">
        <f aca="false">IF(D2211="","",LEFT(D2211,3))</f>
        <v>811</v>
      </c>
      <c r="G2211" s="2" t="str">
        <f aca="false">IF(F2211="","",IF(E2211=F2211,"Yes","No"))</f>
        <v>Yes</v>
      </c>
      <c r="H2211" s="2" t="n">
        <f aca="false">IF(D2211="",0,1/COUNTIF($D$2:$D$3451,D2211))</f>
        <v>1</v>
      </c>
      <c r="I2211" s="13" t="n">
        <f aca="false">IFERROR(INDEX('NCO-2015 scores'!$C$2:$C$131,MATCH(E2211,'NCO-2015 scores'!$A$2:$A$131,0)),0)</f>
        <v>0.2</v>
      </c>
      <c r="J2211" s="13" t="n">
        <f aca="false">IF(ISNUMBER(MATCH(E2211,'NCO-2015 scores'!$A$2:$A$131,0)),IF(ISNUMBER(INDEX('NCO-2015 scores'!$C$2:$C$131,MATCH(E2211,'NCO-2015 scores'!$A$2:$A$131,0))),1,0),0)</f>
        <v>1</v>
      </c>
    </row>
    <row r="2212" customFormat="false" ht="15" hidden="false" customHeight="false" outlineLevel="0" collapsed="false">
      <c r="A2212" s="2" t="n">
        <v>2208</v>
      </c>
      <c r="B2212" s="2" t="s">
        <v>6535</v>
      </c>
      <c r="C2212" s="2" t="s">
        <v>6536</v>
      </c>
      <c r="D2212" s="2" t="s">
        <v>6537</v>
      </c>
      <c r="E2212" s="2" t="str">
        <f aca="false">LEFT(C2212,3)</f>
        <v>811</v>
      </c>
      <c r="F2212" s="2" t="str">
        <f aca="false">IF(D2212="","",LEFT(D2212,3))</f>
        <v>811</v>
      </c>
      <c r="G2212" s="2" t="str">
        <f aca="false">IF(F2212="","",IF(E2212=F2212,"Yes","No"))</f>
        <v>Yes</v>
      </c>
      <c r="H2212" s="2" t="n">
        <f aca="false">IF(D2212="",0,1/COUNTIF($D$2:$D$3451,D2212))</f>
        <v>1</v>
      </c>
      <c r="I2212" s="13" t="n">
        <f aca="false">IFERROR(INDEX('NCO-2015 scores'!$C$2:$C$131,MATCH(E2212,'NCO-2015 scores'!$A$2:$A$131,0)),0)</f>
        <v>0.2</v>
      </c>
      <c r="J2212" s="13" t="n">
        <f aca="false">IF(ISNUMBER(MATCH(E2212,'NCO-2015 scores'!$A$2:$A$131,0)),IF(ISNUMBER(INDEX('NCO-2015 scores'!$C$2:$C$131,MATCH(E2212,'NCO-2015 scores'!$A$2:$A$131,0))),1,0),0)</f>
        <v>1</v>
      </c>
    </row>
    <row r="2213" customFormat="false" ht="15" hidden="false" customHeight="false" outlineLevel="0" collapsed="false">
      <c r="A2213" s="2" t="n">
        <v>2209</v>
      </c>
      <c r="B2213" s="2" t="s">
        <v>6538</v>
      </c>
      <c r="C2213" s="2" t="s">
        <v>6539</v>
      </c>
      <c r="D2213" s="2"/>
      <c r="E2213" s="2" t="str">
        <f aca="false">LEFT(C2213,3)</f>
        <v>811</v>
      </c>
      <c r="F2213" s="2" t="str">
        <f aca="false">IF(D2213="","",LEFT(D2213,3))</f>
        <v/>
      </c>
      <c r="G2213" s="2" t="str">
        <f aca="false">IF(F2213="","",IF(E2213=F2213,"Yes","No"))</f>
        <v/>
      </c>
      <c r="H2213" s="2" t="n">
        <f aca="false">IF(D2213="",0,1/COUNTIF($D$2:$D$3451,D2213))</f>
        <v>0</v>
      </c>
      <c r="I2213" s="13" t="n">
        <f aca="false">IFERROR(INDEX('NCO-2015 scores'!$C$2:$C$131,MATCH(E2213,'NCO-2015 scores'!$A$2:$A$131,0)),0)</f>
        <v>0.2</v>
      </c>
      <c r="J2213" s="13" t="n">
        <f aca="false">IF(ISNUMBER(MATCH(E2213,'NCO-2015 scores'!$A$2:$A$131,0)),IF(ISNUMBER(INDEX('NCO-2015 scores'!$C$2:$C$131,MATCH(E2213,'NCO-2015 scores'!$A$2:$A$131,0))),1,0),0)</f>
        <v>1</v>
      </c>
    </row>
    <row r="2214" customFormat="false" ht="15" hidden="false" customHeight="false" outlineLevel="0" collapsed="false">
      <c r="A2214" s="2" t="n">
        <v>2210</v>
      </c>
      <c r="B2214" s="2" t="s">
        <v>6540</v>
      </c>
      <c r="C2214" s="2" t="s">
        <v>6541</v>
      </c>
      <c r="D2214" s="2" t="s">
        <v>6542</v>
      </c>
      <c r="E2214" s="2" t="str">
        <f aca="false">LEFT(C2214,3)</f>
        <v>811</v>
      </c>
      <c r="F2214" s="2" t="str">
        <f aca="false">IF(D2214="","",LEFT(D2214,3))</f>
        <v>711</v>
      </c>
      <c r="G2214" s="2" t="str">
        <f aca="false">IF(F2214="","",IF(E2214=F2214,"Yes","No"))</f>
        <v>No</v>
      </c>
      <c r="H2214" s="2" t="n">
        <f aca="false">IF(D2214="",0,1/COUNTIF($D$2:$D$3451,D2214))</f>
        <v>1</v>
      </c>
      <c r="I2214" s="13" t="n">
        <f aca="false">IFERROR(INDEX('NCO-2015 scores'!$C$2:$C$131,MATCH(E2214,'NCO-2015 scores'!$A$2:$A$131,0)),0)</f>
        <v>0.2</v>
      </c>
      <c r="J2214" s="13" t="n">
        <f aca="false">IF(ISNUMBER(MATCH(E2214,'NCO-2015 scores'!$A$2:$A$131,0)),IF(ISNUMBER(INDEX('NCO-2015 scores'!$C$2:$C$131,MATCH(E2214,'NCO-2015 scores'!$A$2:$A$131,0))),1,0),0)</f>
        <v>1</v>
      </c>
    </row>
    <row r="2215" customFormat="false" ht="15" hidden="false" customHeight="false" outlineLevel="0" collapsed="false">
      <c r="A2215" s="2" t="n">
        <v>2211</v>
      </c>
      <c r="B2215" s="2" t="s">
        <v>6543</v>
      </c>
      <c r="C2215" s="2" t="s">
        <v>6544</v>
      </c>
      <c r="D2215" s="2" t="s">
        <v>6545</v>
      </c>
      <c r="E2215" s="2" t="str">
        <f aca="false">LEFT(C2215,3)</f>
        <v>811</v>
      </c>
      <c r="F2215" s="2" t="str">
        <f aca="false">IF(D2215="","",LEFT(D2215,3))</f>
        <v>711</v>
      </c>
      <c r="G2215" s="2" t="str">
        <f aca="false">IF(F2215="","",IF(E2215=F2215,"Yes","No"))</f>
        <v>No</v>
      </c>
      <c r="H2215" s="2" t="n">
        <f aca="false">IF(D2215="",0,1/COUNTIF($D$2:$D$3451,D2215))</f>
        <v>1</v>
      </c>
      <c r="I2215" s="13" t="n">
        <f aca="false">IFERROR(INDEX('NCO-2015 scores'!$C$2:$C$131,MATCH(E2215,'NCO-2015 scores'!$A$2:$A$131,0)),0)</f>
        <v>0.2</v>
      </c>
      <c r="J2215" s="13" t="n">
        <f aca="false">IF(ISNUMBER(MATCH(E2215,'NCO-2015 scores'!$A$2:$A$131,0)),IF(ISNUMBER(INDEX('NCO-2015 scores'!$C$2:$C$131,MATCH(E2215,'NCO-2015 scores'!$A$2:$A$131,0))),1,0),0)</f>
        <v>1</v>
      </c>
    </row>
    <row r="2216" customFormat="false" ht="15" hidden="false" customHeight="false" outlineLevel="0" collapsed="false">
      <c r="A2216" s="2" t="n">
        <v>2212</v>
      </c>
      <c r="B2216" s="2" t="s">
        <v>6546</v>
      </c>
      <c r="C2216" s="2" t="s">
        <v>6547</v>
      </c>
      <c r="D2216" s="2" t="s">
        <v>6548</v>
      </c>
      <c r="E2216" s="2" t="str">
        <f aca="false">LEFT(C2216,3)</f>
        <v>811</v>
      </c>
      <c r="F2216" s="2" t="str">
        <f aca="false">IF(D2216="","",LEFT(D2216,3))</f>
        <v>711</v>
      </c>
      <c r="G2216" s="2" t="str">
        <f aca="false">IF(F2216="","",IF(E2216=F2216,"Yes","No"))</f>
        <v>No</v>
      </c>
      <c r="H2216" s="2" t="n">
        <f aca="false">IF(D2216="",0,1/COUNTIF($D$2:$D$3451,D2216))</f>
        <v>1</v>
      </c>
      <c r="I2216" s="13" t="n">
        <f aca="false">IFERROR(INDEX('NCO-2015 scores'!$C$2:$C$131,MATCH(E2216,'NCO-2015 scores'!$A$2:$A$131,0)),0)</f>
        <v>0.2</v>
      </c>
      <c r="J2216" s="13" t="n">
        <f aca="false">IF(ISNUMBER(MATCH(E2216,'NCO-2015 scores'!$A$2:$A$131,0)),IF(ISNUMBER(INDEX('NCO-2015 scores'!$C$2:$C$131,MATCH(E2216,'NCO-2015 scores'!$A$2:$A$131,0))),1,0),0)</f>
        <v>1</v>
      </c>
    </row>
    <row r="2217" customFormat="false" ht="15" hidden="false" customHeight="false" outlineLevel="0" collapsed="false">
      <c r="A2217" s="2" t="n">
        <v>2213</v>
      </c>
      <c r="B2217" s="2" t="s">
        <v>6549</v>
      </c>
      <c r="C2217" s="2" t="s">
        <v>6550</v>
      </c>
      <c r="D2217" s="2" t="s">
        <v>6551</v>
      </c>
      <c r="E2217" s="2" t="str">
        <f aca="false">LEFT(C2217,3)</f>
        <v>811</v>
      </c>
      <c r="F2217" s="2" t="str">
        <f aca="false">IF(D2217="","",LEFT(D2217,3))</f>
        <v>711</v>
      </c>
      <c r="G2217" s="2" t="str">
        <f aca="false">IF(F2217="","",IF(E2217=F2217,"Yes","No"))</f>
        <v>No</v>
      </c>
      <c r="H2217" s="2" t="n">
        <f aca="false">IF(D2217="",0,1/COUNTIF($D$2:$D$3451,D2217))</f>
        <v>1</v>
      </c>
      <c r="I2217" s="13" t="n">
        <f aca="false">IFERROR(INDEX('NCO-2015 scores'!$C$2:$C$131,MATCH(E2217,'NCO-2015 scores'!$A$2:$A$131,0)),0)</f>
        <v>0.2</v>
      </c>
      <c r="J2217" s="13" t="n">
        <f aca="false">IF(ISNUMBER(MATCH(E2217,'NCO-2015 scores'!$A$2:$A$131,0)),IF(ISNUMBER(INDEX('NCO-2015 scores'!$C$2:$C$131,MATCH(E2217,'NCO-2015 scores'!$A$2:$A$131,0))),1,0),0)</f>
        <v>1</v>
      </c>
    </row>
    <row r="2218" customFormat="false" ht="15" hidden="false" customHeight="false" outlineLevel="0" collapsed="false">
      <c r="A2218" s="2" t="n">
        <v>2214</v>
      </c>
      <c r="B2218" s="2" t="s">
        <v>6552</v>
      </c>
      <c r="C2218" s="2" t="s">
        <v>6553</v>
      </c>
      <c r="D2218" s="2" t="s">
        <v>6554</v>
      </c>
      <c r="E2218" s="2" t="str">
        <f aca="false">LEFT(C2218,3)</f>
        <v>811</v>
      </c>
      <c r="F2218" s="2" t="str">
        <f aca="false">IF(D2218="","",LEFT(D2218,3))</f>
        <v>711</v>
      </c>
      <c r="G2218" s="2" t="str">
        <f aca="false">IF(F2218="","",IF(E2218=F2218,"Yes","No"))</f>
        <v>No</v>
      </c>
      <c r="H2218" s="2" t="n">
        <f aca="false">IF(D2218="",0,1/COUNTIF($D$2:$D$3451,D2218))</f>
        <v>1</v>
      </c>
      <c r="I2218" s="13" t="n">
        <f aca="false">IFERROR(INDEX('NCO-2015 scores'!$C$2:$C$131,MATCH(E2218,'NCO-2015 scores'!$A$2:$A$131,0)),0)</f>
        <v>0.2</v>
      </c>
      <c r="J2218" s="13" t="n">
        <f aca="false">IF(ISNUMBER(MATCH(E2218,'NCO-2015 scores'!$A$2:$A$131,0)),IF(ISNUMBER(INDEX('NCO-2015 scores'!$C$2:$C$131,MATCH(E2218,'NCO-2015 scores'!$A$2:$A$131,0))),1,0),0)</f>
        <v>1</v>
      </c>
    </row>
    <row r="2219" customFormat="false" ht="15" hidden="false" customHeight="false" outlineLevel="0" collapsed="false">
      <c r="A2219" s="2" t="n">
        <v>2215</v>
      </c>
      <c r="B2219" s="2" t="s">
        <v>6555</v>
      </c>
      <c r="C2219" s="2" t="s">
        <v>6556</v>
      </c>
      <c r="D2219" s="2" t="s">
        <v>6557</v>
      </c>
      <c r="E2219" s="2" t="str">
        <f aca="false">LEFT(C2219,3)</f>
        <v>811</v>
      </c>
      <c r="F2219" s="2" t="str">
        <f aca="false">IF(D2219="","",LEFT(D2219,3))</f>
        <v>711</v>
      </c>
      <c r="G2219" s="2" t="str">
        <f aca="false">IF(F2219="","",IF(E2219=F2219,"Yes","No"))</f>
        <v>No</v>
      </c>
      <c r="H2219" s="2" t="n">
        <f aca="false">IF(D2219="",0,1/COUNTIF($D$2:$D$3451,D2219))</f>
        <v>1</v>
      </c>
      <c r="I2219" s="13" t="n">
        <f aca="false">IFERROR(INDEX('NCO-2015 scores'!$C$2:$C$131,MATCH(E2219,'NCO-2015 scores'!$A$2:$A$131,0)),0)</f>
        <v>0.2</v>
      </c>
      <c r="J2219" s="13" t="n">
        <f aca="false">IF(ISNUMBER(MATCH(E2219,'NCO-2015 scores'!$A$2:$A$131,0)),IF(ISNUMBER(INDEX('NCO-2015 scores'!$C$2:$C$131,MATCH(E2219,'NCO-2015 scores'!$A$2:$A$131,0))),1,0),0)</f>
        <v>1</v>
      </c>
    </row>
    <row r="2220" customFormat="false" ht="15" hidden="false" customHeight="false" outlineLevel="0" collapsed="false">
      <c r="A2220" s="2" t="n">
        <v>2216</v>
      </c>
      <c r="B2220" s="2" t="s">
        <v>6558</v>
      </c>
      <c r="C2220" s="2" t="s">
        <v>6559</v>
      </c>
      <c r="D2220" s="2" t="s">
        <v>6560</v>
      </c>
      <c r="E2220" s="2" t="str">
        <f aca="false">LEFT(C2220,3)</f>
        <v>811</v>
      </c>
      <c r="F2220" s="2" t="str">
        <f aca="false">IF(D2220="","",LEFT(D2220,3))</f>
        <v>711</v>
      </c>
      <c r="G2220" s="2" t="str">
        <f aca="false">IF(F2220="","",IF(E2220=F2220,"Yes","No"))</f>
        <v>No</v>
      </c>
      <c r="H2220" s="2" t="n">
        <f aca="false">IF(D2220="",0,1/COUNTIF($D$2:$D$3451,D2220))</f>
        <v>1</v>
      </c>
      <c r="I2220" s="13" t="n">
        <f aca="false">IFERROR(INDEX('NCO-2015 scores'!$C$2:$C$131,MATCH(E2220,'NCO-2015 scores'!$A$2:$A$131,0)),0)</f>
        <v>0.2</v>
      </c>
      <c r="J2220" s="13" t="n">
        <f aca="false">IF(ISNUMBER(MATCH(E2220,'NCO-2015 scores'!$A$2:$A$131,0)),IF(ISNUMBER(INDEX('NCO-2015 scores'!$C$2:$C$131,MATCH(E2220,'NCO-2015 scores'!$A$2:$A$131,0))),1,0),0)</f>
        <v>1</v>
      </c>
    </row>
    <row r="2221" customFormat="false" ht="15" hidden="false" customHeight="false" outlineLevel="0" collapsed="false">
      <c r="A2221" s="2" t="n">
        <v>2217</v>
      </c>
      <c r="B2221" s="2" t="s">
        <v>6561</v>
      </c>
      <c r="C2221" s="2" t="s">
        <v>6562</v>
      </c>
      <c r="D2221" s="2" t="s">
        <v>6563</v>
      </c>
      <c r="E2221" s="2" t="str">
        <f aca="false">LEFT(C2221,3)</f>
        <v>811</v>
      </c>
      <c r="F2221" s="2" t="str">
        <f aca="false">IF(D2221="","",LEFT(D2221,3))</f>
        <v>711</v>
      </c>
      <c r="G2221" s="2" t="str">
        <f aca="false">IF(F2221="","",IF(E2221=F2221,"Yes","No"))</f>
        <v>No</v>
      </c>
      <c r="H2221" s="2" t="n">
        <f aca="false">IF(D2221="",0,1/COUNTIF($D$2:$D$3451,D2221))</f>
        <v>1</v>
      </c>
      <c r="I2221" s="13" t="n">
        <f aca="false">IFERROR(INDEX('NCO-2015 scores'!$C$2:$C$131,MATCH(E2221,'NCO-2015 scores'!$A$2:$A$131,0)),0)</f>
        <v>0.2</v>
      </c>
      <c r="J2221" s="13" t="n">
        <f aca="false">IF(ISNUMBER(MATCH(E2221,'NCO-2015 scores'!$A$2:$A$131,0)),IF(ISNUMBER(INDEX('NCO-2015 scores'!$C$2:$C$131,MATCH(E2221,'NCO-2015 scores'!$A$2:$A$131,0))),1,0),0)</f>
        <v>1</v>
      </c>
    </row>
    <row r="2222" customFormat="false" ht="15" hidden="false" customHeight="false" outlineLevel="0" collapsed="false">
      <c r="A2222" s="2" t="n">
        <v>2218</v>
      </c>
      <c r="B2222" s="2" t="s">
        <v>6564</v>
      </c>
      <c r="C2222" s="2" t="s">
        <v>6565</v>
      </c>
      <c r="D2222" s="2" t="s">
        <v>6566</v>
      </c>
      <c r="E2222" s="2" t="str">
        <f aca="false">LEFT(C2222,3)</f>
        <v>811</v>
      </c>
      <c r="F2222" s="2" t="str">
        <f aca="false">IF(D2222="","",LEFT(D2222,3))</f>
        <v>711</v>
      </c>
      <c r="G2222" s="2" t="str">
        <f aca="false">IF(F2222="","",IF(E2222=F2222,"Yes","No"))</f>
        <v>No</v>
      </c>
      <c r="H2222" s="2" t="n">
        <f aca="false">IF(D2222="",0,1/COUNTIF($D$2:$D$3451,D2222))</f>
        <v>1</v>
      </c>
      <c r="I2222" s="13" t="n">
        <f aca="false">IFERROR(INDEX('NCO-2015 scores'!$C$2:$C$131,MATCH(E2222,'NCO-2015 scores'!$A$2:$A$131,0)),0)</f>
        <v>0.2</v>
      </c>
      <c r="J2222" s="13" t="n">
        <f aca="false">IF(ISNUMBER(MATCH(E2222,'NCO-2015 scores'!$A$2:$A$131,0)),IF(ISNUMBER(INDEX('NCO-2015 scores'!$C$2:$C$131,MATCH(E2222,'NCO-2015 scores'!$A$2:$A$131,0))),1,0),0)</f>
        <v>1</v>
      </c>
    </row>
    <row r="2223" customFormat="false" ht="15" hidden="false" customHeight="false" outlineLevel="0" collapsed="false">
      <c r="A2223" s="2" t="n">
        <v>2219</v>
      </c>
      <c r="B2223" s="2" t="s">
        <v>6567</v>
      </c>
      <c r="C2223" s="2" t="s">
        <v>6568</v>
      </c>
      <c r="D2223" s="2" t="s">
        <v>6569</v>
      </c>
      <c r="E2223" s="2" t="str">
        <f aca="false">LEFT(C2223,3)</f>
        <v>811</v>
      </c>
      <c r="F2223" s="2" t="str">
        <f aca="false">IF(D2223="","",LEFT(D2223,3))</f>
        <v>711</v>
      </c>
      <c r="G2223" s="2" t="str">
        <f aca="false">IF(F2223="","",IF(E2223=F2223,"Yes","No"))</f>
        <v>No</v>
      </c>
      <c r="H2223" s="2" t="n">
        <f aca="false">IF(D2223="",0,1/COUNTIF($D$2:$D$3451,D2223))</f>
        <v>1</v>
      </c>
      <c r="I2223" s="13" t="n">
        <f aca="false">IFERROR(INDEX('NCO-2015 scores'!$C$2:$C$131,MATCH(E2223,'NCO-2015 scores'!$A$2:$A$131,0)),0)</f>
        <v>0.2</v>
      </c>
      <c r="J2223" s="13" t="n">
        <f aca="false">IF(ISNUMBER(MATCH(E2223,'NCO-2015 scores'!$A$2:$A$131,0)),IF(ISNUMBER(INDEX('NCO-2015 scores'!$C$2:$C$131,MATCH(E2223,'NCO-2015 scores'!$A$2:$A$131,0))),1,0),0)</f>
        <v>1</v>
      </c>
    </row>
    <row r="2224" customFormat="false" ht="15" hidden="false" customHeight="false" outlineLevel="0" collapsed="false">
      <c r="A2224" s="2" t="n">
        <v>2220</v>
      </c>
      <c r="B2224" s="2" t="s">
        <v>6570</v>
      </c>
      <c r="C2224" s="2" t="s">
        <v>6571</v>
      </c>
      <c r="D2224" s="2" t="s">
        <v>6572</v>
      </c>
      <c r="E2224" s="2" t="str">
        <f aca="false">LEFT(C2224,3)</f>
        <v>811</v>
      </c>
      <c r="F2224" s="2" t="str">
        <f aca="false">IF(D2224="","",LEFT(D2224,3))</f>
        <v>711</v>
      </c>
      <c r="G2224" s="2" t="str">
        <f aca="false">IF(F2224="","",IF(E2224=F2224,"Yes","No"))</f>
        <v>No</v>
      </c>
      <c r="H2224" s="2" t="n">
        <f aca="false">IF(D2224="",0,1/COUNTIF($D$2:$D$3451,D2224))</f>
        <v>1</v>
      </c>
      <c r="I2224" s="13" t="n">
        <f aca="false">IFERROR(INDEX('NCO-2015 scores'!$C$2:$C$131,MATCH(E2224,'NCO-2015 scores'!$A$2:$A$131,0)),0)</f>
        <v>0.2</v>
      </c>
      <c r="J2224" s="13" t="n">
        <f aca="false">IF(ISNUMBER(MATCH(E2224,'NCO-2015 scores'!$A$2:$A$131,0)),IF(ISNUMBER(INDEX('NCO-2015 scores'!$C$2:$C$131,MATCH(E2224,'NCO-2015 scores'!$A$2:$A$131,0))),1,0),0)</f>
        <v>1</v>
      </c>
    </row>
    <row r="2225" customFormat="false" ht="15" hidden="false" customHeight="false" outlineLevel="0" collapsed="false">
      <c r="A2225" s="2" t="n">
        <v>2221</v>
      </c>
      <c r="B2225" s="2" t="s">
        <v>6573</v>
      </c>
      <c r="C2225" s="2" t="s">
        <v>6574</v>
      </c>
      <c r="D2225" s="2" t="s">
        <v>6575</v>
      </c>
      <c r="E2225" s="2" t="str">
        <f aca="false">LEFT(C2225,3)</f>
        <v>811</v>
      </c>
      <c r="F2225" s="2" t="str">
        <f aca="false">IF(D2225="","",LEFT(D2225,3))</f>
        <v>711</v>
      </c>
      <c r="G2225" s="2" t="str">
        <f aca="false">IF(F2225="","",IF(E2225=F2225,"Yes","No"))</f>
        <v>No</v>
      </c>
      <c r="H2225" s="2" t="n">
        <f aca="false">IF(D2225="",0,1/COUNTIF($D$2:$D$3451,D2225))</f>
        <v>1</v>
      </c>
      <c r="I2225" s="13" t="n">
        <f aca="false">IFERROR(INDEX('NCO-2015 scores'!$C$2:$C$131,MATCH(E2225,'NCO-2015 scores'!$A$2:$A$131,0)),0)</f>
        <v>0.2</v>
      </c>
      <c r="J2225" s="13" t="n">
        <f aca="false">IF(ISNUMBER(MATCH(E2225,'NCO-2015 scores'!$A$2:$A$131,0)),IF(ISNUMBER(INDEX('NCO-2015 scores'!$C$2:$C$131,MATCH(E2225,'NCO-2015 scores'!$A$2:$A$131,0))),1,0),0)</f>
        <v>1</v>
      </c>
    </row>
    <row r="2226" customFormat="false" ht="15" hidden="false" customHeight="false" outlineLevel="0" collapsed="false">
      <c r="A2226" s="2" t="n">
        <v>2222</v>
      </c>
      <c r="B2226" s="2" t="s">
        <v>6576</v>
      </c>
      <c r="C2226" s="2" t="s">
        <v>6577</v>
      </c>
      <c r="D2226" s="2" t="s">
        <v>6578</v>
      </c>
      <c r="E2226" s="2" t="str">
        <f aca="false">LEFT(C2226,3)</f>
        <v>811</v>
      </c>
      <c r="F2226" s="2" t="str">
        <f aca="false">IF(D2226="","",LEFT(D2226,3))</f>
        <v>711</v>
      </c>
      <c r="G2226" s="2" t="str">
        <f aca="false">IF(F2226="","",IF(E2226=F2226,"Yes","No"))</f>
        <v>No</v>
      </c>
      <c r="H2226" s="2" t="n">
        <f aca="false">IF(D2226="",0,1/COUNTIF($D$2:$D$3451,D2226))</f>
        <v>1</v>
      </c>
      <c r="I2226" s="13" t="n">
        <f aca="false">IFERROR(INDEX('NCO-2015 scores'!$C$2:$C$131,MATCH(E2226,'NCO-2015 scores'!$A$2:$A$131,0)),0)</f>
        <v>0.2</v>
      </c>
      <c r="J2226" s="13" t="n">
        <f aca="false">IF(ISNUMBER(MATCH(E2226,'NCO-2015 scores'!$A$2:$A$131,0)),IF(ISNUMBER(INDEX('NCO-2015 scores'!$C$2:$C$131,MATCH(E2226,'NCO-2015 scores'!$A$2:$A$131,0))),1,0),0)</f>
        <v>1</v>
      </c>
    </row>
    <row r="2227" customFormat="false" ht="15" hidden="false" customHeight="false" outlineLevel="0" collapsed="false">
      <c r="A2227" s="2" t="n">
        <v>2223</v>
      </c>
      <c r="B2227" s="2" t="s">
        <v>6579</v>
      </c>
      <c r="C2227" s="2" t="s">
        <v>6580</v>
      </c>
      <c r="D2227" s="2" t="s">
        <v>6581</v>
      </c>
      <c r="E2227" s="2" t="str">
        <f aca="false">LEFT(C2227,3)</f>
        <v>811</v>
      </c>
      <c r="F2227" s="2" t="str">
        <f aca="false">IF(D2227="","",LEFT(D2227,3))</f>
        <v>711</v>
      </c>
      <c r="G2227" s="2" t="str">
        <f aca="false">IF(F2227="","",IF(E2227=F2227,"Yes","No"))</f>
        <v>No</v>
      </c>
      <c r="H2227" s="2" t="n">
        <f aca="false">IF(D2227="",0,1/COUNTIF($D$2:$D$3451,D2227))</f>
        <v>1</v>
      </c>
      <c r="I2227" s="13" t="n">
        <f aca="false">IFERROR(INDEX('NCO-2015 scores'!$C$2:$C$131,MATCH(E2227,'NCO-2015 scores'!$A$2:$A$131,0)),0)</f>
        <v>0.2</v>
      </c>
      <c r="J2227" s="13" t="n">
        <f aca="false">IF(ISNUMBER(MATCH(E2227,'NCO-2015 scores'!$A$2:$A$131,0)),IF(ISNUMBER(INDEX('NCO-2015 scores'!$C$2:$C$131,MATCH(E2227,'NCO-2015 scores'!$A$2:$A$131,0))),1,0),0)</f>
        <v>1</v>
      </c>
    </row>
    <row r="2228" customFormat="false" ht="15" hidden="false" customHeight="false" outlineLevel="0" collapsed="false">
      <c r="A2228" s="2" t="n">
        <v>2224</v>
      </c>
      <c r="B2228" s="2" t="s">
        <v>6582</v>
      </c>
      <c r="C2228" s="2" t="s">
        <v>6583</v>
      </c>
      <c r="D2228" s="2"/>
      <c r="E2228" s="2" t="str">
        <f aca="false">LEFT(C2228,3)</f>
        <v>811</v>
      </c>
      <c r="F2228" s="2" t="str">
        <f aca="false">IF(D2228="","",LEFT(D2228,3))</f>
        <v/>
      </c>
      <c r="G2228" s="2" t="str">
        <f aca="false">IF(F2228="","",IF(E2228=F2228,"Yes","No"))</f>
        <v/>
      </c>
      <c r="H2228" s="2" t="n">
        <f aca="false">IF(D2228="",0,1/COUNTIF($D$2:$D$3451,D2228))</f>
        <v>0</v>
      </c>
      <c r="I2228" s="13" t="n">
        <f aca="false">IFERROR(INDEX('NCO-2015 scores'!$C$2:$C$131,MATCH(E2228,'NCO-2015 scores'!$A$2:$A$131,0)),0)</f>
        <v>0.2</v>
      </c>
      <c r="J2228" s="13" t="n">
        <f aca="false">IF(ISNUMBER(MATCH(E2228,'NCO-2015 scores'!$A$2:$A$131,0)),IF(ISNUMBER(INDEX('NCO-2015 scores'!$C$2:$C$131,MATCH(E2228,'NCO-2015 scores'!$A$2:$A$131,0))),1,0),0)</f>
        <v>1</v>
      </c>
    </row>
    <row r="2229" customFormat="false" ht="15" hidden="false" customHeight="false" outlineLevel="0" collapsed="false">
      <c r="A2229" s="2" t="n">
        <v>2225</v>
      </c>
      <c r="B2229" s="2" t="s">
        <v>6584</v>
      </c>
      <c r="C2229" s="2" t="s">
        <v>6585</v>
      </c>
      <c r="D2229" s="2" t="s">
        <v>6586</v>
      </c>
      <c r="E2229" s="2" t="str">
        <f aca="false">LEFT(C2229,3)</f>
        <v>811</v>
      </c>
      <c r="F2229" s="2" t="str">
        <f aca="false">IF(D2229="","",LEFT(D2229,3))</f>
        <v>711</v>
      </c>
      <c r="G2229" s="2" t="str">
        <f aca="false">IF(F2229="","",IF(E2229=F2229,"Yes","No"))</f>
        <v>No</v>
      </c>
      <c r="H2229" s="2" t="n">
        <f aca="false">IF(D2229="",0,1/COUNTIF($D$2:$D$3451,D2229))</f>
        <v>1</v>
      </c>
      <c r="I2229" s="13" t="n">
        <f aca="false">IFERROR(INDEX('NCO-2015 scores'!$C$2:$C$131,MATCH(E2229,'NCO-2015 scores'!$A$2:$A$131,0)),0)</f>
        <v>0.2</v>
      </c>
      <c r="J2229" s="13" t="n">
        <f aca="false">IF(ISNUMBER(MATCH(E2229,'NCO-2015 scores'!$A$2:$A$131,0)),IF(ISNUMBER(INDEX('NCO-2015 scores'!$C$2:$C$131,MATCH(E2229,'NCO-2015 scores'!$A$2:$A$131,0))),1,0),0)</f>
        <v>1</v>
      </c>
    </row>
    <row r="2230" customFormat="false" ht="15" hidden="false" customHeight="false" outlineLevel="0" collapsed="false">
      <c r="A2230" s="2" t="n">
        <v>2226</v>
      </c>
      <c r="B2230" s="2" t="s">
        <v>6587</v>
      </c>
      <c r="C2230" s="2" t="s">
        <v>6588</v>
      </c>
      <c r="D2230" s="2"/>
      <c r="E2230" s="2" t="str">
        <f aca="false">LEFT(C2230,3)</f>
        <v>811</v>
      </c>
      <c r="F2230" s="2" t="str">
        <f aca="false">IF(D2230="","",LEFT(D2230,3))</f>
        <v/>
      </c>
      <c r="G2230" s="2" t="str">
        <f aca="false">IF(F2230="","",IF(E2230=F2230,"Yes","No"))</f>
        <v/>
      </c>
      <c r="H2230" s="2" t="n">
        <f aca="false">IF(D2230="",0,1/COUNTIF($D$2:$D$3451,D2230))</f>
        <v>0</v>
      </c>
      <c r="I2230" s="13" t="n">
        <f aca="false">IFERROR(INDEX('NCO-2015 scores'!$C$2:$C$131,MATCH(E2230,'NCO-2015 scores'!$A$2:$A$131,0)),0)</f>
        <v>0.2</v>
      </c>
      <c r="J2230" s="13" t="n">
        <f aca="false">IF(ISNUMBER(MATCH(E2230,'NCO-2015 scores'!$A$2:$A$131,0)),IF(ISNUMBER(INDEX('NCO-2015 scores'!$C$2:$C$131,MATCH(E2230,'NCO-2015 scores'!$A$2:$A$131,0))),1,0),0)</f>
        <v>1</v>
      </c>
    </row>
    <row r="2231" customFormat="false" ht="15" hidden="false" customHeight="false" outlineLevel="0" collapsed="false">
      <c r="A2231" s="2" t="n">
        <v>2227</v>
      </c>
      <c r="B2231" s="2" t="s">
        <v>6589</v>
      </c>
      <c r="C2231" s="2" t="s">
        <v>6590</v>
      </c>
      <c r="D2231" s="2" t="s">
        <v>6591</v>
      </c>
      <c r="E2231" s="2" t="str">
        <f aca="false">LEFT(C2231,3)</f>
        <v>811</v>
      </c>
      <c r="F2231" s="2" t="str">
        <f aca="false">IF(D2231="","",LEFT(D2231,3))</f>
        <v>711</v>
      </c>
      <c r="G2231" s="2" t="str">
        <f aca="false">IF(F2231="","",IF(E2231=F2231,"Yes","No"))</f>
        <v>No</v>
      </c>
      <c r="H2231" s="2" t="n">
        <f aca="false">IF(D2231="",0,1/COUNTIF($D$2:$D$3451,D2231))</f>
        <v>1</v>
      </c>
      <c r="I2231" s="13" t="n">
        <f aca="false">IFERROR(INDEX('NCO-2015 scores'!$C$2:$C$131,MATCH(E2231,'NCO-2015 scores'!$A$2:$A$131,0)),0)</f>
        <v>0.2</v>
      </c>
      <c r="J2231" s="13" t="n">
        <f aca="false">IF(ISNUMBER(MATCH(E2231,'NCO-2015 scores'!$A$2:$A$131,0)),IF(ISNUMBER(INDEX('NCO-2015 scores'!$C$2:$C$131,MATCH(E2231,'NCO-2015 scores'!$A$2:$A$131,0))),1,0),0)</f>
        <v>1</v>
      </c>
    </row>
    <row r="2232" customFormat="false" ht="15" hidden="false" customHeight="false" outlineLevel="0" collapsed="false">
      <c r="A2232" s="2" t="n">
        <v>2228</v>
      </c>
      <c r="B2232" s="2" t="s">
        <v>6592</v>
      </c>
      <c r="C2232" s="2" t="s">
        <v>6593</v>
      </c>
      <c r="D2232" s="2" t="s">
        <v>6594</v>
      </c>
      <c r="E2232" s="2" t="str">
        <f aca="false">LEFT(C2232,3)</f>
        <v>811</v>
      </c>
      <c r="F2232" s="2" t="str">
        <f aca="false">IF(D2232="","",LEFT(D2232,3))</f>
        <v>711</v>
      </c>
      <c r="G2232" s="2" t="str">
        <f aca="false">IF(F2232="","",IF(E2232=F2232,"Yes","No"))</f>
        <v>No</v>
      </c>
      <c r="H2232" s="2" t="n">
        <f aca="false">IF(D2232="",0,1/COUNTIF($D$2:$D$3451,D2232))</f>
        <v>1</v>
      </c>
      <c r="I2232" s="13" t="n">
        <f aca="false">IFERROR(INDEX('NCO-2015 scores'!$C$2:$C$131,MATCH(E2232,'NCO-2015 scores'!$A$2:$A$131,0)),0)</f>
        <v>0.2</v>
      </c>
      <c r="J2232" s="13" t="n">
        <f aca="false">IF(ISNUMBER(MATCH(E2232,'NCO-2015 scores'!$A$2:$A$131,0)),IF(ISNUMBER(INDEX('NCO-2015 scores'!$C$2:$C$131,MATCH(E2232,'NCO-2015 scores'!$A$2:$A$131,0))),1,0),0)</f>
        <v>1</v>
      </c>
    </row>
    <row r="2233" customFormat="false" ht="15" hidden="false" customHeight="false" outlineLevel="0" collapsed="false">
      <c r="A2233" s="2" t="n">
        <v>2229</v>
      </c>
      <c r="B2233" s="2" t="s">
        <v>6595</v>
      </c>
      <c r="C2233" s="2" t="s">
        <v>6596</v>
      </c>
      <c r="D2233" s="2" t="s">
        <v>6597</v>
      </c>
      <c r="E2233" s="2" t="str">
        <f aca="false">LEFT(C2233,3)</f>
        <v>811</v>
      </c>
      <c r="F2233" s="2" t="str">
        <f aca="false">IF(D2233="","",LEFT(D2233,3))</f>
        <v>711</v>
      </c>
      <c r="G2233" s="2" t="str">
        <f aca="false">IF(F2233="","",IF(E2233=F2233,"Yes","No"))</f>
        <v>No</v>
      </c>
      <c r="H2233" s="2" t="n">
        <f aca="false">IF(D2233="",0,1/COUNTIF($D$2:$D$3451,D2233))</f>
        <v>1</v>
      </c>
      <c r="I2233" s="13" t="n">
        <f aca="false">IFERROR(INDEX('NCO-2015 scores'!$C$2:$C$131,MATCH(E2233,'NCO-2015 scores'!$A$2:$A$131,0)),0)</f>
        <v>0.2</v>
      </c>
      <c r="J2233" s="13" t="n">
        <f aca="false">IF(ISNUMBER(MATCH(E2233,'NCO-2015 scores'!$A$2:$A$131,0)),IF(ISNUMBER(INDEX('NCO-2015 scores'!$C$2:$C$131,MATCH(E2233,'NCO-2015 scores'!$A$2:$A$131,0))),1,0),0)</f>
        <v>1</v>
      </c>
    </row>
    <row r="2234" customFormat="false" ht="15" hidden="false" customHeight="false" outlineLevel="0" collapsed="false">
      <c r="A2234" s="2" t="n">
        <v>2230</v>
      </c>
      <c r="B2234" s="2" t="s">
        <v>6598</v>
      </c>
      <c r="C2234" s="2" t="s">
        <v>6599</v>
      </c>
      <c r="D2234" s="2" t="s">
        <v>6600</v>
      </c>
      <c r="E2234" s="2" t="str">
        <f aca="false">LEFT(C2234,3)</f>
        <v>811</v>
      </c>
      <c r="F2234" s="2" t="str">
        <f aca="false">IF(D2234="","",LEFT(D2234,3))</f>
        <v>711</v>
      </c>
      <c r="G2234" s="2" t="str">
        <f aca="false">IF(F2234="","",IF(E2234=F2234,"Yes","No"))</f>
        <v>No</v>
      </c>
      <c r="H2234" s="2" t="n">
        <f aca="false">IF(D2234="",0,1/COUNTIF($D$2:$D$3451,D2234))</f>
        <v>1</v>
      </c>
      <c r="I2234" s="13" t="n">
        <f aca="false">IFERROR(INDEX('NCO-2015 scores'!$C$2:$C$131,MATCH(E2234,'NCO-2015 scores'!$A$2:$A$131,0)),0)</f>
        <v>0.2</v>
      </c>
      <c r="J2234" s="13" t="n">
        <f aca="false">IF(ISNUMBER(MATCH(E2234,'NCO-2015 scores'!$A$2:$A$131,0)),IF(ISNUMBER(INDEX('NCO-2015 scores'!$C$2:$C$131,MATCH(E2234,'NCO-2015 scores'!$A$2:$A$131,0))),1,0),0)</f>
        <v>1</v>
      </c>
    </row>
    <row r="2235" customFormat="false" ht="15" hidden="false" customHeight="false" outlineLevel="0" collapsed="false">
      <c r="A2235" s="2" t="n">
        <v>2231</v>
      </c>
      <c r="B2235" s="2" t="s">
        <v>6601</v>
      </c>
      <c r="C2235" s="2" t="s">
        <v>6602</v>
      </c>
      <c r="D2235" s="2"/>
      <c r="E2235" s="2" t="str">
        <f aca="false">LEFT(C2235,3)</f>
        <v>811</v>
      </c>
      <c r="F2235" s="2" t="str">
        <f aca="false">IF(D2235="","",LEFT(D2235,3))</f>
        <v/>
      </c>
      <c r="G2235" s="2" t="str">
        <f aca="false">IF(F2235="","",IF(E2235=F2235,"Yes","No"))</f>
        <v/>
      </c>
      <c r="H2235" s="2" t="n">
        <f aca="false">IF(D2235="",0,1/COUNTIF($D$2:$D$3451,D2235))</f>
        <v>0</v>
      </c>
      <c r="I2235" s="13" t="n">
        <f aca="false">IFERROR(INDEX('NCO-2015 scores'!$C$2:$C$131,MATCH(E2235,'NCO-2015 scores'!$A$2:$A$131,0)),0)</f>
        <v>0.2</v>
      </c>
      <c r="J2235" s="13" t="n">
        <f aca="false">IF(ISNUMBER(MATCH(E2235,'NCO-2015 scores'!$A$2:$A$131,0)),IF(ISNUMBER(INDEX('NCO-2015 scores'!$C$2:$C$131,MATCH(E2235,'NCO-2015 scores'!$A$2:$A$131,0))),1,0),0)</f>
        <v>1</v>
      </c>
    </row>
    <row r="2236" customFormat="false" ht="15" hidden="false" customHeight="false" outlineLevel="0" collapsed="false">
      <c r="A2236" s="2" t="n">
        <v>2232</v>
      </c>
      <c r="B2236" s="2" t="s">
        <v>6603</v>
      </c>
      <c r="C2236" s="2" t="s">
        <v>6604</v>
      </c>
      <c r="D2236" s="2" t="s">
        <v>6605</v>
      </c>
      <c r="E2236" s="2" t="str">
        <f aca="false">LEFT(C2236,3)</f>
        <v>811</v>
      </c>
      <c r="F2236" s="2" t="str">
        <f aca="false">IF(D2236="","",LEFT(D2236,3))</f>
        <v>711</v>
      </c>
      <c r="G2236" s="2" t="str">
        <f aca="false">IF(F2236="","",IF(E2236=F2236,"Yes","No"))</f>
        <v>No</v>
      </c>
      <c r="H2236" s="2" t="n">
        <f aca="false">IF(D2236="",0,1/COUNTIF($D$2:$D$3451,D2236))</f>
        <v>1</v>
      </c>
      <c r="I2236" s="13" t="n">
        <f aca="false">IFERROR(INDEX('NCO-2015 scores'!$C$2:$C$131,MATCH(E2236,'NCO-2015 scores'!$A$2:$A$131,0)),0)</f>
        <v>0.2</v>
      </c>
      <c r="J2236" s="13" t="n">
        <f aca="false">IF(ISNUMBER(MATCH(E2236,'NCO-2015 scores'!$A$2:$A$131,0)),IF(ISNUMBER(INDEX('NCO-2015 scores'!$C$2:$C$131,MATCH(E2236,'NCO-2015 scores'!$A$2:$A$131,0))),1,0),0)</f>
        <v>1</v>
      </c>
    </row>
    <row r="2237" customFormat="false" ht="15" hidden="false" customHeight="false" outlineLevel="0" collapsed="false">
      <c r="A2237" s="2" t="n">
        <v>2233</v>
      </c>
      <c r="B2237" s="2" t="s">
        <v>6606</v>
      </c>
      <c r="C2237" s="2" t="s">
        <v>6607</v>
      </c>
      <c r="D2237" s="2" t="s">
        <v>6608</v>
      </c>
      <c r="E2237" s="2" t="str">
        <f aca="false">LEFT(C2237,3)</f>
        <v>311</v>
      </c>
      <c r="F2237" s="2" t="str">
        <f aca="false">IF(D2237="","",LEFT(D2237,3))</f>
        <v>311</v>
      </c>
      <c r="G2237" s="2" t="str">
        <f aca="false">IF(F2237="","",IF(E2237=F2237,"Yes","No"))</f>
        <v>Yes</v>
      </c>
      <c r="H2237" s="2" t="n">
        <f aca="false">IF(D2237="",0,1/COUNTIF($D$2:$D$3451,D2237))</f>
        <v>1</v>
      </c>
      <c r="I2237" s="13" t="n">
        <f aca="false">IFERROR(INDEX('NCO-2015 scores'!$C$2:$C$131,MATCH(E2237,'NCO-2015 scores'!$A$2:$A$131,0)),0)</f>
        <v>0.2956</v>
      </c>
      <c r="J2237" s="13" t="n">
        <f aca="false">IF(ISNUMBER(MATCH(E2237,'NCO-2015 scores'!$A$2:$A$131,0)),IF(ISNUMBER(INDEX('NCO-2015 scores'!$C$2:$C$131,MATCH(E2237,'NCO-2015 scores'!$A$2:$A$131,0))),1,0),0)</f>
        <v>1</v>
      </c>
    </row>
    <row r="2238" customFormat="false" ht="15" hidden="false" customHeight="false" outlineLevel="0" collapsed="false">
      <c r="A2238" s="2" t="n">
        <v>2234</v>
      </c>
      <c r="B2238" s="2" t="s">
        <v>6609</v>
      </c>
      <c r="C2238" s="2" t="s">
        <v>6610</v>
      </c>
      <c r="D2238" s="2" t="s">
        <v>6611</v>
      </c>
      <c r="E2238" s="2" t="str">
        <f aca="false">LEFT(C2238,3)</f>
        <v>311</v>
      </c>
      <c r="F2238" s="2" t="str">
        <f aca="false">IF(D2238="","",LEFT(D2238,3))</f>
        <v>311</v>
      </c>
      <c r="G2238" s="2" t="str">
        <f aca="false">IF(F2238="","",IF(E2238=F2238,"Yes","No"))</f>
        <v>Yes</v>
      </c>
      <c r="H2238" s="2" t="n">
        <f aca="false">IF(D2238="",0,1/COUNTIF($D$2:$D$3451,D2238))</f>
        <v>1</v>
      </c>
      <c r="I2238" s="13" t="n">
        <f aca="false">IFERROR(INDEX('NCO-2015 scores'!$C$2:$C$131,MATCH(E2238,'NCO-2015 scores'!$A$2:$A$131,0)),0)</f>
        <v>0.2956</v>
      </c>
      <c r="J2238" s="13" t="n">
        <f aca="false">IF(ISNUMBER(MATCH(E2238,'NCO-2015 scores'!$A$2:$A$131,0)),IF(ISNUMBER(INDEX('NCO-2015 scores'!$C$2:$C$131,MATCH(E2238,'NCO-2015 scores'!$A$2:$A$131,0))),1,0),0)</f>
        <v>1</v>
      </c>
    </row>
    <row r="2239" customFormat="false" ht="15" hidden="false" customHeight="false" outlineLevel="0" collapsed="false">
      <c r="A2239" s="2" t="n">
        <v>2235</v>
      </c>
      <c r="B2239" s="2" t="s">
        <v>6612</v>
      </c>
      <c r="C2239" s="2" t="s">
        <v>6613</v>
      </c>
      <c r="D2239" s="2" t="s">
        <v>6614</v>
      </c>
      <c r="E2239" s="2" t="str">
        <f aca="false">LEFT(C2239,3)</f>
        <v>311</v>
      </c>
      <c r="F2239" s="2" t="str">
        <f aca="false">IF(D2239="","",LEFT(D2239,3))</f>
        <v>311</v>
      </c>
      <c r="G2239" s="2" t="str">
        <f aca="false">IF(F2239="","",IF(E2239=F2239,"Yes","No"))</f>
        <v>Yes</v>
      </c>
      <c r="H2239" s="2" t="n">
        <f aca="false">IF(D2239="",0,1/COUNTIF($D$2:$D$3451,D2239))</f>
        <v>1</v>
      </c>
      <c r="I2239" s="13" t="n">
        <f aca="false">IFERROR(INDEX('NCO-2015 scores'!$C$2:$C$131,MATCH(E2239,'NCO-2015 scores'!$A$2:$A$131,0)),0)</f>
        <v>0.2956</v>
      </c>
      <c r="J2239" s="13" t="n">
        <f aca="false">IF(ISNUMBER(MATCH(E2239,'NCO-2015 scores'!$A$2:$A$131,0)),IF(ISNUMBER(INDEX('NCO-2015 scores'!$C$2:$C$131,MATCH(E2239,'NCO-2015 scores'!$A$2:$A$131,0))),1,0),0)</f>
        <v>1</v>
      </c>
    </row>
    <row r="2240" customFormat="false" ht="15" hidden="false" customHeight="false" outlineLevel="0" collapsed="false">
      <c r="A2240" s="2" t="n">
        <v>2236</v>
      </c>
      <c r="B2240" s="2" t="s">
        <v>6615</v>
      </c>
      <c r="C2240" s="2" t="s">
        <v>6616</v>
      </c>
      <c r="D2240" s="2" t="s">
        <v>6617</v>
      </c>
      <c r="E2240" s="2" t="str">
        <f aca="false">LEFT(C2240,3)</f>
        <v>311</v>
      </c>
      <c r="F2240" s="2" t="str">
        <f aca="false">IF(D2240="","",LEFT(D2240,3))</f>
        <v>311</v>
      </c>
      <c r="G2240" s="2" t="str">
        <f aca="false">IF(F2240="","",IF(E2240=F2240,"Yes","No"))</f>
        <v>Yes</v>
      </c>
      <c r="H2240" s="2" t="n">
        <f aca="false">IF(D2240="",0,1/COUNTIF($D$2:$D$3451,D2240))</f>
        <v>1</v>
      </c>
      <c r="I2240" s="13" t="n">
        <f aca="false">IFERROR(INDEX('NCO-2015 scores'!$C$2:$C$131,MATCH(E2240,'NCO-2015 scores'!$A$2:$A$131,0)),0)</f>
        <v>0.2956</v>
      </c>
      <c r="J2240" s="13" t="n">
        <f aca="false">IF(ISNUMBER(MATCH(E2240,'NCO-2015 scores'!$A$2:$A$131,0)),IF(ISNUMBER(INDEX('NCO-2015 scores'!$C$2:$C$131,MATCH(E2240,'NCO-2015 scores'!$A$2:$A$131,0))),1,0),0)</f>
        <v>1</v>
      </c>
    </row>
    <row r="2241" customFormat="false" ht="15" hidden="false" customHeight="false" outlineLevel="0" collapsed="false">
      <c r="A2241" s="2" t="n">
        <v>2237</v>
      </c>
      <c r="B2241" s="2" t="s">
        <v>6618</v>
      </c>
      <c r="C2241" s="2" t="s">
        <v>6619</v>
      </c>
      <c r="D2241" s="2" t="s">
        <v>6620</v>
      </c>
      <c r="E2241" s="2" t="str">
        <f aca="false">LEFT(C2241,3)</f>
        <v>931</v>
      </c>
      <c r="F2241" s="2" t="str">
        <f aca="false">IF(D2241="","",LEFT(D2241,3))</f>
        <v>931</v>
      </c>
      <c r="G2241" s="2" t="str">
        <f aca="false">IF(F2241="","",IF(E2241=F2241,"Yes","No"))</f>
        <v>Yes</v>
      </c>
      <c r="H2241" s="2" t="n">
        <f aca="false">IF(D2241="",0,1/COUNTIF($D$2:$D$3451,D2241))</f>
        <v>1</v>
      </c>
      <c r="I2241" s="13" t="n">
        <f aca="false">IFERROR(INDEX('NCO-2015 scores'!$C$2:$C$131,MATCH(E2241,'NCO-2015 scores'!$A$2:$A$131,0)),0)</f>
        <v>0.0967</v>
      </c>
      <c r="J2241" s="13" t="n">
        <f aca="false">IF(ISNUMBER(MATCH(E2241,'NCO-2015 scores'!$A$2:$A$131,0)),IF(ISNUMBER(INDEX('NCO-2015 scores'!$C$2:$C$131,MATCH(E2241,'NCO-2015 scores'!$A$2:$A$131,0))),1,0),0)</f>
        <v>1</v>
      </c>
    </row>
    <row r="2242" customFormat="false" ht="15" hidden="false" customHeight="false" outlineLevel="0" collapsed="false">
      <c r="A2242" s="2" t="n">
        <v>2238</v>
      </c>
      <c r="B2242" s="2" t="s">
        <v>6621</v>
      </c>
      <c r="C2242" s="2" t="s">
        <v>6622</v>
      </c>
      <c r="D2242" s="2"/>
      <c r="E2242" s="2" t="str">
        <f aca="false">LEFT(C2242,3)</f>
        <v>931</v>
      </c>
      <c r="F2242" s="2" t="str">
        <f aca="false">IF(D2242="","",LEFT(D2242,3))</f>
        <v/>
      </c>
      <c r="G2242" s="2" t="str">
        <f aca="false">IF(F2242="","",IF(E2242=F2242,"Yes","No"))</f>
        <v/>
      </c>
      <c r="H2242" s="2" t="n">
        <f aca="false">IF(D2242="",0,1/COUNTIF($D$2:$D$3451,D2242))</f>
        <v>0</v>
      </c>
      <c r="I2242" s="13" t="n">
        <f aca="false">IFERROR(INDEX('NCO-2015 scores'!$C$2:$C$131,MATCH(E2242,'NCO-2015 scores'!$A$2:$A$131,0)),0)</f>
        <v>0.0967</v>
      </c>
      <c r="J2242" s="13" t="n">
        <f aca="false">IF(ISNUMBER(MATCH(E2242,'NCO-2015 scores'!$A$2:$A$131,0)),IF(ISNUMBER(INDEX('NCO-2015 scores'!$C$2:$C$131,MATCH(E2242,'NCO-2015 scores'!$A$2:$A$131,0))),1,0),0)</f>
        <v>1</v>
      </c>
    </row>
    <row r="2243" customFormat="false" ht="15" hidden="false" customHeight="false" outlineLevel="0" collapsed="false">
      <c r="A2243" s="2" t="n">
        <v>2239</v>
      </c>
      <c r="B2243" s="2" t="s">
        <v>6623</v>
      </c>
      <c r="C2243" s="2" t="s">
        <v>6624</v>
      </c>
      <c r="D2243" s="2" t="s">
        <v>6625</v>
      </c>
      <c r="E2243" s="2" t="str">
        <f aca="false">LEFT(C2243,3)</f>
        <v>931</v>
      </c>
      <c r="F2243" s="2" t="str">
        <f aca="false">IF(D2243="","",LEFT(D2243,3))</f>
        <v>931</v>
      </c>
      <c r="G2243" s="2" t="str">
        <f aca="false">IF(F2243="","",IF(E2243=F2243,"Yes","No"))</f>
        <v>Yes</v>
      </c>
      <c r="H2243" s="2" t="n">
        <f aca="false">IF(D2243="",0,1/COUNTIF($D$2:$D$3451,D2243))</f>
        <v>1</v>
      </c>
      <c r="I2243" s="13" t="n">
        <f aca="false">IFERROR(INDEX('NCO-2015 scores'!$C$2:$C$131,MATCH(E2243,'NCO-2015 scores'!$A$2:$A$131,0)),0)</f>
        <v>0.0967</v>
      </c>
      <c r="J2243" s="13" t="n">
        <f aca="false">IF(ISNUMBER(MATCH(E2243,'NCO-2015 scores'!$A$2:$A$131,0)),IF(ISNUMBER(INDEX('NCO-2015 scores'!$C$2:$C$131,MATCH(E2243,'NCO-2015 scores'!$A$2:$A$131,0))),1,0),0)</f>
        <v>1</v>
      </c>
    </row>
    <row r="2244" customFormat="false" ht="15" hidden="false" customHeight="false" outlineLevel="0" collapsed="false">
      <c r="A2244" s="2" t="n">
        <v>2240</v>
      </c>
      <c r="B2244" s="2" t="s">
        <v>6626</v>
      </c>
      <c r="C2244" s="2" t="s">
        <v>6627</v>
      </c>
      <c r="D2244" s="2" t="s">
        <v>6628</v>
      </c>
      <c r="E2244" s="2" t="str">
        <f aca="false">LEFT(C2244,3)</f>
        <v>931</v>
      </c>
      <c r="F2244" s="2" t="str">
        <f aca="false">IF(D2244="","",LEFT(D2244,3))</f>
        <v>931</v>
      </c>
      <c r="G2244" s="2" t="str">
        <f aca="false">IF(F2244="","",IF(E2244=F2244,"Yes","No"))</f>
        <v>Yes</v>
      </c>
      <c r="H2244" s="2" t="n">
        <f aca="false">IF(D2244="",0,1/COUNTIF($D$2:$D$3451,D2244))</f>
        <v>1</v>
      </c>
      <c r="I2244" s="13" t="n">
        <f aca="false">IFERROR(INDEX('NCO-2015 scores'!$C$2:$C$131,MATCH(E2244,'NCO-2015 scores'!$A$2:$A$131,0)),0)</f>
        <v>0.0967</v>
      </c>
      <c r="J2244" s="13" t="n">
        <f aca="false">IF(ISNUMBER(MATCH(E2244,'NCO-2015 scores'!$A$2:$A$131,0)),IF(ISNUMBER(INDEX('NCO-2015 scores'!$C$2:$C$131,MATCH(E2244,'NCO-2015 scores'!$A$2:$A$131,0))),1,0),0)</f>
        <v>1</v>
      </c>
    </row>
    <row r="2245" customFormat="false" ht="15" hidden="false" customHeight="false" outlineLevel="0" collapsed="false">
      <c r="A2245" s="2" t="n">
        <v>2241</v>
      </c>
      <c r="B2245" s="2" t="s">
        <v>6629</v>
      </c>
      <c r="C2245" s="2" t="s">
        <v>6630</v>
      </c>
      <c r="D2245" s="2" t="s">
        <v>6631</v>
      </c>
      <c r="E2245" s="2" t="str">
        <f aca="false">LEFT(C2245,3)</f>
        <v>214</v>
      </c>
      <c r="F2245" s="2" t="str">
        <f aca="false">IF(D2245="","",LEFT(D2245,3))</f>
        <v>214</v>
      </c>
      <c r="G2245" s="2" t="str">
        <f aca="false">IF(F2245="","",IF(E2245=F2245,"Yes","No"))</f>
        <v>Yes</v>
      </c>
      <c r="H2245" s="2" t="n">
        <f aca="false">IF(D2245="",0,1/COUNTIF($D$2:$D$3451,D2245))</f>
        <v>1</v>
      </c>
      <c r="I2245" s="13" t="n">
        <f aca="false">IFERROR(INDEX('NCO-2015 scores'!$C$2:$C$131,MATCH(E2245,'NCO-2015 scores'!$A$2:$A$131,0)),0)</f>
        <v>0.33</v>
      </c>
      <c r="J2245" s="13" t="n">
        <f aca="false">IF(ISNUMBER(MATCH(E2245,'NCO-2015 scores'!$A$2:$A$131,0)),IF(ISNUMBER(INDEX('NCO-2015 scores'!$C$2:$C$131,MATCH(E2245,'NCO-2015 scores'!$A$2:$A$131,0))),1,0),0)</f>
        <v>1</v>
      </c>
    </row>
    <row r="2246" customFormat="false" ht="15" hidden="false" customHeight="false" outlineLevel="0" collapsed="false">
      <c r="A2246" s="2" t="n">
        <v>2242</v>
      </c>
      <c r="B2246" s="2" t="s">
        <v>6632</v>
      </c>
      <c r="C2246" s="2" t="s">
        <v>6633</v>
      </c>
      <c r="D2246" s="2"/>
      <c r="E2246" s="2" t="str">
        <f aca="false">LEFT(C2246,3)</f>
        <v>214</v>
      </c>
      <c r="F2246" s="2" t="str">
        <f aca="false">IF(D2246="","",LEFT(D2246,3))</f>
        <v/>
      </c>
      <c r="G2246" s="2" t="str">
        <f aca="false">IF(F2246="","",IF(E2246=F2246,"Yes","No"))</f>
        <v/>
      </c>
      <c r="H2246" s="2" t="n">
        <f aca="false">IF(D2246="",0,1/COUNTIF($D$2:$D$3451,D2246))</f>
        <v>0</v>
      </c>
      <c r="I2246" s="13" t="n">
        <f aca="false">IFERROR(INDEX('NCO-2015 scores'!$C$2:$C$131,MATCH(E2246,'NCO-2015 scores'!$A$2:$A$131,0)),0)</f>
        <v>0.33</v>
      </c>
      <c r="J2246" s="13" t="n">
        <f aca="false">IF(ISNUMBER(MATCH(E2246,'NCO-2015 scores'!$A$2:$A$131,0)),IF(ISNUMBER(INDEX('NCO-2015 scores'!$C$2:$C$131,MATCH(E2246,'NCO-2015 scores'!$A$2:$A$131,0))),1,0),0)</f>
        <v>1</v>
      </c>
    </row>
    <row r="2247" customFormat="false" ht="15" hidden="false" customHeight="false" outlineLevel="0" collapsed="false">
      <c r="A2247" s="2" t="n">
        <v>2243</v>
      </c>
      <c r="B2247" s="2" t="s">
        <v>6634</v>
      </c>
      <c r="C2247" s="2" t="s">
        <v>6635</v>
      </c>
      <c r="D2247" s="2" t="s">
        <v>6636</v>
      </c>
      <c r="E2247" s="2" t="str">
        <f aca="false">LEFT(C2247,3)</f>
        <v>214</v>
      </c>
      <c r="F2247" s="2" t="str">
        <f aca="false">IF(D2247="","",LEFT(D2247,3))</f>
        <v>214</v>
      </c>
      <c r="G2247" s="2" t="str">
        <f aca="false">IF(F2247="","",IF(E2247=F2247,"Yes","No"))</f>
        <v>Yes</v>
      </c>
      <c r="H2247" s="2" t="n">
        <f aca="false">IF(D2247="",0,1/COUNTIF($D$2:$D$3451,D2247))</f>
        <v>1</v>
      </c>
      <c r="I2247" s="13" t="n">
        <f aca="false">IFERROR(INDEX('NCO-2015 scores'!$C$2:$C$131,MATCH(E2247,'NCO-2015 scores'!$A$2:$A$131,0)),0)</f>
        <v>0.33</v>
      </c>
      <c r="J2247" s="13" t="n">
        <f aca="false">IF(ISNUMBER(MATCH(E2247,'NCO-2015 scores'!$A$2:$A$131,0)),IF(ISNUMBER(INDEX('NCO-2015 scores'!$C$2:$C$131,MATCH(E2247,'NCO-2015 scores'!$A$2:$A$131,0))),1,0),0)</f>
        <v>1</v>
      </c>
    </row>
    <row r="2248" customFormat="false" ht="15" hidden="false" customHeight="false" outlineLevel="0" collapsed="false">
      <c r="A2248" s="2" t="n">
        <v>2244</v>
      </c>
      <c r="B2248" s="2" t="s">
        <v>6637</v>
      </c>
      <c r="C2248" s="2" t="s">
        <v>6638</v>
      </c>
      <c r="D2248" s="2" t="s">
        <v>6639</v>
      </c>
      <c r="E2248" s="2" t="str">
        <f aca="false">LEFT(C2248,3)</f>
        <v>214</v>
      </c>
      <c r="F2248" s="2" t="str">
        <f aca="false">IF(D2248="","",LEFT(D2248,3))</f>
        <v>214</v>
      </c>
      <c r="G2248" s="2" t="str">
        <f aca="false">IF(F2248="","",IF(E2248=F2248,"Yes","No"))</f>
        <v>Yes</v>
      </c>
      <c r="H2248" s="2" t="n">
        <f aca="false">IF(D2248="",0,1/COUNTIF($D$2:$D$3451,D2248))</f>
        <v>1</v>
      </c>
      <c r="I2248" s="13" t="n">
        <f aca="false">IFERROR(INDEX('NCO-2015 scores'!$C$2:$C$131,MATCH(E2248,'NCO-2015 scores'!$A$2:$A$131,0)),0)</f>
        <v>0.33</v>
      </c>
      <c r="J2248" s="13" t="n">
        <f aca="false">IF(ISNUMBER(MATCH(E2248,'NCO-2015 scores'!$A$2:$A$131,0)),IF(ISNUMBER(INDEX('NCO-2015 scores'!$C$2:$C$131,MATCH(E2248,'NCO-2015 scores'!$A$2:$A$131,0))),1,0),0)</f>
        <v>1</v>
      </c>
    </row>
    <row r="2249" customFormat="false" ht="15" hidden="false" customHeight="false" outlineLevel="0" collapsed="false">
      <c r="A2249" s="2" t="n">
        <v>2245</v>
      </c>
      <c r="B2249" s="2" t="s">
        <v>6640</v>
      </c>
      <c r="C2249" s="2" t="s">
        <v>6641</v>
      </c>
      <c r="D2249" s="2" t="s">
        <v>6642</v>
      </c>
      <c r="E2249" s="2" t="str">
        <f aca="false">LEFT(C2249,3)</f>
        <v>214</v>
      </c>
      <c r="F2249" s="2" t="str">
        <f aca="false">IF(D2249="","",LEFT(D2249,3))</f>
        <v>214</v>
      </c>
      <c r="G2249" s="2" t="str">
        <f aca="false">IF(F2249="","",IF(E2249=F2249,"Yes","No"))</f>
        <v>Yes</v>
      </c>
      <c r="H2249" s="2" t="n">
        <f aca="false">IF(D2249="",0,1/COUNTIF($D$2:$D$3451,D2249))</f>
        <v>1</v>
      </c>
      <c r="I2249" s="13" t="n">
        <f aca="false">IFERROR(INDEX('NCO-2015 scores'!$C$2:$C$131,MATCH(E2249,'NCO-2015 scores'!$A$2:$A$131,0)),0)</f>
        <v>0.33</v>
      </c>
      <c r="J2249" s="13" t="n">
        <f aca="false">IF(ISNUMBER(MATCH(E2249,'NCO-2015 scores'!$A$2:$A$131,0)),IF(ISNUMBER(INDEX('NCO-2015 scores'!$C$2:$C$131,MATCH(E2249,'NCO-2015 scores'!$A$2:$A$131,0))),1,0),0)</f>
        <v>1</v>
      </c>
    </row>
    <row r="2250" customFormat="false" ht="15" hidden="false" customHeight="false" outlineLevel="0" collapsed="false">
      <c r="A2250" s="2" t="n">
        <v>2246</v>
      </c>
      <c r="B2250" s="2" t="s">
        <v>6643</v>
      </c>
      <c r="C2250" s="2" t="s">
        <v>6644</v>
      </c>
      <c r="D2250" s="2" t="s">
        <v>6645</v>
      </c>
      <c r="E2250" s="2" t="str">
        <f aca="false">LEFT(C2250,3)</f>
        <v>214</v>
      </c>
      <c r="F2250" s="2" t="str">
        <f aca="false">IF(D2250="","",LEFT(D2250,3))</f>
        <v>214</v>
      </c>
      <c r="G2250" s="2" t="str">
        <f aca="false">IF(F2250="","",IF(E2250=F2250,"Yes","No"))</f>
        <v>Yes</v>
      </c>
      <c r="H2250" s="2" t="n">
        <f aca="false">IF(D2250="",0,1/COUNTIF($D$2:$D$3451,D2250))</f>
        <v>1</v>
      </c>
      <c r="I2250" s="13" t="n">
        <f aca="false">IFERROR(INDEX('NCO-2015 scores'!$C$2:$C$131,MATCH(E2250,'NCO-2015 scores'!$A$2:$A$131,0)),0)</f>
        <v>0.33</v>
      </c>
      <c r="J2250" s="13" t="n">
        <f aca="false">IF(ISNUMBER(MATCH(E2250,'NCO-2015 scores'!$A$2:$A$131,0)),IF(ISNUMBER(INDEX('NCO-2015 scores'!$C$2:$C$131,MATCH(E2250,'NCO-2015 scores'!$A$2:$A$131,0))),1,0),0)</f>
        <v>1</v>
      </c>
    </row>
    <row r="2251" customFormat="false" ht="15" hidden="false" customHeight="false" outlineLevel="0" collapsed="false">
      <c r="A2251" s="2" t="n">
        <v>2247</v>
      </c>
      <c r="B2251" s="2" t="s">
        <v>6646</v>
      </c>
      <c r="C2251" s="2" t="s">
        <v>6647</v>
      </c>
      <c r="D2251" s="2" t="s">
        <v>6648</v>
      </c>
      <c r="E2251" s="2" t="str">
        <f aca="false">LEFT(C2251,3)</f>
        <v>214</v>
      </c>
      <c r="F2251" s="2" t="str">
        <f aca="false">IF(D2251="","",LEFT(D2251,3))</f>
        <v>214</v>
      </c>
      <c r="G2251" s="2" t="str">
        <f aca="false">IF(F2251="","",IF(E2251=F2251,"Yes","No"))</f>
        <v>Yes</v>
      </c>
      <c r="H2251" s="2" t="n">
        <f aca="false">IF(D2251="",0,1/COUNTIF($D$2:$D$3451,D2251))</f>
        <v>1</v>
      </c>
      <c r="I2251" s="13" t="n">
        <f aca="false">IFERROR(INDEX('NCO-2015 scores'!$C$2:$C$131,MATCH(E2251,'NCO-2015 scores'!$A$2:$A$131,0)),0)</f>
        <v>0.33</v>
      </c>
      <c r="J2251" s="13" t="n">
        <f aca="false">IF(ISNUMBER(MATCH(E2251,'NCO-2015 scores'!$A$2:$A$131,0)),IF(ISNUMBER(INDEX('NCO-2015 scores'!$C$2:$C$131,MATCH(E2251,'NCO-2015 scores'!$A$2:$A$131,0))),1,0),0)</f>
        <v>1</v>
      </c>
    </row>
    <row r="2252" customFormat="false" ht="15" hidden="false" customHeight="false" outlineLevel="0" collapsed="false">
      <c r="A2252" s="2" t="n">
        <v>2248</v>
      </c>
      <c r="B2252" s="2" t="s">
        <v>6649</v>
      </c>
      <c r="C2252" s="2" t="s">
        <v>6650</v>
      </c>
      <c r="D2252" s="2" t="s">
        <v>6651</v>
      </c>
      <c r="E2252" s="2" t="str">
        <f aca="false">LEFT(C2252,3)</f>
        <v>214</v>
      </c>
      <c r="F2252" s="2" t="str">
        <f aca="false">IF(D2252="","",LEFT(D2252,3))</f>
        <v>214</v>
      </c>
      <c r="G2252" s="2" t="str">
        <f aca="false">IF(F2252="","",IF(E2252=F2252,"Yes","No"))</f>
        <v>Yes</v>
      </c>
      <c r="H2252" s="2" t="n">
        <f aca="false">IF(D2252="",0,1/COUNTIF($D$2:$D$3451,D2252))</f>
        <v>1</v>
      </c>
      <c r="I2252" s="13" t="n">
        <f aca="false">IFERROR(INDEX('NCO-2015 scores'!$C$2:$C$131,MATCH(E2252,'NCO-2015 scores'!$A$2:$A$131,0)),0)</f>
        <v>0.33</v>
      </c>
      <c r="J2252" s="13" t="n">
        <f aca="false">IF(ISNUMBER(MATCH(E2252,'NCO-2015 scores'!$A$2:$A$131,0)),IF(ISNUMBER(INDEX('NCO-2015 scores'!$C$2:$C$131,MATCH(E2252,'NCO-2015 scores'!$A$2:$A$131,0))),1,0),0)</f>
        <v>1</v>
      </c>
    </row>
    <row r="2253" customFormat="false" ht="15" hidden="false" customHeight="false" outlineLevel="0" collapsed="false">
      <c r="A2253" s="2" t="n">
        <v>2249</v>
      </c>
      <c r="B2253" s="2" t="s">
        <v>6652</v>
      </c>
      <c r="C2253" s="2" t="s">
        <v>6653</v>
      </c>
      <c r="D2253" s="2" t="s">
        <v>6654</v>
      </c>
      <c r="E2253" s="2" t="str">
        <f aca="false">LEFT(C2253,3)</f>
        <v>132</v>
      </c>
      <c r="F2253" s="2" t="str">
        <f aca="false">IF(D2253="","",LEFT(D2253,3))</f>
        <v>122</v>
      </c>
      <c r="G2253" s="2" t="str">
        <f aca="false">IF(F2253="","",IF(E2253=F2253,"Yes","No"))</f>
        <v>No</v>
      </c>
      <c r="H2253" s="2" t="n">
        <f aca="false">IF(D2253="",0,1/COUNTIF($D$2:$D$3451,D2253))</f>
        <v>1</v>
      </c>
      <c r="I2253" s="13" t="n">
        <f aca="false">IFERROR(INDEX('NCO-2015 scores'!$C$2:$C$131,MATCH(E2253,'NCO-2015 scores'!$A$2:$A$131,0)),0)</f>
        <v>0.3625</v>
      </c>
      <c r="J2253" s="13" t="n">
        <f aca="false">IF(ISNUMBER(MATCH(E2253,'NCO-2015 scores'!$A$2:$A$131,0)),IF(ISNUMBER(INDEX('NCO-2015 scores'!$C$2:$C$131,MATCH(E2253,'NCO-2015 scores'!$A$2:$A$131,0))),1,0),0)</f>
        <v>1</v>
      </c>
    </row>
    <row r="2254" customFormat="false" ht="15" hidden="false" customHeight="false" outlineLevel="0" collapsed="false">
      <c r="A2254" s="2" t="n">
        <v>2250</v>
      </c>
      <c r="B2254" s="2" t="s">
        <v>6655</v>
      </c>
      <c r="C2254" s="2" t="s">
        <v>6656</v>
      </c>
      <c r="D2254" s="2" t="s">
        <v>6657</v>
      </c>
      <c r="E2254" s="2" t="str">
        <f aca="false">LEFT(C2254,3)</f>
        <v>132</v>
      </c>
      <c r="F2254" s="2" t="str">
        <f aca="false">IF(D2254="","",LEFT(D2254,3))</f>
        <v>130</v>
      </c>
      <c r="G2254" s="2" t="str">
        <f aca="false">IF(F2254="","",IF(E2254=F2254,"Yes","No"))</f>
        <v>No</v>
      </c>
      <c r="H2254" s="2" t="n">
        <f aca="false">IF(D2254="",0,1/COUNTIF($D$2:$D$3451,D2254))</f>
        <v>1</v>
      </c>
      <c r="I2254" s="13" t="n">
        <f aca="false">IFERROR(INDEX('NCO-2015 scores'!$C$2:$C$131,MATCH(E2254,'NCO-2015 scores'!$A$2:$A$131,0)),0)</f>
        <v>0.3625</v>
      </c>
      <c r="J2254" s="13" t="n">
        <f aca="false">IF(ISNUMBER(MATCH(E2254,'NCO-2015 scores'!$A$2:$A$131,0)),IF(ISNUMBER(INDEX('NCO-2015 scores'!$C$2:$C$131,MATCH(E2254,'NCO-2015 scores'!$A$2:$A$131,0))),1,0),0)</f>
        <v>1</v>
      </c>
    </row>
    <row r="2255" customFormat="false" ht="15" hidden="false" customHeight="false" outlineLevel="0" collapsed="false">
      <c r="A2255" s="2" t="n">
        <v>2251</v>
      </c>
      <c r="B2255" s="2" t="s">
        <v>6658</v>
      </c>
      <c r="C2255" s="2" t="s">
        <v>6659</v>
      </c>
      <c r="D2255" s="2" t="s">
        <v>6660</v>
      </c>
      <c r="E2255" s="2" t="str">
        <f aca="false">LEFT(C2255,3)</f>
        <v>132</v>
      </c>
      <c r="F2255" s="2" t="str">
        <f aca="false">IF(D2255="","",LEFT(D2255,3))</f>
        <v>130</v>
      </c>
      <c r="G2255" s="2" t="str">
        <f aca="false">IF(F2255="","",IF(E2255=F2255,"Yes","No"))</f>
        <v>No</v>
      </c>
      <c r="H2255" s="2" t="n">
        <f aca="false">IF(D2255="",0,1/COUNTIF($D$2:$D$3451,D2255))</f>
        <v>1</v>
      </c>
      <c r="I2255" s="13" t="n">
        <f aca="false">IFERROR(INDEX('NCO-2015 scores'!$C$2:$C$131,MATCH(E2255,'NCO-2015 scores'!$A$2:$A$131,0)),0)</f>
        <v>0.3625</v>
      </c>
      <c r="J2255" s="13" t="n">
        <f aca="false">IF(ISNUMBER(MATCH(E2255,'NCO-2015 scores'!$A$2:$A$131,0)),IF(ISNUMBER(INDEX('NCO-2015 scores'!$C$2:$C$131,MATCH(E2255,'NCO-2015 scores'!$A$2:$A$131,0))),1,0),0)</f>
        <v>1</v>
      </c>
    </row>
    <row r="2256" customFormat="false" ht="15" hidden="false" customHeight="false" outlineLevel="0" collapsed="false">
      <c r="A2256" s="2" t="n">
        <v>2252</v>
      </c>
      <c r="B2256" s="2" t="s">
        <v>6661</v>
      </c>
      <c r="C2256" s="2" t="s">
        <v>6662</v>
      </c>
      <c r="D2256" s="2" t="s">
        <v>6663</v>
      </c>
      <c r="E2256" s="2" t="str">
        <f aca="false">LEFT(C2256,3)</f>
        <v>132</v>
      </c>
      <c r="F2256" s="2" t="str">
        <f aca="false">IF(D2256="","",LEFT(D2256,3))</f>
        <v>130</v>
      </c>
      <c r="G2256" s="2" t="str">
        <f aca="false">IF(F2256="","",IF(E2256=F2256,"Yes","No"))</f>
        <v>No</v>
      </c>
      <c r="H2256" s="2" t="n">
        <f aca="false">IF(D2256="",0,1/COUNTIF($D$2:$D$3451,D2256))</f>
        <v>1</v>
      </c>
      <c r="I2256" s="13" t="n">
        <f aca="false">IFERROR(INDEX('NCO-2015 scores'!$C$2:$C$131,MATCH(E2256,'NCO-2015 scores'!$A$2:$A$131,0)),0)</f>
        <v>0.3625</v>
      </c>
      <c r="J2256" s="13" t="n">
        <f aca="false">IF(ISNUMBER(MATCH(E2256,'NCO-2015 scores'!$A$2:$A$131,0)),IF(ISNUMBER(INDEX('NCO-2015 scores'!$C$2:$C$131,MATCH(E2256,'NCO-2015 scores'!$A$2:$A$131,0))),1,0),0)</f>
        <v>1</v>
      </c>
    </row>
    <row r="2257" customFormat="false" ht="15" hidden="false" customHeight="false" outlineLevel="0" collapsed="false">
      <c r="A2257" s="2" t="n">
        <v>2253</v>
      </c>
      <c r="B2257" s="2" t="s">
        <v>6664</v>
      </c>
      <c r="C2257" s="2" t="s">
        <v>6665</v>
      </c>
      <c r="D2257" s="2" t="s">
        <v>6666</v>
      </c>
      <c r="E2257" s="2" t="str">
        <f aca="false">LEFT(C2257,3)</f>
        <v>132</v>
      </c>
      <c r="F2257" s="2" t="str">
        <f aca="false">IF(D2257="","",LEFT(D2257,3))</f>
        <v>122</v>
      </c>
      <c r="G2257" s="2" t="str">
        <f aca="false">IF(F2257="","",IF(E2257=F2257,"Yes","No"))</f>
        <v>No</v>
      </c>
      <c r="H2257" s="2" t="n">
        <f aca="false">IF(D2257="",0,1/COUNTIF($D$2:$D$3451,D2257))</f>
        <v>1</v>
      </c>
      <c r="I2257" s="13" t="n">
        <f aca="false">IFERROR(INDEX('NCO-2015 scores'!$C$2:$C$131,MATCH(E2257,'NCO-2015 scores'!$A$2:$A$131,0)),0)</f>
        <v>0.3625</v>
      </c>
      <c r="J2257" s="13" t="n">
        <f aca="false">IF(ISNUMBER(MATCH(E2257,'NCO-2015 scores'!$A$2:$A$131,0)),IF(ISNUMBER(INDEX('NCO-2015 scores'!$C$2:$C$131,MATCH(E2257,'NCO-2015 scores'!$A$2:$A$131,0))),1,0),0)</f>
        <v>1</v>
      </c>
    </row>
    <row r="2258" customFormat="false" ht="15" hidden="false" customHeight="false" outlineLevel="0" collapsed="false">
      <c r="A2258" s="2" t="n">
        <v>2254</v>
      </c>
      <c r="B2258" s="2" t="s">
        <v>6667</v>
      </c>
      <c r="C2258" s="2" t="s">
        <v>6668</v>
      </c>
      <c r="D2258" s="2" t="s">
        <v>6669</v>
      </c>
      <c r="E2258" s="2" t="str">
        <f aca="false">LEFT(C2258,3)</f>
        <v>132</v>
      </c>
      <c r="F2258" s="2" t="str">
        <f aca="false">IF(D2258="","",LEFT(D2258,3))</f>
        <v>122</v>
      </c>
      <c r="G2258" s="2" t="str">
        <f aca="false">IF(F2258="","",IF(E2258=F2258,"Yes","No"))</f>
        <v>No</v>
      </c>
      <c r="H2258" s="2" t="n">
        <f aca="false">IF(D2258="",0,1/COUNTIF($D$2:$D$3451,D2258))</f>
        <v>1</v>
      </c>
      <c r="I2258" s="13" t="n">
        <f aca="false">IFERROR(INDEX('NCO-2015 scores'!$C$2:$C$131,MATCH(E2258,'NCO-2015 scores'!$A$2:$A$131,0)),0)</f>
        <v>0.3625</v>
      </c>
      <c r="J2258" s="13" t="n">
        <f aca="false">IF(ISNUMBER(MATCH(E2258,'NCO-2015 scores'!$A$2:$A$131,0)),IF(ISNUMBER(INDEX('NCO-2015 scores'!$C$2:$C$131,MATCH(E2258,'NCO-2015 scores'!$A$2:$A$131,0))),1,0),0)</f>
        <v>1</v>
      </c>
    </row>
    <row r="2259" customFormat="false" ht="15" hidden="false" customHeight="false" outlineLevel="0" collapsed="false">
      <c r="A2259" s="2" t="n">
        <v>2255</v>
      </c>
      <c r="B2259" s="2" t="s">
        <v>6670</v>
      </c>
      <c r="C2259" s="2" t="s">
        <v>6671</v>
      </c>
      <c r="D2259" s="2" t="s">
        <v>6672</v>
      </c>
      <c r="E2259" s="2" t="str">
        <f aca="false">LEFT(C2259,3)</f>
        <v>132</v>
      </c>
      <c r="F2259" s="2" t="str">
        <f aca="false">IF(D2259="","",LEFT(D2259,3))</f>
        <v>122</v>
      </c>
      <c r="G2259" s="2" t="str">
        <f aca="false">IF(F2259="","",IF(E2259=F2259,"Yes","No"))</f>
        <v>No</v>
      </c>
      <c r="H2259" s="2" t="n">
        <f aca="false">IF(D2259="",0,1/COUNTIF($D$2:$D$3451,D2259))</f>
        <v>1</v>
      </c>
      <c r="I2259" s="13" t="n">
        <f aca="false">IFERROR(INDEX('NCO-2015 scores'!$C$2:$C$131,MATCH(E2259,'NCO-2015 scores'!$A$2:$A$131,0)),0)</f>
        <v>0.3625</v>
      </c>
      <c r="J2259" s="13" t="n">
        <f aca="false">IF(ISNUMBER(MATCH(E2259,'NCO-2015 scores'!$A$2:$A$131,0)),IF(ISNUMBER(INDEX('NCO-2015 scores'!$C$2:$C$131,MATCH(E2259,'NCO-2015 scores'!$A$2:$A$131,0))),1,0),0)</f>
        <v>1</v>
      </c>
    </row>
    <row r="2260" customFormat="false" ht="15" hidden="false" customHeight="false" outlineLevel="0" collapsed="false">
      <c r="A2260" s="2" t="n">
        <v>2256</v>
      </c>
      <c r="B2260" s="2" t="s">
        <v>6673</v>
      </c>
      <c r="C2260" s="2" t="s">
        <v>6674</v>
      </c>
      <c r="D2260" s="2" t="s">
        <v>6675</v>
      </c>
      <c r="E2260" s="2" t="str">
        <f aca="false">LEFT(C2260,3)</f>
        <v>312</v>
      </c>
      <c r="F2260" s="2" t="str">
        <f aca="false">IF(D2260="","",LEFT(D2260,3))</f>
        <v>811</v>
      </c>
      <c r="G2260" s="2" t="str">
        <f aca="false">IF(F2260="","",IF(E2260=F2260,"Yes","No"))</f>
        <v>No</v>
      </c>
      <c r="H2260" s="2" t="n">
        <f aca="false">IF(D2260="",0,1/COUNTIF($D$2:$D$3451,D2260))</f>
        <v>1</v>
      </c>
      <c r="I2260" s="13" t="n">
        <f aca="false">IFERROR(INDEX('NCO-2015 scores'!$C$2:$C$131,MATCH(E2260,'NCO-2015 scores'!$A$2:$A$131,0)),0)</f>
        <v>0.3067</v>
      </c>
      <c r="J2260" s="13" t="n">
        <f aca="false">IF(ISNUMBER(MATCH(E2260,'NCO-2015 scores'!$A$2:$A$131,0)),IF(ISNUMBER(INDEX('NCO-2015 scores'!$C$2:$C$131,MATCH(E2260,'NCO-2015 scores'!$A$2:$A$131,0))),1,0),0)</f>
        <v>1</v>
      </c>
    </row>
    <row r="2261" customFormat="false" ht="15" hidden="false" customHeight="false" outlineLevel="0" collapsed="false">
      <c r="A2261" s="2" t="n">
        <v>2257</v>
      </c>
      <c r="B2261" s="2" t="s">
        <v>6676</v>
      </c>
      <c r="C2261" s="2" t="s">
        <v>6677</v>
      </c>
      <c r="D2261" s="2" t="s">
        <v>6678</v>
      </c>
      <c r="E2261" s="2" t="str">
        <f aca="false">LEFT(C2261,3)</f>
        <v>312</v>
      </c>
      <c r="F2261" s="2" t="str">
        <f aca="false">IF(D2261="","",LEFT(D2261,3))</f>
        <v>811</v>
      </c>
      <c r="G2261" s="2" t="str">
        <f aca="false">IF(F2261="","",IF(E2261=F2261,"Yes","No"))</f>
        <v>No</v>
      </c>
      <c r="H2261" s="2" t="n">
        <f aca="false">IF(D2261="",0,1/COUNTIF($D$2:$D$3451,D2261))</f>
        <v>1</v>
      </c>
      <c r="I2261" s="13" t="n">
        <f aca="false">IFERROR(INDEX('NCO-2015 scores'!$C$2:$C$131,MATCH(E2261,'NCO-2015 scores'!$A$2:$A$131,0)),0)</f>
        <v>0.3067</v>
      </c>
      <c r="J2261" s="13" t="n">
        <f aca="false">IF(ISNUMBER(MATCH(E2261,'NCO-2015 scores'!$A$2:$A$131,0)),IF(ISNUMBER(INDEX('NCO-2015 scores'!$C$2:$C$131,MATCH(E2261,'NCO-2015 scores'!$A$2:$A$131,0))),1,0),0)</f>
        <v>1</v>
      </c>
    </row>
    <row r="2262" customFormat="false" ht="15" hidden="false" customHeight="false" outlineLevel="0" collapsed="false">
      <c r="A2262" s="2" t="n">
        <v>2258</v>
      </c>
      <c r="B2262" s="2" t="s">
        <v>6679</v>
      </c>
      <c r="C2262" s="2" t="s">
        <v>6680</v>
      </c>
      <c r="D2262" s="2" t="s">
        <v>6681</v>
      </c>
      <c r="E2262" s="2" t="str">
        <f aca="false">LEFT(C2262,3)</f>
        <v>312</v>
      </c>
      <c r="F2262" s="2" t="str">
        <f aca="false">IF(D2262="","",LEFT(D2262,3))</f>
        <v>811</v>
      </c>
      <c r="G2262" s="2" t="str">
        <f aca="false">IF(F2262="","",IF(E2262=F2262,"Yes","No"))</f>
        <v>No</v>
      </c>
      <c r="H2262" s="2" t="n">
        <f aca="false">IF(D2262="",0,1/COUNTIF($D$2:$D$3451,D2262))</f>
        <v>1</v>
      </c>
      <c r="I2262" s="13" t="n">
        <f aca="false">IFERROR(INDEX('NCO-2015 scores'!$C$2:$C$131,MATCH(E2262,'NCO-2015 scores'!$A$2:$A$131,0)),0)</f>
        <v>0.3067</v>
      </c>
      <c r="J2262" s="13" t="n">
        <f aca="false">IF(ISNUMBER(MATCH(E2262,'NCO-2015 scores'!$A$2:$A$131,0)),IF(ISNUMBER(INDEX('NCO-2015 scores'!$C$2:$C$131,MATCH(E2262,'NCO-2015 scores'!$A$2:$A$131,0))),1,0),0)</f>
        <v>1</v>
      </c>
    </row>
    <row r="2263" customFormat="false" ht="15" hidden="false" customHeight="false" outlineLevel="0" collapsed="false">
      <c r="A2263" s="2" t="n">
        <v>2259</v>
      </c>
      <c r="B2263" s="2" t="s">
        <v>6682</v>
      </c>
      <c r="C2263" s="2" t="s">
        <v>6683</v>
      </c>
      <c r="D2263" s="2" t="s">
        <v>6684</v>
      </c>
      <c r="E2263" s="2" t="str">
        <f aca="false">LEFT(C2263,3)</f>
        <v>312</v>
      </c>
      <c r="F2263" s="2" t="str">
        <f aca="false">IF(D2263="","",LEFT(D2263,3))</f>
        <v>811</v>
      </c>
      <c r="G2263" s="2" t="str">
        <f aca="false">IF(F2263="","",IF(E2263=F2263,"Yes","No"))</f>
        <v>No</v>
      </c>
      <c r="H2263" s="2" t="n">
        <f aca="false">IF(D2263="",0,1/COUNTIF($D$2:$D$3451,D2263))</f>
        <v>1</v>
      </c>
      <c r="I2263" s="13" t="n">
        <f aca="false">IFERROR(INDEX('NCO-2015 scores'!$C$2:$C$131,MATCH(E2263,'NCO-2015 scores'!$A$2:$A$131,0)),0)</f>
        <v>0.3067</v>
      </c>
      <c r="J2263" s="13" t="n">
        <f aca="false">IF(ISNUMBER(MATCH(E2263,'NCO-2015 scores'!$A$2:$A$131,0)),IF(ISNUMBER(INDEX('NCO-2015 scores'!$C$2:$C$131,MATCH(E2263,'NCO-2015 scores'!$A$2:$A$131,0))),1,0),0)</f>
        <v>1</v>
      </c>
    </row>
    <row r="2264" customFormat="false" ht="15" hidden="false" customHeight="false" outlineLevel="0" collapsed="false">
      <c r="A2264" s="2" t="n">
        <v>2260</v>
      </c>
      <c r="B2264" s="2" t="s">
        <v>6685</v>
      </c>
      <c r="C2264" s="2" t="s">
        <v>6686</v>
      </c>
      <c r="D2264" s="2" t="s">
        <v>6687</v>
      </c>
      <c r="E2264" s="2" t="str">
        <f aca="false">LEFT(C2264,3)</f>
        <v>312</v>
      </c>
      <c r="F2264" s="2" t="str">
        <f aca="false">IF(D2264="","",LEFT(D2264,3))</f>
        <v>811</v>
      </c>
      <c r="G2264" s="2" t="str">
        <f aca="false">IF(F2264="","",IF(E2264=F2264,"Yes","No"))</f>
        <v>No</v>
      </c>
      <c r="H2264" s="2" t="n">
        <f aca="false">IF(D2264="",0,1/COUNTIF($D$2:$D$3451,D2264))</f>
        <v>1</v>
      </c>
      <c r="I2264" s="13" t="n">
        <f aca="false">IFERROR(INDEX('NCO-2015 scores'!$C$2:$C$131,MATCH(E2264,'NCO-2015 scores'!$A$2:$A$131,0)),0)</f>
        <v>0.3067</v>
      </c>
      <c r="J2264" s="13" t="n">
        <f aca="false">IF(ISNUMBER(MATCH(E2264,'NCO-2015 scores'!$A$2:$A$131,0)),IF(ISNUMBER(INDEX('NCO-2015 scores'!$C$2:$C$131,MATCH(E2264,'NCO-2015 scores'!$A$2:$A$131,0))),1,0),0)</f>
        <v>1</v>
      </c>
    </row>
    <row r="2265" customFormat="false" ht="15" hidden="false" customHeight="false" outlineLevel="0" collapsed="false">
      <c r="A2265" s="2" t="n">
        <v>2261</v>
      </c>
      <c r="B2265" s="2" t="s">
        <v>6688</v>
      </c>
      <c r="C2265" s="2" t="s">
        <v>6689</v>
      </c>
      <c r="D2265" s="2" t="s">
        <v>6690</v>
      </c>
      <c r="E2265" s="2" t="str">
        <f aca="false">LEFT(C2265,3)</f>
        <v>312</v>
      </c>
      <c r="F2265" s="2" t="str">
        <f aca="false">IF(D2265="","",LEFT(D2265,3))</f>
        <v>811</v>
      </c>
      <c r="G2265" s="2" t="str">
        <f aca="false">IF(F2265="","",IF(E2265=F2265,"Yes","No"))</f>
        <v>No</v>
      </c>
      <c r="H2265" s="2" t="n">
        <f aca="false">IF(D2265="",0,1/COUNTIF($D$2:$D$3451,D2265))</f>
        <v>1</v>
      </c>
      <c r="I2265" s="13" t="n">
        <f aca="false">IFERROR(INDEX('NCO-2015 scores'!$C$2:$C$131,MATCH(E2265,'NCO-2015 scores'!$A$2:$A$131,0)),0)</f>
        <v>0.3067</v>
      </c>
      <c r="J2265" s="13" t="n">
        <f aca="false">IF(ISNUMBER(MATCH(E2265,'NCO-2015 scores'!$A$2:$A$131,0)),IF(ISNUMBER(INDEX('NCO-2015 scores'!$C$2:$C$131,MATCH(E2265,'NCO-2015 scores'!$A$2:$A$131,0))),1,0),0)</f>
        <v>1</v>
      </c>
    </row>
    <row r="2266" customFormat="false" ht="15" hidden="false" customHeight="false" outlineLevel="0" collapsed="false">
      <c r="A2266" s="2" t="n">
        <v>2262</v>
      </c>
      <c r="B2266" s="2" t="s">
        <v>6691</v>
      </c>
      <c r="C2266" s="2" t="s">
        <v>6692</v>
      </c>
      <c r="D2266" s="2" t="s">
        <v>6693</v>
      </c>
      <c r="E2266" s="2" t="str">
        <f aca="false">LEFT(C2266,3)</f>
        <v>312</v>
      </c>
      <c r="F2266" s="2" t="str">
        <f aca="false">IF(D2266="","",LEFT(D2266,3))</f>
        <v>811</v>
      </c>
      <c r="G2266" s="2" t="str">
        <f aca="false">IF(F2266="","",IF(E2266=F2266,"Yes","No"))</f>
        <v>No</v>
      </c>
      <c r="H2266" s="2" t="n">
        <f aca="false">IF(D2266="",0,1/COUNTIF($D$2:$D$3451,D2266))</f>
        <v>1</v>
      </c>
      <c r="I2266" s="13" t="n">
        <f aca="false">IFERROR(INDEX('NCO-2015 scores'!$C$2:$C$131,MATCH(E2266,'NCO-2015 scores'!$A$2:$A$131,0)),0)</f>
        <v>0.3067</v>
      </c>
      <c r="J2266" s="13" t="n">
        <f aca="false">IF(ISNUMBER(MATCH(E2266,'NCO-2015 scores'!$A$2:$A$131,0)),IF(ISNUMBER(INDEX('NCO-2015 scores'!$C$2:$C$131,MATCH(E2266,'NCO-2015 scores'!$A$2:$A$131,0))),1,0),0)</f>
        <v>1</v>
      </c>
    </row>
    <row r="2267" customFormat="false" ht="15" hidden="false" customHeight="false" outlineLevel="0" collapsed="false">
      <c r="A2267" s="2" t="n">
        <v>2263</v>
      </c>
      <c r="B2267" s="2" t="s">
        <v>6694</v>
      </c>
      <c r="C2267" s="2" t="s">
        <v>6695</v>
      </c>
      <c r="D2267" s="2" t="s">
        <v>6696</v>
      </c>
      <c r="E2267" s="2" t="str">
        <f aca="false">LEFT(C2267,3)</f>
        <v>312</v>
      </c>
      <c r="F2267" s="2" t="str">
        <f aca="false">IF(D2267="","",LEFT(D2267,3))</f>
        <v>811</v>
      </c>
      <c r="G2267" s="2" t="str">
        <f aca="false">IF(F2267="","",IF(E2267=F2267,"Yes","No"))</f>
        <v>No</v>
      </c>
      <c r="H2267" s="2" t="n">
        <f aca="false">IF(D2267="",0,1/COUNTIF($D$2:$D$3451,D2267))</f>
        <v>1</v>
      </c>
      <c r="I2267" s="13" t="n">
        <f aca="false">IFERROR(INDEX('NCO-2015 scores'!$C$2:$C$131,MATCH(E2267,'NCO-2015 scores'!$A$2:$A$131,0)),0)</f>
        <v>0.3067</v>
      </c>
      <c r="J2267" s="13" t="n">
        <f aca="false">IF(ISNUMBER(MATCH(E2267,'NCO-2015 scores'!$A$2:$A$131,0)),IF(ISNUMBER(INDEX('NCO-2015 scores'!$C$2:$C$131,MATCH(E2267,'NCO-2015 scores'!$A$2:$A$131,0))),1,0),0)</f>
        <v>1</v>
      </c>
    </row>
    <row r="2268" customFormat="false" ht="15" hidden="false" customHeight="false" outlineLevel="0" collapsed="false">
      <c r="A2268" s="2" t="n">
        <v>2264</v>
      </c>
      <c r="B2268" s="2" t="s">
        <v>6697</v>
      </c>
      <c r="C2268" s="2" t="s">
        <v>6698</v>
      </c>
      <c r="D2268" s="2" t="s">
        <v>6699</v>
      </c>
      <c r="E2268" s="2" t="str">
        <f aca="false">LEFT(C2268,3)</f>
        <v>312</v>
      </c>
      <c r="F2268" s="2" t="str">
        <f aca="false">IF(D2268="","",LEFT(D2268,3))</f>
        <v>811</v>
      </c>
      <c r="G2268" s="2" t="str">
        <f aca="false">IF(F2268="","",IF(E2268=F2268,"Yes","No"))</f>
        <v>No</v>
      </c>
      <c r="H2268" s="2" t="n">
        <f aca="false">IF(D2268="",0,1/COUNTIF($D$2:$D$3451,D2268))</f>
        <v>1</v>
      </c>
      <c r="I2268" s="13" t="n">
        <f aca="false">IFERROR(INDEX('NCO-2015 scores'!$C$2:$C$131,MATCH(E2268,'NCO-2015 scores'!$A$2:$A$131,0)),0)</f>
        <v>0.3067</v>
      </c>
      <c r="J2268" s="13" t="n">
        <f aca="false">IF(ISNUMBER(MATCH(E2268,'NCO-2015 scores'!$A$2:$A$131,0)),IF(ISNUMBER(INDEX('NCO-2015 scores'!$C$2:$C$131,MATCH(E2268,'NCO-2015 scores'!$A$2:$A$131,0))),1,0),0)</f>
        <v>1</v>
      </c>
    </row>
    <row r="2269" customFormat="false" ht="15" hidden="false" customHeight="false" outlineLevel="0" collapsed="false">
      <c r="A2269" s="2" t="n">
        <v>2265</v>
      </c>
      <c r="B2269" s="2" t="s">
        <v>6700</v>
      </c>
      <c r="C2269" s="2" t="s">
        <v>6701</v>
      </c>
      <c r="D2269" s="2" t="s">
        <v>6702</v>
      </c>
      <c r="E2269" s="2" t="str">
        <f aca="false">LEFT(C2269,3)</f>
        <v>613</v>
      </c>
      <c r="F2269" s="2" t="str">
        <f aca="false">IF(D2269="","",LEFT(D2269,3))</f>
        <v>613</v>
      </c>
      <c r="G2269" s="2" t="str">
        <f aca="false">IF(F2269="","",IF(E2269=F2269,"Yes","No"))</f>
        <v>Yes</v>
      </c>
      <c r="H2269" s="2" t="n">
        <f aca="false">IF(D2269="",0,1/COUNTIF($D$2:$D$3451,D2269))</f>
        <v>1</v>
      </c>
      <c r="I2269" s="13" t="n">
        <f aca="false">IFERROR(INDEX('NCO-2015 scores'!$C$2:$C$131,MATCH(E2269,'NCO-2015 scores'!$A$2:$A$131,0)),0)</f>
        <v>0.19</v>
      </c>
      <c r="J2269" s="13" t="n">
        <f aca="false">IF(ISNUMBER(MATCH(E2269,'NCO-2015 scores'!$A$2:$A$131,0)),IF(ISNUMBER(INDEX('NCO-2015 scores'!$C$2:$C$131,MATCH(E2269,'NCO-2015 scores'!$A$2:$A$131,0))),1,0),0)</f>
        <v>1</v>
      </c>
    </row>
    <row r="2270" customFormat="false" ht="15" hidden="false" customHeight="false" outlineLevel="0" collapsed="false">
      <c r="A2270" s="2" t="n">
        <v>2266</v>
      </c>
      <c r="B2270" s="2" t="s">
        <v>6703</v>
      </c>
      <c r="C2270" s="2" t="s">
        <v>6704</v>
      </c>
      <c r="D2270" s="2" t="s">
        <v>6705</v>
      </c>
      <c r="E2270" s="2" t="str">
        <f aca="false">LEFT(C2270,3)</f>
        <v>613</v>
      </c>
      <c r="F2270" s="2" t="str">
        <f aca="false">IF(D2270="","",LEFT(D2270,3))</f>
        <v>611</v>
      </c>
      <c r="G2270" s="2" t="str">
        <f aca="false">IF(F2270="","",IF(E2270=F2270,"Yes","No"))</f>
        <v>No</v>
      </c>
      <c r="H2270" s="2" t="n">
        <f aca="false">IF(D2270="",0,1/COUNTIF($D$2:$D$3451,D2270))</f>
        <v>1</v>
      </c>
      <c r="I2270" s="13" t="n">
        <f aca="false">IFERROR(INDEX('NCO-2015 scores'!$C$2:$C$131,MATCH(E2270,'NCO-2015 scores'!$A$2:$A$131,0)),0)</f>
        <v>0.19</v>
      </c>
      <c r="J2270" s="13" t="n">
        <f aca="false">IF(ISNUMBER(MATCH(E2270,'NCO-2015 scores'!$A$2:$A$131,0)),IF(ISNUMBER(INDEX('NCO-2015 scores'!$C$2:$C$131,MATCH(E2270,'NCO-2015 scores'!$A$2:$A$131,0))),1,0),0)</f>
        <v>1</v>
      </c>
    </row>
    <row r="2271" customFormat="false" ht="15" hidden="false" customHeight="false" outlineLevel="0" collapsed="false">
      <c r="A2271" s="2" t="n">
        <v>2267</v>
      </c>
      <c r="B2271" s="2" t="s">
        <v>6706</v>
      </c>
      <c r="C2271" s="2" t="s">
        <v>6707</v>
      </c>
      <c r="D2271" s="2"/>
      <c r="E2271" s="2" t="str">
        <f aca="false">LEFT(C2271,3)</f>
        <v>613</v>
      </c>
      <c r="F2271" s="2" t="str">
        <f aca="false">IF(D2271="","",LEFT(D2271,3))</f>
        <v/>
      </c>
      <c r="G2271" s="2" t="str">
        <f aca="false">IF(F2271="","",IF(E2271=F2271,"Yes","No"))</f>
        <v/>
      </c>
      <c r="H2271" s="2" t="n">
        <f aca="false">IF(D2271="",0,1/COUNTIF($D$2:$D$3451,D2271))</f>
        <v>0</v>
      </c>
      <c r="I2271" s="13" t="n">
        <f aca="false">IFERROR(INDEX('NCO-2015 scores'!$C$2:$C$131,MATCH(E2271,'NCO-2015 scores'!$A$2:$A$131,0)),0)</f>
        <v>0.19</v>
      </c>
      <c r="J2271" s="13" t="n">
        <f aca="false">IF(ISNUMBER(MATCH(E2271,'NCO-2015 scores'!$A$2:$A$131,0)),IF(ISNUMBER(INDEX('NCO-2015 scores'!$C$2:$C$131,MATCH(E2271,'NCO-2015 scores'!$A$2:$A$131,0))),1,0),0)</f>
        <v>1</v>
      </c>
    </row>
    <row r="2272" customFormat="false" ht="15" hidden="false" customHeight="false" outlineLevel="0" collapsed="false">
      <c r="A2272" s="2" t="n">
        <v>2268</v>
      </c>
      <c r="B2272" s="2" t="s">
        <v>6708</v>
      </c>
      <c r="C2272" s="2" t="s">
        <v>6709</v>
      </c>
      <c r="D2272" s="2" t="s">
        <v>6710</v>
      </c>
      <c r="E2272" s="2" t="str">
        <f aca="false">LEFT(C2272,3)</f>
        <v>613</v>
      </c>
      <c r="F2272" s="2" t="str">
        <f aca="false">IF(D2272="","",LEFT(D2272,3))</f>
        <v>613</v>
      </c>
      <c r="G2272" s="2" t="str">
        <f aca="false">IF(F2272="","",IF(E2272=F2272,"Yes","No"))</f>
        <v>Yes</v>
      </c>
      <c r="H2272" s="2" t="n">
        <f aca="false">IF(D2272="",0,1/COUNTIF($D$2:$D$3451,D2272))</f>
        <v>1</v>
      </c>
      <c r="I2272" s="13" t="n">
        <f aca="false">IFERROR(INDEX('NCO-2015 scores'!$C$2:$C$131,MATCH(E2272,'NCO-2015 scores'!$A$2:$A$131,0)),0)</f>
        <v>0.19</v>
      </c>
      <c r="J2272" s="13" t="n">
        <f aca="false">IF(ISNUMBER(MATCH(E2272,'NCO-2015 scores'!$A$2:$A$131,0)),IF(ISNUMBER(INDEX('NCO-2015 scores'!$C$2:$C$131,MATCH(E2272,'NCO-2015 scores'!$A$2:$A$131,0))),1,0),0)</f>
        <v>1</v>
      </c>
    </row>
    <row r="2273" customFormat="false" ht="15" hidden="false" customHeight="false" outlineLevel="0" collapsed="false">
      <c r="A2273" s="2" t="n">
        <v>2269</v>
      </c>
      <c r="B2273" s="2" t="s">
        <v>6711</v>
      </c>
      <c r="C2273" s="2" t="s">
        <v>6712</v>
      </c>
      <c r="D2273" s="2" t="s">
        <v>6713</v>
      </c>
      <c r="E2273" s="2" t="str">
        <f aca="false">LEFT(C2273,3)</f>
        <v>611</v>
      </c>
      <c r="F2273" s="2" t="str">
        <f aca="false">IF(D2273="","",LEFT(D2273,3))</f>
        <v>611</v>
      </c>
      <c r="G2273" s="2" t="str">
        <f aca="false">IF(F2273="","",IF(E2273=F2273,"Yes","No"))</f>
        <v>Yes</v>
      </c>
      <c r="H2273" s="2" t="n">
        <f aca="false">IF(D2273="",0,1/COUNTIF($D$2:$D$3451,D2273))</f>
        <v>1</v>
      </c>
      <c r="I2273" s="13" t="n">
        <f aca="false">IFERROR(INDEX('NCO-2015 scores'!$C$2:$C$131,MATCH(E2273,'NCO-2015 scores'!$A$2:$A$131,0)),0)</f>
        <v>0.175</v>
      </c>
      <c r="J2273" s="13" t="n">
        <f aca="false">IF(ISNUMBER(MATCH(E2273,'NCO-2015 scores'!$A$2:$A$131,0)),IF(ISNUMBER(INDEX('NCO-2015 scores'!$C$2:$C$131,MATCH(E2273,'NCO-2015 scores'!$A$2:$A$131,0))),1,0),0)</f>
        <v>1</v>
      </c>
    </row>
    <row r="2274" customFormat="false" ht="15" hidden="false" customHeight="false" outlineLevel="0" collapsed="false">
      <c r="A2274" s="2" t="n">
        <v>2270</v>
      </c>
      <c r="B2274" s="2" t="s">
        <v>6714</v>
      </c>
      <c r="C2274" s="2" t="s">
        <v>6715</v>
      </c>
      <c r="D2274" s="2" t="s">
        <v>6716</v>
      </c>
      <c r="E2274" s="2" t="str">
        <f aca="false">LEFT(C2274,3)</f>
        <v>834</v>
      </c>
      <c r="F2274" s="2" t="str">
        <f aca="false">IF(D2274="","",LEFT(D2274,3))</f>
        <v>833</v>
      </c>
      <c r="G2274" s="2" t="str">
        <f aca="false">IF(F2274="","",IF(E2274=F2274,"Yes","No"))</f>
        <v>No</v>
      </c>
      <c r="H2274" s="2" t="n">
        <f aca="false">IF(D2274="",0,1/COUNTIF($D$2:$D$3451,D2274))</f>
        <v>1</v>
      </c>
      <c r="I2274" s="13" t="n">
        <f aca="false">IFERROR(INDEX('NCO-2015 scores'!$C$2:$C$131,MATCH(E2274,'NCO-2015 scores'!$A$2:$A$131,0)),0)</f>
        <v>0.1575</v>
      </c>
      <c r="J2274" s="13" t="n">
        <f aca="false">IF(ISNUMBER(MATCH(E2274,'NCO-2015 scores'!$A$2:$A$131,0)),IF(ISNUMBER(INDEX('NCO-2015 scores'!$C$2:$C$131,MATCH(E2274,'NCO-2015 scores'!$A$2:$A$131,0))),1,0),0)</f>
        <v>1</v>
      </c>
    </row>
    <row r="2275" customFormat="false" ht="15" hidden="false" customHeight="false" outlineLevel="0" collapsed="false">
      <c r="A2275" s="2" t="n">
        <v>2271</v>
      </c>
      <c r="B2275" s="2" t="s">
        <v>6717</v>
      </c>
      <c r="C2275" s="2" t="s">
        <v>6718</v>
      </c>
      <c r="D2275" s="2"/>
      <c r="E2275" s="2" t="str">
        <f aca="false">LEFT(C2275,3)</f>
        <v>834</v>
      </c>
      <c r="F2275" s="2" t="str">
        <f aca="false">IF(D2275="","",LEFT(D2275,3))</f>
        <v/>
      </c>
      <c r="G2275" s="2" t="str">
        <f aca="false">IF(F2275="","",IF(E2275=F2275,"Yes","No"))</f>
        <v/>
      </c>
      <c r="H2275" s="2" t="n">
        <f aca="false">IF(D2275="",0,1/COUNTIF($D$2:$D$3451,D2275))</f>
        <v>0</v>
      </c>
      <c r="I2275" s="13" t="n">
        <f aca="false">IFERROR(INDEX('NCO-2015 scores'!$C$2:$C$131,MATCH(E2275,'NCO-2015 scores'!$A$2:$A$131,0)),0)</f>
        <v>0.1575</v>
      </c>
      <c r="J2275" s="13" t="n">
        <f aca="false">IF(ISNUMBER(MATCH(E2275,'NCO-2015 scores'!$A$2:$A$131,0)),IF(ISNUMBER(INDEX('NCO-2015 scores'!$C$2:$C$131,MATCH(E2275,'NCO-2015 scores'!$A$2:$A$131,0))),1,0),0)</f>
        <v>1</v>
      </c>
    </row>
    <row r="2276" customFormat="false" ht="15" hidden="false" customHeight="false" outlineLevel="0" collapsed="false">
      <c r="A2276" s="2" t="n">
        <v>2272</v>
      </c>
      <c r="B2276" s="2" t="s">
        <v>6719</v>
      </c>
      <c r="C2276" s="2" t="s">
        <v>6720</v>
      </c>
      <c r="D2276" s="2" t="s">
        <v>6721</v>
      </c>
      <c r="E2276" s="2" t="str">
        <f aca="false">LEFT(C2276,3)</f>
        <v>834</v>
      </c>
      <c r="F2276" s="2" t="str">
        <f aca="false">IF(D2276="","",LEFT(D2276,3))</f>
        <v>833</v>
      </c>
      <c r="G2276" s="2" t="str">
        <f aca="false">IF(F2276="","",IF(E2276=F2276,"Yes","No"))</f>
        <v>No</v>
      </c>
      <c r="H2276" s="2" t="n">
        <f aca="false">IF(D2276="",0,1/COUNTIF($D$2:$D$3451,D2276))</f>
        <v>1</v>
      </c>
      <c r="I2276" s="13" t="n">
        <f aca="false">IFERROR(INDEX('NCO-2015 scores'!$C$2:$C$131,MATCH(E2276,'NCO-2015 scores'!$A$2:$A$131,0)),0)</f>
        <v>0.1575</v>
      </c>
      <c r="J2276" s="13" t="n">
        <f aca="false">IF(ISNUMBER(MATCH(E2276,'NCO-2015 scores'!$A$2:$A$131,0)),IF(ISNUMBER(INDEX('NCO-2015 scores'!$C$2:$C$131,MATCH(E2276,'NCO-2015 scores'!$A$2:$A$131,0))),1,0),0)</f>
        <v>1</v>
      </c>
    </row>
    <row r="2277" customFormat="false" ht="15" hidden="false" customHeight="false" outlineLevel="0" collapsed="false">
      <c r="A2277" s="2" t="n">
        <v>2273</v>
      </c>
      <c r="B2277" s="2" t="s">
        <v>6722</v>
      </c>
      <c r="C2277" s="2" t="s">
        <v>6723</v>
      </c>
      <c r="D2277" s="2" t="s">
        <v>6724</v>
      </c>
      <c r="E2277" s="2" t="str">
        <f aca="false">LEFT(C2277,3)</f>
        <v>834</v>
      </c>
      <c r="F2277" s="2" t="str">
        <f aca="false">IF(D2277="","",LEFT(D2277,3))</f>
        <v>833</v>
      </c>
      <c r="G2277" s="2" t="str">
        <f aca="false">IF(F2277="","",IF(E2277=F2277,"Yes","No"))</f>
        <v>No</v>
      </c>
      <c r="H2277" s="2" t="n">
        <f aca="false">IF(D2277="",0,1/COUNTIF($D$2:$D$3451,D2277))</f>
        <v>1</v>
      </c>
      <c r="I2277" s="13" t="n">
        <f aca="false">IFERROR(INDEX('NCO-2015 scores'!$C$2:$C$131,MATCH(E2277,'NCO-2015 scores'!$A$2:$A$131,0)),0)</f>
        <v>0.1575</v>
      </c>
      <c r="J2277" s="13" t="n">
        <f aca="false">IF(ISNUMBER(MATCH(E2277,'NCO-2015 scores'!$A$2:$A$131,0)),IF(ISNUMBER(INDEX('NCO-2015 scores'!$C$2:$C$131,MATCH(E2277,'NCO-2015 scores'!$A$2:$A$131,0))),1,0),0)</f>
        <v>1</v>
      </c>
    </row>
    <row r="2278" customFormat="false" ht="15" hidden="false" customHeight="false" outlineLevel="0" collapsed="false">
      <c r="A2278" s="2" t="n">
        <v>2274</v>
      </c>
      <c r="B2278" s="2" t="s">
        <v>6725</v>
      </c>
      <c r="C2278" s="2" t="s">
        <v>6726</v>
      </c>
      <c r="D2278" s="2" t="s">
        <v>6727</v>
      </c>
      <c r="E2278" s="2" t="str">
        <f aca="false">LEFT(C2278,3)</f>
        <v>834</v>
      </c>
      <c r="F2278" s="2" t="str">
        <f aca="false">IF(D2278="","",LEFT(D2278,3))</f>
        <v>833</v>
      </c>
      <c r="G2278" s="2" t="str">
        <f aca="false">IF(F2278="","",IF(E2278=F2278,"Yes","No"))</f>
        <v>No</v>
      </c>
      <c r="H2278" s="2" t="n">
        <f aca="false">IF(D2278="",0,1/COUNTIF($D$2:$D$3451,D2278))</f>
        <v>1</v>
      </c>
      <c r="I2278" s="13" t="n">
        <f aca="false">IFERROR(INDEX('NCO-2015 scores'!$C$2:$C$131,MATCH(E2278,'NCO-2015 scores'!$A$2:$A$131,0)),0)</f>
        <v>0.1575</v>
      </c>
      <c r="J2278" s="13" t="n">
        <f aca="false">IF(ISNUMBER(MATCH(E2278,'NCO-2015 scores'!$A$2:$A$131,0)),IF(ISNUMBER(INDEX('NCO-2015 scores'!$C$2:$C$131,MATCH(E2278,'NCO-2015 scores'!$A$2:$A$131,0))),1,0),0)</f>
        <v>1</v>
      </c>
    </row>
    <row r="2279" customFormat="false" ht="15" hidden="false" customHeight="false" outlineLevel="0" collapsed="false">
      <c r="A2279" s="2" t="n">
        <v>2275</v>
      </c>
      <c r="B2279" s="2" t="s">
        <v>6728</v>
      </c>
      <c r="C2279" s="2" t="s">
        <v>6729</v>
      </c>
      <c r="D2279" s="2" t="s">
        <v>6730</v>
      </c>
      <c r="E2279" s="2" t="str">
        <f aca="false">LEFT(C2279,3)</f>
        <v>723</v>
      </c>
      <c r="F2279" s="2" t="str">
        <f aca="false">IF(D2279="","",LEFT(D2279,3))</f>
        <v>723</v>
      </c>
      <c r="G2279" s="2" t="str">
        <f aca="false">IF(F2279="","",IF(E2279=F2279,"Yes","No"))</f>
        <v>Yes</v>
      </c>
      <c r="H2279" s="2" t="n">
        <f aca="false">IF(D2279="",0,1/COUNTIF($D$2:$D$3451,D2279))</f>
        <v>1</v>
      </c>
      <c r="I2279" s="13" t="n">
        <f aca="false">IFERROR(INDEX('NCO-2015 scores'!$C$2:$C$131,MATCH(E2279,'NCO-2015 scores'!$A$2:$A$131,0)),0)</f>
        <v>0.1675</v>
      </c>
      <c r="J2279" s="13" t="n">
        <f aca="false">IF(ISNUMBER(MATCH(E2279,'NCO-2015 scores'!$A$2:$A$131,0)),IF(ISNUMBER(INDEX('NCO-2015 scores'!$C$2:$C$131,MATCH(E2279,'NCO-2015 scores'!$A$2:$A$131,0))),1,0),0)</f>
        <v>1</v>
      </c>
    </row>
    <row r="2280" customFormat="false" ht="15" hidden="false" customHeight="false" outlineLevel="0" collapsed="false">
      <c r="A2280" s="2" t="n">
        <v>2276</v>
      </c>
      <c r="B2280" s="2" t="s">
        <v>6731</v>
      </c>
      <c r="C2280" s="2" t="s">
        <v>6732</v>
      </c>
      <c r="D2280" s="2"/>
      <c r="E2280" s="2" t="str">
        <f aca="false">LEFT(C2280,3)</f>
        <v>723</v>
      </c>
      <c r="F2280" s="2" t="str">
        <f aca="false">IF(D2280="","",LEFT(D2280,3))</f>
        <v/>
      </c>
      <c r="G2280" s="2" t="str">
        <f aca="false">IF(F2280="","",IF(E2280=F2280,"Yes","No"))</f>
        <v/>
      </c>
      <c r="H2280" s="2" t="n">
        <f aca="false">IF(D2280="",0,1/COUNTIF($D$2:$D$3451,D2280))</f>
        <v>0</v>
      </c>
      <c r="I2280" s="13" t="n">
        <f aca="false">IFERROR(INDEX('NCO-2015 scores'!$C$2:$C$131,MATCH(E2280,'NCO-2015 scores'!$A$2:$A$131,0)),0)</f>
        <v>0.1675</v>
      </c>
      <c r="J2280" s="13" t="n">
        <f aca="false">IF(ISNUMBER(MATCH(E2280,'NCO-2015 scores'!$A$2:$A$131,0)),IF(ISNUMBER(INDEX('NCO-2015 scores'!$C$2:$C$131,MATCH(E2280,'NCO-2015 scores'!$A$2:$A$131,0))),1,0),0)</f>
        <v>1</v>
      </c>
    </row>
    <row r="2281" customFormat="false" ht="15" hidden="false" customHeight="false" outlineLevel="0" collapsed="false">
      <c r="A2281" s="2" t="n">
        <v>2277</v>
      </c>
      <c r="B2281" s="2" t="s">
        <v>6733</v>
      </c>
      <c r="C2281" s="2" t="s">
        <v>6734</v>
      </c>
      <c r="D2281" s="2"/>
      <c r="E2281" s="2" t="str">
        <f aca="false">LEFT(C2281,3)</f>
        <v>723</v>
      </c>
      <c r="F2281" s="2" t="str">
        <f aca="false">IF(D2281="","",LEFT(D2281,3))</f>
        <v/>
      </c>
      <c r="G2281" s="2" t="str">
        <f aca="false">IF(F2281="","",IF(E2281=F2281,"Yes","No"))</f>
        <v/>
      </c>
      <c r="H2281" s="2" t="n">
        <f aca="false">IF(D2281="",0,1/COUNTIF($D$2:$D$3451,D2281))</f>
        <v>0</v>
      </c>
      <c r="I2281" s="13" t="n">
        <f aca="false">IFERROR(INDEX('NCO-2015 scores'!$C$2:$C$131,MATCH(E2281,'NCO-2015 scores'!$A$2:$A$131,0)),0)</f>
        <v>0.1675</v>
      </c>
      <c r="J2281" s="13" t="n">
        <f aca="false">IF(ISNUMBER(MATCH(E2281,'NCO-2015 scores'!$A$2:$A$131,0)),IF(ISNUMBER(INDEX('NCO-2015 scores'!$C$2:$C$131,MATCH(E2281,'NCO-2015 scores'!$A$2:$A$131,0))),1,0),0)</f>
        <v>1</v>
      </c>
    </row>
    <row r="2282" customFormat="false" ht="15" hidden="false" customHeight="false" outlineLevel="0" collapsed="false">
      <c r="A2282" s="2" t="n">
        <v>2278</v>
      </c>
      <c r="B2282" s="2" t="s">
        <v>6735</v>
      </c>
      <c r="C2282" s="2" t="s">
        <v>6736</v>
      </c>
      <c r="D2282" s="2"/>
      <c r="E2282" s="2" t="str">
        <f aca="false">LEFT(C2282,3)</f>
        <v>723</v>
      </c>
      <c r="F2282" s="2" t="str">
        <f aca="false">IF(D2282="","",LEFT(D2282,3))</f>
        <v/>
      </c>
      <c r="G2282" s="2" t="str">
        <f aca="false">IF(F2282="","",IF(E2282=F2282,"Yes","No"))</f>
        <v/>
      </c>
      <c r="H2282" s="2" t="n">
        <f aca="false">IF(D2282="",0,1/COUNTIF($D$2:$D$3451,D2282))</f>
        <v>0</v>
      </c>
      <c r="I2282" s="13" t="n">
        <f aca="false">IFERROR(INDEX('NCO-2015 scores'!$C$2:$C$131,MATCH(E2282,'NCO-2015 scores'!$A$2:$A$131,0)),0)</f>
        <v>0.1675</v>
      </c>
      <c r="J2282" s="13" t="n">
        <f aca="false">IF(ISNUMBER(MATCH(E2282,'NCO-2015 scores'!$A$2:$A$131,0)),IF(ISNUMBER(INDEX('NCO-2015 scores'!$C$2:$C$131,MATCH(E2282,'NCO-2015 scores'!$A$2:$A$131,0))),1,0),0)</f>
        <v>1</v>
      </c>
    </row>
    <row r="2283" customFormat="false" ht="15" hidden="false" customHeight="false" outlineLevel="0" collapsed="false">
      <c r="A2283" s="2" t="n">
        <v>2279</v>
      </c>
      <c r="B2283" s="2" t="s">
        <v>6737</v>
      </c>
      <c r="C2283" s="2" t="s">
        <v>6738</v>
      </c>
      <c r="D2283" s="2"/>
      <c r="E2283" s="2" t="str">
        <f aca="false">LEFT(C2283,3)</f>
        <v>723</v>
      </c>
      <c r="F2283" s="2" t="str">
        <f aca="false">IF(D2283="","",LEFT(D2283,3))</f>
        <v/>
      </c>
      <c r="G2283" s="2" t="str">
        <f aca="false">IF(F2283="","",IF(E2283=F2283,"Yes","No"))</f>
        <v/>
      </c>
      <c r="H2283" s="2" t="n">
        <f aca="false">IF(D2283="",0,1/COUNTIF($D$2:$D$3451,D2283))</f>
        <v>0</v>
      </c>
      <c r="I2283" s="13" t="n">
        <f aca="false">IFERROR(INDEX('NCO-2015 scores'!$C$2:$C$131,MATCH(E2283,'NCO-2015 scores'!$A$2:$A$131,0)),0)</f>
        <v>0.1675</v>
      </c>
      <c r="J2283" s="13" t="n">
        <f aca="false">IF(ISNUMBER(MATCH(E2283,'NCO-2015 scores'!$A$2:$A$131,0)),IF(ISNUMBER(INDEX('NCO-2015 scores'!$C$2:$C$131,MATCH(E2283,'NCO-2015 scores'!$A$2:$A$131,0))),1,0),0)</f>
        <v>1</v>
      </c>
    </row>
    <row r="2284" customFormat="false" ht="15" hidden="false" customHeight="false" outlineLevel="0" collapsed="false">
      <c r="A2284" s="2" t="n">
        <v>2280</v>
      </c>
      <c r="B2284" s="2" t="s">
        <v>6739</v>
      </c>
      <c r="C2284" s="2" t="s">
        <v>6740</v>
      </c>
      <c r="D2284" s="2"/>
      <c r="E2284" s="2" t="str">
        <f aca="false">LEFT(C2284,3)</f>
        <v>723</v>
      </c>
      <c r="F2284" s="2" t="str">
        <f aca="false">IF(D2284="","",LEFT(D2284,3))</f>
        <v/>
      </c>
      <c r="G2284" s="2" t="str">
        <f aca="false">IF(F2284="","",IF(E2284=F2284,"Yes","No"))</f>
        <v/>
      </c>
      <c r="H2284" s="2" t="n">
        <f aca="false">IF(D2284="",0,1/COUNTIF($D$2:$D$3451,D2284))</f>
        <v>0</v>
      </c>
      <c r="I2284" s="13" t="n">
        <f aca="false">IFERROR(INDEX('NCO-2015 scores'!$C$2:$C$131,MATCH(E2284,'NCO-2015 scores'!$A$2:$A$131,0)),0)</f>
        <v>0.1675</v>
      </c>
      <c r="J2284" s="13" t="n">
        <f aca="false">IF(ISNUMBER(MATCH(E2284,'NCO-2015 scores'!$A$2:$A$131,0)),IF(ISNUMBER(INDEX('NCO-2015 scores'!$C$2:$C$131,MATCH(E2284,'NCO-2015 scores'!$A$2:$A$131,0))),1,0),0)</f>
        <v>1</v>
      </c>
    </row>
    <row r="2285" customFormat="false" ht="15" hidden="false" customHeight="false" outlineLevel="0" collapsed="false">
      <c r="A2285" s="2" t="n">
        <v>2281</v>
      </c>
      <c r="B2285" s="2" t="s">
        <v>6741</v>
      </c>
      <c r="C2285" s="2" t="s">
        <v>6742</v>
      </c>
      <c r="D2285" s="2" t="s">
        <v>6743</v>
      </c>
      <c r="E2285" s="2" t="str">
        <f aca="false">LEFT(C2285,3)</f>
        <v>723</v>
      </c>
      <c r="F2285" s="2" t="str">
        <f aca="false">IF(D2285="","",LEFT(D2285,3))</f>
        <v>723</v>
      </c>
      <c r="G2285" s="2" t="str">
        <f aca="false">IF(F2285="","",IF(E2285=F2285,"Yes","No"))</f>
        <v>Yes</v>
      </c>
      <c r="H2285" s="2" t="n">
        <f aca="false">IF(D2285="",0,1/COUNTIF($D$2:$D$3451,D2285))</f>
        <v>1</v>
      </c>
      <c r="I2285" s="13" t="n">
        <f aca="false">IFERROR(INDEX('NCO-2015 scores'!$C$2:$C$131,MATCH(E2285,'NCO-2015 scores'!$A$2:$A$131,0)),0)</f>
        <v>0.1675</v>
      </c>
      <c r="J2285" s="13" t="n">
        <f aca="false">IF(ISNUMBER(MATCH(E2285,'NCO-2015 scores'!$A$2:$A$131,0)),IF(ISNUMBER(INDEX('NCO-2015 scores'!$C$2:$C$131,MATCH(E2285,'NCO-2015 scores'!$A$2:$A$131,0))),1,0),0)</f>
        <v>1</v>
      </c>
    </row>
    <row r="2286" customFormat="false" ht="15" hidden="false" customHeight="false" outlineLevel="0" collapsed="false">
      <c r="A2286" s="2" t="n">
        <v>2282</v>
      </c>
      <c r="B2286" s="2" t="s">
        <v>6744</v>
      </c>
      <c r="C2286" s="2" t="s">
        <v>6745</v>
      </c>
      <c r="D2286" s="2"/>
      <c r="E2286" s="2" t="str">
        <f aca="false">LEFT(C2286,3)</f>
        <v>723</v>
      </c>
      <c r="F2286" s="2" t="str">
        <f aca="false">IF(D2286="","",LEFT(D2286,3))</f>
        <v/>
      </c>
      <c r="G2286" s="2" t="str">
        <f aca="false">IF(F2286="","",IF(E2286=F2286,"Yes","No"))</f>
        <v/>
      </c>
      <c r="H2286" s="2" t="n">
        <f aca="false">IF(D2286="",0,1/COUNTIF($D$2:$D$3451,D2286))</f>
        <v>0</v>
      </c>
      <c r="I2286" s="13" t="n">
        <f aca="false">IFERROR(INDEX('NCO-2015 scores'!$C$2:$C$131,MATCH(E2286,'NCO-2015 scores'!$A$2:$A$131,0)),0)</f>
        <v>0.1675</v>
      </c>
      <c r="J2286" s="13" t="n">
        <f aca="false">IF(ISNUMBER(MATCH(E2286,'NCO-2015 scores'!$A$2:$A$131,0)),IF(ISNUMBER(INDEX('NCO-2015 scores'!$C$2:$C$131,MATCH(E2286,'NCO-2015 scores'!$A$2:$A$131,0))),1,0),0)</f>
        <v>1</v>
      </c>
    </row>
    <row r="2287" customFormat="false" ht="15" hidden="false" customHeight="false" outlineLevel="0" collapsed="false">
      <c r="A2287" s="2" t="n">
        <v>2283</v>
      </c>
      <c r="B2287" s="2" t="s">
        <v>6746</v>
      </c>
      <c r="C2287" s="2" t="s">
        <v>6747</v>
      </c>
      <c r="D2287" s="2" t="s">
        <v>6748</v>
      </c>
      <c r="E2287" s="2" t="str">
        <f aca="false">LEFT(C2287,3)</f>
        <v>723</v>
      </c>
      <c r="F2287" s="2" t="str">
        <f aca="false">IF(D2287="","",LEFT(D2287,3))</f>
        <v>723</v>
      </c>
      <c r="G2287" s="2" t="str">
        <f aca="false">IF(F2287="","",IF(E2287=F2287,"Yes","No"))</f>
        <v>Yes</v>
      </c>
      <c r="H2287" s="2" t="n">
        <f aca="false">IF(D2287="",0,1/COUNTIF($D$2:$D$3451,D2287))</f>
        <v>1</v>
      </c>
      <c r="I2287" s="13" t="n">
        <f aca="false">IFERROR(INDEX('NCO-2015 scores'!$C$2:$C$131,MATCH(E2287,'NCO-2015 scores'!$A$2:$A$131,0)),0)</f>
        <v>0.1675</v>
      </c>
      <c r="J2287" s="13" t="n">
        <f aca="false">IF(ISNUMBER(MATCH(E2287,'NCO-2015 scores'!$A$2:$A$131,0)),IF(ISNUMBER(INDEX('NCO-2015 scores'!$C$2:$C$131,MATCH(E2287,'NCO-2015 scores'!$A$2:$A$131,0))),1,0),0)</f>
        <v>1</v>
      </c>
    </row>
    <row r="2288" customFormat="false" ht="15" hidden="false" customHeight="false" outlineLevel="0" collapsed="false">
      <c r="A2288" s="2" t="n">
        <v>2284</v>
      </c>
      <c r="B2288" s="2" t="s">
        <v>6749</v>
      </c>
      <c r="C2288" s="2" t="s">
        <v>6750</v>
      </c>
      <c r="D2288" s="2" t="s">
        <v>6751</v>
      </c>
      <c r="E2288" s="2" t="str">
        <f aca="false">LEFT(C2288,3)</f>
        <v>723</v>
      </c>
      <c r="F2288" s="2" t="str">
        <f aca="false">IF(D2288="","",LEFT(D2288,3))</f>
        <v>723</v>
      </c>
      <c r="G2288" s="2" t="str">
        <f aca="false">IF(F2288="","",IF(E2288=F2288,"Yes","No"))</f>
        <v>Yes</v>
      </c>
      <c r="H2288" s="2" t="n">
        <f aca="false">IF(D2288="",0,1/COUNTIF($D$2:$D$3451,D2288))</f>
        <v>1</v>
      </c>
      <c r="I2288" s="13" t="n">
        <f aca="false">IFERROR(INDEX('NCO-2015 scores'!$C$2:$C$131,MATCH(E2288,'NCO-2015 scores'!$A$2:$A$131,0)),0)</f>
        <v>0.1675</v>
      </c>
      <c r="J2288" s="13" t="n">
        <f aca="false">IF(ISNUMBER(MATCH(E2288,'NCO-2015 scores'!$A$2:$A$131,0)),IF(ISNUMBER(INDEX('NCO-2015 scores'!$C$2:$C$131,MATCH(E2288,'NCO-2015 scores'!$A$2:$A$131,0))),1,0),0)</f>
        <v>1</v>
      </c>
    </row>
    <row r="2289" customFormat="false" ht="15" hidden="false" customHeight="false" outlineLevel="0" collapsed="false">
      <c r="A2289" s="2" t="n">
        <v>2285</v>
      </c>
      <c r="B2289" s="2" t="s">
        <v>6752</v>
      </c>
      <c r="C2289" s="2" t="s">
        <v>6753</v>
      </c>
      <c r="D2289" s="2" t="s">
        <v>6754</v>
      </c>
      <c r="E2289" s="2" t="str">
        <f aca="false">LEFT(C2289,3)</f>
        <v>723</v>
      </c>
      <c r="F2289" s="2" t="str">
        <f aca="false">IF(D2289="","",LEFT(D2289,3))</f>
        <v>723</v>
      </c>
      <c r="G2289" s="2" t="str">
        <f aca="false">IF(F2289="","",IF(E2289=F2289,"Yes","No"))</f>
        <v>Yes</v>
      </c>
      <c r="H2289" s="2" t="n">
        <f aca="false">IF(D2289="",0,1/COUNTIF($D$2:$D$3451,D2289))</f>
        <v>1</v>
      </c>
      <c r="I2289" s="13" t="n">
        <f aca="false">IFERROR(INDEX('NCO-2015 scores'!$C$2:$C$131,MATCH(E2289,'NCO-2015 scores'!$A$2:$A$131,0)),0)</f>
        <v>0.1675</v>
      </c>
      <c r="J2289" s="13" t="n">
        <f aca="false">IF(ISNUMBER(MATCH(E2289,'NCO-2015 scores'!$A$2:$A$131,0)),IF(ISNUMBER(INDEX('NCO-2015 scores'!$C$2:$C$131,MATCH(E2289,'NCO-2015 scores'!$A$2:$A$131,0))),1,0),0)</f>
        <v>1</v>
      </c>
    </row>
    <row r="2290" customFormat="false" ht="15" hidden="false" customHeight="false" outlineLevel="0" collapsed="false">
      <c r="A2290" s="2" t="n">
        <v>2286</v>
      </c>
      <c r="B2290" s="2" t="s">
        <v>6755</v>
      </c>
      <c r="C2290" s="2" t="s">
        <v>6756</v>
      </c>
      <c r="D2290" s="2"/>
      <c r="E2290" s="2" t="str">
        <f aca="false">LEFT(C2290,3)</f>
        <v>723</v>
      </c>
      <c r="F2290" s="2" t="str">
        <f aca="false">IF(D2290="","",LEFT(D2290,3))</f>
        <v/>
      </c>
      <c r="G2290" s="2" t="str">
        <f aca="false">IF(F2290="","",IF(E2290=F2290,"Yes","No"))</f>
        <v/>
      </c>
      <c r="H2290" s="2" t="n">
        <f aca="false">IF(D2290="",0,1/COUNTIF($D$2:$D$3451,D2290))</f>
        <v>0</v>
      </c>
      <c r="I2290" s="13" t="n">
        <f aca="false">IFERROR(INDEX('NCO-2015 scores'!$C$2:$C$131,MATCH(E2290,'NCO-2015 scores'!$A$2:$A$131,0)),0)</f>
        <v>0.1675</v>
      </c>
      <c r="J2290" s="13" t="n">
        <f aca="false">IF(ISNUMBER(MATCH(E2290,'NCO-2015 scores'!$A$2:$A$131,0)),IF(ISNUMBER(INDEX('NCO-2015 scores'!$C$2:$C$131,MATCH(E2290,'NCO-2015 scores'!$A$2:$A$131,0))),1,0),0)</f>
        <v>1</v>
      </c>
    </row>
    <row r="2291" customFormat="false" ht="15" hidden="false" customHeight="false" outlineLevel="0" collapsed="false">
      <c r="A2291" s="2" t="n">
        <v>2287</v>
      </c>
      <c r="B2291" s="2" t="s">
        <v>6757</v>
      </c>
      <c r="C2291" s="2" t="s">
        <v>6758</v>
      </c>
      <c r="D2291" s="2" t="s">
        <v>6759</v>
      </c>
      <c r="E2291" s="2" t="str">
        <f aca="false">LEFT(C2291,3)</f>
        <v>723</v>
      </c>
      <c r="F2291" s="2" t="str">
        <f aca="false">IF(D2291="","",LEFT(D2291,3))</f>
        <v>723</v>
      </c>
      <c r="G2291" s="2" t="str">
        <f aca="false">IF(F2291="","",IF(E2291=F2291,"Yes","No"))</f>
        <v>Yes</v>
      </c>
      <c r="H2291" s="2" t="n">
        <f aca="false">IF(D2291="",0,1/COUNTIF($D$2:$D$3451,D2291))</f>
        <v>1</v>
      </c>
      <c r="I2291" s="13" t="n">
        <f aca="false">IFERROR(INDEX('NCO-2015 scores'!$C$2:$C$131,MATCH(E2291,'NCO-2015 scores'!$A$2:$A$131,0)),0)</f>
        <v>0.1675</v>
      </c>
      <c r="J2291" s="13" t="n">
        <f aca="false">IF(ISNUMBER(MATCH(E2291,'NCO-2015 scores'!$A$2:$A$131,0)),IF(ISNUMBER(INDEX('NCO-2015 scores'!$C$2:$C$131,MATCH(E2291,'NCO-2015 scores'!$A$2:$A$131,0))),1,0),0)</f>
        <v>1</v>
      </c>
    </row>
    <row r="2292" customFormat="false" ht="15" hidden="false" customHeight="false" outlineLevel="0" collapsed="false">
      <c r="A2292" s="2" t="n">
        <v>2288</v>
      </c>
      <c r="B2292" s="2" t="s">
        <v>6760</v>
      </c>
      <c r="C2292" s="2" t="s">
        <v>6761</v>
      </c>
      <c r="D2292" s="2" t="s">
        <v>6762</v>
      </c>
      <c r="E2292" s="2" t="str">
        <f aca="false">LEFT(C2292,3)</f>
        <v>723</v>
      </c>
      <c r="F2292" s="2" t="str">
        <f aca="false">IF(D2292="","",LEFT(D2292,3))</f>
        <v>723</v>
      </c>
      <c r="G2292" s="2" t="str">
        <f aca="false">IF(F2292="","",IF(E2292=F2292,"Yes","No"))</f>
        <v>Yes</v>
      </c>
      <c r="H2292" s="2" t="n">
        <f aca="false">IF(D2292="",0,1/COUNTIF($D$2:$D$3451,D2292))</f>
        <v>1</v>
      </c>
      <c r="I2292" s="13" t="n">
        <f aca="false">IFERROR(INDEX('NCO-2015 scores'!$C$2:$C$131,MATCH(E2292,'NCO-2015 scores'!$A$2:$A$131,0)),0)</f>
        <v>0.1675</v>
      </c>
      <c r="J2292" s="13" t="n">
        <f aca="false">IF(ISNUMBER(MATCH(E2292,'NCO-2015 scores'!$A$2:$A$131,0)),IF(ISNUMBER(INDEX('NCO-2015 scores'!$C$2:$C$131,MATCH(E2292,'NCO-2015 scores'!$A$2:$A$131,0))),1,0),0)</f>
        <v>1</v>
      </c>
    </row>
    <row r="2293" customFormat="false" ht="15" hidden="false" customHeight="false" outlineLevel="0" collapsed="false">
      <c r="A2293" s="2" t="n">
        <v>2289</v>
      </c>
      <c r="B2293" s="2" t="s">
        <v>6763</v>
      </c>
      <c r="C2293" s="2" t="s">
        <v>6764</v>
      </c>
      <c r="D2293" s="2"/>
      <c r="E2293" s="2" t="str">
        <f aca="false">LEFT(C2293,3)</f>
        <v>723</v>
      </c>
      <c r="F2293" s="2" t="str">
        <f aca="false">IF(D2293="","",LEFT(D2293,3))</f>
        <v/>
      </c>
      <c r="G2293" s="2" t="str">
        <f aca="false">IF(F2293="","",IF(E2293=F2293,"Yes","No"))</f>
        <v/>
      </c>
      <c r="H2293" s="2" t="n">
        <f aca="false">IF(D2293="",0,1/COUNTIF($D$2:$D$3451,D2293))</f>
        <v>0</v>
      </c>
      <c r="I2293" s="13" t="n">
        <f aca="false">IFERROR(INDEX('NCO-2015 scores'!$C$2:$C$131,MATCH(E2293,'NCO-2015 scores'!$A$2:$A$131,0)),0)</f>
        <v>0.1675</v>
      </c>
      <c r="J2293" s="13" t="n">
        <f aca="false">IF(ISNUMBER(MATCH(E2293,'NCO-2015 scores'!$A$2:$A$131,0)),IF(ISNUMBER(INDEX('NCO-2015 scores'!$C$2:$C$131,MATCH(E2293,'NCO-2015 scores'!$A$2:$A$131,0))),1,0),0)</f>
        <v>1</v>
      </c>
    </row>
    <row r="2294" customFormat="false" ht="15" hidden="false" customHeight="false" outlineLevel="0" collapsed="false">
      <c r="A2294" s="2" t="n">
        <v>2290</v>
      </c>
      <c r="B2294" s="2" t="s">
        <v>6765</v>
      </c>
      <c r="C2294" s="2" t="s">
        <v>6766</v>
      </c>
      <c r="D2294" s="2"/>
      <c r="E2294" s="2" t="str">
        <f aca="false">LEFT(C2294,3)</f>
        <v>723</v>
      </c>
      <c r="F2294" s="2" t="str">
        <f aca="false">IF(D2294="","",LEFT(D2294,3))</f>
        <v/>
      </c>
      <c r="G2294" s="2" t="str">
        <f aca="false">IF(F2294="","",IF(E2294=F2294,"Yes","No"))</f>
        <v/>
      </c>
      <c r="H2294" s="2" t="n">
        <f aca="false">IF(D2294="",0,1/COUNTIF($D$2:$D$3451,D2294))</f>
        <v>0</v>
      </c>
      <c r="I2294" s="13" t="n">
        <f aca="false">IFERROR(INDEX('NCO-2015 scores'!$C$2:$C$131,MATCH(E2294,'NCO-2015 scores'!$A$2:$A$131,0)),0)</f>
        <v>0.1675</v>
      </c>
      <c r="J2294" s="13" t="n">
        <f aca="false">IF(ISNUMBER(MATCH(E2294,'NCO-2015 scores'!$A$2:$A$131,0)),IF(ISNUMBER(INDEX('NCO-2015 scores'!$C$2:$C$131,MATCH(E2294,'NCO-2015 scores'!$A$2:$A$131,0))),1,0),0)</f>
        <v>1</v>
      </c>
    </row>
    <row r="2295" customFormat="false" ht="15" hidden="false" customHeight="false" outlineLevel="0" collapsed="false">
      <c r="A2295" s="2" t="n">
        <v>2291</v>
      </c>
      <c r="B2295" s="2" t="s">
        <v>6767</v>
      </c>
      <c r="C2295" s="2" t="s">
        <v>6768</v>
      </c>
      <c r="D2295" s="2"/>
      <c r="E2295" s="2" t="str">
        <f aca="false">LEFT(C2295,3)</f>
        <v>723</v>
      </c>
      <c r="F2295" s="2" t="str">
        <f aca="false">IF(D2295="","",LEFT(D2295,3))</f>
        <v/>
      </c>
      <c r="G2295" s="2" t="str">
        <f aca="false">IF(F2295="","",IF(E2295=F2295,"Yes","No"))</f>
        <v/>
      </c>
      <c r="H2295" s="2" t="n">
        <f aca="false">IF(D2295="",0,1/COUNTIF($D$2:$D$3451,D2295))</f>
        <v>0</v>
      </c>
      <c r="I2295" s="13" t="n">
        <f aca="false">IFERROR(INDEX('NCO-2015 scores'!$C$2:$C$131,MATCH(E2295,'NCO-2015 scores'!$A$2:$A$131,0)),0)</f>
        <v>0.1675</v>
      </c>
      <c r="J2295" s="13" t="n">
        <f aca="false">IF(ISNUMBER(MATCH(E2295,'NCO-2015 scores'!$A$2:$A$131,0)),IF(ISNUMBER(INDEX('NCO-2015 scores'!$C$2:$C$131,MATCH(E2295,'NCO-2015 scores'!$A$2:$A$131,0))),1,0),0)</f>
        <v>1</v>
      </c>
    </row>
    <row r="2296" customFormat="false" ht="15" hidden="false" customHeight="false" outlineLevel="0" collapsed="false">
      <c r="A2296" s="2" t="n">
        <v>2292</v>
      </c>
      <c r="B2296" s="2" t="s">
        <v>6769</v>
      </c>
      <c r="C2296" s="2" t="s">
        <v>6770</v>
      </c>
      <c r="D2296" s="2"/>
      <c r="E2296" s="2" t="str">
        <f aca="false">LEFT(C2296,3)</f>
        <v>723</v>
      </c>
      <c r="F2296" s="2" t="str">
        <f aca="false">IF(D2296="","",LEFT(D2296,3))</f>
        <v/>
      </c>
      <c r="G2296" s="2" t="str">
        <f aca="false">IF(F2296="","",IF(E2296=F2296,"Yes","No"))</f>
        <v/>
      </c>
      <c r="H2296" s="2" t="n">
        <f aca="false">IF(D2296="",0,1/COUNTIF($D$2:$D$3451,D2296))</f>
        <v>0</v>
      </c>
      <c r="I2296" s="13" t="n">
        <f aca="false">IFERROR(INDEX('NCO-2015 scores'!$C$2:$C$131,MATCH(E2296,'NCO-2015 scores'!$A$2:$A$131,0)),0)</f>
        <v>0.1675</v>
      </c>
      <c r="J2296" s="13" t="n">
        <f aca="false">IF(ISNUMBER(MATCH(E2296,'NCO-2015 scores'!$A$2:$A$131,0)),IF(ISNUMBER(INDEX('NCO-2015 scores'!$C$2:$C$131,MATCH(E2296,'NCO-2015 scores'!$A$2:$A$131,0))),1,0),0)</f>
        <v>1</v>
      </c>
    </row>
    <row r="2297" customFormat="false" ht="15" hidden="false" customHeight="false" outlineLevel="0" collapsed="false">
      <c r="A2297" s="2" t="n">
        <v>2293</v>
      </c>
      <c r="B2297" s="2" t="s">
        <v>6771</v>
      </c>
      <c r="C2297" s="2" t="s">
        <v>6772</v>
      </c>
      <c r="D2297" s="2" t="s">
        <v>6773</v>
      </c>
      <c r="E2297" s="2" t="str">
        <f aca="false">LEFT(C2297,3)</f>
        <v>832</v>
      </c>
      <c r="F2297" s="2" t="str">
        <f aca="false">IF(D2297="","",LEFT(D2297,3))</f>
        <v>832</v>
      </c>
      <c r="G2297" s="2" t="str">
        <f aca="false">IF(F2297="","",IF(E2297=F2297,"Yes","No"))</f>
        <v>Yes</v>
      </c>
      <c r="H2297" s="2" t="n">
        <f aca="false">IF(D2297="",0,1/COUNTIF($D$2:$D$3451,D2297))</f>
        <v>1</v>
      </c>
      <c r="I2297" s="13" t="n">
        <f aca="false">IFERROR(INDEX('NCO-2015 scores'!$C$2:$C$131,MATCH(E2297,'NCO-2015 scores'!$A$2:$A$131,0)),0)</f>
        <v>0.265</v>
      </c>
      <c r="J2297" s="13" t="n">
        <f aca="false">IF(ISNUMBER(MATCH(E2297,'NCO-2015 scores'!$A$2:$A$131,0)),IF(ISNUMBER(INDEX('NCO-2015 scores'!$C$2:$C$131,MATCH(E2297,'NCO-2015 scores'!$A$2:$A$131,0))),1,0),0)</f>
        <v>1</v>
      </c>
    </row>
    <row r="2298" customFormat="false" ht="15" hidden="false" customHeight="false" outlineLevel="0" collapsed="false">
      <c r="A2298" s="2" t="n">
        <v>2294</v>
      </c>
      <c r="B2298" s="2" t="s">
        <v>6774</v>
      </c>
      <c r="C2298" s="2" t="s">
        <v>6775</v>
      </c>
      <c r="D2298" s="2" t="s">
        <v>6776</v>
      </c>
      <c r="E2298" s="2" t="str">
        <f aca="false">LEFT(C2298,3)</f>
        <v>832</v>
      </c>
      <c r="F2298" s="2" t="str">
        <f aca="false">IF(D2298="","",LEFT(D2298,3))</f>
        <v>832</v>
      </c>
      <c r="G2298" s="2" t="str">
        <f aca="false">IF(F2298="","",IF(E2298=F2298,"Yes","No"))</f>
        <v>Yes</v>
      </c>
      <c r="H2298" s="2" t="n">
        <f aca="false">IF(D2298="",0,1/COUNTIF($D$2:$D$3451,D2298))</f>
        <v>1</v>
      </c>
      <c r="I2298" s="13" t="n">
        <f aca="false">IFERROR(INDEX('NCO-2015 scores'!$C$2:$C$131,MATCH(E2298,'NCO-2015 scores'!$A$2:$A$131,0)),0)</f>
        <v>0.265</v>
      </c>
      <c r="J2298" s="13" t="n">
        <f aca="false">IF(ISNUMBER(MATCH(E2298,'NCO-2015 scores'!$A$2:$A$131,0)),IF(ISNUMBER(INDEX('NCO-2015 scores'!$C$2:$C$131,MATCH(E2298,'NCO-2015 scores'!$A$2:$A$131,0))),1,0),0)</f>
        <v>1</v>
      </c>
    </row>
    <row r="2299" customFormat="false" ht="15" hidden="false" customHeight="false" outlineLevel="0" collapsed="false">
      <c r="A2299" s="2" t="n">
        <v>2295</v>
      </c>
      <c r="B2299" s="2" t="s">
        <v>6777</v>
      </c>
      <c r="C2299" s="2" t="s">
        <v>6778</v>
      </c>
      <c r="D2299" s="2" t="s">
        <v>6779</v>
      </c>
      <c r="E2299" s="2" t="str">
        <f aca="false">LEFT(C2299,3)</f>
        <v>832</v>
      </c>
      <c r="F2299" s="2" t="str">
        <f aca="false">IF(D2299="","",LEFT(D2299,3))</f>
        <v>832</v>
      </c>
      <c r="G2299" s="2" t="str">
        <f aca="false">IF(F2299="","",IF(E2299=F2299,"Yes","No"))</f>
        <v>Yes</v>
      </c>
      <c r="H2299" s="2" t="n">
        <f aca="false">IF(D2299="",0,1/COUNTIF($D$2:$D$3451,D2299))</f>
        <v>1</v>
      </c>
      <c r="I2299" s="13" t="n">
        <f aca="false">IFERROR(INDEX('NCO-2015 scores'!$C$2:$C$131,MATCH(E2299,'NCO-2015 scores'!$A$2:$A$131,0)),0)</f>
        <v>0.265</v>
      </c>
      <c r="J2299" s="13" t="n">
        <f aca="false">IF(ISNUMBER(MATCH(E2299,'NCO-2015 scores'!$A$2:$A$131,0)),IF(ISNUMBER(INDEX('NCO-2015 scores'!$C$2:$C$131,MATCH(E2299,'NCO-2015 scores'!$A$2:$A$131,0))),1,0),0)</f>
        <v>1</v>
      </c>
    </row>
    <row r="2300" customFormat="false" ht="15" hidden="false" customHeight="false" outlineLevel="0" collapsed="false">
      <c r="A2300" s="2" t="n">
        <v>2296</v>
      </c>
      <c r="B2300" s="2" t="s">
        <v>6780</v>
      </c>
      <c r="C2300" s="2" t="s">
        <v>6781</v>
      </c>
      <c r="D2300" s="2"/>
      <c r="E2300" s="2" t="str">
        <f aca="false">LEFT(C2300,3)</f>
        <v>832</v>
      </c>
      <c r="F2300" s="2" t="str">
        <f aca="false">IF(D2300="","",LEFT(D2300,3))</f>
        <v/>
      </c>
      <c r="G2300" s="2" t="str">
        <f aca="false">IF(F2300="","",IF(E2300=F2300,"Yes","No"))</f>
        <v/>
      </c>
      <c r="H2300" s="2" t="n">
        <f aca="false">IF(D2300="",0,1/COUNTIF($D$2:$D$3451,D2300))</f>
        <v>0</v>
      </c>
      <c r="I2300" s="13" t="n">
        <f aca="false">IFERROR(INDEX('NCO-2015 scores'!$C$2:$C$131,MATCH(E2300,'NCO-2015 scores'!$A$2:$A$131,0)),0)</f>
        <v>0.265</v>
      </c>
      <c r="J2300" s="13" t="n">
        <f aca="false">IF(ISNUMBER(MATCH(E2300,'NCO-2015 scores'!$A$2:$A$131,0)),IF(ISNUMBER(INDEX('NCO-2015 scores'!$C$2:$C$131,MATCH(E2300,'NCO-2015 scores'!$A$2:$A$131,0))),1,0),0)</f>
        <v>1</v>
      </c>
    </row>
    <row r="2301" customFormat="false" ht="15" hidden="false" customHeight="false" outlineLevel="0" collapsed="false">
      <c r="A2301" s="2" t="n">
        <v>2297</v>
      </c>
      <c r="B2301" s="2" t="s">
        <v>6782</v>
      </c>
      <c r="C2301" s="2" t="s">
        <v>6783</v>
      </c>
      <c r="D2301" s="2" t="s">
        <v>6784</v>
      </c>
      <c r="E2301" s="2" t="str">
        <f aca="false">LEFT(C2301,3)</f>
        <v>731</v>
      </c>
      <c r="F2301" s="2" t="str">
        <f aca="false">IF(D2301="","",LEFT(D2301,3))</f>
        <v>731</v>
      </c>
      <c r="G2301" s="2" t="str">
        <f aca="false">IF(F2301="","",IF(E2301=F2301,"Yes","No"))</f>
        <v>Yes</v>
      </c>
      <c r="H2301" s="2" t="n">
        <f aca="false">IF(D2301="",0,1/COUNTIF($D$2:$D$3451,D2301))</f>
        <v>1</v>
      </c>
      <c r="I2301" s="13" t="n">
        <f aca="false">IFERROR(INDEX('NCO-2015 scores'!$C$2:$C$131,MATCH(E2301,'NCO-2015 scores'!$A$2:$A$131,0)),0)</f>
        <v>0.1688</v>
      </c>
      <c r="J2301" s="13" t="n">
        <f aca="false">IF(ISNUMBER(MATCH(E2301,'NCO-2015 scores'!$A$2:$A$131,0)),IF(ISNUMBER(INDEX('NCO-2015 scores'!$C$2:$C$131,MATCH(E2301,'NCO-2015 scores'!$A$2:$A$131,0))),1,0),0)</f>
        <v>1</v>
      </c>
    </row>
    <row r="2302" customFormat="false" ht="15" hidden="false" customHeight="false" outlineLevel="0" collapsed="false">
      <c r="A2302" s="2" t="n">
        <v>2298</v>
      </c>
      <c r="B2302" s="2" t="s">
        <v>6785</v>
      </c>
      <c r="C2302" s="2" t="s">
        <v>6786</v>
      </c>
      <c r="D2302" s="2" t="s">
        <v>6787</v>
      </c>
      <c r="E2302" s="2" t="str">
        <f aca="false">LEFT(C2302,3)</f>
        <v>731</v>
      </c>
      <c r="F2302" s="2" t="str">
        <f aca="false">IF(D2302="","",LEFT(D2302,3))</f>
        <v>731</v>
      </c>
      <c r="G2302" s="2" t="str">
        <f aca="false">IF(F2302="","",IF(E2302=F2302,"Yes","No"))</f>
        <v>Yes</v>
      </c>
      <c r="H2302" s="2" t="n">
        <f aca="false">IF(D2302="",0,1/COUNTIF($D$2:$D$3451,D2302))</f>
        <v>1</v>
      </c>
      <c r="I2302" s="13" t="n">
        <f aca="false">IFERROR(INDEX('NCO-2015 scores'!$C$2:$C$131,MATCH(E2302,'NCO-2015 scores'!$A$2:$A$131,0)),0)</f>
        <v>0.1688</v>
      </c>
      <c r="J2302" s="13" t="n">
        <f aca="false">IF(ISNUMBER(MATCH(E2302,'NCO-2015 scores'!$A$2:$A$131,0)),IF(ISNUMBER(INDEX('NCO-2015 scores'!$C$2:$C$131,MATCH(E2302,'NCO-2015 scores'!$A$2:$A$131,0))),1,0),0)</f>
        <v>1</v>
      </c>
    </row>
    <row r="2303" customFormat="false" ht="15" hidden="false" customHeight="false" outlineLevel="0" collapsed="false">
      <c r="A2303" s="2" t="n">
        <v>2299</v>
      </c>
      <c r="B2303" s="2" t="s">
        <v>6788</v>
      </c>
      <c r="C2303" s="2" t="s">
        <v>6789</v>
      </c>
      <c r="D2303" s="2" t="s">
        <v>6790</v>
      </c>
      <c r="E2303" s="2" t="str">
        <f aca="false">LEFT(C2303,3)</f>
        <v>731</v>
      </c>
      <c r="F2303" s="2" t="str">
        <f aca="false">IF(D2303="","",LEFT(D2303,3))</f>
        <v>731</v>
      </c>
      <c r="G2303" s="2" t="str">
        <f aca="false">IF(F2303="","",IF(E2303=F2303,"Yes","No"))</f>
        <v>Yes</v>
      </c>
      <c r="H2303" s="2" t="n">
        <f aca="false">IF(D2303="",0,1/COUNTIF($D$2:$D$3451,D2303))</f>
        <v>1</v>
      </c>
      <c r="I2303" s="13" t="n">
        <f aca="false">IFERROR(INDEX('NCO-2015 scores'!$C$2:$C$131,MATCH(E2303,'NCO-2015 scores'!$A$2:$A$131,0)),0)</f>
        <v>0.1688</v>
      </c>
      <c r="J2303" s="13" t="n">
        <f aca="false">IF(ISNUMBER(MATCH(E2303,'NCO-2015 scores'!$A$2:$A$131,0)),IF(ISNUMBER(INDEX('NCO-2015 scores'!$C$2:$C$131,MATCH(E2303,'NCO-2015 scores'!$A$2:$A$131,0))),1,0),0)</f>
        <v>1</v>
      </c>
    </row>
    <row r="2304" customFormat="false" ht="15" hidden="false" customHeight="false" outlineLevel="0" collapsed="false">
      <c r="A2304" s="2" t="n">
        <v>2300</v>
      </c>
      <c r="B2304" s="2" t="s">
        <v>6791</v>
      </c>
      <c r="C2304" s="2" t="s">
        <v>6792</v>
      </c>
      <c r="D2304" s="2" t="s">
        <v>6793</v>
      </c>
      <c r="E2304" s="2" t="str">
        <f aca="false">LEFT(C2304,3)</f>
        <v>731</v>
      </c>
      <c r="F2304" s="2" t="str">
        <f aca="false">IF(D2304="","",LEFT(D2304,3))</f>
        <v>731</v>
      </c>
      <c r="G2304" s="2" t="str">
        <f aca="false">IF(F2304="","",IF(E2304=F2304,"Yes","No"))</f>
        <v>Yes</v>
      </c>
      <c r="H2304" s="2" t="n">
        <f aca="false">IF(D2304="",0,1/COUNTIF($D$2:$D$3451,D2304))</f>
        <v>1</v>
      </c>
      <c r="I2304" s="13" t="n">
        <f aca="false">IFERROR(INDEX('NCO-2015 scores'!$C$2:$C$131,MATCH(E2304,'NCO-2015 scores'!$A$2:$A$131,0)),0)</f>
        <v>0.1688</v>
      </c>
      <c r="J2304" s="13" t="n">
        <f aca="false">IF(ISNUMBER(MATCH(E2304,'NCO-2015 scores'!$A$2:$A$131,0)),IF(ISNUMBER(INDEX('NCO-2015 scores'!$C$2:$C$131,MATCH(E2304,'NCO-2015 scores'!$A$2:$A$131,0))),1,0),0)</f>
        <v>1</v>
      </c>
    </row>
    <row r="2305" customFormat="false" ht="15" hidden="false" customHeight="false" outlineLevel="0" collapsed="false">
      <c r="A2305" s="2" t="n">
        <v>2301</v>
      </c>
      <c r="B2305" s="2" t="s">
        <v>6794</v>
      </c>
      <c r="C2305" s="2" t="s">
        <v>6795</v>
      </c>
      <c r="D2305" s="2" t="s">
        <v>6796</v>
      </c>
      <c r="E2305" s="2" t="str">
        <f aca="false">LEFT(C2305,3)</f>
        <v>731</v>
      </c>
      <c r="F2305" s="2" t="str">
        <f aca="false">IF(D2305="","",LEFT(D2305,3))</f>
        <v>731</v>
      </c>
      <c r="G2305" s="2" t="str">
        <f aca="false">IF(F2305="","",IF(E2305=F2305,"Yes","No"))</f>
        <v>Yes</v>
      </c>
      <c r="H2305" s="2" t="n">
        <f aca="false">IF(D2305="",0,1/COUNTIF($D$2:$D$3451,D2305))</f>
        <v>1</v>
      </c>
      <c r="I2305" s="13" t="n">
        <f aca="false">IFERROR(INDEX('NCO-2015 scores'!$C$2:$C$131,MATCH(E2305,'NCO-2015 scores'!$A$2:$A$131,0)),0)</f>
        <v>0.1688</v>
      </c>
      <c r="J2305" s="13" t="n">
        <f aca="false">IF(ISNUMBER(MATCH(E2305,'NCO-2015 scores'!$A$2:$A$131,0)),IF(ISNUMBER(INDEX('NCO-2015 scores'!$C$2:$C$131,MATCH(E2305,'NCO-2015 scores'!$A$2:$A$131,0))),1,0),0)</f>
        <v>1</v>
      </c>
    </row>
    <row r="2306" customFormat="false" ht="15" hidden="false" customHeight="false" outlineLevel="0" collapsed="false">
      <c r="A2306" s="2" t="n">
        <v>2302</v>
      </c>
      <c r="B2306" s="2" t="s">
        <v>6797</v>
      </c>
      <c r="C2306" s="2" t="s">
        <v>6798</v>
      </c>
      <c r="D2306" s="2" t="s">
        <v>6799</v>
      </c>
      <c r="E2306" s="2" t="str">
        <f aca="false">LEFT(C2306,3)</f>
        <v>731</v>
      </c>
      <c r="F2306" s="2" t="str">
        <f aca="false">IF(D2306="","",LEFT(D2306,3))</f>
        <v>731</v>
      </c>
      <c r="G2306" s="2" t="str">
        <f aca="false">IF(F2306="","",IF(E2306=F2306,"Yes","No"))</f>
        <v>Yes</v>
      </c>
      <c r="H2306" s="2" t="n">
        <f aca="false">IF(D2306="",0,1/COUNTIF($D$2:$D$3451,D2306))</f>
        <v>1</v>
      </c>
      <c r="I2306" s="13" t="n">
        <f aca="false">IFERROR(INDEX('NCO-2015 scores'!$C$2:$C$131,MATCH(E2306,'NCO-2015 scores'!$A$2:$A$131,0)),0)</f>
        <v>0.1688</v>
      </c>
      <c r="J2306" s="13" t="n">
        <f aca="false">IF(ISNUMBER(MATCH(E2306,'NCO-2015 scores'!$A$2:$A$131,0)),IF(ISNUMBER(INDEX('NCO-2015 scores'!$C$2:$C$131,MATCH(E2306,'NCO-2015 scores'!$A$2:$A$131,0))),1,0),0)</f>
        <v>1</v>
      </c>
    </row>
    <row r="2307" customFormat="false" ht="15" hidden="false" customHeight="false" outlineLevel="0" collapsed="false">
      <c r="A2307" s="2" t="n">
        <v>2303</v>
      </c>
      <c r="B2307" s="2" t="s">
        <v>6800</v>
      </c>
      <c r="C2307" s="2" t="s">
        <v>6801</v>
      </c>
      <c r="D2307" s="2" t="s">
        <v>6802</v>
      </c>
      <c r="E2307" s="2" t="str">
        <f aca="false">LEFT(C2307,3)</f>
        <v>731</v>
      </c>
      <c r="F2307" s="2" t="str">
        <f aca="false">IF(D2307="","",LEFT(D2307,3))</f>
        <v>731</v>
      </c>
      <c r="G2307" s="2" t="str">
        <f aca="false">IF(F2307="","",IF(E2307=F2307,"Yes","No"))</f>
        <v>Yes</v>
      </c>
      <c r="H2307" s="2" t="n">
        <f aca="false">IF(D2307="",0,1/COUNTIF($D$2:$D$3451,D2307))</f>
        <v>1</v>
      </c>
      <c r="I2307" s="13" t="n">
        <f aca="false">IFERROR(INDEX('NCO-2015 scores'!$C$2:$C$131,MATCH(E2307,'NCO-2015 scores'!$A$2:$A$131,0)),0)</f>
        <v>0.1688</v>
      </c>
      <c r="J2307" s="13" t="n">
        <f aca="false">IF(ISNUMBER(MATCH(E2307,'NCO-2015 scores'!$A$2:$A$131,0)),IF(ISNUMBER(INDEX('NCO-2015 scores'!$C$2:$C$131,MATCH(E2307,'NCO-2015 scores'!$A$2:$A$131,0))),1,0),0)</f>
        <v>1</v>
      </c>
    </row>
    <row r="2308" customFormat="false" ht="15" hidden="false" customHeight="false" outlineLevel="0" collapsed="false">
      <c r="A2308" s="2" t="n">
        <v>2304</v>
      </c>
      <c r="B2308" s="2" t="s">
        <v>6803</v>
      </c>
      <c r="C2308" s="2" t="s">
        <v>6804</v>
      </c>
      <c r="D2308" s="2" t="s">
        <v>6805</v>
      </c>
      <c r="E2308" s="2" t="str">
        <f aca="false">LEFT(C2308,3)</f>
        <v>731</v>
      </c>
      <c r="F2308" s="2" t="str">
        <f aca="false">IF(D2308="","",LEFT(D2308,3))</f>
        <v>731</v>
      </c>
      <c r="G2308" s="2" t="str">
        <f aca="false">IF(F2308="","",IF(E2308=F2308,"Yes","No"))</f>
        <v>Yes</v>
      </c>
      <c r="H2308" s="2" t="n">
        <f aca="false">IF(D2308="",0,1/COUNTIF($D$2:$D$3451,D2308))</f>
        <v>1</v>
      </c>
      <c r="I2308" s="13" t="n">
        <f aca="false">IFERROR(INDEX('NCO-2015 scores'!$C$2:$C$131,MATCH(E2308,'NCO-2015 scores'!$A$2:$A$131,0)),0)</f>
        <v>0.1688</v>
      </c>
      <c r="J2308" s="13" t="n">
        <f aca="false">IF(ISNUMBER(MATCH(E2308,'NCO-2015 scores'!$A$2:$A$131,0)),IF(ISNUMBER(INDEX('NCO-2015 scores'!$C$2:$C$131,MATCH(E2308,'NCO-2015 scores'!$A$2:$A$131,0))),1,0),0)</f>
        <v>1</v>
      </c>
    </row>
    <row r="2309" customFormat="false" ht="15" hidden="false" customHeight="false" outlineLevel="0" collapsed="false">
      <c r="A2309" s="2" t="n">
        <v>2305</v>
      </c>
      <c r="B2309" s="2" t="s">
        <v>6806</v>
      </c>
      <c r="C2309" s="2" t="s">
        <v>6807</v>
      </c>
      <c r="D2309" s="2" t="s">
        <v>6808</v>
      </c>
      <c r="E2309" s="2" t="str">
        <f aca="false">LEFT(C2309,3)</f>
        <v>731</v>
      </c>
      <c r="F2309" s="2" t="str">
        <f aca="false">IF(D2309="","",LEFT(D2309,3))</f>
        <v>731</v>
      </c>
      <c r="G2309" s="2" t="str">
        <f aca="false">IF(F2309="","",IF(E2309=F2309,"Yes","No"))</f>
        <v>Yes</v>
      </c>
      <c r="H2309" s="2" t="n">
        <f aca="false">IF(D2309="",0,1/COUNTIF($D$2:$D$3451,D2309))</f>
        <v>1</v>
      </c>
      <c r="I2309" s="13" t="n">
        <f aca="false">IFERROR(INDEX('NCO-2015 scores'!$C$2:$C$131,MATCH(E2309,'NCO-2015 scores'!$A$2:$A$131,0)),0)</f>
        <v>0.1688</v>
      </c>
      <c r="J2309" s="13" t="n">
        <f aca="false">IF(ISNUMBER(MATCH(E2309,'NCO-2015 scores'!$A$2:$A$131,0)),IF(ISNUMBER(INDEX('NCO-2015 scores'!$C$2:$C$131,MATCH(E2309,'NCO-2015 scores'!$A$2:$A$131,0))),1,0),0)</f>
        <v>1</v>
      </c>
    </row>
    <row r="2310" customFormat="false" ht="15" hidden="false" customHeight="false" outlineLevel="0" collapsed="false">
      <c r="A2310" s="2" t="n">
        <v>2306</v>
      </c>
      <c r="B2310" s="2" t="s">
        <v>6809</v>
      </c>
      <c r="C2310" s="2" t="s">
        <v>6810</v>
      </c>
      <c r="D2310" s="2" t="s">
        <v>6811</v>
      </c>
      <c r="E2310" s="2" t="str">
        <f aca="false">LEFT(C2310,3)</f>
        <v>731</v>
      </c>
      <c r="F2310" s="2" t="str">
        <f aca="false">IF(D2310="","",LEFT(D2310,3))</f>
        <v>731</v>
      </c>
      <c r="G2310" s="2" t="str">
        <f aca="false">IF(F2310="","",IF(E2310=F2310,"Yes","No"))</f>
        <v>Yes</v>
      </c>
      <c r="H2310" s="2" t="n">
        <f aca="false">IF(D2310="",0,1/COUNTIF($D$2:$D$3451,D2310))</f>
        <v>1</v>
      </c>
      <c r="I2310" s="13" t="n">
        <f aca="false">IFERROR(INDEX('NCO-2015 scores'!$C$2:$C$131,MATCH(E2310,'NCO-2015 scores'!$A$2:$A$131,0)),0)</f>
        <v>0.1688</v>
      </c>
      <c r="J2310" s="13" t="n">
        <f aca="false">IF(ISNUMBER(MATCH(E2310,'NCO-2015 scores'!$A$2:$A$131,0)),IF(ISNUMBER(INDEX('NCO-2015 scores'!$C$2:$C$131,MATCH(E2310,'NCO-2015 scores'!$A$2:$A$131,0))),1,0),0)</f>
        <v>1</v>
      </c>
    </row>
    <row r="2311" customFormat="false" ht="15" hidden="false" customHeight="false" outlineLevel="0" collapsed="false">
      <c r="A2311" s="2" t="n">
        <v>2307</v>
      </c>
      <c r="B2311" s="2" t="s">
        <v>6812</v>
      </c>
      <c r="C2311" s="2" t="s">
        <v>6813</v>
      </c>
      <c r="D2311" s="2" t="s">
        <v>6814</v>
      </c>
      <c r="E2311" s="2" t="str">
        <f aca="false">LEFT(C2311,3)</f>
        <v>731</v>
      </c>
      <c r="F2311" s="2" t="str">
        <f aca="false">IF(D2311="","",LEFT(D2311,3))</f>
        <v>731</v>
      </c>
      <c r="G2311" s="2" t="str">
        <f aca="false">IF(F2311="","",IF(E2311=F2311,"Yes","No"))</f>
        <v>Yes</v>
      </c>
      <c r="H2311" s="2" t="n">
        <f aca="false">IF(D2311="",0,1/COUNTIF($D$2:$D$3451,D2311))</f>
        <v>1</v>
      </c>
      <c r="I2311" s="13" t="n">
        <f aca="false">IFERROR(INDEX('NCO-2015 scores'!$C$2:$C$131,MATCH(E2311,'NCO-2015 scores'!$A$2:$A$131,0)),0)</f>
        <v>0.1688</v>
      </c>
      <c r="J2311" s="13" t="n">
        <f aca="false">IF(ISNUMBER(MATCH(E2311,'NCO-2015 scores'!$A$2:$A$131,0)),IF(ISNUMBER(INDEX('NCO-2015 scores'!$C$2:$C$131,MATCH(E2311,'NCO-2015 scores'!$A$2:$A$131,0))),1,0),0)</f>
        <v>1</v>
      </c>
    </row>
    <row r="2312" customFormat="false" ht="15" hidden="false" customHeight="false" outlineLevel="0" collapsed="false">
      <c r="A2312" s="2" t="n">
        <v>2308</v>
      </c>
      <c r="B2312" s="2" t="s">
        <v>6815</v>
      </c>
      <c r="C2312" s="2" t="s">
        <v>6816</v>
      </c>
      <c r="D2312" s="2" t="s">
        <v>6817</v>
      </c>
      <c r="E2312" s="2" t="str">
        <f aca="false">LEFT(C2312,3)</f>
        <v>731</v>
      </c>
      <c r="F2312" s="2" t="str">
        <f aca="false">IF(D2312="","",LEFT(D2312,3))</f>
        <v>731</v>
      </c>
      <c r="G2312" s="2" t="str">
        <f aca="false">IF(F2312="","",IF(E2312=F2312,"Yes","No"))</f>
        <v>Yes</v>
      </c>
      <c r="H2312" s="2" t="n">
        <f aca="false">IF(D2312="",0,1/COUNTIF($D$2:$D$3451,D2312))</f>
        <v>1</v>
      </c>
      <c r="I2312" s="13" t="n">
        <f aca="false">IFERROR(INDEX('NCO-2015 scores'!$C$2:$C$131,MATCH(E2312,'NCO-2015 scores'!$A$2:$A$131,0)),0)</f>
        <v>0.1688</v>
      </c>
      <c r="J2312" s="13" t="n">
        <f aca="false">IF(ISNUMBER(MATCH(E2312,'NCO-2015 scores'!$A$2:$A$131,0)),IF(ISNUMBER(INDEX('NCO-2015 scores'!$C$2:$C$131,MATCH(E2312,'NCO-2015 scores'!$A$2:$A$131,0))),1,0),0)</f>
        <v>1</v>
      </c>
    </row>
    <row r="2313" customFormat="false" ht="15" hidden="false" customHeight="false" outlineLevel="0" collapsed="false">
      <c r="A2313" s="2" t="n">
        <v>2309</v>
      </c>
      <c r="B2313" s="2" t="s">
        <v>6818</v>
      </c>
      <c r="C2313" s="2" t="s">
        <v>6819</v>
      </c>
      <c r="D2313" s="2" t="s">
        <v>6820</v>
      </c>
      <c r="E2313" s="2" t="str">
        <f aca="false">LEFT(C2313,3)</f>
        <v>731</v>
      </c>
      <c r="F2313" s="2" t="str">
        <f aca="false">IF(D2313="","",LEFT(D2313,3))</f>
        <v>731</v>
      </c>
      <c r="G2313" s="2" t="str">
        <f aca="false">IF(F2313="","",IF(E2313=F2313,"Yes","No"))</f>
        <v>Yes</v>
      </c>
      <c r="H2313" s="2" t="n">
        <f aca="false">IF(D2313="",0,1/COUNTIF($D$2:$D$3451,D2313))</f>
        <v>1</v>
      </c>
      <c r="I2313" s="13" t="n">
        <f aca="false">IFERROR(INDEX('NCO-2015 scores'!$C$2:$C$131,MATCH(E2313,'NCO-2015 scores'!$A$2:$A$131,0)),0)</f>
        <v>0.1688</v>
      </c>
      <c r="J2313" s="13" t="n">
        <f aca="false">IF(ISNUMBER(MATCH(E2313,'NCO-2015 scores'!$A$2:$A$131,0)),IF(ISNUMBER(INDEX('NCO-2015 scores'!$C$2:$C$131,MATCH(E2313,'NCO-2015 scores'!$A$2:$A$131,0))),1,0),0)</f>
        <v>1</v>
      </c>
    </row>
    <row r="2314" customFormat="false" ht="15" hidden="false" customHeight="false" outlineLevel="0" collapsed="false">
      <c r="A2314" s="2" t="n">
        <v>2310</v>
      </c>
      <c r="B2314" s="2" t="s">
        <v>6821</v>
      </c>
      <c r="C2314" s="2" t="s">
        <v>6822</v>
      </c>
      <c r="D2314" s="2" t="s">
        <v>6823</v>
      </c>
      <c r="E2314" s="2" t="str">
        <f aca="false">LEFT(C2314,3)</f>
        <v>731</v>
      </c>
      <c r="F2314" s="2" t="str">
        <f aca="false">IF(D2314="","",LEFT(D2314,3))</f>
        <v>731</v>
      </c>
      <c r="G2314" s="2" t="str">
        <f aca="false">IF(F2314="","",IF(E2314=F2314,"Yes","No"))</f>
        <v>Yes</v>
      </c>
      <c r="H2314" s="2" t="n">
        <f aca="false">IF(D2314="",0,1/COUNTIF($D$2:$D$3451,D2314))</f>
        <v>1</v>
      </c>
      <c r="I2314" s="13" t="n">
        <f aca="false">IFERROR(INDEX('NCO-2015 scores'!$C$2:$C$131,MATCH(E2314,'NCO-2015 scores'!$A$2:$A$131,0)),0)</f>
        <v>0.1688</v>
      </c>
      <c r="J2314" s="13" t="n">
        <f aca="false">IF(ISNUMBER(MATCH(E2314,'NCO-2015 scores'!$A$2:$A$131,0)),IF(ISNUMBER(INDEX('NCO-2015 scores'!$C$2:$C$131,MATCH(E2314,'NCO-2015 scores'!$A$2:$A$131,0))),1,0),0)</f>
        <v>1</v>
      </c>
    </row>
    <row r="2315" customFormat="false" ht="15" hidden="false" customHeight="false" outlineLevel="0" collapsed="false">
      <c r="A2315" s="2" t="n">
        <v>2311</v>
      </c>
      <c r="B2315" s="2" t="s">
        <v>6824</v>
      </c>
      <c r="C2315" s="2" t="s">
        <v>6825</v>
      </c>
      <c r="D2315" s="2" t="s">
        <v>6826</v>
      </c>
      <c r="E2315" s="2" t="str">
        <f aca="false">LEFT(C2315,3)</f>
        <v>731</v>
      </c>
      <c r="F2315" s="2" t="str">
        <f aca="false">IF(D2315="","",LEFT(D2315,3))</f>
        <v>731</v>
      </c>
      <c r="G2315" s="2" t="str">
        <f aca="false">IF(F2315="","",IF(E2315=F2315,"Yes","No"))</f>
        <v>Yes</v>
      </c>
      <c r="H2315" s="2" t="n">
        <f aca="false">IF(D2315="",0,1/COUNTIF($D$2:$D$3451,D2315))</f>
        <v>1</v>
      </c>
      <c r="I2315" s="13" t="n">
        <f aca="false">IFERROR(INDEX('NCO-2015 scores'!$C$2:$C$131,MATCH(E2315,'NCO-2015 scores'!$A$2:$A$131,0)),0)</f>
        <v>0.1688</v>
      </c>
      <c r="J2315" s="13" t="n">
        <f aca="false">IF(ISNUMBER(MATCH(E2315,'NCO-2015 scores'!$A$2:$A$131,0)),IF(ISNUMBER(INDEX('NCO-2015 scores'!$C$2:$C$131,MATCH(E2315,'NCO-2015 scores'!$A$2:$A$131,0))),1,0),0)</f>
        <v>1</v>
      </c>
    </row>
    <row r="2316" customFormat="false" ht="15" hidden="false" customHeight="false" outlineLevel="0" collapsed="false">
      <c r="A2316" s="2" t="n">
        <v>2312</v>
      </c>
      <c r="B2316" s="2" t="s">
        <v>6827</v>
      </c>
      <c r="C2316" s="2" t="s">
        <v>6828</v>
      </c>
      <c r="D2316" s="2" t="s">
        <v>6829</v>
      </c>
      <c r="E2316" s="2" t="str">
        <f aca="false">LEFT(C2316,3)</f>
        <v>731</v>
      </c>
      <c r="F2316" s="2" t="str">
        <f aca="false">IF(D2316="","",LEFT(D2316,3))</f>
        <v>731</v>
      </c>
      <c r="G2316" s="2" t="str">
        <f aca="false">IF(F2316="","",IF(E2316=F2316,"Yes","No"))</f>
        <v>Yes</v>
      </c>
      <c r="H2316" s="2" t="n">
        <f aca="false">IF(D2316="",0,1/COUNTIF($D$2:$D$3451,D2316))</f>
        <v>1</v>
      </c>
      <c r="I2316" s="13" t="n">
        <f aca="false">IFERROR(INDEX('NCO-2015 scores'!$C$2:$C$131,MATCH(E2316,'NCO-2015 scores'!$A$2:$A$131,0)),0)</f>
        <v>0.1688</v>
      </c>
      <c r="J2316" s="13" t="n">
        <f aca="false">IF(ISNUMBER(MATCH(E2316,'NCO-2015 scores'!$A$2:$A$131,0)),IF(ISNUMBER(INDEX('NCO-2015 scores'!$C$2:$C$131,MATCH(E2316,'NCO-2015 scores'!$A$2:$A$131,0))),1,0),0)</f>
        <v>1</v>
      </c>
    </row>
    <row r="2317" customFormat="false" ht="15" hidden="false" customHeight="false" outlineLevel="0" collapsed="false">
      <c r="A2317" s="2" t="n">
        <v>2313</v>
      </c>
      <c r="B2317" s="2" t="s">
        <v>6830</v>
      </c>
      <c r="C2317" s="2" t="s">
        <v>6831</v>
      </c>
      <c r="D2317" s="2" t="s">
        <v>6832</v>
      </c>
      <c r="E2317" s="2" t="str">
        <f aca="false">LEFT(C2317,3)</f>
        <v>265</v>
      </c>
      <c r="F2317" s="2" t="str">
        <f aca="false">IF(D2317="","",LEFT(D2317,3))</f>
        <v>245</v>
      </c>
      <c r="G2317" s="2" t="str">
        <f aca="false">IF(F2317="","",IF(E2317=F2317,"Yes","No"))</f>
        <v>No</v>
      </c>
      <c r="H2317" s="2" t="n">
        <f aca="false">IF(D2317="",0,1/COUNTIF($D$2:$D$3451,D2317))</f>
        <v>1</v>
      </c>
      <c r="I2317" s="13" t="n">
        <f aca="false">IFERROR(INDEX('NCO-2015 scores'!$C$2:$C$131,MATCH(E2317,'NCO-2015 scores'!$A$2:$A$131,0)),0)</f>
        <v>0.28</v>
      </c>
      <c r="J2317" s="13" t="n">
        <f aca="false">IF(ISNUMBER(MATCH(E2317,'NCO-2015 scores'!$A$2:$A$131,0)),IF(ISNUMBER(INDEX('NCO-2015 scores'!$C$2:$C$131,MATCH(E2317,'NCO-2015 scores'!$A$2:$A$131,0))),1,0),0)</f>
        <v>1</v>
      </c>
    </row>
    <row r="2318" customFormat="false" ht="15" hidden="false" customHeight="false" outlineLevel="0" collapsed="false">
      <c r="A2318" s="2" t="n">
        <v>2314</v>
      </c>
      <c r="B2318" s="2" t="s">
        <v>6833</v>
      </c>
      <c r="C2318" s="2" t="s">
        <v>6834</v>
      </c>
      <c r="D2318" s="2" t="s">
        <v>6835</v>
      </c>
      <c r="E2318" s="2" t="str">
        <f aca="false">LEFT(C2318,3)</f>
        <v>265</v>
      </c>
      <c r="F2318" s="2" t="str">
        <f aca="false">IF(D2318="","",LEFT(D2318,3))</f>
        <v>245</v>
      </c>
      <c r="G2318" s="2" t="str">
        <f aca="false">IF(F2318="","",IF(E2318=F2318,"Yes","No"))</f>
        <v>No</v>
      </c>
      <c r="H2318" s="2" t="n">
        <f aca="false">IF(D2318="",0,1/COUNTIF($D$2:$D$3451,D2318))</f>
        <v>1</v>
      </c>
      <c r="I2318" s="13" t="n">
        <f aca="false">IFERROR(INDEX('NCO-2015 scores'!$C$2:$C$131,MATCH(E2318,'NCO-2015 scores'!$A$2:$A$131,0)),0)</f>
        <v>0.28</v>
      </c>
      <c r="J2318" s="13" t="n">
        <f aca="false">IF(ISNUMBER(MATCH(E2318,'NCO-2015 scores'!$A$2:$A$131,0)),IF(ISNUMBER(INDEX('NCO-2015 scores'!$C$2:$C$131,MATCH(E2318,'NCO-2015 scores'!$A$2:$A$131,0))),1,0),0)</f>
        <v>1</v>
      </c>
    </row>
    <row r="2319" customFormat="false" ht="15" hidden="false" customHeight="false" outlineLevel="0" collapsed="false">
      <c r="A2319" s="2" t="n">
        <v>2315</v>
      </c>
      <c r="B2319" s="2" t="s">
        <v>6836</v>
      </c>
      <c r="C2319" s="2" t="s">
        <v>6837</v>
      </c>
      <c r="D2319" s="2" t="s">
        <v>6838</v>
      </c>
      <c r="E2319" s="2" t="str">
        <f aca="false">LEFT(C2319,3)</f>
        <v>265</v>
      </c>
      <c r="F2319" s="2" t="str">
        <f aca="false">IF(D2319="","",LEFT(D2319,3))</f>
        <v>245</v>
      </c>
      <c r="G2319" s="2" t="str">
        <f aca="false">IF(F2319="","",IF(E2319=F2319,"Yes","No"))</f>
        <v>No</v>
      </c>
      <c r="H2319" s="2" t="n">
        <f aca="false">IF(D2319="",0,1/COUNTIF($D$2:$D$3451,D2319))</f>
        <v>1</v>
      </c>
      <c r="I2319" s="13" t="n">
        <f aca="false">IFERROR(INDEX('NCO-2015 scores'!$C$2:$C$131,MATCH(E2319,'NCO-2015 scores'!$A$2:$A$131,0)),0)</f>
        <v>0.28</v>
      </c>
      <c r="J2319" s="13" t="n">
        <f aca="false">IF(ISNUMBER(MATCH(E2319,'NCO-2015 scores'!$A$2:$A$131,0)),IF(ISNUMBER(INDEX('NCO-2015 scores'!$C$2:$C$131,MATCH(E2319,'NCO-2015 scores'!$A$2:$A$131,0))),1,0),0)</f>
        <v>1</v>
      </c>
    </row>
    <row r="2320" customFormat="false" ht="15" hidden="false" customHeight="false" outlineLevel="0" collapsed="false">
      <c r="A2320" s="2" t="n">
        <v>2316</v>
      </c>
      <c r="B2320" s="2" t="s">
        <v>6839</v>
      </c>
      <c r="C2320" s="2" t="s">
        <v>6840</v>
      </c>
      <c r="D2320" s="2" t="s">
        <v>6841</v>
      </c>
      <c r="E2320" s="2" t="str">
        <f aca="false">LEFT(C2320,3)</f>
        <v>265</v>
      </c>
      <c r="F2320" s="2" t="str">
        <f aca="false">IF(D2320="","",LEFT(D2320,3))</f>
        <v>245</v>
      </c>
      <c r="G2320" s="2" t="str">
        <f aca="false">IF(F2320="","",IF(E2320=F2320,"Yes","No"))</f>
        <v>No</v>
      </c>
      <c r="H2320" s="2" t="n">
        <f aca="false">IF(D2320="",0,1/COUNTIF($D$2:$D$3451,D2320))</f>
        <v>1</v>
      </c>
      <c r="I2320" s="13" t="n">
        <f aca="false">IFERROR(INDEX('NCO-2015 scores'!$C$2:$C$131,MATCH(E2320,'NCO-2015 scores'!$A$2:$A$131,0)),0)</f>
        <v>0.28</v>
      </c>
      <c r="J2320" s="13" t="n">
        <f aca="false">IF(ISNUMBER(MATCH(E2320,'NCO-2015 scores'!$A$2:$A$131,0)),IF(ISNUMBER(INDEX('NCO-2015 scores'!$C$2:$C$131,MATCH(E2320,'NCO-2015 scores'!$A$2:$A$131,0))),1,0),0)</f>
        <v>1</v>
      </c>
    </row>
    <row r="2321" customFormat="false" ht="15" hidden="false" customHeight="false" outlineLevel="0" collapsed="false">
      <c r="A2321" s="2" t="n">
        <v>2317</v>
      </c>
      <c r="B2321" s="2" t="s">
        <v>6842</v>
      </c>
      <c r="C2321" s="2" t="s">
        <v>6843</v>
      </c>
      <c r="D2321" s="2" t="s">
        <v>6844</v>
      </c>
      <c r="E2321" s="2" t="str">
        <f aca="false">LEFT(C2321,3)</f>
        <v>265</v>
      </c>
      <c r="F2321" s="2" t="str">
        <f aca="false">IF(D2321="","",LEFT(D2321,3))</f>
        <v>245</v>
      </c>
      <c r="G2321" s="2" t="str">
        <f aca="false">IF(F2321="","",IF(E2321=F2321,"Yes","No"))</f>
        <v>No</v>
      </c>
      <c r="H2321" s="2" t="n">
        <f aca="false">IF(D2321="",0,1/COUNTIF($D$2:$D$3451,D2321))</f>
        <v>1</v>
      </c>
      <c r="I2321" s="13" t="n">
        <f aca="false">IFERROR(INDEX('NCO-2015 scores'!$C$2:$C$131,MATCH(E2321,'NCO-2015 scores'!$A$2:$A$131,0)),0)</f>
        <v>0.28</v>
      </c>
      <c r="J2321" s="13" t="n">
        <f aca="false">IF(ISNUMBER(MATCH(E2321,'NCO-2015 scores'!$A$2:$A$131,0)),IF(ISNUMBER(INDEX('NCO-2015 scores'!$C$2:$C$131,MATCH(E2321,'NCO-2015 scores'!$A$2:$A$131,0))),1,0),0)</f>
        <v>1</v>
      </c>
    </row>
    <row r="2322" customFormat="false" ht="15" hidden="false" customHeight="false" outlineLevel="0" collapsed="false">
      <c r="A2322" s="2" t="n">
        <v>2318</v>
      </c>
      <c r="B2322" s="2" t="s">
        <v>6845</v>
      </c>
      <c r="C2322" s="2" t="s">
        <v>6846</v>
      </c>
      <c r="D2322" s="2" t="s">
        <v>6847</v>
      </c>
      <c r="E2322" s="2" t="str">
        <f aca="false">LEFT(C2322,3)</f>
        <v>265</v>
      </c>
      <c r="F2322" s="2" t="str">
        <f aca="false">IF(D2322="","",LEFT(D2322,3))</f>
        <v>245</v>
      </c>
      <c r="G2322" s="2" t="str">
        <f aca="false">IF(F2322="","",IF(E2322=F2322,"Yes","No"))</f>
        <v>No</v>
      </c>
      <c r="H2322" s="2" t="n">
        <f aca="false">IF(D2322="",0,1/COUNTIF($D$2:$D$3451,D2322))</f>
        <v>1</v>
      </c>
      <c r="I2322" s="13" t="n">
        <f aca="false">IFERROR(INDEX('NCO-2015 scores'!$C$2:$C$131,MATCH(E2322,'NCO-2015 scores'!$A$2:$A$131,0)),0)</f>
        <v>0.28</v>
      </c>
      <c r="J2322" s="13" t="n">
        <f aca="false">IF(ISNUMBER(MATCH(E2322,'NCO-2015 scores'!$A$2:$A$131,0)),IF(ISNUMBER(INDEX('NCO-2015 scores'!$C$2:$C$131,MATCH(E2322,'NCO-2015 scores'!$A$2:$A$131,0))),1,0),0)</f>
        <v>1</v>
      </c>
    </row>
    <row r="2323" customFormat="false" ht="15" hidden="false" customHeight="false" outlineLevel="0" collapsed="false">
      <c r="A2323" s="2" t="n">
        <v>2319</v>
      </c>
      <c r="B2323" s="2" t="s">
        <v>6848</v>
      </c>
      <c r="C2323" s="2" t="s">
        <v>6849</v>
      </c>
      <c r="D2323" s="2" t="s">
        <v>6850</v>
      </c>
      <c r="E2323" s="2" t="str">
        <f aca="false">LEFT(C2323,3)</f>
        <v>265</v>
      </c>
      <c r="F2323" s="2" t="str">
        <f aca="false">IF(D2323="","",LEFT(D2323,3))</f>
        <v>245</v>
      </c>
      <c r="G2323" s="2" t="str">
        <f aca="false">IF(F2323="","",IF(E2323=F2323,"Yes","No"))</f>
        <v>No</v>
      </c>
      <c r="H2323" s="2" t="n">
        <f aca="false">IF(D2323="",0,1/COUNTIF($D$2:$D$3451,D2323))</f>
        <v>1</v>
      </c>
      <c r="I2323" s="13" t="n">
        <f aca="false">IFERROR(INDEX('NCO-2015 scores'!$C$2:$C$131,MATCH(E2323,'NCO-2015 scores'!$A$2:$A$131,0)),0)</f>
        <v>0.28</v>
      </c>
      <c r="J2323" s="13" t="n">
        <f aca="false">IF(ISNUMBER(MATCH(E2323,'NCO-2015 scores'!$A$2:$A$131,0)),IF(ISNUMBER(INDEX('NCO-2015 scores'!$C$2:$C$131,MATCH(E2323,'NCO-2015 scores'!$A$2:$A$131,0))),1,0),0)</f>
        <v>1</v>
      </c>
    </row>
    <row r="2324" customFormat="false" ht="15" hidden="false" customHeight="false" outlineLevel="0" collapsed="false">
      <c r="A2324" s="2" t="n">
        <v>2320</v>
      </c>
      <c r="B2324" s="2" t="s">
        <v>6851</v>
      </c>
      <c r="C2324" s="2" t="s">
        <v>6852</v>
      </c>
      <c r="D2324" s="2" t="s">
        <v>6853</v>
      </c>
      <c r="E2324" s="2" t="str">
        <f aca="false">LEFT(C2324,3)</f>
        <v>322</v>
      </c>
      <c r="F2324" s="2" t="str">
        <f aca="false">IF(D2324="","",LEFT(D2324,3))</f>
        <v>323</v>
      </c>
      <c r="G2324" s="2" t="str">
        <f aca="false">IF(F2324="","",IF(E2324=F2324,"Yes","No"))</f>
        <v>No</v>
      </c>
      <c r="H2324" s="2" t="n">
        <f aca="false">IF(D2324="",0,1/COUNTIF($D$2:$D$3451,D2324))</f>
        <v>1</v>
      </c>
      <c r="I2324" s="13" t="n">
        <f aca="false">IFERROR(INDEX('NCO-2015 scores'!$C$2:$C$131,MATCH(E2324,'NCO-2015 scores'!$A$2:$A$131,0)),0)</f>
        <v>0.21</v>
      </c>
      <c r="J2324" s="13" t="n">
        <f aca="false">IF(ISNUMBER(MATCH(E2324,'NCO-2015 scores'!$A$2:$A$131,0)),IF(ISNUMBER(INDEX('NCO-2015 scores'!$C$2:$C$131,MATCH(E2324,'NCO-2015 scores'!$A$2:$A$131,0))),1,0),0)</f>
        <v>1</v>
      </c>
    </row>
    <row r="2325" customFormat="false" ht="15" hidden="false" customHeight="false" outlineLevel="0" collapsed="false">
      <c r="A2325" s="2" t="n">
        <v>2321</v>
      </c>
      <c r="B2325" s="2" t="s">
        <v>6854</v>
      </c>
      <c r="C2325" s="2" t="s">
        <v>6855</v>
      </c>
      <c r="D2325" s="2" t="s">
        <v>6856</v>
      </c>
      <c r="E2325" s="2" t="str">
        <f aca="false">LEFT(C2325,3)</f>
        <v>322</v>
      </c>
      <c r="F2325" s="2" t="str">
        <f aca="false">IF(D2325="","",LEFT(D2325,3))</f>
        <v>323</v>
      </c>
      <c r="G2325" s="2" t="str">
        <f aca="false">IF(F2325="","",IF(E2325=F2325,"Yes","No"))</f>
        <v>No</v>
      </c>
      <c r="H2325" s="2" t="n">
        <f aca="false">IF(D2325="",0,1/COUNTIF($D$2:$D$3451,D2325))</f>
        <v>1</v>
      </c>
      <c r="I2325" s="13" t="n">
        <f aca="false">IFERROR(INDEX('NCO-2015 scores'!$C$2:$C$131,MATCH(E2325,'NCO-2015 scores'!$A$2:$A$131,0)),0)</f>
        <v>0.21</v>
      </c>
      <c r="J2325" s="13" t="n">
        <f aca="false">IF(ISNUMBER(MATCH(E2325,'NCO-2015 scores'!$A$2:$A$131,0)),IF(ISNUMBER(INDEX('NCO-2015 scores'!$C$2:$C$131,MATCH(E2325,'NCO-2015 scores'!$A$2:$A$131,0))),1,0),0)</f>
        <v>1</v>
      </c>
    </row>
    <row r="2326" customFormat="false" ht="15" hidden="false" customHeight="false" outlineLevel="0" collapsed="false">
      <c r="A2326" s="2" t="n">
        <v>2322</v>
      </c>
      <c r="B2326" s="2" t="s">
        <v>6857</v>
      </c>
      <c r="C2326" s="2" t="s">
        <v>6858</v>
      </c>
      <c r="D2326" s="2" t="s">
        <v>6859</v>
      </c>
      <c r="E2326" s="2" t="str">
        <f aca="false">LEFT(C2326,3)</f>
        <v>322</v>
      </c>
      <c r="F2326" s="2" t="str">
        <f aca="false">IF(D2326="","",LEFT(D2326,3))</f>
        <v>323</v>
      </c>
      <c r="G2326" s="2" t="str">
        <f aca="false">IF(F2326="","",IF(E2326=F2326,"Yes","No"))</f>
        <v>No</v>
      </c>
      <c r="H2326" s="2" t="n">
        <f aca="false">IF(D2326="",0,1/COUNTIF($D$2:$D$3451,D2326))</f>
        <v>1</v>
      </c>
      <c r="I2326" s="13" t="n">
        <f aca="false">IFERROR(INDEX('NCO-2015 scores'!$C$2:$C$131,MATCH(E2326,'NCO-2015 scores'!$A$2:$A$131,0)),0)</f>
        <v>0.21</v>
      </c>
      <c r="J2326" s="13" t="n">
        <f aca="false">IF(ISNUMBER(MATCH(E2326,'NCO-2015 scores'!$A$2:$A$131,0)),IF(ISNUMBER(INDEX('NCO-2015 scores'!$C$2:$C$131,MATCH(E2326,'NCO-2015 scores'!$A$2:$A$131,0))),1,0),0)</f>
        <v>1</v>
      </c>
    </row>
    <row r="2327" customFormat="false" ht="15" hidden="false" customHeight="false" outlineLevel="0" collapsed="false">
      <c r="A2327" s="2" t="n">
        <v>2323</v>
      </c>
      <c r="B2327" s="2" t="s">
        <v>6860</v>
      </c>
      <c r="C2327" s="2" t="s">
        <v>6861</v>
      </c>
      <c r="D2327" s="2" t="s">
        <v>6862</v>
      </c>
      <c r="E2327" s="2" t="str">
        <f aca="false">LEFT(C2327,3)</f>
        <v>322</v>
      </c>
      <c r="F2327" s="2" t="str">
        <f aca="false">IF(D2327="","",LEFT(D2327,3))</f>
        <v>323</v>
      </c>
      <c r="G2327" s="2" t="str">
        <f aca="false">IF(F2327="","",IF(E2327=F2327,"Yes","No"))</f>
        <v>No</v>
      </c>
      <c r="H2327" s="2" t="n">
        <f aca="false">IF(D2327="",0,1/COUNTIF($D$2:$D$3451,D2327))</f>
        <v>1</v>
      </c>
      <c r="I2327" s="13" t="n">
        <f aca="false">IFERROR(INDEX('NCO-2015 scores'!$C$2:$C$131,MATCH(E2327,'NCO-2015 scores'!$A$2:$A$131,0)),0)</f>
        <v>0.21</v>
      </c>
      <c r="J2327" s="13" t="n">
        <f aca="false">IF(ISNUMBER(MATCH(E2327,'NCO-2015 scores'!$A$2:$A$131,0)),IF(ISNUMBER(INDEX('NCO-2015 scores'!$C$2:$C$131,MATCH(E2327,'NCO-2015 scores'!$A$2:$A$131,0))),1,0),0)</f>
        <v>1</v>
      </c>
    </row>
    <row r="2328" customFormat="false" ht="15" hidden="false" customHeight="false" outlineLevel="0" collapsed="false">
      <c r="A2328" s="2" t="n">
        <v>2324</v>
      </c>
      <c r="B2328" s="2" t="s">
        <v>6863</v>
      </c>
      <c r="C2328" s="2" t="s">
        <v>6864</v>
      </c>
      <c r="D2328" s="2" t="s">
        <v>6865</v>
      </c>
      <c r="E2328" s="2" t="str">
        <f aca="false">LEFT(C2328,3)</f>
        <v>222</v>
      </c>
      <c r="F2328" s="2" t="str">
        <f aca="false">IF(D2328="","",LEFT(D2328,3))</f>
        <v>223</v>
      </c>
      <c r="G2328" s="2" t="str">
        <f aca="false">IF(F2328="","",IF(E2328=F2328,"Yes","No"))</f>
        <v>No</v>
      </c>
      <c r="H2328" s="2" t="n">
        <f aca="false">IF(D2328="",0,1/COUNTIF($D$2:$D$3451,D2328))</f>
        <v>1</v>
      </c>
      <c r="I2328" s="13" t="n">
        <f aca="false">IFERROR(INDEX('NCO-2015 scores'!$C$2:$C$131,MATCH(E2328,'NCO-2015 scores'!$A$2:$A$131,0)),0)</f>
        <v>0.275</v>
      </c>
      <c r="J2328" s="13" t="n">
        <f aca="false">IF(ISNUMBER(MATCH(E2328,'NCO-2015 scores'!$A$2:$A$131,0)),IF(ISNUMBER(INDEX('NCO-2015 scores'!$C$2:$C$131,MATCH(E2328,'NCO-2015 scores'!$A$2:$A$131,0))),1,0),0)</f>
        <v>1</v>
      </c>
    </row>
    <row r="2329" customFormat="false" ht="15" hidden="false" customHeight="false" outlineLevel="0" collapsed="false">
      <c r="A2329" s="2" t="n">
        <v>2325</v>
      </c>
      <c r="B2329" s="2" t="s">
        <v>6866</v>
      </c>
      <c r="C2329" s="2" t="s">
        <v>6867</v>
      </c>
      <c r="D2329" s="2" t="s">
        <v>6868</v>
      </c>
      <c r="E2329" s="2" t="str">
        <f aca="false">LEFT(C2329,3)</f>
        <v>222</v>
      </c>
      <c r="F2329" s="2" t="str">
        <f aca="false">IF(D2329="","",LEFT(D2329,3))</f>
        <v>223</v>
      </c>
      <c r="G2329" s="2" t="str">
        <f aca="false">IF(F2329="","",IF(E2329=F2329,"Yes","No"))</f>
        <v>No</v>
      </c>
      <c r="H2329" s="2" t="n">
        <f aca="false">IF(D2329="",0,1/COUNTIF($D$2:$D$3451,D2329))</f>
        <v>1</v>
      </c>
      <c r="I2329" s="13" t="n">
        <f aca="false">IFERROR(INDEX('NCO-2015 scores'!$C$2:$C$131,MATCH(E2329,'NCO-2015 scores'!$A$2:$A$131,0)),0)</f>
        <v>0.275</v>
      </c>
      <c r="J2329" s="13" t="n">
        <f aca="false">IF(ISNUMBER(MATCH(E2329,'NCO-2015 scores'!$A$2:$A$131,0)),IF(ISNUMBER(INDEX('NCO-2015 scores'!$C$2:$C$131,MATCH(E2329,'NCO-2015 scores'!$A$2:$A$131,0))),1,0),0)</f>
        <v>1</v>
      </c>
    </row>
    <row r="2330" customFormat="false" ht="15" hidden="false" customHeight="false" outlineLevel="0" collapsed="false">
      <c r="A2330" s="2" t="n">
        <v>2326</v>
      </c>
      <c r="B2330" s="2" t="s">
        <v>6869</v>
      </c>
      <c r="C2330" s="2" t="s">
        <v>6870</v>
      </c>
      <c r="D2330" s="2" t="s">
        <v>6871</v>
      </c>
      <c r="E2330" s="2" t="str">
        <f aca="false">LEFT(C2330,3)</f>
        <v>334</v>
      </c>
      <c r="F2330" s="2" t="str">
        <f aca="false">IF(D2330="","",LEFT(D2330,3))</f>
        <v>343</v>
      </c>
      <c r="G2330" s="2" t="str">
        <f aca="false">IF(F2330="","",IF(E2330=F2330,"Yes","No"))</f>
        <v>No</v>
      </c>
      <c r="H2330" s="2" t="n">
        <f aca="false">IF(D2330="",0,1/COUNTIF($D$2:$D$3451,D2330))</f>
        <v>1</v>
      </c>
      <c r="I2330" s="13" t="n">
        <f aca="false">IFERROR(INDEX('NCO-2015 scores'!$C$2:$C$131,MATCH(E2330,'NCO-2015 scores'!$A$2:$A$131,0)),0)</f>
        <v>0.5125</v>
      </c>
      <c r="J2330" s="13" t="n">
        <f aca="false">IF(ISNUMBER(MATCH(E2330,'NCO-2015 scores'!$A$2:$A$131,0)),IF(ISNUMBER(INDEX('NCO-2015 scores'!$C$2:$C$131,MATCH(E2330,'NCO-2015 scores'!$A$2:$A$131,0))),1,0),0)</f>
        <v>1</v>
      </c>
    </row>
    <row r="2331" customFormat="false" ht="15" hidden="false" customHeight="false" outlineLevel="0" collapsed="false">
      <c r="A2331" s="2" t="n">
        <v>2327</v>
      </c>
      <c r="B2331" s="2" t="s">
        <v>6872</v>
      </c>
      <c r="C2331" s="2" t="s">
        <v>6873</v>
      </c>
      <c r="D2331" s="2" t="s">
        <v>6874</v>
      </c>
      <c r="E2331" s="2" t="str">
        <f aca="false">LEFT(C2331,3)</f>
        <v>334</v>
      </c>
      <c r="F2331" s="2" t="str">
        <f aca="false">IF(D2331="","",LEFT(D2331,3))</f>
        <v>343</v>
      </c>
      <c r="G2331" s="2" t="str">
        <f aca="false">IF(F2331="","",IF(E2331=F2331,"Yes","No"))</f>
        <v>No</v>
      </c>
      <c r="H2331" s="2" t="n">
        <f aca="false">IF(D2331="",0,1/COUNTIF($D$2:$D$3451,D2331))</f>
        <v>1</v>
      </c>
      <c r="I2331" s="13" t="n">
        <f aca="false">IFERROR(INDEX('NCO-2015 scores'!$C$2:$C$131,MATCH(E2331,'NCO-2015 scores'!$A$2:$A$131,0)),0)</f>
        <v>0.5125</v>
      </c>
      <c r="J2331" s="13" t="n">
        <f aca="false">IF(ISNUMBER(MATCH(E2331,'NCO-2015 scores'!$A$2:$A$131,0)),IF(ISNUMBER(INDEX('NCO-2015 scores'!$C$2:$C$131,MATCH(E2331,'NCO-2015 scores'!$A$2:$A$131,0))),1,0),0)</f>
        <v>1</v>
      </c>
    </row>
    <row r="2332" customFormat="false" ht="15" hidden="false" customHeight="false" outlineLevel="0" collapsed="false">
      <c r="A2332" s="2" t="n">
        <v>2328</v>
      </c>
      <c r="B2332" s="2" t="s">
        <v>6875</v>
      </c>
      <c r="C2332" s="2" t="s">
        <v>6876</v>
      </c>
      <c r="D2332" s="2" t="s">
        <v>6877</v>
      </c>
      <c r="E2332" s="2" t="str">
        <f aca="false">LEFT(C2332,3)</f>
        <v>334</v>
      </c>
      <c r="F2332" s="2" t="str">
        <f aca="false">IF(D2332="","",LEFT(D2332,3))</f>
        <v>414</v>
      </c>
      <c r="G2332" s="2" t="str">
        <f aca="false">IF(F2332="","",IF(E2332=F2332,"Yes","No"))</f>
        <v>No</v>
      </c>
      <c r="H2332" s="2" t="n">
        <f aca="false">IF(D2332="",0,1/COUNTIF($D$2:$D$3451,D2332))</f>
        <v>1</v>
      </c>
      <c r="I2332" s="13" t="n">
        <f aca="false">IFERROR(INDEX('NCO-2015 scores'!$C$2:$C$131,MATCH(E2332,'NCO-2015 scores'!$A$2:$A$131,0)),0)</f>
        <v>0.5125</v>
      </c>
      <c r="J2332" s="13" t="n">
        <f aca="false">IF(ISNUMBER(MATCH(E2332,'NCO-2015 scores'!$A$2:$A$131,0)),IF(ISNUMBER(INDEX('NCO-2015 scores'!$C$2:$C$131,MATCH(E2332,'NCO-2015 scores'!$A$2:$A$131,0))),1,0),0)</f>
        <v>1</v>
      </c>
    </row>
    <row r="2333" customFormat="false" ht="15" hidden="false" customHeight="false" outlineLevel="0" collapsed="false">
      <c r="A2333" s="2" t="n">
        <v>2329</v>
      </c>
      <c r="B2333" s="2" t="s">
        <v>6878</v>
      </c>
      <c r="C2333" s="2" t="s">
        <v>6879</v>
      </c>
      <c r="D2333" s="2" t="s">
        <v>6880</v>
      </c>
      <c r="E2333" s="2" t="str">
        <f aca="false">LEFT(C2333,3)</f>
        <v>334</v>
      </c>
      <c r="F2333" s="2" t="str">
        <f aca="false">IF(D2333="","",LEFT(D2333,3))</f>
        <v>414</v>
      </c>
      <c r="G2333" s="2" t="str">
        <f aca="false">IF(F2333="","",IF(E2333=F2333,"Yes","No"))</f>
        <v>No</v>
      </c>
      <c r="H2333" s="2" t="n">
        <f aca="false">IF(D2333="",0,1/COUNTIF($D$2:$D$3451,D2333))</f>
        <v>1</v>
      </c>
      <c r="I2333" s="13" t="n">
        <f aca="false">IFERROR(INDEX('NCO-2015 scores'!$C$2:$C$131,MATCH(E2333,'NCO-2015 scores'!$A$2:$A$131,0)),0)</f>
        <v>0.5125</v>
      </c>
      <c r="J2333" s="13" t="n">
        <f aca="false">IF(ISNUMBER(MATCH(E2333,'NCO-2015 scores'!$A$2:$A$131,0)),IF(ISNUMBER(INDEX('NCO-2015 scores'!$C$2:$C$131,MATCH(E2333,'NCO-2015 scores'!$A$2:$A$131,0))),1,0),0)</f>
        <v>1</v>
      </c>
    </row>
    <row r="2334" customFormat="false" ht="15" hidden="false" customHeight="false" outlineLevel="0" collapsed="false">
      <c r="A2334" s="2" t="n">
        <v>2330</v>
      </c>
      <c r="B2334" s="2" t="s">
        <v>6881</v>
      </c>
      <c r="C2334" s="2" t="s">
        <v>6882</v>
      </c>
      <c r="D2334" s="2" t="s">
        <v>6883</v>
      </c>
      <c r="E2334" s="2" t="str">
        <f aca="false">LEFT(C2334,3)</f>
        <v>334</v>
      </c>
      <c r="F2334" s="2" t="str">
        <f aca="false">IF(D2334="","",LEFT(D2334,3))</f>
        <v>414</v>
      </c>
      <c r="G2334" s="2" t="str">
        <f aca="false">IF(F2334="","",IF(E2334=F2334,"Yes","No"))</f>
        <v>No</v>
      </c>
      <c r="H2334" s="2" t="n">
        <f aca="false">IF(D2334="",0,1/COUNTIF($D$2:$D$3451,D2334))</f>
        <v>1</v>
      </c>
      <c r="I2334" s="13" t="n">
        <f aca="false">IFERROR(INDEX('NCO-2015 scores'!$C$2:$C$131,MATCH(E2334,'NCO-2015 scores'!$A$2:$A$131,0)),0)</f>
        <v>0.5125</v>
      </c>
      <c r="J2334" s="13" t="n">
        <f aca="false">IF(ISNUMBER(MATCH(E2334,'NCO-2015 scores'!$A$2:$A$131,0)),IF(ISNUMBER(INDEX('NCO-2015 scores'!$C$2:$C$131,MATCH(E2334,'NCO-2015 scores'!$A$2:$A$131,0))),1,0),0)</f>
        <v>1</v>
      </c>
    </row>
    <row r="2335" customFormat="false" ht="15" hidden="false" customHeight="false" outlineLevel="0" collapsed="false">
      <c r="A2335" s="2" t="n">
        <v>2331</v>
      </c>
      <c r="B2335" s="2" t="s">
        <v>6884</v>
      </c>
      <c r="C2335" s="2" t="s">
        <v>6885</v>
      </c>
      <c r="D2335" s="2" t="s">
        <v>6886</v>
      </c>
      <c r="E2335" s="2" t="str">
        <f aca="false">LEFT(C2335,3)</f>
        <v>334</v>
      </c>
      <c r="F2335" s="2" t="str">
        <f aca="false">IF(D2335="","",LEFT(D2335,3))</f>
        <v>414</v>
      </c>
      <c r="G2335" s="2" t="str">
        <f aca="false">IF(F2335="","",IF(E2335=F2335,"Yes","No"))</f>
        <v>No</v>
      </c>
      <c r="H2335" s="2" t="n">
        <f aca="false">IF(D2335="",0,1/COUNTIF($D$2:$D$3451,D2335))</f>
        <v>1</v>
      </c>
      <c r="I2335" s="13" t="n">
        <f aca="false">IFERROR(INDEX('NCO-2015 scores'!$C$2:$C$131,MATCH(E2335,'NCO-2015 scores'!$A$2:$A$131,0)),0)</f>
        <v>0.5125</v>
      </c>
      <c r="J2335" s="13" t="n">
        <f aca="false">IF(ISNUMBER(MATCH(E2335,'NCO-2015 scores'!$A$2:$A$131,0)),IF(ISNUMBER(INDEX('NCO-2015 scores'!$C$2:$C$131,MATCH(E2335,'NCO-2015 scores'!$A$2:$A$131,0))),1,0),0)</f>
        <v>1</v>
      </c>
    </row>
    <row r="2336" customFormat="false" ht="15" hidden="false" customHeight="false" outlineLevel="0" collapsed="false">
      <c r="A2336" s="2" t="n">
        <v>2332</v>
      </c>
      <c r="B2336" s="2" t="s">
        <v>6887</v>
      </c>
      <c r="C2336" s="2" t="s">
        <v>6888</v>
      </c>
      <c r="D2336" s="2" t="s">
        <v>6889</v>
      </c>
      <c r="E2336" s="2" t="str">
        <f aca="false">LEFT(C2336,3)</f>
        <v>334</v>
      </c>
      <c r="F2336" s="2" t="str">
        <f aca="false">IF(D2336="","",LEFT(D2336,3))</f>
        <v>414</v>
      </c>
      <c r="G2336" s="2" t="str">
        <f aca="false">IF(F2336="","",IF(E2336=F2336,"Yes","No"))</f>
        <v>No</v>
      </c>
      <c r="H2336" s="2" t="n">
        <f aca="false">IF(D2336="",0,1/COUNTIF($D$2:$D$3451,D2336))</f>
        <v>1</v>
      </c>
      <c r="I2336" s="13" t="n">
        <f aca="false">IFERROR(INDEX('NCO-2015 scores'!$C$2:$C$131,MATCH(E2336,'NCO-2015 scores'!$A$2:$A$131,0)),0)</f>
        <v>0.5125</v>
      </c>
      <c r="J2336" s="13" t="n">
        <f aca="false">IF(ISNUMBER(MATCH(E2336,'NCO-2015 scores'!$A$2:$A$131,0)),IF(ISNUMBER(INDEX('NCO-2015 scores'!$C$2:$C$131,MATCH(E2336,'NCO-2015 scores'!$A$2:$A$131,0))),1,0),0)</f>
        <v>1</v>
      </c>
    </row>
    <row r="2337" customFormat="false" ht="15" hidden="false" customHeight="false" outlineLevel="0" collapsed="false">
      <c r="A2337" s="2" t="n">
        <v>2333</v>
      </c>
      <c r="B2337" s="2" t="s">
        <v>6890</v>
      </c>
      <c r="C2337" s="2" t="s">
        <v>6891</v>
      </c>
      <c r="D2337" s="2" t="s">
        <v>6892</v>
      </c>
      <c r="E2337" s="2" t="str">
        <f aca="false">LEFT(C2337,3)</f>
        <v>334</v>
      </c>
      <c r="F2337" s="2" t="str">
        <f aca="false">IF(D2337="","",LEFT(D2337,3))</f>
        <v>343</v>
      </c>
      <c r="G2337" s="2" t="str">
        <f aca="false">IF(F2337="","",IF(E2337=F2337,"Yes","No"))</f>
        <v>No</v>
      </c>
      <c r="H2337" s="2" t="n">
        <f aca="false">IF(D2337="",0,1/COUNTIF($D$2:$D$3451,D2337))</f>
        <v>1</v>
      </c>
      <c r="I2337" s="13" t="n">
        <f aca="false">IFERROR(INDEX('NCO-2015 scores'!$C$2:$C$131,MATCH(E2337,'NCO-2015 scores'!$A$2:$A$131,0)),0)</f>
        <v>0.5125</v>
      </c>
      <c r="J2337" s="13" t="n">
        <f aca="false">IF(ISNUMBER(MATCH(E2337,'NCO-2015 scores'!$A$2:$A$131,0)),IF(ISNUMBER(INDEX('NCO-2015 scores'!$C$2:$C$131,MATCH(E2337,'NCO-2015 scores'!$A$2:$A$131,0))),1,0),0)</f>
        <v>1</v>
      </c>
    </row>
    <row r="2338" customFormat="false" ht="15" hidden="false" customHeight="false" outlineLevel="0" collapsed="false">
      <c r="A2338" s="2" t="n">
        <v>2334</v>
      </c>
      <c r="B2338" s="2" t="s">
        <v>6893</v>
      </c>
      <c r="C2338" s="2" t="s">
        <v>6894</v>
      </c>
      <c r="D2338" s="2" t="s">
        <v>6895</v>
      </c>
      <c r="E2338" s="2" t="str">
        <f aca="false">LEFT(C2338,3)</f>
        <v>334</v>
      </c>
      <c r="F2338" s="2" t="str">
        <f aca="false">IF(D2338="","",LEFT(D2338,3))</f>
        <v>343</v>
      </c>
      <c r="G2338" s="2" t="str">
        <f aca="false">IF(F2338="","",IF(E2338=F2338,"Yes","No"))</f>
        <v>No</v>
      </c>
      <c r="H2338" s="2" t="n">
        <f aca="false">IF(D2338="",0,1/COUNTIF($D$2:$D$3451,D2338))</f>
        <v>1</v>
      </c>
      <c r="I2338" s="13" t="n">
        <f aca="false">IFERROR(INDEX('NCO-2015 scores'!$C$2:$C$131,MATCH(E2338,'NCO-2015 scores'!$A$2:$A$131,0)),0)</f>
        <v>0.5125</v>
      </c>
      <c r="J2338" s="13" t="n">
        <f aca="false">IF(ISNUMBER(MATCH(E2338,'NCO-2015 scores'!$A$2:$A$131,0)),IF(ISNUMBER(INDEX('NCO-2015 scores'!$C$2:$C$131,MATCH(E2338,'NCO-2015 scores'!$A$2:$A$131,0))),1,0),0)</f>
        <v>1</v>
      </c>
    </row>
    <row r="2339" customFormat="false" ht="15" hidden="false" customHeight="false" outlineLevel="0" collapsed="false">
      <c r="A2339" s="2" t="n">
        <v>2335</v>
      </c>
      <c r="B2339" s="2" t="s">
        <v>6896</v>
      </c>
      <c r="C2339" s="2" t="s">
        <v>6897</v>
      </c>
      <c r="D2339" s="2" t="s">
        <v>6898</v>
      </c>
      <c r="E2339" s="2" t="str">
        <f aca="false">LEFT(C2339,3)</f>
        <v>334</v>
      </c>
      <c r="F2339" s="2" t="str">
        <f aca="false">IF(D2339="","",LEFT(D2339,3))</f>
        <v>343</v>
      </c>
      <c r="G2339" s="2" t="str">
        <f aca="false">IF(F2339="","",IF(E2339=F2339,"Yes","No"))</f>
        <v>No</v>
      </c>
      <c r="H2339" s="2" t="n">
        <f aca="false">IF(D2339="",0,1/COUNTIF($D$2:$D$3451,D2339))</f>
        <v>1</v>
      </c>
      <c r="I2339" s="13" t="n">
        <f aca="false">IFERROR(INDEX('NCO-2015 scores'!$C$2:$C$131,MATCH(E2339,'NCO-2015 scores'!$A$2:$A$131,0)),0)</f>
        <v>0.5125</v>
      </c>
      <c r="J2339" s="13" t="n">
        <f aca="false">IF(ISNUMBER(MATCH(E2339,'NCO-2015 scores'!$A$2:$A$131,0)),IF(ISNUMBER(INDEX('NCO-2015 scores'!$C$2:$C$131,MATCH(E2339,'NCO-2015 scores'!$A$2:$A$131,0))),1,0),0)</f>
        <v>1</v>
      </c>
    </row>
    <row r="2340" customFormat="false" ht="15" hidden="false" customHeight="false" outlineLevel="0" collapsed="false">
      <c r="A2340" s="2" t="n">
        <v>2336</v>
      </c>
      <c r="B2340" s="2" t="s">
        <v>6899</v>
      </c>
      <c r="C2340" s="2" t="s">
        <v>6900</v>
      </c>
      <c r="D2340" s="2" t="s">
        <v>6901</v>
      </c>
      <c r="E2340" s="2" t="str">
        <f aca="false">LEFT(C2340,3)</f>
        <v>334</v>
      </c>
      <c r="F2340" s="2" t="str">
        <f aca="false">IF(D2340="","",LEFT(D2340,3))</f>
        <v>343</v>
      </c>
      <c r="G2340" s="2" t="str">
        <f aca="false">IF(F2340="","",IF(E2340=F2340,"Yes","No"))</f>
        <v>No</v>
      </c>
      <c r="H2340" s="2" t="n">
        <f aca="false">IF(D2340="",0,1/COUNTIF($D$2:$D$3451,D2340))</f>
        <v>1</v>
      </c>
      <c r="I2340" s="13" t="n">
        <f aca="false">IFERROR(INDEX('NCO-2015 scores'!$C$2:$C$131,MATCH(E2340,'NCO-2015 scores'!$A$2:$A$131,0)),0)</f>
        <v>0.5125</v>
      </c>
      <c r="J2340" s="13" t="n">
        <f aca="false">IF(ISNUMBER(MATCH(E2340,'NCO-2015 scores'!$A$2:$A$131,0)),IF(ISNUMBER(INDEX('NCO-2015 scores'!$C$2:$C$131,MATCH(E2340,'NCO-2015 scores'!$A$2:$A$131,0))),1,0),0)</f>
        <v>1</v>
      </c>
    </row>
    <row r="2341" customFormat="false" ht="15" hidden="false" customHeight="false" outlineLevel="0" collapsed="false">
      <c r="A2341" s="2" t="n">
        <v>2337</v>
      </c>
      <c r="B2341" s="2" t="s">
        <v>6902</v>
      </c>
      <c r="C2341" s="2" t="s">
        <v>6903</v>
      </c>
      <c r="D2341" s="2" t="s">
        <v>6904</v>
      </c>
      <c r="E2341" s="2" t="str">
        <f aca="false">LEFT(C2341,3)</f>
        <v>226</v>
      </c>
      <c r="F2341" s="2" t="str">
        <f aca="false">IF(D2341="","",LEFT(D2341,3))</f>
        <v>322</v>
      </c>
      <c r="G2341" s="2" t="str">
        <f aca="false">IF(F2341="","",IF(E2341=F2341,"Yes","No"))</f>
        <v>No</v>
      </c>
      <c r="H2341" s="2" t="n">
        <f aca="false">IF(D2341="",0,1/COUNTIF($D$2:$D$3451,D2341))</f>
        <v>1</v>
      </c>
      <c r="I2341" s="13" t="n">
        <f aca="false">IFERROR(INDEX('NCO-2015 scores'!$C$2:$C$131,MATCH(E2341,'NCO-2015 scores'!$A$2:$A$131,0)),0)</f>
        <v>0.2662</v>
      </c>
      <c r="J2341" s="13" t="n">
        <f aca="false">IF(ISNUMBER(MATCH(E2341,'NCO-2015 scores'!$A$2:$A$131,0)),IF(ISNUMBER(INDEX('NCO-2015 scores'!$C$2:$C$131,MATCH(E2341,'NCO-2015 scores'!$A$2:$A$131,0))),1,0),0)</f>
        <v>1</v>
      </c>
    </row>
    <row r="2342" customFormat="false" ht="15" hidden="false" customHeight="false" outlineLevel="0" collapsed="false">
      <c r="A2342" s="2" t="n">
        <v>2338</v>
      </c>
      <c r="B2342" s="2" t="s">
        <v>6905</v>
      </c>
      <c r="C2342" s="2" t="s">
        <v>6906</v>
      </c>
      <c r="D2342" s="2" t="s">
        <v>6907</v>
      </c>
      <c r="E2342" s="2" t="str">
        <f aca="false">LEFT(C2342,3)</f>
        <v>343</v>
      </c>
      <c r="F2342" s="2" t="str">
        <f aca="false">IF(D2342="","",LEFT(D2342,3))</f>
        <v>347</v>
      </c>
      <c r="G2342" s="2" t="str">
        <f aca="false">IF(F2342="","",IF(E2342=F2342,"Yes","No"))</f>
        <v>No</v>
      </c>
      <c r="H2342" s="2" t="n">
        <f aca="false">IF(D2342="",0,1/COUNTIF($D$2:$D$3451,D2342))</f>
        <v>1</v>
      </c>
      <c r="I2342" s="13" t="n">
        <f aca="false">IFERROR(INDEX('NCO-2015 scores'!$C$2:$C$131,MATCH(E2342,'NCO-2015 scores'!$A$2:$A$131,0)),0)</f>
        <v>0.345</v>
      </c>
      <c r="J2342" s="13" t="n">
        <f aca="false">IF(ISNUMBER(MATCH(E2342,'NCO-2015 scores'!$A$2:$A$131,0)),IF(ISNUMBER(INDEX('NCO-2015 scores'!$C$2:$C$131,MATCH(E2342,'NCO-2015 scores'!$A$2:$A$131,0))),1,0),0)</f>
        <v>1</v>
      </c>
    </row>
    <row r="2343" customFormat="false" ht="15" hidden="false" customHeight="false" outlineLevel="0" collapsed="false">
      <c r="A2343" s="2" t="n">
        <v>2339</v>
      </c>
      <c r="B2343" s="2" t="s">
        <v>6908</v>
      </c>
      <c r="C2343" s="2" t="s">
        <v>6909</v>
      </c>
      <c r="D2343" s="2" t="s">
        <v>6910</v>
      </c>
      <c r="E2343" s="2" t="str">
        <f aca="false">LEFT(C2343,3)</f>
        <v>343</v>
      </c>
      <c r="F2343" s="2" t="str">
        <f aca="false">IF(D2343="","",LEFT(D2343,3))</f>
        <v>347</v>
      </c>
      <c r="G2343" s="2" t="str">
        <f aca="false">IF(F2343="","",IF(E2343=F2343,"Yes","No"))</f>
        <v>No</v>
      </c>
      <c r="H2343" s="2" t="n">
        <f aca="false">IF(D2343="",0,1/COUNTIF($D$2:$D$3451,D2343))</f>
        <v>1</v>
      </c>
      <c r="I2343" s="13" t="n">
        <f aca="false">IFERROR(INDEX('NCO-2015 scores'!$C$2:$C$131,MATCH(E2343,'NCO-2015 scores'!$A$2:$A$131,0)),0)</f>
        <v>0.345</v>
      </c>
      <c r="J2343" s="13" t="n">
        <f aca="false">IF(ISNUMBER(MATCH(E2343,'NCO-2015 scores'!$A$2:$A$131,0)),IF(ISNUMBER(INDEX('NCO-2015 scores'!$C$2:$C$131,MATCH(E2343,'NCO-2015 scores'!$A$2:$A$131,0))),1,0),0)</f>
        <v>1</v>
      </c>
    </row>
    <row r="2344" customFormat="false" ht="15" hidden="false" customHeight="false" outlineLevel="0" collapsed="false">
      <c r="A2344" s="2" t="n">
        <v>2340</v>
      </c>
      <c r="B2344" s="2" t="s">
        <v>6911</v>
      </c>
      <c r="C2344" s="2" t="s">
        <v>6912</v>
      </c>
      <c r="D2344" s="2" t="s">
        <v>6913</v>
      </c>
      <c r="E2344" s="2" t="str">
        <f aca="false">LEFT(C2344,3)</f>
        <v>343</v>
      </c>
      <c r="F2344" s="2" t="str">
        <f aca="false">IF(D2344="","",LEFT(D2344,3))</f>
        <v>347</v>
      </c>
      <c r="G2344" s="2" t="str">
        <f aca="false">IF(F2344="","",IF(E2344=F2344,"Yes","No"))</f>
        <v>No</v>
      </c>
      <c r="H2344" s="2" t="n">
        <f aca="false">IF(D2344="",0,1/COUNTIF($D$2:$D$3451,D2344))</f>
        <v>1</v>
      </c>
      <c r="I2344" s="13" t="n">
        <f aca="false">IFERROR(INDEX('NCO-2015 scores'!$C$2:$C$131,MATCH(E2344,'NCO-2015 scores'!$A$2:$A$131,0)),0)</f>
        <v>0.345</v>
      </c>
      <c r="J2344" s="13" t="n">
        <f aca="false">IF(ISNUMBER(MATCH(E2344,'NCO-2015 scores'!$A$2:$A$131,0)),IF(ISNUMBER(INDEX('NCO-2015 scores'!$C$2:$C$131,MATCH(E2344,'NCO-2015 scores'!$A$2:$A$131,0))),1,0),0)</f>
        <v>1</v>
      </c>
    </row>
    <row r="2345" customFormat="false" ht="15" hidden="false" customHeight="false" outlineLevel="0" collapsed="false">
      <c r="A2345" s="2" t="n">
        <v>2341</v>
      </c>
      <c r="B2345" s="2" t="s">
        <v>6914</v>
      </c>
      <c r="C2345" s="2" t="s">
        <v>6915</v>
      </c>
      <c r="D2345" s="2" t="s">
        <v>6916</v>
      </c>
      <c r="E2345" s="2" t="str">
        <f aca="false">LEFT(C2345,3)</f>
        <v>343</v>
      </c>
      <c r="F2345" s="2" t="str">
        <f aca="false">IF(D2345="","",LEFT(D2345,3))</f>
        <v>347</v>
      </c>
      <c r="G2345" s="2" t="str">
        <f aca="false">IF(F2345="","",IF(E2345=F2345,"Yes","No"))</f>
        <v>No</v>
      </c>
      <c r="H2345" s="2" t="n">
        <f aca="false">IF(D2345="",0,1/COUNTIF($D$2:$D$3451,D2345))</f>
        <v>1</v>
      </c>
      <c r="I2345" s="13" t="n">
        <f aca="false">IFERROR(INDEX('NCO-2015 scores'!$C$2:$C$131,MATCH(E2345,'NCO-2015 scores'!$A$2:$A$131,0)),0)</f>
        <v>0.345</v>
      </c>
      <c r="J2345" s="13" t="n">
        <f aca="false">IF(ISNUMBER(MATCH(E2345,'NCO-2015 scores'!$A$2:$A$131,0)),IF(ISNUMBER(INDEX('NCO-2015 scores'!$C$2:$C$131,MATCH(E2345,'NCO-2015 scores'!$A$2:$A$131,0))),1,0),0)</f>
        <v>1</v>
      </c>
    </row>
    <row r="2346" customFormat="false" ht="15" hidden="false" customHeight="false" outlineLevel="0" collapsed="false">
      <c r="A2346" s="2" t="n">
        <v>2342</v>
      </c>
      <c r="B2346" s="2" t="s">
        <v>6917</v>
      </c>
      <c r="C2346" s="2" t="s">
        <v>6918</v>
      </c>
      <c r="D2346" s="2" t="s">
        <v>6919</v>
      </c>
      <c r="E2346" s="2" t="str">
        <f aca="false">LEFT(C2346,3)</f>
        <v>343</v>
      </c>
      <c r="F2346" s="2" t="str">
        <f aca="false">IF(D2346="","",LEFT(D2346,3))</f>
        <v>347</v>
      </c>
      <c r="G2346" s="2" t="str">
        <f aca="false">IF(F2346="","",IF(E2346=F2346,"Yes","No"))</f>
        <v>No</v>
      </c>
      <c r="H2346" s="2" t="n">
        <f aca="false">IF(D2346="",0,1/COUNTIF($D$2:$D$3451,D2346))</f>
        <v>1</v>
      </c>
      <c r="I2346" s="13" t="n">
        <f aca="false">IFERROR(INDEX('NCO-2015 scores'!$C$2:$C$131,MATCH(E2346,'NCO-2015 scores'!$A$2:$A$131,0)),0)</f>
        <v>0.345</v>
      </c>
      <c r="J2346" s="13" t="n">
        <f aca="false">IF(ISNUMBER(MATCH(E2346,'NCO-2015 scores'!$A$2:$A$131,0)),IF(ISNUMBER(INDEX('NCO-2015 scores'!$C$2:$C$131,MATCH(E2346,'NCO-2015 scores'!$A$2:$A$131,0))),1,0),0)</f>
        <v>1</v>
      </c>
    </row>
    <row r="2347" customFormat="false" ht="15" hidden="false" customHeight="false" outlineLevel="0" collapsed="false">
      <c r="A2347" s="2" t="n">
        <v>2343</v>
      </c>
      <c r="B2347" s="2" t="s">
        <v>6920</v>
      </c>
      <c r="C2347" s="2" t="s">
        <v>6921</v>
      </c>
      <c r="D2347" s="2" t="s">
        <v>6922</v>
      </c>
      <c r="E2347" s="2" t="str">
        <f aca="false">LEFT(C2347,3)</f>
        <v>343</v>
      </c>
      <c r="F2347" s="2" t="str">
        <f aca="false">IF(D2347="","",LEFT(D2347,3))</f>
        <v>347</v>
      </c>
      <c r="G2347" s="2" t="str">
        <f aca="false">IF(F2347="","",IF(E2347=F2347,"Yes","No"))</f>
        <v>No</v>
      </c>
      <c r="H2347" s="2" t="n">
        <f aca="false">IF(D2347="",0,1/COUNTIF($D$2:$D$3451,D2347))</f>
        <v>1</v>
      </c>
      <c r="I2347" s="13" t="n">
        <f aca="false">IFERROR(INDEX('NCO-2015 scores'!$C$2:$C$131,MATCH(E2347,'NCO-2015 scores'!$A$2:$A$131,0)),0)</f>
        <v>0.345</v>
      </c>
      <c r="J2347" s="13" t="n">
        <f aca="false">IF(ISNUMBER(MATCH(E2347,'NCO-2015 scores'!$A$2:$A$131,0)),IF(ISNUMBER(INDEX('NCO-2015 scores'!$C$2:$C$131,MATCH(E2347,'NCO-2015 scores'!$A$2:$A$131,0))),1,0),0)</f>
        <v>1</v>
      </c>
    </row>
    <row r="2348" customFormat="false" ht="15" hidden="false" customHeight="false" outlineLevel="0" collapsed="false">
      <c r="A2348" s="2" t="n">
        <v>2344</v>
      </c>
      <c r="B2348" s="2" t="s">
        <v>6923</v>
      </c>
      <c r="C2348" s="2" t="s">
        <v>6924</v>
      </c>
      <c r="D2348" s="2" t="s">
        <v>6925</v>
      </c>
      <c r="E2348" s="2" t="str">
        <f aca="false">LEFT(C2348,3)</f>
        <v>235</v>
      </c>
      <c r="F2348" s="2" t="str">
        <f aca="false">IF(D2348="","",LEFT(D2348,3))</f>
        <v>233</v>
      </c>
      <c r="G2348" s="2" t="str">
        <f aca="false">IF(F2348="","",IF(E2348=F2348,"Yes","No"))</f>
        <v>No</v>
      </c>
      <c r="H2348" s="2" t="n">
        <f aca="false">IF(D2348="",0,1/COUNTIF($D$2:$D$3451,D2348))</f>
        <v>1</v>
      </c>
      <c r="I2348" s="13" t="n">
        <f aca="false">IFERROR(INDEX('NCO-2015 scores'!$C$2:$C$131,MATCH(E2348,'NCO-2015 scores'!$A$2:$A$131,0)),0)</f>
        <v>0.3586</v>
      </c>
      <c r="J2348" s="13" t="n">
        <f aca="false">IF(ISNUMBER(MATCH(E2348,'NCO-2015 scores'!$A$2:$A$131,0)),IF(ISNUMBER(INDEX('NCO-2015 scores'!$C$2:$C$131,MATCH(E2348,'NCO-2015 scores'!$A$2:$A$131,0))),1,0),0)</f>
        <v>1</v>
      </c>
    </row>
    <row r="2349" customFormat="false" ht="15" hidden="false" customHeight="false" outlineLevel="0" collapsed="false">
      <c r="A2349" s="2" t="n">
        <v>2345</v>
      </c>
      <c r="B2349" s="2" t="s">
        <v>6926</v>
      </c>
      <c r="C2349" s="2" t="s">
        <v>6927</v>
      </c>
      <c r="D2349" s="2" t="s">
        <v>6928</v>
      </c>
      <c r="E2349" s="2" t="str">
        <f aca="false">LEFT(C2349,3)</f>
        <v>235</v>
      </c>
      <c r="F2349" s="2" t="str">
        <f aca="false">IF(D2349="","",LEFT(D2349,3))</f>
        <v>233</v>
      </c>
      <c r="G2349" s="2" t="str">
        <f aca="false">IF(F2349="","",IF(E2349=F2349,"Yes","No"))</f>
        <v>No</v>
      </c>
      <c r="H2349" s="2" t="n">
        <f aca="false">IF(D2349="",0,1/COUNTIF($D$2:$D$3451,D2349))</f>
        <v>1</v>
      </c>
      <c r="I2349" s="13" t="n">
        <f aca="false">IFERROR(INDEX('NCO-2015 scores'!$C$2:$C$131,MATCH(E2349,'NCO-2015 scores'!$A$2:$A$131,0)),0)</f>
        <v>0.3586</v>
      </c>
      <c r="J2349" s="13" t="n">
        <f aca="false">IF(ISNUMBER(MATCH(E2349,'NCO-2015 scores'!$A$2:$A$131,0)),IF(ISNUMBER(INDEX('NCO-2015 scores'!$C$2:$C$131,MATCH(E2349,'NCO-2015 scores'!$A$2:$A$131,0))),1,0),0)</f>
        <v>1</v>
      </c>
    </row>
    <row r="2350" customFormat="false" ht="15" hidden="false" customHeight="false" outlineLevel="0" collapsed="false">
      <c r="A2350" s="2" t="n">
        <v>2346</v>
      </c>
      <c r="B2350" s="2" t="s">
        <v>6929</v>
      </c>
      <c r="C2350" s="2" t="s">
        <v>6930</v>
      </c>
      <c r="D2350" s="2" t="s">
        <v>6931</v>
      </c>
      <c r="E2350" s="2" t="str">
        <f aca="false">LEFT(C2350,3)</f>
        <v>818</v>
      </c>
      <c r="F2350" s="2" t="str">
        <f aca="false">IF(D2350="","",LEFT(D2350,3))</f>
        <v>829</v>
      </c>
      <c r="G2350" s="2" t="str">
        <f aca="false">IF(F2350="","",IF(E2350=F2350,"Yes","No"))</f>
        <v>No</v>
      </c>
      <c r="H2350" s="2" t="n">
        <f aca="false">IF(D2350="",0,1/COUNTIF($D$2:$D$3451,D2350))</f>
        <v>1</v>
      </c>
      <c r="I2350" s="13" t="n">
        <f aca="false">IFERROR(INDEX('NCO-2015 scores'!$C$2:$C$131,MATCH(E2350,'NCO-2015 scores'!$A$2:$A$131,0)),0)</f>
        <v>0.1967</v>
      </c>
      <c r="J2350" s="13" t="n">
        <f aca="false">IF(ISNUMBER(MATCH(E2350,'NCO-2015 scores'!$A$2:$A$131,0)),IF(ISNUMBER(INDEX('NCO-2015 scores'!$C$2:$C$131,MATCH(E2350,'NCO-2015 scores'!$A$2:$A$131,0))),1,0),0)</f>
        <v>1</v>
      </c>
    </row>
    <row r="2351" customFormat="false" ht="15" hidden="false" customHeight="false" outlineLevel="0" collapsed="false">
      <c r="A2351" s="2" t="n">
        <v>2347</v>
      </c>
      <c r="B2351" s="2" t="s">
        <v>6932</v>
      </c>
      <c r="C2351" s="2" t="s">
        <v>6933</v>
      </c>
      <c r="D2351" s="2" t="s">
        <v>6934</v>
      </c>
      <c r="E2351" s="2" t="str">
        <f aca="false">LEFT(C2351,3)</f>
        <v>713</v>
      </c>
      <c r="F2351" s="2" t="str">
        <f aca="false">IF(D2351="","",LEFT(D2351,3))</f>
        <v>714</v>
      </c>
      <c r="G2351" s="2" t="str">
        <f aca="false">IF(F2351="","",IF(E2351=F2351,"Yes","No"))</f>
        <v>No</v>
      </c>
      <c r="H2351" s="2" t="n">
        <f aca="false">IF(D2351="",0,1/COUNTIF($D$2:$D$3451,D2351))</f>
        <v>1</v>
      </c>
      <c r="I2351" s="13" t="n">
        <f aca="false">IFERROR(INDEX('NCO-2015 scores'!$C$2:$C$131,MATCH(E2351,'NCO-2015 scores'!$A$2:$A$131,0)),0)</f>
        <v>0.1133</v>
      </c>
      <c r="J2351" s="13" t="n">
        <f aca="false">IF(ISNUMBER(MATCH(E2351,'NCO-2015 scores'!$A$2:$A$131,0)),IF(ISNUMBER(INDEX('NCO-2015 scores'!$C$2:$C$131,MATCH(E2351,'NCO-2015 scores'!$A$2:$A$131,0))),1,0),0)</f>
        <v>1</v>
      </c>
    </row>
    <row r="2352" customFormat="false" ht="15" hidden="false" customHeight="false" outlineLevel="0" collapsed="false">
      <c r="A2352" s="2" t="n">
        <v>2348</v>
      </c>
      <c r="B2352" s="2" t="s">
        <v>6935</v>
      </c>
      <c r="C2352" s="2" t="s">
        <v>6936</v>
      </c>
      <c r="D2352" s="2"/>
      <c r="E2352" s="2" t="str">
        <f aca="false">LEFT(C2352,3)</f>
        <v>713</v>
      </c>
      <c r="F2352" s="2" t="str">
        <f aca="false">IF(D2352="","",LEFT(D2352,3))</f>
        <v/>
      </c>
      <c r="G2352" s="2" t="str">
        <f aca="false">IF(F2352="","",IF(E2352=F2352,"Yes","No"))</f>
        <v/>
      </c>
      <c r="H2352" s="2" t="n">
        <f aca="false">IF(D2352="",0,1/COUNTIF($D$2:$D$3451,D2352))</f>
        <v>0</v>
      </c>
      <c r="I2352" s="13" t="n">
        <f aca="false">IFERROR(INDEX('NCO-2015 scores'!$C$2:$C$131,MATCH(E2352,'NCO-2015 scores'!$A$2:$A$131,0)),0)</f>
        <v>0.1133</v>
      </c>
      <c r="J2352" s="13" t="n">
        <f aca="false">IF(ISNUMBER(MATCH(E2352,'NCO-2015 scores'!$A$2:$A$131,0)),IF(ISNUMBER(INDEX('NCO-2015 scores'!$C$2:$C$131,MATCH(E2352,'NCO-2015 scores'!$A$2:$A$131,0))),1,0),0)</f>
        <v>1</v>
      </c>
    </row>
    <row r="2353" customFormat="false" ht="15" hidden="false" customHeight="false" outlineLevel="0" collapsed="false">
      <c r="A2353" s="2" t="n">
        <v>2349</v>
      </c>
      <c r="B2353" s="2" t="s">
        <v>6937</v>
      </c>
      <c r="C2353" s="2" t="s">
        <v>6938</v>
      </c>
      <c r="D2353" s="2" t="s">
        <v>6939</v>
      </c>
      <c r="E2353" s="2" t="str">
        <f aca="false">LEFT(C2353,3)</f>
        <v>713</v>
      </c>
      <c r="F2353" s="2" t="str">
        <f aca="false">IF(D2353="","",LEFT(D2353,3))</f>
        <v>714</v>
      </c>
      <c r="G2353" s="2" t="str">
        <f aca="false">IF(F2353="","",IF(E2353=F2353,"Yes","No"))</f>
        <v>No</v>
      </c>
      <c r="H2353" s="2" t="n">
        <f aca="false">IF(D2353="",0,1/COUNTIF($D$2:$D$3451,D2353))</f>
        <v>1</v>
      </c>
      <c r="I2353" s="13" t="n">
        <f aca="false">IFERROR(INDEX('NCO-2015 scores'!$C$2:$C$131,MATCH(E2353,'NCO-2015 scores'!$A$2:$A$131,0)),0)</f>
        <v>0.1133</v>
      </c>
      <c r="J2353" s="13" t="n">
        <f aca="false">IF(ISNUMBER(MATCH(E2353,'NCO-2015 scores'!$A$2:$A$131,0)),IF(ISNUMBER(INDEX('NCO-2015 scores'!$C$2:$C$131,MATCH(E2353,'NCO-2015 scores'!$A$2:$A$131,0))),1,0),0)</f>
        <v>1</v>
      </c>
    </row>
    <row r="2354" customFormat="false" ht="15" hidden="false" customHeight="false" outlineLevel="0" collapsed="false">
      <c r="A2354" s="2" t="n">
        <v>2350</v>
      </c>
      <c r="B2354" s="2" t="s">
        <v>6940</v>
      </c>
      <c r="C2354" s="2" t="s">
        <v>6941</v>
      </c>
      <c r="D2354" s="2" t="s">
        <v>6942</v>
      </c>
      <c r="E2354" s="2" t="str">
        <f aca="false">LEFT(C2354,3)</f>
        <v>713</v>
      </c>
      <c r="F2354" s="2" t="str">
        <f aca="false">IF(D2354="","",LEFT(D2354,3))</f>
        <v>714</v>
      </c>
      <c r="G2354" s="2" t="str">
        <f aca="false">IF(F2354="","",IF(E2354=F2354,"Yes","No"))</f>
        <v>No</v>
      </c>
      <c r="H2354" s="2" t="n">
        <f aca="false">IF(D2354="",0,1/COUNTIF($D$2:$D$3451,D2354))</f>
        <v>1</v>
      </c>
      <c r="I2354" s="13" t="n">
        <f aca="false">IFERROR(INDEX('NCO-2015 scores'!$C$2:$C$131,MATCH(E2354,'NCO-2015 scores'!$A$2:$A$131,0)),0)</f>
        <v>0.1133</v>
      </c>
      <c r="J2354" s="13" t="n">
        <f aca="false">IF(ISNUMBER(MATCH(E2354,'NCO-2015 scores'!$A$2:$A$131,0)),IF(ISNUMBER(INDEX('NCO-2015 scores'!$C$2:$C$131,MATCH(E2354,'NCO-2015 scores'!$A$2:$A$131,0))),1,0),0)</f>
        <v>1</v>
      </c>
    </row>
    <row r="2355" customFormat="false" ht="15" hidden="false" customHeight="false" outlineLevel="0" collapsed="false">
      <c r="A2355" s="2" t="n">
        <v>2351</v>
      </c>
      <c r="B2355" s="2" t="s">
        <v>6943</v>
      </c>
      <c r="C2355" s="2" t="s">
        <v>6944</v>
      </c>
      <c r="D2355" s="2" t="s">
        <v>6945</v>
      </c>
      <c r="E2355" s="2" t="str">
        <f aca="false">LEFT(C2355,3)</f>
        <v>713</v>
      </c>
      <c r="F2355" s="2" t="str">
        <f aca="false">IF(D2355="","",LEFT(D2355,3))</f>
        <v>714</v>
      </c>
      <c r="G2355" s="2" t="str">
        <f aca="false">IF(F2355="","",IF(E2355=F2355,"Yes","No"))</f>
        <v>No</v>
      </c>
      <c r="H2355" s="2" t="n">
        <f aca="false">IF(D2355="",0,1/COUNTIF($D$2:$D$3451,D2355))</f>
        <v>1</v>
      </c>
      <c r="I2355" s="13" t="n">
        <f aca="false">IFERROR(INDEX('NCO-2015 scores'!$C$2:$C$131,MATCH(E2355,'NCO-2015 scores'!$A$2:$A$131,0)),0)</f>
        <v>0.1133</v>
      </c>
      <c r="J2355" s="13" t="n">
        <f aca="false">IF(ISNUMBER(MATCH(E2355,'NCO-2015 scores'!$A$2:$A$131,0)),IF(ISNUMBER(INDEX('NCO-2015 scores'!$C$2:$C$131,MATCH(E2355,'NCO-2015 scores'!$A$2:$A$131,0))),1,0),0)</f>
        <v>1</v>
      </c>
    </row>
    <row r="2356" customFormat="false" ht="15" hidden="false" customHeight="false" outlineLevel="0" collapsed="false">
      <c r="A2356" s="2" t="n">
        <v>2352</v>
      </c>
      <c r="B2356" s="2" t="s">
        <v>6946</v>
      </c>
      <c r="C2356" s="2" t="s">
        <v>6947</v>
      </c>
      <c r="D2356" s="2" t="s">
        <v>6948</v>
      </c>
      <c r="E2356" s="2" t="str">
        <f aca="false">LEFT(C2356,3)</f>
        <v>713</v>
      </c>
      <c r="F2356" s="2" t="str">
        <f aca="false">IF(D2356="","",LEFT(D2356,3))</f>
        <v>714</v>
      </c>
      <c r="G2356" s="2" t="str">
        <f aca="false">IF(F2356="","",IF(E2356=F2356,"Yes","No"))</f>
        <v>No</v>
      </c>
      <c r="H2356" s="2" t="n">
        <f aca="false">IF(D2356="",0,1/COUNTIF($D$2:$D$3451,D2356))</f>
        <v>1</v>
      </c>
      <c r="I2356" s="13" t="n">
        <f aca="false">IFERROR(INDEX('NCO-2015 scores'!$C$2:$C$131,MATCH(E2356,'NCO-2015 scores'!$A$2:$A$131,0)),0)</f>
        <v>0.1133</v>
      </c>
      <c r="J2356" s="13" t="n">
        <f aca="false">IF(ISNUMBER(MATCH(E2356,'NCO-2015 scores'!$A$2:$A$131,0)),IF(ISNUMBER(INDEX('NCO-2015 scores'!$C$2:$C$131,MATCH(E2356,'NCO-2015 scores'!$A$2:$A$131,0))),1,0),0)</f>
        <v>1</v>
      </c>
    </row>
    <row r="2357" customFormat="false" ht="15" hidden="false" customHeight="false" outlineLevel="0" collapsed="false">
      <c r="A2357" s="2" t="n">
        <v>2353</v>
      </c>
      <c r="B2357" s="2" t="s">
        <v>6949</v>
      </c>
      <c r="C2357" s="2" t="s">
        <v>6950</v>
      </c>
      <c r="D2357" s="2" t="s">
        <v>6951</v>
      </c>
      <c r="E2357" s="2" t="str">
        <f aca="false">LEFT(C2357,3)</f>
        <v>814</v>
      </c>
      <c r="F2357" s="2" t="str">
        <f aca="false">IF(D2357="","",LEFT(D2357,3))</f>
        <v>825</v>
      </c>
      <c r="G2357" s="2" t="str">
        <f aca="false">IF(F2357="","",IF(E2357=F2357,"Yes","No"))</f>
        <v>No</v>
      </c>
      <c r="H2357" s="2" t="n">
        <f aca="false">IF(D2357="",0,1/COUNTIF($D$2:$D$3451,D2357))</f>
        <v>1</v>
      </c>
      <c r="I2357" s="13" t="n">
        <f aca="false">IFERROR(INDEX('NCO-2015 scores'!$C$2:$C$131,MATCH(E2357,'NCO-2015 scores'!$A$2:$A$131,0)),0)</f>
        <v>0.1767</v>
      </c>
      <c r="J2357" s="13" t="n">
        <f aca="false">IF(ISNUMBER(MATCH(E2357,'NCO-2015 scores'!$A$2:$A$131,0)),IF(ISNUMBER(INDEX('NCO-2015 scores'!$C$2:$C$131,MATCH(E2357,'NCO-2015 scores'!$A$2:$A$131,0))),1,0),0)</f>
        <v>1</v>
      </c>
    </row>
    <row r="2358" customFormat="false" ht="15" hidden="false" customHeight="false" outlineLevel="0" collapsed="false">
      <c r="A2358" s="2" t="n">
        <v>2354</v>
      </c>
      <c r="B2358" s="2" t="s">
        <v>6952</v>
      </c>
      <c r="C2358" s="2" t="s">
        <v>6953</v>
      </c>
      <c r="D2358" s="2" t="s">
        <v>6954</v>
      </c>
      <c r="E2358" s="2" t="str">
        <f aca="false">LEFT(C2358,3)</f>
        <v>814</v>
      </c>
      <c r="F2358" s="2" t="str">
        <f aca="false">IF(D2358="","",LEFT(D2358,3))</f>
        <v>825</v>
      </c>
      <c r="G2358" s="2" t="str">
        <f aca="false">IF(F2358="","",IF(E2358=F2358,"Yes","No"))</f>
        <v>No</v>
      </c>
      <c r="H2358" s="2" t="n">
        <f aca="false">IF(D2358="",0,1/COUNTIF($D$2:$D$3451,D2358))</f>
        <v>1</v>
      </c>
      <c r="I2358" s="13" t="n">
        <f aca="false">IFERROR(INDEX('NCO-2015 scores'!$C$2:$C$131,MATCH(E2358,'NCO-2015 scores'!$A$2:$A$131,0)),0)</f>
        <v>0.1767</v>
      </c>
      <c r="J2358" s="13" t="n">
        <f aca="false">IF(ISNUMBER(MATCH(E2358,'NCO-2015 scores'!$A$2:$A$131,0)),IF(ISNUMBER(INDEX('NCO-2015 scores'!$C$2:$C$131,MATCH(E2358,'NCO-2015 scores'!$A$2:$A$131,0))),1,0),0)</f>
        <v>1</v>
      </c>
    </row>
    <row r="2359" customFormat="false" ht="15" hidden="false" customHeight="false" outlineLevel="0" collapsed="false">
      <c r="A2359" s="2" t="n">
        <v>2355</v>
      </c>
      <c r="B2359" s="2" t="s">
        <v>6955</v>
      </c>
      <c r="C2359" s="2" t="s">
        <v>6956</v>
      </c>
      <c r="D2359" s="2" t="s">
        <v>6957</v>
      </c>
      <c r="E2359" s="2" t="str">
        <f aca="false">LEFT(C2359,3)</f>
        <v>814</v>
      </c>
      <c r="F2359" s="2" t="str">
        <f aca="false">IF(D2359="","",LEFT(D2359,3))</f>
        <v>825</v>
      </c>
      <c r="G2359" s="2" t="str">
        <f aca="false">IF(F2359="","",IF(E2359=F2359,"Yes","No"))</f>
        <v>No</v>
      </c>
      <c r="H2359" s="2" t="n">
        <f aca="false">IF(D2359="",0,1/COUNTIF($D$2:$D$3451,D2359))</f>
        <v>1</v>
      </c>
      <c r="I2359" s="13" t="n">
        <f aca="false">IFERROR(INDEX('NCO-2015 scores'!$C$2:$C$131,MATCH(E2359,'NCO-2015 scores'!$A$2:$A$131,0)),0)</f>
        <v>0.1767</v>
      </c>
      <c r="J2359" s="13" t="n">
        <f aca="false">IF(ISNUMBER(MATCH(E2359,'NCO-2015 scores'!$A$2:$A$131,0)),IF(ISNUMBER(INDEX('NCO-2015 scores'!$C$2:$C$131,MATCH(E2359,'NCO-2015 scores'!$A$2:$A$131,0))),1,0),0)</f>
        <v>1</v>
      </c>
    </row>
    <row r="2360" customFormat="false" ht="15" hidden="false" customHeight="false" outlineLevel="0" collapsed="false">
      <c r="A2360" s="2" t="n">
        <v>2356</v>
      </c>
      <c r="B2360" s="2" t="s">
        <v>6958</v>
      </c>
      <c r="C2360" s="2" t="s">
        <v>6959</v>
      </c>
      <c r="D2360" s="2" t="s">
        <v>6960</v>
      </c>
      <c r="E2360" s="2" t="str">
        <f aca="false">LEFT(C2360,3)</f>
        <v>814</v>
      </c>
      <c r="F2360" s="2" t="str">
        <f aca="false">IF(D2360="","",LEFT(D2360,3))</f>
        <v>825</v>
      </c>
      <c r="G2360" s="2" t="str">
        <f aca="false">IF(F2360="","",IF(E2360=F2360,"Yes","No"))</f>
        <v>No</v>
      </c>
      <c r="H2360" s="2" t="n">
        <f aca="false">IF(D2360="",0,1/COUNTIF($D$2:$D$3451,D2360))</f>
        <v>1</v>
      </c>
      <c r="I2360" s="13" t="n">
        <f aca="false">IFERROR(INDEX('NCO-2015 scores'!$C$2:$C$131,MATCH(E2360,'NCO-2015 scores'!$A$2:$A$131,0)),0)</f>
        <v>0.1767</v>
      </c>
      <c r="J2360" s="13" t="n">
        <f aca="false">IF(ISNUMBER(MATCH(E2360,'NCO-2015 scores'!$A$2:$A$131,0)),IF(ISNUMBER(INDEX('NCO-2015 scores'!$C$2:$C$131,MATCH(E2360,'NCO-2015 scores'!$A$2:$A$131,0))),1,0),0)</f>
        <v>1</v>
      </c>
    </row>
    <row r="2361" customFormat="false" ht="15" hidden="false" customHeight="false" outlineLevel="0" collapsed="false">
      <c r="A2361" s="2" t="n">
        <v>2357</v>
      </c>
      <c r="B2361" s="2" t="s">
        <v>6961</v>
      </c>
      <c r="C2361" s="2" t="s">
        <v>6962</v>
      </c>
      <c r="D2361" s="2" t="s">
        <v>6963</v>
      </c>
      <c r="E2361" s="2" t="str">
        <f aca="false">LEFT(C2361,3)</f>
        <v>814</v>
      </c>
      <c r="F2361" s="2" t="str">
        <f aca="false">IF(D2361="","",LEFT(D2361,3))</f>
        <v>825</v>
      </c>
      <c r="G2361" s="2" t="str">
        <f aca="false">IF(F2361="","",IF(E2361=F2361,"Yes","No"))</f>
        <v>No</v>
      </c>
      <c r="H2361" s="2" t="n">
        <f aca="false">IF(D2361="",0,1/COUNTIF($D$2:$D$3451,D2361))</f>
        <v>1</v>
      </c>
      <c r="I2361" s="13" t="n">
        <f aca="false">IFERROR(INDEX('NCO-2015 scores'!$C$2:$C$131,MATCH(E2361,'NCO-2015 scores'!$A$2:$A$131,0)),0)</f>
        <v>0.1767</v>
      </c>
      <c r="J2361" s="13" t="n">
        <f aca="false">IF(ISNUMBER(MATCH(E2361,'NCO-2015 scores'!$A$2:$A$131,0)),IF(ISNUMBER(INDEX('NCO-2015 scores'!$C$2:$C$131,MATCH(E2361,'NCO-2015 scores'!$A$2:$A$131,0))),1,0),0)</f>
        <v>1</v>
      </c>
    </row>
    <row r="2362" customFormat="false" ht="15" hidden="false" customHeight="false" outlineLevel="0" collapsed="false">
      <c r="A2362" s="2" t="n">
        <v>2358</v>
      </c>
      <c r="B2362" s="2" t="s">
        <v>6964</v>
      </c>
      <c r="C2362" s="2" t="s">
        <v>6965</v>
      </c>
      <c r="D2362" s="2" t="s">
        <v>6966</v>
      </c>
      <c r="E2362" s="2" t="str">
        <f aca="false">LEFT(C2362,3)</f>
        <v>814</v>
      </c>
      <c r="F2362" s="2" t="str">
        <f aca="false">IF(D2362="","",LEFT(D2362,3))</f>
        <v>825</v>
      </c>
      <c r="G2362" s="2" t="str">
        <f aca="false">IF(F2362="","",IF(E2362=F2362,"Yes","No"))</f>
        <v>No</v>
      </c>
      <c r="H2362" s="2" t="n">
        <f aca="false">IF(D2362="",0,1/COUNTIF($D$2:$D$3451,D2362))</f>
        <v>1</v>
      </c>
      <c r="I2362" s="13" t="n">
        <f aca="false">IFERROR(INDEX('NCO-2015 scores'!$C$2:$C$131,MATCH(E2362,'NCO-2015 scores'!$A$2:$A$131,0)),0)</f>
        <v>0.1767</v>
      </c>
      <c r="J2362" s="13" t="n">
        <f aca="false">IF(ISNUMBER(MATCH(E2362,'NCO-2015 scores'!$A$2:$A$131,0)),IF(ISNUMBER(INDEX('NCO-2015 scores'!$C$2:$C$131,MATCH(E2362,'NCO-2015 scores'!$A$2:$A$131,0))),1,0),0)</f>
        <v>1</v>
      </c>
    </row>
    <row r="2363" customFormat="false" ht="15" hidden="false" customHeight="false" outlineLevel="0" collapsed="false">
      <c r="A2363" s="2" t="n">
        <v>2359</v>
      </c>
      <c r="B2363" s="2" t="s">
        <v>6967</v>
      </c>
      <c r="C2363" s="2" t="s">
        <v>6968</v>
      </c>
      <c r="D2363" s="2" t="s">
        <v>6969</v>
      </c>
      <c r="E2363" s="2" t="str">
        <f aca="false">LEFT(C2363,3)</f>
        <v>224</v>
      </c>
      <c r="F2363" s="2" t="str">
        <f aca="false">IF(D2363="","",LEFT(D2363,3))</f>
        <v>322</v>
      </c>
      <c r="G2363" s="2" t="str">
        <f aca="false">IF(F2363="","",IF(E2363=F2363,"Yes","No"))</f>
        <v>No</v>
      </c>
      <c r="H2363" s="2" t="n">
        <f aca="false">IF(D2363="",0,1/COUNTIF($D$2:$D$3451,D2363))</f>
        <v>1</v>
      </c>
      <c r="I2363" s="13" t="n">
        <f aca="false">IFERROR(INDEX('NCO-2015 scores'!$C$2:$C$131,MATCH(E2363,'NCO-2015 scores'!$A$2:$A$131,0)),0)</f>
        <v>0.23</v>
      </c>
      <c r="J2363" s="13" t="n">
        <f aca="false">IF(ISNUMBER(MATCH(E2363,'NCO-2015 scores'!$A$2:$A$131,0)),IF(ISNUMBER(INDEX('NCO-2015 scores'!$C$2:$C$131,MATCH(E2363,'NCO-2015 scores'!$A$2:$A$131,0))),1,0),0)</f>
        <v>1</v>
      </c>
    </row>
    <row r="2364" customFormat="false" ht="15" hidden="false" customHeight="false" outlineLevel="0" collapsed="false">
      <c r="A2364" s="2" t="n">
        <v>2360</v>
      </c>
      <c r="B2364" s="2" t="s">
        <v>6970</v>
      </c>
      <c r="C2364" s="2" t="s">
        <v>6971</v>
      </c>
      <c r="D2364" s="2" t="s">
        <v>6972</v>
      </c>
      <c r="E2364" s="2" t="str">
        <f aca="false">LEFT(C2364,3)</f>
        <v>224</v>
      </c>
      <c r="F2364" s="2" t="str">
        <f aca="false">IF(D2364="","",LEFT(D2364,3))</f>
        <v>322</v>
      </c>
      <c r="G2364" s="2" t="str">
        <f aca="false">IF(F2364="","",IF(E2364=F2364,"Yes","No"))</f>
        <v>No</v>
      </c>
      <c r="H2364" s="2" t="n">
        <f aca="false">IF(D2364="",0,1/COUNTIF($D$2:$D$3451,D2364))</f>
        <v>1</v>
      </c>
      <c r="I2364" s="13" t="n">
        <f aca="false">IFERROR(INDEX('NCO-2015 scores'!$C$2:$C$131,MATCH(E2364,'NCO-2015 scores'!$A$2:$A$131,0)),0)</f>
        <v>0.23</v>
      </c>
      <c r="J2364" s="13" t="n">
        <f aca="false">IF(ISNUMBER(MATCH(E2364,'NCO-2015 scores'!$A$2:$A$131,0)),IF(ISNUMBER(INDEX('NCO-2015 scores'!$C$2:$C$131,MATCH(E2364,'NCO-2015 scores'!$A$2:$A$131,0))),1,0),0)</f>
        <v>1</v>
      </c>
    </row>
    <row r="2365" customFormat="false" ht="15" hidden="false" customHeight="false" outlineLevel="0" collapsed="false">
      <c r="A2365" s="2" t="n">
        <v>2361</v>
      </c>
      <c r="B2365" s="2" t="s">
        <v>6973</v>
      </c>
      <c r="C2365" s="2" t="s">
        <v>6974</v>
      </c>
      <c r="D2365" s="2"/>
      <c r="E2365" s="2" t="str">
        <f aca="false">LEFT(C2365,3)</f>
        <v>224</v>
      </c>
      <c r="F2365" s="2" t="str">
        <f aca="false">IF(D2365="","",LEFT(D2365,3))</f>
        <v/>
      </c>
      <c r="G2365" s="2" t="str">
        <f aca="false">IF(F2365="","",IF(E2365=F2365,"Yes","No"))</f>
        <v/>
      </c>
      <c r="H2365" s="2" t="n">
        <f aca="false">IF(D2365="",0,1/COUNTIF($D$2:$D$3451,D2365))</f>
        <v>0</v>
      </c>
      <c r="I2365" s="13" t="n">
        <f aca="false">IFERROR(INDEX('NCO-2015 scores'!$C$2:$C$131,MATCH(E2365,'NCO-2015 scores'!$A$2:$A$131,0)),0)</f>
        <v>0.23</v>
      </c>
      <c r="J2365" s="13" t="n">
        <f aca="false">IF(ISNUMBER(MATCH(E2365,'NCO-2015 scores'!$A$2:$A$131,0)),IF(ISNUMBER(INDEX('NCO-2015 scores'!$C$2:$C$131,MATCH(E2365,'NCO-2015 scores'!$A$2:$A$131,0))),1,0),0)</f>
        <v>1</v>
      </c>
    </row>
    <row r="2366" customFormat="false" ht="15" hidden="false" customHeight="false" outlineLevel="0" collapsed="false">
      <c r="A2366" s="2" t="n">
        <v>2362</v>
      </c>
      <c r="B2366" s="2" t="s">
        <v>6975</v>
      </c>
      <c r="C2366" s="2" t="s">
        <v>6976</v>
      </c>
      <c r="D2366" s="2"/>
      <c r="E2366" s="2" t="str">
        <f aca="false">LEFT(C2366,3)</f>
        <v>224</v>
      </c>
      <c r="F2366" s="2" t="str">
        <f aca="false">IF(D2366="","",LEFT(D2366,3))</f>
        <v/>
      </c>
      <c r="G2366" s="2" t="str">
        <f aca="false">IF(F2366="","",IF(E2366=F2366,"Yes","No"))</f>
        <v/>
      </c>
      <c r="H2366" s="2" t="n">
        <f aca="false">IF(D2366="",0,1/COUNTIF($D$2:$D$3451,D2366))</f>
        <v>0</v>
      </c>
      <c r="I2366" s="13" t="n">
        <f aca="false">IFERROR(INDEX('NCO-2015 scores'!$C$2:$C$131,MATCH(E2366,'NCO-2015 scores'!$A$2:$A$131,0)),0)</f>
        <v>0.23</v>
      </c>
      <c r="J2366" s="13" t="n">
        <f aca="false">IF(ISNUMBER(MATCH(E2366,'NCO-2015 scores'!$A$2:$A$131,0)),IF(ISNUMBER(INDEX('NCO-2015 scores'!$C$2:$C$131,MATCH(E2366,'NCO-2015 scores'!$A$2:$A$131,0))),1,0),0)</f>
        <v>1</v>
      </c>
    </row>
    <row r="2367" customFormat="false" ht="15" hidden="false" customHeight="false" outlineLevel="0" collapsed="false">
      <c r="A2367" s="2" t="n">
        <v>2363</v>
      </c>
      <c r="B2367" s="2" t="s">
        <v>6977</v>
      </c>
      <c r="C2367" s="2" t="s">
        <v>6978</v>
      </c>
      <c r="D2367" s="2"/>
      <c r="E2367" s="2" t="str">
        <f aca="false">LEFT(C2367,3)</f>
        <v>224</v>
      </c>
      <c r="F2367" s="2" t="str">
        <f aca="false">IF(D2367="","",LEFT(D2367,3))</f>
        <v/>
      </c>
      <c r="G2367" s="2" t="str">
        <f aca="false">IF(F2367="","",IF(E2367=F2367,"Yes","No"))</f>
        <v/>
      </c>
      <c r="H2367" s="2" t="n">
        <f aca="false">IF(D2367="",0,1/COUNTIF($D$2:$D$3451,D2367))</f>
        <v>0</v>
      </c>
      <c r="I2367" s="13" t="n">
        <f aca="false">IFERROR(INDEX('NCO-2015 scores'!$C$2:$C$131,MATCH(E2367,'NCO-2015 scores'!$A$2:$A$131,0)),0)</f>
        <v>0.23</v>
      </c>
      <c r="J2367" s="13" t="n">
        <f aca="false">IF(ISNUMBER(MATCH(E2367,'NCO-2015 scores'!$A$2:$A$131,0)),IF(ISNUMBER(INDEX('NCO-2015 scores'!$C$2:$C$131,MATCH(E2367,'NCO-2015 scores'!$A$2:$A$131,0))),1,0),0)</f>
        <v>1</v>
      </c>
    </row>
    <row r="2368" customFormat="false" ht="15" hidden="false" customHeight="false" outlineLevel="0" collapsed="false">
      <c r="A2368" s="2" t="n">
        <v>2364</v>
      </c>
      <c r="B2368" s="2" t="s">
        <v>6979</v>
      </c>
      <c r="C2368" s="2" t="s">
        <v>6980</v>
      </c>
      <c r="D2368" s="2" t="s">
        <v>6981</v>
      </c>
      <c r="E2368" s="2" t="str">
        <f aca="false">LEFT(C2368,3)</f>
        <v>421</v>
      </c>
      <c r="F2368" s="2" t="str">
        <f aca="false">IF(D2368="","",LEFT(D2368,3))</f>
        <v>421</v>
      </c>
      <c r="G2368" s="2" t="str">
        <f aca="false">IF(F2368="","",IF(E2368=F2368,"Yes","No"))</f>
        <v>Yes</v>
      </c>
      <c r="H2368" s="2" t="n">
        <f aca="false">IF(D2368="",0,1/COUNTIF($D$2:$D$3451,D2368))</f>
        <v>1</v>
      </c>
      <c r="I2368" s="13" t="n">
        <f aca="false">IFERROR(INDEX('NCO-2015 scores'!$C$2:$C$131,MATCH(E2368,'NCO-2015 scores'!$A$2:$A$131,0)),0)</f>
        <v>0.485</v>
      </c>
      <c r="J2368" s="13" t="n">
        <f aca="false">IF(ISNUMBER(MATCH(E2368,'NCO-2015 scores'!$A$2:$A$131,0)),IF(ISNUMBER(INDEX('NCO-2015 scores'!$C$2:$C$131,MATCH(E2368,'NCO-2015 scores'!$A$2:$A$131,0))),1,0),0)</f>
        <v>1</v>
      </c>
    </row>
    <row r="2369" customFormat="false" ht="15" hidden="false" customHeight="false" outlineLevel="0" collapsed="false">
      <c r="A2369" s="2" t="n">
        <v>2365</v>
      </c>
      <c r="B2369" s="2" t="s">
        <v>6982</v>
      </c>
      <c r="C2369" s="2" t="s">
        <v>6983</v>
      </c>
      <c r="D2369" s="2" t="s">
        <v>6984</v>
      </c>
      <c r="E2369" s="2" t="str">
        <f aca="false">LEFT(C2369,3)</f>
        <v>421</v>
      </c>
      <c r="F2369" s="2" t="str">
        <f aca="false">IF(D2369="","",LEFT(D2369,3))</f>
        <v>421</v>
      </c>
      <c r="G2369" s="2" t="str">
        <f aca="false">IF(F2369="","",IF(E2369=F2369,"Yes","No"))</f>
        <v>Yes</v>
      </c>
      <c r="H2369" s="2" t="n">
        <f aca="false">IF(D2369="",0,1/COUNTIF($D$2:$D$3451,D2369))</f>
        <v>1</v>
      </c>
      <c r="I2369" s="13" t="n">
        <f aca="false">IFERROR(INDEX('NCO-2015 scores'!$C$2:$C$131,MATCH(E2369,'NCO-2015 scores'!$A$2:$A$131,0)),0)</f>
        <v>0.485</v>
      </c>
      <c r="J2369" s="13" t="n">
        <f aca="false">IF(ISNUMBER(MATCH(E2369,'NCO-2015 scores'!$A$2:$A$131,0)),IF(ISNUMBER(INDEX('NCO-2015 scores'!$C$2:$C$131,MATCH(E2369,'NCO-2015 scores'!$A$2:$A$131,0))),1,0),0)</f>
        <v>1</v>
      </c>
    </row>
    <row r="2370" customFormat="false" ht="15" hidden="false" customHeight="false" outlineLevel="0" collapsed="false">
      <c r="A2370" s="2" t="n">
        <v>2366</v>
      </c>
      <c r="B2370" s="2" t="s">
        <v>6985</v>
      </c>
      <c r="C2370" s="2" t="s">
        <v>6986</v>
      </c>
      <c r="D2370" s="2" t="s">
        <v>6987</v>
      </c>
      <c r="E2370" s="2" t="str">
        <f aca="false">LEFT(C2370,3)</f>
        <v>421</v>
      </c>
      <c r="F2370" s="2" t="str">
        <f aca="false">IF(D2370="","",LEFT(D2370,3))</f>
        <v>421</v>
      </c>
      <c r="G2370" s="2" t="str">
        <f aca="false">IF(F2370="","",IF(E2370=F2370,"Yes","No"))</f>
        <v>Yes</v>
      </c>
      <c r="H2370" s="2" t="n">
        <f aca="false">IF(D2370="",0,1/COUNTIF($D$2:$D$3451,D2370))</f>
        <v>1</v>
      </c>
      <c r="I2370" s="13" t="n">
        <f aca="false">IFERROR(INDEX('NCO-2015 scores'!$C$2:$C$131,MATCH(E2370,'NCO-2015 scores'!$A$2:$A$131,0)),0)</f>
        <v>0.485</v>
      </c>
      <c r="J2370" s="13" t="n">
        <f aca="false">IF(ISNUMBER(MATCH(E2370,'NCO-2015 scores'!$A$2:$A$131,0)),IF(ISNUMBER(INDEX('NCO-2015 scores'!$C$2:$C$131,MATCH(E2370,'NCO-2015 scores'!$A$2:$A$131,0))),1,0),0)</f>
        <v>1</v>
      </c>
    </row>
    <row r="2371" customFormat="false" ht="15" hidden="false" customHeight="false" outlineLevel="0" collapsed="false">
      <c r="A2371" s="2" t="n">
        <v>2367</v>
      </c>
      <c r="B2371" s="2" t="s">
        <v>6988</v>
      </c>
      <c r="C2371" s="2" t="s">
        <v>6989</v>
      </c>
      <c r="D2371" s="2" t="s">
        <v>6990</v>
      </c>
      <c r="E2371" s="2" t="str">
        <f aca="false">LEFT(C2371,3)</f>
        <v>431</v>
      </c>
      <c r="F2371" s="2" t="str">
        <f aca="false">IF(D2371="","",LEFT(D2371,3))</f>
        <v>412</v>
      </c>
      <c r="G2371" s="2" t="str">
        <f aca="false">IF(F2371="","",IF(E2371=F2371,"Yes","No"))</f>
        <v>No</v>
      </c>
      <c r="H2371" s="2" t="n">
        <f aca="false">IF(D2371="",0,1/COUNTIF($D$2:$D$3451,D2371))</f>
        <v>1</v>
      </c>
      <c r="I2371" s="13" t="n">
        <f aca="false">IFERROR(INDEX('NCO-2015 scores'!$C$2:$C$131,MATCH(E2371,'NCO-2015 scores'!$A$2:$A$131,0)),0)</f>
        <v>0.63</v>
      </c>
      <c r="J2371" s="13" t="n">
        <f aca="false">IF(ISNUMBER(MATCH(E2371,'NCO-2015 scores'!$A$2:$A$131,0)),IF(ISNUMBER(INDEX('NCO-2015 scores'!$C$2:$C$131,MATCH(E2371,'NCO-2015 scores'!$A$2:$A$131,0))),1,0),0)</f>
        <v>1</v>
      </c>
    </row>
    <row r="2372" customFormat="false" ht="15" hidden="false" customHeight="false" outlineLevel="0" collapsed="false">
      <c r="A2372" s="2" t="n">
        <v>2368</v>
      </c>
      <c r="B2372" s="2" t="s">
        <v>6991</v>
      </c>
      <c r="C2372" s="2" t="s">
        <v>6992</v>
      </c>
      <c r="D2372" s="2"/>
      <c r="E2372" s="2" t="str">
        <f aca="false">LEFT(C2372,3)</f>
        <v>431</v>
      </c>
      <c r="F2372" s="2" t="str">
        <f aca="false">IF(D2372="","",LEFT(D2372,3))</f>
        <v/>
      </c>
      <c r="G2372" s="2" t="str">
        <f aca="false">IF(F2372="","",IF(E2372=F2372,"Yes","No"))</f>
        <v/>
      </c>
      <c r="H2372" s="2" t="n">
        <f aca="false">IF(D2372="",0,1/COUNTIF($D$2:$D$3451,D2372))</f>
        <v>0</v>
      </c>
      <c r="I2372" s="13" t="n">
        <f aca="false">IFERROR(INDEX('NCO-2015 scores'!$C$2:$C$131,MATCH(E2372,'NCO-2015 scores'!$A$2:$A$131,0)),0)</f>
        <v>0.63</v>
      </c>
      <c r="J2372" s="13" t="n">
        <f aca="false">IF(ISNUMBER(MATCH(E2372,'NCO-2015 scores'!$A$2:$A$131,0)),IF(ISNUMBER(INDEX('NCO-2015 scores'!$C$2:$C$131,MATCH(E2372,'NCO-2015 scores'!$A$2:$A$131,0))),1,0),0)</f>
        <v>1</v>
      </c>
    </row>
    <row r="2373" customFormat="false" ht="15" hidden="false" customHeight="false" outlineLevel="0" collapsed="false">
      <c r="A2373" s="2" t="n">
        <v>2369</v>
      </c>
      <c r="B2373" s="2" t="s">
        <v>6993</v>
      </c>
      <c r="C2373" s="2" t="s">
        <v>6994</v>
      </c>
      <c r="D2373" s="2" t="s">
        <v>6995</v>
      </c>
      <c r="E2373" s="2" t="str">
        <f aca="false">LEFT(C2373,3)</f>
        <v>753</v>
      </c>
      <c r="F2373" s="2" t="str">
        <f aca="false">IF(D2373="","",LEFT(D2373,3))</f>
        <v>744</v>
      </c>
      <c r="G2373" s="2" t="str">
        <f aca="false">IF(F2373="","",IF(E2373=F2373,"Yes","No"))</f>
        <v>No</v>
      </c>
      <c r="H2373" s="2" t="n">
        <f aca="false">IF(D2373="",0,1/COUNTIF($D$2:$D$3451,D2373))</f>
        <v>1</v>
      </c>
      <c r="I2373" s="13" t="n">
        <f aca="false">IFERROR(INDEX('NCO-2015 scores'!$C$2:$C$131,MATCH(E2373,'NCO-2015 scores'!$A$2:$A$131,0)),0)</f>
        <v>0.15</v>
      </c>
      <c r="J2373" s="13" t="n">
        <f aca="false">IF(ISNUMBER(MATCH(E2373,'NCO-2015 scores'!$A$2:$A$131,0)),IF(ISNUMBER(INDEX('NCO-2015 scores'!$C$2:$C$131,MATCH(E2373,'NCO-2015 scores'!$A$2:$A$131,0))),1,0),0)</f>
        <v>1</v>
      </c>
    </row>
    <row r="2374" customFormat="false" ht="15" hidden="false" customHeight="false" outlineLevel="0" collapsed="false">
      <c r="A2374" s="2" t="n">
        <v>2370</v>
      </c>
      <c r="B2374" s="2" t="s">
        <v>6996</v>
      </c>
      <c r="C2374" s="2" t="s">
        <v>6997</v>
      </c>
      <c r="D2374" s="2" t="s">
        <v>6998</v>
      </c>
      <c r="E2374" s="2" t="str">
        <f aca="false">LEFT(C2374,3)</f>
        <v>753</v>
      </c>
      <c r="F2374" s="2" t="str">
        <f aca="false">IF(D2374="","",LEFT(D2374,3))</f>
        <v>744</v>
      </c>
      <c r="G2374" s="2" t="str">
        <f aca="false">IF(F2374="","",IF(E2374=F2374,"Yes","No"))</f>
        <v>No</v>
      </c>
      <c r="H2374" s="2" t="n">
        <f aca="false">IF(D2374="",0,1/COUNTIF($D$2:$D$3451,D2374))</f>
        <v>1</v>
      </c>
      <c r="I2374" s="13" t="n">
        <f aca="false">IFERROR(INDEX('NCO-2015 scores'!$C$2:$C$131,MATCH(E2374,'NCO-2015 scores'!$A$2:$A$131,0)),0)</f>
        <v>0.15</v>
      </c>
      <c r="J2374" s="13" t="n">
        <f aca="false">IF(ISNUMBER(MATCH(E2374,'NCO-2015 scores'!$A$2:$A$131,0)),IF(ISNUMBER(INDEX('NCO-2015 scores'!$C$2:$C$131,MATCH(E2374,'NCO-2015 scores'!$A$2:$A$131,0))),1,0),0)</f>
        <v>1</v>
      </c>
    </row>
    <row r="2375" customFormat="false" ht="15" hidden="false" customHeight="false" outlineLevel="0" collapsed="false">
      <c r="A2375" s="2" t="n">
        <v>2371</v>
      </c>
      <c r="B2375" s="2" t="s">
        <v>6999</v>
      </c>
      <c r="C2375" s="2" t="s">
        <v>7000</v>
      </c>
      <c r="D2375" s="2" t="s">
        <v>7001</v>
      </c>
      <c r="E2375" s="2" t="str">
        <f aca="false">LEFT(C2375,3)</f>
        <v>753</v>
      </c>
      <c r="F2375" s="2" t="str">
        <f aca="false">IF(D2375="","",LEFT(D2375,3))</f>
        <v>744</v>
      </c>
      <c r="G2375" s="2" t="str">
        <f aca="false">IF(F2375="","",IF(E2375=F2375,"Yes","No"))</f>
        <v>No</v>
      </c>
      <c r="H2375" s="2" t="n">
        <f aca="false">IF(D2375="",0,1/COUNTIF($D$2:$D$3451,D2375))</f>
        <v>1</v>
      </c>
      <c r="I2375" s="13" t="n">
        <f aca="false">IFERROR(INDEX('NCO-2015 scores'!$C$2:$C$131,MATCH(E2375,'NCO-2015 scores'!$A$2:$A$131,0)),0)</f>
        <v>0.15</v>
      </c>
      <c r="J2375" s="13" t="n">
        <f aca="false">IF(ISNUMBER(MATCH(E2375,'NCO-2015 scores'!$A$2:$A$131,0)),IF(ISNUMBER(INDEX('NCO-2015 scores'!$C$2:$C$131,MATCH(E2375,'NCO-2015 scores'!$A$2:$A$131,0))),1,0),0)</f>
        <v>1</v>
      </c>
    </row>
    <row r="2376" customFormat="false" ht="15" hidden="false" customHeight="false" outlineLevel="0" collapsed="false">
      <c r="A2376" s="2" t="n">
        <v>2372</v>
      </c>
      <c r="B2376" s="2" t="s">
        <v>7002</v>
      </c>
      <c r="C2376" s="2" t="s">
        <v>7003</v>
      </c>
      <c r="D2376" s="2" t="s">
        <v>7004</v>
      </c>
      <c r="E2376" s="2" t="str">
        <f aca="false">LEFT(C2376,3)</f>
        <v>753</v>
      </c>
      <c r="F2376" s="2" t="str">
        <f aca="false">IF(D2376="","",LEFT(D2376,3))</f>
        <v>744</v>
      </c>
      <c r="G2376" s="2" t="str">
        <f aca="false">IF(F2376="","",IF(E2376=F2376,"Yes","No"))</f>
        <v>No</v>
      </c>
      <c r="H2376" s="2" t="n">
        <f aca="false">IF(D2376="",0,1/COUNTIF($D$2:$D$3451,D2376))</f>
        <v>1</v>
      </c>
      <c r="I2376" s="13" t="n">
        <f aca="false">IFERROR(INDEX('NCO-2015 scores'!$C$2:$C$131,MATCH(E2376,'NCO-2015 scores'!$A$2:$A$131,0)),0)</f>
        <v>0.15</v>
      </c>
      <c r="J2376" s="13" t="n">
        <f aca="false">IF(ISNUMBER(MATCH(E2376,'NCO-2015 scores'!$A$2:$A$131,0)),IF(ISNUMBER(INDEX('NCO-2015 scores'!$C$2:$C$131,MATCH(E2376,'NCO-2015 scores'!$A$2:$A$131,0))),1,0),0)</f>
        <v>1</v>
      </c>
    </row>
    <row r="2377" customFormat="false" ht="15" hidden="false" customHeight="false" outlineLevel="0" collapsed="false">
      <c r="A2377" s="2" t="n">
        <v>2373</v>
      </c>
      <c r="B2377" s="2" t="s">
        <v>7005</v>
      </c>
      <c r="C2377" s="2" t="s">
        <v>7006</v>
      </c>
      <c r="D2377" s="2" t="s">
        <v>7007</v>
      </c>
      <c r="E2377" s="2" t="str">
        <f aca="false">LEFT(C2377,3)</f>
        <v>753</v>
      </c>
      <c r="F2377" s="2" t="str">
        <f aca="false">IF(D2377="","",LEFT(D2377,3))</f>
        <v>744</v>
      </c>
      <c r="G2377" s="2" t="str">
        <f aca="false">IF(F2377="","",IF(E2377=F2377,"Yes","No"))</f>
        <v>No</v>
      </c>
      <c r="H2377" s="2" t="n">
        <f aca="false">IF(D2377="",0,1/COUNTIF($D$2:$D$3451,D2377))</f>
        <v>1</v>
      </c>
      <c r="I2377" s="13" t="n">
        <f aca="false">IFERROR(INDEX('NCO-2015 scores'!$C$2:$C$131,MATCH(E2377,'NCO-2015 scores'!$A$2:$A$131,0)),0)</f>
        <v>0.15</v>
      </c>
      <c r="J2377" s="13" t="n">
        <f aca="false">IF(ISNUMBER(MATCH(E2377,'NCO-2015 scores'!$A$2:$A$131,0)),IF(ISNUMBER(INDEX('NCO-2015 scores'!$C$2:$C$131,MATCH(E2377,'NCO-2015 scores'!$A$2:$A$131,0))),1,0),0)</f>
        <v>1</v>
      </c>
    </row>
    <row r="2378" customFormat="false" ht="15" hidden="false" customHeight="false" outlineLevel="0" collapsed="false">
      <c r="A2378" s="2" t="n">
        <v>2374</v>
      </c>
      <c r="B2378" s="2" t="s">
        <v>7008</v>
      </c>
      <c r="C2378" s="2" t="s">
        <v>7009</v>
      </c>
      <c r="D2378" s="2" t="s">
        <v>7010</v>
      </c>
      <c r="E2378" s="2" t="str">
        <f aca="false">LEFT(C2378,3)</f>
        <v>753</v>
      </c>
      <c r="F2378" s="2" t="str">
        <f aca="false">IF(D2378="","",LEFT(D2378,3))</f>
        <v>744</v>
      </c>
      <c r="G2378" s="2" t="str">
        <f aca="false">IF(F2378="","",IF(E2378=F2378,"Yes","No"))</f>
        <v>No</v>
      </c>
      <c r="H2378" s="2" t="n">
        <f aca="false">IF(D2378="",0,1/COUNTIF($D$2:$D$3451,D2378))</f>
        <v>1</v>
      </c>
      <c r="I2378" s="13" t="n">
        <f aca="false">IFERROR(INDEX('NCO-2015 scores'!$C$2:$C$131,MATCH(E2378,'NCO-2015 scores'!$A$2:$A$131,0)),0)</f>
        <v>0.15</v>
      </c>
      <c r="J2378" s="13" t="n">
        <f aca="false">IF(ISNUMBER(MATCH(E2378,'NCO-2015 scores'!$A$2:$A$131,0)),IF(ISNUMBER(INDEX('NCO-2015 scores'!$C$2:$C$131,MATCH(E2378,'NCO-2015 scores'!$A$2:$A$131,0))),1,0),0)</f>
        <v>1</v>
      </c>
    </row>
    <row r="2379" customFormat="false" ht="15" hidden="false" customHeight="false" outlineLevel="0" collapsed="false">
      <c r="A2379" s="2" t="n">
        <v>2375</v>
      </c>
      <c r="B2379" s="2" t="s">
        <v>7011</v>
      </c>
      <c r="C2379" s="2" t="s">
        <v>7012</v>
      </c>
      <c r="D2379" s="2" t="s">
        <v>7013</v>
      </c>
      <c r="E2379" s="2" t="str">
        <f aca="false">LEFT(C2379,3)</f>
        <v>753</v>
      </c>
      <c r="F2379" s="2" t="str">
        <f aca="false">IF(D2379="","",LEFT(D2379,3))</f>
        <v>744</v>
      </c>
      <c r="G2379" s="2" t="str">
        <f aca="false">IF(F2379="","",IF(E2379=F2379,"Yes","No"))</f>
        <v>No</v>
      </c>
      <c r="H2379" s="2" t="n">
        <f aca="false">IF(D2379="",0,1/COUNTIF($D$2:$D$3451,D2379))</f>
        <v>1</v>
      </c>
      <c r="I2379" s="13" t="n">
        <f aca="false">IFERROR(INDEX('NCO-2015 scores'!$C$2:$C$131,MATCH(E2379,'NCO-2015 scores'!$A$2:$A$131,0)),0)</f>
        <v>0.15</v>
      </c>
      <c r="J2379" s="13" t="n">
        <f aca="false">IF(ISNUMBER(MATCH(E2379,'NCO-2015 scores'!$A$2:$A$131,0)),IF(ISNUMBER(INDEX('NCO-2015 scores'!$C$2:$C$131,MATCH(E2379,'NCO-2015 scores'!$A$2:$A$131,0))),1,0),0)</f>
        <v>1</v>
      </c>
    </row>
    <row r="2380" customFormat="false" ht="15" hidden="false" customHeight="false" outlineLevel="0" collapsed="false">
      <c r="A2380" s="2" t="n">
        <v>2376</v>
      </c>
      <c r="B2380" s="2" t="s">
        <v>7014</v>
      </c>
      <c r="C2380" s="2" t="s">
        <v>7015</v>
      </c>
      <c r="D2380" s="2" t="s">
        <v>7016</v>
      </c>
      <c r="E2380" s="2" t="str">
        <f aca="false">LEFT(C2380,3)</f>
        <v>753</v>
      </c>
      <c r="F2380" s="2" t="str">
        <f aca="false">IF(D2380="","",LEFT(D2380,3))</f>
        <v>744</v>
      </c>
      <c r="G2380" s="2" t="str">
        <f aca="false">IF(F2380="","",IF(E2380=F2380,"Yes","No"))</f>
        <v>No</v>
      </c>
      <c r="H2380" s="2" t="n">
        <f aca="false">IF(D2380="",0,1/COUNTIF($D$2:$D$3451,D2380))</f>
        <v>1</v>
      </c>
      <c r="I2380" s="13" t="n">
        <f aca="false">IFERROR(INDEX('NCO-2015 scores'!$C$2:$C$131,MATCH(E2380,'NCO-2015 scores'!$A$2:$A$131,0)),0)</f>
        <v>0.15</v>
      </c>
      <c r="J2380" s="13" t="n">
        <f aca="false">IF(ISNUMBER(MATCH(E2380,'NCO-2015 scores'!$A$2:$A$131,0)),IF(ISNUMBER(INDEX('NCO-2015 scores'!$C$2:$C$131,MATCH(E2380,'NCO-2015 scores'!$A$2:$A$131,0))),1,0),0)</f>
        <v>1</v>
      </c>
    </row>
    <row r="2381" customFormat="false" ht="15" hidden="false" customHeight="false" outlineLevel="0" collapsed="false">
      <c r="A2381" s="2" t="n">
        <v>2377</v>
      </c>
      <c r="B2381" s="2" t="s">
        <v>7017</v>
      </c>
      <c r="C2381" s="2" t="s">
        <v>7018</v>
      </c>
      <c r="D2381" s="2" t="s">
        <v>7019</v>
      </c>
      <c r="E2381" s="2" t="str">
        <f aca="false">LEFT(C2381,3)</f>
        <v>753</v>
      </c>
      <c r="F2381" s="2" t="str">
        <f aca="false">IF(D2381="","",LEFT(D2381,3))</f>
        <v>744</v>
      </c>
      <c r="G2381" s="2" t="str">
        <f aca="false">IF(F2381="","",IF(E2381=F2381,"Yes","No"))</f>
        <v>No</v>
      </c>
      <c r="H2381" s="2" t="n">
        <f aca="false">IF(D2381="",0,1/COUNTIF($D$2:$D$3451,D2381))</f>
        <v>1</v>
      </c>
      <c r="I2381" s="13" t="n">
        <f aca="false">IFERROR(INDEX('NCO-2015 scores'!$C$2:$C$131,MATCH(E2381,'NCO-2015 scores'!$A$2:$A$131,0)),0)</f>
        <v>0.15</v>
      </c>
      <c r="J2381" s="13" t="n">
        <f aca="false">IF(ISNUMBER(MATCH(E2381,'NCO-2015 scores'!$A$2:$A$131,0)),IF(ISNUMBER(INDEX('NCO-2015 scores'!$C$2:$C$131,MATCH(E2381,'NCO-2015 scores'!$A$2:$A$131,0))),1,0),0)</f>
        <v>1</v>
      </c>
    </row>
    <row r="2382" customFormat="false" ht="15" hidden="false" customHeight="false" outlineLevel="0" collapsed="false">
      <c r="A2382" s="2" t="n">
        <v>2378</v>
      </c>
      <c r="B2382" s="2" t="s">
        <v>7020</v>
      </c>
      <c r="C2382" s="2" t="s">
        <v>7021</v>
      </c>
      <c r="D2382" s="2" t="s">
        <v>7022</v>
      </c>
      <c r="E2382" s="2" t="str">
        <f aca="false">LEFT(C2382,3)</f>
        <v>753</v>
      </c>
      <c r="F2382" s="2" t="str">
        <f aca="false">IF(D2382="","",LEFT(D2382,3))</f>
        <v>744</v>
      </c>
      <c r="G2382" s="2" t="str">
        <f aca="false">IF(F2382="","",IF(E2382=F2382,"Yes","No"))</f>
        <v>No</v>
      </c>
      <c r="H2382" s="2" t="n">
        <f aca="false">IF(D2382="",0,1/COUNTIF($D$2:$D$3451,D2382))</f>
        <v>1</v>
      </c>
      <c r="I2382" s="13" t="n">
        <f aca="false">IFERROR(INDEX('NCO-2015 scores'!$C$2:$C$131,MATCH(E2382,'NCO-2015 scores'!$A$2:$A$131,0)),0)</f>
        <v>0.15</v>
      </c>
      <c r="J2382" s="13" t="n">
        <f aca="false">IF(ISNUMBER(MATCH(E2382,'NCO-2015 scores'!$A$2:$A$131,0)),IF(ISNUMBER(INDEX('NCO-2015 scores'!$C$2:$C$131,MATCH(E2382,'NCO-2015 scores'!$A$2:$A$131,0))),1,0),0)</f>
        <v>1</v>
      </c>
    </row>
    <row r="2383" customFormat="false" ht="15" hidden="false" customHeight="false" outlineLevel="0" collapsed="false">
      <c r="A2383" s="2" t="n">
        <v>2379</v>
      </c>
      <c r="B2383" s="2" t="s">
        <v>7023</v>
      </c>
      <c r="C2383" s="2" t="s">
        <v>7024</v>
      </c>
      <c r="D2383" s="2" t="s">
        <v>7025</v>
      </c>
      <c r="E2383" s="2" t="str">
        <f aca="false">LEFT(C2383,3)</f>
        <v>753</v>
      </c>
      <c r="F2383" s="2" t="str">
        <f aca="false">IF(D2383="","",LEFT(D2383,3))</f>
        <v>744</v>
      </c>
      <c r="G2383" s="2" t="str">
        <f aca="false">IF(F2383="","",IF(E2383=F2383,"Yes","No"))</f>
        <v>No</v>
      </c>
      <c r="H2383" s="2" t="n">
        <f aca="false">IF(D2383="",0,1/COUNTIF($D$2:$D$3451,D2383))</f>
        <v>1</v>
      </c>
      <c r="I2383" s="13" t="n">
        <f aca="false">IFERROR(INDEX('NCO-2015 scores'!$C$2:$C$131,MATCH(E2383,'NCO-2015 scores'!$A$2:$A$131,0)),0)</f>
        <v>0.15</v>
      </c>
      <c r="J2383" s="13" t="n">
        <f aca="false">IF(ISNUMBER(MATCH(E2383,'NCO-2015 scores'!$A$2:$A$131,0)),IF(ISNUMBER(INDEX('NCO-2015 scores'!$C$2:$C$131,MATCH(E2383,'NCO-2015 scores'!$A$2:$A$131,0))),1,0),0)</f>
        <v>1</v>
      </c>
    </row>
    <row r="2384" customFormat="false" ht="15" hidden="false" customHeight="false" outlineLevel="0" collapsed="false">
      <c r="A2384" s="2" t="n">
        <v>2380</v>
      </c>
      <c r="B2384" s="2" t="s">
        <v>7026</v>
      </c>
      <c r="C2384" s="2" t="s">
        <v>7027</v>
      </c>
      <c r="D2384" s="2" t="s">
        <v>7028</v>
      </c>
      <c r="E2384" s="2" t="str">
        <f aca="false">LEFT(C2384,3)</f>
        <v>753</v>
      </c>
      <c r="F2384" s="2" t="str">
        <f aca="false">IF(D2384="","",LEFT(D2384,3))</f>
        <v>744</v>
      </c>
      <c r="G2384" s="2" t="str">
        <f aca="false">IF(F2384="","",IF(E2384=F2384,"Yes","No"))</f>
        <v>No</v>
      </c>
      <c r="H2384" s="2" t="n">
        <f aca="false">IF(D2384="",0,1/COUNTIF($D$2:$D$3451,D2384))</f>
        <v>1</v>
      </c>
      <c r="I2384" s="13" t="n">
        <f aca="false">IFERROR(INDEX('NCO-2015 scores'!$C$2:$C$131,MATCH(E2384,'NCO-2015 scores'!$A$2:$A$131,0)),0)</f>
        <v>0.15</v>
      </c>
      <c r="J2384" s="13" t="n">
        <f aca="false">IF(ISNUMBER(MATCH(E2384,'NCO-2015 scores'!$A$2:$A$131,0)),IF(ISNUMBER(INDEX('NCO-2015 scores'!$C$2:$C$131,MATCH(E2384,'NCO-2015 scores'!$A$2:$A$131,0))),1,0),0)</f>
        <v>1</v>
      </c>
    </row>
    <row r="2385" customFormat="false" ht="15" hidden="false" customHeight="false" outlineLevel="0" collapsed="false">
      <c r="A2385" s="2" t="n">
        <v>2381</v>
      </c>
      <c r="B2385" s="2" t="s">
        <v>7029</v>
      </c>
      <c r="C2385" s="2" t="s">
        <v>7030</v>
      </c>
      <c r="D2385" s="2" t="s">
        <v>7031</v>
      </c>
      <c r="E2385" s="2" t="str">
        <f aca="false">LEFT(C2385,3)</f>
        <v>753</v>
      </c>
      <c r="F2385" s="2" t="str">
        <f aca="false">IF(D2385="","",LEFT(D2385,3))</f>
        <v>744</v>
      </c>
      <c r="G2385" s="2" t="str">
        <f aca="false">IF(F2385="","",IF(E2385=F2385,"Yes","No"))</f>
        <v>No</v>
      </c>
      <c r="H2385" s="2" t="n">
        <f aca="false">IF(D2385="",0,1/COUNTIF($D$2:$D$3451,D2385))</f>
        <v>1</v>
      </c>
      <c r="I2385" s="13" t="n">
        <f aca="false">IFERROR(INDEX('NCO-2015 scores'!$C$2:$C$131,MATCH(E2385,'NCO-2015 scores'!$A$2:$A$131,0)),0)</f>
        <v>0.15</v>
      </c>
      <c r="J2385" s="13" t="n">
        <f aca="false">IF(ISNUMBER(MATCH(E2385,'NCO-2015 scores'!$A$2:$A$131,0)),IF(ISNUMBER(INDEX('NCO-2015 scores'!$C$2:$C$131,MATCH(E2385,'NCO-2015 scores'!$A$2:$A$131,0))),1,0),0)</f>
        <v>1</v>
      </c>
    </row>
    <row r="2386" customFormat="false" ht="15" hidden="false" customHeight="false" outlineLevel="0" collapsed="false">
      <c r="A2386" s="2" t="n">
        <v>2382</v>
      </c>
      <c r="B2386" s="2" t="s">
        <v>7032</v>
      </c>
      <c r="C2386" s="2" t="s">
        <v>7033</v>
      </c>
      <c r="D2386" s="2" t="s">
        <v>7034</v>
      </c>
      <c r="E2386" s="2" t="str">
        <f aca="false">LEFT(C2386,3)</f>
        <v>753</v>
      </c>
      <c r="F2386" s="2" t="str">
        <f aca="false">IF(D2386="","",LEFT(D2386,3))</f>
        <v>744</v>
      </c>
      <c r="G2386" s="2" t="str">
        <f aca="false">IF(F2386="","",IF(E2386=F2386,"Yes","No"))</f>
        <v>No</v>
      </c>
      <c r="H2386" s="2" t="n">
        <f aca="false">IF(D2386="",0,1/COUNTIF($D$2:$D$3451,D2386))</f>
        <v>1</v>
      </c>
      <c r="I2386" s="13" t="n">
        <f aca="false">IFERROR(INDEX('NCO-2015 scores'!$C$2:$C$131,MATCH(E2386,'NCO-2015 scores'!$A$2:$A$131,0)),0)</f>
        <v>0.15</v>
      </c>
      <c r="J2386" s="13" t="n">
        <f aca="false">IF(ISNUMBER(MATCH(E2386,'NCO-2015 scores'!$A$2:$A$131,0)),IF(ISNUMBER(INDEX('NCO-2015 scores'!$C$2:$C$131,MATCH(E2386,'NCO-2015 scores'!$A$2:$A$131,0))),1,0),0)</f>
        <v>1</v>
      </c>
    </row>
    <row r="2387" customFormat="false" ht="15" hidden="false" customHeight="false" outlineLevel="0" collapsed="false">
      <c r="A2387" s="2" t="n">
        <v>2383</v>
      </c>
      <c r="B2387" s="2" t="s">
        <v>7035</v>
      </c>
      <c r="C2387" s="2" t="s">
        <v>7036</v>
      </c>
      <c r="D2387" s="2" t="s">
        <v>7037</v>
      </c>
      <c r="E2387" s="2" t="str">
        <f aca="false">LEFT(C2387,3)</f>
        <v>753</v>
      </c>
      <c r="F2387" s="2" t="str">
        <f aca="false">IF(D2387="","",LEFT(D2387,3))</f>
        <v>744</v>
      </c>
      <c r="G2387" s="2" t="str">
        <f aca="false">IF(F2387="","",IF(E2387=F2387,"Yes","No"))</f>
        <v>No</v>
      </c>
      <c r="H2387" s="2" t="n">
        <f aca="false">IF(D2387="",0,1/COUNTIF($D$2:$D$3451,D2387))</f>
        <v>1</v>
      </c>
      <c r="I2387" s="13" t="n">
        <f aca="false">IFERROR(INDEX('NCO-2015 scores'!$C$2:$C$131,MATCH(E2387,'NCO-2015 scores'!$A$2:$A$131,0)),0)</f>
        <v>0.15</v>
      </c>
      <c r="J2387" s="13" t="n">
        <f aca="false">IF(ISNUMBER(MATCH(E2387,'NCO-2015 scores'!$A$2:$A$131,0)),IF(ISNUMBER(INDEX('NCO-2015 scores'!$C$2:$C$131,MATCH(E2387,'NCO-2015 scores'!$A$2:$A$131,0))),1,0),0)</f>
        <v>1</v>
      </c>
    </row>
    <row r="2388" customFormat="false" ht="15" hidden="false" customHeight="false" outlineLevel="0" collapsed="false">
      <c r="A2388" s="2" t="n">
        <v>2384</v>
      </c>
      <c r="B2388" s="2" t="s">
        <v>7038</v>
      </c>
      <c r="C2388" s="2" t="s">
        <v>7039</v>
      </c>
      <c r="D2388" s="2" t="s">
        <v>7040</v>
      </c>
      <c r="E2388" s="2" t="str">
        <f aca="false">LEFT(C2388,3)</f>
        <v>753</v>
      </c>
      <c r="F2388" s="2" t="str">
        <f aca="false">IF(D2388="","",LEFT(D2388,3))</f>
        <v>744</v>
      </c>
      <c r="G2388" s="2" t="str">
        <f aca="false">IF(F2388="","",IF(E2388=F2388,"Yes","No"))</f>
        <v>No</v>
      </c>
      <c r="H2388" s="2" t="n">
        <f aca="false">IF(D2388="",0,1/COUNTIF($D$2:$D$3451,D2388))</f>
        <v>1</v>
      </c>
      <c r="I2388" s="13" t="n">
        <f aca="false">IFERROR(INDEX('NCO-2015 scores'!$C$2:$C$131,MATCH(E2388,'NCO-2015 scores'!$A$2:$A$131,0)),0)</f>
        <v>0.15</v>
      </c>
      <c r="J2388" s="13" t="n">
        <f aca="false">IF(ISNUMBER(MATCH(E2388,'NCO-2015 scores'!$A$2:$A$131,0)),IF(ISNUMBER(INDEX('NCO-2015 scores'!$C$2:$C$131,MATCH(E2388,'NCO-2015 scores'!$A$2:$A$131,0))),1,0),0)</f>
        <v>1</v>
      </c>
    </row>
    <row r="2389" customFormat="false" ht="15" hidden="false" customHeight="false" outlineLevel="0" collapsed="false">
      <c r="A2389" s="2" t="n">
        <v>2385</v>
      </c>
      <c r="B2389" s="2" t="s">
        <v>7041</v>
      </c>
      <c r="C2389" s="2" t="s">
        <v>7042</v>
      </c>
      <c r="D2389" s="2" t="s">
        <v>7043</v>
      </c>
      <c r="E2389" s="2" t="str">
        <f aca="false">LEFT(C2389,3)</f>
        <v>753</v>
      </c>
      <c r="F2389" s="2" t="str">
        <f aca="false">IF(D2389="","",LEFT(D2389,3))</f>
        <v>744</v>
      </c>
      <c r="G2389" s="2" t="str">
        <f aca="false">IF(F2389="","",IF(E2389=F2389,"Yes","No"))</f>
        <v>No</v>
      </c>
      <c r="H2389" s="2" t="n">
        <f aca="false">IF(D2389="",0,1/COUNTIF($D$2:$D$3451,D2389))</f>
        <v>1</v>
      </c>
      <c r="I2389" s="13" t="n">
        <f aca="false">IFERROR(INDEX('NCO-2015 scores'!$C$2:$C$131,MATCH(E2389,'NCO-2015 scores'!$A$2:$A$131,0)),0)</f>
        <v>0.15</v>
      </c>
      <c r="J2389" s="13" t="n">
        <f aca="false">IF(ISNUMBER(MATCH(E2389,'NCO-2015 scores'!$A$2:$A$131,0)),IF(ISNUMBER(INDEX('NCO-2015 scores'!$C$2:$C$131,MATCH(E2389,'NCO-2015 scores'!$A$2:$A$131,0))),1,0),0)</f>
        <v>1</v>
      </c>
    </row>
    <row r="2390" customFormat="false" ht="15" hidden="false" customHeight="false" outlineLevel="0" collapsed="false">
      <c r="A2390" s="2" t="n">
        <v>2386</v>
      </c>
      <c r="B2390" s="2" t="s">
        <v>7044</v>
      </c>
      <c r="C2390" s="2" t="s">
        <v>7045</v>
      </c>
      <c r="D2390" s="2" t="s">
        <v>7046</v>
      </c>
      <c r="E2390" s="2" t="str">
        <f aca="false">LEFT(C2390,3)</f>
        <v>753</v>
      </c>
      <c r="F2390" s="2" t="str">
        <f aca="false">IF(D2390="","",LEFT(D2390,3))</f>
        <v>744</v>
      </c>
      <c r="G2390" s="2" t="str">
        <f aca="false">IF(F2390="","",IF(E2390=F2390,"Yes","No"))</f>
        <v>No</v>
      </c>
      <c r="H2390" s="2" t="n">
        <f aca="false">IF(D2390="",0,1/COUNTIF($D$2:$D$3451,D2390))</f>
        <v>1</v>
      </c>
      <c r="I2390" s="13" t="n">
        <f aca="false">IFERROR(INDEX('NCO-2015 scores'!$C$2:$C$131,MATCH(E2390,'NCO-2015 scores'!$A$2:$A$131,0)),0)</f>
        <v>0.15</v>
      </c>
      <c r="J2390" s="13" t="n">
        <f aca="false">IF(ISNUMBER(MATCH(E2390,'NCO-2015 scores'!$A$2:$A$131,0)),IF(ISNUMBER(INDEX('NCO-2015 scores'!$C$2:$C$131,MATCH(E2390,'NCO-2015 scores'!$A$2:$A$131,0))),1,0),0)</f>
        <v>1</v>
      </c>
    </row>
    <row r="2391" customFormat="false" ht="15" hidden="false" customHeight="false" outlineLevel="0" collapsed="false">
      <c r="A2391" s="2" t="n">
        <v>2387</v>
      </c>
      <c r="B2391" s="2" t="s">
        <v>7047</v>
      </c>
      <c r="C2391" s="2" t="s">
        <v>7048</v>
      </c>
      <c r="D2391" s="2" t="s">
        <v>7049</v>
      </c>
      <c r="E2391" s="2" t="str">
        <f aca="false">LEFT(C2391,3)</f>
        <v>753</v>
      </c>
      <c r="F2391" s="2" t="str">
        <f aca="false">IF(D2391="","",LEFT(D2391,3))</f>
        <v>744</v>
      </c>
      <c r="G2391" s="2" t="str">
        <f aca="false">IF(F2391="","",IF(E2391=F2391,"Yes","No"))</f>
        <v>No</v>
      </c>
      <c r="H2391" s="2" t="n">
        <f aca="false">IF(D2391="",0,1/COUNTIF($D$2:$D$3451,D2391))</f>
        <v>1</v>
      </c>
      <c r="I2391" s="13" t="n">
        <f aca="false">IFERROR(INDEX('NCO-2015 scores'!$C$2:$C$131,MATCH(E2391,'NCO-2015 scores'!$A$2:$A$131,0)),0)</f>
        <v>0.15</v>
      </c>
      <c r="J2391" s="13" t="n">
        <f aca="false">IF(ISNUMBER(MATCH(E2391,'NCO-2015 scores'!$A$2:$A$131,0)),IF(ISNUMBER(INDEX('NCO-2015 scores'!$C$2:$C$131,MATCH(E2391,'NCO-2015 scores'!$A$2:$A$131,0))),1,0),0)</f>
        <v>1</v>
      </c>
    </row>
    <row r="2392" customFormat="false" ht="15" hidden="false" customHeight="false" outlineLevel="0" collapsed="false">
      <c r="A2392" s="2" t="n">
        <v>2388</v>
      </c>
      <c r="B2392" s="2" t="s">
        <v>7050</v>
      </c>
      <c r="C2392" s="2" t="s">
        <v>7051</v>
      </c>
      <c r="D2392" s="2" t="s">
        <v>7052</v>
      </c>
      <c r="E2392" s="2" t="str">
        <f aca="false">LEFT(C2392,3)</f>
        <v>753</v>
      </c>
      <c r="F2392" s="2" t="str">
        <f aca="false">IF(D2392="","",LEFT(D2392,3))</f>
        <v>744</v>
      </c>
      <c r="G2392" s="2" t="str">
        <f aca="false">IF(F2392="","",IF(E2392=F2392,"Yes","No"))</f>
        <v>No</v>
      </c>
      <c r="H2392" s="2" t="n">
        <f aca="false">IF(D2392="",0,1/COUNTIF($D$2:$D$3451,D2392))</f>
        <v>1</v>
      </c>
      <c r="I2392" s="13" t="n">
        <f aca="false">IFERROR(INDEX('NCO-2015 scores'!$C$2:$C$131,MATCH(E2392,'NCO-2015 scores'!$A$2:$A$131,0)),0)</f>
        <v>0.15</v>
      </c>
      <c r="J2392" s="13" t="n">
        <f aca="false">IF(ISNUMBER(MATCH(E2392,'NCO-2015 scores'!$A$2:$A$131,0)),IF(ISNUMBER(INDEX('NCO-2015 scores'!$C$2:$C$131,MATCH(E2392,'NCO-2015 scores'!$A$2:$A$131,0))),1,0),0)</f>
        <v>1</v>
      </c>
    </row>
    <row r="2393" customFormat="false" ht="15" hidden="false" customHeight="false" outlineLevel="0" collapsed="false">
      <c r="A2393" s="2" t="n">
        <v>2389</v>
      </c>
      <c r="B2393" s="2" t="s">
        <v>7053</v>
      </c>
      <c r="C2393" s="2" t="s">
        <v>7054</v>
      </c>
      <c r="D2393" s="2" t="s">
        <v>7055</v>
      </c>
      <c r="E2393" s="2" t="str">
        <f aca="false">LEFT(C2393,3)</f>
        <v>753</v>
      </c>
      <c r="F2393" s="2" t="str">
        <f aca="false">IF(D2393="","",LEFT(D2393,3))</f>
        <v>744</v>
      </c>
      <c r="G2393" s="2" t="str">
        <f aca="false">IF(F2393="","",IF(E2393=F2393,"Yes","No"))</f>
        <v>No</v>
      </c>
      <c r="H2393" s="2" t="n">
        <f aca="false">IF(D2393="",0,1/COUNTIF($D$2:$D$3451,D2393))</f>
        <v>1</v>
      </c>
      <c r="I2393" s="13" t="n">
        <f aca="false">IFERROR(INDEX('NCO-2015 scores'!$C$2:$C$131,MATCH(E2393,'NCO-2015 scores'!$A$2:$A$131,0)),0)</f>
        <v>0.15</v>
      </c>
      <c r="J2393" s="13" t="n">
        <f aca="false">IF(ISNUMBER(MATCH(E2393,'NCO-2015 scores'!$A$2:$A$131,0)),IF(ISNUMBER(INDEX('NCO-2015 scores'!$C$2:$C$131,MATCH(E2393,'NCO-2015 scores'!$A$2:$A$131,0))),1,0),0)</f>
        <v>1</v>
      </c>
    </row>
    <row r="2394" customFormat="false" ht="15" hidden="false" customHeight="false" outlineLevel="0" collapsed="false">
      <c r="A2394" s="2" t="n">
        <v>2390</v>
      </c>
      <c r="B2394" s="2" t="s">
        <v>7056</v>
      </c>
      <c r="C2394" s="2" t="s">
        <v>7057</v>
      </c>
      <c r="D2394" s="2" t="s">
        <v>7058</v>
      </c>
      <c r="E2394" s="2" t="str">
        <f aca="false">LEFT(C2394,3)</f>
        <v>753</v>
      </c>
      <c r="F2394" s="2" t="str">
        <f aca="false">IF(D2394="","",LEFT(D2394,3))</f>
        <v>744</v>
      </c>
      <c r="G2394" s="2" t="str">
        <f aca="false">IF(F2394="","",IF(E2394=F2394,"Yes","No"))</f>
        <v>No</v>
      </c>
      <c r="H2394" s="2" t="n">
        <f aca="false">IF(D2394="",0,1/COUNTIF($D$2:$D$3451,D2394))</f>
        <v>1</v>
      </c>
      <c r="I2394" s="13" t="n">
        <f aca="false">IFERROR(INDEX('NCO-2015 scores'!$C$2:$C$131,MATCH(E2394,'NCO-2015 scores'!$A$2:$A$131,0)),0)</f>
        <v>0.15</v>
      </c>
      <c r="J2394" s="13" t="n">
        <f aca="false">IF(ISNUMBER(MATCH(E2394,'NCO-2015 scores'!$A$2:$A$131,0)),IF(ISNUMBER(INDEX('NCO-2015 scores'!$C$2:$C$131,MATCH(E2394,'NCO-2015 scores'!$A$2:$A$131,0))),1,0),0)</f>
        <v>1</v>
      </c>
    </row>
    <row r="2395" customFormat="false" ht="15" hidden="false" customHeight="false" outlineLevel="0" collapsed="false">
      <c r="A2395" s="2" t="n">
        <v>2391</v>
      </c>
      <c r="B2395" s="2" t="s">
        <v>7059</v>
      </c>
      <c r="C2395" s="2" t="s">
        <v>7060</v>
      </c>
      <c r="D2395" s="2" t="s">
        <v>7061</v>
      </c>
      <c r="E2395" s="2" t="str">
        <f aca="false">LEFT(C2395,3)</f>
        <v>242</v>
      </c>
      <c r="F2395" s="2" t="str">
        <f aca="false">IF(D2395="","",LEFT(D2395,3))</f>
        <v>241</v>
      </c>
      <c r="G2395" s="2" t="str">
        <f aca="false">IF(F2395="","",IF(E2395=F2395,"Yes","No"))</f>
        <v>No</v>
      </c>
      <c r="H2395" s="2" t="n">
        <f aca="false">IF(D2395="",0,1/COUNTIF($D$2:$D$3451,D2395))</f>
        <v>1</v>
      </c>
      <c r="I2395" s="13" t="n">
        <f aca="false">IFERROR(INDEX('NCO-2015 scores'!$C$2:$C$131,MATCH(E2395,'NCO-2015 scores'!$A$2:$A$131,0)),0)</f>
        <v>0.435</v>
      </c>
      <c r="J2395" s="13" t="n">
        <f aca="false">IF(ISNUMBER(MATCH(E2395,'NCO-2015 scores'!$A$2:$A$131,0)),IF(ISNUMBER(INDEX('NCO-2015 scores'!$C$2:$C$131,MATCH(E2395,'NCO-2015 scores'!$A$2:$A$131,0))),1,0),0)</f>
        <v>1</v>
      </c>
    </row>
    <row r="2396" customFormat="false" ht="15" hidden="false" customHeight="false" outlineLevel="0" collapsed="false">
      <c r="A2396" s="2" t="n">
        <v>2392</v>
      </c>
      <c r="B2396" s="2" t="s">
        <v>7062</v>
      </c>
      <c r="C2396" s="2" t="s">
        <v>7063</v>
      </c>
      <c r="D2396" s="2" t="s">
        <v>7064</v>
      </c>
      <c r="E2396" s="2" t="str">
        <f aca="false">LEFT(C2396,3)</f>
        <v>242</v>
      </c>
      <c r="F2396" s="2" t="str">
        <f aca="false">IF(D2396="","",LEFT(D2396,3))</f>
        <v>241</v>
      </c>
      <c r="G2396" s="2" t="str">
        <f aca="false">IF(F2396="","",IF(E2396=F2396,"Yes","No"))</f>
        <v>No</v>
      </c>
      <c r="H2396" s="2" t="n">
        <f aca="false">IF(D2396="",0,1/COUNTIF($D$2:$D$3451,D2396))</f>
        <v>1</v>
      </c>
      <c r="I2396" s="13" t="n">
        <f aca="false">IFERROR(INDEX('NCO-2015 scores'!$C$2:$C$131,MATCH(E2396,'NCO-2015 scores'!$A$2:$A$131,0)),0)</f>
        <v>0.435</v>
      </c>
      <c r="J2396" s="13" t="n">
        <f aca="false">IF(ISNUMBER(MATCH(E2396,'NCO-2015 scores'!$A$2:$A$131,0)),IF(ISNUMBER(INDEX('NCO-2015 scores'!$C$2:$C$131,MATCH(E2396,'NCO-2015 scores'!$A$2:$A$131,0))),1,0),0)</f>
        <v>1</v>
      </c>
    </row>
    <row r="2397" customFormat="false" ht="15" hidden="false" customHeight="false" outlineLevel="0" collapsed="false">
      <c r="A2397" s="2" t="n">
        <v>2393</v>
      </c>
      <c r="B2397" s="2" t="s">
        <v>7065</v>
      </c>
      <c r="C2397" s="2" t="s">
        <v>7066</v>
      </c>
      <c r="D2397" s="2" t="s">
        <v>7067</v>
      </c>
      <c r="E2397" s="2" t="str">
        <f aca="false">LEFT(C2397,3)</f>
        <v>242</v>
      </c>
      <c r="F2397" s="2" t="str">
        <f aca="false">IF(D2397="","",LEFT(D2397,3))</f>
        <v>241</v>
      </c>
      <c r="G2397" s="2" t="str">
        <f aca="false">IF(F2397="","",IF(E2397=F2397,"Yes","No"))</f>
        <v>No</v>
      </c>
      <c r="H2397" s="2" t="n">
        <f aca="false">IF(D2397="",0,1/COUNTIF($D$2:$D$3451,D2397))</f>
        <v>1</v>
      </c>
      <c r="I2397" s="13" t="n">
        <f aca="false">IFERROR(INDEX('NCO-2015 scores'!$C$2:$C$131,MATCH(E2397,'NCO-2015 scores'!$A$2:$A$131,0)),0)</f>
        <v>0.435</v>
      </c>
      <c r="J2397" s="13" t="n">
        <f aca="false">IF(ISNUMBER(MATCH(E2397,'NCO-2015 scores'!$A$2:$A$131,0)),IF(ISNUMBER(INDEX('NCO-2015 scores'!$C$2:$C$131,MATCH(E2397,'NCO-2015 scores'!$A$2:$A$131,0))),1,0),0)</f>
        <v>1</v>
      </c>
    </row>
    <row r="2398" customFormat="false" ht="15" hidden="false" customHeight="false" outlineLevel="0" collapsed="false">
      <c r="A2398" s="2" t="n">
        <v>2394</v>
      </c>
      <c r="B2398" s="2" t="s">
        <v>7068</v>
      </c>
      <c r="C2398" s="2" t="s">
        <v>7069</v>
      </c>
      <c r="D2398" s="2" t="s">
        <v>7070</v>
      </c>
      <c r="E2398" s="2" t="str">
        <f aca="false">LEFT(C2398,3)</f>
        <v>242</v>
      </c>
      <c r="F2398" s="2" t="str">
        <f aca="false">IF(D2398="","",LEFT(D2398,3))</f>
        <v>241</v>
      </c>
      <c r="G2398" s="2" t="str">
        <f aca="false">IF(F2398="","",IF(E2398=F2398,"Yes","No"))</f>
        <v>No</v>
      </c>
      <c r="H2398" s="2" t="n">
        <f aca="false">IF(D2398="",0,1/COUNTIF($D$2:$D$3451,D2398))</f>
        <v>1</v>
      </c>
      <c r="I2398" s="13" t="n">
        <f aca="false">IFERROR(INDEX('NCO-2015 scores'!$C$2:$C$131,MATCH(E2398,'NCO-2015 scores'!$A$2:$A$131,0)),0)</f>
        <v>0.435</v>
      </c>
      <c r="J2398" s="13" t="n">
        <f aca="false">IF(ISNUMBER(MATCH(E2398,'NCO-2015 scores'!$A$2:$A$131,0)),IF(ISNUMBER(INDEX('NCO-2015 scores'!$C$2:$C$131,MATCH(E2398,'NCO-2015 scores'!$A$2:$A$131,0))),1,0),0)</f>
        <v>1</v>
      </c>
    </row>
    <row r="2399" customFormat="false" ht="15" hidden="false" customHeight="false" outlineLevel="0" collapsed="false">
      <c r="A2399" s="2" t="n">
        <v>2395</v>
      </c>
      <c r="B2399" s="2" t="s">
        <v>7071</v>
      </c>
      <c r="C2399" s="2" t="s">
        <v>7072</v>
      </c>
      <c r="D2399" s="2"/>
      <c r="E2399" s="2" t="str">
        <f aca="false">LEFT(C2399,3)</f>
        <v>242</v>
      </c>
      <c r="F2399" s="2" t="str">
        <f aca="false">IF(D2399="","",LEFT(D2399,3))</f>
        <v/>
      </c>
      <c r="G2399" s="2" t="str">
        <f aca="false">IF(F2399="","",IF(E2399=F2399,"Yes","No"))</f>
        <v/>
      </c>
      <c r="H2399" s="2" t="n">
        <f aca="false">IF(D2399="",0,1/COUNTIF($D$2:$D$3451,D2399))</f>
        <v>0</v>
      </c>
      <c r="I2399" s="13" t="n">
        <f aca="false">IFERROR(INDEX('NCO-2015 scores'!$C$2:$C$131,MATCH(E2399,'NCO-2015 scores'!$A$2:$A$131,0)),0)</f>
        <v>0.435</v>
      </c>
      <c r="J2399" s="13" t="n">
        <f aca="false">IF(ISNUMBER(MATCH(E2399,'NCO-2015 scores'!$A$2:$A$131,0)),IF(ISNUMBER(INDEX('NCO-2015 scores'!$C$2:$C$131,MATCH(E2399,'NCO-2015 scores'!$A$2:$A$131,0))),1,0),0)</f>
        <v>1</v>
      </c>
    </row>
    <row r="2400" customFormat="false" ht="15" hidden="false" customHeight="false" outlineLevel="0" collapsed="false">
      <c r="A2400" s="2" t="n">
        <v>2396</v>
      </c>
      <c r="B2400" s="2" t="s">
        <v>7073</v>
      </c>
      <c r="C2400" s="2" t="s">
        <v>7074</v>
      </c>
      <c r="D2400" s="2"/>
      <c r="E2400" s="2" t="str">
        <f aca="false">LEFT(C2400,3)</f>
        <v>532</v>
      </c>
      <c r="F2400" s="2" t="str">
        <f aca="false">IF(D2400="","",LEFT(D2400,3))</f>
        <v/>
      </c>
      <c r="G2400" s="2" t="str">
        <f aca="false">IF(F2400="","",IF(E2400=F2400,"Yes","No"))</f>
        <v/>
      </c>
      <c r="H2400" s="2" t="n">
        <f aca="false">IF(D2400="",0,1/COUNTIF($D$2:$D$3451,D2400))</f>
        <v>0</v>
      </c>
      <c r="I2400" s="13" t="n">
        <f aca="false">IFERROR(INDEX('NCO-2015 scores'!$C$2:$C$131,MATCH(E2400,'NCO-2015 scores'!$A$2:$A$131,0)),0)</f>
        <v>0.18</v>
      </c>
      <c r="J2400" s="13" t="n">
        <f aca="false">IF(ISNUMBER(MATCH(E2400,'NCO-2015 scores'!$A$2:$A$131,0)),IF(ISNUMBER(INDEX('NCO-2015 scores'!$C$2:$C$131,MATCH(E2400,'NCO-2015 scores'!$A$2:$A$131,0))),1,0),0)</f>
        <v>1</v>
      </c>
    </row>
    <row r="2401" customFormat="false" ht="15" hidden="false" customHeight="false" outlineLevel="0" collapsed="false">
      <c r="A2401" s="2" t="n">
        <v>2397</v>
      </c>
      <c r="B2401" s="2" t="s">
        <v>7075</v>
      </c>
      <c r="C2401" s="2" t="s">
        <v>7076</v>
      </c>
      <c r="D2401" s="2"/>
      <c r="E2401" s="2" t="str">
        <f aca="false">LEFT(C2401,3)</f>
        <v>441</v>
      </c>
      <c r="F2401" s="2" t="str">
        <f aca="false">IF(D2401="","",LEFT(D2401,3))</f>
        <v/>
      </c>
      <c r="G2401" s="2" t="str">
        <f aca="false">IF(F2401="","",IF(E2401=F2401,"Yes","No"))</f>
        <v/>
      </c>
      <c r="H2401" s="2" t="n">
        <f aca="false">IF(D2401="",0,1/COUNTIF($D$2:$D$3451,D2401))</f>
        <v>0</v>
      </c>
      <c r="I2401" s="13" t="n">
        <f aca="false">IFERROR(INDEX('NCO-2015 scores'!$C$2:$C$131,MATCH(E2401,'NCO-2015 scores'!$A$2:$A$131,0)),0)</f>
        <v>0.5086</v>
      </c>
      <c r="J2401" s="13" t="n">
        <f aca="false">IF(ISNUMBER(MATCH(E2401,'NCO-2015 scores'!$A$2:$A$131,0)),IF(ISNUMBER(INDEX('NCO-2015 scores'!$C$2:$C$131,MATCH(E2401,'NCO-2015 scores'!$A$2:$A$131,0))),1,0),0)</f>
        <v>1</v>
      </c>
    </row>
    <row r="2402" customFormat="false" ht="15" hidden="false" customHeight="false" outlineLevel="0" collapsed="false">
      <c r="A2402" s="2" t="n">
        <v>2398</v>
      </c>
      <c r="B2402" s="2" t="s">
        <v>7077</v>
      </c>
      <c r="C2402" s="2" t="s">
        <v>7078</v>
      </c>
      <c r="D2402" s="2" t="s">
        <v>7079</v>
      </c>
      <c r="E2402" s="2" t="str">
        <f aca="false">LEFT(C2402,3)</f>
        <v>313</v>
      </c>
      <c r="F2402" s="2" t="str">
        <f aca="false">IF(D2402="","",LEFT(D2402,3))</f>
        <v>815</v>
      </c>
      <c r="G2402" s="2" t="str">
        <f aca="false">IF(F2402="","",IF(E2402=F2402,"Yes","No"))</f>
        <v>No</v>
      </c>
      <c r="H2402" s="2" t="n">
        <f aca="false">IF(D2402="",0,1/COUNTIF($D$2:$D$3451,D2402))</f>
        <v>1</v>
      </c>
      <c r="I2402" s="13" t="n">
        <f aca="false">IFERROR(INDEX('NCO-2015 scores'!$C$2:$C$131,MATCH(E2402,'NCO-2015 scores'!$A$2:$A$131,0)),0)</f>
        <v>0.288</v>
      </c>
      <c r="J2402" s="13" t="n">
        <f aca="false">IF(ISNUMBER(MATCH(E2402,'NCO-2015 scores'!$A$2:$A$131,0)),IF(ISNUMBER(INDEX('NCO-2015 scores'!$C$2:$C$131,MATCH(E2402,'NCO-2015 scores'!$A$2:$A$131,0))),1,0),0)</f>
        <v>1</v>
      </c>
    </row>
    <row r="2403" customFormat="false" ht="15" hidden="false" customHeight="false" outlineLevel="0" collapsed="false">
      <c r="A2403" s="2" t="n">
        <v>2399</v>
      </c>
      <c r="B2403" s="2" t="s">
        <v>7080</v>
      </c>
      <c r="C2403" s="2" t="s">
        <v>7081</v>
      </c>
      <c r="D2403" s="2" t="s">
        <v>7082</v>
      </c>
      <c r="E2403" s="2" t="str">
        <f aca="false">LEFT(C2403,3)</f>
        <v>313</v>
      </c>
      <c r="F2403" s="2" t="str">
        <f aca="false">IF(D2403="","",LEFT(D2403,3))</f>
        <v>815</v>
      </c>
      <c r="G2403" s="2" t="str">
        <f aca="false">IF(F2403="","",IF(E2403=F2403,"Yes","No"))</f>
        <v>No</v>
      </c>
      <c r="H2403" s="2" t="n">
        <f aca="false">IF(D2403="",0,1/COUNTIF($D$2:$D$3451,D2403))</f>
        <v>1</v>
      </c>
      <c r="I2403" s="13" t="n">
        <f aca="false">IFERROR(INDEX('NCO-2015 scores'!$C$2:$C$131,MATCH(E2403,'NCO-2015 scores'!$A$2:$A$131,0)),0)</f>
        <v>0.288</v>
      </c>
      <c r="J2403" s="13" t="n">
        <f aca="false">IF(ISNUMBER(MATCH(E2403,'NCO-2015 scores'!$A$2:$A$131,0)),IF(ISNUMBER(INDEX('NCO-2015 scores'!$C$2:$C$131,MATCH(E2403,'NCO-2015 scores'!$A$2:$A$131,0))),1,0),0)</f>
        <v>1</v>
      </c>
    </row>
    <row r="2404" customFormat="false" ht="15" hidden="false" customHeight="false" outlineLevel="0" collapsed="false">
      <c r="A2404" s="2" t="n">
        <v>2400</v>
      </c>
      <c r="B2404" s="2" t="s">
        <v>7083</v>
      </c>
      <c r="C2404" s="2" t="s">
        <v>7084</v>
      </c>
      <c r="D2404" s="2" t="s">
        <v>7085</v>
      </c>
      <c r="E2404" s="2" t="str">
        <f aca="false">LEFT(C2404,3)</f>
        <v>313</v>
      </c>
      <c r="F2404" s="2" t="str">
        <f aca="false">IF(D2404="","",LEFT(D2404,3))</f>
        <v>815</v>
      </c>
      <c r="G2404" s="2" t="str">
        <f aca="false">IF(F2404="","",IF(E2404=F2404,"Yes","No"))</f>
        <v>No</v>
      </c>
      <c r="H2404" s="2" t="n">
        <f aca="false">IF(D2404="",0,1/COUNTIF($D$2:$D$3451,D2404))</f>
        <v>1</v>
      </c>
      <c r="I2404" s="13" t="n">
        <f aca="false">IFERROR(INDEX('NCO-2015 scores'!$C$2:$C$131,MATCH(E2404,'NCO-2015 scores'!$A$2:$A$131,0)),0)</f>
        <v>0.288</v>
      </c>
      <c r="J2404" s="13" t="n">
        <f aca="false">IF(ISNUMBER(MATCH(E2404,'NCO-2015 scores'!$A$2:$A$131,0)),IF(ISNUMBER(INDEX('NCO-2015 scores'!$C$2:$C$131,MATCH(E2404,'NCO-2015 scores'!$A$2:$A$131,0))),1,0),0)</f>
        <v>1</v>
      </c>
    </row>
    <row r="2405" customFormat="false" ht="15" hidden="false" customHeight="false" outlineLevel="0" collapsed="false">
      <c r="A2405" s="2" t="n">
        <v>2401</v>
      </c>
      <c r="B2405" s="2" t="s">
        <v>7086</v>
      </c>
      <c r="C2405" s="2" t="s">
        <v>7087</v>
      </c>
      <c r="D2405" s="2" t="s">
        <v>7088</v>
      </c>
      <c r="E2405" s="2" t="str">
        <f aca="false">LEFT(C2405,3)</f>
        <v>313</v>
      </c>
      <c r="F2405" s="2" t="str">
        <f aca="false">IF(D2405="","",LEFT(D2405,3))</f>
        <v>815</v>
      </c>
      <c r="G2405" s="2" t="str">
        <f aca="false">IF(F2405="","",IF(E2405=F2405,"Yes","No"))</f>
        <v>No</v>
      </c>
      <c r="H2405" s="2" t="n">
        <f aca="false">IF(D2405="",0,1/COUNTIF($D$2:$D$3451,D2405))</f>
        <v>1</v>
      </c>
      <c r="I2405" s="13" t="n">
        <f aca="false">IFERROR(INDEX('NCO-2015 scores'!$C$2:$C$131,MATCH(E2405,'NCO-2015 scores'!$A$2:$A$131,0)),0)</f>
        <v>0.288</v>
      </c>
      <c r="J2405" s="13" t="n">
        <f aca="false">IF(ISNUMBER(MATCH(E2405,'NCO-2015 scores'!$A$2:$A$131,0)),IF(ISNUMBER(INDEX('NCO-2015 scores'!$C$2:$C$131,MATCH(E2405,'NCO-2015 scores'!$A$2:$A$131,0))),1,0),0)</f>
        <v>1</v>
      </c>
    </row>
    <row r="2406" customFormat="false" ht="15" hidden="false" customHeight="false" outlineLevel="0" collapsed="false">
      <c r="A2406" s="2" t="n">
        <v>2402</v>
      </c>
      <c r="B2406" s="2" t="s">
        <v>7089</v>
      </c>
      <c r="C2406" s="2" t="s">
        <v>7090</v>
      </c>
      <c r="D2406" s="2" t="s">
        <v>7091</v>
      </c>
      <c r="E2406" s="2" t="str">
        <f aca="false">LEFT(C2406,3)</f>
        <v>313</v>
      </c>
      <c r="F2406" s="2" t="str">
        <f aca="false">IF(D2406="","",LEFT(D2406,3))</f>
        <v>815</v>
      </c>
      <c r="G2406" s="2" t="str">
        <f aca="false">IF(F2406="","",IF(E2406=F2406,"Yes","No"))</f>
        <v>No</v>
      </c>
      <c r="H2406" s="2" t="n">
        <f aca="false">IF(D2406="",0,1/COUNTIF($D$2:$D$3451,D2406))</f>
        <v>1</v>
      </c>
      <c r="I2406" s="13" t="n">
        <f aca="false">IFERROR(INDEX('NCO-2015 scores'!$C$2:$C$131,MATCH(E2406,'NCO-2015 scores'!$A$2:$A$131,0)),0)</f>
        <v>0.288</v>
      </c>
      <c r="J2406" s="13" t="n">
        <f aca="false">IF(ISNUMBER(MATCH(E2406,'NCO-2015 scores'!$A$2:$A$131,0)),IF(ISNUMBER(INDEX('NCO-2015 scores'!$C$2:$C$131,MATCH(E2406,'NCO-2015 scores'!$A$2:$A$131,0))),1,0),0)</f>
        <v>1</v>
      </c>
    </row>
    <row r="2407" customFormat="false" ht="15" hidden="false" customHeight="false" outlineLevel="0" collapsed="false">
      <c r="A2407" s="2" t="n">
        <v>2403</v>
      </c>
      <c r="B2407" s="2" t="s">
        <v>7092</v>
      </c>
      <c r="C2407" s="2" t="s">
        <v>7093</v>
      </c>
      <c r="D2407" s="2" t="s">
        <v>7094</v>
      </c>
      <c r="E2407" s="2" t="str">
        <f aca="false">LEFT(C2407,3)</f>
        <v>313</v>
      </c>
      <c r="F2407" s="2" t="str">
        <f aca="false">IF(D2407="","",LEFT(D2407,3))</f>
        <v>815</v>
      </c>
      <c r="G2407" s="2" t="str">
        <f aca="false">IF(F2407="","",IF(E2407=F2407,"Yes","No"))</f>
        <v>No</v>
      </c>
      <c r="H2407" s="2" t="n">
        <f aca="false">IF(D2407="",0,1/COUNTIF($D$2:$D$3451,D2407))</f>
        <v>1</v>
      </c>
      <c r="I2407" s="13" t="n">
        <f aca="false">IFERROR(INDEX('NCO-2015 scores'!$C$2:$C$131,MATCH(E2407,'NCO-2015 scores'!$A$2:$A$131,0)),0)</f>
        <v>0.288</v>
      </c>
      <c r="J2407" s="13" t="n">
        <f aca="false">IF(ISNUMBER(MATCH(E2407,'NCO-2015 scores'!$A$2:$A$131,0)),IF(ISNUMBER(INDEX('NCO-2015 scores'!$C$2:$C$131,MATCH(E2407,'NCO-2015 scores'!$A$2:$A$131,0))),1,0),0)</f>
        <v>1</v>
      </c>
    </row>
    <row r="2408" customFormat="false" ht="15" hidden="false" customHeight="false" outlineLevel="0" collapsed="false">
      <c r="A2408" s="2" t="n">
        <v>2404</v>
      </c>
      <c r="B2408" s="2" t="s">
        <v>7095</v>
      </c>
      <c r="C2408" s="2" t="s">
        <v>7096</v>
      </c>
      <c r="D2408" s="2" t="s">
        <v>7097</v>
      </c>
      <c r="E2408" s="2" t="str">
        <f aca="false">LEFT(C2408,3)</f>
        <v>313</v>
      </c>
      <c r="F2408" s="2" t="str">
        <f aca="false">IF(D2408="","",LEFT(D2408,3))</f>
        <v>815</v>
      </c>
      <c r="G2408" s="2" t="str">
        <f aca="false">IF(F2408="","",IF(E2408=F2408,"Yes","No"))</f>
        <v>No</v>
      </c>
      <c r="H2408" s="2" t="n">
        <f aca="false">IF(D2408="",0,1/COUNTIF($D$2:$D$3451,D2408))</f>
        <v>1</v>
      </c>
      <c r="I2408" s="13" t="n">
        <f aca="false">IFERROR(INDEX('NCO-2015 scores'!$C$2:$C$131,MATCH(E2408,'NCO-2015 scores'!$A$2:$A$131,0)),0)</f>
        <v>0.288</v>
      </c>
      <c r="J2408" s="13" t="n">
        <f aca="false">IF(ISNUMBER(MATCH(E2408,'NCO-2015 scores'!$A$2:$A$131,0)),IF(ISNUMBER(INDEX('NCO-2015 scores'!$C$2:$C$131,MATCH(E2408,'NCO-2015 scores'!$A$2:$A$131,0))),1,0),0)</f>
        <v>1</v>
      </c>
    </row>
    <row r="2409" customFormat="false" ht="15" hidden="false" customHeight="false" outlineLevel="0" collapsed="false">
      <c r="A2409" s="2" t="n">
        <v>2405</v>
      </c>
      <c r="B2409" s="2" t="s">
        <v>7098</v>
      </c>
      <c r="C2409" s="2" t="s">
        <v>7099</v>
      </c>
      <c r="D2409" s="2" t="s">
        <v>7100</v>
      </c>
      <c r="E2409" s="2" t="str">
        <f aca="false">LEFT(C2409,3)</f>
        <v>313</v>
      </c>
      <c r="F2409" s="2" t="str">
        <f aca="false">IF(D2409="","",LEFT(D2409,3))</f>
        <v>815</v>
      </c>
      <c r="G2409" s="2" t="str">
        <f aca="false">IF(F2409="","",IF(E2409=F2409,"Yes","No"))</f>
        <v>No</v>
      </c>
      <c r="H2409" s="2" t="n">
        <f aca="false">IF(D2409="",0,1/COUNTIF($D$2:$D$3451,D2409))</f>
        <v>1</v>
      </c>
      <c r="I2409" s="13" t="n">
        <f aca="false">IFERROR(INDEX('NCO-2015 scores'!$C$2:$C$131,MATCH(E2409,'NCO-2015 scores'!$A$2:$A$131,0)),0)</f>
        <v>0.288</v>
      </c>
      <c r="J2409" s="13" t="n">
        <f aca="false">IF(ISNUMBER(MATCH(E2409,'NCO-2015 scores'!$A$2:$A$131,0)),IF(ISNUMBER(INDEX('NCO-2015 scores'!$C$2:$C$131,MATCH(E2409,'NCO-2015 scores'!$A$2:$A$131,0))),1,0),0)</f>
        <v>1</v>
      </c>
    </row>
    <row r="2410" customFormat="false" ht="15" hidden="false" customHeight="false" outlineLevel="0" collapsed="false">
      <c r="A2410" s="2" t="n">
        <v>2406</v>
      </c>
      <c r="B2410" s="2" t="s">
        <v>7101</v>
      </c>
      <c r="C2410" s="2" t="s">
        <v>7102</v>
      </c>
      <c r="D2410" s="2" t="s">
        <v>7103</v>
      </c>
      <c r="E2410" s="2" t="str">
        <f aca="false">LEFT(C2410,3)</f>
        <v>313</v>
      </c>
      <c r="F2410" s="2" t="str">
        <f aca="false">IF(D2410="","",LEFT(D2410,3))</f>
        <v>815</v>
      </c>
      <c r="G2410" s="2" t="str">
        <f aca="false">IF(F2410="","",IF(E2410=F2410,"Yes","No"))</f>
        <v>No</v>
      </c>
      <c r="H2410" s="2" t="n">
        <f aca="false">IF(D2410="",0,1/COUNTIF($D$2:$D$3451,D2410))</f>
        <v>1</v>
      </c>
      <c r="I2410" s="13" t="n">
        <f aca="false">IFERROR(INDEX('NCO-2015 scores'!$C$2:$C$131,MATCH(E2410,'NCO-2015 scores'!$A$2:$A$131,0)),0)</f>
        <v>0.288</v>
      </c>
      <c r="J2410" s="13" t="n">
        <f aca="false">IF(ISNUMBER(MATCH(E2410,'NCO-2015 scores'!$A$2:$A$131,0)),IF(ISNUMBER(INDEX('NCO-2015 scores'!$C$2:$C$131,MATCH(E2410,'NCO-2015 scores'!$A$2:$A$131,0))),1,0),0)</f>
        <v>1</v>
      </c>
    </row>
    <row r="2411" customFormat="false" ht="15" hidden="false" customHeight="false" outlineLevel="0" collapsed="false">
      <c r="A2411" s="2" t="n">
        <v>2407</v>
      </c>
      <c r="B2411" s="2" t="s">
        <v>7104</v>
      </c>
      <c r="C2411" s="2" t="s">
        <v>7105</v>
      </c>
      <c r="D2411" s="2" t="s">
        <v>7106</v>
      </c>
      <c r="E2411" s="2" t="str">
        <f aca="false">LEFT(C2411,3)</f>
        <v>321</v>
      </c>
      <c r="F2411" s="2" t="str">
        <f aca="false">IF(D2411="","",LEFT(D2411,3))</f>
        <v>322</v>
      </c>
      <c r="G2411" s="2" t="str">
        <f aca="false">IF(F2411="","",IF(E2411=F2411,"Yes","No"))</f>
        <v>No</v>
      </c>
      <c r="H2411" s="2" t="n">
        <f aca="false">IF(D2411="",0,1/COUNTIF($D$2:$D$3451,D2411))</f>
        <v>1</v>
      </c>
      <c r="I2411" s="13" t="n">
        <f aca="false">IFERROR(INDEX('NCO-2015 scores'!$C$2:$C$131,MATCH(E2411,'NCO-2015 scores'!$A$2:$A$131,0)),0)</f>
        <v>0.2525</v>
      </c>
      <c r="J2411" s="13" t="n">
        <f aca="false">IF(ISNUMBER(MATCH(E2411,'NCO-2015 scores'!$A$2:$A$131,0)),IF(ISNUMBER(INDEX('NCO-2015 scores'!$C$2:$C$131,MATCH(E2411,'NCO-2015 scores'!$A$2:$A$131,0))),1,0),0)</f>
        <v>1</v>
      </c>
    </row>
    <row r="2412" customFormat="false" ht="15" hidden="false" customHeight="false" outlineLevel="0" collapsed="false">
      <c r="A2412" s="2" t="n">
        <v>2408</v>
      </c>
      <c r="B2412" s="2" t="s">
        <v>7107</v>
      </c>
      <c r="C2412" s="2" t="s">
        <v>7108</v>
      </c>
      <c r="D2412" s="2"/>
      <c r="E2412" s="2" t="str">
        <f aca="false">LEFT(C2412,3)</f>
        <v>321</v>
      </c>
      <c r="F2412" s="2" t="str">
        <f aca="false">IF(D2412="","",LEFT(D2412,3))</f>
        <v/>
      </c>
      <c r="G2412" s="2" t="str">
        <f aca="false">IF(F2412="","",IF(E2412=F2412,"Yes","No"))</f>
        <v/>
      </c>
      <c r="H2412" s="2" t="n">
        <f aca="false">IF(D2412="",0,1/COUNTIF($D$2:$D$3451,D2412))</f>
        <v>0</v>
      </c>
      <c r="I2412" s="13" t="n">
        <f aca="false">IFERROR(INDEX('NCO-2015 scores'!$C$2:$C$131,MATCH(E2412,'NCO-2015 scores'!$A$2:$A$131,0)),0)</f>
        <v>0.2525</v>
      </c>
      <c r="J2412" s="13" t="n">
        <f aca="false">IF(ISNUMBER(MATCH(E2412,'NCO-2015 scores'!$A$2:$A$131,0)),IF(ISNUMBER(INDEX('NCO-2015 scores'!$C$2:$C$131,MATCH(E2412,'NCO-2015 scores'!$A$2:$A$131,0))),1,0),0)</f>
        <v>1</v>
      </c>
    </row>
    <row r="2413" customFormat="false" ht="15" hidden="false" customHeight="false" outlineLevel="0" collapsed="false">
      <c r="A2413" s="2" t="n">
        <v>2409</v>
      </c>
      <c r="B2413" s="2" t="s">
        <v>7109</v>
      </c>
      <c r="C2413" s="2" t="s">
        <v>7110</v>
      </c>
      <c r="D2413" s="2" t="s">
        <v>7111</v>
      </c>
      <c r="E2413" s="2" t="str">
        <f aca="false">LEFT(C2413,3)</f>
        <v>321</v>
      </c>
      <c r="F2413" s="2" t="str">
        <f aca="false">IF(D2413="","",LEFT(D2413,3))</f>
        <v>322</v>
      </c>
      <c r="G2413" s="2" t="str">
        <f aca="false">IF(F2413="","",IF(E2413=F2413,"Yes","No"))</f>
        <v>No</v>
      </c>
      <c r="H2413" s="2" t="n">
        <f aca="false">IF(D2413="",0,1/COUNTIF($D$2:$D$3451,D2413))</f>
        <v>1</v>
      </c>
      <c r="I2413" s="13" t="n">
        <f aca="false">IFERROR(INDEX('NCO-2015 scores'!$C$2:$C$131,MATCH(E2413,'NCO-2015 scores'!$A$2:$A$131,0)),0)</f>
        <v>0.2525</v>
      </c>
      <c r="J2413" s="13" t="n">
        <f aca="false">IF(ISNUMBER(MATCH(E2413,'NCO-2015 scores'!$A$2:$A$131,0)),IF(ISNUMBER(INDEX('NCO-2015 scores'!$C$2:$C$131,MATCH(E2413,'NCO-2015 scores'!$A$2:$A$131,0))),1,0),0)</f>
        <v>1</v>
      </c>
    </row>
    <row r="2414" customFormat="false" ht="15" hidden="false" customHeight="false" outlineLevel="0" collapsed="false">
      <c r="A2414" s="2" t="n">
        <v>2410</v>
      </c>
      <c r="B2414" s="2" t="s">
        <v>7112</v>
      </c>
      <c r="C2414" s="2" t="s">
        <v>7113</v>
      </c>
      <c r="D2414" s="2" t="s">
        <v>7114</v>
      </c>
      <c r="E2414" s="2" t="str">
        <f aca="false">LEFT(C2414,3)</f>
        <v>321</v>
      </c>
      <c r="F2414" s="2" t="str">
        <f aca="false">IF(D2414="","",LEFT(D2414,3))</f>
        <v>322</v>
      </c>
      <c r="G2414" s="2" t="str">
        <f aca="false">IF(F2414="","",IF(E2414=F2414,"Yes","No"))</f>
        <v>No</v>
      </c>
      <c r="H2414" s="2" t="n">
        <f aca="false">IF(D2414="",0,1/COUNTIF($D$2:$D$3451,D2414))</f>
        <v>1</v>
      </c>
      <c r="I2414" s="13" t="n">
        <f aca="false">IFERROR(INDEX('NCO-2015 scores'!$C$2:$C$131,MATCH(E2414,'NCO-2015 scores'!$A$2:$A$131,0)),0)</f>
        <v>0.2525</v>
      </c>
      <c r="J2414" s="13" t="n">
        <f aca="false">IF(ISNUMBER(MATCH(E2414,'NCO-2015 scores'!$A$2:$A$131,0)),IF(ISNUMBER(INDEX('NCO-2015 scores'!$C$2:$C$131,MATCH(E2414,'NCO-2015 scores'!$A$2:$A$131,0))),1,0),0)</f>
        <v>1</v>
      </c>
    </row>
    <row r="2415" customFormat="false" ht="15" hidden="false" customHeight="false" outlineLevel="0" collapsed="false">
      <c r="A2415" s="2" t="n">
        <v>2411</v>
      </c>
      <c r="B2415" s="2" t="s">
        <v>7115</v>
      </c>
      <c r="C2415" s="2" t="s">
        <v>7116</v>
      </c>
      <c r="D2415" s="2" t="s">
        <v>7117</v>
      </c>
      <c r="E2415" s="2" t="str">
        <f aca="false">LEFT(C2415,3)</f>
        <v>226</v>
      </c>
      <c r="F2415" s="2" t="str">
        <f aca="false">IF(D2415="","",LEFT(D2415,3))</f>
        <v>211</v>
      </c>
      <c r="G2415" s="2" t="str">
        <f aca="false">IF(F2415="","",IF(E2415=F2415,"Yes","No"))</f>
        <v>No</v>
      </c>
      <c r="H2415" s="2" t="n">
        <f aca="false">IF(D2415="",0,1/COUNTIF($D$2:$D$3451,D2415))</f>
        <v>1</v>
      </c>
      <c r="I2415" s="13" t="n">
        <f aca="false">IFERROR(INDEX('NCO-2015 scores'!$C$2:$C$131,MATCH(E2415,'NCO-2015 scores'!$A$2:$A$131,0)),0)</f>
        <v>0.2662</v>
      </c>
      <c r="J2415" s="13" t="n">
        <f aca="false">IF(ISNUMBER(MATCH(E2415,'NCO-2015 scores'!$A$2:$A$131,0)),IF(ISNUMBER(INDEX('NCO-2015 scores'!$C$2:$C$131,MATCH(E2415,'NCO-2015 scores'!$A$2:$A$131,0))),1,0),0)</f>
        <v>1</v>
      </c>
    </row>
    <row r="2416" customFormat="false" ht="15" hidden="false" customHeight="false" outlineLevel="0" collapsed="false">
      <c r="A2416" s="2" t="n">
        <v>2412</v>
      </c>
      <c r="B2416" s="2" t="s">
        <v>7115</v>
      </c>
      <c r="C2416" s="2" t="s">
        <v>7118</v>
      </c>
      <c r="D2416" s="2"/>
      <c r="E2416" s="2" t="str">
        <f aca="false">LEFT(C2416,3)</f>
        <v>226</v>
      </c>
      <c r="F2416" s="2" t="str">
        <f aca="false">IF(D2416="","",LEFT(D2416,3))</f>
        <v/>
      </c>
      <c r="G2416" s="2" t="str">
        <f aca="false">IF(F2416="","",IF(E2416=F2416,"Yes","No"))</f>
        <v/>
      </c>
      <c r="H2416" s="2" t="n">
        <f aca="false">IF(D2416="",0,1/COUNTIF($D$2:$D$3451,D2416))</f>
        <v>0</v>
      </c>
      <c r="I2416" s="13" t="n">
        <f aca="false">IFERROR(INDEX('NCO-2015 scores'!$C$2:$C$131,MATCH(E2416,'NCO-2015 scores'!$A$2:$A$131,0)),0)</f>
        <v>0.2662</v>
      </c>
      <c r="J2416" s="13" t="n">
        <f aca="false">IF(ISNUMBER(MATCH(E2416,'NCO-2015 scores'!$A$2:$A$131,0)),IF(ISNUMBER(INDEX('NCO-2015 scores'!$C$2:$C$131,MATCH(E2416,'NCO-2015 scores'!$A$2:$A$131,0))),1,0),0)</f>
        <v>1</v>
      </c>
    </row>
    <row r="2417" customFormat="false" ht="15" hidden="false" customHeight="false" outlineLevel="0" collapsed="false">
      <c r="A2417" s="2" t="n">
        <v>2413</v>
      </c>
      <c r="B2417" s="2" t="s">
        <v>7119</v>
      </c>
      <c r="C2417" s="2" t="s">
        <v>7120</v>
      </c>
      <c r="D2417" s="2" t="s">
        <v>7121</v>
      </c>
      <c r="E2417" s="2" t="str">
        <f aca="false">LEFT(C2417,3)</f>
        <v>263</v>
      </c>
      <c r="F2417" s="2" t="str">
        <f aca="false">IF(D2417="","",LEFT(D2417,3))</f>
        <v>244</v>
      </c>
      <c r="G2417" s="2" t="str">
        <f aca="false">IF(F2417="","",IF(E2417=F2417,"Yes","No"))</f>
        <v>No</v>
      </c>
      <c r="H2417" s="2" t="n">
        <f aca="false">IF(D2417="",0,1/COUNTIF($D$2:$D$3451,D2417))</f>
        <v>1</v>
      </c>
      <c r="I2417" s="13" t="n">
        <f aca="false">IFERROR(INDEX('NCO-2015 scores'!$C$2:$C$131,MATCH(E2417,'NCO-2015 scores'!$A$2:$A$131,0)),0)</f>
        <v>0.39</v>
      </c>
      <c r="J2417" s="13" t="n">
        <f aca="false">IF(ISNUMBER(MATCH(E2417,'NCO-2015 scores'!$A$2:$A$131,0)),IF(ISNUMBER(INDEX('NCO-2015 scores'!$C$2:$C$131,MATCH(E2417,'NCO-2015 scores'!$A$2:$A$131,0))),1,0),0)</f>
        <v>1</v>
      </c>
    </row>
    <row r="2418" customFormat="false" ht="15" hidden="false" customHeight="false" outlineLevel="0" collapsed="false">
      <c r="A2418" s="2" t="n">
        <v>2414</v>
      </c>
      <c r="B2418" s="2" t="s">
        <v>7122</v>
      </c>
      <c r="C2418" s="2" t="s">
        <v>7123</v>
      </c>
      <c r="D2418" s="2" t="s">
        <v>7124</v>
      </c>
      <c r="E2418" s="2" t="str">
        <f aca="false">LEFT(C2418,3)</f>
        <v>263</v>
      </c>
      <c r="F2418" s="2" t="str">
        <f aca="false">IF(D2418="","",LEFT(D2418,3))</f>
        <v>244</v>
      </c>
      <c r="G2418" s="2" t="str">
        <f aca="false">IF(F2418="","",IF(E2418=F2418,"Yes","No"))</f>
        <v>No</v>
      </c>
      <c r="H2418" s="2" t="n">
        <f aca="false">IF(D2418="",0,1/COUNTIF($D$2:$D$3451,D2418))</f>
        <v>1</v>
      </c>
      <c r="I2418" s="13" t="n">
        <f aca="false">IFERROR(INDEX('NCO-2015 scores'!$C$2:$C$131,MATCH(E2418,'NCO-2015 scores'!$A$2:$A$131,0)),0)</f>
        <v>0.39</v>
      </c>
      <c r="J2418" s="13" t="n">
        <f aca="false">IF(ISNUMBER(MATCH(E2418,'NCO-2015 scores'!$A$2:$A$131,0)),IF(ISNUMBER(INDEX('NCO-2015 scores'!$C$2:$C$131,MATCH(E2418,'NCO-2015 scores'!$A$2:$A$131,0))),1,0),0)</f>
        <v>1</v>
      </c>
    </row>
    <row r="2419" customFormat="false" ht="15" hidden="false" customHeight="false" outlineLevel="0" collapsed="false">
      <c r="A2419" s="2" t="n">
        <v>2415</v>
      </c>
      <c r="B2419" s="2" t="s">
        <v>7125</v>
      </c>
      <c r="C2419" s="2" t="s">
        <v>7126</v>
      </c>
      <c r="D2419" s="2" t="s">
        <v>7127</v>
      </c>
      <c r="E2419" s="2" t="str">
        <f aca="false">LEFT(C2419,3)</f>
        <v>263</v>
      </c>
      <c r="F2419" s="2" t="str">
        <f aca="false">IF(D2419="","",LEFT(D2419,3))</f>
        <v>244</v>
      </c>
      <c r="G2419" s="2" t="str">
        <f aca="false">IF(F2419="","",IF(E2419=F2419,"Yes","No"))</f>
        <v>No</v>
      </c>
      <c r="H2419" s="2" t="n">
        <f aca="false">IF(D2419="",0,1/COUNTIF($D$2:$D$3451,D2419))</f>
        <v>1</v>
      </c>
      <c r="I2419" s="13" t="n">
        <f aca="false">IFERROR(INDEX('NCO-2015 scores'!$C$2:$C$131,MATCH(E2419,'NCO-2015 scores'!$A$2:$A$131,0)),0)</f>
        <v>0.39</v>
      </c>
      <c r="J2419" s="13" t="n">
        <f aca="false">IF(ISNUMBER(MATCH(E2419,'NCO-2015 scores'!$A$2:$A$131,0)),IF(ISNUMBER(INDEX('NCO-2015 scores'!$C$2:$C$131,MATCH(E2419,'NCO-2015 scores'!$A$2:$A$131,0))),1,0),0)</f>
        <v>1</v>
      </c>
    </row>
    <row r="2420" customFormat="false" ht="15" hidden="false" customHeight="false" outlineLevel="0" collapsed="false">
      <c r="A2420" s="2" t="n">
        <v>2416</v>
      </c>
      <c r="B2420" s="2" t="s">
        <v>7128</v>
      </c>
      <c r="C2420" s="2" t="s">
        <v>7129</v>
      </c>
      <c r="D2420" s="2" t="s">
        <v>7130</v>
      </c>
      <c r="E2420" s="2" t="str">
        <f aca="false">LEFT(C2420,3)</f>
        <v>263</v>
      </c>
      <c r="F2420" s="2" t="str">
        <f aca="false">IF(D2420="","",LEFT(D2420,3))</f>
        <v>244</v>
      </c>
      <c r="G2420" s="2" t="str">
        <f aca="false">IF(F2420="","",IF(E2420=F2420,"Yes","No"))</f>
        <v>No</v>
      </c>
      <c r="H2420" s="2" t="n">
        <f aca="false">IF(D2420="",0,1/COUNTIF($D$2:$D$3451,D2420))</f>
        <v>1</v>
      </c>
      <c r="I2420" s="13" t="n">
        <f aca="false">IFERROR(INDEX('NCO-2015 scores'!$C$2:$C$131,MATCH(E2420,'NCO-2015 scores'!$A$2:$A$131,0)),0)</f>
        <v>0.39</v>
      </c>
      <c r="J2420" s="13" t="n">
        <f aca="false">IF(ISNUMBER(MATCH(E2420,'NCO-2015 scores'!$A$2:$A$131,0)),IF(ISNUMBER(INDEX('NCO-2015 scores'!$C$2:$C$131,MATCH(E2420,'NCO-2015 scores'!$A$2:$A$131,0))),1,0),0)</f>
        <v>1</v>
      </c>
    </row>
    <row r="2421" customFormat="false" ht="15" hidden="false" customHeight="false" outlineLevel="0" collapsed="false">
      <c r="A2421" s="2" t="n">
        <v>2417</v>
      </c>
      <c r="B2421" s="2" t="s">
        <v>7131</v>
      </c>
      <c r="C2421" s="2" t="s">
        <v>7132</v>
      </c>
      <c r="D2421" s="2" t="s">
        <v>7133</v>
      </c>
      <c r="E2421" s="2" t="str">
        <f aca="false">LEFT(C2421,3)</f>
        <v>263</v>
      </c>
      <c r="F2421" s="2" t="str">
        <f aca="false">IF(D2421="","",LEFT(D2421,3))</f>
        <v>244</v>
      </c>
      <c r="G2421" s="2" t="str">
        <f aca="false">IF(F2421="","",IF(E2421=F2421,"Yes","No"))</f>
        <v>No</v>
      </c>
      <c r="H2421" s="2" t="n">
        <f aca="false">IF(D2421="",0,1/COUNTIF($D$2:$D$3451,D2421))</f>
        <v>1</v>
      </c>
      <c r="I2421" s="13" t="n">
        <f aca="false">IFERROR(INDEX('NCO-2015 scores'!$C$2:$C$131,MATCH(E2421,'NCO-2015 scores'!$A$2:$A$131,0)),0)</f>
        <v>0.39</v>
      </c>
      <c r="J2421" s="13" t="n">
        <f aca="false">IF(ISNUMBER(MATCH(E2421,'NCO-2015 scores'!$A$2:$A$131,0)),IF(ISNUMBER(INDEX('NCO-2015 scores'!$C$2:$C$131,MATCH(E2421,'NCO-2015 scores'!$A$2:$A$131,0))),1,0),0)</f>
        <v>1</v>
      </c>
    </row>
    <row r="2422" customFormat="false" ht="15" hidden="false" customHeight="false" outlineLevel="0" collapsed="false">
      <c r="A2422" s="2" t="n">
        <v>2418</v>
      </c>
      <c r="B2422" s="2" t="s">
        <v>7134</v>
      </c>
      <c r="C2422" s="2" t="s">
        <v>7135</v>
      </c>
      <c r="D2422" s="2" t="s">
        <v>7136</v>
      </c>
      <c r="E2422" s="2" t="str">
        <f aca="false">LEFT(C2422,3)</f>
        <v>263</v>
      </c>
      <c r="F2422" s="2" t="str">
        <f aca="false">IF(D2422="","",LEFT(D2422,3))</f>
        <v>244</v>
      </c>
      <c r="G2422" s="2" t="str">
        <f aca="false">IF(F2422="","",IF(E2422=F2422,"Yes","No"))</f>
        <v>No</v>
      </c>
      <c r="H2422" s="2" t="n">
        <f aca="false">IF(D2422="",0,1/COUNTIF($D$2:$D$3451,D2422))</f>
        <v>1</v>
      </c>
      <c r="I2422" s="13" t="n">
        <f aca="false">IFERROR(INDEX('NCO-2015 scores'!$C$2:$C$131,MATCH(E2422,'NCO-2015 scores'!$A$2:$A$131,0)),0)</f>
        <v>0.39</v>
      </c>
      <c r="J2422" s="13" t="n">
        <f aca="false">IF(ISNUMBER(MATCH(E2422,'NCO-2015 scores'!$A$2:$A$131,0)),IF(ISNUMBER(INDEX('NCO-2015 scores'!$C$2:$C$131,MATCH(E2422,'NCO-2015 scores'!$A$2:$A$131,0))),1,0),0)</f>
        <v>1</v>
      </c>
    </row>
    <row r="2423" customFormat="false" ht="15" hidden="false" customHeight="false" outlineLevel="0" collapsed="false">
      <c r="A2423" s="2" t="n">
        <v>2419</v>
      </c>
      <c r="B2423" s="2" t="s">
        <v>7137</v>
      </c>
      <c r="C2423" s="2" t="s">
        <v>7138</v>
      </c>
      <c r="D2423" s="2" t="s">
        <v>7139</v>
      </c>
      <c r="E2423" s="2" t="str">
        <f aca="false">LEFT(C2423,3)</f>
        <v>263</v>
      </c>
      <c r="F2423" s="2" t="str">
        <f aca="false">IF(D2423="","",LEFT(D2423,3))</f>
        <v>244</v>
      </c>
      <c r="G2423" s="2" t="str">
        <f aca="false">IF(F2423="","",IF(E2423=F2423,"Yes","No"))</f>
        <v>No</v>
      </c>
      <c r="H2423" s="2" t="n">
        <f aca="false">IF(D2423="",0,1/COUNTIF($D$2:$D$3451,D2423))</f>
        <v>1</v>
      </c>
      <c r="I2423" s="13" t="n">
        <f aca="false">IFERROR(INDEX('NCO-2015 scores'!$C$2:$C$131,MATCH(E2423,'NCO-2015 scores'!$A$2:$A$131,0)),0)</f>
        <v>0.39</v>
      </c>
      <c r="J2423" s="13" t="n">
        <f aca="false">IF(ISNUMBER(MATCH(E2423,'NCO-2015 scores'!$A$2:$A$131,0)),IF(ISNUMBER(INDEX('NCO-2015 scores'!$C$2:$C$131,MATCH(E2423,'NCO-2015 scores'!$A$2:$A$131,0))),1,0),0)</f>
        <v>1</v>
      </c>
    </row>
    <row r="2424" customFormat="false" ht="15" hidden="false" customHeight="false" outlineLevel="0" collapsed="false">
      <c r="A2424" s="2" t="n">
        <v>2420</v>
      </c>
      <c r="B2424" s="2" t="s">
        <v>7140</v>
      </c>
      <c r="C2424" s="2" t="s">
        <v>7141</v>
      </c>
      <c r="D2424" s="2" t="s">
        <v>7142</v>
      </c>
      <c r="E2424" s="2" t="str">
        <f aca="false">LEFT(C2424,3)</f>
        <v>343</v>
      </c>
      <c r="F2424" s="2" t="str">
        <f aca="false">IF(D2424="","",LEFT(D2424,3))</f>
        <v>313</v>
      </c>
      <c r="G2424" s="2" t="str">
        <f aca="false">IF(F2424="","",IF(E2424=F2424,"Yes","No"))</f>
        <v>No</v>
      </c>
      <c r="H2424" s="2" t="n">
        <f aca="false">IF(D2424="",0,1/COUNTIF($D$2:$D$3451,D2424))</f>
        <v>1</v>
      </c>
      <c r="I2424" s="13" t="n">
        <f aca="false">IFERROR(INDEX('NCO-2015 scores'!$C$2:$C$131,MATCH(E2424,'NCO-2015 scores'!$A$2:$A$131,0)),0)</f>
        <v>0.345</v>
      </c>
      <c r="J2424" s="13" t="n">
        <f aca="false">IF(ISNUMBER(MATCH(E2424,'NCO-2015 scores'!$A$2:$A$131,0)),IF(ISNUMBER(INDEX('NCO-2015 scores'!$C$2:$C$131,MATCH(E2424,'NCO-2015 scores'!$A$2:$A$131,0))),1,0),0)</f>
        <v>1</v>
      </c>
    </row>
    <row r="2425" customFormat="false" ht="15" hidden="false" customHeight="false" outlineLevel="0" collapsed="false">
      <c r="A2425" s="2" t="n">
        <v>2421</v>
      </c>
      <c r="B2425" s="2" t="s">
        <v>7143</v>
      </c>
      <c r="C2425" s="2" t="s">
        <v>7144</v>
      </c>
      <c r="D2425" s="2" t="s">
        <v>7145</v>
      </c>
      <c r="E2425" s="2" t="str">
        <f aca="false">LEFT(C2425,3)</f>
        <v>343</v>
      </c>
      <c r="F2425" s="2" t="str">
        <f aca="false">IF(D2425="","",LEFT(D2425,3))</f>
        <v>313</v>
      </c>
      <c r="G2425" s="2" t="str">
        <f aca="false">IF(F2425="","",IF(E2425=F2425,"Yes","No"))</f>
        <v>No</v>
      </c>
      <c r="H2425" s="2" t="n">
        <f aca="false">IF(D2425="",0,1/COUNTIF($D$2:$D$3451,D2425))</f>
        <v>1</v>
      </c>
      <c r="I2425" s="13" t="n">
        <f aca="false">IFERROR(INDEX('NCO-2015 scores'!$C$2:$C$131,MATCH(E2425,'NCO-2015 scores'!$A$2:$A$131,0)),0)</f>
        <v>0.345</v>
      </c>
      <c r="J2425" s="13" t="n">
        <f aca="false">IF(ISNUMBER(MATCH(E2425,'NCO-2015 scores'!$A$2:$A$131,0)),IF(ISNUMBER(INDEX('NCO-2015 scores'!$C$2:$C$131,MATCH(E2425,'NCO-2015 scores'!$A$2:$A$131,0))),1,0),0)</f>
        <v>1</v>
      </c>
    </row>
    <row r="2426" customFormat="false" ht="15" hidden="false" customHeight="false" outlineLevel="0" collapsed="false">
      <c r="A2426" s="2" t="n">
        <v>2422</v>
      </c>
      <c r="B2426" s="2" t="s">
        <v>7146</v>
      </c>
      <c r="C2426" s="2" t="s">
        <v>7147</v>
      </c>
      <c r="D2426" s="2" t="s">
        <v>7148</v>
      </c>
      <c r="E2426" s="2" t="str">
        <f aca="false">LEFT(C2426,3)</f>
        <v>343</v>
      </c>
      <c r="F2426" s="2" t="str">
        <f aca="false">IF(D2426="","",LEFT(D2426,3))</f>
        <v>313</v>
      </c>
      <c r="G2426" s="2" t="str">
        <f aca="false">IF(F2426="","",IF(E2426=F2426,"Yes","No"))</f>
        <v>No</v>
      </c>
      <c r="H2426" s="2" t="n">
        <f aca="false">IF(D2426="",0,1/COUNTIF($D$2:$D$3451,D2426))</f>
        <v>1</v>
      </c>
      <c r="I2426" s="13" t="n">
        <f aca="false">IFERROR(INDEX('NCO-2015 scores'!$C$2:$C$131,MATCH(E2426,'NCO-2015 scores'!$A$2:$A$131,0)),0)</f>
        <v>0.345</v>
      </c>
      <c r="J2426" s="13" t="n">
        <f aca="false">IF(ISNUMBER(MATCH(E2426,'NCO-2015 scores'!$A$2:$A$131,0)),IF(ISNUMBER(INDEX('NCO-2015 scores'!$C$2:$C$131,MATCH(E2426,'NCO-2015 scores'!$A$2:$A$131,0))),1,0),0)</f>
        <v>1</v>
      </c>
    </row>
    <row r="2427" customFormat="false" ht="15" hidden="false" customHeight="false" outlineLevel="0" collapsed="false">
      <c r="A2427" s="2" t="n">
        <v>2423</v>
      </c>
      <c r="B2427" s="2" t="s">
        <v>7149</v>
      </c>
      <c r="C2427" s="2" t="s">
        <v>7150</v>
      </c>
      <c r="D2427" s="2" t="s">
        <v>7151</v>
      </c>
      <c r="E2427" s="2" t="str">
        <f aca="false">LEFT(C2427,3)</f>
        <v>343</v>
      </c>
      <c r="F2427" s="2" t="str">
        <f aca="false">IF(D2427="","",LEFT(D2427,3))</f>
        <v>313</v>
      </c>
      <c r="G2427" s="2" t="str">
        <f aca="false">IF(F2427="","",IF(E2427=F2427,"Yes","No"))</f>
        <v>No</v>
      </c>
      <c r="H2427" s="2" t="n">
        <f aca="false">IF(D2427="",0,1/COUNTIF($D$2:$D$3451,D2427))</f>
        <v>1</v>
      </c>
      <c r="I2427" s="13" t="n">
        <f aca="false">IFERROR(INDEX('NCO-2015 scores'!$C$2:$C$131,MATCH(E2427,'NCO-2015 scores'!$A$2:$A$131,0)),0)</f>
        <v>0.345</v>
      </c>
      <c r="J2427" s="13" t="n">
        <f aca="false">IF(ISNUMBER(MATCH(E2427,'NCO-2015 scores'!$A$2:$A$131,0)),IF(ISNUMBER(INDEX('NCO-2015 scores'!$C$2:$C$131,MATCH(E2427,'NCO-2015 scores'!$A$2:$A$131,0))),1,0),0)</f>
        <v>1</v>
      </c>
    </row>
    <row r="2428" customFormat="false" ht="15" hidden="false" customHeight="false" outlineLevel="0" collapsed="false">
      <c r="A2428" s="2" t="n">
        <v>2424</v>
      </c>
      <c r="B2428" s="2" t="s">
        <v>7152</v>
      </c>
      <c r="C2428" s="2" t="s">
        <v>7153</v>
      </c>
      <c r="D2428" s="2" t="s">
        <v>7154</v>
      </c>
      <c r="E2428" s="2" t="str">
        <f aca="false">LEFT(C2428,3)</f>
        <v>813</v>
      </c>
      <c r="F2428" s="2" t="str">
        <f aca="false">IF(D2428="","",LEFT(D2428,3))</f>
        <v>734</v>
      </c>
      <c r="G2428" s="2" t="str">
        <f aca="false">IF(F2428="","",IF(E2428=F2428,"Yes","No"))</f>
        <v>No</v>
      </c>
      <c r="H2428" s="2" t="n">
        <f aca="false">IF(D2428="",0,1/COUNTIF($D$2:$D$3451,D2428))</f>
        <v>1</v>
      </c>
      <c r="I2428" s="13" t="n">
        <f aca="false">IFERROR(INDEX('NCO-2015 scores'!$C$2:$C$131,MATCH(E2428,'NCO-2015 scores'!$A$2:$A$131,0)),0)</f>
        <v>0.255</v>
      </c>
      <c r="J2428" s="13" t="n">
        <f aca="false">IF(ISNUMBER(MATCH(E2428,'NCO-2015 scores'!$A$2:$A$131,0)),IF(ISNUMBER(INDEX('NCO-2015 scores'!$C$2:$C$131,MATCH(E2428,'NCO-2015 scores'!$A$2:$A$131,0))),1,0),0)</f>
        <v>1</v>
      </c>
    </row>
    <row r="2429" customFormat="false" ht="15" hidden="false" customHeight="false" outlineLevel="0" collapsed="false">
      <c r="A2429" s="2" t="n">
        <v>2425</v>
      </c>
      <c r="B2429" s="2" t="s">
        <v>7155</v>
      </c>
      <c r="C2429" s="2" t="s">
        <v>7156</v>
      </c>
      <c r="D2429" s="2" t="s">
        <v>7157</v>
      </c>
      <c r="E2429" s="2" t="str">
        <f aca="false">LEFT(C2429,3)</f>
        <v>813</v>
      </c>
      <c r="F2429" s="2" t="str">
        <f aca="false">IF(D2429="","",LEFT(D2429,3))</f>
        <v>822</v>
      </c>
      <c r="G2429" s="2" t="str">
        <f aca="false">IF(F2429="","",IF(E2429=F2429,"Yes","No"))</f>
        <v>No</v>
      </c>
      <c r="H2429" s="2" t="n">
        <f aca="false">IF(D2429="",0,1/COUNTIF($D$2:$D$3451,D2429))</f>
        <v>1</v>
      </c>
      <c r="I2429" s="13" t="n">
        <f aca="false">IFERROR(INDEX('NCO-2015 scores'!$C$2:$C$131,MATCH(E2429,'NCO-2015 scores'!$A$2:$A$131,0)),0)</f>
        <v>0.255</v>
      </c>
      <c r="J2429" s="13" t="n">
        <f aca="false">IF(ISNUMBER(MATCH(E2429,'NCO-2015 scores'!$A$2:$A$131,0)),IF(ISNUMBER(INDEX('NCO-2015 scores'!$C$2:$C$131,MATCH(E2429,'NCO-2015 scores'!$A$2:$A$131,0))),1,0),0)</f>
        <v>1</v>
      </c>
    </row>
    <row r="2430" customFormat="false" ht="15" hidden="false" customHeight="false" outlineLevel="0" collapsed="false">
      <c r="A2430" s="2" t="n">
        <v>2426</v>
      </c>
      <c r="B2430" s="2" t="s">
        <v>7158</v>
      </c>
      <c r="C2430" s="2" t="s">
        <v>7159</v>
      </c>
      <c r="D2430" s="2" t="s">
        <v>7160</v>
      </c>
      <c r="E2430" s="2" t="str">
        <f aca="false">LEFT(C2430,3)</f>
        <v>813</v>
      </c>
      <c r="F2430" s="2" t="str">
        <f aca="false">IF(D2430="","",LEFT(D2430,3))</f>
        <v>822</v>
      </c>
      <c r="G2430" s="2" t="str">
        <f aca="false">IF(F2430="","",IF(E2430=F2430,"Yes","No"))</f>
        <v>No</v>
      </c>
      <c r="H2430" s="2" t="n">
        <f aca="false">IF(D2430="",0,1/COUNTIF($D$2:$D$3451,D2430))</f>
        <v>1</v>
      </c>
      <c r="I2430" s="13" t="n">
        <f aca="false">IFERROR(INDEX('NCO-2015 scores'!$C$2:$C$131,MATCH(E2430,'NCO-2015 scores'!$A$2:$A$131,0)),0)</f>
        <v>0.255</v>
      </c>
      <c r="J2430" s="13" t="n">
        <f aca="false">IF(ISNUMBER(MATCH(E2430,'NCO-2015 scores'!$A$2:$A$131,0)),IF(ISNUMBER(INDEX('NCO-2015 scores'!$C$2:$C$131,MATCH(E2430,'NCO-2015 scores'!$A$2:$A$131,0))),1,0),0)</f>
        <v>1</v>
      </c>
    </row>
    <row r="2431" customFormat="false" ht="15" hidden="false" customHeight="false" outlineLevel="0" collapsed="false">
      <c r="A2431" s="2" t="n">
        <v>2427</v>
      </c>
      <c r="B2431" s="2" t="s">
        <v>7161</v>
      </c>
      <c r="C2431" s="2" t="s">
        <v>7162</v>
      </c>
      <c r="D2431" s="2" t="s">
        <v>7163</v>
      </c>
      <c r="E2431" s="2" t="str">
        <f aca="false">LEFT(C2431,3)</f>
        <v>813</v>
      </c>
      <c r="F2431" s="2" t="str">
        <f aca="false">IF(D2431="","",LEFT(D2431,3))</f>
        <v>822</v>
      </c>
      <c r="G2431" s="2" t="str">
        <f aca="false">IF(F2431="","",IF(E2431=F2431,"Yes","No"))</f>
        <v>No</v>
      </c>
      <c r="H2431" s="2" t="n">
        <f aca="false">IF(D2431="",0,1/COUNTIF($D$2:$D$3451,D2431))</f>
        <v>1</v>
      </c>
      <c r="I2431" s="13" t="n">
        <f aca="false">IFERROR(INDEX('NCO-2015 scores'!$C$2:$C$131,MATCH(E2431,'NCO-2015 scores'!$A$2:$A$131,0)),0)</f>
        <v>0.255</v>
      </c>
      <c r="J2431" s="13" t="n">
        <f aca="false">IF(ISNUMBER(MATCH(E2431,'NCO-2015 scores'!$A$2:$A$131,0)),IF(ISNUMBER(INDEX('NCO-2015 scores'!$C$2:$C$131,MATCH(E2431,'NCO-2015 scores'!$A$2:$A$131,0))),1,0),0)</f>
        <v>1</v>
      </c>
    </row>
    <row r="2432" customFormat="false" ht="15" hidden="false" customHeight="false" outlineLevel="0" collapsed="false">
      <c r="A2432" s="2" t="n">
        <v>2428</v>
      </c>
      <c r="B2432" s="2" t="s">
        <v>7164</v>
      </c>
      <c r="C2432" s="2" t="s">
        <v>7165</v>
      </c>
      <c r="D2432" s="2" t="s">
        <v>7166</v>
      </c>
      <c r="E2432" s="2" t="str">
        <f aca="false">LEFT(C2432,3)</f>
        <v>813</v>
      </c>
      <c r="F2432" s="2" t="str">
        <f aca="false">IF(D2432="","",LEFT(D2432,3))</f>
        <v>822</v>
      </c>
      <c r="G2432" s="2" t="str">
        <f aca="false">IF(F2432="","",IF(E2432=F2432,"Yes","No"))</f>
        <v>No</v>
      </c>
      <c r="H2432" s="2" t="n">
        <f aca="false">IF(D2432="",0,1/COUNTIF($D$2:$D$3451,D2432))</f>
        <v>1</v>
      </c>
      <c r="I2432" s="13" t="n">
        <f aca="false">IFERROR(INDEX('NCO-2015 scores'!$C$2:$C$131,MATCH(E2432,'NCO-2015 scores'!$A$2:$A$131,0)),0)</f>
        <v>0.255</v>
      </c>
      <c r="J2432" s="13" t="n">
        <f aca="false">IF(ISNUMBER(MATCH(E2432,'NCO-2015 scores'!$A$2:$A$131,0)),IF(ISNUMBER(INDEX('NCO-2015 scores'!$C$2:$C$131,MATCH(E2432,'NCO-2015 scores'!$A$2:$A$131,0))),1,0),0)</f>
        <v>1</v>
      </c>
    </row>
    <row r="2433" customFormat="false" ht="15" hidden="false" customHeight="false" outlineLevel="0" collapsed="false">
      <c r="A2433" s="2" t="n">
        <v>2429</v>
      </c>
      <c r="B2433" s="2" t="s">
        <v>7167</v>
      </c>
      <c r="C2433" s="2" t="s">
        <v>7168</v>
      </c>
      <c r="D2433" s="2" t="s">
        <v>7169</v>
      </c>
      <c r="E2433" s="2" t="str">
        <f aca="false">LEFT(C2433,3)</f>
        <v>813</v>
      </c>
      <c r="F2433" s="2" t="str">
        <f aca="false">IF(D2433="","",LEFT(D2433,3))</f>
        <v>734</v>
      </c>
      <c r="G2433" s="2" t="str">
        <f aca="false">IF(F2433="","",IF(E2433=F2433,"Yes","No"))</f>
        <v>No</v>
      </c>
      <c r="H2433" s="2" t="n">
        <f aca="false">IF(D2433="",0,1/COUNTIF($D$2:$D$3451,D2433))</f>
        <v>1</v>
      </c>
      <c r="I2433" s="13" t="n">
        <f aca="false">IFERROR(INDEX('NCO-2015 scores'!$C$2:$C$131,MATCH(E2433,'NCO-2015 scores'!$A$2:$A$131,0)),0)</f>
        <v>0.255</v>
      </c>
      <c r="J2433" s="13" t="n">
        <f aca="false">IF(ISNUMBER(MATCH(E2433,'NCO-2015 scores'!$A$2:$A$131,0)),IF(ISNUMBER(INDEX('NCO-2015 scores'!$C$2:$C$131,MATCH(E2433,'NCO-2015 scores'!$A$2:$A$131,0))),1,0),0)</f>
        <v>1</v>
      </c>
    </row>
    <row r="2434" customFormat="false" ht="15" hidden="false" customHeight="false" outlineLevel="0" collapsed="false">
      <c r="A2434" s="2" t="n">
        <v>2430</v>
      </c>
      <c r="B2434" s="2" t="s">
        <v>7170</v>
      </c>
      <c r="C2434" s="2" t="s">
        <v>7171</v>
      </c>
      <c r="D2434" s="2" t="s">
        <v>7172</v>
      </c>
      <c r="E2434" s="2" t="str">
        <f aca="false">LEFT(C2434,3)</f>
        <v>813</v>
      </c>
      <c r="F2434" s="2" t="str">
        <f aca="false">IF(D2434="","",LEFT(D2434,3))</f>
        <v>734</v>
      </c>
      <c r="G2434" s="2" t="str">
        <f aca="false">IF(F2434="","",IF(E2434=F2434,"Yes","No"))</f>
        <v>No</v>
      </c>
      <c r="H2434" s="2" t="n">
        <f aca="false">IF(D2434="",0,1/COUNTIF($D$2:$D$3451,D2434))</f>
        <v>1</v>
      </c>
      <c r="I2434" s="13" t="n">
        <f aca="false">IFERROR(INDEX('NCO-2015 scores'!$C$2:$C$131,MATCH(E2434,'NCO-2015 scores'!$A$2:$A$131,0)),0)</f>
        <v>0.255</v>
      </c>
      <c r="J2434" s="13" t="n">
        <f aca="false">IF(ISNUMBER(MATCH(E2434,'NCO-2015 scores'!$A$2:$A$131,0)),IF(ISNUMBER(INDEX('NCO-2015 scores'!$C$2:$C$131,MATCH(E2434,'NCO-2015 scores'!$A$2:$A$131,0))),1,0),0)</f>
        <v>1</v>
      </c>
    </row>
    <row r="2435" customFormat="false" ht="15" hidden="false" customHeight="false" outlineLevel="0" collapsed="false">
      <c r="A2435" s="2" t="n">
        <v>2431</v>
      </c>
      <c r="B2435" s="2" t="s">
        <v>7173</v>
      </c>
      <c r="C2435" s="2" t="s">
        <v>7174</v>
      </c>
      <c r="D2435" s="2" t="s">
        <v>7175</v>
      </c>
      <c r="E2435" s="2" t="str">
        <f aca="false">LEFT(C2435,3)</f>
        <v>813</v>
      </c>
      <c r="F2435" s="2" t="str">
        <f aca="false">IF(D2435="","",LEFT(D2435,3))</f>
        <v>734</v>
      </c>
      <c r="G2435" s="2" t="str">
        <f aca="false">IF(F2435="","",IF(E2435=F2435,"Yes","No"))</f>
        <v>No</v>
      </c>
      <c r="H2435" s="2" t="n">
        <f aca="false">IF(D2435="",0,1/COUNTIF($D$2:$D$3451,D2435))</f>
        <v>1</v>
      </c>
      <c r="I2435" s="13" t="n">
        <f aca="false">IFERROR(INDEX('NCO-2015 scores'!$C$2:$C$131,MATCH(E2435,'NCO-2015 scores'!$A$2:$A$131,0)),0)</f>
        <v>0.255</v>
      </c>
      <c r="J2435" s="13" t="n">
        <f aca="false">IF(ISNUMBER(MATCH(E2435,'NCO-2015 scores'!$A$2:$A$131,0)),IF(ISNUMBER(INDEX('NCO-2015 scores'!$C$2:$C$131,MATCH(E2435,'NCO-2015 scores'!$A$2:$A$131,0))),1,0),0)</f>
        <v>1</v>
      </c>
    </row>
    <row r="2436" customFormat="false" ht="15" hidden="false" customHeight="false" outlineLevel="0" collapsed="false">
      <c r="A2436" s="2" t="n">
        <v>2432</v>
      </c>
      <c r="B2436" s="2" t="s">
        <v>7176</v>
      </c>
      <c r="C2436" s="2" t="s">
        <v>7177</v>
      </c>
      <c r="D2436" s="2" t="s">
        <v>7178</v>
      </c>
      <c r="E2436" s="2" t="str">
        <f aca="false">LEFT(C2436,3)</f>
        <v>813</v>
      </c>
      <c r="F2436" s="2" t="str">
        <f aca="false">IF(D2436="","",LEFT(D2436,3))</f>
        <v>734</v>
      </c>
      <c r="G2436" s="2" t="str">
        <f aca="false">IF(F2436="","",IF(E2436=F2436,"Yes","No"))</f>
        <v>No</v>
      </c>
      <c r="H2436" s="2" t="n">
        <f aca="false">IF(D2436="",0,1/COUNTIF($D$2:$D$3451,D2436))</f>
        <v>1</v>
      </c>
      <c r="I2436" s="13" t="n">
        <f aca="false">IFERROR(INDEX('NCO-2015 scores'!$C$2:$C$131,MATCH(E2436,'NCO-2015 scores'!$A$2:$A$131,0)),0)</f>
        <v>0.255</v>
      </c>
      <c r="J2436" s="13" t="n">
        <f aca="false">IF(ISNUMBER(MATCH(E2436,'NCO-2015 scores'!$A$2:$A$131,0)),IF(ISNUMBER(INDEX('NCO-2015 scores'!$C$2:$C$131,MATCH(E2436,'NCO-2015 scores'!$A$2:$A$131,0))),1,0),0)</f>
        <v>1</v>
      </c>
    </row>
    <row r="2437" customFormat="false" ht="15" hidden="false" customHeight="false" outlineLevel="0" collapsed="false">
      <c r="A2437" s="2" t="n">
        <v>2433</v>
      </c>
      <c r="B2437" s="2" t="s">
        <v>7179</v>
      </c>
      <c r="C2437" s="2" t="s">
        <v>7180</v>
      </c>
      <c r="D2437" s="2" t="s">
        <v>7181</v>
      </c>
      <c r="E2437" s="2" t="str">
        <f aca="false">LEFT(C2437,3)</f>
        <v>813</v>
      </c>
      <c r="F2437" s="2" t="str">
        <f aca="false">IF(D2437="","",LEFT(D2437,3))</f>
        <v>734</v>
      </c>
      <c r="G2437" s="2" t="str">
        <f aca="false">IF(F2437="","",IF(E2437=F2437,"Yes","No"))</f>
        <v>No</v>
      </c>
      <c r="H2437" s="2" t="n">
        <f aca="false">IF(D2437="",0,1/COUNTIF($D$2:$D$3451,D2437))</f>
        <v>1</v>
      </c>
      <c r="I2437" s="13" t="n">
        <f aca="false">IFERROR(INDEX('NCO-2015 scores'!$C$2:$C$131,MATCH(E2437,'NCO-2015 scores'!$A$2:$A$131,0)),0)</f>
        <v>0.255</v>
      </c>
      <c r="J2437" s="13" t="n">
        <f aca="false">IF(ISNUMBER(MATCH(E2437,'NCO-2015 scores'!$A$2:$A$131,0)),IF(ISNUMBER(INDEX('NCO-2015 scores'!$C$2:$C$131,MATCH(E2437,'NCO-2015 scores'!$A$2:$A$131,0))),1,0),0)</f>
        <v>1</v>
      </c>
    </row>
    <row r="2438" customFormat="false" ht="15" hidden="false" customHeight="false" outlineLevel="0" collapsed="false">
      <c r="A2438" s="2" t="n">
        <v>2434</v>
      </c>
      <c r="B2438" s="2" t="s">
        <v>7182</v>
      </c>
      <c r="C2438" s="2" t="s">
        <v>7183</v>
      </c>
      <c r="D2438" s="2" t="s">
        <v>7184</v>
      </c>
      <c r="E2438" s="2" t="str">
        <f aca="false">LEFT(C2438,3)</f>
        <v>813</v>
      </c>
      <c r="F2438" s="2" t="str">
        <f aca="false">IF(D2438="","",LEFT(D2438,3))</f>
        <v>822</v>
      </c>
      <c r="G2438" s="2" t="str">
        <f aca="false">IF(F2438="","",IF(E2438=F2438,"Yes","No"))</f>
        <v>No</v>
      </c>
      <c r="H2438" s="2" t="n">
        <f aca="false">IF(D2438="",0,1/COUNTIF($D$2:$D$3451,D2438))</f>
        <v>1</v>
      </c>
      <c r="I2438" s="13" t="n">
        <f aca="false">IFERROR(INDEX('NCO-2015 scores'!$C$2:$C$131,MATCH(E2438,'NCO-2015 scores'!$A$2:$A$131,0)),0)</f>
        <v>0.255</v>
      </c>
      <c r="J2438" s="13" t="n">
        <f aca="false">IF(ISNUMBER(MATCH(E2438,'NCO-2015 scores'!$A$2:$A$131,0)),IF(ISNUMBER(INDEX('NCO-2015 scores'!$C$2:$C$131,MATCH(E2438,'NCO-2015 scores'!$A$2:$A$131,0))),1,0),0)</f>
        <v>1</v>
      </c>
    </row>
    <row r="2439" customFormat="false" ht="15" hidden="false" customHeight="false" outlineLevel="0" collapsed="false">
      <c r="A2439" s="2" t="n">
        <v>2435</v>
      </c>
      <c r="B2439" s="2" t="s">
        <v>7185</v>
      </c>
      <c r="C2439" s="2" t="s">
        <v>7186</v>
      </c>
      <c r="D2439" s="2" t="s">
        <v>7187</v>
      </c>
      <c r="E2439" s="2" t="str">
        <f aca="false">LEFT(C2439,3)</f>
        <v>311</v>
      </c>
      <c r="F2439" s="2" t="str">
        <f aca="false">IF(D2439="","",LEFT(D2439,3))</f>
        <v>311</v>
      </c>
      <c r="G2439" s="2" t="str">
        <f aca="false">IF(F2439="","",IF(E2439=F2439,"Yes","No"))</f>
        <v>Yes</v>
      </c>
      <c r="H2439" s="2" t="n">
        <f aca="false">IF(D2439="",0,1/COUNTIF($D$2:$D$3451,D2439))</f>
        <v>1</v>
      </c>
      <c r="I2439" s="13" t="n">
        <f aca="false">IFERROR(INDEX('NCO-2015 scores'!$C$2:$C$131,MATCH(E2439,'NCO-2015 scores'!$A$2:$A$131,0)),0)</f>
        <v>0.2956</v>
      </c>
      <c r="J2439" s="13" t="n">
        <f aca="false">IF(ISNUMBER(MATCH(E2439,'NCO-2015 scores'!$A$2:$A$131,0)),IF(ISNUMBER(INDEX('NCO-2015 scores'!$C$2:$C$131,MATCH(E2439,'NCO-2015 scores'!$A$2:$A$131,0))),1,0),0)</f>
        <v>1</v>
      </c>
    </row>
    <row r="2440" customFormat="false" ht="15" hidden="false" customHeight="false" outlineLevel="0" collapsed="false">
      <c r="A2440" s="2" t="n">
        <v>2436</v>
      </c>
      <c r="B2440" s="2" t="s">
        <v>7188</v>
      </c>
      <c r="C2440" s="2" t="s">
        <v>7189</v>
      </c>
      <c r="D2440" s="2" t="s">
        <v>7190</v>
      </c>
      <c r="E2440" s="2" t="str">
        <f aca="false">LEFT(C2440,3)</f>
        <v>311</v>
      </c>
      <c r="F2440" s="2" t="str">
        <f aca="false">IF(D2440="","",LEFT(D2440,3))</f>
        <v>311</v>
      </c>
      <c r="G2440" s="2" t="str">
        <f aca="false">IF(F2440="","",IF(E2440=F2440,"Yes","No"))</f>
        <v>Yes</v>
      </c>
      <c r="H2440" s="2" t="n">
        <f aca="false">IF(D2440="",0,1/COUNTIF($D$2:$D$3451,D2440))</f>
        <v>1</v>
      </c>
      <c r="I2440" s="13" t="n">
        <f aca="false">IFERROR(INDEX('NCO-2015 scores'!$C$2:$C$131,MATCH(E2440,'NCO-2015 scores'!$A$2:$A$131,0)),0)</f>
        <v>0.2956</v>
      </c>
      <c r="J2440" s="13" t="n">
        <f aca="false">IF(ISNUMBER(MATCH(E2440,'NCO-2015 scores'!$A$2:$A$131,0)),IF(ISNUMBER(INDEX('NCO-2015 scores'!$C$2:$C$131,MATCH(E2440,'NCO-2015 scores'!$A$2:$A$131,0))),1,0),0)</f>
        <v>1</v>
      </c>
    </row>
    <row r="2441" customFormat="false" ht="15" hidden="false" customHeight="false" outlineLevel="0" collapsed="false">
      <c r="A2441" s="2" t="n">
        <v>2437</v>
      </c>
      <c r="B2441" s="2" t="s">
        <v>7191</v>
      </c>
      <c r="C2441" s="2" t="s">
        <v>7192</v>
      </c>
      <c r="D2441" s="2" t="s">
        <v>7193</v>
      </c>
      <c r="E2441" s="2" t="str">
        <f aca="false">LEFT(C2441,3)</f>
        <v>311</v>
      </c>
      <c r="F2441" s="2" t="str">
        <f aca="false">IF(D2441="","",LEFT(D2441,3))</f>
        <v>311</v>
      </c>
      <c r="G2441" s="2" t="str">
        <f aca="false">IF(F2441="","",IF(E2441=F2441,"Yes","No"))</f>
        <v>Yes</v>
      </c>
      <c r="H2441" s="2" t="n">
        <f aca="false">IF(D2441="",0,1/COUNTIF($D$2:$D$3451,D2441))</f>
        <v>1</v>
      </c>
      <c r="I2441" s="13" t="n">
        <f aca="false">IFERROR(INDEX('NCO-2015 scores'!$C$2:$C$131,MATCH(E2441,'NCO-2015 scores'!$A$2:$A$131,0)),0)</f>
        <v>0.2956</v>
      </c>
      <c r="J2441" s="13" t="n">
        <f aca="false">IF(ISNUMBER(MATCH(E2441,'NCO-2015 scores'!$A$2:$A$131,0)),IF(ISNUMBER(INDEX('NCO-2015 scores'!$C$2:$C$131,MATCH(E2441,'NCO-2015 scores'!$A$2:$A$131,0))),1,0),0)</f>
        <v>1</v>
      </c>
    </row>
    <row r="2442" customFormat="false" ht="15" hidden="false" customHeight="false" outlineLevel="0" collapsed="false">
      <c r="A2442" s="2" t="n">
        <v>2438</v>
      </c>
      <c r="B2442" s="2" t="s">
        <v>7194</v>
      </c>
      <c r="C2442" s="2" t="s">
        <v>7195</v>
      </c>
      <c r="D2442" s="2" t="s">
        <v>7196</v>
      </c>
      <c r="E2442" s="2" t="str">
        <f aca="false">LEFT(C2442,3)</f>
        <v>311</v>
      </c>
      <c r="F2442" s="2" t="str">
        <f aca="false">IF(D2442="","",LEFT(D2442,3))</f>
        <v>311</v>
      </c>
      <c r="G2442" s="2" t="str">
        <f aca="false">IF(F2442="","",IF(E2442=F2442,"Yes","No"))</f>
        <v>Yes</v>
      </c>
      <c r="H2442" s="2" t="n">
        <f aca="false">IF(D2442="",0,1/COUNTIF($D$2:$D$3451,D2442))</f>
        <v>1</v>
      </c>
      <c r="I2442" s="13" t="n">
        <f aca="false">IFERROR(INDEX('NCO-2015 scores'!$C$2:$C$131,MATCH(E2442,'NCO-2015 scores'!$A$2:$A$131,0)),0)</f>
        <v>0.2956</v>
      </c>
      <c r="J2442" s="13" t="n">
        <f aca="false">IF(ISNUMBER(MATCH(E2442,'NCO-2015 scores'!$A$2:$A$131,0)),IF(ISNUMBER(INDEX('NCO-2015 scores'!$C$2:$C$131,MATCH(E2442,'NCO-2015 scores'!$A$2:$A$131,0))),1,0),0)</f>
        <v>1</v>
      </c>
    </row>
    <row r="2443" customFormat="false" ht="15" hidden="false" customHeight="false" outlineLevel="0" collapsed="false">
      <c r="A2443" s="2" t="n">
        <v>2439</v>
      </c>
      <c r="B2443" s="2" t="s">
        <v>7197</v>
      </c>
      <c r="C2443" s="2" t="s">
        <v>7198</v>
      </c>
      <c r="D2443" s="2" t="s">
        <v>7199</v>
      </c>
      <c r="E2443" s="2" t="str">
        <f aca="false">LEFT(C2443,3)</f>
        <v>311</v>
      </c>
      <c r="F2443" s="2" t="str">
        <f aca="false">IF(D2443="","",LEFT(D2443,3))</f>
        <v>311</v>
      </c>
      <c r="G2443" s="2" t="str">
        <f aca="false">IF(F2443="","",IF(E2443=F2443,"Yes","No"))</f>
        <v>Yes</v>
      </c>
      <c r="H2443" s="2" t="n">
        <f aca="false">IF(D2443="",0,1/COUNTIF($D$2:$D$3451,D2443))</f>
        <v>1</v>
      </c>
      <c r="I2443" s="13" t="n">
        <f aca="false">IFERROR(INDEX('NCO-2015 scores'!$C$2:$C$131,MATCH(E2443,'NCO-2015 scores'!$A$2:$A$131,0)),0)</f>
        <v>0.2956</v>
      </c>
      <c r="J2443" s="13" t="n">
        <f aca="false">IF(ISNUMBER(MATCH(E2443,'NCO-2015 scores'!$A$2:$A$131,0)),IF(ISNUMBER(INDEX('NCO-2015 scores'!$C$2:$C$131,MATCH(E2443,'NCO-2015 scores'!$A$2:$A$131,0))),1,0),0)</f>
        <v>1</v>
      </c>
    </row>
    <row r="2444" customFormat="false" ht="15" hidden="false" customHeight="false" outlineLevel="0" collapsed="false">
      <c r="A2444" s="2" t="n">
        <v>2440</v>
      </c>
      <c r="B2444" s="2" t="s">
        <v>7200</v>
      </c>
      <c r="C2444" s="2" t="s">
        <v>7201</v>
      </c>
      <c r="D2444" s="2" t="s">
        <v>7202</v>
      </c>
      <c r="E2444" s="2" t="str">
        <f aca="false">LEFT(C2444,3)</f>
        <v>311</v>
      </c>
      <c r="F2444" s="2" t="str">
        <f aca="false">IF(D2444="","",LEFT(D2444,3))</f>
        <v>311</v>
      </c>
      <c r="G2444" s="2" t="str">
        <f aca="false">IF(F2444="","",IF(E2444=F2444,"Yes","No"))</f>
        <v>Yes</v>
      </c>
      <c r="H2444" s="2" t="n">
        <f aca="false">IF(D2444="",0,1/COUNTIF($D$2:$D$3451,D2444))</f>
        <v>1</v>
      </c>
      <c r="I2444" s="13" t="n">
        <f aca="false">IFERROR(INDEX('NCO-2015 scores'!$C$2:$C$131,MATCH(E2444,'NCO-2015 scores'!$A$2:$A$131,0)),0)</f>
        <v>0.2956</v>
      </c>
      <c r="J2444" s="13" t="n">
        <f aca="false">IF(ISNUMBER(MATCH(E2444,'NCO-2015 scores'!$A$2:$A$131,0)),IF(ISNUMBER(INDEX('NCO-2015 scores'!$C$2:$C$131,MATCH(E2444,'NCO-2015 scores'!$A$2:$A$131,0))),1,0),0)</f>
        <v>1</v>
      </c>
    </row>
    <row r="2445" customFormat="false" ht="15" hidden="false" customHeight="false" outlineLevel="0" collapsed="false">
      <c r="A2445" s="2" t="n">
        <v>2441</v>
      </c>
      <c r="B2445" s="2" t="s">
        <v>7203</v>
      </c>
      <c r="C2445" s="2" t="s">
        <v>7204</v>
      </c>
      <c r="D2445" s="2" t="s">
        <v>7205</v>
      </c>
      <c r="E2445" s="2" t="str">
        <f aca="false">LEFT(C2445,3)</f>
        <v>311</v>
      </c>
      <c r="F2445" s="2" t="str">
        <f aca="false">IF(D2445="","",LEFT(D2445,3))</f>
        <v>315</v>
      </c>
      <c r="G2445" s="2" t="str">
        <f aca="false">IF(F2445="","",IF(E2445=F2445,"Yes","No"))</f>
        <v>No</v>
      </c>
      <c r="H2445" s="2" t="n">
        <f aca="false">IF(D2445="",0,1/COUNTIF($D$2:$D$3451,D2445))</f>
        <v>1</v>
      </c>
      <c r="I2445" s="13" t="n">
        <f aca="false">IFERROR(INDEX('NCO-2015 scores'!$C$2:$C$131,MATCH(E2445,'NCO-2015 scores'!$A$2:$A$131,0)),0)</f>
        <v>0.2956</v>
      </c>
      <c r="J2445" s="13" t="n">
        <f aca="false">IF(ISNUMBER(MATCH(E2445,'NCO-2015 scores'!$A$2:$A$131,0)),IF(ISNUMBER(INDEX('NCO-2015 scores'!$C$2:$C$131,MATCH(E2445,'NCO-2015 scores'!$A$2:$A$131,0))),1,0),0)</f>
        <v>1</v>
      </c>
    </row>
    <row r="2446" customFormat="false" ht="15" hidden="false" customHeight="false" outlineLevel="0" collapsed="false">
      <c r="A2446" s="2" t="n">
        <v>2442</v>
      </c>
      <c r="B2446" s="2" t="s">
        <v>7206</v>
      </c>
      <c r="C2446" s="2" t="s">
        <v>7207</v>
      </c>
      <c r="D2446" s="2" t="s">
        <v>7208</v>
      </c>
      <c r="E2446" s="2" t="str">
        <f aca="false">LEFT(C2446,3)</f>
        <v>311</v>
      </c>
      <c r="F2446" s="2" t="str">
        <f aca="false">IF(D2446="","",LEFT(D2446,3))</f>
        <v>315</v>
      </c>
      <c r="G2446" s="2" t="str">
        <f aca="false">IF(F2446="","",IF(E2446=F2446,"Yes","No"))</f>
        <v>No</v>
      </c>
      <c r="H2446" s="2" t="n">
        <f aca="false">IF(D2446="",0,1/COUNTIF($D$2:$D$3451,D2446))</f>
        <v>1</v>
      </c>
      <c r="I2446" s="13" t="n">
        <f aca="false">IFERROR(INDEX('NCO-2015 scores'!$C$2:$C$131,MATCH(E2446,'NCO-2015 scores'!$A$2:$A$131,0)),0)</f>
        <v>0.2956</v>
      </c>
      <c r="J2446" s="13" t="n">
        <f aca="false">IF(ISNUMBER(MATCH(E2446,'NCO-2015 scores'!$A$2:$A$131,0)),IF(ISNUMBER(INDEX('NCO-2015 scores'!$C$2:$C$131,MATCH(E2446,'NCO-2015 scores'!$A$2:$A$131,0))),1,0),0)</f>
        <v>1</v>
      </c>
    </row>
    <row r="2447" customFormat="false" ht="15" hidden="false" customHeight="false" outlineLevel="0" collapsed="false">
      <c r="A2447" s="2" t="n">
        <v>2443</v>
      </c>
      <c r="B2447" s="2" t="s">
        <v>7209</v>
      </c>
      <c r="C2447" s="2" t="s">
        <v>7210</v>
      </c>
      <c r="D2447" s="2" t="s">
        <v>7211</v>
      </c>
      <c r="E2447" s="2" t="str">
        <f aca="false">LEFT(C2447,3)</f>
        <v>311</v>
      </c>
      <c r="F2447" s="2" t="str">
        <f aca="false">IF(D2447="","",LEFT(D2447,3))</f>
        <v>315</v>
      </c>
      <c r="G2447" s="2" t="str">
        <f aca="false">IF(F2447="","",IF(E2447=F2447,"Yes","No"))</f>
        <v>No</v>
      </c>
      <c r="H2447" s="2" t="n">
        <f aca="false">IF(D2447="",0,1/COUNTIF($D$2:$D$3451,D2447))</f>
        <v>1</v>
      </c>
      <c r="I2447" s="13" t="n">
        <f aca="false">IFERROR(INDEX('NCO-2015 scores'!$C$2:$C$131,MATCH(E2447,'NCO-2015 scores'!$A$2:$A$131,0)),0)</f>
        <v>0.2956</v>
      </c>
      <c r="J2447" s="13" t="n">
        <f aca="false">IF(ISNUMBER(MATCH(E2447,'NCO-2015 scores'!$A$2:$A$131,0)),IF(ISNUMBER(INDEX('NCO-2015 scores'!$C$2:$C$131,MATCH(E2447,'NCO-2015 scores'!$A$2:$A$131,0))),1,0),0)</f>
        <v>1</v>
      </c>
    </row>
    <row r="2448" customFormat="false" ht="15" hidden="false" customHeight="false" outlineLevel="0" collapsed="false">
      <c r="A2448" s="2" t="n">
        <v>2444</v>
      </c>
      <c r="B2448" s="2" t="s">
        <v>7212</v>
      </c>
      <c r="C2448" s="2" t="s">
        <v>7213</v>
      </c>
      <c r="D2448" s="2" t="s">
        <v>7214</v>
      </c>
      <c r="E2448" s="2" t="str">
        <f aca="false">LEFT(C2448,3)</f>
        <v>311</v>
      </c>
      <c r="F2448" s="2" t="str">
        <f aca="false">IF(D2448="","",LEFT(D2448,3))</f>
        <v>313</v>
      </c>
      <c r="G2448" s="2" t="str">
        <f aca="false">IF(F2448="","",IF(E2448=F2448,"Yes","No"))</f>
        <v>No</v>
      </c>
      <c r="H2448" s="2" t="n">
        <f aca="false">IF(D2448="",0,1/COUNTIF($D$2:$D$3451,D2448))</f>
        <v>1</v>
      </c>
      <c r="I2448" s="13" t="n">
        <f aca="false">IFERROR(INDEX('NCO-2015 scores'!$C$2:$C$131,MATCH(E2448,'NCO-2015 scores'!$A$2:$A$131,0)),0)</f>
        <v>0.2956</v>
      </c>
      <c r="J2448" s="13" t="n">
        <f aca="false">IF(ISNUMBER(MATCH(E2448,'NCO-2015 scores'!$A$2:$A$131,0)),IF(ISNUMBER(INDEX('NCO-2015 scores'!$C$2:$C$131,MATCH(E2448,'NCO-2015 scores'!$A$2:$A$131,0))),1,0),0)</f>
        <v>1</v>
      </c>
    </row>
    <row r="2449" customFormat="false" ht="15" hidden="false" customHeight="false" outlineLevel="0" collapsed="false">
      <c r="A2449" s="2" t="n">
        <v>2445</v>
      </c>
      <c r="B2449" s="2" t="s">
        <v>7215</v>
      </c>
      <c r="C2449" s="2" t="s">
        <v>7216</v>
      </c>
      <c r="D2449" s="2" t="s">
        <v>7217</v>
      </c>
      <c r="E2449" s="2" t="str">
        <f aca="false">LEFT(C2449,3)</f>
        <v>311</v>
      </c>
      <c r="F2449" s="2" t="str">
        <f aca="false">IF(D2449="","",LEFT(D2449,3))</f>
        <v>311</v>
      </c>
      <c r="G2449" s="2" t="str">
        <f aca="false">IF(F2449="","",IF(E2449=F2449,"Yes","No"))</f>
        <v>Yes</v>
      </c>
      <c r="H2449" s="2" t="n">
        <f aca="false">IF(D2449="",0,1/COUNTIF($D$2:$D$3451,D2449))</f>
        <v>1</v>
      </c>
      <c r="I2449" s="13" t="n">
        <f aca="false">IFERROR(INDEX('NCO-2015 scores'!$C$2:$C$131,MATCH(E2449,'NCO-2015 scores'!$A$2:$A$131,0)),0)</f>
        <v>0.2956</v>
      </c>
      <c r="J2449" s="13" t="n">
        <f aca="false">IF(ISNUMBER(MATCH(E2449,'NCO-2015 scores'!$A$2:$A$131,0)),IF(ISNUMBER(INDEX('NCO-2015 scores'!$C$2:$C$131,MATCH(E2449,'NCO-2015 scores'!$A$2:$A$131,0))),1,0),0)</f>
        <v>1</v>
      </c>
    </row>
    <row r="2450" customFormat="false" ht="15" hidden="false" customHeight="false" outlineLevel="0" collapsed="false">
      <c r="A2450" s="2" t="n">
        <v>2446</v>
      </c>
      <c r="B2450" s="2" t="s">
        <v>7218</v>
      </c>
      <c r="C2450" s="2" t="s">
        <v>7219</v>
      </c>
      <c r="D2450" s="2" t="s">
        <v>7220</v>
      </c>
      <c r="E2450" s="2" t="str">
        <f aca="false">LEFT(C2450,3)</f>
        <v>311</v>
      </c>
      <c r="F2450" s="2" t="str">
        <f aca="false">IF(D2450="","",LEFT(D2450,3))</f>
        <v>313</v>
      </c>
      <c r="G2450" s="2" t="str">
        <f aca="false">IF(F2450="","",IF(E2450=F2450,"Yes","No"))</f>
        <v>No</v>
      </c>
      <c r="H2450" s="2" t="n">
        <f aca="false">IF(D2450="",0,1/COUNTIF($D$2:$D$3451,D2450))</f>
        <v>1</v>
      </c>
      <c r="I2450" s="13" t="n">
        <f aca="false">IFERROR(INDEX('NCO-2015 scores'!$C$2:$C$131,MATCH(E2450,'NCO-2015 scores'!$A$2:$A$131,0)),0)</f>
        <v>0.2956</v>
      </c>
      <c r="J2450" s="13" t="n">
        <f aca="false">IF(ISNUMBER(MATCH(E2450,'NCO-2015 scores'!$A$2:$A$131,0)),IF(ISNUMBER(INDEX('NCO-2015 scores'!$C$2:$C$131,MATCH(E2450,'NCO-2015 scores'!$A$2:$A$131,0))),1,0),0)</f>
        <v>1</v>
      </c>
    </row>
    <row r="2451" customFormat="false" ht="15" hidden="false" customHeight="false" outlineLevel="0" collapsed="false">
      <c r="A2451" s="2" t="n">
        <v>2447</v>
      </c>
      <c r="B2451" s="2" t="s">
        <v>7221</v>
      </c>
      <c r="C2451" s="2" t="s">
        <v>7222</v>
      </c>
      <c r="D2451" s="2" t="s">
        <v>7223</v>
      </c>
      <c r="E2451" s="2" t="str">
        <f aca="false">LEFT(C2451,3)</f>
        <v>211</v>
      </c>
      <c r="F2451" s="2" t="str">
        <f aca="false">IF(D2451="","",LEFT(D2451,3))</f>
        <v>211</v>
      </c>
      <c r="G2451" s="2" t="str">
        <f aca="false">IF(F2451="","",IF(E2451=F2451,"Yes","No"))</f>
        <v>Yes</v>
      </c>
      <c r="H2451" s="2" t="n">
        <f aca="false">IF(D2451="",0,1/COUNTIF($D$2:$D$3451,D2451))</f>
        <v>1</v>
      </c>
      <c r="I2451" s="13" t="n">
        <f aca="false">IFERROR(INDEX('NCO-2015 scores'!$C$2:$C$131,MATCH(E2451,'NCO-2015 scores'!$A$2:$A$131,0)),0)</f>
        <v>0.4175</v>
      </c>
      <c r="J2451" s="13" t="n">
        <f aca="false">IF(ISNUMBER(MATCH(E2451,'NCO-2015 scores'!$A$2:$A$131,0)),IF(ISNUMBER(INDEX('NCO-2015 scores'!$C$2:$C$131,MATCH(E2451,'NCO-2015 scores'!$A$2:$A$131,0))),1,0),0)</f>
        <v>1</v>
      </c>
    </row>
    <row r="2452" customFormat="false" ht="15" hidden="false" customHeight="false" outlineLevel="0" collapsed="false">
      <c r="A2452" s="2" t="n">
        <v>2448</v>
      </c>
      <c r="B2452" s="2" t="s">
        <v>7224</v>
      </c>
      <c r="C2452" s="2" t="s">
        <v>7225</v>
      </c>
      <c r="D2452" s="2" t="s">
        <v>7226</v>
      </c>
      <c r="E2452" s="2" t="str">
        <f aca="false">LEFT(C2452,3)</f>
        <v>211</v>
      </c>
      <c r="F2452" s="2" t="str">
        <f aca="false">IF(D2452="","",LEFT(D2452,3))</f>
        <v>211</v>
      </c>
      <c r="G2452" s="2" t="str">
        <f aca="false">IF(F2452="","",IF(E2452=F2452,"Yes","No"))</f>
        <v>Yes</v>
      </c>
      <c r="H2452" s="2" t="n">
        <f aca="false">IF(D2452="",0,1/COUNTIF($D$2:$D$3451,D2452))</f>
        <v>1</v>
      </c>
      <c r="I2452" s="13" t="n">
        <f aca="false">IFERROR(INDEX('NCO-2015 scores'!$C$2:$C$131,MATCH(E2452,'NCO-2015 scores'!$A$2:$A$131,0)),0)</f>
        <v>0.4175</v>
      </c>
      <c r="J2452" s="13" t="n">
        <f aca="false">IF(ISNUMBER(MATCH(E2452,'NCO-2015 scores'!$A$2:$A$131,0)),IF(ISNUMBER(INDEX('NCO-2015 scores'!$C$2:$C$131,MATCH(E2452,'NCO-2015 scores'!$A$2:$A$131,0))),1,0),0)</f>
        <v>1</v>
      </c>
    </row>
    <row r="2453" customFormat="false" ht="15" hidden="false" customHeight="false" outlineLevel="0" collapsed="false">
      <c r="A2453" s="2" t="n">
        <v>2449</v>
      </c>
      <c r="B2453" s="2" t="s">
        <v>7227</v>
      </c>
      <c r="C2453" s="2" t="s">
        <v>7228</v>
      </c>
      <c r="D2453" s="2" t="s">
        <v>7229</v>
      </c>
      <c r="E2453" s="2" t="str">
        <f aca="false">LEFT(C2453,3)</f>
        <v>211</v>
      </c>
      <c r="F2453" s="2" t="str">
        <f aca="false">IF(D2453="","",LEFT(D2453,3))</f>
        <v>211</v>
      </c>
      <c r="G2453" s="2" t="str">
        <f aca="false">IF(F2453="","",IF(E2453=F2453,"Yes","No"))</f>
        <v>Yes</v>
      </c>
      <c r="H2453" s="2" t="n">
        <f aca="false">IF(D2453="",0,1/COUNTIF($D$2:$D$3451,D2453))</f>
        <v>1</v>
      </c>
      <c r="I2453" s="13" t="n">
        <f aca="false">IFERROR(INDEX('NCO-2015 scores'!$C$2:$C$131,MATCH(E2453,'NCO-2015 scores'!$A$2:$A$131,0)),0)</f>
        <v>0.4175</v>
      </c>
      <c r="J2453" s="13" t="n">
        <f aca="false">IF(ISNUMBER(MATCH(E2453,'NCO-2015 scores'!$A$2:$A$131,0)),IF(ISNUMBER(INDEX('NCO-2015 scores'!$C$2:$C$131,MATCH(E2453,'NCO-2015 scores'!$A$2:$A$131,0))),1,0),0)</f>
        <v>1</v>
      </c>
    </row>
    <row r="2454" customFormat="false" ht="15" hidden="false" customHeight="false" outlineLevel="0" collapsed="false">
      <c r="A2454" s="2" t="n">
        <v>2450</v>
      </c>
      <c r="B2454" s="2" t="s">
        <v>7230</v>
      </c>
      <c r="C2454" s="2" t="s">
        <v>7231</v>
      </c>
      <c r="D2454" s="2" t="s">
        <v>7232</v>
      </c>
      <c r="E2454" s="2" t="str">
        <f aca="false">LEFT(C2454,3)</f>
        <v>211</v>
      </c>
      <c r="F2454" s="2" t="str">
        <f aca="false">IF(D2454="","",LEFT(D2454,3))</f>
        <v>211</v>
      </c>
      <c r="G2454" s="2" t="str">
        <f aca="false">IF(F2454="","",IF(E2454=F2454,"Yes","No"))</f>
        <v>Yes</v>
      </c>
      <c r="H2454" s="2" t="n">
        <f aca="false">IF(D2454="",0,1/COUNTIF($D$2:$D$3451,D2454))</f>
        <v>1</v>
      </c>
      <c r="I2454" s="13" t="n">
        <f aca="false">IFERROR(INDEX('NCO-2015 scores'!$C$2:$C$131,MATCH(E2454,'NCO-2015 scores'!$A$2:$A$131,0)),0)</f>
        <v>0.4175</v>
      </c>
      <c r="J2454" s="13" t="n">
        <f aca="false">IF(ISNUMBER(MATCH(E2454,'NCO-2015 scores'!$A$2:$A$131,0)),IF(ISNUMBER(INDEX('NCO-2015 scores'!$C$2:$C$131,MATCH(E2454,'NCO-2015 scores'!$A$2:$A$131,0))),1,0),0)</f>
        <v>1</v>
      </c>
    </row>
    <row r="2455" customFormat="false" ht="15" hidden="false" customHeight="false" outlineLevel="0" collapsed="false">
      <c r="A2455" s="2" t="n">
        <v>2451</v>
      </c>
      <c r="B2455" s="2" t="s">
        <v>7233</v>
      </c>
      <c r="C2455" s="2" t="s">
        <v>7234</v>
      </c>
      <c r="D2455" s="2" t="s">
        <v>7235</v>
      </c>
      <c r="E2455" s="2" t="str">
        <f aca="false">LEFT(C2455,3)</f>
        <v>211</v>
      </c>
      <c r="F2455" s="2" t="str">
        <f aca="false">IF(D2455="","",LEFT(D2455,3))</f>
        <v>211</v>
      </c>
      <c r="G2455" s="2" t="str">
        <f aca="false">IF(F2455="","",IF(E2455=F2455,"Yes","No"))</f>
        <v>Yes</v>
      </c>
      <c r="H2455" s="2" t="n">
        <f aca="false">IF(D2455="",0,1/COUNTIF($D$2:$D$3451,D2455))</f>
        <v>1</v>
      </c>
      <c r="I2455" s="13" t="n">
        <f aca="false">IFERROR(INDEX('NCO-2015 scores'!$C$2:$C$131,MATCH(E2455,'NCO-2015 scores'!$A$2:$A$131,0)),0)</f>
        <v>0.4175</v>
      </c>
      <c r="J2455" s="13" t="n">
        <f aca="false">IF(ISNUMBER(MATCH(E2455,'NCO-2015 scores'!$A$2:$A$131,0)),IF(ISNUMBER(INDEX('NCO-2015 scores'!$C$2:$C$131,MATCH(E2455,'NCO-2015 scores'!$A$2:$A$131,0))),1,0),0)</f>
        <v>1</v>
      </c>
    </row>
    <row r="2456" customFormat="false" ht="15" hidden="false" customHeight="false" outlineLevel="0" collapsed="false">
      <c r="A2456" s="2" t="n">
        <v>2452</v>
      </c>
      <c r="B2456" s="2" t="s">
        <v>7236</v>
      </c>
      <c r="C2456" s="2" t="s">
        <v>7237</v>
      </c>
      <c r="D2456" s="2" t="s">
        <v>7238</v>
      </c>
      <c r="E2456" s="2" t="str">
        <f aca="false">LEFT(C2456,3)</f>
        <v>211</v>
      </c>
      <c r="F2456" s="2" t="str">
        <f aca="false">IF(D2456="","",LEFT(D2456,3))</f>
        <v>211</v>
      </c>
      <c r="G2456" s="2" t="str">
        <f aca="false">IF(F2456="","",IF(E2456=F2456,"Yes","No"))</f>
        <v>Yes</v>
      </c>
      <c r="H2456" s="2" t="n">
        <f aca="false">IF(D2456="",0,1/COUNTIF($D$2:$D$3451,D2456))</f>
        <v>1</v>
      </c>
      <c r="I2456" s="13" t="n">
        <f aca="false">IFERROR(INDEX('NCO-2015 scores'!$C$2:$C$131,MATCH(E2456,'NCO-2015 scores'!$A$2:$A$131,0)),0)</f>
        <v>0.4175</v>
      </c>
      <c r="J2456" s="13" t="n">
        <f aca="false">IF(ISNUMBER(MATCH(E2456,'NCO-2015 scores'!$A$2:$A$131,0)),IF(ISNUMBER(INDEX('NCO-2015 scores'!$C$2:$C$131,MATCH(E2456,'NCO-2015 scores'!$A$2:$A$131,0))),1,0),0)</f>
        <v>1</v>
      </c>
    </row>
    <row r="2457" customFormat="false" ht="15" hidden="false" customHeight="false" outlineLevel="0" collapsed="false">
      <c r="A2457" s="2" t="n">
        <v>2453</v>
      </c>
      <c r="B2457" s="2" t="s">
        <v>7239</v>
      </c>
      <c r="C2457" s="2" t="s">
        <v>7240</v>
      </c>
      <c r="D2457" s="2" t="s">
        <v>7241</v>
      </c>
      <c r="E2457" s="2" t="str">
        <f aca="false">LEFT(C2457,3)</f>
        <v>211</v>
      </c>
      <c r="F2457" s="2" t="str">
        <f aca="false">IF(D2457="","",LEFT(D2457,3))</f>
        <v>211</v>
      </c>
      <c r="G2457" s="2" t="str">
        <f aca="false">IF(F2457="","",IF(E2457=F2457,"Yes","No"))</f>
        <v>Yes</v>
      </c>
      <c r="H2457" s="2" t="n">
        <f aca="false">IF(D2457="",0,1/COUNTIF($D$2:$D$3451,D2457))</f>
        <v>1</v>
      </c>
      <c r="I2457" s="13" t="n">
        <f aca="false">IFERROR(INDEX('NCO-2015 scores'!$C$2:$C$131,MATCH(E2457,'NCO-2015 scores'!$A$2:$A$131,0)),0)</f>
        <v>0.4175</v>
      </c>
      <c r="J2457" s="13" t="n">
        <f aca="false">IF(ISNUMBER(MATCH(E2457,'NCO-2015 scores'!$A$2:$A$131,0)),IF(ISNUMBER(INDEX('NCO-2015 scores'!$C$2:$C$131,MATCH(E2457,'NCO-2015 scores'!$A$2:$A$131,0))),1,0),0)</f>
        <v>1</v>
      </c>
    </row>
    <row r="2458" customFormat="false" ht="15" hidden="false" customHeight="false" outlineLevel="0" collapsed="false">
      <c r="A2458" s="2" t="n">
        <v>2454</v>
      </c>
      <c r="B2458" s="2" t="s">
        <v>7242</v>
      </c>
      <c r="C2458" s="2" t="s">
        <v>7243</v>
      </c>
      <c r="D2458" s="2" t="s">
        <v>7244</v>
      </c>
      <c r="E2458" s="2" t="str">
        <f aca="false">LEFT(C2458,3)</f>
        <v>211</v>
      </c>
      <c r="F2458" s="2" t="str">
        <f aca="false">IF(D2458="","",LEFT(D2458,3))</f>
        <v>211</v>
      </c>
      <c r="G2458" s="2" t="str">
        <f aca="false">IF(F2458="","",IF(E2458=F2458,"Yes","No"))</f>
        <v>Yes</v>
      </c>
      <c r="H2458" s="2" t="n">
        <f aca="false">IF(D2458="",0,1/COUNTIF($D$2:$D$3451,D2458))</f>
        <v>1</v>
      </c>
      <c r="I2458" s="13" t="n">
        <f aca="false">IFERROR(INDEX('NCO-2015 scores'!$C$2:$C$131,MATCH(E2458,'NCO-2015 scores'!$A$2:$A$131,0)),0)</f>
        <v>0.4175</v>
      </c>
      <c r="J2458" s="13" t="n">
        <f aca="false">IF(ISNUMBER(MATCH(E2458,'NCO-2015 scores'!$A$2:$A$131,0)),IF(ISNUMBER(INDEX('NCO-2015 scores'!$C$2:$C$131,MATCH(E2458,'NCO-2015 scores'!$A$2:$A$131,0))),1,0),0)</f>
        <v>1</v>
      </c>
    </row>
    <row r="2459" customFormat="false" ht="15" hidden="false" customHeight="false" outlineLevel="0" collapsed="false">
      <c r="A2459" s="2" t="n">
        <v>2455</v>
      </c>
      <c r="B2459" s="2" t="s">
        <v>7245</v>
      </c>
      <c r="C2459" s="2" t="s">
        <v>7246</v>
      </c>
      <c r="D2459" s="2" t="s">
        <v>7247</v>
      </c>
      <c r="E2459" s="2" t="str">
        <f aca="false">LEFT(C2459,3)</f>
        <v>211</v>
      </c>
      <c r="F2459" s="2" t="str">
        <f aca="false">IF(D2459="","",LEFT(D2459,3))</f>
        <v>211</v>
      </c>
      <c r="G2459" s="2" t="str">
        <f aca="false">IF(F2459="","",IF(E2459=F2459,"Yes","No"))</f>
        <v>Yes</v>
      </c>
      <c r="H2459" s="2" t="n">
        <f aca="false">IF(D2459="",0,1/COUNTIF($D$2:$D$3451,D2459))</f>
        <v>1</v>
      </c>
      <c r="I2459" s="13" t="n">
        <f aca="false">IFERROR(INDEX('NCO-2015 scores'!$C$2:$C$131,MATCH(E2459,'NCO-2015 scores'!$A$2:$A$131,0)),0)</f>
        <v>0.4175</v>
      </c>
      <c r="J2459" s="13" t="n">
        <f aca="false">IF(ISNUMBER(MATCH(E2459,'NCO-2015 scores'!$A$2:$A$131,0)),IF(ISNUMBER(INDEX('NCO-2015 scores'!$C$2:$C$131,MATCH(E2459,'NCO-2015 scores'!$A$2:$A$131,0))),1,0),0)</f>
        <v>1</v>
      </c>
    </row>
    <row r="2460" customFormat="false" ht="15" hidden="false" customHeight="false" outlineLevel="0" collapsed="false">
      <c r="A2460" s="2" t="n">
        <v>2456</v>
      </c>
      <c r="B2460" s="2" t="s">
        <v>7248</v>
      </c>
      <c r="C2460" s="2" t="s">
        <v>7249</v>
      </c>
      <c r="D2460" s="2" t="s">
        <v>7250</v>
      </c>
      <c r="E2460" s="2" t="str">
        <f aca="false">LEFT(C2460,3)</f>
        <v>211</v>
      </c>
      <c r="F2460" s="2" t="str">
        <f aca="false">IF(D2460="","",LEFT(D2460,3))</f>
        <v>211</v>
      </c>
      <c r="G2460" s="2" t="str">
        <f aca="false">IF(F2460="","",IF(E2460=F2460,"Yes","No"))</f>
        <v>Yes</v>
      </c>
      <c r="H2460" s="2" t="n">
        <f aca="false">IF(D2460="",0,1/COUNTIF($D$2:$D$3451,D2460))</f>
        <v>1</v>
      </c>
      <c r="I2460" s="13" t="n">
        <f aca="false">IFERROR(INDEX('NCO-2015 scores'!$C$2:$C$131,MATCH(E2460,'NCO-2015 scores'!$A$2:$A$131,0)),0)</f>
        <v>0.4175</v>
      </c>
      <c r="J2460" s="13" t="n">
        <f aca="false">IF(ISNUMBER(MATCH(E2460,'NCO-2015 scores'!$A$2:$A$131,0)),IF(ISNUMBER(INDEX('NCO-2015 scores'!$C$2:$C$131,MATCH(E2460,'NCO-2015 scores'!$A$2:$A$131,0))),1,0),0)</f>
        <v>1</v>
      </c>
    </row>
    <row r="2461" customFormat="false" ht="15" hidden="false" customHeight="false" outlineLevel="0" collapsed="false">
      <c r="A2461" s="2" t="n">
        <v>2457</v>
      </c>
      <c r="B2461" s="2" t="s">
        <v>7251</v>
      </c>
      <c r="C2461" s="2" t="s">
        <v>7252</v>
      </c>
      <c r="D2461" s="2" t="s">
        <v>7253</v>
      </c>
      <c r="E2461" s="2" t="str">
        <f aca="false">LEFT(C2461,3)</f>
        <v>211</v>
      </c>
      <c r="F2461" s="2" t="str">
        <f aca="false">IF(D2461="","",LEFT(D2461,3))</f>
        <v>211</v>
      </c>
      <c r="G2461" s="2" t="str">
        <f aca="false">IF(F2461="","",IF(E2461=F2461,"Yes","No"))</f>
        <v>Yes</v>
      </c>
      <c r="H2461" s="2" t="n">
        <f aca="false">IF(D2461="",0,1/COUNTIF($D$2:$D$3451,D2461))</f>
        <v>1</v>
      </c>
      <c r="I2461" s="13" t="n">
        <f aca="false">IFERROR(INDEX('NCO-2015 scores'!$C$2:$C$131,MATCH(E2461,'NCO-2015 scores'!$A$2:$A$131,0)),0)</f>
        <v>0.4175</v>
      </c>
      <c r="J2461" s="13" t="n">
        <f aca="false">IF(ISNUMBER(MATCH(E2461,'NCO-2015 scores'!$A$2:$A$131,0)),IF(ISNUMBER(INDEX('NCO-2015 scores'!$C$2:$C$131,MATCH(E2461,'NCO-2015 scores'!$A$2:$A$131,0))),1,0),0)</f>
        <v>1</v>
      </c>
    </row>
    <row r="2462" customFormat="false" ht="15" hidden="false" customHeight="false" outlineLevel="0" collapsed="false">
      <c r="A2462" s="2" t="n">
        <v>2458</v>
      </c>
      <c r="B2462" s="2" t="s">
        <v>7254</v>
      </c>
      <c r="C2462" s="2" t="s">
        <v>7255</v>
      </c>
      <c r="D2462" s="2" t="s">
        <v>7256</v>
      </c>
      <c r="E2462" s="2" t="str">
        <f aca="false">LEFT(C2462,3)</f>
        <v>211</v>
      </c>
      <c r="F2462" s="2" t="str">
        <f aca="false">IF(D2462="","",LEFT(D2462,3))</f>
        <v>211</v>
      </c>
      <c r="G2462" s="2" t="str">
        <f aca="false">IF(F2462="","",IF(E2462=F2462,"Yes","No"))</f>
        <v>Yes</v>
      </c>
      <c r="H2462" s="2" t="n">
        <f aca="false">IF(D2462="",0,1/COUNTIF($D$2:$D$3451,D2462))</f>
        <v>1</v>
      </c>
      <c r="I2462" s="13" t="n">
        <f aca="false">IFERROR(INDEX('NCO-2015 scores'!$C$2:$C$131,MATCH(E2462,'NCO-2015 scores'!$A$2:$A$131,0)),0)</f>
        <v>0.4175</v>
      </c>
      <c r="J2462" s="13" t="n">
        <f aca="false">IF(ISNUMBER(MATCH(E2462,'NCO-2015 scores'!$A$2:$A$131,0)),IF(ISNUMBER(INDEX('NCO-2015 scores'!$C$2:$C$131,MATCH(E2462,'NCO-2015 scores'!$A$2:$A$131,0))),1,0),0)</f>
        <v>1</v>
      </c>
    </row>
    <row r="2463" customFormat="false" ht="15" hidden="false" customHeight="false" outlineLevel="0" collapsed="false">
      <c r="A2463" s="2" t="n">
        <v>2459</v>
      </c>
      <c r="B2463" s="2" t="s">
        <v>7257</v>
      </c>
      <c r="C2463" s="2" t="s">
        <v>7258</v>
      </c>
      <c r="D2463" s="2" t="s">
        <v>7259</v>
      </c>
      <c r="E2463" s="2" t="str">
        <f aca="false">LEFT(C2463,3)</f>
        <v>226</v>
      </c>
      <c r="F2463" s="2" t="str">
        <f aca="false">IF(D2463="","",LEFT(D2463,3))</f>
        <v>322</v>
      </c>
      <c r="G2463" s="2" t="str">
        <f aca="false">IF(F2463="","",IF(E2463=F2463,"Yes","No"))</f>
        <v>No</v>
      </c>
      <c r="H2463" s="2" t="n">
        <f aca="false">IF(D2463="",0,1/COUNTIF($D$2:$D$3451,D2463))</f>
        <v>1</v>
      </c>
      <c r="I2463" s="13" t="n">
        <f aca="false">IFERROR(INDEX('NCO-2015 scores'!$C$2:$C$131,MATCH(E2463,'NCO-2015 scores'!$A$2:$A$131,0)),0)</f>
        <v>0.2662</v>
      </c>
      <c r="J2463" s="13" t="n">
        <f aca="false">IF(ISNUMBER(MATCH(E2463,'NCO-2015 scores'!$A$2:$A$131,0)),IF(ISNUMBER(INDEX('NCO-2015 scores'!$C$2:$C$131,MATCH(E2463,'NCO-2015 scores'!$A$2:$A$131,0))),1,0),0)</f>
        <v>1</v>
      </c>
    </row>
    <row r="2464" customFormat="false" ht="15" hidden="false" customHeight="false" outlineLevel="0" collapsed="false">
      <c r="A2464" s="2" t="n">
        <v>2460</v>
      </c>
      <c r="B2464" s="2" t="s">
        <v>7260</v>
      </c>
      <c r="C2464" s="2" t="s">
        <v>7261</v>
      </c>
      <c r="D2464" s="2" t="s">
        <v>7262</v>
      </c>
      <c r="E2464" s="2" t="str">
        <f aca="false">LEFT(C2464,3)</f>
        <v>226</v>
      </c>
      <c r="F2464" s="2" t="str">
        <f aca="false">IF(D2464="","",LEFT(D2464,3))</f>
        <v>322</v>
      </c>
      <c r="G2464" s="2" t="str">
        <f aca="false">IF(F2464="","",IF(E2464=F2464,"Yes","No"))</f>
        <v>No</v>
      </c>
      <c r="H2464" s="2" t="n">
        <f aca="false">IF(D2464="",0,1/COUNTIF($D$2:$D$3451,D2464))</f>
        <v>1</v>
      </c>
      <c r="I2464" s="13" t="n">
        <f aca="false">IFERROR(INDEX('NCO-2015 scores'!$C$2:$C$131,MATCH(E2464,'NCO-2015 scores'!$A$2:$A$131,0)),0)</f>
        <v>0.2662</v>
      </c>
      <c r="J2464" s="13" t="n">
        <f aca="false">IF(ISNUMBER(MATCH(E2464,'NCO-2015 scores'!$A$2:$A$131,0)),IF(ISNUMBER(INDEX('NCO-2015 scores'!$C$2:$C$131,MATCH(E2464,'NCO-2015 scores'!$A$2:$A$131,0))),1,0),0)</f>
        <v>1</v>
      </c>
    </row>
    <row r="2465" customFormat="false" ht="15" hidden="false" customHeight="false" outlineLevel="0" collapsed="false">
      <c r="A2465" s="2" t="n">
        <v>2461</v>
      </c>
      <c r="B2465" s="2" t="s">
        <v>7263</v>
      </c>
      <c r="C2465" s="2" t="s">
        <v>7264</v>
      </c>
      <c r="D2465" s="2" t="s">
        <v>7265</v>
      </c>
      <c r="E2465" s="2" t="str">
        <f aca="false">LEFT(C2465,3)</f>
        <v>226</v>
      </c>
      <c r="F2465" s="2" t="str">
        <f aca="false">IF(D2465="","",LEFT(D2465,3))</f>
        <v>322</v>
      </c>
      <c r="G2465" s="2" t="str">
        <f aca="false">IF(F2465="","",IF(E2465=F2465,"Yes","No"))</f>
        <v>No</v>
      </c>
      <c r="H2465" s="2" t="n">
        <f aca="false">IF(D2465="",0,1/COUNTIF($D$2:$D$3451,D2465))</f>
        <v>1</v>
      </c>
      <c r="I2465" s="13" t="n">
        <f aca="false">IFERROR(INDEX('NCO-2015 scores'!$C$2:$C$131,MATCH(E2465,'NCO-2015 scores'!$A$2:$A$131,0)),0)</f>
        <v>0.2662</v>
      </c>
      <c r="J2465" s="13" t="n">
        <f aca="false">IF(ISNUMBER(MATCH(E2465,'NCO-2015 scores'!$A$2:$A$131,0)),IF(ISNUMBER(INDEX('NCO-2015 scores'!$C$2:$C$131,MATCH(E2465,'NCO-2015 scores'!$A$2:$A$131,0))),1,0),0)</f>
        <v>1</v>
      </c>
    </row>
    <row r="2466" customFormat="false" ht="15" hidden="false" customHeight="false" outlineLevel="0" collapsed="false">
      <c r="A2466" s="2" t="n">
        <v>2462</v>
      </c>
      <c r="B2466" s="2" t="s">
        <v>7266</v>
      </c>
      <c r="C2466" s="2" t="s">
        <v>7267</v>
      </c>
      <c r="D2466" s="2" t="s">
        <v>7268</v>
      </c>
      <c r="E2466" s="2" t="str">
        <f aca="false">LEFT(C2466,3)</f>
        <v>226</v>
      </c>
      <c r="F2466" s="2" t="str">
        <f aca="false">IF(D2466="","",LEFT(D2466,3))</f>
        <v>322</v>
      </c>
      <c r="G2466" s="2" t="str">
        <f aca="false">IF(F2466="","",IF(E2466=F2466,"Yes","No"))</f>
        <v>No</v>
      </c>
      <c r="H2466" s="2" t="n">
        <f aca="false">IF(D2466="",0,1/COUNTIF($D$2:$D$3451,D2466))</f>
        <v>1</v>
      </c>
      <c r="I2466" s="13" t="n">
        <f aca="false">IFERROR(INDEX('NCO-2015 scores'!$C$2:$C$131,MATCH(E2466,'NCO-2015 scores'!$A$2:$A$131,0)),0)</f>
        <v>0.2662</v>
      </c>
      <c r="J2466" s="13" t="n">
        <f aca="false">IF(ISNUMBER(MATCH(E2466,'NCO-2015 scores'!$A$2:$A$131,0)),IF(ISNUMBER(INDEX('NCO-2015 scores'!$C$2:$C$131,MATCH(E2466,'NCO-2015 scores'!$A$2:$A$131,0))),1,0),0)</f>
        <v>1</v>
      </c>
    </row>
    <row r="2467" customFormat="false" ht="15" hidden="false" customHeight="false" outlineLevel="0" collapsed="false">
      <c r="A2467" s="2" t="n">
        <v>2463</v>
      </c>
      <c r="B2467" s="2" t="s">
        <v>7269</v>
      </c>
      <c r="C2467" s="2" t="s">
        <v>7270</v>
      </c>
      <c r="D2467" s="2"/>
      <c r="E2467" s="2" t="str">
        <f aca="false">LEFT(C2467,3)</f>
        <v>226</v>
      </c>
      <c r="F2467" s="2" t="str">
        <f aca="false">IF(D2467="","",LEFT(D2467,3))</f>
        <v/>
      </c>
      <c r="G2467" s="2" t="str">
        <f aca="false">IF(F2467="","",IF(E2467=F2467,"Yes","No"))</f>
        <v/>
      </c>
      <c r="H2467" s="2" t="n">
        <f aca="false">IF(D2467="",0,1/COUNTIF($D$2:$D$3451,D2467))</f>
        <v>0</v>
      </c>
      <c r="I2467" s="13" t="n">
        <f aca="false">IFERROR(INDEX('NCO-2015 scores'!$C$2:$C$131,MATCH(E2467,'NCO-2015 scores'!$A$2:$A$131,0)),0)</f>
        <v>0.2662</v>
      </c>
      <c r="J2467" s="13" t="n">
        <f aca="false">IF(ISNUMBER(MATCH(E2467,'NCO-2015 scores'!$A$2:$A$131,0)),IF(ISNUMBER(INDEX('NCO-2015 scores'!$C$2:$C$131,MATCH(E2467,'NCO-2015 scores'!$A$2:$A$131,0))),1,0),0)</f>
        <v>1</v>
      </c>
    </row>
    <row r="2468" customFormat="false" ht="15" hidden="false" customHeight="false" outlineLevel="0" collapsed="false">
      <c r="A2468" s="2" t="n">
        <v>2464</v>
      </c>
      <c r="B2468" s="2" t="s">
        <v>7271</v>
      </c>
      <c r="C2468" s="2" t="s">
        <v>7272</v>
      </c>
      <c r="D2468" s="2" t="s">
        <v>7273</v>
      </c>
      <c r="E2468" s="2" t="str">
        <f aca="false">LEFT(C2468,3)</f>
        <v>226</v>
      </c>
      <c r="F2468" s="2" t="str">
        <f aca="false">IF(D2468="","",LEFT(D2468,3))</f>
        <v>322</v>
      </c>
      <c r="G2468" s="2" t="str">
        <f aca="false">IF(F2468="","",IF(E2468=F2468,"Yes","No"))</f>
        <v>No</v>
      </c>
      <c r="H2468" s="2" t="n">
        <f aca="false">IF(D2468="",0,1/COUNTIF($D$2:$D$3451,D2468))</f>
        <v>1</v>
      </c>
      <c r="I2468" s="13" t="n">
        <f aca="false">IFERROR(INDEX('NCO-2015 scores'!$C$2:$C$131,MATCH(E2468,'NCO-2015 scores'!$A$2:$A$131,0)),0)</f>
        <v>0.2662</v>
      </c>
      <c r="J2468" s="13" t="n">
        <f aca="false">IF(ISNUMBER(MATCH(E2468,'NCO-2015 scores'!$A$2:$A$131,0)),IF(ISNUMBER(INDEX('NCO-2015 scores'!$C$2:$C$131,MATCH(E2468,'NCO-2015 scores'!$A$2:$A$131,0))),1,0),0)</f>
        <v>1</v>
      </c>
    </row>
    <row r="2469" customFormat="false" ht="15" hidden="false" customHeight="false" outlineLevel="0" collapsed="false">
      <c r="A2469" s="2" t="n">
        <v>2465</v>
      </c>
      <c r="B2469" s="2" t="s">
        <v>7274</v>
      </c>
      <c r="C2469" s="2" t="s">
        <v>7275</v>
      </c>
      <c r="D2469" s="2"/>
      <c r="E2469" s="2" t="str">
        <f aca="false">LEFT(C2469,3)</f>
        <v>325</v>
      </c>
      <c r="F2469" s="2" t="str">
        <f aca="false">IF(D2469="","",LEFT(D2469,3))</f>
        <v/>
      </c>
      <c r="G2469" s="2" t="str">
        <f aca="false">IF(F2469="","",IF(E2469=F2469,"Yes","No"))</f>
        <v/>
      </c>
      <c r="H2469" s="2" t="n">
        <f aca="false">IF(D2469="",0,1/COUNTIF($D$2:$D$3451,D2469))</f>
        <v>0</v>
      </c>
      <c r="I2469" s="13" t="n">
        <f aca="false">IFERROR(INDEX('NCO-2015 scores'!$C$2:$C$131,MATCH(E2469,'NCO-2015 scores'!$A$2:$A$131,0)),0)</f>
        <v>0.2689</v>
      </c>
      <c r="J2469" s="13" t="n">
        <f aca="false">IF(ISNUMBER(MATCH(E2469,'NCO-2015 scores'!$A$2:$A$131,0)),IF(ISNUMBER(INDEX('NCO-2015 scores'!$C$2:$C$131,MATCH(E2469,'NCO-2015 scores'!$A$2:$A$131,0))),1,0),0)</f>
        <v>1</v>
      </c>
    </row>
    <row r="2470" customFormat="false" ht="15" hidden="false" customHeight="false" outlineLevel="0" collapsed="false">
      <c r="A2470" s="2" t="n">
        <v>2466</v>
      </c>
      <c r="B2470" s="2" t="s">
        <v>7276</v>
      </c>
      <c r="C2470" s="2" t="s">
        <v>7277</v>
      </c>
      <c r="D2470" s="2" t="s">
        <v>7278</v>
      </c>
      <c r="E2470" s="2" t="str">
        <f aca="false">LEFT(C2470,3)</f>
        <v>712</v>
      </c>
      <c r="F2470" s="2" t="str">
        <f aca="false">IF(D2470="","",LEFT(D2470,3))</f>
        <v>713</v>
      </c>
      <c r="G2470" s="2" t="str">
        <f aca="false">IF(F2470="","",IF(E2470=F2470,"Yes","No"))</f>
        <v>No</v>
      </c>
      <c r="H2470" s="2" t="n">
        <f aca="false">IF(D2470="",0,1/COUNTIF($D$2:$D$3451,D2470))</f>
        <v>1</v>
      </c>
      <c r="I2470" s="13" t="n">
        <f aca="false">IFERROR(INDEX('NCO-2015 scores'!$C$2:$C$131,MATCH(E2470,'NCO-2015 scores'!$A$2:$A$131,0)),0)</f>
        <v>0.1429</v>
      </c>
      <c r="J2470" s="13" t="n">
        <f aca="false">IF(ISNUMBER(MATCH(E2470,'NCO-2015 scores'!$A$2:$A$131,0)),IF(ISNUMBER(INDEX('NCO-2015 scores'!$C$2:$C$131,MATCH(E2470,'NCO-2015 scores'!$A$2:$A$131,0))),1,0),0)</f>
        <v>1</v>
      </c>
    </row>
    <row r="2471" customFormat="false" ht="15" hidden="false" customHeight="false" outlineLevel="0" collapsed="false">
      <c r="A2471" s="2" t="n">
        <v>2467</v>
      </c>
      <c r="B2471" s="2" t="s">
        <v>7279</v>
      </c>
      <c r="C2471" s="2" t="s">
        <v>7280</v>
      </c>
      <c r="D2471" s="2" t="s">
        <v>7281</v>
      </c>
      <c r="E2471" s="2" t="str">
        <f aca="false">LEFT(C2471,3)</f>
        <v>712</v>
      </c>
      <c r="F2471" s="2" t="str">
        <f aca="false">IF(D2471="","",LEFT(D2471,3))</f>
        <v>713</v>
      </c>
      <c r="G2471" s="2" t="str">
        <f aca="false">IF(F2471="","",IF(E2471=F2471,"Yes","No"))</f>
        <v>No</v>
      </c>
      <c r="H2471" s="2" t="n">
        <f aca="false">IF(D2471="",0,1/COUNTIF($D$2:$D$3451,D2471))</f>
        <v>1</v>
      </c>
      <c r="I2471" s="13" t="n">
        <f aca="false">IFERROR(INDEX('NCO-2015 scores'!$C$2:$C$131,MATCH(E2471,'NCO-2015 scores'!$A$2:$A$131,0)),0)</f>
        <v>0.1429</v>
      </c>
      <c r="J2471" s="13" t="n">
        <f aca="false">IF(ISNUMBER(MATCH(E2471,'NCO-2015 scores'!$A$2:$A$131,0)),IF(ISNUMBER(INDEX('NCO-2015 scores'!$C$2:$C$131,MATCH(E2471,'NCO-2015 scores'!$A$2:$A$131,0))),1,0),0)</f>
        <v>1</v>
      </c>
    </row>
    <row r="2472" customFormat="false" ht="15" hidden="false" customHeight="false" outlineLevel="0" collapsed="false">
      <c r="A2472" s="2" t="n">
        <v>2468</v>
      </c>
      <c r="B2472" s="2" t="s">
        <v>1864</v>
      </c>
      <c r="C2472" s="2" t="s">
        <v>7282</v>
      </c>
      <c r="D2472" s="2" t="s">
        <v>7283</v>
      </c>
      <c r="E2472" s="2" t="str">
        <f aca="false">LEFT(C2472,3)</f>
        <v>814</v>
      </c>
      <c r="F2472" s="2" t="str">
        <f aca="false">IF(D2472="","",LEFT(D2472,3))</f>
        <v>823</v>
      </c>
      <c r="G2472" s="2" t="str">
        <f aca="false">IF(F2472="","",IF(E2472=F2472,"Yes","No"))</f>
        <v>No</v>
      </c>
      <c r="H2472" s="2" t="n">
        <f aca="false">IF(D2472="",0,1/COUNTIF($D$2:$D$3451,D2472))</f>
        <v>1</v>
      </c>
      <c r="I2472" s="13" t="n">
        <f aca="false">IFERROR(INDEX('NCO-2015 scores'!$C$2:$C$131,MATCH(E2472,'NCO-2015 scores'!$A$2:$A$131,0)),0)</f>
        <v>0.1767</v>
      </c>
      <c r="J2472" s="13" t="n">
        <f aca="false">IF(ISNUMBER(MATCH(E2472,'NCO-2015 scores'!$A$2:$A$131,0)),IF(ISNUMBER(INDEX('NCO-2015 scores'!$C$2:$C$131,MATCH(E2472,'NCO-2015 scores'!$A$2:$A$131,0))),1,0),0)</f>
        <v>1</v>
      </c>
    </row>
    <row r="2473" customFormat="false" ht="15" hidden="false" customHeight="false" outlineLevel="0" collapsed="false">
      <c r="A2473" s="2" t="n">
        <v>2469</v>
      </c>
      <c r="B2473" s="2" t="s">
        <v>7284</v>
      </c>
      <c r="C2473" s="2" t="s">
        <v>7285</v>
      </c>
      <c r="D2473" s="2" t="s">
        <v>7286</v>
      </c>
      <c r="E2473" s="2" t="str">
        <f aca="false">LEFT(C2473,3)</f>
        <v>814</v>
      </c>
      <c r="F2473" s="2" t="str">
        <f aca="false">IF(D2473="","",LEFT(D2473,3))</f>
        <v>823</v>
      </c>
      <c r="G2473" s="2" t="str">
        <f aca="false">IF(F2473="","",IF(E2473=F2473,"Yes","No"))</f>
        <v>No</v>
      </c>
      <c r="H2473" s="2" t="n">
        <f aca="false">IF(D2473="",0,1/COUNTIF($D$2:$D$3451,D2473))</f>
        <v>1</v>
      </c>
      <c r="I2473" s="13" t="n">
        <f aca="false">IFERROR(INDEX('NCO-2015 scores'!$C$2:$C$131,MATCH(E2473,'NCO-2015 scores'!$A$2:$A$131,0)),0)</f>
        <v>0.1767</v>
      </c>
      <c r="J2473" s="13" t="n">
        <f aca="false">IF(ISNUMBER(MATCH(E2473,'NCO-2015 scores'!$A$2:$A$131,0)),IF(ISNUMBER(INDEX('NCO-2015 scores'!$C$2:$C$131,MATCH(E2473,'NCO-2015 scores'!$A$2:$A$131,0))),1,0),0)</f>
        <v>1</v>
      </c>
    </row>
    <row r="2474" customFormat="false" ht="15" hidden="false" customHeight="false" outlineLevel="0" collapsed="false">
      <c r="A2474" s="2" t="n">
        <v>2470</v>
      </c>
      <c r="B2474" s="2" t="s">
        <v>7287</v>
      </c>
      <c r="C2474" s="2" t="s">
        <v>7288</v>
      </c>
      <c r="D2474" s="2" t="s">
        <v>7289</v>
      </c>
      <c r="E2474" s="2" t="str">
        <f aca="false">LEFT(C2474,3)</f>
        <v>814</v>
      </c>
      <c r="F2474" s="2" t="str">
        <f aca="false">IF(D2474="","",LEFT(D2474,3))</f>
        <v>823</v>
      </c>
      <c r="G2474" s="2" t="str">
        <f aca="false">IF(F2474="","",IF(E2474=F2474,"Yes","No"))</f>
        <v>No</v>
      </c>
      <c r="H2474" s="2" t="n">
        <f aca="false">IF(D2474="",0,1/COUNTIF($D$2:$D$3451,D2474))</f>
        <v>1</v>
      </c>
      <c r="I2474" s="13" t="n">
        <f aca="false">IFERROR(INDEX('NCO-2015 scores'!$C$2:$C$131,MATCH(E2474,'NCO-2015 scores'!$A$2:$A$131,0)),0)</f>
        <v>0.1767</v>
      </c>
      <c r="J2474" s="13" t="n">
        <f aca="false">IF(ISNUMBER(MATCH(E2474,'NCO-2015 scores'!$A$2:$A$131,0)),IF(ISNUMBER(INDEX('NCO-2015 scores'!$C$2:$C$131,MATCH(E2474,'NCO-2015 scores'!$A$2:$A$131,0))),1,0),0)</f>
        <v>1</v>
      </c>
    </row>
    <row r="2475" customFormat="false" ht="15" hidden="false" customHeight="false" outlineLevel="0" collapsed="false">
      <c r="A2475" s="2" t="n">
        <v>2471</v>
      </c>
      <c r="B2475" s="2" t="s">
        <v>7290</v>
      </c>
      <c r="C2475" s="2" t="s">
        <v>7291</v>
      </c>
      <c r="D2475" s="2" t="s">
        <v>7292</v>
      </c>
      <c r="E2475" s="2" t="str">
        <f aca="false">LEFT(C2475,3)</f>
        <v>814</v>
      </c>
      <c r="F2475" s="2" t="str">
        <f aca="false">IF(D2475="","",LEFT(D2475,3))</f>
        <v>823</v>
      </c>
      <c r="G2475" s="2" t="str">
        <f aca="false">IF(F2475="","",IF(E2475=F2475,"Yes","No"))</f>
        <v>No</v>
      </c>
      <c r="H2475" s="2" t="n">
        <f aca="false">IF(D2475="",0,1/COUNTIF($D$2:$D$3451,D2475))</f>
        <v>1</v>
      </c>
      <c r="I2475" s="13" t="n">
        <f aca="false">IFERROR(INDEX('NCO-2015 scores'!$C$2:$C$131,MATCH(E2475,'NCO-2015 scores'!$A$2:$A$131,0)),0)</f>
        <v>0.1767</v>
      </c>
      <c r="J2475" s="13" t="n">
        <f aca="false">IF(ISNUMBER(MATCH(E2475,'NCO-2015 scores'!$A$2:$A$131,0)),IF(ISNUMBER(INDEX('NCO-2015 scores'!$C$2:$C$131,MATCH(E2475,'NCO-2015 scores'!$A$2:$A$131,0))),1,0),0)</f>
        <v>1</v>
      </c>
    </row>
    <row r="2476" customFormat="false" ht="15" hidden="false" customHeight="false" outlineLevel="0" collapsed="false">
      <c r="A2476" s="2" t="n">
        <v>2472</v>
      </c>
      <c r="B2476" s="2" t="s">
        <v>7293</v>
      </c>
      <c r="C2476" s="2" t="s">
        <v>7294</v>
      </c>
      <c r="D2476" s="2" t="s">
        <v>7295</v>
      </c>
      <c r="E2476" s="2" t="str">
        <f aca="false">LEFT(C2476,3)</f>
        <v>814</v>
      </c>
      <c r="F2476" s="2" t="str">
        <f aca="false">IF(D2476="","",LEFT(D2476,3))</f>
        <v>823</v>
      </c>
      <c r="G2476" s="2" t="str">
        <f aca="false">IF(F2476="","",IF(E2476=F2476,"Yes","No"))</f>
        <v>No</v>
      </c>
      <c r="H2476" s="2" t="n">
        <f aca="false">IF(D2476="",0,1/COUNTIF($D$2:$D$3451,D2476))</f>
        <v>1</v>
      </c>
      <c r="I2476" s="13" t="n">
        <f aca="false">IFERROR(INDEX('NCO-2015 scores'!$C$2:$C$131,MATCH(E2476,'NCO-2015 scores'!$A$2:$A$131,0)),0)</f>
        <v>0.1767</v>
      </c>
      <c r="J2476" s="13" t="n">
        <f aca="false">IF(ISNUMBER(MATCH(E2476,'NCO-2015 scores'!$A$2:$A$131,0)),IF(ISNUMBER(INDEX('NCO-2015 scores'!$C$2:$C$131,MATCH(E2476,'NCO-2015 scores'!$A$2:$A$131,0))),1,0),0)</f>
        <v>1</v>
      </c>
    </row>
    <row r="2477" customFormat="false" ht="15" hidden="false" customHeight="false" outlineLevel="0" collapsed="false">
      <c r="A2477" s="2" t="n">
        <v>2473</v>
      </c>
      <c r="B2477" s="2" t="s">
        <v>7296</v>
      </c>
      <c r="C2477" s="2" t="s">
        <v>7297</v>
      </c>
      <c r="D2477" s="2"/>
      <c r="E2477" s="2" t="str">
        <f aca="false">LEFT(C2477,3)</f>
        <v>814</v>
      </c>
      <c r="F2477" s="2" t="str">
        <f aca="false">IF(D2477="","",LEFT(D2477,3))</f>
        <v/>
      </c>
      <c r="G2477" s="2" t="str">
        <f aca="false">IF(F2477="","",IF(E2477=F2477,"Yes","No"))</f>
        <v/>
      </c>
      <c r="H2477" s="2" t="n">
        <f aca="false">IF(D2477="",0,1/COUNTIF($D$2:$D$3451,D2477))</f>
        <v>0</v>
      </c>
      <c r="I2477" s="13" t="n">
        <f aca="false">IFERROR(INDEX('NCO-2015 scores'!$C$2:$C$131,MATCH(E2477,'NCO-2015 scores'!$A$2:$A$131,0)),0)</f>
        <v>0.1767</v>
      </c>
      <c r="J2477" s="13" t="n">
        <f aca="false">IF(ISNUMBER(MATCH(E2477,'NCO-2015 scores'!$A$2:$A$131,0)),IF(ISNUMBER(INDEX('NCO-2015 scores'!$C$2:$C$131,MATCH(E2477,'NCO-2015 scores'!$A$2:$A$131,0))),1,0),0)</f>
        <v>1</v>
      </c>
    </row>
    <row r="2478" customFormat="false" ht="15" hidden="false" customHeight="false" outlineLevel="0" collapsed="false">
      <c r="A2478" s="2" t="n">
        <v>2474</v>
      </c>
      <c r="B2478" s="2" t="s">
        <v>7298</v>
      </c>
      <c r="C2478" s="2" t="s">
        <v>7299</v>
      </c>
      <c r="D2478" s="2"/>
      <c r="E2478" s="2" t="str">
        <f aca="false">LEFT(C2478,3)</f>
        <v>814</v>
      </c>
      <c r="F2478" s="2" t="str">
        <f aca="false">IF(D2478="","",LEFT(D2478,3))</f>
        <v/>
      </c>
      <c r="G2478" s="2" t="str">
        <f aca="false">IF(F2478="","",IF(E2478=F2478,"Yes","No"))</f>
        <v/>
      </c>
      <c r="H2478" s="2" t="n">
        <f aca="false">IF(D2478="",0,1/COUNTIF($D$2:$D$3451,D2478))</f>
        <v>0</v>
      </c>
      <c r="I2478" s="13" t="n">
        <f aca="false">IFERROR(INDEX('NCO-2015 scores'!$C$2:$C$131,MATCH(E2478,'NCO-2015 scores'!$A$2:$A$131,0)),0)</f>
        <v>0.1767</v>
      </c>
      <c r="J2478" s="13" t="n">
        <f aca="false">IF(ISNUMBER(MATCH(E2478,'NCO-2015 scores'!$A$2:$A$131,0)),IF(ISNUMBER(INDEX('NCO-2015 scores'!$C$2:$C$131,MATCH(E2478,'NCO-2015 scores'!$A$2:$A$131,0))),1,0),0)</f>
        <v>1</v>
      </c>
    </row>
    <row r="2479" customFormat="false" ht="15" hidden="false" customHeight="false" outlineLevel="0" collapsed="false">
      <c r="A2479" s="2" t="n">
        <v>2475</v>
      </c>
      <c r="B2479" s="2" t="s">
        <v>7300</v>
      </c>
      <c r="C2479" s="2" t="s">
        <v>7301</v>
      </c>
      <c r="D2479" s="2" t="s">
        <v>7302</v>
      </c>
      <c r="E2479" s="2" t="str">
        <f aca="false">LEFT(C2479,3)</f>
        <v>814</v>
      </c>
      <c r="F2479" s="2" t="str">
        <f aca="false">IF(D2479="","",LEFT(D2479,3))</f>
        <v>823</v>
      </c>
      <c r="G2479" s="2" t="str">
        <f aca="false">IF(F2479="","",IF(E2479=F2479,"Yes","No"))</f>
        <v>No</v>
      </c>
      <c r="H2479" s="2" t="n">
        <f aca="false">IF(D2479="",0,1/COUNTIF($D$2:$D$3451,D2479))</f>
        <v>1</v>
      </c>
      <c r="I2479" s="13" t="n">
        <f aca="false">IFERROR(INDEX('NCO-2015 scores'!$C$2:$C$131,MATCH(E2479,'NCO-2015 scores'!$A$2:$A$131,0)),0)</f>
        <v>0.1767</v>
      </c>
      <c r="J2479" s="13" t="n">
        <f aca="false">IF(ISNUMBER(MATCH(E2479,'NCO-2015 scores'!$A$2:$A$131,0)),IF(ISNUMBER(INDEX('NCO-2015 scores'!$C$2:$C$131,MATCH(E2479,'NCO-2015 scores'!$A$2:$A$131,0))),1,0),0)</f>
        <v>1</v>
      </c>
    </row>
    <row r="2480" customFormat="false" ht="15" hidden="false" customHeight="false" outlineLevel="0" collapsed="false">
      <c r="A2480" s="2" t="n">
        <v>2476</v>
      </c>
      <c r="B2480" s="2" t="s">
        <v>7303</v>
      </c>
      <c r="C2480" s="2" t="s">
        <v>7304</v>
      </c>
      <c r="D2480" s="2" t="s">
        <v>7305</v>
      </c>
      <c r="E2480" s="2" t="str">
        <f aca="false">LEFT(C2480,3)</f>
        <v>814</v>
      </c>
      <c r="F2480" s="2" t="str">
        <f aca="false">IF(D2480="","",LEFT(D2480,3))</f>
        <v>823</v>
      </c>
      <c r="G2480" s="2" t="str">
        <f aca="false">IF(F2480="","",IF(E2480=F2480,"Yes","No"))</f>
        <v>No</v>
      </c>
      <c r="H2480" s="2" t="n">
        <f aca="false">IF(D2480="",0,1/COUNTIF($D$2:$D$3451,D2480))</f>
        <v>1</v>
      </c>
      <c r="I2480" s="13" t="n">
        <f aca="false">IFERROR(INDEX('NCO-2015 scores'!$C$2:$C$131,MATCH(E2480,'NCO-2015 scores'!$A$2:$A$131,0)),0)</f>
        <v>0.1767</v>
      </c>
      <c r="J2480" s="13" t="n">
        <f aca="false">IF(ISNUMBER(MATCH(E2480,'NCO-2015 scores'!$A$2:$A$131,0)),IF(ISNUMBER(INDEX('NCO-2015 scores'!$C$2:$C$131,MATCH(E2480,'NCO-2015 scores'!$A$2:$A$131,0))),1,0),0)</f>
        <v>1</v>
      </c>
    </row>
    <row r="2481" customFormat="false" ht="15" hidden="false" customHeight="false" outlineLevel="0" collapsed="false">
      <c r="A2481" s="2" t="n">
        <v>2477</v>
      </c>
      <c r="B2481" s="2" t="s">
        <v>7306</v>
      </c>
      <c r="C2481" s="2" t="s">
        <v>7307</v>
      </c>
      <c r="D2481" s="2" t="s">
        <v>7308</v>
      </c>
      <c r="E2481" s="2" t="str">
        <f aca="false">LEFT(C2481,3)</f>
        <v>814</v>
      </c>
      <c r="F2481" s="2" t="str">
        <f aca="false">IF(D2481="","",LEFT(D2481,3))</f>
        <v>823</v>
      </c>
      <c r="G2481" s="2" t="str">
        <f aca="false">IF(F2481="","",IF(E2481=F2481,"Yes","No"))</f>
        <v>No</v>
      </c>
      <c r="H2481" s="2" t="n">
        <f aca="false">IF(D2481="",0,1/COUNTIF($D$2:$D$3451,D2481))</f>
        <v>1</v>
      </c>
      <c r="I2481" s="13" t="n">
        <f aca="false">IFERROR(INDEX('NCO-2015 scores'!$C$2:$C$131,MATCH(E2481,'NCO-2015 scores'!$A$2:$A$131,0)),0)</f>
        <v>0.1767</v>
      </c>
      <c r="J2481" s="13" t="n">
        <f aca="false">IF(ISNUMBER(MATCH(E2481,'NCO-2015 scores'!$A$2:$A$131,0)),IF(ISNUMBER(INDEX('NCO-2015 scores'!$C$2:$C$131,MATCH(E2481,'NCO-2015 scores'!$A$2:$A$131,0))),1,0),0)</f>
        <v>1</v>
      </c>
    </row>
    <row r="2482" customFormat="false" ht="15" hidden="false" customHeight="false" outlineLevel="0" collapsed="false">
      <c r="A2482" s="2" t="n">
        <v>2478</v>
      </c>
      <c r="B2482" s="2" t="s">
        <v>7309</v>
      </c>
      <c r="C2482" s="2" t="s">
        <v>7310</v>
      </c>
      <c r="D2482" s="2" t="s">
        <v>7311</v>
      </c>
      <c r="E2482" s="2" t="str">
        <f aca="false">LEFT(C2482,3)</f>
        <v>814</v>
      </c>
      <c r="F2482" s="2" t="str">
        <f aca="false">IF(D2482="","",LEFT(D2482,3))</f>
        <v>823</v>
      </c>
      <c r="G2482" s="2" t="str">
        <f aca="false">IF(F2482="","",IF(E2482=F2482,"Yes","No"))</f>
        <v>No</v>
      </c>
      <c r="H2482" s="2" t="n">
        <f aca="false">IF(D2482="",0,1/COUNTIF($D$2:$D$3451,D2482))</f>
        <v>1</v>
      </c>
      <c r="I2482" s="13" t="n">
        <f aca="false">IFERROR(INDEX('NCO-2015 scores'!$C$2:$C$131,MATCH(E2482,'NCO-2015 scores'!$A$2:$A$131,0)),0)</f>
        <v>0.1767</v>
      </c>
      <c r="J2482" s="13" t="n">
        <f aca="false">IF(ISNUMBER(MATCH(E2482,'NCO-2015 scores'!$A$2:$A$131,0)),IF(ISNUMBER(INDEX('NCO-2015 scores'!$C$2:$C$131,MATCH(E2482,'NCO-2015 scores'!$A$2:$A$131,0))),1,0),0)</f>
        <v>1</v>
      </c>
    </row>
    <row r="2483" customFormat="false" ht="15" hidden="false" customHeight="false" outlineLevel="0" collapsed="false">
      <c r="A2483" s="2" t="n">
        <v>2479</v>
      </c>
      <c r="B2483" s="2" t="s">
        <v>7312</v>
      </c>
      <c r="C2483" s="2" t="s">
        <v>7313</v>
      </c>
      <c r="D2483" s="2" t="s">
        <v>7314</v>
      </c>
      <c r="E2483" s="2" t="str">
        <f aca="false">LEFT(C2483,3)</f>
        <v>814</v>
      </c>
      <c r="F2483" s="2" t="str">
        <f aca="false">IF(D2483="","",LEFT(D2483,3))</f>
        <v>823</v>
      </c>
      <c r="G2483" s="2" t="str">
        <f aca="false">IF(F2483="","",IF(E2483=F2483,"Yes","No"))</f>
        <v>No</v>
      </c>
      <c r="H2483" s="2" t="n">
        <f aca="false">IF(D2483="",0,1/COUNTIF($D$2:$D$3451,D2483))</f>
        <v>1</v>
      </c>
      <c r="I2483" s="13" t="n">
        <f aca="false">IFERROR(INDEX('NCO-2015 scores'!$C$2:$C$131,MATCH(E2483,'NCO-2015 scores'!$A$2:$A$131,0)),0)</f>
        <v>0.1767</v>
      </c>
      <c r="J2483" s="13" t="n">
        <f aca="false">IF(ISNUMBER(MATCH(E2483,'NCO-2015 scores'!$A$2:$A$131,0)),IF(ISNUMBER(INDEX('NCO-2015 scores'!$C$2:$C$131,MATCH(E2483,'NCO-2015 scores'!$A$2:$A$131,0))),1,0),0)</f>
        <v>1</v>
      </c>
    </row>
    <row r="2484" customFormat="false" ht="15" hidden="false" customHeight="false" outlineLevel="0" collapsed="false">
      <c r="A2484" s="2" t="n">
        <v>2480</v>
      </c>
      <c r="B2484" s="2" t="s">
        <v>7315</v>
      </c>
      <c r="C2484" s="2" t="s">
        <v>7316</v>
      </c>
      <c r="D2484" s="2" t="s">
        <v>7317</v>
      </c>
      <c r="E2484" s="2" t="str">
        <f aca="false">LEFT(C2484,3)</f>
        <v>814</v>
      </c>
      <c r="F2484" s="2" t="str">
        <f aca="false">IF(D2484="","",LEFT(D2484,3))</f>
        <v>823</v>
      </c>
      <c r="G2484" s="2" t="str">
        <f aca="false">IF(F2484="","",IF(E2484=F2484,"Yes","No"))</f>
        <v>No</v>
      </c>
      <c r="H2484" s="2" t="n">
        <f aca="false">IF(D2484="",0,1/COUNTIF($D$2:$D$3451,D2484))</f>
        <v>1</v>
      </c>
      <c r="I2484" s="13" t="n">
        <f aca="false">IFERROR(INDEX('NCO-2015 scores'!$C$2:$C$131,MATCH(E2484,'NCO-2015 scores'!$A$2:$A$131,0)),0)</f>
        <v>0.1767</v>
      </c>
      <c r="J2484" s="13" t="n">
        <f aca="false">IF(ISNUMBER(MATCH(E2484,'NCO-2015 scores'!$A$2:$A$131,0)),IF(ISNUMBER(INDEX('NCO-2015 scores'!$C$2:$C$131,MATCH(E2484,'NCO-2015 scores'!$A$2:$A$131,0))),1,0),0)</f>
        <v>1</v>
      </c>
    </row>
    <row r="2485" customFormat="false" ht="15" hidden="false" customHeight="false" outlineLevel="0" collapsed="false">
      <c r="A2485" s="2" t="n">
        <v>2481</v>
      </c>
      <c r="B2485" s="2" t="s">
        <v>7318</v>
      </c>
      <c r="C2485" s="2" t="s">
        <v>7319</v>
      </c>
      <c r="D2485" s="2"/>
      <c r="E2485" s="2" t="str">
        <f aca="false">LEFT(C2485,3)</f>
        <v>814</v>
      </c>
      <c r="F2485" s="2" t="str">
        <f aca="false">IF(D2485="","",LEFT(D2485,3))</f>
        <v/>
      </c>
      <c r="G2485" s="2" t="str">
        <f aca="false">IF(F2485="","",IF(E2485=F2485,"Yes","No"))</f>
        <v/>
      </c>
      <c r="H2485" s="2" t="n">
        <f aca="false">IF(D2485="",0,1/COUNTIF($D$2:$D$3451,D2485))</f>
        <v>0</v>
      </c>
      <c r="I2485" s="13" t="n">
        <f aca="false">IFERROR(INDEX('NCO-2015 scores'!$C$2:$C$131,MATCH(E2485,'NCO-2015 scores'!$A$2:$A$131,0)),0)</f>
        <v>0.1767</v>
      </c>
      <c r="J2485" s="13" t="n">
        <f aca="false">IF(ISNUMBER(MATCH(E2485,'NCO-2015 scores'!$A$2:$A$131,0)),IF(ISNUMBER(INDEX('NCO-2015 scores'!$C$2:$C$131,MATCH(E2485,'NCO-2015 scores'!$A$2:$A$131,0))),1,0),0)</f>
        <v>1</v>
      </c>
    </row>
    <row r="2486" customFormat="false" ht="15" hidden="false" customHeight="false" outlineLevel="0" collapsed="false">
      <c r="A2486" s="2" t="n">
        <v>2482</v>
      </c>
      <c r="B2486" s="2" t="s">
        <v>7320</v>
      </c>
      <c r="C2486" s="2" t="s">
        <v>7321</v>
      </c>
      <c r="D2486" s="2" t="s">
        <v>7322</v>
      </c>
      <c r="E2486" s="2" t="str">
        <f aca="false">LEFT(C2486,3)</f>
        <v>814</v>
      </c>
      <c r="F2486" s="2" t="str">
        <f aca="false">IF(D2486="","",LEFT(D2486,3))</f>
        <v>823</v>
      </c>
      <c r="G2486" s="2" t="str">
        <f aca="false">IF(F2486="","",IF(E2486=F2486,"Yes","No"))</f>
        <v>No</v>
      </c>
      <c r="H2486" s="2" t="n">
        <f aca="false">IF(D2486="",0,1/COUNTIF($D$2:$D$3451,D2486))</f>
        <v>1</v>
      </c>
      <c r="I2486" s="13" t="n">
        <f aca="false">IFERROR(INDEX('NCO-2015 scores'!$C$2:$C$131,MATCH(E2486,'NCO-2015 scores'!$A$2:$A$131,0)),0)</f>
        <v>0.1767</v>
      </c>
      <c r="J2486" s="13" t="n">
        <f aca="false">IF(ISNUMBER(MATCH(E2486,'NCO-2015 scores'!$A$2:$A$131,0)),IF(ISNUMBER(INDEX('NCO-2015 scores'!$C$2:$C$131,MATCH(E2486,'NCO-2015 scores'!$A$2:$A$131,0))),1,0),0)</f>
        <v>1</v>
      </c>
    </row>
    <row r="2487" customFormat="false" ht="15" hidden="false" customHeight="false" outlineLevel="0" collapsed="false">
      <c r="A2487" s="2" t="n">
        <v>2483</v>
      </c>
      <c r="B2487" s="2" t="s">
        <v>7323</v>
      </c>
      <c r="C2487" s="2" t="s">
        <v>7324</v>
      </c>
      <c r="D2487" s="2" t="s">
        <v>7325</v>
      </c>
      <c r="E2487" s="2" t="str">
        <f aca="false">LEFT(C2487,3)</f>
        <v>814</v>
      </c>
      <c r="F2487" s="2" t="str">
        <f aca="false">IF(D2487="","",LEFT(D2487,3))</f>
        <v>823</v>
      </c>
      <c r="G2487" s="2" t="str">
        <f aca="false">IF(F2487="","",IF(E2487=F2487,"Yes","No"))</f>
        <v>No</v>
      </c>
      <c r="H2487" s="2" t="n">
        <f aca="false">IF(D2487="",0,1/COUNTIF($D$2:$D$3451,D2487))</f>
        <v>1</v>
      </c>
      <c r="I2487" s="13" t="n">
        <f aca="false">IFERROR(INDEX('NCO-2015 scores'!$C$2:$C$131,MATCH(E2487,'NCO-2015 scores'!$A$2:$A$131,0)),0)</f>
        <v>0.1767</v>
      </c>
      <c r="J2487" s="13" t="n">
        <f aca="false">IF(ISNUMBER(MATCH(E2487,'NCO-2015 scores'!$A$2:$A$131,0)),IF(ISNUMBER(INDEX('NCO-2015 scores'!$C$2:$C$131,MATCH(E2487,'NCO-2015 scores'!$A$2:$A$131,0))),1,0),0)</f>
        <v>1</v>
      </c>
    </row>
    <row r="2488" customFormat="false" ht="15" hidden="false" customHeight="false" outlineLevel="0" collapsed="false">
      <c r="A2488" s="2" t="n">
        <v>2484</v>
      </c>
      <c r="B2488" s="2" t="s">
        <v>7326</v>
      </c>
      <c r="C2488" s="2" t="s">
        <v>7327</v>
      </c>
      <c r="D2488" s="2" t="s">
        <v>7328</v>
      </c>
      <c r="E2488" s="2" t="str">
        <f aca="false">LEFT(C2488,3)</f>
        <v>814</v>
      </c>
      <c r="F2488" s="2" t="str">
        <f aca="false">IF(D2488="","",LEFT(D2488,3))</f>
        <v>823</v>
      </c>
      <c r="G2488" s="2" t="str">
        <f aca="false">IF(F2488="","",IF(E2488=F2488,"Yes","No"))</f>
        <v>No</v>
      </c>
      <c r="H2488" s="2" t="n">
        <f aca="false">IF(D2488="",0,1/COUNTIF($D$2:$D$3451,D2488))</f>
        <v>1</v>
      </c>
      <c r="I2488" s="13" t="n">
        <f aca="false">IFERROR(INDEX('NCO-2015 scores'!$C$2:$C$131,MATCH(E2488,'NCO-2015 scores'!$A$2:$A$131,0)),0)</f>
        <v>0.1767</v>
      </c>
      <c r="J2488" s="13" t="n">
        <f aca="false">IF(ISNUMBER(MATCH(E2488,'NCO-2015 scores'!$A$2:$A$131,0)),IF(ISNUMBER(INDEX('NCO-2015 scores'!$C$2:$C$131,MATCH(E2488,'NCO-2015 scores'!$A$2:$A$131,0))),1,0),0)</f>
        <v>1</v>
      </c>
    </row>
    <row r="2489" customFormat="false" ht="15" hidden="false" customHeight="false" outlineLevel="0" collapsed="false">
      <c r="A2489" s="2" t="n">
        <v>2485</v>
      </c>
      <c r="B2489" s="2" t="s">
        <v>7329</v>
      </c>
      <c r="C2489" s="2" t="s">
        <v>7330</v>
      </c>
      <c r="D2489" s="2" t="s">
        <v>7331</v>
      </c>
      <c r="E2489" s="2" t="str">
        <f aca="false">LEFT(C2489,3)</f>
        <v>814</v>
      </c>
      <c r="F2489" s="2" t="str">
        <f aca="false">IF(D2489="","",LEFT(D2489,3))</f>
        <v>823</v>
      </c>
      <c r="G2489" s="2" t="str">
        <f aca="false">IF(F2489="","",IF(E2489=F2489,"Yes","No"))</f>
        <v>No</v>
      </c>
      <c r="H2489" s="2" t="n">
        <f aca="false">IF(D2489="",0,1/COUNTIF($D$2:$D$3451,D2489))</f>
        <v>1</v>
      </c>
      <c r="I2489" s="13" t="n">
        <f aca="false">IFERROR(INDEX('NCO-2015 scores'!$C$2:$C$131,MATCH(E2489,'NCO-2015 scores'!$A$2:$A$131,0)),0)</f>
        <v>0.1767</v>
      </c>
      <c r="J2489" s="13" t="n">
        <f aca="false">IF(ISNUMBER(MATCH(E2489,'NCO-2015 scores'!$A$2:$A$131,0)),IF(ISNUMBER(INDEX('NCO-2015 scores'!$C$2:$C$131,MATCH(E2489,'NCO-2015 scores'!$A$2:$A$131,0))),1,0),0)</f>
        <v>1</v>
      </c>
    </row>
    <row r="2490" customFormat="false" ht="15" hidden="false" customHeight="false" outlineLevel="0" collapsed="false">
      <c r="A2490" s="2" t="n">
        <v>2486</v>
      </c>
      <c r="B2490" s="2" t="s">
        <v>7332</v>
      </c>
      <c r="C2490" s="2" t="s">
        <v>7333</v>
      </c>
      <c r="D2490" s="2" t="s">
        <v>7334</v>
      </c>
      <c r="E2490" s="2" t="str">
        <f aca="false">LEFT(C2490,3)</f>
        <v>814</v>
      </c>
      <c r="F2490" s="2" t="str">
        <f aca="false">IF(D2490="","",LEFT(D2490,3))</f>
        <v>823</v>
      </c>
      <c r="G2490" s="2" t="str">
        <f aca="false">IF(F2490="","",IF(E2490=F2490,"Yes","No"))</f>
        <v>No</v>
      </c>
      <c r="H2490" s="2" t="n">
        <f aca="false">IF(D2490="",0,1/COUNTIF($D$2:$D$3451,D2490))</f>
        <v>1</v>
      </c>
      <c r="I2490" s="13" t="n">
        <f aca="false">IFERROR(INDEX('NCO-2015 scores'!$C$2:$C$131,MATCH(E2490,'NCO-2015 scores'!$A$2:$A$131,0)),0)</f>
        <v>0.1767</v>
      </c>
      <c r="J2490" s="13" t="n">
        <f aca="false">IF(ISNUMBER(MATCH(E2490,'NCO-2015 scores'!$A$2:$A$131,0)),IF(ISNUMBER(INDEX('NCO-2015 scores'!$C$2:$C$131,MATCH(E2490,'NCO-2015 scores'!$A$2:$A$131,0))),1,0),0)</f>
        <v>1</v>
      </c>
    </row>
    <row r="2491" customFormat="false" ht="15" hidden="false" customHeight="false" outlineLevel="0" collapsed="false">
      <c r="A2491" s="2" t="n">
        <v>2487</v>
      </c>
      <c r="B2491" s="2" t="s">
        <v>7335</v>
      </c>
      <c r="C2491" s="2" t="s">
        <v>7336</v>
      </c>
      <c r="D2491" s="2" t="s">
        <v>7337</v>
      </c>
      <c r="E2491" s="2" t="str">
        <f aca="false">LEFT(C2491,3)</f>
        <v>814</v>
      </c>
      <c r="F2491" s="2" t="str">
        <f aca="false">IF(D2491="","",LEFT(D2491,3))</f>
        <v>823</v>
      </c>
      <c r="G2491" s="2" t="str">
        <f aca="false">IF(F2491="","",IF(E2491=F2491,"Yes","No"))</f>
        <v>No</v>
      </c>
      <c r="H2491" s="2" t="n">
        <f aca="false">IF(D2491="",0,1/COUNTIF($D$2:$D$3451,D2491))</f>
        <v>1</v>
      </c>
      <c r="I2491" s="13" t="n">
        <f aca="false">IFERROR(INDEX('NCO-2015 scores'!$C$2:$C$131,MATCH(E2491,'NCO-2015 scores'!$A$2:$A$131,0)),0)</f>
        <v>0.1767</v>
      </c>
      <c r="J2491" s="13" t="n">
        <f aca="false">IF(ISNUMBER(MATCH(E2491,'NCO-2015 scores'!$A$2:$A$131,0)),IF(ISNUMBER(INDEX('NCO-2015 scores'!$C$2:$C$131,MATCH(E2491,'NCO-2015 scores'!$A$2:$A$131,0))),1,0),0)</f>
        <v>1</v>
      </c>
    </row>
    <row r="2492" customFormat="false" ht="15" hidden="false" customHeight="false" outlineLevel="0" collapsed="false">
      <c r="A2492" s="2" t="n">
        <v>2488</v>
      </c>
      <c r="B2492" s="2" t="s">
        <v>7338</v>
      </c>
      <c r="C2492" s="2" t="s">
        <v>7339</v>
      </c>
      <c r="D2492" s="2" t="s">
        <v>7340</v>
      </c>
      <c r="E2492" s="2" t="str">
        <f aca="false">LEFT(C2492,3)</f>
        <v>712</v>
      </c>
      <c r="F2492" s="2" t="str">
        <f aca="false">IF(D2492="","",LEFT(D2492,3))</f>
        <v>713</v>
      </c>
      <c r="G2492" s="2" t="str">
        <f aca="false">IF(F2492="","",IF(E2492=F2492,"Yes","No"))</f>
        <v>No</v>
      </c>
      <c r="H2492" s="2" t="n">
        <f aca="false">IF(D2492="",0,1/COUNTIF($D$2:$D$3451,D2492))</f>
        <v>1</v>
      </c>
      <c r="I2492" s="13" t="n">
        <f aca="false">IFERROR(INDEX('NCO-2015 scores'!$C$2:$C$131,MATCH(E2492,'NCO-2015 scores'!$A$2:$A$131,0)),0)</f>
        <v>0.1429</v>
      </c>
      <c r="J2492" s="13" t="n">
        <f aca="false">IF(ISNUMBER(MATCH(E2492,'NCO-2015 scores'!$A$2:$A$131,0)),IF(ISNUMBER(INDEX('NCO-2015 scores'!$C$2:$C$131,MATCH(E2492,'NCO-2015 scores'!$A$2:$A$131,0))),1,0),0)</f>
        <v>1</v>
      </c>
    </row>
    <row r="2493" customFormat="false" ht="15" hidden="false" customHeight="false" outlineLevel="0" collapsed="false">
      <c r="A2493" s="2" t="n">
        <v>2489</v>
      </c>
      <c r="B2493" s="2" t="s">
        <v>7341</v>
      </c>
      <c r="C2493" s="2" t="s">
        <v>7342</v>
      </c>
      <c r="D2493" s="2"/>
      <c r="E2493" s="2" t="str">
        <f aca="false">LEFT(C2493,3)</f>
        <v>712</v>
      </c>
      <c r="F2493" s="2" t="str">
        <f aca="false">IF(D2493="","",LEFT(D2493,3))</f>
        <v/>
      </c>
      <c r="G2493" s="2" t="str">
        <f aca="false">IF(F2493="","",IF(E2493=F2493,"Yes","No"))</f>
        <v/>
      </c>
      <c r="H2493" s="2" t="n">
        <f aca="false">IF(D2493="",0,1/COUNTIF($D$2:$D$3451,D2493))</f>
        <v>0</v>
      </c>
      <c r="I2493" s="13" t="n">
        <f aca="false">IFERROR(INDEX('NCO-2015 scores'!$C$2:$C$131,MATCH(E2493,'NCO-2015 scores'!$A$2:$A$131,0)),0)</f>
        <v>0.1429</v>
      </c>
      <c r="J2493" s="13" t="n">
        <f aca="false">IF(ISNUMBER(MATCH(E2493,'NCO-2015 scores'!$A$2:$A$131,0)),IF(ISNUMBER(INDEX('NCO-2015 scores'!$C$2:$C$131,MATCH(E2493,'NCO-2015 scores'!$A$2:$A$131,0))),1,0),0)</f>
        <v>1</v>
      </c>
    </row>
    <row r="2494" customFormat="false" ht="15" hidden="false" customHeight="false" outlineLevel="0" collapsed="false">
      <c r="A2494" s="2" t="n">
        <v>2490</v>
      </c>
      <c r="B2494" s="2" t="s">
        <v>7343</v>
      </c>
      <c r="C2494" s="2" t="s">
        <v>7344</v>
      </c>
      <c r="D2494" s="2"/>
      <c r="E2494" s="2" t="str">
        <f aca="false">LEFT(C2494,3)</f>
        <v>712</v>
      </c>
      <c r="F2494" s="2" t="str">
        <f aca="false">IF(D2494="","",LEFT(D2494,3))</f>
        <v/>
      </c>
      <c r="G2494" s="2" t="str">
        <f aca="false">IF(F2494="","",IF(E2494=F2494,"Yes","No"))</f>
        <v/>
      </c>
      <c r="H2494" s="2" t="n">
        <f aca="false">IF(D2494="",0,1/COUNTIF($D$2:$D$3451,D2494))</f>
        <v>0</v>
      </c>
      <c r="I2494" s="13" t="n">
        <f aca="false">IFERROR(INDEX('NCO-2015 scores'!$C$2:$C$131,MATCH(E2494,'NCO-2015 scores'!$A$2:$A$131,0)),0)</f>
        <v>0.1429</v>
      </c>
      <c r="J2494" s="13" t="n">
        <f aca="false">IF(ISNUMBER(MATCH(E2494,'NCO-2015 scores'!$A$2:$A$131,0)),IF(ISNUMBER(INDEX('NCO-2015 scores'!$C$2:$C$131,MATCH(E2494,'NCO-2015 scores'!$A$2:$A$131,0))),1,0),0)</f>
        <v>1</v>
      </c>
    </row>
    <row r="2495" customFormat="false" ht="15" hidden="false" customHeight="false" outlineLevel="0" collapsed="false">
      <c r="A2495" s="2" t="n">
        <v>2491</v>
      </c>
      <c r="B2495" s="2" t="s">
        <v>7345</v>
      </c>
      <c r="C2495" s="2" t="s">
        <v>7346</v>
      </c>
      <c r="D2495" s="2"/>
      <c r="E2495" s="2" t="str">
        <f aca="false">LEFT(C2495,3)</f>
        <v>712</v>
      </c>
      <c r="F2495" s="2" t="str">
        <f aca="false">IF(D2495="","",LEFT(D2495,3))</f>
        <v/>
      </c>
      <c r="G2495" s="2" t="str">
        <f aca="false">IF(F2495="","",IF(E2495=F2495,"Yes","No"))</f>
        <v/>
      </c>
      <c r="H2495" s="2" t="n">
        <f aca="false">IF(D2495="",0,1/COUNTIF($D$2:$D$3451,D2495))</f>
        <v>0</v>
      </c>
      <c r="I2495" s="13" t="n">
        <f aca="false">IFERROR(INDEX('NCO-2015 scores'!$C$2:$C$131,MATCH(E2495,'NCO-2015 scores'!$A$2:$A$131,0)),0)</f>
        <v>0.1429</v>
      </c>
      <c r="J2495" s="13" t="n">
        <f aca="false">IF(ISNUMBER(MATCH(E2495,'NCO-2015 scores'!$A$2:$A$131,0)),IF(ISNUMBER(INDEX('NCO-2015 scores'!$C$2:$C$131,MATCH(E2495,'NCO-2015 scores'!$A$2:$A$131,0))),1,0),0)</f>
        <v>1</v>
      </c>
    </row>
    <row r="2496" customFormat="false" ht="15" hidden="false" customHeight="false" outlineLevel="0" collapsed="false">
      <c r="A2496" s="2" t="n">
        <v>2492</v>
      </c>
      <c r="B2496" s="2" t="s">
        <v>7347</v>
      </c>
      <c r="C2496" s="2" t="s">
        <v>7348</v>
      </c>
      <c r="D2496" s="2"/>
      <c r="E2496" s="2" t="str">
        <f aca="false">LEFT(C2496,3)</f>
        <v>712</v>
      </c>
      <c r="F2496" s="2" t="str">
        <f aca="false">IF(D2496="","",LEFT(D2496,3))</f>
        <v/>
      </c>
      <c r="G2496" s="2" t="str">
        <f aca="false">IF(F2496="","",IF(E2496=F2496,"Yes","No"))</f>
        <v/>
      </c>
      <c r="H2496" s="2" t="n">
        <f aca="false">IF(D2496="",0,1/COUNTIF($D$2:$D$3451,D2496))</f>
        <v>0</v>
      </c>
      <c r="I2496" s="13" t="n">
        <f aca="false">IFERROR(INDEX('NCO-2015 scores'!$C$2:$C$131,MATCH(E2496,'NCO-2015 scores'!$A$2:$A$131,0)),0)</f>
        <v>0.1429</v>
      </c>
      <c r="J2496" s="13" t="n">
        <f aca="false">IF(ISNUMBER(MATCH(E2496,'NCO-2015 scores'!$A$2:$A$131,0)),IF(ISNUMBER(INDEX('NCO-2015 scores'!$C$2:$C$131,MATCH(E2496,'NCO-2015 scores'!$A$2:$A$131,0))),1,0),0)</f>
        <v>1</v>
      </c>
    </row>
    <row r="2497" customFormat="false" ht="15" hidden="false" customHeight="false" outlineLevel="0" collapsed="false">
      <c r="A2497" s="2" t="n">
        <v>2493</v>
      </c>
      <c r="B2497" s="2" t="s">
        <v>7349</v>
      </c>
      <c r="C2497" s="2" t="s">
        <v>7350</v>
      </c>
      <c r="D2497" s="2"/>
      <c r="E2497" s="2" t="str">
        <f aca="false">LEFT(C2497,3)</f>
        <v>712</v>
      </c>
      <c r="F2497" s="2" t="str">
        <f aca="false">IF(D2497="","",LEFT(D2497,3))</f>
        <v/>
      </c>
      <c r="G2497" s="2" t="str">
        <f aca="false">IF(F2497="","",IF(E2497=F2497,"Yes","No"))</f>
        <v/>
      </c>
      <c r="H2497" s="2" t="n">
        <f aca="false">IF(D2497="",0,1/COUNTIF($D$2:$D$3451,D2497))</f>
        <v>0</v>
      </c>
      <c r="I2497" s="13" t="n">
        <f aca="false">IFERROR(INDEX('NCO-2015 scores'!$C$2:$C$131,MATCH(E2497,'NCO-2015 scores'!$A$2:$A$131,0)),0)</f>
        <v>0.1429</v>
      </c>
      <c r="J2497" s="13" t="n">
        <f aca="false">IF(ISNUMBER(MATCH(E2497,'NCO-2015 scores'!$A$2:$A$131,0)),IF(ISNUMBER(INDEX('NCO-2015 scores'!$C$2:$C$131,MATCH(E2497,'NCO-2015 scores'!$A$2:$A$131,0))),1,0),0)</f>
        <v>1</v>
      </c>
    </row>
    <row r="2498" customFormat="false" ht="15" hidden="false" customHeight="false" outlineLevel="0" collapsed="false">
      <c r="A2498" s="2" t="n">
        <v>2494</v>
      </c>
      <c r="B2498" s="2" t="s">
        <v>7351</v>
      </c>
      <c r="C2498" s="2" t="s">
        <v>7352</v>
      </c>
      <c r="D2498" s="2" t="s">
        <v>7353</v>
      </c>
      <c r="E2498" s="2" t="str">
        <f aca="false">LEFT(C2498,3)</f>
        <v>712</v>
      </c>
      <c r="F2498" s="2" t="str">
        <f aca="false">IF(D2498="","",LEFT(D2498,3))</f>
        <v>713</v>
      </c>
      <c r="G2498" s="2" t="str">
        <f aca="false">IF(F2498="","",IF(E2498=F2498,"Yes","No"))</f>
        <v>No</v>
      </c>
      <c r="H2498" s="2" t="n">
        <f aca="false">IF(D2498="",0,1/COUNTIF($D$2:$D$3451,D2498))</f>
        <v>1</v>
      </c>
      <c r="I2498" s="13" t="n">
        <f aca="false">IFERROR(INDEX('NCO-2015 scores'!$C$2:$C$131,MATCH(E2498,'NCO-2015 scores'!$A$2:$A$131,0)),0)</f>
        <v>0.1429</v>
      </c>
      <c r="J2498" s="13" t="n">
        <f aca="false">IF(ISNUMBER(MATCH(E2498,'NCO-2015 scores'!$A$2:$A$131,0)),IF(ISNUMBER(INDEX('NCO-2015 scores'!$C$2:$C$131,MATCH(E2498,'NCO-2015 scores'!$A$2:$A$131,0))),1,0),0)</f>
        <v>1</v>
      </c>
    </row>
    <row r="2499" customFormat="false" ht="15" hidden="false" customHeight="false" outlineLevel="0" collapsed="false">
      <c r="A2499" s="2" t="n">
        <v>2495</v>
      </c>
      <c r="B2499" s="2" t="s">
        <v>7354</v>
      </c>
      <c r="C2499" s="2" t="s">
        <v>7355</v>
      </c>
      <c r="D2499" s="2" t="s">
        <v>7356</v>
      </c>
      <c r="E2499" s="2" t="str">
        <f aca="false">LEFT(C2499,3)</f>
        <v>712</v>
      </c>
      <c r="F2499" s="2" t="str">
        <f aca="false">IF(D2499="","",LEFT(D2499,3))</f>
        <v>713</v>
      </c>
      <c r="G2499" s="2" t="str">
        <f aca="false">IF(F2499="","",IF(E2499=F2499,"Yes","No"))</f>
        <v>No</v>
      </c>
      <c r="H2499" s="2" t="n">
        <f aca="false">IF(D2499="",0,1/COUNTIF($D$2:$D$3451,D2499))</f>
        <v>1</v>
      </c>
      <c r="I2499" s="13" t="n">
        <f aca="false">IFERROR(INDEX('NCO-2015 scores'!$C$2:$C$131,MATCH(E2499,'NCO-2015 scores'!$A$2:$A$131,0)),0)</f>
        <v>0.1429</v>
      </c>
      <c r="J2499" s="13" t="n">
        <f aca="false">IF(ISNUMBER(MATCH(E2499,'NCO-2015 scores'!$A$2:$A$131,0)),IF(ISNUMBER(INDEX('NCO-2015 scores'!$C$2:$C$131,MATCH(E2499,'NCO-2015 scores'!$A$2:$A$131,0))),1,0),0)</f>
        <v>1</v>
      </c>
    </row>
    <row r="2500" customFormat="false" ht="15" hidden="false" customHeight="false" outlineLevel="0" collapsed="false">
      <c r="A2500" s="2" t="n">
        <v>2496</v>
      </c>
      <c r="B2500" s="2" t="s">
        <v>7357</v>
      </c>
      <c r="C2500" s="2" t="s">
        <v>7358</v>
      </c>
      <c r="D2500" s="2" t="s">
        <v>7359</v>
      </c>
      <c r="E2500" s="2" t="str">
        <f aca="false">LEFT(C2500,3)</f>
        <v>712</v>
      </c>
      <c r="F2500" s="2" t="str">
        <f aca="false">IF(D2500="","",LEFT(D2500,3))</f>
        <v>713</v>
      </c>
      <c r="G2500" s="2" t="str">
        <f aca="false">IF(F2500="","",IF(E2500=F2500,"Yes","No"))</f>
        <v>No</v>
      </c>
      <c r="H2500" s="2" t="n">
        <f aca="false">IF(D2500="",0,1/COUNTIF($D$2:$D$3451,D2500))</f>
        <v>1</v>
      </c>
      <c r="I2500" s="13" t="n">
        <f aca="false">IFERROR(INDEX('NCO-2015 scores'!$C$2:$C$131,MATCH(E2500,'NCO-2015 scores'!$A$2:$A$131,0)),0)</f>
        <v>0.1429</v>
      </c>
      <c r="J2500" s="13" t="n">
        <f aca="false">IF(ISNUMBER(MATCH(E2500,'NCO-2015 scores'!$A$2:$A$131,0)),IF(ISNUMBER(INDEX('NCO-2015 scores'!$C$2:$C$131,MATCH(E2500,'NCO-2015 scores'!$A$2:$A$131,0))),1,0),0)</f>
        <v>1</v>
      </c>
    </row>
    <row r="2501" customFormat="false" ht="15" hidden="false" customHeight="false" outlineLevel="0" collapsed="false">
      <c r="A2501" s="2" t="n">
        <v>2497</v>
      </c>
      <c r="B2501" s="2" t="s">
        <v>7360</v>
      </c>
      <c r="C2501" s="2" t="s">
        <v>7361</v>
      </c>
      <c r="D2501" s="2" t="s">
        <v>7362</v>
      </c>
      <c r="E2501" s="2" t="str">
        <f aca="false">LEFT(C2501,3)</f>
        <v>712</v>
      </c>
      <c r="F2501" s="2" t="str">
        <f aca="false">IF(D2501="","",LEFT(D2501,3))</f>
        <v>713</v>
      </c>
      <c r="G2501" s="2" t="str">
        <f aca="false">IF(F2501="","",IF(E2501=F2501,"Yes","No"))</f>
        <v>No</v>
      </c>
      <c r="H2501" s="2" t="n">
        <f aca="false">IF(D2501="",0,1/COUNTIF($D$2:$D$3451,D2501))</f>
        <v>1</v>
      </c>
      <c r="I2501" s="13" t="n">
        <f aca="false">IFERROR(INDEX('NCO-2015 scores'!$C$2:$C$131,MATCH(E2501,'NCO-2015 scores'!$A$2:$A$131,0)),0)</f>
        <v>0.1429</v>
      </c>
      <c r="J2501" s="13" t="n">
        <f aca="false">IF(ISNUMBER(MATCH(E2501,'NCO-2015 scores'!$A$2:$A$131,0)),IF(ISNUMBER(INDEX('NCO-2015 scores'!$C$2:$C$131,MATCH(E2501,'NCO-2015 scores'!$A$2:$A$131,0))),1,0),0)</f>
        <v>1</v>
      </c>
    </row>
    <row r="2502" customFormat="false" ht="15" hidden="false" customHeight="false" outlineLevel="0" collapsed="false">
      <c r="A2502" s="2" t="n">
        <v>2498</v>
      </c>
      <c r="B2502" s="2" t="s">
        <v>7363</v>
      </c>
      <c r="C2502" s="2" t="s">
        <v>7364</v>
      </c>
      <c r="D2502" s="2" t="s">
        <v>7365</v>
      </c>
      <c r="E2502" s="2" t="str">
        <f aca="false">LEFT(C2502,3)</f>
        <v>712</v>
      </c>
      <c r="F2502" s="2" t="str">
        <f aca="false">IF(D2502="","",LEFT(D2502,3))</f>
        <v>713</v>
      </c>
      <c r="G2502" s="2" t="str">
        <f aca="false">IF(F2502="","",IF(E2502=F2502,"Yes","No"))</f>
        <v>No</v>
      </c>
      <c r="H2502" s="2" t="n">
        <f aca="false">IF(D2502="",0,1/COUNTIF($D$2:$D$3451,D2502))</f>
        <v>1</v>
      </c>
      <c r="I2502" s="13" t="n">
        <f aca="false">IFERROR(INDEX('NCO-2015 scores'!$C$2:$C$131,MATCH(E2502,'NCO-2015 scores'!$A$2:$A$131,0)),0)</f>
        <v>0.1429</v>
      </c>
      <c r="J2502" s="13" t="n">
        <f aca="false">IF(ISNUMBER(MATCH(E2502,'NCO-2015 scores'!$A$2:$A$131,0)),IF(ISNUMBER(INDEX('NCO-2015 scores'!$C$2:$C$131,MATCH(E2502,'NCO-2015 scores'!$A$2:$A$131,0))),1,0),0)</f>
        <v>1</v>
      </c>
    </row>
    <row r="2503" customFormat="false" ht="15" hidden="false" customHeight="false" outlineLevel="0" collapsed="false">
      <c r="A2503" s="2" t="n">
        <v>2499</v>
      </c>
      <c r="B2503" s="2" t="s">
        <v>7366</v>
      </c>
      <c r="C2503" s="2" t="s">
        <v>7367</v>
      </c>
      <c r="D2503" s="2" t="s">
        <v>7368</v>
      </c>
      <c r="E2503" s="2" t="str">
        <f aca="false">LEFT(C2503,3)</f>
        <v>712</v>
      </c>
      <c r="F2503" s="2" t="str">
        <f aca="false">IF(D2503="","",LEFT(D2503,3))</f>
        <v>713</v>
      </c>
      <c r="G2503" s="2" t="str">
        <f aca="false">IF(F2503="","",IF(E2503=F2503,"Yes","No"))</f>
        <v>No</v>
      </c>
      <c r="H2503" s="2" t="n">
        <f aca="false">IF(D2503="",0,1/COUNTIF($D$2:$D$3451,D2503))</f>
        <v>1</v>
      </c>
      <c r="I2503" s="13" t="n">
        <f aca="false">IFERROR(INDEX('NCO-2015 scores'!$C$2:$C$131,MATCH(E2503,'NCO-2015 scores'!$A$2:$A$131,0)),0)</f>
        <v>0.1429</v>
      </c>
      <c r="J2503" s="13" t="n">
        <f aca="false">IF(ISNUMBER(MATCH(E2503,'NCO-2015 scores'!$A$2:$A$131,0)),IF(ISNUMBER(INDEX('NCO-2015 scores'!$C$2:$C$131,MATCH(E2503,'NCO-2015 scores'!$A$2:$A$131,0))),1,0),0)</f>
        <v>1</v>
      </c>
    </row>
    <row r="2504" customFormat="false" ht="15" hidden="false" customHeight="false" outlineLevel="0" collapsed="false">
      <c r="A2504" s="2" t="n">
        <v>2500</v>
      </c>
      <c r="B2504" s="2" t="s">
        <v>7369</v>
      </c>
      <c r="C2504" s="2" t="s">
        <v>7370</v>
      </c>
      <c r="D2504" s="2"/>
      <c r="E2504" s="2" t="str">
        <f aca="false">LEFT(C2504,3)</f>
        <v>712</v>
      </c>
      <c r="F2504" s="2" t="str">
        <f aca="false">IF(D2504="","",LEFT(D2504,3))</f>
        <v/>
      </c>
      <c r="G2504" s="2" t="str">
        <f aca="false">IF(F2504="","",IF(E2504=F2504,"Yes","No"))</f>
        <v/>
      </c>
      <c r="H2504" s="2" t="n">
        <f aca="false">IF(D2504="",0,1/COUNTIF($D$2:$D$3451,D2504))</f>
        <v>0</v>
      </c>
      <c r="I2504" s="13" t="n">
        <f aca="false">IFERROR(INDEX('NCO-2015 scores'!$C$2:$C$131,MATCH(E2504,'NCO-2015 scores'!$A$2:$A$131,0)),0)</f>
        <v>0.1429</v>
      </c>
      <c r="J2504" s="13" t="n">
        <f aca="false">IF(ISNUMBER(MATCH(E2504,'NCO-2015 scores'!$A$2:$A$131,0)),IF(ISNUMBER(INDEX('NCO-2015 scores'!$C$2:$C$131,MATCH(E2504,'NCO-2015 scores'!$A$2:$A$131,0))),1,0),0)</f>
        <v>1</v>
      </c>
    </row>
    <row r="2505" customFormat="false" ht="15" hidden="false" customHeight="false" outlineLevel="0" collapsed="false">
      <c r="A2505" s="2" t="n">
        <v>2501</v>
      </c>
      <c r="B2505" s="2" t="s">
        <v>7371</v>
      </c>
      <c r="C2505" s="2" t="s">
        <v>7372</v>
      </c>
      <c r="D2505" s="2" t="s">
        <v>7373</v>
      </c>
      <c r="E2505" s="2" t="str">
        <f aca="false">LEFT(C2505,3)</f>
        <v>335</v>
      </c>
      <c r="F2505" s="2" t="str">
        <f aca="false">IF(D2505="","",LEFT(D2505,3))</f>
        <v>345</v>
      </c>
      <c r="G2505" s="2" t="str">
        <f aca="false">IF(F2505="","",IF(E2505=F2505,"Yes","No"))</f>
        <v>No</v>
      </c>
      <c r="H2505" s="2" t="n">
        <f aca="false">IF(D2505="",0,1/COUNTIF($D$2:$D$3451,D2505))</f>
        <v>1</v>
      </c>
      <c r="I2505" s="13" t="n">
        <f aca="false">IFERROR(INDEX('NCO-2015 scores'!$C$2:$C$131,MATCH(E2505,'NCO-2015 scores'!$A$2:$A$131,0)),0)</f>
        <v>0.38</v>
      </c>
      <c r="J2505" s="13" t="n">
        <f aca="false">IF(ISNUMBER(MATCH(E2505,'NCO-2015 scores'!$A$2:$A$131,0)),IF(ISNUMBER(INDEX('NCO-2015 scores'!$C$2:$C$131,MATCH(E2505,'NCO-2015 scores'!$A$2:$A$131,0))),1,0),0)</f>
        <v>1</v>
      </c>
    </row>
    <row r="2506" customFormat="false" ht="15" hidden="false" customHeight="false" outlineLevel="0" collapsed="false">
      <c r="A2506" s="2" t="n">
        <v>2502</v>
      </c>
      <c r="B2506" s="2" t="s">
        <v>7374</v>
      </c>
      <c r="C2506" s="2" t="s">
        <v>7375</v>
      </c>
      <c r="D2506" s="2" t="s">
        <v>7376</v>
      </c>
      <c r="E2506" s="2" t="str">
        <f aca="false">LEFT(C2506,3)</f>
        <v>335</v>
      </c>
      <c r="F2506" s="2" t="str">
        <f aca="false">IF(D2506="","",LEFT(D2506,3))</f>
        <v>345</v>
      </c>
      <c r="G2506" s="2" t="str">
        <f aca="false">IF(F2506="","",IF(E2506=F2506,"Yes","No"))</f>
        <v>No</v>
      </c>
      <c r="H2506" s="2" t="n">
        <f aca="false">IF(D2506="",0,1/COUNTIF($D$2:$D$3451,D2506))</f>
        <v>1</v>
      </c>
      <c r="I2506" s="13" t="n">
        <f aca="false">IFERROR(INDEX('NCO-2015 scores'!$C$2:$C$131,MATCH(E2506,'NCO-2015 scores'!$A$2:$A$131,0)),0)</f>
        <v>0.38</v>
      </c>
      <c r="J2506" s="13" t="n">
        <f aca="false">IF(ISNUMBER(MATCH(E2506,'NCO-2015 scores'!$A$2:$A$131,0)),IF(ISNUMBER(INDEX('NCO-2015 scores'!$C$2:$C$131,MATCH(E2506,'NCO-2015 scores'!$A$2:$A$131,0))),1,0),0)</f>
        <v>1</v>
      </c>
    </row>
    <row r="2507" customFormat="false" ht="15" hidden="false" customHeight="false" outlineLevel="0" collapsed="false">
      <c r="A2507" s="2" t="n">
        <v>2503</v>
      </c>
      <c r="B2507" s="2" t="s">
        <v>7377</v>
      </c>
      <c r="C2507" s="2" t="s">
        <v>7378</v>
      </c>
      <c r="D2507" s="2" t="s">
        <v>7379</v>
      </c>
      <c r="E2507" s="2" t="str">
        <f aca="false">LEFT(C2507,3)</f>
        <v>335</v>
      </c>
      <c r="F2507" s="2" t="str">
        <f aca="false">IF(D2507="","",LEFT(D2507,3))</f>
        <v>345</v>
      </c>
      <c r="G2507" s="2" t="str">
        <f aca="false">IF(F2507="","",IF(E2507=F2507,"Yes","No"))</f>
        <v>No</v>
      </c>
      <c r="H2507" s="2" t="n">
        <f aca="false">IF(D2507="",0,1/COUNTIF($D$2:$D$3451,D2507))</f>
        <v>1</v>
      </c>
      <c r="I2507" s="13" t="n">
        <f aca="false">IFERROR(INDEX('NCO-2015 scores'!$C$2:$C$131,MATCH(E2507,'NCO-2015 scores'!$A$2:$A$131,0)),0)</f>
        <v>0.38</v>
      </c>
      <c r="J2507" s="13" t="n">
        <f aca="false">IF(ISNUMBER(MATCH(E2507,'NCO-2015 scores'!$A$2:$A$131,0)),IF(ISNUMBER(INDEX('NCO-2015 scores'!$C$2:$C$131,MATCH(E2507,'NCO-2015 scores'!$A$2:$A$131,0))),1,0),0)</f>
        <v>1</v>
      </c>
    </row>
    <row r="2508" customFormat="false" ht="15" hidden="false" customHeight="false" outlineLevel="0" collapsed="false">
      <c r="A2508" s="2" t="n">
        <v>2504</v>
      </c>
      <c r="B2508" s="2" t="s">
        <v>7380</v>
      </c>
      <c r="C2508" s="2" t="s">
        <v>7381</v>
      </c>
      <c r="D2508" s="2" t="s">
        <v>7382</v>
      </c>
      <c r="E2508" s="2" t="str">
        <f aca="false">LEFT(C2508,3)</f>
        <v>335</v>
      </c>
      <c r="F2508" s="2" t="str">
        <f aca="false">IF(D2508="","",LEFT(D2508,3))</f>
        <v>345</v>
      </c>
      <c r="G2508" s="2" t="str">
        <f aca="false">IF(F2508="","",IF(E2508=F2508,"Yes","No"))</f>
        <v>No</v>
      </c>
      <c r="H2508" s="2" t="n">
        <f aca="false">IF(D2508="",0,1/COUNTIF($D$2:$D$3451,D2508))</f>
        <v>1</v>
      </c>
      <c r="I2508" s="13" t="n">
        <f aca="false">IFERROR(INDEX('NCO-2015 scores'!$C$2:$C$131,MATCH(E2508,'NCO-2015 scores'!$A$2:$A$131,0)),0)</f>
        <v>0.38</v>
      </c>
      <c r="J2508" s="13" t="n">
        <f aca="false">IF(ISNUMBER(MATCH(E2508,'NCO-2015 scores'!$A$2:$A$131,0)),IF(ISNUMBER(INDEX('NCO-2015 scores'!$C$2:$C$131,MATCH(E2508,'NCO-2015 scores'!$A$2:$A$131,0))),1,0),0)</f>
        <v>1</v>
      </c>
    </row>
    <row r="2509" customFormat="false" ht="15" hidden="false" customHeight="false" outlineLevel="0" collapsed="false">
      <c r="A2509" s="2" t="n">
        <v>2505</v>
      </c>
      <c r="B2509" s="2" t="s">
        <v>7383</v>
      </c>
      <c r="C2509" s="2" t="s">
        <v>7384</v>
      </c>
      <c r="D2509" s="2" t="s">
        <v>7385</v>
      </c>
      <c r="E2509" s="2" t="str">
        <f aca="false">LEFT(C2509,3)</f>
        <v>541</v>
      </c>
      <c r="F2509" s="2" t="str">
        <f aca="false">IF(D2509="","",LEFT(D2509,3))</f>
        <v>516</v>
      </c>
      <c r="G2509" s="2" t="str">
        <f aca="false">IF(F2509="","",IF(E2509=F2509,"Yes","No"))</f>
        <v>No</v>
      </c>
      <c r="H2509" s="2" t="n">
        <f aca="false">IF(D2509="",0,1/COUNTIF($D$2:$D$3451,D2509))</f>
        <v>1</v>
      </c>
      <c r="I2509" s="13" t="n">
        <f aca="false">IFERROR(INDEX('NCO-2015 scores'!$C$2:$C$131,MATCH(E2509,'NCO-2015 scores'!$A$2:$A$131,0)),0)</f>
        <v>0.172</v>
      </c>
      <c r="J2509" s="13" t="n">
        <f aca="false">IF(ISNUMBER(MATCH(E2509,'NCO-2015 scores'!$A$2:$A$131,0)),IF(ISNUMBER(INDEX('NCO-2015 scores'!$C$2:$C$131,MATCH(E2509,'NCO-2015 scores'!$A$2:$A$131,0))),1,0),0)</f>
        <v>1</v>
      </c>
    </row>
    <row r="2510" customFormat="false" ht="15" hidden="false" customHeight="false" outlineLevel="0" collapsed="false">
      <c r="A2510" s="2" t="n">
        <v>2506</v>
      </c>
      <c r="B2510" s="2" t="s">
        <v>7386</v>
      </c>
      <c r="C2510" s="2" t="s">
        <v>7387</v>
      </c>
      <c r="D2510" s="2" t="s">
        <v>7388</v>
      </c>
      <c r="E2510" s="2" t="str">
        <f aca="false">LEFT(C2510,3)</f>
        <v>541</v>
      </c>
      <c r="F2510" s="2" t="str">
        <f aca="false">IF(D2510="","",LEFT(D2510,3))</f>
        <v>516</v>
      </c>
      <c r="G2510" s="2" t="str">
        <f aca="false">IF(F2510="","",IF(E2510=F2510,"Yes","No"))</f>
        <v>No</v>
      </c>
      <c r="H2510" s="2" t="n">
        <f aca="false">IF(D2510="",0,1/COUNTIF($D$2:$D$3451,D2510))</f>
        <v>1</v>
      </c>
      <c r="I2510" s="13" t="n">
        <f aca="false">IFERROR(INDEX('NCO-2015 scores'!$C$2:$C$131,MATCH(E2510,'NCO-2015 scores'!$A$2:$A$131,0)),0)</f>
        <v>0.172</v>
      </c>
      <c r="J2510" s="13" t="n">
        <f aca="false">IF(ISNUMBER(MATCH(E2510,'NCO-2015 scores'!$A$2:$A$131,0)),IF(ISNUMBER(INDEX('NCO-2015 scores'!$C$2:$C$131,MATCH(E2510,'NCO-2015 scores'!$A$2:$A$131,0))),1,0),0)</f>
        <v>1</v>
      </c>
    </row>
    <row r="2511" customFormat="false" ht="15" hidden="false" customHeight="false" outlineLevel="0" collapsed="false">
      <c r="A2511" s="2" t="n">
        <v>2507</v>
      </c>
      <c r="B2511" s="2" t="s">
        <v>7389</v>
      </c>
      <c r="C2511" s="2" t="s">
        <v>7390</v>
      </c>
      <c r="D2511" s="2" t="s">
        <v>7391</v>
      </c>
      <c r="E2511" s="2" t="str">
        <f aca="false">LEFT(C2511,3)</f>
        <v>541</v>
      </c>
      <c r="F2511" s="2" t="str">
        <f aca="false">IF(D2511="","",LEFT(D2511,3))</f>
        <v>516</v>
      </c>
      <c r="G2511" s="2" t="str">
        <f aca="false">IF(F2511="","",IF(E2511=F2511,"Yes","No"))</f>
        <v>No</v>
      </c>
      <c r="H2511" s="2" t="n">
        <f aca="false">IF(D2511="",0,1/COUNTIF($D$2:$D$3451,D2511))</f>
        <v>1</v>
      </c>
      <c r="I2511" s="13" t="n">
        <f aca="false">IFERROR(INDEX('NCO-2015 scores'!$C$2:$C$131,MATCH(E2511,'NCO-2015 scores'!$A$2:$A$131,0)),0)</f>
        <v>0.172</v>
      </c>
      <c r="J2511" s="13" t="n">
        <f aca="false">IF(ISNUMBER(MATCH(E2511,'NCO-2015 scores'!$A$2:$A$131,0)),IF(ISNUMBER(INDEX('NCO-2015 scores'!$C$2:$C$131,MATCH(E2511,'NCO-2015 scores'!$A$2:$A$131,0))),1,0),0)</f>
        <v>1</v>
      </c>
    </row>
    <row r="2512" customFormat="false" ht="15" hidden="false" customHeight="false" outlineLevel="0" collapsed="false">
      <c r="A2512" s="2" t="n">
        <v>2508</v>
      </c>
      <c r="B2512" s="2" t="s">
        <v>7392</v>
      </c>
      <c r="C2512" s="2" t="s">
        <v>7393</v>
      </c>
      <c r="D2512" s="2" t="s">
        <v>7394</v>
      </c>
      <c r="E2512" s="2" t="str">
        <f aca="false">LEFT(C2512,3)</f>
        <v>541</v>
      </c>
      <c r="F2512" s="2" t="str">
        <f aca="false">IF(D2512="","",LEFT(D2512,3))</f>
        <v>516</v>
      </c>
      <c r="G2512" s="2" t="str">
        <f aca="false">IF(F2512="","",IF(E2512=F2512,"Yes","No"))</f>
        <v>No</v>
      </c>
      <c r="H2512" s="2" t="n">
        <f aca="false">IF(D2512="",0,1/COUNTIF($D$2:$D$3451,D2512))</f>
        <v>1</v>
      </c>
      <c r="I2512" s="13" t="n">
        <f aca="false">IFERROR(INDEX('NCO-2015 scores'!$C$2:$C$131,MATCH(E2512,'NCO-2015 scores'!$A$2:$A$131,0)),0)</f>
        <v>0.172</v>
      </c>
      <c r="J2512" s="13" t="n">
        <f aca="false">IF(ISNUMBER(MATCH(E2512,'NCO-2015 scores'!$A$2:$A$131,0)),IF(ISNUMBER(INDEX('NCO-2015 scores'!$C$2:$C$131,MATCH(E2512,'NCO-2015 scores'!$A$2:$A$131,0))),1,0),0)</f>
        <v>1</v>
      </c>
    </row>
    <row r="2513" customFormat="false" ht="15" hidden="false" customHeight="false" outlineLevel="0" collapsed="false">
      <c r="A2513" s="2" t="n">
        <v>2509</v>
      </c>
      <c r="B2513" s="2" t="s">
        <v>7395</v>
      </c>
      <c r="C2513" s="2" t="s">
        <v>7396</v>
      </c>
      <c r="D2513" s="2" t="s">
        <v>7397</v>
      </c>
      <c r="E2513" s="2" t="str">
        <f aca="false">LEFT(C2513,3)</f>
        <v>121</v>
      </c>
      <c r="F2513" s="2" t="str">
        <f aca="false">IF(D2513="","",LEFT(D2513,3))</f>
        <v>123</v>
      </c>
      <c r="G2513" s="2" t="str">
        <f aca="false">IF(F2513="","",IF(E2513=F2513,"Yes","No"))</f>
        <v>No</v>
      </c>
      <c r="H2513" s="2" t="n">
        <f aca="false">IF(D2513="",0,1/COUNTIF($D$2:$D$3451,D2513))</f>
        <v>1</v>
      </c>
      <c r="I2513" s="13" t="n">
        <f aca="false">IFERROR(INDEX('NCO-2015 scores'!$C$2:$C$131,MATCH(E2513,'NCO-2015 scores'!$A$2:$A$131,0)),0)</f>
        <v>0.3775</v>
      </c>
      <c r="J2513" s="13" t="n">
        <f aca="false">IF(ISNUMBER(MATCH(E2513,'NCO-2015 scores'!$A$2:$A$131,0)),IF(ISNUMBER(INDEX('NCO-2015 scores'!$C$2:$C$131,MATCH(E2513,'NCO-2015 scores'!$A$2:$A$131,0))),1,0),0)</f>
        <v>1</v>
      </c>
    </row>
    <row r="2514" customFormat="false" ht="15" hidden="false" customHeight="false" outlineLevel="0" collapsed="false">
      <c r="A2514" s="2" t="n">
        <v>2510</v>
      </c>
      <c r="B2514" s="2" t="s">
        <v>7398</v>
      </c>
      <c r="C2514" s="2" t="s">
        <v>7399</v>
      </c>
      <c r="D2514" s="2"/>
      <c r="E2514" s="2" t="str">
        <f aca="false">LEFT(C2514,3)</f>
        <v>121</v>
      </c>
      <c r="F2514" s="2" t="str">
        <f aca="false">IF(D2514="","",LEFT(D2514,3))</f>
        <v/>
      </c>
      <c r="G2514" s="2" t="str">
        <f aca="false">IF(F2514="","",IF(E2514=F2514,"Yes","No"))</f>
        <v/>
      </c>
      <c r="H2514" s="2" t="n">
        <f aca="false">IF(D2514="",0,1/COUNTIF($D$2:$D$3451,D2514))</f>
        <v>0</v>
      </c>
      <c r="I2514" s="13" t="n">
        <f aca="false">IFERROR(INDEX('NCO-2015 scores'!$C$2:$C$131,MATCH(E2514,'NCO-2015 scores'!$A$2:$A$131,0)),0)</f>
        <v>0.3775</v>
      </c>
      <c r="J2514" s="13" t="n">
        <f aca="false">IF(ISNUMBER(MATCH(E2514,'NCO-2015 scores'!$A$2:$A$131,0)),IF(ISNUMBER(INDEX('NCO-2015 scores'!$C$2:$C$131,MATCH(E2514,'NCO-2015 scores'!$A$2:$A$131,0))),1,0),0)</f>
        <v>1</v>
      </c>
    </row>
    <row r="2515" customFormat="false" ht="15" hidden="false" customHeight="false" outlineLevel="0" collapsed="false">
      <c r="A2515" s="2" t="n">
        <v>2511</v>
      </c>
      <c r="B2515" s="2" t="s">
        <v>7400</v>
      </c>
      <c r="C2515" s="2" t="s">
        <v>7401</v>
      </c>
      <c r="D2515" s="2" t="s">
        <v>7402</v>
      </c>
      <c r="E2515" s="2" t="str">
        <f aca="false">LEFT(C2515,3)</f>
        <v>121</v>
      </c>
      <c r="F2515" s="2" t="str">
        <f aca="false">IF(D2515="","",LEFT(D2515,3))</f>
        <v>123</v>
      </c>
      <c r="G2515" s="2" t="str">
        <f aca="false">IF(F2515="","",IF(E2515=F2515,"Yes","No"))</f>
        <v>No</v>
      </c>
      <c r="H2515" s="2" t="n">
        <f aca="false">IF(D2515="",0,1/COUNTIF($D$2:$D$3451,D2515))</f>
        <v>1</v>
      </c>
      <c r="I2515" s="13" t="n">
        <f aca="false">IFERROR(INDEX('NCO-2015 scores'!$C$2:$C$131,MATCH(E2515,'NCO-2015 scores'!$A$2:$A$131,0)),0)</f>
        <v>0.3775</v>
      </c>
      <c r="J2515" s="13" t="n">
        <f aca="false">IF(ISNUMBER(MATCH(E2515,'NCO-2015 scores'!$A$2:$A$131,0)),IF(ISNUMBER(INDEX('NCO-2015 scores'!$C$2:$C$131,MATCH(E2515,'NCO-2015 scores'!$A$2:$A$131,0))),1,0),0)</f>
        <v>1</v>
      </c>
    </row>
    <row r="2516" customFormat="false" ht="15" hidden="false" customHeight="false" outlineLevel="0" collapsed="false">
      <c r="A2516" s="2" t="n">
        <v>2512</v>
      </c>
      <c r="B2516" s="2" t="s">
        <v>7403</v>
      </c>
      <c r="C2516" s="2" t="s">
        <v>7404</v>
      </c>
      <c r="D2516" s="2"/>
      <c r="E2516" s="2" t="str">
        <f aca="false">LEFT(C2516,3)</f>
        <v>121</v>
      </c>
      <c r="F2516" s="2" t="str">
        <f aca="false">IF(D2516="","",LEFT(D2516,3))</f>
        <v/>
      </c>
      <c r="G2516" s="2" t="str">
        <f aca="false">IF(F2516="","",IF(E2516=F2516,"Yes","No"))</f>
        <v/>
      </c>
      <c r="H2516" s="2" t="n">
        <f aca="false">IF(D2516="",0,1/COUNTIF($D$2:$D$3451,D2516))</f>
        <v>0</v>
      </c>
      <c r="I2516" s="13" t="n">
        <f aca="false">IFERROR(INDEX('NCO-2015 scores'!$C$2:$C$131,MATCH(E2516,'NCO-2015 scores'!$A$2:$A$131,0)),0)</f>
        <v>0.3775</v>
      </c>
      <c r="J2516" s="13" t="n">
        <f aca="false">IF(ISNUMBER(MATCH(E2516,'NCO-2015 scores'!$A$2:$A$131,0)),IF(ISNUMBER(INDEX('NCO-2015 scores'!$C$2:$C$131,MATCH(E2516,'NCO-2015 scores'!$A$2:$A$131,0))),1,0),0)</f>
        <v>1</v>
      </c>
    </row>
    <row r="2517" customFormat="false" ht="15" hidden="false" customHeight="false" outlineLevel="0" collapsed="false">
      <c r="A2517" s="2" t="n">
        <v>2513</v>
      </c>
      <c r="B2517" s="2" t="s">
        <v>7405</v>
      </c>
      <c r="C2517" s="2" t="s">
        <v>7406</v>
      </c>
      <c r="D2517" s="2"/>
      <c r="E2517" s="2" t="str">
        <f aca="false">LEFT(C2517,3)</f>
        <v>121</v>
      </c>
      <c r="F2517" s="2" t="str">
        <f aca="false">IF(D2517="","",LEFT(D2517,3))</f>
        <v/>
      </c>
      <c r="G2517" s="2" t="str">
        <f aca="false">IF(F2517="","",IF(E2517=F2517,"Yes","No"))</f>
        <v/>
      </c>
      <c r="H2517" s="2" t="n">
        <f aca="false">IF(D2517="",0,1/COUNTIF($D$2:$D$3451,D2517))</f>
        <v>0</v>
      </c>
      <c r="I2517" s="13" t="n">
        <f aca="false">IFERROR(INDEX('NCO-2015 scores'!$C$2:$C$131,MATCH(E2517,'NCO-2015 scores'!$A$2:$A$131,0)),0)</f>
        <v>0.3775</v>
      </c>
      <c r="J2517" s="13" t="n">
        <f aca="false">IF(ISNUMBER(MATCH(E2517,'NCO-2015 scores'!$A$2:$A$131,0)),IF(ISNUMBER(INDEX('NCO-2015 scores'!$C$2:$C$131,MATCH(E2517,'NCO-2015 scores'!$A$2:$A$131,0))),1,0),0)</f>
        <v>1</v>
      </c>
    </row>
    <row r="2518" customFormat="false" ht="15" hidden="false" customHeight="false" outlineLevel="0" collapsed="false">
      <c r="A2518" s="2" t="n">
        <v>2514</v>
      </c>
      <c r="B2518" s="2" t="s">
        <v>7407</v>
      </c>
      <c r="C2518" s="2" t="s">
        <v>7408</v>
      </c>
      <c r="D2518" s="2" t="s">
        <v>7409</v>
      </c>
      <c r="E2518" s="2" t="str">
        <f aca="false">LEFT(C2518,3)</f>
        <v>121</v>
      </c>
      <c r="F2518" s="2" t="str">
        <f aca="false">IF(D2518="","",LEFT(D2518,3))</f>
        <v>123</v>
      </c>
      <c r="G2518" s="2" t="str">
        <f aca="false">IF(F2518="","",IF(E2518=F2518,"Yes","No"))</f>
        <v>No</v>
      </c>
      <c r="H2518" s="2" t="n">
        <f aca="false">IF(D2518="",0,1/COUNTIF($D$2:$D$3451,D2518))</f>
        <v>1</v>
      </c>
      <c r="I2518" s="13" t="n">
        <f aca="false">IFERROR(INDEX('NCO-2015 scores'!$C$2:$C$131,MATCH(E2518,'NCO-2015 scores'!$A$2:$A$131,0)),0)</f>
        <v>0.3775</v>
      </c>
      <c r="J2518" s="13" t="n">
        <f aca="false">IF(ISNUMBER(MATCH(E2518,'NCO-2015 scores'!$A$2:$A$131,0)),IF(ISNUMBER(INDEX('NCO-2015 scores'!$C$2:$C$131,MATCH(E2518,'NCO-2015 scores'!$A$2:$A$131,0))),1,0),0)</f>
        <v>1</v>
      </c>
    </row>
    <row r="2519" customFormat="false" ht="15" hidden="false" customHeight="false" outlineLevel="0" collapsed="false">
      <c r="A2519" s="2" t="n">
        <v>2515</v>
      </c>
      <c r="B2519" s="2" t="s">
        <v>7410</v>
      </c>
      <c r="C2519" s="2" t="s">
        <v>7411</v>
      </c>
      <c r="D2519" s="2"/>
      <c r="E2519" s="2" t="str">
        <f aca="false">LEFT(C2519,3)</f>
        <v>121</v>
      </c>
      <c r="F2519" s="2" t="str">
        <f aca="false">IF(D2519="","",LEFT(D2519,3))</f>
        <v/>
      </c>
      <c r="G2519" s="2" t="str">
        <f aca="false">IF(F2519="","",IF(E2519=F2519,"Yes","No"))</f>
        <v/>
      </c>
      <c r="H2519" s="2" t="n">
        <f aca="false">IF(D2519="",0,1/COUNTIF($D$2:$D$3451,D2519))</f>
        <v>0</v>
      </c>
      <c r="I2519" s="13" t="n">
        <f aca="false">IFERROR(INDEX('NCO-2015 scores'!$C$2:$C$131,MATCH(E2519,'NCO-2015 scores'!$A$2:$A$131,0)),0)</f>
        <v>0.3775</v>
      </c>
      <c r="J2519" s="13" t="n">
        <f aca="false">IF(ISNUMBER(MATCH(E2519,'NCO-2015 scores'!$A$2:$A$131,0)),IF(ISNUMBER(INDEX('NCO-2015 scores'!$C$2:$C$131,MATCH(E2519,'NCO-2015 scores'!$A$2:$A$131,0))),1,0),0)</f>
        <v>1</v>
      </c>
    </row>
    <row r="2520" customFormat="false" ht="15" hidden="false" customHeight="false" outlineLevel="0" collapsed="false">
      <c r="A2520" s="2" t="n">
        <v>2516</v>
      </c>
      <c r="B2520" s="2" t="s">
        <v>7412</v>
      </c>
      <c r="C2520" s="2" t="s">
        <v>7413</v>
      </c>
      <c r="D2520" s="2" t="s">
        <v>7414</v>
      </c>
      <c r="E2520" s="2" t="str">
        <f aca="false">LEFT(C2520,3)</f>
        <v>731</v>
      </c>
      <c r="F2520" s="2" t="str">
        <f aca="false">IF(D2520="","",LEFT(D2520,3))</f>
        <v>732</v>
      </c>
      <c r="G2520" s="2" t="str">
        <f aca="false">IF(F2520="","",IF(E2520=F2520,"Yes","No"))</f>
        <v>No</v>
      </c>
      <c r="H2520" s="2" t="n">
        <f aca="false">IF(D2520="",0,1/COUNTIF($D$2:$D$3451,D2520))</f>
        <v>1</v>
      </c>
      <c r="I2520" s="13" t="n">
        <f aca="false">IFERROR(INDEX('NCO-2015 scores'!$C$2:$C$131,MATCH(E2520,'NCO-2015 scores'!$A$2:$A$131,0)),0)</f>
        <v>0.1688</v>
      </c>
      <c r="J2520" s="13" t="n">
        <f aca="false">IF(ISNUMBER(MATCH(E2520,'NCO-2015 scores'!$A$2:$A$131,0)),IF(ISNUMBER(INDEX('NCO-2015 scores'!$C$2:$C$131,MATCH(E2520,'NCO-2015 scores'!$A$2:$A$131,0))),1,0),0)</f>
        <v>1</v>
      </c>
    </row>
    <row r="2521" customFormat="false" ht="15" hidden="false" customHeight="false" outlineLevel="0" collapsed="false">
      <c r="A2521" s="2" t="n">
        <v>2517</v>
      </c>
      <c r="B2521" s="2" t="s">
        <v>7415</v>
      </c>
      <c r="C2521" s="2" t="s">
        <v>7416</v>
      </c>
      <c r="D2521" s="2" t="s">
        <v>7417</v>
      </c>
      <c r="E2521" s="2" t="str">
        <f aca="false">LEFT(C2521,3)</f>
        <v>731</v>
      </c>
      <c r="F2521" s="2" t="str">
        <f aca="false">IF(D2521="","",LEFT(D2521,3))</f>
        <v>732</v>
      </c>
      <c r="G2521" s="2" t="str">
        <f aca="false">IF(F2521="","",IF(E2521=F2521,"Yes","No"))</f>
        <v>No</v>
      </c>
      <c r="H2521" s="2" t="n">
        <f aca="false">IF(D2521="",0,1/COUNTIF($D$2:$D$3451,D2521))</f>
        <v>1</v>
      </c>
      <c r="I2521" s="13" t="n">
        <f aca="false">IFERROR(INDEX('NCO-2015 scores'!$C$2:$C$131,MATCH(E2521,'NCO-2015 scores'!$A$2:$A$131,0)),0)</f>
        <v>0.1688</v>
      </c>
      <c r="J2521" s="13" t="n">
        <f aca="false">IF(ISNUMBER(MATCH(E2521,'NCO-2015 scores'!$A$2:$A$131,0)),IF(ISNUMBER(INDEX('NCO-2015 scores'!$C$2:$C$131,MATCH(E2521,'NCO-2015 scores'!$A$2:$A$131,0))),1,0),0)</f>
        <v>1</v>
      </c>
    </row>
    <row r="2522" customFormat="false" ht="15" hidden="false" customHeight="false" outlineLevel="0" collapsed="false">
      <c r="A2522" s="2" t="n">
        <v>2518</v>
      </c>
      <c r="B2522" s="2" t="s">
        <v>7418</v>
      </c>
      <c r="C2522" s="2" t="s">
        <v>7419</v>
      </c>
      <c r="D2522" s="2" t="s">
        <v>7420</v>
      </c>
      <c r="E2522" s="2" t="str">
        <f aca="false">LEFT(C2522,3)</f>
        <v>731</v>
      </c>
      <c r="F2522" s="2" t="str">
        <f aca="false">IF(D2522="","",LEFT(D2522,3))</f>
        <v>732</v>
      </c>
      <c r="G2522" s="2" t="str">
        <f aca="false">IF(F2522="","",IF(E2522=F2522,"Yes","No"))</f>
        <v>No</v>
      </c>
      <c r="H2522" s="2" t="n">
        <f aca="false">IF(D2522="",0,1/COUNTIF($D$2:$D$3451,D2522))</f>
        <v>1</v>
      </c>
      <c r="I2522" s="13" t="n">
        <f aca="false">IFERROR(INDEX('NCO-2015 scores'!$C$2:$C$131,MATCH(E2522,'NCO-2015 scores'!$A$2:$A$131,0)),0)</f>
        <v>0.1688</v>
      </c>
      <c r="J2522" s="13" t="n">
        <f aca="false">IF(ISNUMBER(MATCH(E2522,'NCO-2015 scores'!$A$2:$A$131,0)),IF(ISNUMBER(INDEX('NCO-2015 scores'!$C$2:$C$131,MATCH(E2522,'NCO-2015 scores'!$A$2:$A$131,0))),1,0),0)</f>
        <v>1</v>
      </c>
    </row>
    <row r="2523" customFormat="false" ht="15" hidden="false" customHeight="false" outlineLevel="0" collapsed="false">
      <c r="A2523" s="2" t="n">
        <v>2519</v>
      </c>
      <c r="B2523" s="2" t="s">
        <v>7421</v>
      </c>
      <c r="C2523" s="2" t="s">
        <v>7422</v>
      </c>
      <c r="D2523" s="2" t="s">
        <v>7423</v>
      </c>
      <c r="E2523" s="2" t="str">
        <f aca="false">LEFT(C2523,3)</f>
        <v>731</v>
      </c>
      <c r="F2523" s="2" t="str">
        <f aca="false">IF(D2523="","",LEFT(D2523,3))</f>
        <v>732</v>
      </c>
      <c r="G2523" s="2" t="str">
        <f aca="false">IF(F2523="","",IF(E2523=F2523,"Yes","No"))</f>
        <v>No</v>
      </c>
      <c r="H2523" s="2" t="n">
        <f aca="false">IF(D2523="",0,1/COUNTIF($D$2:$D$3451,D2523))</f>
        <v>1</v>
      </c>
      <c r="I2523" s="13" t="n">
        <f aca="false">IFERROR(INDEX('NCO-2015 scores'!$C$2:$C$131,MATCH(E2523,'NCO-2015 scores'!$A$2:$A$131,0)),0)</f>
        <v>0.1688</v>
      </c>
      <c r="J2523" s="13" t="n">
        <f aca="false">IF(ISNUMBER(MATCH(E2523,'NCO-2015 scores'!$A$2:$A$131,0)),IF(ISNUMBER(INDEX('NCO-2015 scores'!$C$2:$C$131,MATCH(E2523,'NCO-2015 scores'!$A$2:$A$131,0))),1,0),0)</f>
        <v>1</v>
      </c>
    </row>
    <row r="2524" customFormat="false" ht="15" hidden="false" customHeight="false" outlineLevel="0" collapsed="false">
      <c r="A2524" s="2" t="n">
        <v>2520</v>
      </c>
      <c r="B2524" s="2" t="s">
        <v>7424</v>
      </c>
      <c r="C2524" s="2" t="s">
        <v>7425</v>
      </c>
      <c r="D2524" s="2" t="s">
        <v>7426</v>
      </c>
      <c r="E2524" s="2" t="str">
        <f aca="false">LEFT(C2524,3)</f>
        <v>731</v>
      </c>
      <c r="F2524" s="2" t="str">
        <f aca="false">IF(D2524="","",LEFT(D2524,3))</f>
        <v>732</v>
      </c>
      <c r="G2524" s="2" t="str">
        <f aca="false">IF(F2524="","",IF(E2524=F2524,"Yes","No"))</f>
        <v>No</v>
      </c>
      <c r="H2524" s="2" t="n">
        <f aca="false">IF(D2524="",0,1/COUNTIF($D$2:$D$3451,D2524))</f>
        <v>1</v>
      </c>
      <c r="I2524" s="13" t="n">
        <f aca="false">IFERROR(INDEX('NCO-2015 scores'!$C$2:$C$131,MATCH(E2524,'NCO-2015 scores'!$A$2:$A$131,0)),0)</f>
        <v>0.1688</v>
      </c>
      <c r="J2524" s="13" t="n">
        <f aca="false">IF(ISNUMBER(MATCH(E2524,'NCO-2015 scores'!$A$2:$A$131,0)),IF(ISNUMBER(INDEX('NCO-2015 scores'!$C$2:$C$131,MATCH(E2524,'NCO-2015 scores'!$A$2:$A$131,0))),1,0),0)</f>
        <v>1</v>
      </c>
    </row>
    <row r="2525" customFormat="false" ht="15" hidden="false" customHeight="false" outlineLevel="0" collapsed="false">
      <c r="A2525" s="2" t="n">
        <v>2521</v>
      </c>
      <c r="B2525" s="2" t="s">
        <v>7427</v>
      </c>
      <c r="C2525" s="2" t="s">
        <v>7428</v>
      </c>
      <c r="D2525" s="2" t="s">
        <v>7429</v>
      </c>
      <c r="E2525" s="2" t="str">
        <f aca="false">LEFT(C2525,3)</f>
        <v>731</v>
      </c>
      <c r="F2525" s="2" t="str">
        <f aca="false">IF(D2525="","",LEFT(D2525,3))</f>
        <v>732</v>
      </c>
      <c r="G2525" s="2" t="str">
        <f aca="false">IF(F2525="","",IF(E2525=F2525,"Yes","No"))</f>
        <v>No</v>
      </c>
      <c r="H2525" s="2" t="n">
        <f aca="false">IF(D2525="",0,1/COUNTIF($D$2:$D$3451,D2525))</f>
        <v>1</v>
      </c>
      <c r="I2525" s="13" t="n">
        <f aca="false">IFERROR(INDEX('NCO-2015 scores'!$C$2:$C$131,MATCH(E2525,'NCO-2015 scores'!$A$2:$A$131,0)),0)</f>
        <v>0.1688</v>
      </c>
      <c r="J2525" s="13" t="n">
        <f aca="false">IF(ISNUMBER(MATCH(E2525,'NCO-2015 scores'!$A$2:$A$131,0)),IF(ISNUMBER(INDEX('NCO-2015 scores'!$C$2:$C$131,MATCH(E2525,'NCO-2015 scores'!$A$2:$A$131,0))),1,0),0)</f>
        <v>1</v>
      </c>
    </row>
    <row r="2526" customFormat="false" ht="15" hidden="false" customHeight="false" outlineLevel="0" collapsed="false">
      <c r="A2526" s="2" t="n">
        <v>2522</v>
      </c>
      <c r="B2526" s="2" t="s">
        <v>7430</v>
      </c>
      <c r="C2526" s="2" t="s">
        <v>7431</v>
      </c>
      <c r="D2526" s="2" t="s">
        <v>7432</v>
      </c>
      <c r="E2526" s="2" t="str">
        <f aca="false">LEFT(C2526,3)</f>
        <v>731</v>
      </c>
      <c r="F2526" s="2" t="str">
        <f aca="false">IF(D2526="","",LEFT(D2526,3))</f>
        <v>732</v>
      </c>
      <c r="G2526" s="2" t="str">
        <f aca="false">IF(F2526="","",IF(E2526=F2526,"Yes","No"))</f>
        <v>No</v>
      </c>
      <c r="H2526" s="2" t="n">
        <f aca="false">IF(D2526="",0,1/COUNTIF($D$2:$D$3451,D2526))</f>
        <v>1</v>
      </c>
      <c r="I2526" s="13" t="n">
        <f aca="false">IFERROR(INDEX('NCO-2015 scores'!$C$2:$C$131,MATCH(E2526,'NCO-2015 scores'!$A$2:$A$131,0)),0)</f>
        <v>0.1688</v>
      </c>
      <c r="J2526" s="13" t="n">
        <f aca="false">IF(ISNUMBER(MATCH(E2526,'NCO-2015 scores'!$A$2:$A$131,0)),IF(ISNUMBER(INDEX('NCO-2015 scores'!$C$2:$C$131,MATCH(E2526,'NCO-2015 scores'!$A$2:$A$131,0))),1,0),0)</f>
        <v>1</v>
      </c>
    </row>
    <row r="2527" customFormat="false" ht="15" hidden="false" customHeight="false" outlineLevel="0" collapsed="false">
      <c r="A2527" s="2" t="n">
        <v>2523</v>
      </c>
      <c r="B2527" s="2" t="s">
        <v>7433</v>
      </c>
      <c r="C2527" s="2" t="s">
        <v>7434</v>
      </c>
      <c r="D2527" s="2" t="s">
        <v>7435</v>
      </c>
      <c r="E2527" s="2" t="str">
        <f aca="false">LEFT(C2527,3)</f>
        <v>731</v>
      </c>
      <c r="F2527" s="2" t="str">
        <f aca="false">IF(D2527="","",LEFT(D2527,3))</f>
        <v>732</v>
      </c>
      <c r="G2527" s="2" t="str">
        <f aca="false">IF(F2527="","",IF(E2527=F2527,"Yes","No"))</f>
        <v>No</v>
      </c>
      <c r="H2527" s="2" t="n">
        <f aca="false">IF(D2527="",0,1/COUNTIF($D$2:$D$3451,D2527))</f>
        <v>1</v>
      </c>
      <c r="I2527" s="13" t="n">
        <f aca="false">IFERROR(INDEX('NCO-2015 scores'!$C$2:$C$131,MATCH(E2527,'NCO-2015 scores'!$A$2:$A$131,0)),0)</f>
        <v>0.1688</v>
      </c>
      <c r="J2527" s="13" t="n">
        <f aca="false">IF(ISNUMBER(MATCH(E2527,'NCO-2015 scores'!$A$2:$A$131,0)),IF(ISNUMBER(INDEX('NCO-2015 scores'!$C$2:$C$131,MATCH(E2527,'NCO-2015 scores'!$A$2:$A$131,0))),1,0),0)</f>
        <v>1</v>
      </c>
    </row>
    <row r="2528" customFormat="false" ht="15" hidden="false" customHeight="false" outlineLevel="0" collapsed="false">
      <c r="A2528" s="2" t="n">
        <v>2524</v>
      </c>
      <c r="B2528" s="2" t="s">
        <v>7436</v>
      </c>
      <c r="C2528" s="2" t="s">
        <v>7437</v>
      </c>
      <c r="D2528" s="2" t="s">
        <v>7438</v>
      </c>
      <c r="E2528" s="2" t="str">
        <f aca="false">LEFT(C2528,3)</f>
        <v>731</v>
      </c>
      <c r="F2528" s="2" t="str">
        <f aca="false">IF(D2528="","",LEFT(D2528,3))</f>
        <v>732</v>
      </c>
      <c r="G2528" s="2" t="str">
        <f aca="false">IF(F2528="","",IF(E2528=F2528,"Yes","No"))</f>
        <v>No</v>
      </c>
      <c r="H2528" s="2" t="n">
        <f aca="false">IF(D2528="",0,1/COUNTIF($D$2:$D$3451,D2528))</f>
        <v>1</v>
      </c>
      <c r="I2528" s="13" t="n">
        <f aca="false">IFERROR(INDEX('NCO-2015 scores'!$C$2:$C$131,MATCH(E2528,'NCO-2015 scores'!$A$2:$A$131,0)),0)</f>
        <v>0.1688</v>
      </c>
      <c r="J2528" s="13" t="n">
        <f aca="false">IF(ISNUMBER(MATCH(E2528,'NCO-2015 scores'!$A$2:$A$131,0)),IF(ISNUMBER(INDEX('NCO-2015 scores'!$C$2:$C$131,MATCH(E2528,'NCO-2015 scores'!$A$2:$A$131,0))),1,0),0)</f>
        <v>1</v>
      </c>
    </row>
    <row r="2529" customFormat="false" ht="15" hidden="false" customHeight="false" outlineLevel="0" collapsed="false">
      <c r="A2529" s="2" t="n">
        <v>2525</v>
      </c>
      <c r="B2529" s="2" t="s">
        <v>7439</v>
      </c>
      <c r="C2529" s="2" t="s">
        <v>7440</v>
      </c>
      <c r="D2529" s="2" t="s">
        <v>7441</v>
      </c>
      <c r="E2529" s="2" t="str">
        <f aca="false">LEFT(C2529,3)</f>
        <v>731</v>
      </c>
      <c r="F2529" s="2" t="str">
        <f aca="false">IF(D2529="","",LEFT(D2529,3))</f>
        <v>732</v>
      </c>
      <c r="G2529" s="2" t="str">
        <f aca="false">IF(F2529="","",IF(E2529=F2529,"Yes","No"))</f>
        <v>No</v>
      </c>
      <c r="H2529" s="2" t="n">
        <f aca="false">IF(D2529="",0,1/COUNTIF($D$2:$D$3451,D2529))</f>
        <v>1</v>
      </c>
      <c r="I2529" s="13" t="n">
        <f aca="false">IFERROR(INDEX('NCO-2015 scores'!$C$2:$C$131,MATCH(E2529,'NCO-2015 scores'!$A$2:$A$131,0)),0)</f>
        <v>0.1688</v>
      </c>
      <c r="J2529" s="13" t="n">
        <f aca="false">IF(ISNUMBER(MATCH(E2529,'NCO-2015 scores'!$A$2:$A$131,0)),IF(ISNUMBER(INDEX('NCO-2015 scores'!$C$2:$C$131,MATCH(E2529,'NCO-2015 scores'!$A$2:$A$131,0))),1,0),0)</f>
        <v>1</v>
      </c>
    </row>
    <row r="2530" customFormat="false" ht="15" hidden="false" customHeight="false" outlineLevel="0" collapsed="false">
      <c r="A2530" s="2" t="n">
        <v>2526</v>
      </c>
      <c r="B2530" s="2" t="s">
        <v>7442</v>
      </c>
      <c r="C2530" s="2" t="s">
        <v>7443</v>
      </c>
      <c r="D2530" s="2" t="s">
        <v>7444</v>
      </c>
      <c r="E2530" s="2" t="str">
        <f aca="false">LEFT(C2530,3)</f>
        <v>731</v>
      </c>
      <c r="F2530" s="2" t="str">
        <f aca="false">IF(D2530="","",LEFT(D2530,3))</f>
        <v>732</v>
      </c>
      <c r="G2530" s="2" t="str">
        <f aca="false">IF(F2530="","",IF(E2530=F2530,"Yes","No"))</f>
        <v>No</v>
      </c>
      <c r="H2530" s="2" t="n">
        <f aca="false">IF(D2530="",0,1/COUNTIF($D$2:$D$3451,D2530))</f>
        <v>1</v>
      </c>
      <c r="I2530" s="13" t="n">
        <f aca="false">IFERROR(INDEX('NCO-2015 scores'!$C$2:$C$131,MATCH(E2530,'NCO-2015 scores'!$A$2:$A$131,0)),0)</f>
        <v>0.1688</v>
      </c>
      <c r="J2530" s="13" t="n">
        <f aca="false">IF(ISNUMBER(MATCH(E2530,'NCO-2015 scores'!$A$2:$A$131,0)),IF(ISNUMBER(INDEX('NCO-2015 scores'!$C$2:$C$131,MATCH(E2530,'NCO-2015 scores'!$A$2:$A$131,0))),1,0),0)</f>
        <v>1</v>
      </c>
    </row>
    <row r="2531" customFormat="false" ht="15" hidden="false" customHeight="false" outlineLevel="0" collapsed="false">
      <c r="A2531" s="2" t="n">
        <v>2527</v>
      </c>
      <c r="B2531" s="2" t="s">
        <v>7445</v>
      </c>
      <c r="C2531" s="2" t="s">
        <v>7446</v>
      </c>
      <c r="D2531" s="2" t="s">
        <v>7447</v>
      </c>
      <c r="E2531" s="2" t="str">
        <f aca="false">LEFT(C2531,3)</f>
        <v>731</v>
      </c>
      <c r="F2531" s="2" t="str">
        <f aca="false">IF(D2531="","",LEFT(D2531,3))</f>
        <v>732</v>
      </c>
      <c r="G2531" s="2" t="str">
        <f aca="false">IF(F2531="","",IF(E2531=F2531,"Yes","No"))</f>
        <v>No</v>
      </c>
      <c r="H2531" s="2" t="n">
        <f aca="false">IF(D2531="",0,1/COUNTIF($D$2:$D$3451,D2531))</f>
        <v>1</v>
      </c>
      <c r="I2531" s="13" t="n">
        <f aca="false">IFERROR(INDEX('NCO-2015 scores'!$C$2:$C$131,MATCH(E2531,'NCO-2015 scores'!$A$2:$A$131,0)),0)</f>
        <v>0.1688</v>
      </c>
      <c r="J2531" s="13" t="n">
        <f aca="false">IF(ISNUMBER(MATCH(E2531,'NCO-2015 scores'!$A$2:$A$131,0)),IF(ISNUMBER(INDEX('NCO-2015 scores'!$C$2:$C$131,MATCH(E2531,'NCO-2015 scores'!$A$2:$A$131,0))),1,0),0)</f>
        <v>1</v>
      </c>
    </row>
    <row r="2532" customFormat="false" ht="15" hidden="false" customHeight="false" outlineLevel="0" collapsed="false">
      <c r="A2532" s="2" t="n">
        <v>2528</v>
      </c>
      <c r="B2532" s="2" t="s">
        <v>7448</v>
      </c>
      <c r="C2532" s="2" t="s">
        <v>7449</v>
      </c>
      <c r="D2532" s="2" t="s">
        <v>7450</v>
      </c>
      <c r="E2532" s="2" t="str">
        <f aca="false">LEFT(C2532,3)</f>
        <v>731</v>
      </c>
      <c r="F2532" s="2" t="str">
        <f aca="false">IF(D2532="","",LEFT(D2532,3))</f>
        <v>732</v>
      </c>
      <c r="G2532" s="2" t="str">
        <f aca="false">IF(F2532="","",IF(E2532=F2532,"Yes","No"))</f>
        <v>No</v>
      </c>
      <c r="H2532" s="2" t="n">
        <f aca="false">IF(D2532="",0,1/COUNTIF($D$2:$D$3451,D2532))</f>
        <v>1</v>
      </c>
      <c r="I2532" s="13" t="n">
        <f aca="false">IFERROR(INDEX('NCO-2015 scores'!$C$2:$C$131,MATCH(E2532,'NCO-2015 scores'!$A$2:$A$131,0)),0)</f>
        <v>0.1688</v>
      </c>
      <c r="J2532" s="13" t="n">
        <f aca="false">IF(ISNUMBER(MATCH(E2532,'NCO-2015 scores'!$A$2:$A$131,0)),IF(ISNUMBER(INDEX('NCO-2015 scores'!$C$2:$C$131,MATCH(E2532,'NCO-2015 scores'!$A$2:$A$131,0))),1,0),0)</f>
        <v>1</v>
      </c>
    </row>
    <row r="2533" customFormat="false" ht="15" hidden="false" customHeight="false" outlineLevel="0" collapsed="false">
      <c r="A2533" s="2" t="n">
        <v>2529</v>
      </c>
      <c r="B2533" s="2" t="s">
        <v>7451</v>
      </c>
      <c r="C2533" s="2" t="s">
        <v>7452</v>
      </c>
      <c r="D2533" s="2" t="s">
        <v>7453</v>
      </c>
      <c r="E2533" s="2" t="str">
        <f aca="false">LEFT(C2533,3)</f>
        <v>731</v>
      </c>
      <c r="F2533" s="2" t="str">
        <f aca="false">IF(D2533="","",LEFT(D2533,3))</f>
        <v>732</v>
      </c>
      <c r="G2533" s="2" t="str">
        <f aca="false">IF(F2533="","",IF(E2533=F2533,"Yes","No"))</f>
        <v>No</v>
      </c>
      <c r="H2533" s="2" t="n">
        <f aca="false">IF(D2533="",0,1/COUNTIF($D$2:$D$3451,D2533))</f>
        <v>1</v>
      </c>
      <c r="I2533" s="13" t="n">
        <f aca="false">IFERROR(INDEX('NCO-2015 scores'!$C$2:$C$131,MATCH(E2533,'NCO-2015 scores'!$A$2:$A$131,0)),0)</f>
        <v>0.1688</v>
      </c>
      <c r="J2533" s="13" t="n">
        <f aca="false">IF(ISNUMBER(MATCH(E2533,'NCO-2015 scores'!$A$2:$A$131,0)),IF(ISNUMBER(INDEX('NCO-2015 scores'!$C$2:$C$131,MATCH(E2533,'NCO-2015 scores'!$A$2:$A$131,0))),1,0),0)</f>
        <v>1</v>
      </c>
    </row>
    <row r="2534" customFormat="false" ht="15" hidden="false" customHeight="false" outlineLevel="0" collapsed="false">
      <c r="A2534" s="2" t="n">
        <v>2530</v>
      </c>
      <c r="B2534" s="2" t="s">
        <v>7454</v>
      </c>
      <c r="C2534" s="2" t="s">
        <v>7455</v>
      </c>
      <c r="D2534" s="2" t="s">
        <v>7456</v>
      </c>
      <c r="E2534" s="2" t="str">
        <f aca="false">LEFT(C2534,3)</f>
        <v>612</v>
      </c>
      <c r="F2534" s="2" t="str">
        <f aca="false">IF(D2534="","",LEFT(D2534,3))</f>
        <v>612</v>
      </c>
      <c r="G2534" s="2" t="str">
        <f aca="false">IF(F2534="","",IF(E2534=F2534,"Yes","No"))</f>
        <v>Yes</v>
      </c>
      <c r="H2534" s="2" t="n">
        <f aca="false">IF(D2534="",0,1/COUNTIF($D$2:$D$3451,D2534))</f>
        <v>1</v>
      </c>
      <c r="I2534" s="13" t="n">
        <f aca="false">IFERROR(INDEX('NCO-2015 scores'!$C$2:$C$131,MATCH(E2534,'NCO-2015 scores'!$A$2:$A$131,0)),0)</f>
        <v>0.195</v>
      </c>
      <c r="J2534" s="13" t="n">
        <f aca="false">IF(ISNUMBER(MATCH(E2534,'NCO-2015 scores'!$A$2:$A$131,0)),IF(ISNUMBER(INDEX('NCO-2015 scores'!$C$2:$C$131,MATCH(E2534,'NCO-2015 scores'!$A$2:$A$131,0))),1,0),0)</f>
        <v>1</v>
      </c>
    </row>
    <row r="2535" customFormat="false" ht="15" hidden="false" customHeight="false" outlineLevel="0" collapsed="false">
      <c r="A2535" s="2" t="n">
        <v>2531</v>
      </c>
      <c r="B2535" s="2" t="s">
        <v>7457</v>
      </c>
      <c r="C2535" s="2" t="s">
        <v>7458</v>
      </c>
      <c r="D2535" s="2" t="s">
        <v>7459</v>
      </c>
      <c r="E2535" s="2" t="str">
        <f aca="false">LEFT(C2535,3)</f>
        <v>612</v>
      </c>
      <c r="F2535" s="2" t="str">
        <f aca="false">IF(D2535="","",LEFT(D2535,3))</f>
        <v>612</v>
      </c>
      <c r="G2535" s="2" t="str">
        <f aca="false">IF(F2535="","",IF(E2535=F2535,"Yes","No"))</f>
        <v>Yes</v>
      </c>
      <c r="H2535" s="2" t="n">
        <f aca="false">IF(D2535="",0,1/COUNTIF($D$2:$D$3451,D2535))</f>
        <v>1</v>
      </c>
      <c r="I2535" s="13" t="n">
        <f aca="false">IFERROR(INDEX('NCO-2015 scores'!$C$2:$C$131,MATCH(E2535,'NCO-2015 scores'!$A$2:$A$131,0)),0)</f>
        <v>0.195</v>
      </c>
      <c r="J2535" s="13" t="n">
        <f aca="false">IF(ISNUMBER(MATCH(E2535,'NCO-2015 scores'!$A$2:$A$131,0)),IF(ISNUMBER(INDEX('NCO-2015 scores'!$C$2:$C$131,MATCH(E2535,'NCO-2015 scores'!$A$2:$A$131,0))),1,0),0)</f>
        <v>1</v>
      </c>
    </row>
    <row r="2536" customFormat="false" ht="15" hidden="false" customHeight="false" outlineLevel="0" collapsed="false">
      <c r="A2536" s="2" t="n">
        <v>2532</v>
      </c>
      <c r="B2536" s="2" t="s">
        <v>7460</v>
      </c>
      <c r="C2536" s="2" t="s">
        <v>7461</v>
      </c>
      <c r="D2536" s="2" t="s">
        <v>7462</v>
      </c>
      <c r="E2536" s="2" t="str">
        <f aca="false">LEFT(C2536,3)</f>
        <v>612</v>
      </c>
      <c r="F2536" s="2" t="str">
        <f aca="false">IF(D2536="","",LEFT(D2536,3))</f>
        <v>612</v>
      </c>
      <c r="G2536" s="2" t="str">
        <f aca="false">IF(F2536="","",IF(E2536=F2536,"Yes","No"))</f>
        <v>Yes</v>
      </c>
      <c r="H2536" s="2" t="n">
        <f aca="false">IF(D2536="",0,1/COUNTIF($D$2:$D$3451,D2536))</f>
        <v>1</v>
      </c>
      <c r="I2536" s="13" t="n">
        <f aca="false">IFERROR(INDEX('NCO-2015 scores'!$C$2:$C$131,MATCH(E2536,'NCO-2015 scores'!$A$2:$A$131,0)),0)</f>
        <v>0.195</v>
      </c>
      <c r="J2536" s="13" t="n">
        <f aca="false">IF(ISNUMBER(MATCH(E2536,'NCO-2015 scores'!$A$2:$A$131,0)),IF(ISNUMBER(INDEX('NCO-2015 scores'!$C$2:$C$131,MATCH(E2536,'NCO-2015 scores'!$A$2:$A$131,0))),1,0),0)</f>
        <v>1</v>
      </c>
    </row>
    <row r="2537" customFormat="false" ht="15" hidden="false" customHeight="false" outlineLevel="0" collapsed="false">
      <c r="A2537" s="2" t="n">
        <v>2533</v>
      </c>
      <c r="B2537" s="2" t="s">
        <v>7463</v>
      </c>
      <c r="C2537" s="2" t="s">
        <v>7464</v>
      </c>
      <c r="D2537" s="2" t="s">
        <v>7465</v>
      </c>
      <c r="E2537" s="2" t="str">
        <f aca="false">LEFT(C2537,3)</f>
        <v>612</v>
      </c>
      <c r="F2537" s="2" t="str">
        <f aca="false">IF(D2537="","",LEFT(D2537,3))</f>
        <v>612</v>
      </c>
      <c r="G2537" s="2" t="str">
        <f aca="false">IF(F2537="","",IF(E2537=F2537,"Yes","No"))</f>
        <v>Yes</v>
      </c>
      <c r="H2537" s="2" t="n">
        <f aca="false">IF(D2537="",0,1/COUNTIF($D$2:$D$3451,D2537))</f>
        <v>1</v>
      </c>
      <c r="I2537" s="13" t="n">
        <f aca="false">IFERROR(INDEX('NCO-2015 scores'!$C$2:$C$131,MATCH(E2537,'NCO-2015 scores'!$A$2:$A$131,0)),0)</f>
        <v>0.195</v>
      </c>
      <c r="J2537" s="13" t="n">
        <f aca="false">IF(ISNUMBER(MATCH(E2537,'NCO-2015 scores'!$A$2:$A$131,0)),IF(ISNUMBER(INDEX('NCO-2015 scores'!$C$2:$C$131,MATCH(E2537,'NCO-2015 scores'!$A$2:$A$131,0))),1,0),0)</f>
        <v>1</v>
      </c>
    </row>
    <row r="2538" customFormat="false" ht="15" hidden="false" customHeight="false" outlineLevel="0" collapsed="false">
      <c r="A2538" s="2" t="n">
        <v>2534</v>
      </c>
      <c r="B2538" s="2" t="s">
        <v>7466</v>
      </c>
      <c r="C2538" s="2" t="s">
        <v>7467</v>
      </c>
      <c r="D2538" s="2" t="s">
        <v>7468</v>
      </c>
      <c r="E2538" s="2" t="str">
        <f aca="false">LEFT(C2538,3)</f>
        <v>612</v>
      </c>
      <c r="F2538" s="2" t="str">
        <f aca="false">IF(D2538="","",LEFT(D2538,3))</f>
        <v>612</v>
      </c>
      <c r="G2538" s="2" t="str">
        <f aca="false">IF(F2538="","",IF(E2538=F2538,"Yes","No"))</f>
        <v>Yes</v>
      </c>
      <c r="H2538" s="2" t="n">
        <f aca="false">IF(D2538="",0,1/COUNTIF($D$2:$D$3451,D2538))</f>
        <v>1</v>
      </c>
      <c r="I2538" s="13" t="n">
        <f aca="false">IFERROR(INDEX('NCO-2015 scores'!$C$2:$C$131,MATCH(E2538,'NCO-2015 scores'!$A$2:$A$131,0)),0)</f>
        <v>0.195</v>
      </c>
      <c r="J2538" s="13" t="n">
        <f aca="false">IF(ISNUMBER(MATCH(E2538,'NCO-2015 scores'!$A$2:$A$131,0)),IF(ISNUMBER(INDEX('NCO-2015 scores'!$C$2:$C$131,MATCH(E2538,'NCO-2015 scores'!$A$2:$A$131,0))),1,0),0)</f>
        <v>1</v>
      </c>
    </row>
    <row r="2539" customFormat="false" ht="15" hidden="false" customHeight="false" outlineLevel="0" collapsed="false">
      <c r="A2539" s="2" t="n">
        <v>2535</v>
      </c>
      <c r="B2539" s="2" t="s">
        <v>7469</v>
      </c>
      <c r="C2539" s="2" t="s">
        <v>7470</v>
      </c>
      <c r="D2539" s="2" t="s">
        <v>7471</v>
      </c>
      <c r="E2539" s="2" t="str">
        <f aca="false">LEFT(C2539,3)</f>
        <v>313</v>
      </c>
      <c r="F2539" s="2" t="str">
        <f aca="false">IF(D2539="","",LEFT(D2539,3))</f>
        <v>816</v>
      </c>
      <c r="G2539" s="2" t="str">
        <f aca="false">IF(F2539="","",IF(E2539=F2539,"Yes","No"))</f>
        <v>No</v>
      </c>
      <c r="H2539" s="2" t="n">
        <f aca="false">IF(D2539="",0,1/COUNTIF($D$2:$D$3451,D2539))</f>
        <v>1</v>
      </c>
      <c r="I2539" s="13" t="n">
        <f aca="false">IFERROR(INDEX('NCO-2015 scores'!$C$2:$C$131,MATCH(E2539,'NCO-2015 scores'!$A$2:$A$131,0)),0)</f>
        <v>0.288</v>
      </c>
      <c r="J2539" s="13" t="n">
        <f aca="false">IF(ISNUMBER(MATCH(E2539,'NCO-2015 scores'!$A$2:$A$131,0)),IF(ISNUMBER(INDEX('NCO-2015 scores'!$C$2:$C$131,MATCH(E2539,'NCO-2015 scores'!$A$2:$A$131,0))),1,0),0)</f>
        <v>1</v>
      </c>
    </row>
    <row r="2540" customFormat="false" ht="15" hidden="false" customHeight="false" outlineLevel="0" collapsed="false">
      <c r="A2540" s="2" t="n">
        <v>2536</v>
      </c>
      <c r="B2540" s="2" t="s">
        <v>7472</v>
      </c>
      <c r="C2540" s="2" t="s">
        <v>7473</v>
      </c>
      <c r="D2540" s="2" t="s">
        <v>7474</v>
      </c>
      <c r="E2540" s="2" t="str">
        <f aca="false">LEFT(C2540,3)</f>
        <v>313</v>
      </c>
      <c r="F2540" s="2" t="str">
        <f aca="false">IF(D2540="","",LEFT(D2540,3))</f>
        <v>816</v>
      </c>
      <c r="G2540" s="2" t="str">
        <f aca="false">IF(F2540="","",IF(E2540=F2540,"Yes","No"))</f>
        <v>No</v>
      </c>
      <c r="H2540" s="2" t="n">
        <f aca="false">IF(D2540="",0,1/COUNTIF($D$2:$D$3451,D2540))</f>
        <v>1</v>
      </c>
      <c r="I2540" s="13" t="n">
        <f aca="false">IFERROR(INDEX('NCO-2015 scores'!$C$2:$C$131,MATCH(E2540,'NCO-2015 scores'!$A$2:$A$131,0)),0)</f>
        <v>0.288</v>
      </c>
      <c r="J2540" s="13" t="n">
        <f aca="false">IF(ISNUMBER(MATCH(E2540,'NCO-2015 scores'!$A$2:$A$131,0)),IF(ISNUMBER(INDEX('NCO-2015 scores'!$C$2:$C$131,MATCH(E2540,'NCO-2015 scores'!$A$2:$A$131,0))),1,0),0)</f>
        <v>1</v>
      </c>
    </row>
    <row r="2541" customFormat="false" ht="15" hidden="false" customHeight="false" outlineLevel="0" collapsed="false">
      <c r="A2541" s="2" t="n">
        <v>2537</v>
      </c>
      <c r="B2541" s="2" t="s">
        <v>7475</v>
      </c>
      <c r="C2541" s="2" t="s">
        <v>7476</v>
      </c>
      <c r="D2541" s="2" t="s">
        <v>7477</v>
      </c>
      <c r="E2541" s="2" t="str">
        <f aca="false">LEFT(C2541,3)</f>
        <v>313</v>
      </c>
      <c r="F2541" s="2" t="str">
        <f aca="false">IF(D2541="","",LEFT(D2541,3))</f>
        <v>816</v>
      </c>
      <c r="G2541" s="2" t="str">
        <f aca="false">IF(F2541="","",IF(E2541=F2541,"Yes","No"))</f>
        <v>No</v>
      </c>
      <c r="H2541" s="2" t="n">
        <f aca="false">IF(D2541="",0,1/COUNTIF($D$2:$D$3451,D2541))</f>
        <v>1</v>
      </c>
      <c r="I2541" s="13" t="n">
        <f aca="false">IFERROR(INDEX('NCO-2015 scores'!$C$2:$C$131,MATCH(E2541,'NCO-2015 scores'!$A$2:$A$131,0)),0)</f>
        <v>0.288</v>
      </c>
      <c r="J2541" s="13" t="n">
        <f aca="false">IF(ISNUMBER(MATCH(E2541,'NCO-2015 scores'!$A$2:$A$131,0)),IF(ISNUMBER(INDEX('NCO-2015 scores'!$C$2:$C$131,MATCH(E2541,'NCO-2015 scores'!$A$2:$A$131,0))),1,0),0)</f>
        <v>1</v>
      </c>
    </row>
    <row r="2542" customFormat="false" ht="15" hidden="false" customHeight="false" outlineLevel="0" collapsed="false">
      <c r="A2542" s="2" t="n">
        <v>2538</v>
      </c>
      <c r="B2542" s="2" t="s">
        <v>7478</v>
      </c>
      <c r="C2542" s="2" t="s">
        <v>7479</v>
      </c>
      <c r="D2542" s="2" t="s">
        <v>7480</v>
      </c>
      <c r="E2542" s="2" t="str">
        <f aca="false">LEFT(C2542,3)</f>
        <v>313</v>
      </c>
      <c r="F2542" s="2" t="str">
        <f aca="false">IF(D2542="","",LEFT(D2542,3))</f>
        <v>816</v>
      </c>
      <c r="G2542" s="2" t="str">
        <f aca="false">IF(F2542="","",IF(E2542=F2542,"Yes","No"))</f>
        <v>No</v>
      </c>
      <c r="H2542" s="2" t="n">
        <f aca="false">IF(D2542="",0,1/COUNTIF($D$2:$D$3451,D2542))</f>
        <v>1</v>
      </c>
      <c r="I2542" s="13" t="n">
        <f aca="false">IFERROR(INDEX('NCO-2015 scores'!$C$2:$C$131,MATCH(E2542,'NCO-2015 scores'!$A$2:$A$131,0)),0)</f>
        <v>0.288</v>
      </c>
      <c r="J2542" s="13" t="n">
        <f aca="false">IF(ISNUMBER(MATCH(E2542,'NCO-2015 scores'!$A$2:$A$131,0)),IF(ISNUMBER(INDEX('NCO-2015 scores'!$C$2:$C$131,MATCH(E2542,'NCO-2015 scores'!$A$2:$A$131,0))),1,0),0)</f>
        <v>1</v>
      </c>
    </row>
    <row r="2543" customFormat="false" ht="15" hidden="false" customHeight="false" outlineLevel="0" collapsed="false">
      <c r="A2543" s="2" t="n">
        <v>2539</v>
      </c>
      <c r="B2543" s="2" t="s">
        <v>7481</v>
      </c>
      <c r="C2543" s="2" t="s">
        <v>7482</v>
      </c>
      <c r="D2543" s="2" t="s">
        <v>7483</v>
      </c>
      <c r="E2543" s="2" t="str">
        <f aca="false">LEFT(C2543,3)</f>
        <v>313</v>
      </c>
      <c r="F2543" s="2" t="str">
        <f aca="false">IF(D2543="","",LEFT(D2543,3))</f>
        <v>816</v>
      </c>
      <c r="G2543" s="2" t="str">
        <f aca="false">IF(F2543="","",IF(E2543=F2543,"Yes","No"))</f>
        <v>No</v>
      </c>
      <c r="H2543" s="2" t="n">
        <f aca="false">IF(D2543="",0,1/COUNTIF($D$2:$D$3451,D2543))</f>
        <v>1</v>
      </c>
      <c r="I2543" s="13" t="n">
        <f aca="false">IFERROR(INDEX('NCO-2015 scores'!$C$2:$C$131,MATCH(E2543,'NCO-2015 scores'!$A$2:$A$131,0)),0)</f>
        <v>0.288</v>
      </c>
      <c r="J2543" s="13" t="n">
        <f aca="false">IF(ISNUMBER(MATCH(E2543,'NCO-2015 scores'!$A$2:$A$131,0)),IF(ISNUMBER(INDEX('NCO-2015 scores'!$C$2:$C$131,MATCH(E2543,'NCO-2015 scores'!$A$2:$A$131,0))),1,0),0)</f>
        <v>1</v>
      </c>
    </row>
    <row r="2544" customFormat="false" ht="15" hidden="false" customHeight="false" outlineLevel="0" collapsed="false">
      <c r="A2544" s="2" t="n">
        <v>2540</v>
      </c>
      <c r="B2544" s="2" t="s">
        <v>7484</v>
      </c>
      <c r="C2544" s="2" t="s">
        <v>7485</v>
      </c>
      <c r="D2544" s="2" t="s">
        <v>7486</v>
      </c>
      <c r="E2544" s="2" t="str">
        <f aca="false">LEFT(C2544,3)</f>
        <v>313</v>
      </c>
      <c r="F2544" s="2" t="str">
        <f aca="false">IF(D2544="","",LEFT(D2544,3))</f>
        <v>816</v>
      </c>
      <c r="G2544" s="2" t="str">
        <f aca="false">IF(F2544="","",IF(E2544=F2544,"Yes","No"))</f>
        <v>No</v>
      </c>
      <c r="H2544" s="2" t="n">
        <f aca="false">IF(D2544="",0,1/COUNTIF($D$2:$D$3451,D2544))</f>
        <v>1</v>
      </c>
      <c r="I2544" s="13" t="n">
        <f aca="false">IFERROR(INDEX('NCO-2015 scores'!$C$2:$C$131,MATCH(E2544,'NCO-2015 scores'!$A$2:$A$131,0)),0)</f>
        <v>0.288</v>
      </c>
      <c r="J2544" s="13" t="n">
        <f aca="false">IF(ISNUMBER(MATCH(E2544,'NCO-2015 scores'!$A$2:$A$131,0)),IF(ISNUMBER(INDEX('NCO-2015 scores'!$C$2:$C$131,MATCH(E2544,'NCO-2015 scores'!$A$2:$A$131,0))),1,0),0)</f>
        <v>1</v>
      </c>
    </row>
    <row r="2545" customFormat="false" ht="15" hidden="false" customHeight="false" outlineLevel="0" collapsed="false">
      <c r="A2545" s="2" t="n">
        <v>2541</v>
      </c>
      <c r="B2545" s="2" t="s">
        <v>7487</v>
      </c>
      <c r="C2545" s="2" t="s">
        <v>7488</v>
      </c>
      <c r="D2545" s="2" t="s">
        <v>7489</v>
      </c>
      <c r="E2545" s="2" t="str">
        <f aca="false">LEFT(C2545,3)</f>
        <v>313</v>
      </c>
      <c r="F2545" s="2" t="str">
        <f aca="false">IF(D2545="","",LEFT(D2545,3))</f>
        <v>816</v>
      </c>
      <c r="G2545" s="2" t="str">
        <f aca="false">IF(F2545="","",IF(E2545=F2545,"Yes","No"))</f>
        <v>No</v>
      </c>
      <c r="H2545" s="2" t="n">
        <f aca="false">IF(D2545="",0,1/COUNTIF($D$2:$D$3451,D2545))</f>
        <v>1</v>
      </c>
      <c r="I2545" s="13" t="n">
        <f aca="false">IFERROR(INDEX('NCO-2015 scores'!$C$2:$C$131,MATCH(E2545,'NCO-2015 scores'!$A$2:$A$131,0)),0)</f>
        <v>0.288</v>
      </c>
      <c r="J2545" s="13" t="n">
        <f aca="false">IF(ISNUMBER(MATCH(E2545,'NCO-2015 scores'!$A$2:$A$131,0)),IF(ISNUMBER(INDEX('NCO-2015 scores'!$C$2:$C$131,MATCH(E2545,'NCO-2015 scores'!$A$2:$A$131,0))),1,0),0)</f>
        <v>1</v>
      </c>
    </row>
    <row r="2546" customFormat="false" ht="15" hidden="false" customHeight="false" outlineLevel="0" collapsed="false">
      <c r="A2546" s="2" t="n">
        <v>2542</v>
      </c>
      <c r="B2546" s="2" t="s">
        <v>7490</v>
      </c>
      <c r="C2546" s="2" t="s">
        <v>7491</v>
      </c>
      <c r="D2546" s="2" t="s">
        <v>7492</v>
      </c>
      <c r="E2546" s="2" t="str">
        <f aca="false">LEFT(C2546,3)</f>
        <v>313</v>
      </c>
      <c r="F2546" s="2" t="str">
        <f aca="false">IF(D2546="","",LEFT(D2546,3))</f>
        <v>816</v>
      </c>
      <c r="G2546" s="2" t="str">
        <f aca="false">IF(F2546="","",IF(E2546=F2546,"Yes","No"))</f>
        <v>No</v>
      </c>
      <c r="H2546" s="2" t="n">
        <f aca="false">IF(D2546="",0,1/COUNTIF($D$2:$D$3451,D2546))</f>
        <v>1</v>
      </c>
      <c r="I2546" s="13" t="n">
        <f aca="false">IFERROR(INDEX('NCO-2015 scores'!$C$2:$C$131,MATCH(E2546,'NCO-2015 scores'!$A$2:$A$131,0)),0)</f>
        <v>0.288</v>
      </c>
      <c r="J2546" s="13" t="n">
        <f aca="false">IF(ISNUMBER(MATCH(E2546,'NCO-2015 scores'!$A$2:$A$131,0)),IF(ISNUMBER(INDEX('NCO-2015 scores'!$C$2:$C$131,MATCH(E2546,'NCO-2015 scores'!$A$2:$A$131,0))),1,0),0)</f>
        <v>1</v>
      </c>
    </row>
    <row r="2547" customFormat="false" ht="15" hidden="false" customHeight="false" outlineLevel="0" collapsed="false">
      <c r="A2547" s="2" t="n">
        <v>2543</v>
      </c>
      <c r="B2547" s="2" t="s">
        <v>7493</v>
      </c>
      <c r="C2547" s="2" t="s">
        <v>7494</v>
      </c>
      <c r="D2547" s="2" t="s">
        <v>7495</v>
      </c>
      <c r="E2547" s="2" t="str">
        <f aca="false">LEFT(C2547,3)</f>
        <v>313</v>
      </c>
      <c r="F2547" s="2" t="str">
        <f aca="false">IF(D2547="","",LEFT(D2547,3))</f>
        <v>816</v>
      </c>
      <c r="G2547" s="2" t="str">
        <f aca="false">IF(F2547="","",IF(E2547=F2547,"Yes","No"))</f>
        <v>No</v>
      </c>
      <c r="H2547" s="2" t="n">
        <f aca="false">IF(D2547="",0,1/COUNTIF($D$2:$D$3451,D2547))</f>
        <v>1</v>
      </c>
      <c r="I2547" s="13" t="n">
        <f aca="false">IFERROR(INDEX('NCO-2015 scores'!$C$2:$C$131,MATCH(E2547,'NCO-2015 scores'!$A$2:$A$131,0)),0)</f>
        <v>0.288</v>
      </c>
      <c r="J2547" s="13" t="n">
        <f aca="false">IF(ISNUMBER(MATCH(E2547,'NCO-2015 scores'!$A$2:$A$131,0)),IF(ISNUMBER(INDEX('NCO-2015 scores'!$C$2:$C$131,MATCH(E2547,'NCO-2015 scores'!$A$2:$A$131,0))),1,0),0)</f>
        <v>1</v>
      </c>
    </row>
    <row r="2548" customFormat="false" ht="15" hidden="false" customHeight="false" outlineLevel="0" collapsed="false">
      <c r="A2548" s="2" t="n">
        <v>2544</v>
      </c>
      <c r="B2548" s="2" t="s">
        <v>7496</v>
      </c>
      <c r="C2548" s="2" t="s">
        <v>7497</v>
      </c>
      <c r="D2548" s="2" t="s">
        <v>7498</v>
      </c>
      <c r="E2548" s="2" t="str">
        <f aca="false">LEFT(C2548,3)</f>
        <v>313</v>
      </c>
      <c r="F2548" s="2" t="str">
        <f aca="false">IF(D2548="","",LEFT(D2548,3))</f>
        <v>816</v>
      </c>
      <c r="G2548" s="2" t="str">
        <f aca="false">IF(F2548="","",IF(E2548=F2548,"Yes","No"))</f>
        <v>No</v>
      </c>
      <c r="H2548" s="2" t="n">
        <f aca="false">IF(D2548="",0,1/COUNTIF($D$2:$D$3451,D2548))</f>
        <v>1</v>
      </c>
      <c r="I2548" s="13" t="n">
        <f aca="false">IFERROR(INDEX('NCO-2015 scores'!$C$2:$C$131,MATCH(E2548,'NCO-2015 scores'!$A$2:$A$131,0)),0)</f>
        <v>0.288</v>
      </c>
      <c r="J2548" s="13" t="n">
        <f aca="false">IF(ISNUMBER(MATCH(E2548,'NCO-2015 scores'!$A$2:$A$131,0)),IF(ISNUMBER(INDEX('NCO-2015 scores'!$C$2:$C$131,MATCH(E2548,'NCO-2015 scores'!$A$2:$A$131,0))),1,0),0)</f>
        <v>1</v>
      </c>
    </row>
    <row r="2549" customFormat="false" ht="15" hidden="false" customHeight="false" outlineLevel="0" collapsed="false">
      <c r="A2549" s="2" t="n">
        <v>2545</v>
      </c>
      <c r="B2549" s="2" t="s">
        <v>7499</v>
      </c>
      <c r="C2549" s="2" t="s">
        <v>7500</v>
      </c>
      <c r="D2549" s="2" t="s">
        <v>7501</v>
      </c>
      <c r="E2549" s="2" t="str">
        <f aca="false">LEFT(C2549,3)</f>
        <v>313</v>
      </c>
      <c r="F2549" s="2" t="str">
        <f aca="false">IF(D2549="","",LEFT(D2549,3))</f>
        <v>816</v>
      </c>
      <c r="G2549" s="2" t="str">
        <f aca="false">IF(F2549="","",IF(E2549=F2549,"Yes","No"))</f>
        <v>No</v>
      </c>
      <c r="H2549" s="2" t="n">
        <f aca="false">IF(D2549="",0,1/COUNTIF($D$2:$D$3451,D2549))</f>
        <v>1</v>
      </c>
      <c r="I2549" s="13" t="n">
        <f aca="false">IFERROR(INDEX('NCO-2015 scores'!$C$2:$C$131,MATCH(E2549,'NCO-2015 scores'!$A$2:$A$131,0)),0)</f>
        <v>0.288</v>
      </c>
      <c r="J2549" s="13" t="n">
        <f aca="false">IF(ISNUMBER(MATCH(E2549,'NCO-2015 scores'!$A$2:$A$131,0)),IF(ISNUMBER(INDEX('NCO-2015 scores'!$C$2:$C$131,MATCH(E2549,'NCO-2015 scores'!$A$2:$A$131,0))),1,0),0)</f>
        <v>1</v>
      </c>
    </row>
    <row r="2550" customFormat="false" ht="15" hidden="false" customHeight="false" outlineLevel="0" collapsed="false">
      <c r="A2550" s="2" t="n">
        <v>2546</v>
      </c>
      <c r="B2550" s="2" t="s">
        <v>7502</v>
      </c>
      <c r="C2550" s="2" t="s">
        <v>7503</v>
      </c>
      <c r="D2550" s="2"/>
      <c r="E2550" s="2" t="str">
        <f aca="false">LEFT(C2550,3)</f>
        <v>313</v>
      </c>
      <c r="F2550" s="2" t="str">
        <f aca="false">IF(D2550="","",LEFT(D2550,3))</f>
        <v/>
      </c>
      <c r="G2550" s="2" t="str">
        <f aca="false">IF(F2550="","",IF(E2550=F2550,"Yes","No"))</f>
        <v/>
      </c>
      <c r="H2550" s="2" t="n">
        <f aca="false">IF(D2550="",0,1/COUNTIF($D$2:$D$3451,D2550))</f>
        <v>0</v>
      </c>
      <c r="I2550" s="13" t="n">
        <f aca="false">IFERROR(INDEX('NCO-2015 scores'!$C$2:$C$131,MATCH(E2550,'NCO-2015 scores'!$A$2:$A$131,0)),0)</f>
        <v>0.288</v>
      </c>
      <c r="J2550" s="13" t="n">
        <f aca="false">IF(ISNUMBER(MATCH(E2550,'NCO-2015 scores'!$A$2:$A$131,0)),IF(ISNUMBER(INDEX('NCO-2015 scores'!$C$2:$C$131,MATCH(E2550,'NCO-2015 scores'!$A$2:$A$131,0))),1,0),0)</f>
        <v>1</v>
      </c>
    </row>
    <row r="2551" customFormat="false" ht="15" hidden="false" customHeight="false" outlineLevel="0" collapsed="false">
      <c r="A2551" s="2" t="n">
        <v>2547</v>
      </c>
      <c r="B2551" s="2" t="s">
        <v>7504</v>
      </c>
      <c r="C2551" s="2" t="s">
        <v>7505</v>
      </c>
      <c r="D2551" s="2" t="s">
        <v>7506</v>
      </c>
      <c r="E2551" s="2" t="str">
        <f aca="false">LEFT(C2551,3)</f>
        <v>732</v>
      </c>
      <c r="F2551" s="2" t="str">
        <f aca="false">IF(D2551="","",LEFT(D2551,3))</f>
        <v>734</v>
      </c>
      <c r="G2551" s="2" t="str">
        <f aca="false">IF(F2551="","",IF(E2551=F2551,"Yes","No"))</f>
        <v>No</v>
      </c>
      <c r="H2551" s="2" t="n">
        <f aca="false">IF(D2551="",0,1/COUNTIF($D$2:$D$3451,D2551))</f>
        <v>1</v>
      </c>
      <c r="I2551" s="13" t="n">
        <f aca="false">IFERROR(INDEX('NCO-2015 scores'!$C$2:$C$131,MATCH(E2551,'NCO-2015 scores'!$A$2:$A$131,0)),0)</f>
        <v>0.2833</v>
      </c>
      <c r="J2551" s="13" t="n">
        <f aca="false">IF(ISNUMBER(MATCH(E2551,'NCO-2015 scores'!$A$2:$A$131,0)),IF(ISNUMBER(INDEX('NCO-2015 scores'!$C$2:$C$131,MATCH(E2551,'NCO-2015 scores'!$A$2:$A$131,0))),1,0),0)</f>
        <v>1</v>
      </c>
    </row>
    <row r="2552" customFormat="false" ht="15" hidden="false" customHeight="false" outlineLevel="0" collapsed="false">
      <c r="A2552" s="2" t="n">
        <v>2548</v>
      </c>
      <c r="B2552" s="2" t="s">
        <v>7507</v>
      </c>
      <c r="C2552" s="2" t="s">
        <v>7508</v>
      </c>
      <c r="D2552" s="2" t="s">
        <v>7509</v>
      </c>
      <c r="E2552" s="2" t="str">
        <f aca="false">LEFT(C2552,3)</f>
        <v>732</v>
      </c>
      <c r="F2552" s="2" t="str">
        <f aca="false">IF(D2552="","",LEFT(D2552,3))</f>
        <v>734</v>
      </c>
      <c r="G2552" s="2" t="str">
        <f aca="false">IF(F2552="","",IF(E2552=F2552,"Yes","No"))</f>
        <v>No</v>
      </c>
      <c r="H2552" s="2" t="n">
        <f aca="false">IF(D2552="",0,1/COUNTIF($D$2:$D$3451,D2552))</f>
        <v>1</v>
      </c>
      <c r="I2552" s="13" t="n">
        <f aca="false">IFERROR(INDEX('NCO-2015 scores'!$C$2:$C$131,MATCH(E2552,'NCO-2015 scores'!$A$2:$A$131,0)),0)</f>
        <v>0.2833</v>
      </c>
      <c r="J2552" s="13" t="n">
        <f aca="false">IF(ISNUMBER(MATCH(E2552,'NCO-2015 scores'!$A$2:$A$131,0)),IF(ISNUMBER(INDEX('NCO-2015 scores'!$C$2:$C$131,MATCH(E2552,'NCO-2015 scores'!$A$2:$A$131,0))),1,0),0)</f>
        <v>1</v>
      </c>
    </row>
    <row r="2553" customFormat="false" ht="15" hidden="false" customHeight="false" outlineLevel="0" collapsed="false">
      <c r="A2553" s="2" t="n">
        <v>2549</v>
      </c>
      <c r="B2553" s="2" t="s">
        <v>7510</v>
      </c>
      <c r="C2553" s="2" t="s">
        <v>7511</v>
      </c>
      <c r="D2553" s="2" t="s">
        <v>7512</v>
      </c>
      <c r="E2553" s="2" t="str">
        <f aca="false">LEFT(C2553,3)</f>
        <v>732</v>
      </c>
      <c r="F2553" s="2" t="str">
        <f aca="false">IF(D2553="","",LEFT(D2553,3))</f>
        <v>734</v>
      </c>
      <c r="G2553" s="2" t="str">
        <f aca="false">IF(F2553="","",IF(E2553=F2553,"Yes","No"))</f>
        <v>No</v>
      </c>
      <c r="H2553" s="2" t="n">
        <f aca="false">IF(D2553="",0,1/COUNTIF($D$2:$D$3451,D2553))</f>
        <v>1</v>
      </c>
      <c r="I2553" s="13" t="n">
        <f aca="false">IFERROR(INDEX('NCO-2015 scores'!$C$2:$C$131,MATCH(E2553,'NCO-2015 scores'!$A$2:$A$131,0)),0)</f>
        <v>0.2833</v>
      </c>
      <c r="J2553" s="13" t="n">
        <f aca="false">IF(ISNUMBER(MATCH(E2553,'NCO-2015 scores'!$A$2:$A$131,0)),IF(ISNUMBER(INDEX('NCO-2015 scores'!$C$2:$C$131,MATCH(E2553,'NCO-2015 scores'!$A$2:$A$131,0))),1,0),0)</f>
        <v>1</v>
      </c>
    </row>
    <row r="2554" customFormat="false" ht="15" hidden="false" customHeight="false" outlineLevel="0" collapsed="false">
      <c r="A2554" s="2" t="n">
        <v>2550</v>
      </c>
      <c r="B2554" s="2" t="s">
        <v>7513</v>
      </c>
      <c r="C2554" s="2" t="s">
        <v>7514</v>
      </c>
      <c r="D2554" s="2" t="s">
        <v>7515</v>
      </c>
      <c r="E2554" s="2" t="str">
        <f aca="false">LEFT(C2554,3)</f>
        <v>732</v>
      </c>
      <c r="F2554" s="2" t="str">
        <f aca="false">IF(D2554="","",LEFT(D2554,3))</f>
        <v>734</v>
      </c>
      <c r="G2554" s="2" t="str">
        <f aca="false">IF(F2554="","",IF(E2554=F2554,"Yes","No"))</f>
        <v>No</v>
      </c>
      <c r="H2554" s="2" t="n">
        <f aca="false">IF(D2554="",0,1/COUNTIF($D$2:$D$3451,D2554))</f>
        <v>1</v>
      </c>
      <c r="I2554" s="13" t="n">
        <f aca="false">IFERROR(INDEX('NCO-2015 scores'!$C$2:$C$131,MATCH(E2554,'NCO-2015 scores'!$A$2:$A$131,0)),0)</f>
        <v>0.2833</v>
      </c>
      <c r="J2554" s="13" t="n">
        <f aca="false">IF(ISNUMBER(MATCH(E2554,'NCO-2015 scores'!$A$2:$A$131,0)),IF(ISNUMBER(INDEX('NCO-2015 scores'!$C$2:$C$131,MATCH(E2554,'NCO-2015 scores'!$A$2:$A$131,0))),1,0),0)</f>
        <v>1</v>
      </c>
    </row>
    <row r="2555" customFormat="false" ht="15" hidden="false" customHeight="false" outlineLevel="0" collapsed="false">
      <c r="A2555" s="2" t="n">
        <v>2551</v>
      </c>
      <c r="B2555" s="2" t="s">
        <v>7516</v>
      </c>
      <c r="C2555" s="2" t="s">
        <v>7517</v>
      </c>
      <c r="D2555" s="2" t="s">
        <v>7518</v>
      </c>
      <c r="E2555" s="2" t="str">
        <f aca="false">LEFT(C2555,3)</f>
        <v>732</v>
      </c>
      <c r="F2555" s="2" t="str">
        <f aca="false">IF(D2555="","",LEFT(D2555,3))</f>
        <v>734</v>
      </c>
      <c r="G2555" s="2" t="str">
        <f aca="false">IF(F2555="","",IF(E2555=F2555,"Yes","No"))</f>
        <v>No</v>
      </c>
      <c r="H2555" s="2" t="n">
        <f aca="false">IF(D2555="",0,1/COUNTIF($D$2:$D$3451,D2555))</f>
        <v>1</v>
      </c>
      <c r="I2555" s="13" t="n">
        <f aca="false">IFERROR(INDEX('NCO-2015 scores'!$C$2:$C$131,MATCH(E2555,'NCO-2015 scores'!$A$2:$A$131,0)),0)</f>
        <v>0.2833</v>
      </c>
      <c r="J2555" s="13" t="n">
        <f aca="false">IF(ISNUMBER(MATCH(E2555,'NCO-2015 scores'!$A$2:$A$131,0)),IF(ISNUMBER(INDEX('NCO-2015 scores'!$C$2:$C$131,MATCH(E2555,'NCO-2015 scores'!$A$2:$A$131,0))),1,0),0)</f>
        <v>1</v>
      </c>
    </row>
    <row r="2556" customFormat="false" ht="15" hidden="false" customHeight="false" outlineLevel="0" collapsed="false">
      <c r="A2556" s="2" t="n">
        <v>2552</v>
      </c>
      <c r="B2556" s="2" t="s">
        <v>7519</v>
      </c>
      <c r="C2556" s="2" t="s">
        <v>7520</v>
      </c>
      <c r="D2556" s="2" t="s">
        <v>7521</v>
      </c>
      <c r="E2556" s="2" t="str">
        <f aca="false">LEFT(C2556,3)</f>
        <v>732</v>
      </c>
      <c r="F2556" s="2" t="str">
        <f aca="false">IF(D2556="","",LEFT(D2556,3))</f>
        <v>734</v>
      </c>
      <c r="G2556" s="2" t="str">
        <f aca="false">IF(F2556="","",IF(E2556=F2556,"Yes","No"))</f>
        <v>No</v>
      </c>
      <c r="H2556" s="2" t="n">
        <f aca="false">IF(D2556="",0,1/COUNTIF($D$2:$D$3451,D2556))</f>
        <v>1</v>
      </c>
      <c r="I2556" s="13" t="n">
        <f aca="false">IFERROR(INDEX('NCO-2015 scores'!$C$2:$C$131,MATCH(E2556,'NCO-2015 scores'!$A$2:$A$131,0)),0)</f>
        <v>0.2833</v>
      </c>
      <c r="J2556" s="13" t="n">
        <f aca="false">IF(ISNUMBER(MATCH(E2556,'NCO-2015 scores'!$A$2:$A$131,0)),IF(ISNUMBER(INDEX('NCO-2015 scores'!$C$2:$C$131,MATCH(E2556,'NCO-2015 scores'!$A$2:$A$131,0))),1,0),0)</f>
        <v>1</v>
      </c>
    </row>
    <row r="2557" customFormat="false" ht="15" hidden="false" customHeight="false" outlineLevel="0" collapsed="false">
      <c r="A2557" s="2" t="n">
        <v>2553</v>
      </c>
      <c r="B2557" s="2" t="s">
        <v>7522</v>
      </c>
      <c r="C2557" s="2" t="s">
        <v>7523</v>
      </c>
      <c r="D2557" s="2" t="s">
        <v>7524</v>
      </c>
      <c r="E2557" s="2" t="str">
        <f aca="false">LEFT(C2557,3)</f>
        <v>732</v>
      </c>
      <c r="F2557" s="2" t="str">
        <f aca="false">IF(D2557="","",LEFT(D2557,3))</f>
        <v>734</v>
      </c>
      <c r="G2557" s="2" t="str">
        <f aca="false">IF(F2557="","",IF(E2557=F2557,"Yes","No"))</f>
        <v>No</v>
      </c>
      <c r="H2557" s="2" t="n">
        <f aca="false">IF(D2557="",0,1/COUNTIF($D$2:$D$3451,D2557))</f>
        <v>1</v>
      </c>
      <c r="I2557" s="13" t="n">
        <f aca="false">IFERROR(INDEX('NCO-2015 scores'!$C$2:$C$131,MATCH(E2557,'NCO-2015 scores'!$A$2:$A$131,0)),0)</f>
        <v>0.2833</v>
      </c>
      <c r="J2557" s="13" t="n">
        <f aca="false">IF(ISNUMBER(MATCH(E2557,'NCO-2015 scores'!$A$2:$A$131,0)),IF(ISNUMBER(INDEX('NCO-2015 scores'!$C$2:$C$131,MATCH(E2557,'NCO-2015 scores'!$A$2:$A$131,0))),1,0),0)</f>
        <v>1</v>
      </c>
    </row>
    <row r="2558" customFormat="false" ht="15" hidden="false" customHeight="false" outlineLevel="0" collapsed="false">
      <c r="A2558" s="2" t="n">
        <v>2554</v>
      </c>
      <c r="B2558" s="2" t="s">
        <v>7525</v>
      </c>
      <c r="C2558" s="2" t="s">
        <v>7526</v>
      </c>
      <c r="D2558" s="2" t="s">
        <v>7527</v>
      </c>
      <c r="E2558" s="2" t="str">
        <f aca="false">LEFT(C2558,3)</f>
        <v>732</v>
      </c>
      <c r="F2558" s="2" t="str">
        <f aca="false">IF(D2558="","",LEFT(D2558,3))</f>
        <v>734</v>
      </c>
      <c r="G2558" s="2" t="str">
        <f aca="false">IF(F2558="","",IF(E2558=F2558,"Yes","No"))</f>
        <v>No</v>
      </c>
      <c r="H2558" s="2" t="n">
        <f aca="false">IF(D2558="",0,1/COUNTIF($D$2:$D$3451,D2558))</f>
        <v>1</v>
      </c>
      <c r="I2558" s="13" t="n">
        <f aca="false">IFERROR(INDEX('NCO-2015 scores'!$C$2:$C$131,MATCH(E2558,'NCO-2015 scores'!$A$2:$A$131,0)),0)</f>
        <v>0.2833</v>
      </c>
      <c r="J2558" s="13" t="n">
        <f aca="false">IF(ISNUMBER(MATCH(E2558,'NCO-2015 scores'!$A$2:$A$131,0)),IF(ISNUMBER(INDEX('NCO-2015 scores'!$C$2:$C$131,MATCH(E2558,'NCO-2015 scores'!$A$2:$A$131,0))),1,0),0)</f>
        <v>1</v>
      </c>
    </row>
    <row r="2559" customFormat="false" ht="15" hidden="false" customHeight="false" outlineLevel="0" collapsed="false">
      <c r="A2559" s="2" t="n">
        <v>2555</v>
      </c>
      <c r="B2559" s="2" t="s">
        <v>7528</v>
      </c>
      <c r="C2559" s="2" t="s">
        <v>7529</v>
      </c>
      <c r="D2559" s="2"/>
      <c r="E2559" s="2" t="str">
        <f aca="false">LEFT(C2559,3)</f>
        <v>732</v>
      </c>
      <c r="F2559" s="2" t="str">
        <f aca="false">IF(D2559="","",LEFT(D2559,3))</f>
        <v/>
      </c>
      <c r="G2559" s="2" t="str">
        <f aca="false">IF(F2559="","",IF(E2559=F2559,"Yes","No"))</f>
        <v/>
      </c>
      <c r="H2559" s="2" t="n">
        <f aca="false">IF(D2559="",0,1/COUNTIF($D$2:$D$3451,D2559))</f>
        <v>0</v>
      </c>
      <c r="I2559" s="13" t="n">
        <f aca="false">IFERROR(INDEX('NCO-2015 scores'!$C$2:$C$131,MATCH(E2559,'NCO-2015 scores'!$A$2:$A$131,0)),0)</f>
        <v>0.2833</v>
      </c>
      <c r="J2559" s="13" t="n">
        <f aca="false">IF(ISNUMBER(MATCH(E2559,'NCO-2015 scores'!$A$2:$A$131,0)),IF(ISNUMBER(INDEX('NCO-2015 scores'!$C$2:$C$131,MATCH(E2559,'NCO-2015 scores'!$A$2:$A$131,0))),1,0),0)</f>
        <v>1</v>
      </c>
    </row>
    <row r="2560" customFormat="false" ht="15" hidden="false" customHeight="false" outlineLevel="0" collapsed="false">
      <c r="A2560" s="2" t="n">
        <v>2556</v>
      </c>
      <c r="B2560" s="2" t="s">
        <v>7530</v>
      </c>
      <c r="C2560" s="2" t="s">
        <v>7531</v>
      </c>
      <c r="D2560" s="2" t="s">
        <v>7532</v>
      </c>
      <c r="E2560" s="2" t="str">
        <f aca="false">LEFT(C2560,3)</f>
        <v>732</v>
      </c>
      <c r="F2560" s="2" t="str">
        <f aca="false">IF(D2560="","",LEFT(D2560,3))</f>
        <v>734</v>
      </c>
      <c r="G2560" s="2" t="str">
        <f aca="false">IF(F2560="","",IF(E2560=F2560,"Yes","No"))</f>
        <v>No</v>
      </c>
      <c r="H2560" s="2" t="n">
        <f aca="false">IF(D2560="",0,1/COUNTIF($D$2:$D$3451,D2560))</f>
        <v>1</v>
      </c>
      <c r="I2560" s="13" t="n">
        <f aca="false">IFERROR(INDEX('NCO-2015 scores'!$C$2:$C$131,MATCH(E2560,'NCO-2015 scores'!$A$2:$A$131,0)),0)</f>
        <v>0.2833</v>
      </c>
      <c r="J2560" s="13" t="n">
        <f aca="false">IF(ISNUMBER(MATCH(E2560,'NCO-2015 scores'!$A$2:$A$131,0)),IF(ISNUMBER(INDEX('NCO-2015 scores'!$C$2:$C$131,MATCH(E2560,'NCO-2015 scores'!$A$2:$A$131,0))),1,0),0)</f>
        <v>1</v>
      </c>
    </row>
    <row r="2561" customFormat="false" ht="15" hidden="false" customHeight="false" outlineLevel="0" collapsed="false">
      <c r="A2561" s="2" t="n">
        <v>2557</v>
      </c>
      <c r="B2561" s="2" t="s">
        <v>7533</v>
      </c>
      <c r="C2561" s="2" t="s">
        <v>7534</v>
      </c>
      <c r="D2561" s="2" t="s">
        <v>7535</v>
      </c>
      <c r="E2561" s="2" t="str">
        <f aca="false">LEFT(C2561,3)</f>
        <v>732</v>
      </c>
      <c r="F2561" s="2" t="str">
        <f aca="false">IF(D2561="","",LEFT(D2561,3))</f>
        <v>734</v>
      </c>
      <c r="G2561" s="2" t="str">
        <f aca="false">IF(F2561="","",IF(E2561=F2561,"Yes","No"))</f>
        <v>No</v>
      </c>
      <c r="H2561" s="2" t="n">
        <f aca="false">IF(D2561="",0,1/COUNTIF($D$2:$D$3451,D2561))</f>
        <v>1</v>
      </c>
      <c r="I2561" s="13" t="n">
        <f aca="false">IFERROR(INDEX('NCO-2015 scores'!$C$2:$C$131,MATCH(E2561,'NCO-2015 scores'!$A$2:$A$131,0)),0)</f>
        <v>0.2833</v>
      </c>
      <c r="J2561" s="13" t="n">
        <f aca="false">IF(ISNUMBER(MATCH(E2561,'NCO-2015 scores'!$A$2:$A$131,0)),IF(ISNUMBER(INDEX('NCO-2015 scores'!$C$2:$C$131,MATCH(E2561,'NCO-2015 scores'!$A$2:$A$131,0))),1,0),0)</f>
        <v>1</v>
      </c>
    </row>
    <row r="2562" customFormat="false" ht="15" hidden="false" customHeight="false" outlineLevel="0" collapsed="false">
      <c r="A2562" s="2" t="n">
        <v>2558</v>
      </c>
      <c r="B2562" s="2" t="s">
        <v>7536</v>
      </c>
      <c r="C2562" s="2" t="s">
        <v>7537</v>
      </c>
      <c r="D2562" s="2" t="s">
        <v>7538</v>
      </c>
      <c r="E2562" s="2" t="str">
        <f aca="false">LEFT(C2562,3)</f>
        <v>732</v>
      </c>
      <c r="F2562" s="2" t="str">
        <f aca="false">IF(D2562="","",LEFT(D2562,3))</f>
        <v>734</v>
      </c>
      <c r="G2562" s="2" t="str">
        <f aca="false">IF(F2562="","",IF(E2562=F2562,"Yes","No"))</f>
        <v>No</v>
      </c>
      <c r="H2562" s="2" t="n">
        <f aca="false">IF(D2562="",0,1/COUNTIF($D$2:$D$3451,D2562))</f>
        <v>1</v>
      </c>
      <c r="I2562" s="13" t="n">
        <f aca="false">IFERROR(INDEX('NCO-2015 scores'!$C$2:$C$131,MATCH(E2562,'NCO-2015 scores'!$A$2:$A$131,0)),0)</f>
        <v>0.2833</v>
      </c>
      <c r="J2562" s="13" t="n">
        <f aca="false">IF(ISNUMBER(MATCH(E2562,'NCO-2015 scores'!$A$2:$A$131,0)),IF(ISNUMBER(INDEX('NCO-2015 scores'!$C$2:$C$131,MATCH(E2562,'NCO-2015 scores'!$A$2:$A$131,0))),1,0),0)</f>
        <v>1</v>
      </c>
    </row>
    <row r="2563" customFormat="false" ht="15" hidden="false" customHeight="false" outlineLevel="0" collapsed="false">
      <c r="A2563" s="2" t="n">
        <v>2559</v>
      </c>
      <c r="B2563" s="2" t="s">
        <v>7539</v>
      </c>
      <c r="C2563" s="2" t="s">
        <v>7540</v>
      </c>
      <c r="D2563" s="2" t="s">
        <v>7541</v>
      </c>
      <c r="E2563" s="2" t="str">
        <f aca="false">LEFT(C2563,3)</f>
        <v>732</v>
      </c>
      <c r="F2563" s="2" t="str">
        <f aca="false">IF(D2563="","",LEFT(D2563,3))</f>
        <v>734</v>
      </c>
      <c r="G2563" s="2" t="str">
        <f aca="false">IF(F2563="","",IF(E2563=F2563,"Yes","No"))</f>
        <v>No</v>
      </c>
      <c r="H2563" s="2" t="n">
        <f aca="false">IF(D2563="",0,1/COUNTIF($D$2:$D$3451,D2563))</f>
        <v>1</v>
      </c>
      <c r="I2563" s="13" t="n">
        <f aca="false">IFERROR(INDEX('NCO-2015 scores'!$C$2:$C$131,MATCH(E2563,'NCO-2015 scores'!$A$2:$A$131,0)),0)</f>
        <v>0.2833</v>
      </c>
      <c r="J2563" s="13" t="n">
        <f aca="false">IF(ISNUMBER(MATCH(E2563,'NCO-2015 scores'!$A$2:$A$131,0)),IF(ISNUMBER(INDEX('NCO-2015 scores'!$C$2:$C$131,MATCH(E2563,'NCO-2015 scores'!$A$2:$A$131,0))),1,0),0)</f>
        <v>1</v>
      </c>
    </row>
    <row r="2564" customFormat="false" ht="15" hidden="false" customHeight="false" outlineLevel="0" collapsed="false">
      <c r="A2564" s="2" t="n">
        <v>2560</v>
      </c>
      <c r="B2564" s="2" t="s">
        <v>7542</v>
      </c>
      <c r="C2564" s="2" t="s">
        <v>7543</v>
      </c>
      <c r="D2564" s="2" t="s">
        <v>7544</v>
      </c>
      <c r="E2564" s="2" t="str">
        <f aca="false">LEFT(C2564,3)</f>
        <v>732</v>
      </c>
      <c r="F2564" s="2" t="str">
        <f aca="false">IF(D2564="","",LEFT(D2564,3))</f>
        <v>734</v>
      </c>
      <c r="G2564" s="2" t="str">
        <f aca="false">IF(F2564="","",IF(E2564=F2564,"Yes","No"))</f>
        <v>No</v>
      </c>
      <c r="H2564" s="2" t="n">
        <f aca="false">IF(D2564="",0,1/COUNTIF($D$2:$D$3451,D2564))</f>
        <v>1</v>
      </c>
      <c r="I2564" s="13" t="n">
        <f aca="false">IFERROR(INDEX('NCO-2015 scores'!$C$2:$C$131,MATCH(E2564,'NCO-2015 scores'!$A$2:$A$131,0)),0)</f>
        <v>0.2833</v>
      </c>
      <c r="J2564" s="13" t="n">
        <f aca="false">IF(ISNUMBER(MATCH(E2564,'NCO-2015 scores'!$A$2:$A$131,0)),IF(ISNUMBER(INDEX('NCO-2015 scores'!$C$2:$C$131,MATCH(E2564,'NCO-2015 scores'!$A$2:$A$131,0))),1,0),0)</f>
        <v>1</v>
      </c>
    </row>
    <row r="2565" customFormat="false" ht="15" hidden="false" customHeight="false" outlineLevel="0" collapsed="false">
      <c r="A2565" s="2" t="n">
        <v>2561</v>
      </c>
      <c r="B2565" s="2" t="s">
        <v>7545</v>
      </c>
      <c r="C2565" s="2" t="s">
        <v>7546</v>
      </c>
      <c r="D2565" s="2" t="s">
        <v>7547</v>
      </c>
      <c r="E2565" s="2" t="str">
        <f aca="false">LEFT(C2565,3)</f>
        <v>732</v>
      </c>
      <c r="F2565" s="2" t="str">
        <f aca="false">IF(D2565="","",LEFT(D2565,3))</f>
        <v>734</v>
      </c>
      <c r="G2565" s="2" t="str">
        <f aca="false">IF(F2565="","",IF(E2565=F2565,"Yes","No"))</f>
        <v>No</v>
      </c>
      <c r="H2565" s="2" t="n">
        <f aca="false">IF(D2565="",0,1/COUNTIF($D$2:$D$3451,D2565))</f>
        <v>1</v>
      </c>
      <c r="I2565" s="13" t="n">
        <f aca="false">IFERROR(INDEX('NCO-2015 scores'!$C$2:$C$131,MATCH(E2565,'NCO-2015 scores'!$A$2:$A$131,0)),0)</f>
        <v>0.2833</v>
      </c>
      <c r="J2565" s="13" t="n">
        <f aca="false">IF(ISNUMBER(MATCH(E2565,'NCO-2015 scores'!$A$2:$A$131,0)),IF(ISNUMBER(INDEX('NCO-2015 scores'!$C$2:$C$131,MATCH(E2565,'NCO-2015 scores'!$A$2:$A$131,0))),1,0),0)</f>
        <v>1</v>
      </c>
    </row>
    <row r="2566" customFormat="false" ht="15" hidden="false" customHeight="false" outlineLevel="0" collapsed="false">
      <c r="A2566" s="2" t="n">
        <v>2562</v>
      </c>
      <c r="B2566" s="2" t="s">
        <v>7548</v>
      </c>
      <c r="C2566" s="2" t="s">
        <v>7549</v>
      </c>
      <c r="D2566" s="2" t="s">
        <v>7550</v>
      </c>
      <c r="E2566" s="2" t="str">
        <f aca="false">LEFT(C2566,3)</f>
        <v>732</v>
      </c>
      <c r="F2566" s="2" t="str">
        <f aca="false">IF(D2566="","",LEFT(D2566,3))</f>
        <v>734</v>
      </c>
      <c r="G2566" s="2" t="str">
        <f aca="false">IF(F2566="","",IF(E2566=F2566,"Yes","No"))</f>
        <v>No</v>
      </c>
      <c r="H2566" s="2" t="n">
        <f aca="false">IF(D2566="",0,1/COUNTIF($D$2:$D$3451,D2566))</f>
        <v>1</v>
      </c>
      <c r="I2566" s="13" t="n">
        <f aca="false">IFERROR(INDEX('NCO-2015 scores'!$C$2:$C$131,MATCH(E2566,'NCO-2015 scores'!$A$2:$A$131,0)),0)</f>
        <v>0.2833</v>
      </c>
      <c r="J2566" s="13" t="n">
        <f aca="false">IF(ISNUMBER(MATCH(E2566,'NCO-2015 scores'!$A$2:$A$131,0)),IF(ISNUMBER(INDEX('NCO-2015 scores'!$C$2:$C$131,MATCH(E2566,'NCO-2015 scores'!$A$2:$A$131,0))),1,0),0)</f>
        <v>1</v>
      </c>
    </row>
    <row r="2567" customFormat="false" ht="15" hidden="false" customHeight="false" outlineLevel="0" collapsed="false">
      <c r="A2567" s="2" t="n">
        <v>2563</v>
      </c>
      <c r="B2567" s="2" t="s">
        <v>7551</v>
      </c>
      <c r="C2567" s="2" t="s">
        <v>7552</v>
      </c>
      <c r="D2567" s="2" t="s">
        <v>7553</v>
      </c>
      <c r="E2567" s="2" t="str">
        <f aca="false">LEFT(C2567,3)</f>
        <v>732</v>
      </c>
      <c r="F2567" s="2" t="str">
        <f aca="false">IF(D2567="","",LEFT(D2567,3))</f>
        <v>734</v>
      </c>
      <c r="G2567" s="2" t="str">
        <f aca="false">IF(F2567="","",IF(E2567=F2567,"Yes","No"))</f>
        <v>No</v>
      </c>
      <c r="H2567" s="2" t="n">
        <f aca="false">IF(D2567="",0,1/COUNTIF($D$2:$D$3451,D2567))</f>
        <v>1</v>
      </c>
      <c r="I2567" s="13" t="n">
        <f aca="false">IFERROR(INDEX('NCO-2015 scores'!$C$2:$C$131,MATCH(E2567,'NCO-2015 scores'!$A$2:$A$131,0)),0)</f>
        <v>0.2833</v>
      </c>
      <c r="J2567" s="13" t="n">
        <f aca="false">IF(ISNUMBER(MATCH(E2567,'NCO-2015 scores'!$A$2:$A$131,0)),IF(ISNUMBER(INDEX('NCO-2015 scores'!$C$2:$C$131,MATCH(E2567,'NCO-2015 scores'!$A$2:$A$131,0))),1,0),0)</f>
        <v>1</v>
      </c>
    </row>
    <row r="2568" customFormat="false" ht="15" hidden="false" customHeight="false" outlineLevel="0" collapsed="false">
      <c r="A2568" s="2" t="n">
        <v>2564</v>
      </c>
      <c r="B2568" s="2" t="s">
        <v>7554</v>
      </c>
      <c r="C2568" s="2" t="s">
        <v>7555</v>
      </c>
      <c r="D2568" s="2" t="s">
        <v>7556</v>
      </c>
      <c r="E2568" s="2" t="str">
        <f aca="false">LEFT(C2568,3)</f>
        <v>732</v>
      </c>
      <c r="F2568" s="2" t="str">
        <f aca="false">IF(D2568="","",LEFT(D2568,3))</f>
        <v>734</v>
      </c>
      <c r="G2568" s="2" t="str">
        <f aca="false">IF(F2568="","",IF(E2568=F2568,"Yes","No"))</f>
        <v>No</v>
      </c>
      <c r="H2568" s="2" t="n">
        <f aca="false">IF(D2568="",0,1/COUNTIF($D$2:$D$3451,D2568))</f>
        <v>1</v>
      </c>
      <c r="I2568" s="13" t="n">
        <f aca="false">IFERROR(INDEX('NCO-2015 scores'!$C$2:$C$131,MATCH(E2568,'NCO-2015 scores'!$A$2:$A$131,0)),0)</f>
        <v>0.2833</v>
      </c>
      <c r="J2568" s="13" t="n">
        <f aca="false">IF(ISNUMBER(MATCH(E2568,'NCO-2015 scores'!$A$2:$A$131,0)),IF(ISNUMBER(INDEX('NCO-2015 scores'!$C$2:$C$131,MATCH(E2568,'NCO-2015 scores'!$A$2:$A$131,0))),1,0),0)</f>
        <v>1</v>
      </c>
    </row>
    <row r="2569" customFormat="false" ht="15" hidden="false" customHeight="false" outlineLevel="0" collapsed="false">
      <c r="A2569" s="2" t="n">
        <v>2565</v>
      </c>
      <c r="B2569" s="2" t="s">
        <v>7557</v>
      </c>
      <c r="C2569" s="2" t="s">
        <v>7558</v>
      </c>
      <c r="D2569" s="2"/>
      <c r="E2569" s="2" t="str">
        <f aca="false">LEFT(C2569,3)</f>
        <v>732</v>
      </c>
      <c r="F2569" s="2" t="str">
        <f aca="false">IF(D2569="","",LEFT(D2569,3))</f>
        <v/>
      </c>
      <c r="G2569" s="2" t="str">
        <f aca="false">IF(F2569="","",IF(E2569=F2569,"Yes","No"))</f>
        <v/>
      </c>
      <c r="H2569" s="2" t="n">
        <f aca="false">IF(D2569="",0,1/COUNTIF($D$2:$D$3451,D2569))</f>
        <v>0</v>
      </c>
      <c r="I2569" s="13" t="n">
        <f aca="false">IFERROR(INDEX('NCO-2015 scores'!$C$2:$C$131,MATCH(E2569,'NCO-2015 scores'!$A$2:$A$131,0)),0)</f>
        <v>0.2833</v>
      </c>
      <c r="J2569" s="13" t="n">
        <f aca="false">IF(ISNUMBER(MATCH(E2569,'NCO-2015 scores'!$A$2:$A$131,0)),IF(ISNUMBER(INDEX('NCO-2015 scores'!$C$2:$C$131,MATCH(E2569,'NCO-2015 scores'!$A$2:$A$131,0))),1,0),0)</f>
        <v>1</v>
      </c>
    </row>
    <row r="2570" customFormat="false" ht="15" hidden="false" customHeight="false" outlineLevel="0" collapsed="false">
      <c r="A2570" s="2" t="n">
        <v>2566</v>
      </c>
      <c r="B2570" s="2" t="s">
        <v>7559</v>
      </c>
      <c r="C2570" s="2" t="s">
        <v>7560</v>
      </c>
      <c r="D2570" s="2"/>
      <c r="E2570" s="2" t="str">
        <f aca="false">LEFT(C2570,3)</f>
        <v>731</v>
      </c>
      <c r="F2570" s="2" t="str">
        <f aca="false">IF(D2570="","",LEFT(D2570,3))</f>
        <v/>
      </c>
      <c r="G2570" s="2" t="str">
        <f aca="false">IF(F2570="","",IF(E2570=F2570,"Yes","No"))</f>
        <v/>
      </c>
      <c r="H2570" s="2" t="n">
        <f aca="false">IF(D2570="",0,1/COUNTIF($D$2:$D$3451,D2570))</f>
        <v>0</v>
      </c>
      <c r="I2570" s="13" t="n">
        <f aca="false">IFERROR(INDEX('NCO-2015 scores'!$C$2:$C$131,MATCH(E2570,'NCO-2015 scores'!$A$2:$A$131,0)),0)</f>
        <v>0.1688</v>
      </c>
      <c r="J2570" s="13" t="n">
        <f aca="false">IF(ISNUMBER(MATCH(E2570,'NCO-2015 scores'!$A$2:$A$131,0)),IF(ISNUMBER(INDEX('NCO-2015 scores'!$C$2:$C$131,MATCH(E2570,'NCO-2015 scores'!$A$2:$A$131,0))),1,0),0)</f>
        <v>1</v>
      </c>
    </row>
    <row r="2571" customFormat="false" ht="15" hidden="false" customHeight="false" outlineLevel="0" collapsed="false">
      <c r="A2571" s="2" t="n">
        <v>2567</v>
      </c>
      <c r="B2571" s="2" t="s">
        <v>7561</v>
      </c>
      <c r="C2571" s="2" t="s">
        <v>7562</v>
      </c>
      <c r="D2571" s="2" t="s">
        <v>7563</v>
      </c>
      <c r="E2571" s="2" t="str">
        <f aca="false">LEFT(C2571,3)</f>
        <v>731</v>
      </c>
      <c r="F2571" s="2" t="str">
        <f aca="false">IF(D2571="","",LEFT(D2571,3))</f>
        <v>731</v>
      </c>
      <c r="G2571" s="2" t="str">
        <f aca="false">IF(F2571="","",IF(E2571=F2571,"Yes","No"))</f>
        <v>Yes</v>
      </c>
      <c r="H2571" s="2" t="n">
        <f aca="false">IF(D2571="",0,1/COUNTIF($D$2:$D$3451,D2571))</f>
        <v>1</v>
      </c>
      <c r="I2571" s="13" t="n">
        <f aca="false">IFERROR(INDEX('NCO-2015 scores'!$C$2:$C$131,MATCH(E2571,'NCO-2015 scores'!$A$2:$A$131,0)),0)</f>
        <v>0.1688</v>
      </c>
      <c r="J2571" s="13" t="n">
        <f aca="false">IF(ISNUMBER(MATCH(E2571,'NCO-2015 scores'!$A$2:$A$131,0)),IF(ISNUMBER(INDEX('NCO-2015 scores'!$C$2:$C$131,MATCH(E2571,'NCO-2015 scores'!$A$2:$A$131,0))),1,0),0)</f>
        <v>1</v>
      </c>
    </row>
    <row r="2572" customFormat="false" ht="15" hidden="false" customHeight="false" outlineLevel="0" collapsed="false">
      <c r="A2572" s="2" t="n">
        <v>2568</v>
      </c>
      <c r="B2572" s="2" t="s">
        <v>7564</v>
      </c>
      <c r="C2572" s="2" t="s">
        <v>7565</v>
      </c>
      <c r="D2572" s="2" t="s">
        <v>7566</v>
      </c>
      <c r="E2572" s="2" t="str">
        <f aca="false">LEFT(C2572,3)</f>
        <v>731</v>
      </c>
      <c r="F2572" s="2" t="str">
        <f aca="false">IF(D2572="","",LEFT(D2572,3))</f>
        <v>731</v>
      </c>
      <c r="G2572" s="2" t="str">
        <f aca="false">IF(F2572="","",IF(E2572=F2572,"Yes","No"))</f>
        <v>Yes</v>
      </c>
      <c r="H2572" s="2" t="n">
        <f aca="false">IF(D2572="",0,1/COUNTIF($D$2:$D$3451,D2572))</f>
        <v>1</v>
      </c>
      <c r="I2572" s="13" t="n">
        <f aca="false">IFERROR(INDEX('NCO-2015 scores'!$C$2:$C$131,MATCH(E2572,'NCO-2015 scores'!$A$2:$A$131,0)),0)</f>
        <v>0.1688</v>
      </c>
      <c r="J2572" s="13" t="n">
        <f aca="false">IF(ISNUMBER(MATCH(E2572,'NCO-2015 scores'!$A$2:$A$131,0)),IF(ISNUMBER(INDEX('NCO-2015 scores'!$C$2:$C$131,MATCH(E2572,'NCO-2015 scores'!$A$2:$A$131,0))),1,0),0)</f>
        <v>1</v>
      </c>
    </row>
    <row r="2573" customFormat="false" ht="15" hidden="false" customHeight="false" outlineLevel="0" collapsed="false">
      <c r="A2573" s="2" t="n">
        <v>2569</v>
      </c>
      <c r="B2573" s="2" t="s">
        <v>7567</v>
      </c>
      <c r="C2573" s="2" t="s">
        <v>7568</v>
      </c>
      <c r="D2573" s="2" t="s">
        <v>7569</v>
      </c>
      <c r="E2573" s="2" t="str">
        <f aca="false">LEFT(C2573,3)</f>
        <v>731</v>
      </c>
      <c r="F2573" s="2" t="str">
        <f aca="false">IF(D2573="","",LEFT(D2573,3))</f>
        <v>731</v>
      </c>
      <c r="G2573" s="2" t="str">
        <f aca="false">IF(F2573="","",IF(E2573=F2573,"Yes","No"))</f>
        <v>Yes</v>
      </c>
      <c r="H2573" s="2" t="n">
        <f aca="false">IF(D2573="",0,1/COUNTIF($D$2:$D$3451,D2573))</f>
        <v>1</v>
      </c>
      <c r="I2573" s="13" t="n">
        <f aca="false">IFERROR(INDEX('NCO-2015 scores'!$C$2:$C$131,MATCH(E2573,'NCO-2015 scores'!$A$2:$A$131,0)),0)</f>
        <v>0.1688</v>
      </c>
      <c r="J2573" s="13" t="n">
        <f aca="false">IF(ISNUMBER(MATCH(E2573,'NCO-2015 scores'!$A$2:$A$131,0)),IF(ISNUMBER(INDEX('NCO-2015 scores'!$C$2:$C$131,MATCH(E2573,'NCO-2015 scores'!$A$2:$A$131,0))),1,0),0)</f>
        <v>1</v>
      </c>
    </row>
    <row r="2574" customFormat="false" ht="15" hidden="false" customHeight="false" outlineLevel="0" collapsed="false">
      <c r="A2574" s="2" t="n">
        <v>2570</v>
      </c>
      <c r="B2574" s="2" t="s">
        <v>7570</v>
      </c>
      <c r="C2574" s="2" t="s">
        <v>7571</v>
      </c>
      <c r="D2574" s="2"/>
      <c r="E2574" s="2" t="str">
        <f aca="false">LEFT(C2574,3)</f>
        <v>731</v>
      </c>
      <c r="F2574" s="2" t="str">
        <f aca="false">IF(D2574="","",LEFT(D2574,3))</f>
        <v/>
      </c>
      <c r="G2574" s="2" t="str">
        <f aca="false">IF(F2574="","",IF(E2574=F2574,"Yes","No"))</f>
        <v/>
      </c>
      <c r="H2574" s="2" t="n">
        <f aca="false">IF(D2574="",0,1/COUNTIF($D$2:$D$3451,D2574))</f>
        <v>0</v>
      </c>
      <c r="I2574" s="13" t="n">
        <f aca="false">IFERROR(INDEX('NCO-2015 scores'!$C$2:$C$131,MATCH(E2574,'NCO-2015 scores'!$A$2:$A$131,0)),0)</f>
        <v>0.1688</v>
      </c>
      <c r="J2574" s="13" t="n">
        <f aca="false">IF(ISNUMBER(MATCH(E2574,'NCO-2015 scores'!$A$2:$A$131,0)),IF(ISNUMBER(INDEX('NCO-2015 scores'!$C$2:$C$131,MATCH(E2574,'NCO-2015 scores'!$A$2:$A$131,0))),1,0),0)</f>
        <v>1</v>
      </c>
    </row>
    <row r="2575" customFormat="false" ht="15" hidden="false" customHeight="false" outlineLevel="0" collapsed="false">
      <c r="A2575" s="2" t="n">
        <v>2571</v>
      </c>
      <c r="B2575" s="2" t="s">
        <v>7572</v>
      </c>
      <c r="C2575" s="2" t="s">
        <v>7573</v>
      </c>
      <c r="D2575" s="2" t="s">
        <v>7574</v>
      </c>
      <c r="E2575" s="2" t="str">
        <f aca="false">LEFT(C2575,3)</f>
        <v>731</v>
      </c>
      <c r="F2575" s="2" t="str">
        <f aca="false">IF(D2575="","",LEFT(D2575,3))</f>
        <v>731</v>
      </c>
      <c r="G2575" s="2" t="str">
        <f aca="false">IF(F2575="","",IF(E2575=F2575,"Yes","No"))</f>
        <v>Yes</v>
      </c>
      <c r="H2575" s="2" t="n">
        <f aca="false">IF(D2575="",0,1/COUNTIF($D$2:$D$3451,D2575))</f>
        <v>1</v>
      </c>
      <c r="I2575" s="13" t="n">
        <f aca="false">IFERROR(INDEX('NCO-2015 scores'!$C$2:$C$131,MATCH(E2575,'NCO-2015 scores'!$A$2:$A$131,0)),0)</f>
        <v>0.1688</v>
      </c>
      <c r="J2575" s="13" t="n">
        <f aca="false">IF(ISNUMBER(MATCH(E2575,'NCO-2015 scores'!$A$2:$A$131,0)),IF(ISNUMBER(INDEX('NCO-2015 scores'!$C$2:$C$131,MATCH(E2575,'NCO-2015 scores'!$A$2:$A$131,0))),1,0),0)</f>
        <v>1</v>
      </c>
    </row>
    <row r="2576" customFormat="false" ht="15" hidden="false" customHeight="false" outlineLevel="0" collapsed="false">
      <c r="A2576" s="2" t="n">
        <v>2572</v>
      </c>
      <c r="B2576" s="2" t="s">
        <v>7575</v>
      </c>
      <c r="C2576" s="2" t="s">
        <v>7576</v>
      </c>
      <c r="D2576" s="2" t="s">
        <v>7577</v>
      </c>
      <c r="E2576" s="2" t="str">
        <f aca="false">LEFT(C2576,3)</f>
        <v>731</v>
      </c>
      <c r="F2576" s="2" t="str">
        <f aca="false">IF(D2576="","",LEFT(D2576,3))</f>
        <v>731</v>
      </c>
      <c r="G2576" s="2" t="str">
        <f aca="false">IF(F2576="","",IF(E2576=F2576,"Yes","No"))</f>
        <v>Yes</v>
      </c>
      <c r="H2576" s="2" t="n">
        <f aca="false">IF(D2576="",0,1/COUNTIF($D$2:$D$3451,D2576))</f>
        <v>1</v>
      </c>
      <c r="I2576" s="13" t="n">
        <f aca="false">IFERROR(INDEX('NCO-2015 scores'!$C$2:$C$131,MATCH(E2576,'NCO-2015 scores'!$A$2:$A$131,0)),0)</f>
        <v>0.1688</v>
      </c>
      <c r="J2576" s="13" t="n">
        <f aca="false">IF(ISNUMBER(MATCH(E2576,'NCO-2015 scores'!$A$2:$A$131,0)),IF(ISNUMBER(INDEX('NCO-2015 scores'!$C$2:$C$131,MATCH(E2576,'NCO-2015 scores'!$A$2:$A$131,0))),1,0),0)</f>
        <v>1</v>
      </c>
    </row>
    <row r="2577" customFormat="false" ht="15" hidden="false" customHeight="false" outlineLevel="0" collapsed="false">
      <c r="A2577" s="2" t="n">
        <v>2573</v>
      </c>
      <c r="B2577" s="2" t="s">
        <v>7578</v>
      </c>
      <c r="C2577" s="2" t="s">
        <v>7579</v>
      </c>
      <c r="D2577" s="2" t="s">
        <v>7580</v>
      </c>
      <c r="E2577" s="2" t="str">
        <f aca="false">LEFT(C2577,3)</f>
        <v>731</v>
      </c>
      <c r="F2577" s="2" t="str">
        <f aca="false">IF(D2577="","",LEFT(D2577,3))</f>
        <v>731</v>
      </c>
      <c r="G2577" s="2" t="str">
        <f aca="false">IF(F2577="","",IF(E2577=F2577,"Yes","No"))</f>
        <v>Yes</v>
      </c>
      <c r="H2577" s="2" t="n">
        <f aca="false">IF(D2577="",0,1/COUNTIF($D$2:$D$3451,D2577))</f>
        <v>1</v>
      </c>
      <c r="I2577" s="13" t="n">
        <f aca="false">IFERROR(INDEX('NCO-2015 scores'!$C$2:$C$131,MATCH(E2577,'NCO-2015 scores'!$A$2:$A$131,0)),0)</f>
        <v>0.1688</v>
      </c>
      <c r="J2577" s="13" t="n">
        <f aca="false">IF(ISNUMBER(MATCH(E2577,'NCO-2015 scores'!$A$2:$A$131,0)),IF(ISNUMBER(INDEX('NCO-2015 scores'!$C$2:$C$131,MATCH(E2577,'NCO-2015 scores'!$A$2:$A$131,0))),1,0),0)</f>
        <v>1</v>
      </c>
    </row>
    <row r="2578" customFormat="false" ht="15" hidden="false" customHeight="false" outlineLevel="0" collapsed="false">
      <c r="A2578" s="2" t="n">
        <v>2574</v>
      </c>
      <c r="B2578" s="2" t="s">
        <v>7581</v>
      </c>
      <c r="C2578" s="2" t="s">
        <v>7582</v>
      </c>
      <c r="D2578" s="2" t="s">
        <v>7583</v>
      </c>
      <c r="E2578" s="2" t="str">
        <f aca="false">LEFT(C2578,3)</f>
        <v>731</v>
      </c>
      <c r="F2578" s="2" t="str">
        <f aca="false">IF(D2578="","",LEFT(D2578,3))</f>
        <v>731</v>
      </c>
      <c r="G2578" s="2" t="str">
        <f aca="false">IF(F2578="","",IF(E2578=F2578,"Yes","No"))</f>
        <v>Yes</v>
      </c>
      <c r="H2578" s="2" t="n">
        <f aca="false">IF(D2578="",0,1/COUNTIF($D$2:$D$3451,D2578))</f>
        <v>1</v>
      </c>
      <c r="I2578" s="13" t="n">
        <f aca="false">IFERROR(INDEX('NCO-2015 scores'!$C$2:$C$131,MATCH(E2578,'NCO-2015 scores'!$A$2:$A$131,0)),0)</f>
        <v>0.1688</v>
      </c>
      <c r="J2578" s="13" t="n">
        <f aca="false">IF(ISNUMBER(MATCH(E2578,'NCO-2015 scores'!$A$2:$A$131,0)),IF(ISNUMBER(INDEX('NCO-2015 scores'!$C$2:$C$131,MATCH(E2578,'NCO-2015 scores'!$A$2:$A$131,0))),1,0),0)</f>
        <v>1</v>
      </c>
    </row>
    <row r="2579" customFormat="false" ht="15" hidden="false" customHeight="false" outlineLevel="0" collapsed="false">
      <c r="A2579" s="2" t="n">
        <v>2575</v>
      </c>
      <c r="B2579" s="2" t="s">
        <v>7584</v>
      </c>
      <c r="C2579" s="2" t="s">
        <v>7585</v>
      </c>
      <c r="D2579" s="2" t="s">
        <v>7586</v>
      </c>
      <c r="E2579" s="2" t="str">
        <f aca="false">LEFT(C2579,3)</f>
        <v>731</v>
      </c>
      <c r="F2579" s="2" t="str">
        <f aca="false">IF(D2579="","",LEFT(D2579,3))</f>
        <v>731</v>
      </c>
      <c r="G2579" s="2" t="str">
        <f aca="false">IF(F2579="","",IF(E2579=F2579,"Yes","No"))</f>
        <v>Yes</v>
      </c>
      <c r="H2579" s="2" t="n">
        <f aca="false">IF(D2579="",0,1/COUNTIF($D$2:$D$3451,D2579))</f>
        <v>1</v>
      </c>
      <c r="I2579" s="13" t="n">
        <f aca="false">IFERROR(INDEX('NCO-2015 scores'!$C$2:$C$131,MATCH(E2579,'NCO-2015 scores'!$A$2:$A$131,0)),0)</f>
        <v>0.1688</v>
      </c>
      <c r="J2579" s="13" t="n">
        <f aca="false">IF(ISNUMBER(MATCH(E2579,'NCO-2015 scores'!$A$2:$A$131,0)),IF(ISNUMBER(INDEX('NCO-2015 scores'!$C$2:$C$131,MATCH(E2579,'NCO-2015 scores'!$A$2:$A$131,0))),1,0),0)</f>
        <v>1</v>
      </c>
    </row>
    <row r="2580" customFormat="false" ht="15" hidden="false" customHeight="false" outlineLevel="0" collapsed="false">
      <c r="A2580" s="2" t="n">
        <v>2576</v>
      </c>
      <c r="B2580" s="2" t="s">
        <v>7587</v>
      </c>
      <c r="C2580" s="2" t="s">
        <v>7588</v>
      </c>
      <c r="D2580" s="2" t="s">
        <v>7589</v>
      </c>
      <c r="E2580" s="2" t="str">
        <f aca="false">LEFT(C2580,3)</f>
        <v>731</v>
      </c>
      <c r="F2580" s="2" t="str">
        <f aca="false">IF(D2580="","",LEFT(D2580,3))</f>
        <v>731</v>
      </c>
      <c r="G2580" s="2" t="str">
        <f aca="false">IF(F2580="","",IF(E2580=F2580,"Yes","No"))</f>
        <v>Yes</v>
      </c>
      <c r="H2580" s="2" t="n">
        <f aca="false">IF(D2580="",0,1/COUNTIF($D$2:$D$3451,D2580))</f>
        <v>1</v>
      </c>
      <c r="I2580" s="13" t="n">
        <f aca="false">IFERROR(INDEX('NCO-2015 scores'!$C$2:$C$131,MATCH(E2580,'NCO-2015 scores'!$A$2:$A$131,0)),0)</f>
        <v>0.1688</v>
      </c>
      <c r="J2580" s="13" t="n">
        <f aca="false">IF(ISNUMBER(MATCH(E2580,'NCO-2015 scores'!$A$2:$A$131,0)),IF(ISNUMBER(INDEX('NCO-2015 scores'!$C$2:$C$131,MATCH(E2580,'NCO-2015 scores'!$A$2:$A$131,0))),1,0),0)</f>
        <v>1</v>
      </c>
    </row>
    <row r="2581" customFormat="false" ht="15" hidden="false" customHeight="false" outlineLevel="0" collapsed="false">
      <c r="A2581" s="2" t="n">
        <v>2577</v>
      </c>
      <c r="B2581" s="2" t="s">
        <v>7590</v>
      </c>
      <c r="C2581" s="2" t="s">
        <v>7591</v>
      </c>
      <c r="D2581" s="2"/>
      <c r="E2581" s="2" t="str">
        <f aca="false">LEFT(C2581,3)</f>
        <v>731</v>
      </c>
      <c r="F2581" s="2" t="str">
        <f aca="false">IF(D2581="","",LEFT(D2581,3))</f>
        <v/>
      </c>
      <c r="G2581" s="2" t="str">
        <f aca="false">IF(F2581="","",IF(E2581=F2581,"Yes","No"))</f>
        <v/>
      </c>
      <c r="H2581" s="2" t="n">
        <f aca="false">IF(D2581="",0,1/COUNTIF($D$2:$D$3451,D2581))</f>
        <v>0</v>
      </c>
      <c r="I2581" s="13" t="n">
        <f aca="false">IFERROR(INDEX('NCO-2015 scores'!$C$2:$C$131,MATCH(E2581,'NCO-2015 scores'!$A$2:$A$131,0)),0)</f>
        <v>0.1688</v>
      </c>
      <c r="J2581" s="13" t="n">
        <f aca="false">IF(ISNUMBER(MATCH(E2581,'NCO-2015 scores'!$A$2:$A$131,0)),IF(ISNUMBER(INDEX('NCO-2015 scores'!$C$2:$C$131,MATCH(E2581,'NCO-2015 scores'!$A$2:$A$131,0))),1,0),0)</f>
        <v>1</v>
      </c>
    </row>
    <row r="2582" customFormat="false" ht="15" hidden="false" customHeight="false" outlineLevel="0" collapsed="false">
      <c r="A2582" s="2" t="n">
        <v>2578</v>
      </c>
      <c r="B2582" s="2" t="s">
        <v>7592</v>
      </c>
      <c r="C2582" s="2" t="s">
        <v>7593</v>
      </c>
      <c r="D2582" s="2"/>
      <c r="E2582" s="2" t="str">
        <f aca="false">LEFT(C2582,3)</f>
        <v>731</v>
      </c>
      <c r="F2582" s="2" t="str">
        <f aca="false">IF(D2582="","",LEFT(D2582,3))</f>
        <v/>
      </c>
      <c r="G2582" s="2" t="str">
        <f aca="false">IF(F2582="","",IF(E2582=F2582,"Yes","No"))</f>
        <v/>
      </c>
      <c r="H2582" s="2" t="n">
        <f aca="false">IF(D2582="",0,1/COUNTIF($D$2:$D$3451,D2582))</f>
        <v>0</v>
      </c>
      <c r="I2582" s="13" t="n">
        <f aca="false">IFERROR(INDEX('NCO-2015 scores'!$C$2:$C$131,MATCH(E2582,'NCO-2015 scores'!$A$2:$A$131,0)),0)</f>
        <v>0.1688</v>
      </c>
      <c r="J2582" s="13" t="n">
        <f aca="false">IF(ISNUMBER(MATCH(E2582,'NCO-2015 scores'!$A$2:$A$131,0)),IF(ISNUMBER(INDEX('NCO-2015 scores'!$C$2:$C$131,MATCH(E2582,'NCO-2015 scores'!$A$2:$A$131,0))),1,0),0)</f>
        <v>1</v>
      </c>
    </row>
    <row r="2583" customFormat="false" ht="15" hidden="false" customHeight="false" outlineLevel="0" collapsed="false">
      <c r="A2583" s="2" t="n">
        <v>2579</v>
      </c>
      <c r="B2583" s="2" t="s">
        <v>7594</v>
      </c>
      <c r="C2583" s="2" t="s">
        <v>7595</v>
      </c>
      <c r="D2583" s="2" t="s">
        <v>7596</v>
      </c>
      <c r="E2583" s="2" t="str">
        <f aca="false">LEFT(C2583,3)</f>
        <v>731</v>
      </c>
      <c r="F2583" s="2" t="str">
        <f aca="false">IF(D2583="","",LEFT(D2583,3))</f>
        <v>731</v>
      </c>
      <c r="G2583" s="2" t="str">
        <f aca="false">IF(F2583="","",IF(E2583=F2583,"Yes","No"))</f>
        <v>Yes</v>
      </c>
      <c r="H2583" s="2" t="n">
        <f aca="false">IF(D2583="",0,1/COUNTIF($D$2:$D$3451,D2583))</f>
        <v>1</v>
      </c>
      <c r="I2583" s="13" t="n">
        <f aca="false">IFERROR(INDEX('NCO-2015 scores'!$C$2:$C$131,MATCH(E2583,'NCO-2015 scores'!$A$2:$A$131,0)),0)</f>
        <v>0.1688</v>
      </c>
      <c r="J2583" s="13" t="n">
        <f aca="false">IF(ISNUMBER(MATCH(E2583,'NCO-2015 scores'!$A$2:$A$131,0)),IF(ISNUMBER(INDEX('NCO-2015 scores'!$C$2:$C$131,MATCH(E2583,'NCO-2015 scores'!$A$2:$A$131,0))),1,0),0)</f>
        <v>1</v>
      </c>
    </row>
    <row r="2584" customFormat="false" ht="15" hidden="false" customHeight="false" outlineLevel="0" collapsed="false">
      <c r="A2584" s="2" t="n">
        <v>2580</v>
      </c>
      <c r="B2584" s="2" t="s">
        <v>7597</v>
      </c>
      <c r="C2584" s="2" t="s">
        <v>7598</v>
      </c>
      <c r="D2584" s="2" t="s">
        <v>7599</v>
      </c>
      <c r="E2584" s="2" t="str">
        <f aca="false">LEFT(C2584,3)</f>
        <v>731</v>
      </c>
      <c r="F2584" s="2" t="str">
        <f aca="false">IF(D2584="","",LEFT(D2584,3))</f>
        <v>731</v>
      </c>
      <c r="G2584" s="2" t="str">
        <f aca="false">IF(F2584="","",IF(E2584=F2584,"Yes","No"))</f>
        <v>Yes</v>
      </c>
      <c r="H2584" s="2" t="n">
        <f aca="false">IF(D2584="",0,1/COUNTIF($D$2:$D$3451,D2584))</f>
        <v>1</v>
      </c>
      <c r="I2584" s="13" t="n">
        <f aca="false">IFERROR(INDEX('NCO-2015 scores'!$C$2:$C$131,MATCH(E2584,'NCO-2015 scores'!$A$2:$A$131,0)),0)</f>
        <v>0.1688</v>
      </c>
      <c r="J2584" s="13" t="n">
        <f aca="false">IF(ISNUMBER(MATCH(E2584,'NCO-2015 scores'!$A$2:$A$131,0)),IF(ISNUMBER(INDEX('NCO-2015 scores'!$C$2:$C$131,MATCH(E2584,'NCO-2015 scores'!$A$2:$A$131,0))),1,0),0)</f>
        <v>1</v>
      </c>
    </row>
    <row r="2585" customFormat="false" ht="15" hidden="false" customHeight="false" outlineLevel="0" collapsed="false">
      <c r="A2585" s="2" t="n">
        <v>2581</v>
      </c>
      <c r="B2585" s="2" t="s">
        <v>7600</v>
      </c>
      <c r="C2585" s="2" t="s">
        <v>7601</v>
      </c>
      <c r="D2585" s="2" t="s">
        <v>7602</v>
      </c>
      <c r="E2585" s="2" t="str">
        <f aca="false">LEFT(C2585,3)</f>
        <v>731</v>
      </c>
      <c r="F2585" s="2" t="str">
        <f aca="false">IF(D2585="","",LEFT(D2585,3))</f>
        <v>731</v>
      </c>
      <c r="G2585" s="2" t="str">
        <f aca="false">IF(F2585="","",IF(E2585=F2585,"Yes","No"))</f>
        <v>Yes</v>
      </c>
      <c r="H2585" s="2" t="n">
        <f aca="false">IF(D2585="",0,1/COUNTIF($D$2:$D$3451,D2585))</f>
        <v>1</v>
      </c>
      <c r="I2585" s="13" t="n">
        <f aca="false">IFERROR(INDEX('NCO-2015 scores'!$C$2:$C$131,MATCH(E2585,'NCO-2015 scores'!$A$2:$A$131,0)),0)</f>
        <v>0.1688</v>
      </c>
      <c r="J2585" s="13" t="n">
        <f aca="false">IF(ISNUMBER(MATCH(E2585,'NCO-2015 scores'!$A$2:$A$131,0)),IF(ISNUMBER(INDEX('NCO-2015 scores'!$C$2:$C$131,MATCH(E2585,'NCO-2015 scores'!$A$2:$A$131,0))),1,0),0)</f>
        <v>1</v>
      </c>
    </row>
    <row r="2586" customFormat="false" ht="15" hidden="false" customHeight="false" outlineLevel="0" collapsed="false">
      <c r="A2586" s="2" t="n">
        <v>2582</v>
      </c>
      <c r="B2586" s="2" t="s">
        <v>7603</v>
      </c>
      <c r="C2586" s="2" t="s">
        <v>7604</v>
      </c>
      <c r="D2586" s="2" t="s">
        <v>7605</v>
      </c>
      <c r="E2586" s="2" t="str">
        <f aca="false">LEFT(C2586,3)</f>
        <v>731</v>
      </c>
      <c r="F2586" s="2" t="str">
        <f aca="false">IF(D2586="","",LEFT(D2586,3))</f>
        <v>731</v>
      </c>
      <c r="G2586" s="2" t="str">
        <f aca="false">IF(F2586="","",IF(E2586=F2586,"Yes","No"))</f>
        <v>Yes</v>
      </c>
      <c r="H2586" s="2" t="n">
        <f aca="false">IF(D2586="",0,1/COUNTIF($D$2:$D$3451,D2586))</f>
        <v>1</v>
      </c>
      <c r="I2586" s="13" t="n">
        <f aca="false">IFERROR(INDEX('NCO-2015 scores'!$C$2:$C$131,MATCH(E2586,'NCO-2015 scores'!$A$2:$A$131,0)),0)</f>
        <v>0.1688</v>
      </c>
      <c r="J2586" s="13" t="n">
        <f aca="false">IF(ISNUMBER(MATCH(E2586,'NCO-2015 scores'!$A$2:$A$131,0)),IF(ISNUMBER(INDEX('NCO-2015 scores'!$C$2:$C$131,MATCH(E2586,'NCO-2015 scores'!$A$2:$A$131,0))),1,0),0)</f>
        <v>1</v>
      </c>
    </row>
    <row r="2587" customFormat="false" ht="15" hidden="false" customHeight="false" outlineLevel="0" collapsed="false">
      <c r="A2587" s="2" t="n">
        <v>2583</v>
      </c>
      <c r="B2587" s="2" t="s">
        <v>7606</v>
      </c>
      <c r="C2587" s="2" t="s">
        <v>7607</v>
      </c>
      <c r="D2587" s="2" t="s">
        <v>7608</v>
      </c>
      <c r="E2587" s="2" t="str">
        <f aca="false">LEFT(C2587,3)</f>
        <v>234</v>
      </c>
      <c r="F2587" s="2" t="str">
        <f aca="false">IF(D2587="","",LEFT(D2587,3))</f>
        <v>331</v>
      </c>
      <c r="G2587" s="2" t="str">
        <f aca="false">IF(F2587="","",IF(E2587=F2587,"Yes","No"))</f>
        <v>No</v>
      </c>
      <c r="H2587" s="2" t="n">
        <f aca="false">IF(D2587="",0,1/COUNTIF($D$2:$D$3451,D2587))</f>
        <v>1</v>
      </c>
      <c r="I2587" s="13" t="n">
        <f aca="false">IFERROR(INDEX('NCO-2015 scores'!$C$2:$C$131,MATCH(E2587,'NCO-2015 scores'!$A$2:$A$131,0)),0)</f>
        <v>0.235</v>
      </c>
      <c r="J2587" s="13" t="n">
        <f aca="false">IF(ISNUMBER(MATCH(E2587,'NCO-2015 scores'!$A$2:$A$131,0)),IF(ISNUMBER(INDEX('NCO-2015 scores'!$C$2:$C$131,MATCH(E2587,'NCO-2015 scores'!$A$2:$A$131,0))),1,0),0)</f>
        <v>1</v>
      </c>
    </row>
    <row r="2588" customFormat="false" ht="15" hidden="false" customHeight="false" outlineLevel="0" collapsed="false">
      <c r="A2588" s="2" t="n">
        <v>2584</v>
      </c>
      <c r="B2588" s="2" t="s">
        <v>7609</v>
      </c>
      <c r="C2588" s="2" t="s">
        <v>7610</v>
      </c>
      <c r="D2588" s="2" t="s">
        <v>7611</v>
      </c>
      <c r="E2588" s="2" t="str">
        <f aca="false">LEFT(C2588,3)</f>
        <v>234</v>
      </c>
      <c r="F2588" s="2" t="str">
        <f aca="false">IF(D2588="","",LEFT(D2588,3))</f>
        <v>331</v>
      </c>
      <c r="G2588" s="2" t="str">
        <f aca="false">IF(F2588="","",IF(E2588=F2588,"Yes","No"))</f>
        <v>No</v>
      </c>
      <c r="H2588" s="2" t="n">
        <f aca="false">IF(D2588="",0,1/COUNTIF($D$2:$D$3451,D2588))</f>
        <v>1</v>
      </c>
      <c r="I2588" s="13" t="n">
        <f aca="false">IFERROR(INDEX('NCO-2015 scores'!$C$2:$C$131,MATCH(E2588,'NCO-2015 scores'!$A$2:$A$131,0)),0)</f>
        <v>0.235</v>
      </c>
      <c r="J2588" s="13" t="n">
        <f aca="false">IF(ISNUMBER(MATCH(E2588,'NCO-2015 scores'!$A$2:$A$131,0)),IF(ISNUMBER(INDEX('NCO-2015 scores'!$C$2:$C$131,MATCH(E2588,'NCO-2015 scores'!$A$2:$A$131,0))),1,0),0)</f>
        <v>1</v>
      </c>
    </row>
    <row r="2589" customFormat="false" ht="15" hidden="false" customHeight="false" outlineLevel="0" collapsed="false">
      <c r="A2589" s="2" t="n">
        <v>2585</v>
      </c>
      <c r="B2589" s="2" t="s">
        <v>7612</v>
      </c>
      <c r="C2589" s="2" t="s">
        <v>7613</v>
      </c>
      <c r="D2589" s="2" t="s">
        <v>7614</v>
      </c>
      <c r="E2589" s="2" t="str">
        <f aca="false">LEFT(C2589,3)</f>
        <v>234</v>
      </c>
      <c r="F2589" s="2" t="str">
        <f aca="false">IF(D2589="","",LEFT(D2589,3))</f>
        <v>331</v>
      </c>
      <c r="G2589" s="2" t="str">
        <f aca="false">IF(F2589="","",IF(E2589=F2589,"Yes","No"))</f>
        <v>No</v>
      </c>
      <c r="H2589" s="2" t="n">
        <f aca="false">IF(D2589="",0,1/COUNTIF($D$2:$D$3451,D2589))</f>
        <v>1</v>
      </c>
      <c r="I2589" s="13" t="n">
        <f aca="false">IFERROR(INDEX('NCO-2015 scores'!$C$2:$C$131,MATCH(E2589,'NCO-2015 scores'!$A$2:$A$131,0)),0)</f>
        <v>0.235</v>
      </c>
      <c r="J2589" s="13" t="n">
        <f aca="false">IF(ISNUMBER(MATCH(E2589,'NCO-2015 scores'!$A$2:$A$131,0)),IF(ISNUMBER(INDEX('NCO-2015 scores'!$C$2:$C$131,MATCH(E2589,'NCO-2015 scores'!$A$2:$A$131,0))),1,0),0)</f>
        <v>1</v>
      </c>
    </row>
    <row r="2590" customFormat="false" ht="15" hidden="false" customHeight="false" outlineLevel="0" collapsed="false">
      <c r="A2590" s="2" t="n">
        <v>2586</v>
      </c>
      <c r="B2590" s="2" t="s">
        <v>7615</v>
      </c>
      <c r="C2590" s="2" t="s">
        <v>7616</v>
      </c>
      <c r="D2590" s="2" t="s">
        <v>7617</v>
      </c>
      <c r="E2590" s="2" t="str">
        <f aca="false">LEFT(C2590,3)</f>
        <v>234</v>
      </c>
      <c r="F2590" s="2" t="str">
        <f aca="false">IF(D2590="","",LEFT(D2590,3))</f>
        <v>331</v>
      </c>
      <c r="G2590" s="2" t="str">
        <f aca="false">IF(F2590="","",IF(E2590=F2590,"Yes","No"))</f>
        <v>No</v>
      </c>
      <c r="H2590" s="2" t="n">
        <f aca="false">IF(D2590="",0,1/COUNTIF($D$2:$D$3451,D2590))</f>
        <v>1</v>
      </c>
      <c r="I2590" s="13" t="n">
        <f aca="false">IFERROR(INDEX('NCO-2015 scores'!$C$2:$C$131,MATCH(E2590,'NCO-2015 scores'!$A$2:$A$131,0)),0)</f>
        <v>0.235</v>
      </c>
      <c r="J2590" s="13" t="n">
        <f aca="false">IF(ISNUMBER(MATCH(E2590,'NCO-2015 scores'!$A$2:$A$131,0)),IF(ISNUMBER(INDEX('NCO-2015 scores'!$C$2:$C$131,MATCH(E2590,'NCO-2015 scores'!$A$2:$A$131,0))),1,0),0)</f>
        <v>1</v>
      </c>
    </row>
    <row r="2591" customFormat="false" ht="15" hidden="false" customHeight="false" outlineLevel="0" collapsed="false">
      <c r="A2591" s="2" t="n">
        <v>2587</v>
      </c>
      <c r="B2591" s="2" t="s">
        <v>7618</v>
      </c>
      <c r="C2591" s="2" t="s">
        <v>7619</v>
      </c>
      <c r="D2591" s="2" t="s">
        <v>7620</v>
      </c>
      <c r="E2591" s="2" t="str">
        <f aca="false">LEFT(C2591,3)</f>
        <v>732</v>
      </c>
      <c r="F2591" s="2" t="str">
        <f aca="false">IF(D2591="","",LEFT(D2591,3))</f>
        <v>734</v>
      </c>
      <c r="G2591" s="2" t="str">
        <f aca="false">IF(F2591="","",IF(E2591=F2591,"Yes","No"))</f>
        <v>No</v>
      </c>
      <c r="H2591" s="2" t="n">
        <f aca="false">IF(D2591="",0,1/COUNTIF($D$2:$D$3451,D2591))</f>
        <v>1</v>
      </c>
      <c r="I2591" s="13" t="n">
        <f aca="false">IFERROR(INDEX('NCO-2015 scores'!$C$2:$C$131,MATCH(E2591,'NCO-2015 scores'!$A$2:$A$131,0)),0)</f>
        <v>0.2833</v>
      </c>
      <c r="J2591" s="13" t="n">
        <f aca="false">IF(ISNUMBER(MATCH(E2591,'NCO-2015 scores'!$A$2:$A$131,0)),IF(ISNUMBER(INDEX('NCO-2015 scores'!$C$2:$C$131,MATCH(E2591,'NCO-2015 scores'!$A$2:$A$131,0))),1,0),0)</f>
        <v>1</v>
      </c>
    </row>
    <row r="2592" customFormat="false" ht="15" hidden="false" customHeight="false" outlineLevel="0" collapsed="false">
      <c r="A2592" s="2" t="n">
        <v>2588</v>
      </c>
      <c r="B2592" s="2" t="s">
        <v>7621</v>
      </c>
      <c r="C2592" s="2" t="s">
        <v>7622</v>
      </c>
      <c r="D2592" s="2" t="s">
        <v>7623</v>
      </c>
      <c r="E2592" s="2" t="str">
        <f aca="false">LEFT(C2592,3)</f>
        <v>732</v>
      </c>
      <c r="F2592" s="2" t="str">
        <f aca="false">IF(D2592="","",LEFT(D2592,3))</f>
        <v>734</v>
      </c>
      <c r="G2592" s="2" t="str">
        <f aca="false">IF(F2592="","",IF(E2592=F2592,"Yes","No"))</f>
        <v>No</v>
      </c>
      <c r="H2592" s="2" t="n">
        <f aca="false">IF(D2592="",0,1/COUNTIF($D$2:$D$3451,D2592))</f>
        <v>1</v>
      </c>
      <c r="I2592" s="13" t="n">
        <f aca="false">IFERROR(INDEX('NCO-2015 scores'!$C$2:$C$131,MATCH(E2592,'NCO-2015 scores'!$A$2:$A$131,0)),0)</f>
        <v>0.2833</v>
      </c>
      <c r="J2592" s="13" t="n">
        <f aca="false">IF(ISNUMBER(MATCH(E2592,'NCO-2015 scores'!$A$2:$A$131,0)),IF(ISNUMBER(INDEX('NCO-2015 scores'!$C$2:$C$131,MATCH(E2592,'NCO-2015 scores'!$A$2:$A$131,0))),1,0),0)</f>
        <v>1</v>
      </c>
    </row>
    <row r="2593" customFormat="false" ht="15" hidden="false" customHeight="false" outlineLevel="0" collapsed="false">
      <c r="A2593" s="2" t="n">
        <v>2589</v>
      </c>
      <c r="B2593" s="2" t="s">
        <v>7624</v>
      </c>
      <c r="C2593" s="2" t="s">
        <v>7625</v>
      </c>
      <c r="D2593" s="2" t="s">
        <v>7626</v>
      </c>
      <c r="E2593" s="2" t="str">
        <f aca="false">LEFT(C2593,3)</f>
        <v>732</v>
      </c>
      <c r="F2593" s="2" t="str">
        <f aca="false">IF(D2593="","",LEFT(D2593,3))</f>
        <v>734</v>
      </c>
      <c r="G2593" s="2" t="str">
        <f aca="false">IF(F2593="","",IF(E2593=F2593,"Yes","No"))</f>
        <v>No</v>
      </c>
      <c r="H2593" s="2" t="n">
        <f aca="false">IF(D2593="",0,1/COUNTIF($D$2:$D$3451,D2593))</f>
        <v>1</v>
      </c>
      <c r="I2593" s="13" t="n">
        <f aca="false">IFERROR(INDEX('NCO-2015 scores'!$C$2:$C$131,MATCH(E2593,'NCO-2015 scores'!$A$2:$A$131,0)),0)</f>
        <v>0.2833</v>
      </c>
      <c r="J2593" s="13" t="n">
        <f aca="false">IF(ISNUMBER(MATCH(E2593,'NCO-2015 scores'!$A$2:$A$131,0)),IF(ISNUMBER(INDEX('NCO-2015 scores'!$C$2:$C$131,MATCH(E2593,'NCO-2015 scores'!$A$2:$A$131,0))),1,0),0)</f>
        <v>1</v>
      </c>
    </row>
    <row r="2594" customFormat="false" ht="15" hidden="false" customHeight="false" outlineLevel="0" collapsed="false">
      <c r="A2594" s="2" t="n">
        <v>2590</v>
      </c>
      <c r="B2594" s="2" t="s">
        <v>7627</v>
      </c>
      <c r="C2594" s="2" t="s">
        <v>7628</v>
      </c>
      <c r="D2594" s="2" t="s">
        <v>7629</v>
      </c>
      <c r="E2594" s="2" t="str">
        <f aca="false">LEFT(C2594,3)</f>
        <v>732</v>
      </c>
      <c r="F2594" s="2" t="str">
        <f aca="false">IF(D2594="","",LEFT(D2594,3))</f>
        <v>734</v>
      </c>
      <c r="G2594" s="2" t="str">
        <f aca="false">IF(F2594="","",IF(E2594=F2594,"Yes","No"))</f>
        <v>No</v>
      </c>
      <c r="H2594" s="2" t="n">
        <f aca="false">IF(D2594="",0,1/COUNTIF($D$2:$D$3451,D2594))</f>
        <v>1</v>
      </c>
      <c r="I2594" s="13" t="n">
        <f aca="false">IFERROR(INDEX('NCO-2015 scores'!$C$2:$C$131,MATCH(E2594,'NCO-2015 scores'!$A$2:$A$131,0)),0)</f>
        <v>0.2833</v>
      </c>
      <c r="J2594" s="13" t="n">
        <f aca="false">IF(ISNUMBER(MATCH(E2594,'NCO-2015 scores'!$A$2:$A$131,0)),IF(ISNUMBER(INDEX('NCO-2015 scores'!$C$2:$C$131,MATCH(E2594,'NCO-2015 scores'!$A$2:$A$131,0))),1,0),0)</f>
        <v>1</v>
      </c>
    </row>
    <row r="2595" customFormat="false" ht="15" hidden="false" customHeight="false" outlineLevel="0" collapsed="false">
      <c r="A2595" s="2" t="n">
        <v>2591</v>
      </c>
      <c r="B2595" s="2" t="s">
        <v>7630</v>
      </c>
      <c r="C2595" s="2" t="s">
        <v>7631</v>
      </c>
      <c r="D2595" s="2" t="s">
        <v>7632</v>
      </c>
      <c r="E2595" s="2" t="str">
        <f aca="false">LEFT(C2595,3)</f>
        <v>732</v>
      </c>
      <c r="F2595" s="2" t="str">
        <f aca="false">IF(D2595="","",LEFT(D2595,3))</f>
        <v>734</v>
      </c>
      <c r="G2595" s="2" t="str">
        <f aca="false">IF(F2595="","",IF(E2595=F2595,"Yes","No"))</f>
        <v>No</v>
      </c>
      <c r="H2595" s="2" t="n">
        <f aca="false">IF(D2595="",0,1/COUNTIF($D$2:$D$3451,D2595))</f>
        <v>1</v>
      </c>
      <c r="I2595" s="13" t="n">
        <f aca="false">IFERROR(INDEX('NCO-2015 scores'!$C$2:$C$131,MATCH(E2595,'NCO-2015 scores'!$A$2:$A$131,0)),0)</f>
        <v>0.2833</v>
      </c>
      <c r="J2595" s="13" t="n">
        <f aca="false">IF(ISNUMBER(MATCH(E2595,'NCO-2015 scores'!$A$2:$A$131,0)),IF(ISNUMBER(INDEX('NCO-2015 scores'!$C$2:$C$131,MATCH(E2595,'NCO-2015 scores'!$A$2:$A$131,0))),1,0),0)</f>
        <v>1</v>
      </c>
    </row>
    <row r="2596" customFormat="false" ht="15" hidden="false" customHeight="false" outlineLevel="0" collapsed="false">
      <c r="A2596" s="2" t="n">
        <v>2592</v>
      </c>
      <c r="B2596" s="2" t="s">
        <v>7633</v>
      </c>
      <c r="C2596" s="2" t="s">
        <v>7634</v>
      </c>
      <c r="D2596" s="2" t="s">
        <v>7635</v>
      </c>
      <c r="E2596" s="2" t="str">
        <f aca="false">LEFT(C2596,3)</f>
        <v>732</v>
      </c>
      <c r="F2596" s="2" t="str">
        <f aca="false">IF(D2596="","",LEFT(D2596,3))</f>
        <v>734</v>
      </c>
      <c r="G2596" s="2" t="str">
        <f aca="false">IF(F2596="","",IF(E2596=F2596,"Yes","No"))</f>
        <v>No</v>
      </c>
      <c r="H2596" s="2" t="n">
        <f aca="false">IF(D2596="",0,1/COUNTIF($D$2:$D$3451,D2596))</f>
        <v>1</v>
      </c>
      <c r="I2596" s="13" t="n">
        <f aca="false">IFERROR(INDEX('NCO-2015 scores'!$C$2:$C$131,MATCH(E2596,'NCO-2015 scores'!$A$2:$A$131,0)),0)</f>
        <v>0.2833</v>
      </c>
      <c r="J2596" s="13" t="n">
        <f aca="false">IF(ISNUMBER(MATCH(E2596,'NCO-2015 scores'!$A$2:$A$131,0)),IF(ISNUMBER(INDEX('NCO-2015 scores'!$C$2:$C$131,MATCH(E2596,'NCO-2015 scores'!$A$2:$A$131,0))),1,0),0)</f>
        <v>1</v>
      </c>
    </row>
    <row r="2597" customFormat="false" ht="15" hidden="false" customHeight="false" outlineLevel="0" collapsed="false">
      <c r="A2597" s="2" t="n">
        <v>2593</v>
      </c>
      <c r="B2597" s="2" t="s">
        <v>7636</v>
      </c>
      <c r="C2597" s="2" t="s">
        <v>7637</v>
      </c>
      <c r="D2597" s="2" t="s">
        <v>7638</v>
      </c>
      <c r="E2597" s="2" t="str">
        <f aca="false">LEFT(C2597,3)</f>
        <v>732</v>
      </c>
      <c r="F2597" s="2" t="str">
        <f aca="false">IF(D2597="","",LEFT(D2597,3))</f>
        <v>734</v>
      </c>
      <c r="G2597" s="2" t="str">
        <f aca="false">IF(F2597="","",IF(E2597=F2597,"Yes","No"))</f>
        <v>No</v>
      </c>
      <c r="H2597" s="2" t="n">
        <f aca="false">IF(D2597="",0,1/COUNTIF($D$2:$D$3451,D2597))</f>
        <v>1</v>
      </c>
      <c r="I2597" s="13" t="n">
        <f aca="false">IFERROR(INDEX('NCO-2015 scores'!$C$2:$C$131,MATCH(E2597,'NCO-2015 scores'!$A$2:$A$131,0)),0)</f>
        <v>0.2833</v>
      </c>
      <c r="J2597" s="13" t="n">
        <f aca="false">IF(ISNUMBER(MATCH(E2597,'NCO-2015 scores'!$A$2:$A$131,0)),IF(ISNUMBER(INDEX('NCO-2015 scores'!$C$2:$C$131,MATCH(E2597,'NCO-2015 scores'!$A$2:$A$131,0))),1,0),0)</f>
        <v>1</v>
      </c>
    </row>
    <row r="2598" customFormat="false" ht="15" hidden="false" customHeight="false" outlineLevel="0" collapsed="false">
      <c r="A2598" s="2" t="n">
        <v>2594</v>
      </c>
      <c r="B2598" s="2" t="s">
        <v>7639</v>
      </c>
      <c r="C2598" s="2" t="s">
        <v>7640</v>
      </c>
      <c r="D2598" s="2" t="s">
        <v>7641</v>
      </c>
      <c r="E2598" s="2" t="str">
        <f aca="false">LEFT(C2598,3)</f>
        <v>732</v>
      </c>
      <c r="F2598" s="2" t="str">
        <f aca="false">IF(D2598="","",LEFT(D2598,3))</f>
        <v>734</v>
      </c>
      <c r="G2598" s="2" t="str">
        <f aca="false">IF(F2598="","",IF(E2598=F2598,"Yes","No"))</f>
        <v>No</v>
      </c>
      <c r="H2598" s="2" t="n">
        <f aca="false">IF(D2598="",0,1/COUNTIF($D$2:$D$3451,D2598))</f>
        <v>1</v>
      </c>
      <c r="I2598" s="13" t="n">
        <f aca="false">IFERROR(INDEX('NCO-2015 scores'!$C$2:$C$131,MATCH(E2598,'NCO-2015 scores'!$A$2:$A$131,0)),0)</f>
        <v>0.2833</v>
      </c>
      <c r="J2598" s="13" t="n">
        <f aca="false">IF(ISNUMBER(MATCH(E2598,'NCO-2015 scores'!$A$2:$A$131,0)),IF(ISNUMBER(INDEX('NCO-2015 scores'!$C$2:$C$131,MATCH(E2598,'NCO-2015 scores'!$A$2:$A$131,0))),1,0),0)</f>
        <v>1</v>
      </c>
    </row>
    <row r="2599" customFormat="false" ht="15" hidden="false" customHeight="false" outlineLevel="0" collapsed="false">
      <c r="A2599" s="2" t="n">
        <v>2595</v>
      </c>
      <c r="B2599" s="2" t="s">
        <v>7642</v>
      </c>
      <c r="C2599" s="2" t="s">
        <v>7643</v>
      </c>
      <c r="D2599" s="2" t="s">
        <v>7644</v>
      </c>
      <c r="E2599" s="2" t="str">
        <f aca="false">LEFT(C2599,3)</f>
        <v>732</v>
      </c>
      <c r="F2599" s="2" t="str">
        <f aca="false">IF(D2599="","",LEFT(D2599,3))</f>
        <v>734</v>
      </c>
      <c r="G2599" s="2" t="str">
        <f aca="false">IF(F2599="","",IF(E2599=F2599,"Yes","No"))</f>
        <v>No</v>
      </c>
      <c r="H2599" s="2" t="n">
        <f aca="false">IF(D2599="",0,1/COUNTIF($D$2:$D$3451,D2599))</f>
        <v>1</v>
      </c>
      <c r="I2599" s="13" t="n">
        <f aca="false">IFERROR(INDEX('NCO-2015 scores'!$C$2:$C$131,MATCH(E2599,'NCO-2015 scores'!$A$2:$A$131,0)),0)</f>
        <v>0.2833</v>
      </c>
      <c r="J2599" s="13" t="n">
        <f aca="false">IF(ISNUMBER(MATCH(E2599,'NCO-2015 scores'!$A$2:$A$131,0)),IF(ISNUMBER(INDEX('NCO-2015 scores'!$C$2:$C$131,MATCH(E2599,'NCO-2015 scores'!$A$2:$A$131,0))),1,0),0)</f>
        <v>1</v>
      </c>
    </row>
    <row r="2600" customFormat="false" ht="15" hidden="false" customHeight="false" outlineLevel="0" collapsed="false">
      <c r="A2600" s="2" t="n">
        <v>2596</v>
      </c>
      <c r="B2600" s="2" t="s">
        <v>7645</v>
      </c>
      <c r="C2600" s="2" t="s">
        <v>7646</v>
      </c>
      <c r="D2600" s="2" t="s">
        <v>7647</v>
      </c>
      <c r="E2600" s="2" t="str">
        <f aca="false">LEFT(C2600,3)</f>
        <v>732</v>
      </c>
      <c r="F2600" s="2" t="str">
        <f aca="false">IF(D2600="","",LEFT(D2600,3))</f>
        <v>734</v>
      </c>
      <c r="G2600" s="2" t="str">
        <f aca="false">IF(F2600="","",IF(E2600=F2600,"Yes","No"))</f>
        <v>No</v>
      </c>
      <c r="H2600" s="2" t="n">
        <f aca="false">IF(D2600="",0,1/COUNTIF($D$2:$D$3451,D2600))</f>
        <v>1</v>
      </c>
      <c r="I2600" s="13" t="n">
        <f aca="false">IFERROR(INDEX('NCO-2015 scores'!$C$2:$C$131,MATCH(E2600,'NCO-2015 scores'!$A$2:$A$131,0)),0)</f>
        <v>0.2833</v>
      </c>
      <c r="J2600" s="13" t="n">
        <f aca="false">IF(ISNUMBER(MATCH(E2600,'NCO-2015 scores'!$A$2:$A$131,0)),IF(ISNUMBER(INDEX('NCO-2015 scores'!$C$2:$C$131,MATCH(E2600,'NCO-2015 scores'!$A$2:$A$131,0))),1,0),0)</f>
        <v>1</v>
      </c>
    </row>
    <row r="2601" customFormat="false" ht="15" hidden="false" customHeight="false" outlineLevel="0" collapsed="false">
      <c r="A2601" s="2" t="n">
        <v>2597</v>
      </c>
      <c r="B2601" s="2" t="s">
        <v>7648</v>
      </c>
      <c r="C2601" s="2" t="s">
        <v>7649</v>
      </c>
      <c r="D2601" s="2" t="s">
        <v>7650</v>
      </c>
      <c r="E2601" s="2" t="str">
        <f aca="false">LEFT(C2601,3)</f>
        <v>732</v>
      </c>
      <c r="F2601" s="2" t="str">
        <f aca="false">IF(D2601="","",LEFT(D2601,3))</f>
        <v>734</v>
      </c>
      <c r="G2601" s="2" t="str">
        <f aca="false">IF(F2601="","",IF(E2601=F2601,"Yes","No"))</f>
        <v>No</v>
      </c>
      <c r="H2601" s="2" t="n">
        <f aca="false">IF(D2601="",0,1/COUNTIF($D$2:$D$3451,D2601))</f>
        <v>1</v>
      </c>
      <c r="I2601" s="13" t="n">
        <f aca="false">IFERROR(INDEX('NCO-2015 scores'!$C$2:$C$131,MATCH(E2601,'NCO-2015 scores'!$A$2:$A$131,0)),0)</f>
        <v>0.2833</v>
      </c>
      <c r="J2601" s="13" t="n">
        <f aca="false">IF(ISNUMBER(MATCH(E2601,'NCO-2015 scores'!$A$2:$A$131,0)),IF(ISNUMBER(INDEX('NCO-2015 scores'!$C$2:$C$131,MATCH(E2601,'NCO-2015 scores'!$A$2:$A$131,0))),1,0),0)</f>
        <v>1</v>
      </c>
    </row>
    <row r="2602" customFormat="false" ht="15" hidden="false" customHeight="false" outlineLevel="0" collapsed="false">
      <c r="A2602" s="2" t="n">
        <v>2598</v>
      </c>
      <c r="B2602" s="2" t="s">
        <v>7651</v>
      </c>
      <c r="C2602" s="2" t="s">
        <v>7652</v>
      </c>
      <c r="D2602" s="2" t="s">
        <v>7653</v>
      </c>
      <c r="E2602" s="2" t="str">
        <f aca="false">LEFT(C2602,3)</f>
        <v>732</v>
      </c>
      <c r="F2602" s="2" t="str">
        <f aca="false">IF(D2602="","",LEFT(D2602,3))</f>
        <v>734</v>
      </c>
      <c r="G2602" s="2" t="str">
        <f aca="false">IF(F2602="","",IF(E2602=F2602,"Yes","No"))</f>
        <v>No</v>
      </c>
      <c r="H2602" s="2" t="n">
        <f aca="false">IF(D2602="",0,1/COUNTIF($D$2:$D$3451,D2602))</f>
        <v>1</v>
      </c>
      <c r="I2602" s="13" t="n">
        <f aca="false">IFERROR(INDEX('NCO-2015 scores'!$C$2:$C$131,MATCH(E2602,'NCO-2015 scores'!$A$2:$A$131,0)),0)</f>
        <v>0.2833</v>
      </c>
      <c r="J2602" s="13" t="n">
        <f aca="false">IF(ISNUMBER(MATCH(E2602,'NCO-2015 scores'!$A$2:$A$131,0)),IF(ISNUMBER(INDEX('NCO-2015 scores'!$C$2:$C$131,MATCH(E2602,'NCO-2015 scores'!$A$2:$A$131,0))),1,0),0)</f>
        <v>1</v>
      </c>
    </row>
    <row r="2603" customFormat="false" ht="15" hidden="false" customHeight="false" outlineLevel="0" collapsed="false">
      <c r="A2603" s="2" t="n">
        <v>2599</v>
      </c>
      <c r="B2603" s="2" t="s">
        <v>7654</v>
      </c>
      <c r="C2603" s="2" t="s">
        <v>7655</v>
      </c>
      <c r="D2603" s="2" t="s">
        <v>7656</v>
      </c>
      <c r="E2603" s="2" t="str">
        <f aca="false">LEFT(C2603,3)</f>
        <v>732</v>
      </c>
      <c r="F2603" s="2" t="str">
        <f aca="false">IF(D2603="","",LEFT(D2603,3))</f>
        <v>734</v>
      </c>
      <c r="G2603" s="2" t="str">
        <f aca="false">IF(F2603="","",IF(E2603=F2603,"Yes","No"))</f>
        <v>No</v>
      </c>
      <c r="H2603" s="2" t="n">
        <f aca="false">IF(D2603="",0,1/COUNTIF($D$2:$D$3451,D2603))</f>
        <v>1</v>
      </c>
      <c r="I2603" s="13" t="n">
        <f aca="false">IFERROR(INDEX('NCO-2015 scores'!$C$2:$C$131,MATCH(E2603,'NCO-2015 scores'!$A$2:$A$131,0)),0)</f>
        <v>0.2833</v>
      </c>
      <c r="J2603" s="13" t="n">
        <f aca="false">IF(ISNUMBER(MATCH(E2603,'NCO-2015 scores'!$A$2:$A$131,0)),IF(ISNUMBER(INDEX('NCO-2015 scores'!$C$2:$C$131,MATCH(E2603,'NCO-2015 scores'!$A$2:$A$131,0))),1,0),0)</f>
        <v>1</v>
      </c>
    </row>
    <row r="2604" customFormat="false" ht="15" hidden="false" customHeight="false" outlineLevel="0" collapsed="false">
      <c r="A2604" s="2" t="n">
        <v>2600</v>
      </c>
      <c r="B2604" s="2" t="s">
        <v>7657</v>
      </c>
      <c r="C2604" s="2" t="s">
        <v>7658</v>
      </c>
      <c r="D2604" s="2" t="s">
        <v>7659</v>
      </c>
      <c r="E2604" s="2" t="str">
        <f aca="false">LEFT(C2604,3)</f>
        <v>732</v>
      </c>
      <c r="F2604" s="2" t="str">
        <f aca="false">IF(D2604="","",LEFT(D2604,3))</f>
        <v>734</v>
      </c>
      <c r="G2604" s="2" t="str">
        <f aca="false">IF(F2604="","",IF(E2604=F2604,"Yes","No"))</f>
        <v>No</v>
      </c>
      <c r="H2604" s="2" t="n">
        <f aca="false">IF(D2604="",0,1/COUNTIF($D$2:$D$3451,D2604))</f>
        <v>1</v>
      </c>
      <c r="I2604" s="13" t="n">
        <f aca="false">IFERROR(INDEX('NCO-2015 scores'!$C$2:$C$131,MATCH(E2604,'NCO-2015 scores'!$A$2:$A$131,0)),0)</f>
        <v>0.2833</v>
      </c>
      <c r="J2604" s="13" t="n">
        <f aca="false">IF(ISNUMBER(MATCH(E2604,'NCO-2015 scores'!$A$2:$A$131,0)),IF(ISNUMBER(INDEX('NCO-2015 scores'!$C$2:$C$131,MATCH(E2604,'NCO-2015 scores'!$A$2:$A$131,0))),1,0),0)</f>
        <v>1</v>
      </c>
    </row>
    <row r="2605" customFormat="false" ht="15" hidden="false" customHeight="false" outlineLevel="0" collapsed="false">
      <c r="A2605" s="2" t="n">
        <v>2601</v>
      </c>
      <c r="B2605" s="2" t="s">
        <v>7660</v>
      </c>
      <c r="C2605" s="2" t="s">
        <v>7661</v>
      </c>
      <c r="D2605" s="2" t="s">
        <v>7662</v>
      </c>
      <c r="E2605" s="2" t="str">
        <f aca="false">LEFT(C2605,3)</f>
        <v>732</v>
      </c>
      <c r="F2605" s="2" t="str">
        <f aca="false">IF(D2605="","",LEFT(D2605,3))</f>
        <v>825</v>
      </c>
      <c r="G2605" s="2" t="str">
        <f aca="false">IF(F2605="","",IF(E2605=F2605,"Yes","No"))</f>
        <v>No</v>
      </c>
      <c r="H2605" s="2" t="n">
        <f aca="false">IF(D2605="",0,1/COUNTIF($D$2:$D$3451,D2605))</f>
        <v>1</v>
      </c>
      <c r="I2605" s="13" t="n">
        <f aca="false">IFERROR(INDEX('NCO-2015 scores'!$C$2:$C$131,MATCH(E2605,'NCO-2015 scores'!$A$2:$A$131,0)),0)</f>
        <v>0.2833</v>
      </c>
      <c r="J2605" s="13" t="n">
        <f aca="false">IF(ISNUMBER(MATCH(E2605,'NCO-2015 scores'!$A$2:$A$131,0)),IF(ISNUMBER(INDEX('NCO-2015 scores'!$C$2:$C$131,MATCH(E2605,'NCO-2015 scores'!$A$2:$A$131,0))),1,0),0)</f>
        <v>1</v>
      </c>
    </row>
    <row r="2606" customFormat="false" ht="15" hidden="false" customHeight="false" outlineLevel="0" collapsed="false">
      <c r="A2606" s="2" t="n">
        <v>2602</v>
      </c>
      <c r="B2606" s="2" t="s">
        <v>7663</v>
      </c>
      <c r="C2606" s="2" t="s">
        <v>7664</v>
      </c>
      <c r="D2606" s="2" t="s">
        <v>7665</v>
      </c>
      <c r="E2606" s="2" t="str">
        <f aca="false">LEFT(C2606,3)</f>
        <v>732</v>
      </c>
      <c r="F2606" s="2" t="str">
        <f aca="false">IF(D2606="","",LEFT(D2606,3))</f>
        <v>825</v>
      </c>
      <c r="G2606" s="2" t="str">
        <f aca="false">IF(F2606="","",IF(E2606=F2606,"Yes","No"))</f>
        <v>No</v>
      </c>
      <c r="H2606" s="2" t="n">
        <f aca="false">IF(D2606="",0,1/COUNTIF($D$2:$D$3451,D2606))</f>
        <v>1</v>
      </c>
      <c r="I2606" s="13" t="n">
        <f aca="false">IFERROR(INDEX('NCO-2015 scores'!$C$2:$C$131,MATCH(E2606,'NCO-2015 scores'!$A$2:$A$131,0)),0)</f>
        <v>0.2833</v>
      </c>
      <c r="J2606" s="13" t="n">
        <f aca="false">IF(ISNUMBER(MATCH(E2606,'NCO-2015 scores'!$A$2:$A$131,0)),IF(ISNUMBER(INDEX('NCO-2015 scores'!$C$2:$C$131,MATCH(E2606,'NCO-2015 scores'!$A$2:$A$131,0))),1,0),0)</f>
        <v>1</v>
      </c>
    </row>
    <row r="2607" customFormat="false" ht="15" hidden="false" customHeight="false" outlineLevel="0" collapsed="false">
      <c r="A2607" s="2" t="n">
        <v>2603</v>
      </c>
      <c r="B2607" s="2" t="s">
        <v>7666</v>
      </c>
      <c r="C2607" s="2" t="s">
        <v>7667</v>
      </c>
      <c r="D2607" s="2" t="s">
        <v>7668</v>
      </c>
      <c r="E2607" s="2" t="str">
        <f aca="false">LEFT(C2607,3)</f>
        <v>732</v>
      </c>
      <c r="F2607" s="2" t="str">
        <f aca="false">IF(D2607="","",LEFT(D2607,3))</f>
        <v>825</v>
      </c>
      <c r="G2607" s="2" t="str">
        <f aca="false">IF(F2607="","",IF(E2607=F2607,"Yes","No"))</f>
        <v>No</v>
      </c>
      <c r="H2607" s="2" t="n">
        <f aca="false">IF(D2607="",0,1/COUNTIF($D$2:$D$3451,D2607))</f>
        <v>1</v>
      </c>
      <c r="I2607" s="13" t="n">
        <f aca="false">IFERROR(INDEX('NCO-2015 scores'!$C$2:$C$131,MATCH(E2607,'NCO-2015 scores'!$A$2:$A$131,0)),0)</f>
        <v>0.2833</v>
      </c>
      <c r="J2607" s="13" t="n">
        <f aca="false">IF(ISNUMBER(MATCH(E2607,'NCO-2015 scores'!$A$2:$A$131,0)),IF(ISNUMBER(INDEX('NCO-2015 scores'!$C$2:$C$131,MATCH(E2607,'NCO-2015 scores'!$A$2:$A$131,0))),1,0),0)</f>
        <v>1</v>
      </c>
    </row>
    <row r="2608" customFormat="false" ht="15" hidden="false" customHeight="false" outlineLevel="0" collapsed="false">
      <c r="A2608" s="2" t="n">
        <v>2604</v>
      </c>
      <c r="B2608" s="2" t="s">
        <v>7669</v>
      </c>
      <c r="C2608" s="2" t="s">
        <v>7670</v>
      </c>
      <c r="D2608" s="2" t="s">
        <v>7671</v>
      </c>
      <c r="E2608" s="2" t="str">
        <f aca="false">LEFT(C2608,3)</f>
        <v>732</v>
      </c>
      <c r="F2608" s="2" t="str">
        <f aca="false">IF(D2608="","",LEFT(D2608,3))</f>
        <v>825</v>
      </c>
      <c r="G2608" s="2" t="str">
        <f aca="false">IF(F2608="","",IF(E2608=F2608,"Yes","No"))</f>
        <v>No</v>
      </c>
      <c r="H2608" s="2" t="n">
        <f aca="false">IF(D2608="",0,1/COUNTIF($D$2:$D$3451,D2608))</f>
        <v>1</v>
      </c>
      <c r="I2608" s="13" t="n">
        <f aca="false">IFERROR(INDEX('NCO-2015 scores'!$C$2:$C$131,MATCH(E2608,'NCO-2015 scores'!$A$2:$A$131,0)),0)</f>
        <v>0.2833</v>
      </c>
      <c r="J2608" s="13" t="n">
        <f aca="false">IF(ISNUMBER(MATCH(E2608,'NCO-2015 scores'!$A$2:$A$131,0)),IF(ISNUMBER(INDEX('NCO-2015 scores'!$C$2:$C$131,MATCH(E2608,'NCO-2015 scores'!$A$2:$A$131,0))),1,0),0)</f>
        <v>1</v>
      </c>
    </row>
    <row r="2609" customFormat="false" ht="15" hidden="false" customHeight="false" outlineLevel="0" collapsed="false">
      <c r="A2609" s="2" t="n">
        <v>2605</v>
      </c>
      <c r="B2609" s="2" t="s">
        <v>7672</v>
      </c>
      <c r="C2609" s="2" t="s">
        <v>7673</v>
      </c>
      <c r="D2609" s="2" t="s">
        <v>7674</v>
      </c>
      <c r="E2609" s="2" t="str">
        <f aca="false">LEFT(C2609,3)</f>
        <v>732</v>
      </c>
      <c r="F2609" s="2" t="str">
        <f aca="false">IF(D2609="","",LEFT(D2609,3))</f>
        <v>734</v>
      </c>
      <c r="G2609" s="2" t="str">
        <f aca="false">IF(F2609="","",IF(E2609=F2609,"Yes","No"))</f>
        <v>No</v>
      </c>
      <c r="H2609" s="2" t="n">
        <f aca="false">IF(D2609="",0,1/COUNTIF($D$2:$D$3451,D2609))</f>
        <v>1</v>
      </c>
      <c r="I2609" s="13" t="n">
        <f aca="false">IFERROR(INDEX('NCO-2015 scores'!$C$2:$C$131,MATCH(E2609,'NCO-2015 scores'!$A$2:$A$131,0)),0)</f>
        <v>0.2833</v>
      </c>
      <c r="J2609" s="13" t="n">
        <f aca="false">IF(ISNUMBER(MATCH(E2609,'NCO-2015 scores'!$A$2:$A$131,0)),IF(ISNUMBER(INDEX('NCO-2015 scores'!$C$2:$C$131,MATCH(E2609,'NCO-2015 scores'!$A$2:$A$131,0))),1,0),0)</f>
        <v>1</v>
      </c>
    </row>
    <row r="2610" customFormat="false" ht="15" hidden="false" customHeight="false" outlineLevel="0" collapsed="false">
      <c r="A2610" s="2" t="n">
        <v>2606</v>
      </c>
      <c r="B2610" s="2" t="s">
        <v>7675</v>
      </c>
      <c r="C2610" s="2" t="s">
        <v>7676</v>
      </c>
      <c r="D2610" s="2" t="s">
        <v>7677</v>
      </c>
      <c r="E2610" s="2" t="str">
        <f aca="false">LEFT(C2610,3)</f>
        <v>732</v>
      </c>
      <c r="F2610" s="2" t="str">
        <f aca="false">IF(D2610="","",LEFT(D2610,3))</f>
        <v>825</v>
      </c>
      <c r="G2610" s="2" t="str">
        <f aca="false">IF(F2610="","",IF(E2610=F2610,"Yes","No"))</f>
        <v>No</v>
      </c>
      <c r="H2610" s="2" t="n">
        <f aca="false">IF(D2610="",0,1/COUNTIF($D$2:$D$3451,D2610))</f>
        <v>1</v>
      </c>
      <c r="I2610" s="13" t="n">
        <f aca="false">IFERROR(INDEX('NCO-2015 scores'!$C$2:$C$131,MATCH(E2610,'NCO-2015 scores'!$A$2:$A$131,0)),0)</f>
        <v>0.2833</v>
      </c>
      <c r="J2610" s="13" t="n">
        <f aca="false">IF(ISNUMBER(MATCH(E2610,'NCO-2015 scores'!$A$2:$A$131,0)),IF(ISNUMBER(INDEX('NCO-2015 scores'!$C$2:$C$131,MATCH(E2610,'NCO-2015 scores'!$A$2:$A$131,0))),1,0),0)</f>
        <v>1</v>
      </c>
    </row>
    <row r="2611" customFormat="false" ht="15" hidden="false" customHeight="false" outlineLevel="0" collapsed="false">
      <c r="A2611" s="2" t="n">
        <v>2607</v>
      </c>
      <c r="B2611" s="2" t="s">
        <v>7678</v>
      </c>
      <c r="C2611" s="2" t="s">
        <v>7679</v>
      </c>
      <c r="D2611" s="2" t="s">
        <v>7680</v>
      </c>
      <c r="E2611" s="2" t="str">
        <f aca="false">LEFT(C2611,3)</f>
        <v>732</v>
      </c>
      <c r="F2611" s="2" t="str">
        <f aca="false">IF(D2611="","",LEFT(D2611,3))</f>
        <v>734</v>
      </c>
      <c r="G2611" s="2" t="str">
        <f aca="false">IF(F2611="","",IF(E2611=F2611,"Yes","No"))</f>
        <v>No</v>
      </c>
      <c r="H2611" s="2" t="n">
        <f aca="false">IF(D2611="",0,1/COUNTIF($D$2:$D$3451,D2611))</f>
        <v>1</v>
      </c>
      <c r="I2611" s="13" t="n">
        <f aca="false">IFERROR(INDEX('NCO-2015 scores'!$C$2:$C$131,MATCH(E2611,'NCO-2015 scores'!$A$2:$A$131,0)),0)</f>
        <v>0.2833</v>
      </c>
      <c r="J2611" s="13" t="n">
        <f aca="false">IF(ISNUMBER(MATCH(E2611,'NCO-2015 scores'!$A$2:$A$131,0)),IF(ISNUMBER(INDEX('NCO-2015 scores'!$C$2:$C$131,MATCH(E2611,'NCO-2015 scores'!$A$2:$A$131,0))),1,0),0)</f>
        <v>1</v>
      </c>
    </row>
    <row r="2612" customFormat="false" ht="15" hidden="false" customHeight="false" outlineLevel="0" collapsed="false">
      <c r="A2612" s="2" t="n">
        <v>2608</v>
      </c>
      <c r="B2612" s="2" t="s">
        <v>7681</v>
      </c>
      <c r="C2612" s="2" t="s">
        <v>7682</v>
      </c>
      <c r="D2612" s="2" t="s">
        <v>7683</v>
      </c>
      <c r="E2612" s="2" t="str">
        <f aca="false">LEFT(C2612,3)</f>
        <v>732</v>
      </c>
      <c r="F2612" s="2" t="str">
        <f aca="false">IF(D2612="","",LEFT(D2612,3))</f>
        <v>734</v>
      </c>
      <c r="G2612" s="2" t="str">
        <f aca="false">IF(F2612="","",IF(E2612=F2612,"Yes","No"))</f>
        <v>No</v>
      </c>
      <c r="H2612" s="2" t="n">
        <f aca="false">IF(D2612="",0,1/COUNTIF($D$2:$D$3451,D2612))</f>
        <v>1</v>
      </c>
      <c r="I2612" s="13" t="n">
        <f aca="false">IFERROR(INDEX('NCO-2015 scores'!$C$2:$C$131,MATCH(E2612,'NCO-2015 scores'!$A$2:$A$131,0)),0)</f>
        <v>0.2833</v>
      </c>
      <c r="J2612" s="13" t="n">
        <f aca="false">IF(ISNUMBER(MATCH(E2612,'NCO-2015 scores'!$A$2:$A$131,0)),IF(ISNUMBER(INDEX('NCO-2015 scores'!$C$2:$C$131,MATCH(E2612,'NCO-2015 scores'!$A$2:$A$131,0))),1,0),0)</f>
        <v>1</v>
      </c>
    </row>
    <row r="2613" customFormat="false" ht="15" hidden="false" customHeight="false" outlineLevel="0" collapsed="false">
      <c r="A2613" s="2" t="n">
        <v>2609</v>
      </c>
      <c r="B2613" s="2" t="s">
        <v>7684</v>
      </c>
      <c r="C2613" s="2" t="s">
        <v>7685</v>
      </c>
      <c r="D2613" s="2" t="s">
        <v>7686</v>
      </c>
      <c r="E2613" s="2" t="str">
        <f aca="false">LEFT(C2613,3)</f>
        <v>732</v>
      </c>
      <c r="F2613" s="2" t="str">
        <f aca="false">IF(D2613="","",LEFT(D2613,3))</f>
        <v>734</v>
      </c>
      <c r="G2613" s="2" t="str">
        <f aca="false">IF(F2613="","",IF(E2613=F2613,"Yes","No"))</f>
        <v>No</v>
      </c>
      <c r="H2613" s="2" t="n">
        <f aca="false">IF(D2613="",0,1/COUNTIF($D$2:$D$3451,D2613))</f>
        <v>1</v>
      </c>
      <c r="I2613" s="13" t="n">
        <f aca="false">IFERROR(INDEX('NCO-2015 scores'!$C$2:$C$131,MATCH(E2613,'NCO-2015 scores'!$A$2:$A$131,0)),0)</f>
        <v>0.2833</v>
      </c>
      <c r="J2613" s="13" t="n">
        <f aca="false">IF(ISNUMBER(MATCH(E2613,'NCO-2015 scores'!$A$2:$A$131,0)),IF(ISNUMBER(INDEX('NCO-2015 scores'!$C$2:$C$131,MATCH(E2613,'NCO-2015 scores'!$A$2:$A$131,0))),1,0),0)</f>
        <v>1</v>
      </c>
    </row>
    <row r="2614" customFormat="false" ht="15" hidden="false" customHeight="false" outlineLevel="0" collapsed="false">
      <c r="A2614" s="2" t="n">
        <v>2610</v>
      </c>
      <c r="B2614" s="2" t="s">
        <v>7687</v>
      </c>
      <c r="C2614" s="2" t="s">
        <v>7688</v>
      </c>
      <c r="D2614" s="2" t="s">
        <v>7689</v>
      </c>
      <c r="E2614" s="2" t="str">
        <f aca="false">LEFT(C2614,3)</f>
        <v>732</v>
      </c>
      <c r="F2614" s="2" t="str">
        <f aca="false">IF(D2614="","",LEFT(D2614,3))</f>
        <v>734</v>
      </c>
      <c r="G2614" s="2" t="str">
        <f aca="false">IF(F2614="","",IF(E2614=F2614,"Yes","No"))</f>
        <v>No</v>
      </c>
      <c r="H2614" s="2" t="n">
        <f aca="false">IF(D2614="",0,1/COUNTIF($D$2:$D$3451,D2614))</f>
        <v>1</v>
      </c>
      <c r="I2614" s="13" t="n">
        <f aca="false">IFERROR(INDEX('NCO-2015 scores'!$C$2:$C$131,MATCH(E2614,'NCO-2015 scores'!$A$2:$A$131,0)),0)</f>
        <v>0.2833</v>
      </c>
      <c r="J2614" s="13" t="n">
        <f aca="false">IF(ISNUMBER(MATCH(E2614,'NCO-2015 scores'!$A$2:$A$131,0)),IF(ISNUMBER(INDEX('NCO-2015 scores'!$C$2:$C$131,MATCH(E2614,'NCO-2015 scores'!$A$2:$A$131,0))),1,0),0)</f>
        <v>1</v>
      </c>
    </row>
    <row r="2615" customFormat="false" ht="15" hidden="false" customHeight="false" outlineLevel="0" collapsed="false">
      <c r="A2615" s="2" t="n">
        <v>2611</v>
      </c>
      <c r="B2615" s="2" t="s">
        <v>7690</v>
      </c>
      <c r="C2615" s="2" t="s">
        <v>7691</v>
      </c>
      <c r="D2615" s="2" t="s">
        <v>7692</v>
      </c>
      <c r="E2615" s="2" t="str">
        <f aca="false">LEFT(C2615,3)</f>
        <v>732</v>
      </c>
      <c r="F2615" s="2" t="str">
        <f aca="false">IF(D2615="","",LEFT(D2615,3))</f>
        <v>825</v>
      </c>
      <c r="G2615" s="2" t="str">
        <f aca="false">IF(F2615="","",IF(E2615=F2615,"Yes","No"))</f>
        <v>No</v>
      </c>
      <c r="H2615" s="2" t="n">
        <f aca="false">IF(D2615="",0,1/COUNTIF($D$2:$D$3451,D2615))</f>
        <v>1</v>
      </c>
      <c r="I2615" s="13" t="n">
        <f aca="false">IFERROR(INDEX('NCO-2015 scores'!$C$2:$C$131,MATCH(E2615,'NCO-2015 scores'!$A$2:$A$131,0)),0)</f>
        <v>0.2833</v>
      </c>
      <c r="J2615" s="13" t="n">
        <f aca="false">IF(ISNUMBER(MATCH(E2615,'NCO-2015 scores'!$A$2:$A$131,0)),IF(ISNUMBER(INDEX('NCO-2015 scores'!$C$2:$C$131,MATCH(E2615,'NCO-2015 scores'!$A$2:$A$131,0))),1,0),0)</f>
        <v>1</v>
      </c>
    </row>
    <row r="2616" customFormat="false" ht="15" hidden="false" customHeight="false" outlineLevel="0" collapsed="false">
      <c r="A2616" s="2" t="n">
        <v>2612</v>
      </c>
      <c r="B2616" s="2" t="s">
        <v>7693</v>
      </c>
      <c r="C2616" s="2" t="s">
        <v>7694</v>
      </c>
      <c r="D2616" s="2" t="s">
        <v>7695</v>
      </c>
      <c r="E2616" s="2" t="str">
        <f aca="false">LEFT(C2616,3)</f>
        <v>732</v>
      </c>
      <c r="F2616" s="2" t="str">
        <f aca="false">IF(D2616="","",LEFT(D2616,3))</f>
        <v>825</v>
      </c>
      <c r="G2616" s="2" t="str">
        <f aca="false">IF(F2616="","",IF(E2616=F2616,"Yes","No"))</f>
        <v>No</v>
      </c>
      <c r="H2616" s="2" t="n">
        <f aca="false">IF(D2616="",0,1/COUNTIF($D$2:$D$3451,D2616))</f>
        <v>1</v>
      </c>
      <c r="I2616" s="13" t="n">
        <f aca="false">IFERROR(INDEX('NCO-2015 scores'!$C$2:$C$131,MATCH(E2616,'NCO-2015 scores'!$A$2:$A$131,0)),0)</f>
        <v>0.2833</v>
      </c>
      <c r="J2616" s="13" t="n">
        <f aca="false">IF(ISNUMBER(MATCH(E2616,'NCO-2015 scores'!$A$2:$A$131,0)),IF(ISNUMBER(INDEX('NCO-2015 scores'!$C$2:$C$131,MATCH(E2616,'NCO-2015 scores'!$A$2:$A$131,0))),1,0),0)</f>
        <v>1</v>
      </c>
    </row>
    <row r="2617" customFormat="false" ht="15" hidden="false" customHeight="false" outlineLevel="0" collapsed="false">
      <c r="A2617" s="2" t="n">
        <v>2613</v>
      </c>
      <c r="B2617" s="2" t="s">
        <v>7696</v>
      </c>
      <c r="C2617" s="2" t="s">
        <v>7697</v>
      </c>
      <c r="D2617" s="2" t="s">
        <v>7698</v>
      </c>
      <c r="E2617" s="2" t="str">
        <f aca="false">LEFT(C2617,3)</f>
        <v>732</v>
      </c>
      <c r="F2617" s="2" t="str">
        <f aca="false">IF(D2617="","",LEFT(D2617,3))</f>
        <v>825</v>
      </c>
      <c r="G2617" s="2" t="str">
        <f aca="false">IF(F2617="","",IF(E2617=F2617,"Yes","No"))</f>
        <v>No</v>
      </c>
      <c r="H2617" s="2" t="n">
        <f aca="false">IF(D2617="",0,1/COUNTIF($D$2:$D$3451,D2617))</f>
        <v>1</v>
      </c>
      <c r="I2617" s="13" t="n">
        <f aca="false">IFERROR(INDEX('NCO-2015 scores'!$C$2:$C$131,MATCH(E2617,'NCO-2015 scores'!$A$2:$A$131,0)),0)</f>
        <v>0.2833</v>
      </c>
      <c r="J2617" s="13" t="n">
        <f aca="false">IF(ISNUMBER(MATCH(E2617,'NCO-2015 scores'!$A$2:$A$131,0)),IF(ISNUMBER(INDEX('NCO-2015 scores'!$C$2:$C$131,MATCH(E2617,'NCO-2015 scores'!$A$2:$A$131,0))),1,0),0)</f>
        <v>1</v>
      </c>
    </row>
    <row r="2618" customFormat="false" ht="15" hidden="false" customHeight="false" outlineLevel="0" collapsed="false">
      <c r="A2618" s="2" t="n">
        <v>2614</v>
      </c>
      <c r="B2618" s="2" t="s">
        <v>7699</v>
      </c>
      <c r="C2618" s="2" t="s">
        <v>7700</v>
      </c>
      <c r="D2618" s="2" t="s">
        <v>7701</v>
      </c>
      <c r="E2618" s="2" t="str">
        <f aca="false">LEFT(C2618,3)</f>
        <v>732</v>
      </c>
      <c r="F2618" s="2" t="str">
        <f aca="false">IF(D2618="","",LEFT(D2618,3))</f>
        <v>734</v>
      </c>
      <c r="G2618" s="2" t="str">
        <f aca="false">IF(F2618="","",IF(E2618=F2618,"Yes","No"))</f>
        <v>No</v>
      </c>
      <c r="H2618" s="2" t="n">
        <f aca="false">IF(D2618="",0,1/COUNTIF($D$2:$D$3451,D2618))</f>
        <v>1</v>
      </c>
      <c r="I2618" s="13" t="n">
        <f aca="false">IFERROR(INDEX('NCO-2015 scores'!$C$2:$C$131,MATCH(E2618,'NCO-2015 scores'!$A$2:$A$131,0)),0)</f>
        <v>0.2833</v>
      </c>
      <c r="J2618" s="13" t="n">
        <f aca="false">IF(ISNUMBER(MATCH(E2618,'NCO-2015 scores'!$A$2:$A$131,0)),IF(ISNUMBER(INDEX('NCO-2015 scores'!$C$2:$C$131,MATCH(E2618,'NCO-2015 scores'!$A$2:$A$131,0))),1,0),0)</f>
        <v>1</v>
      </c>
    </row>
    <row r="2619" customFormat="false" ht="15" hidden="false" customHeight="false" outlineLevel="0" collapsed="false">
      <c r="A2619" s="2" t="n">
        <v>2615</v>
      </c>
      <c r="B2619" s="2" t="s">
        <v>7702</v>
      </c>
      <c r="C2619" s="2" t="s">
        <v>7703</v>
      </c>
      <c r="D2619" s="2" t="s">
        <v>7704</v>
      </c>
      <c r="E2619" s="2" t="str">
        <f aca="false">LEFT(C2619,3)</f>
        <v>541</v>
      </c>
      <c r="F2619" s="2" t="str">
        <f aca="false">IF(D2619="","",LEFT(D2619,3))</f>
        <v>516</v>
      </c>
      <c r="G2619" s="2" t="str">
        <f aca="false">IF(F2619="","",IF(E2619=F2619,"Yes","No"))</f>
        <v>No</v>
      </c>
      <c r="H2619" s="2" t="n">
        <f aca="false">IF(D2619="",0,1/COUNTIF($D$2:$D$3451,D2619))</f>
        <v>1</v>
      </c>
      <c r="I2619" s="13" t="n">
        <f aca="false">IFERROR(INDEX('NCO-2015 scores'!$C$2:$C$131,MATCH(E2619,'NCO-2015 scores'!$A$2:$A$131,0)),0)</f>
        <v>0.172</v>
      </c>
      <c r="J2619" s="13" t="n">
        <f aca="false">IF(ISNUMBER(MATCH(E2619,'NCO-2015 scores'!$A$2:$A$131,0)),IF(ISNUMBER(INDEX('NCO-2015 scores'!$C$2:$C$131,MATCH(E2619,'NCO-2015 scores'!$A$2:$A$131,0))),1,0),0)</f>
        <v>1</v>
      </c>
    </row>
    <row r="2620" customFormat="false" ht="15" hidden="false" customHeight="false" outlineLevel="0" collapsed="false">
      <c r="A2620" s="2" t="n">
        <v>2616</v>
      </c>
      <c r="B2620" s="2" t="s">
        <v>7705</v>
      </c>
      <c r="C2620" s="2" t="s">
        <v>7706</v>
      </c>
      <c r="D2620" s="2" t="s">
        <v>7707</v>
      </c>
      <c r="E2620" s="2" t="str">
        <f aca="false">LEFT(C2620,3)</f>
        <v>541</v>
      </c>
      <c r="F2620" s="2" t="str">
        <f aca="false">IF(D2620="","",LEFT(D2620,3))</f>
        <v>516</v>
      </c>
      <c r="G2620" s="2" t="str">
        <f aca="false">IF(F2620="","",IF(E2620=F2620,"Yes","No"))</f>
        <v>No</v>
      </c>
      <c r="H2620" s="2" t="n">
        <f aca="false">IF(D2620="",0,1/COUNTIF($D$2:$D$3451,D2620))</f>
        <v>1</v>
      </c>
      <c r="I2620" s="13" t="n">
        <f aca="false">IFERROR(INDEX('NCO-2015 scores'!$C$2:$C$131,MATCH(E2620,'NCO-2015 scores'!$A$2:$A$131,0)),0)</f>
        <v>0.172</v>
      </c>
      <c r="J2620" s="13" t="n">
        <f aca="false">IF(ISNUMBER(MATCH(E2620,'NCO-2015 scores'!$A$2:$A$131,0)),IF(ISNUMBER(INDEX('NCO-2015 scores'!$C$2:$C$131,MATCH(E2620,'NCO-2015 scores'!$A$2:$A$131,0))),1,0),0)</f>
        <v>1</v>
      </c>
    </row>
    <row r="2621" customFormat="false" ht="15" hidden="false" customHeight="false" outlineLevel="0" collapsed="false">
      <c r="A2621" s="2" t="n">
        <v>2617</v>
      </c>
      <c r="B2621" s="2" t="s">
        <v>7708</v>
      </c>
      <c r="C2621" s="2" t="s">
        <v>7709</v>
      </c>
      <c r="D2621" s="2" t="s">
        <v>7710</v>
      </c>
      <c r="E2621" s="2" t="str">
        <f aca="false">LEFT(C2621,3)</f>
        <v>313</v>
      </c>
      <c r="F2621" s="2" t="str">
        <f aca="false">IF(D2621="","",LEFT(D2621,3))</f>
        <v>814</v>
      </c>
      <c r="G2621" s="2" t="str">
        <f aca="false">IF(F2621="","",IF(E2621=F2621,"Yes","No"))</f>
        <v>No</v>
      </c>
      <c r="H2621" s="2" t="n">
        <f aca="false">IF(D2621="",0,1/COUNTIF($D$2:$D$3451,D2621))</f>
        <v>1</v>
      </c>
      <c r="I2621" s="13" t="n">
        <f aca="false">IFERROR(INDEX('NCO-2015 scores'!$C$2:$C$131,MATCH(E2621,'NCO-2015 scores'!$A$2:$A$131,0)),0)</f>
        <v>0.288</v>
      </c>
      <c r="J2621" s="13" t="n">
        <f aca="false">IF(ISNUMBER(MATCH(E2621,'NCO-2015 scores'!$A$2:$A$131,0)),IF(ISNUMBER(INDEX('NCO-2015 scores'!$C$2:$C$131,MATCH(E2621,'NCO-2015 scores'!$A$2:$A$131,0))),1,0),0)</f>
        <v>1</v>
      </c>
    </row>
    <row r="2622" customFormat="false" ht="15" hidden="false" customHeight="false" outlineLevel="0" collapsed="false">
      <c r="A2622" s="2" t="n">
        <v>2618</v>
      </c>
      <c r="B2622" s="2" t="s">
        <v>7711</v>
      </c>
      <c r="C2622" s="2" t="s">
        <v>7712</v>
      </c>
      <c r="D2622" s="2" t="s">
        <v>7713</v>
      </c>
      <c r="E2622" s="2" t="str">
        <f aca="false">LEFT(C2622,3)</f>
        <v>313</v>
      </c>
      <c r="F2622" s="2" t="str">
        <f aca="false">IF(D2622="","",LEFT(D2622,3))</f>
        <v>814</v>
      </c>
      <c r="G2622" s="2" t="str">
        <f aca="false">IF(F2622="","",IF(E2622=F2622,"Yes","No"))</f>
        <v>No</v>
      </c>
      <c r="H2622" s="2" t="n">
        <f aca="false">IF(D2622="",0,1/COUNTIF($D$2:$D$3451,D2622))</f>
        <v>1</v>
      </c>
      <c r="I2622" s="13" t="n">
        <f aca="false">IFERROR(INDEX('NCO-2015 scores'!$C$2:$C$131,MATCH(E2622,'NCO-2015 scores'!$A$2:$A$131,0)),0)</f>
        <v>0.288</v>
      </c>
      <c r="J2622" s="13" t="n">
        <f aca="false">IF(ISNUMBER(MATCH(E2622,'NCO-2015 scores'!$A$2:$A$131,0)),IF(ISNUMBER(INDEX('NCO-2015 scores'!$C$2:$C$131,MATCH(E2622,'NCO-2015 scores'!$A$2:$A$131,0))),1,0),0)</f>
        <v>1</v>
      </c>
    </row>
    <row r="2623" customFormat="false" ht="15" hidden="false" customHeight="false" outlineLevel="0" collapsed="false">
      <c r="A2623" s="2" t="n">
        <v>2619</v>
      </c>
      <c r="B2623" s="2" t="s">
        <v>7714</v>
      </c>
      <c r="C2623" s="2" t="s">
        <v>7715</v>
      </c>
      <c r="D2623" s="2" t="s">
        <v>7716</v>
      </c>
      <c r="E2623" s="2" t="str">
        <f aca="false">LEFT(C2623,3)</f>
        <v>313</v>
      </c>
      <c r="F2623" s="2" t="str">
        <f aca="false">IF(D2623="","",LEFT(D2623,3))</f>
        <v>814</v>
      </c>
      <c r="G2623" s="2" t="str">
        <f aca="false">IF(F2623="","",IF(E2623=F2623,"Yes","No"))</f>
        <v>No</v>
      </c>
      <c r="H2623" s="2" t="n">
        <f aca="false">IF(D2623="",0,1/COUNTIF($D$2:$D$3451,D2623))</f>
        <v>1</v>
      </c>
      <c r="I2623" s="13" t="n">
        <f aca="false">IFERROR(INDEX('NCO-2015 scores'!$C$2:$C$131,MATCH(E2623,'NCO-2015 scores'!$A$2:$A$131,0)),0)</f>
        <v>0.288</v>
      </c>
      <c r="J2623" s="13" t="n">
        <f aca="false">IF(ISNUMBER(MATCH(E2623,'NCO-2015 scores'!$A$2:$A$131,0)),IF(ISNUMBER(INDEX('NCO-2015 scores'!$C$2:$C$131,MATCH(E2623,'NCO-2015 scores'!$A$2:$A$131,0))),1,0),0)</f>
        <v>1</v>
      </c>
    </row>
    <row r="2624" customFormat="false" ht="15" hidden="false" customHeight="false" outlineLevel="0" collapsed="false">
      <c r="A2624" s="2" t="n">
        <v>2620</v>
      </c>
      <c r="B2624" s="2" t="s">
        <v>7717</v>
      </c>
      <c r="C2624" s="2" t="s">
        <v>7718</v>
      </c>
      <c r="D2624" s="2" t="s">
        <v>7719</v>
      </c>
      <c r="E2624" s="2" t="str">
        <f aca="false">LEFT(C2624,3)</f>
        <v>313</v>
      </c>
      <c r="F2624" s="2" t="str">
        <f aca="false">IF(D2624="","",LEFT(D2624,3))</f>
        <v>814</v>
      </c>
      <c r="G2624" s="2" t="str">
        <f aca="false">IF(F2624="","",IF(E2624=F2624,"Yes","No"))</f>
        <v>No</v>
      </c>
      <c r="H2624" s="2" t="n">
        <f aca="false">IF(D2624="",0,1/COUNTIF($D$2:$D$3451,D2624))</f>
        <v>1</v>
      </c>
      <c r="I2624" s="13" t="n">
        <f aca="false">IFERROR(INDEX('NCO-2015 scores'!$C$2:$C$131,MATCH(E2624,'NCO-2015 scores'!$A$2:$A$131,0)),0)</f>
        <v>0.288</v>
      </c>
      <c r="J2624" s="13" t="n">
        <f aca="false">IF(ISNUMBER(MATCH(E2624,'NCO-2015 scores'!$A$2:$A$131,0)),IF(ISNUMBER(INDEX('NCO-2015 scores'!$C$2:$C$131,MATCH(E2624,'NCO-2015 scores'!$A$2:$A$131,0))),1,0),0)</f>
        <v>1</v>
      </c>
    </row>
    <row r="2625" customFormat="false" ht="15" hidden="false" customHeight="false" outlineLevel="0" collapsed="false">
      <c r="A2625" s="2" t="n">
        <v>2621</v>
      </c>
      <c r="B2625" s="2" t="s">
        <v>7720</v>
      </c>
      <c r="C2625" s="2" t="s">
        <v>7721</v>
      </c>
      <c r="D2625" s="2" t="s">
        <v>7722</v>
      </c>
      <c r="E2625" s="2" t="str">
        <f aca="false">LEFT(C2625,3)</f>
        <v>313</v>
      </c>
      <c r="F2625" s="2" t="str">
        <f aca="false">IF(D2625="","",LEFT(D2625,3))</f>
        <v>814</v>
      </c>
      <c r="G2625" s="2" t="str">
        <f aca="false">IF(F2625="","",IF(E2625=F2625,"Yes","No"))</f>
        <v>No</v>
      </c>
      <c r="H2625" s="2" t="n">
        <f aca="false">IF(D2625="",0,1/COUNTIF($D$2:$D$3451,D2625))</f>
        <v>1</v>
      </c>
      <c r="I2625" s="13" t="n">
        <f aca="false">IFERROR(INDEX('NCO-2015 scores'!$C$2:$C$131,MATCH(E2625,'NCO-2015 scores'!$A$2:$A$131,0)),0)</f>
        <v>0.288</v>
      </c>
      <c r="J2625" s="13" t="n">
        <f aca="false">IF(ISNUMBER(MATCH(E2625,'NCO-2015 scores'!$A$2:$A$131,0)),IF(ISNUMBER(INDEX('NCO-2015 scores'!$C$2:$C$131,MATCH(E2625,'NCO-2015 scores'!$A$2:$A$131,0))),1,0),0)</f>
        <v>1</v>
      </c>
    </row>
    <row r="2626" customFormat="false" ht="15" hidden="false" customHeight="false" outlineLevel="0" collapsed="false">
      <c r="A2626" s="2" t="n">
        <v>2622</v>
      </c>
      <c r="B2626" s="2" t="s">
        <v>7723</v>
      </c>
      <c r="C2626" s="2" t="s">
        <v>7724</v>
      </c>
      <c r="D2626" s="2" t="s">
        <v>7725</v>
      </c>
      <c r="E2626" s="2" t="str">
        <f aca="false">LEFT(C2626,3)</f>
        <v>313</v>
      </c>
      <c r="F2626" s="2" t="str">
        <f aca="false">IF(D2626="","",LEFT(D2626,3))</f>
        <v>817</v>
      </c>
      <c r="G2626" s="2" t="str">
        <f aca="false">IF(F2626="","",IF(E2626=F2626,"Yes","No"))</f>
        <v>No</v>
      </c>
      <c r="H2626" s="2" t="n">
        <f aca="false">IF(D2626="",0,1/COUNTIF($D$2:$D$3451,D2626))</f>
        <v>1</v>
      </c>
      <c r="I2626" s="13" t="n">
        <f aca="false">IFERROR(INDEX('NCO-2015 scores'!$C$2:$C$131,MATCH(E2626,'NCO-2015 scores'!$A$2:$A$131,0)),0)</f>
        <v>0.288</v>
      </c>
      <c r="J2626" s="13" t="n">
        <f aca="false">IF(ISNUMBER(MATCH(E2626,'NCO-2015 scores'!$A$2:$A$131,0)),IF(ISNUMBER(INDEX('NCO-2015 scores'!$C$2:$C$131,MATCH(E2626,'NCO-2015 scores'!$A$2:$A$131,0))),1,0),0)</f>
        <v>1</v>
      </c>
    </row>
    <row r="2627" customFormat="false" ht="15" hidden="false" customHeight="false" outlineLevel="0" collapsed="false">
      <c r="A2627" s="2" t="n">
        <v>2623</v>
      </c>
      <c r="B2627" s="2" t="s">
        <v>7726</v>
      </c>
      <c r="C2627" s="2" t="s">
        <v>7727</v>
      </c>
      <c r="D2627" s="2"/>
      <c r="E2627" s="2" t="str">
        <f aca="false">LEFT(C2627,3)</f>
        <v>313</v>
      </c>
      <c r="F2627" s="2" t="str">
        <f aca="false">IF(D2627="","",LEFT(D2627,3))</f>
        <v/>
      </c>
      <c r="G2627" s="2" t="str">
        <f aca="false">IF(F2627="","",IF(E2627=F2627,"Yes","No"))</f>
        <v/>
      </c>
      <c r="H2627" s="2" t="n">
        <f aca="false">IF(D2627="",0,1/COUNTIF($D$2:$D$3451,D2627))</f>
        <v>0</v>
      </c>
      <c r="I2627" s="13" t="n">
        <f aca="false">IFERROR(INDEX('NCO-2015 scores'!$C$2:$C$131,MATCH(E2627,'NCO-2015 scores'!$A$2:$A$131,0)),0)</f>
        <v>0.288</v>
      </c>
      <c r="J2627" s="13" t="n">
        <f aca="false">IF(ISNUMBER(MATCH(E2627,'NCO-2015 scores'!$A$2:$A$131,0)),IF(ISNUMBER(INDEX('NCO-2015 scores'!$C$2:$C$131,MATCH(E2627,'NCO-2015 scores'!$A$2:$A$131,0))),1,0),0)</f>
        <v>1</v>
      </c>
    </row>
    <row r="2628" customFormat="false" ht="15" hidden="false" customHeight="false" outlineLevel="0" collapsed="false">
      <c r="A2628" s="2" t="n">
        <v>2624</v>
      </c>
      <c r="B2628" s="2" t="s">
        <v>7728</v>
      </c>
      <c r="C2628" s="2" t="s">
        <v>7729</v>
      </c>
      <c r="D2628" s="2"/>
      <c r="E2628" s="2" t="str">
        <f aca="false">LEFT(C2628,3)</f>
        <v>313</v>
      </c>
      <c r="F2628" s="2" t="str">
        <f aca="false">IF(D2628="","",LEFT(D2628,3))</f>
        <v/>
      </c>
      <c r="G2628" s="2" t="str">
        <f aca="false">IF(F2628="","",IF(E2628=F2628,"Yes","No"))</f>
        <v/>
      </c>
      <c r="H2628" s="2" t="n">
        <f aca="false">IF(D2628="",0,1/COUNTIF($D$2:$D$3451,D2628))</f>
        <v>0</v>
      </c>
      <c r="I2628" s="13" t="n">
        <f aca="false">IFERROR(INDEX('NCO-2015 scores'!$C$2:$C$131,MATCH(E2628,'NCO-2015 scores'!$A$2:$A$131,0)),0)</f>
        <v>0.288</v>
      </c>
      <c r="J2628" s="13" t="n">
        <f aca="false">IF(ISNUMBER(MATCH(E2628,'NCO-2015 scores'!$A$2:$A$131,0)),IF(ISNUMBER(INDEX('NCO-2015 scores'!$C$2:$C$131,MATCH(E2628,'NCO-2015 scores'!$A$2:$A$131,0))),1,0),0)</f>
        <v>1</v>
      </c>
    </row>
    <row r="2629" customFormat="false" ht="15" hidden="false" customHeight="false" outlineLevel="0" collapsed="false">
      <c r="A2629" s="2" t="n">
        <v>2625</v>
      </c>
      <c r="B2629" s="2" t="s">
        <v>7730</v>
      </c>
      <c r="C2629" s="2" t="s">
        <v>7731</v>
      </c>
      <c r="D2629" s="2"/>
      <c r="E2629" s="2" t="str">
        <f aca="false">LEFT(C2629,3)</f>
        <v>313</v>
      </c>
      <c r="F2629" s="2" t="str">
        <f aca="false">IF(D2629="","",LEFT(D2629,3))</f>
        <v/>
      </c>
      <c r="G2629" s="2" t="str">
        <f aca="false">IF(F2629="","",IF(E2629=F2629,"Yes","No"))</f>
        <v/>
      </c>
      <c r="H2629" s="2" t="n">
        <f aca="false">IF(D2629="",0,1/COUNTIF($D$2:$D$3451,D2629))</f>
        <v>0</v>
      </c>
      <c r="I2629" s="13" t="n">
        <f aca="false">IFERROR(INDEX('NCO-2015 scores'!$C$2:$C$131,MATCH(E2629,'NCO-2015 scores'!$A$2:$A$131,0)),0)</f>
        <v>0.288</v>
      </c>
      <c r="J2629" s="13" t="n">
        <f aca="false">IF(ISNUMBER(MATCH(E2629,'NCO-2015 scores'!$A$2:$A$131,0)),IF(ISNUMBER(INDEX('NCO-2015 scores'!$C$2:$C$131,MATCH(E2629,'NCO-2015 scores'!$A$2:$A$131,0))),1,0),0)</f>
        <v>1</v>
      </c>
    </row>
    <row r="2630" customFormat="false" ht="15" hidden="false" customHeight="false" outlineLevel="0" collapsed="false">
      <c r="A2630" s="2" t="n">
        <v>2626</v>
      </c>
      <c r="B2630" s="2" t="s">
        <v>7732</v>
      </c>
      <c r="C2630" s="2" t="s">
        <v>7733</v>
      </c>
      <c r="D2630" s="2"/>
      <c r="E2630" s="2" t="str">
        <f aca="false">LEFT(C2630,3)</f>
        <v>313</v>
      </c>
      <c r="F2630" s="2" t="str">
        <f aca="false">IF(D2630="","",LEFT(D2630,3))</f>
        <v/>
      </c>
      <c r="G2630" s="2" t="str">
        <f aca="false">IF(F2630="","",IF(E2630=F2630,"Yes","No"))</f>
        <v/>
      </c>
      <c r="H2630" s="2" t="n">
        <f aca="false">IF(D2630="",0,1/COUNTIF($D$2:$D$3451,D2630))</f>
        <v>0</v>
      </c>
      <c r="I2630" s="13" t="n">
        <f aca="false">IFERROR(INDEX('NCO-2015 scores'!$C$2:$C$131,MATCH(E2630,'NCO-2015 scores'!$A$2:$A$131,0)),0)</f>
        <v>0.288</v>
      </c>
      <c r="J2630" s="13" t="n">
        <f aca="false">IF(ISNUMBER(MATCH(E2630,'NCO-2015 scores'!$A$2:$A$131,0)),IF(ISNUMBER(INDEX('NCO-2015 scores'!$C$2:$C$131,MATCH(E2630,'NCO-2015 scores'!$A$2:$A$131,0))),1,0),0)</f>
        <v>1</v>
      </c>
    </row>
    <row r="2631" customFormat="false" ht="15" hidden="false" customHeight="false" outlineLevel="0" collapsed="false">
      <c r="A2631" s="2" t="n">
        <v>2627</v>
      </c>
      <c r="B2631" s="2" t="s">
        <v>7734</v>
      </c>
      <c r="C2631" s="2" t="s">
        <v>7735</v>
      </c>
      <c r="D2631" s="2" t="s">
        <v>7736</v>
      </c>
      <c r="E2631" s="2" t="str">
        <f aca="false">LEFT(C2631,3)</f>
        <v>313</v>
      </c>
      <c r="F2631" s="2" t="str">
        <f aca="false">IF(D2631="","",LEFT(D2631,3))</f>
        <v>817</v>
      </c>
      <c r="G2631" s="2" t="str">
        <f aca="false">IF(F2631="","",IF(E2631=F2631,"Yes","No"))</f>
        <v>No</v>
      </c>
      <c r="H2631" s="2" t="n">
        <f aca="false">IF(D2631="",0,1/COUNTIF($D$2:$D$3451,D2631))</f>
        <v>1</v>
      </c>
      <c r="I2631" s="13" t="n">
        <f aca="false">IFERROR(INDEX('NCO-2015 scores'!$C$2:$C$131,MATCH(E2631,'NCO-2015 scores'!$A$2:$A$131,0)),0)</f>
        <v>0.288</v>
      </c>
      <c r="J2631" s="13" t="n">
        <f aca="false">IF(ISNUMBER(MATCH(E2631,'NCO-2015 scores'!$A$2:$A$131,0)),IF(ISNUMBER(INDEX('NCO-2015 scores'!$C$2:$C$131,MATCH(E2631,'NCO-2015 scores'!$A$2:$A$131,0))),1,0),0)</f>
        <v>1</v>
      </c>
    </row>
    <row r="2632" customFormat="false" ht="15" hidden="false" customHeight="false" outlineLevel="0" collapsed="false">
      <c r="A2632" s="2" t="n">
        <v>2628</v>
      </c>
      <c r="B2632" s="2" t="s">
        <v>7737</v>
      </c>
      <c r="C2632" s="2" t="s">
        <v>7738</v>
      </c>
      <c r="D2632" s="2" t="s">
        <v>7739</v>
      </c>
      <c r="E2632" s="2" t="str">
        <f aca="false">LEFT(C2632,3)</f>
        <v>216</v>
      </c>
      <c r="F2632" s="2" t="str">
        <f aca="false">IF(D2632="","",LEFT(D2632,3))</f>
        <v>347</v>
      </c>
      <c r="G2632" s="2" t="str">
        <f aca="false">IF(F2632="","",IF(E2632=F2632,"Yes","No"))</f>
        <v>No</v>
      </c>
      <c r="H2632" s="2" t="n">
        <f aca="false">IF(D2632="",0,1/COUNTIF($D$2:$D$3451,D2632))</f>
        <v>1</v>
      </c>
      <c r="I2632" s="13" t="n">
        <f aca="false">IFERROR(INDEX('NCO-2015 scores'!$C$2:$C$131,MATCH(E2632,'NCO-2015 scores'!$A$2:$A$131,0)),0)</f>
        <v>0.405</v>
      </c>
      <c r="J2632" s="13" t="n">
        <f aca="false">IF(ISNUMBER(MATCH(E2632,'NCO-2015 scores'!$A$2:$A$131,0)),IF(ISNUMBER(INDEX('NCO-2015 scores'!$C$2:$C$131,MATCH(E2632,'NCO-2015 scores'!$A$2:$A$131,0))),1,0),0)</f>
        <v>1</v>
      </c>
    </row>
    <row r="2633" customFormat="false" ht="15" hidden="false" customHeight="false" outlineLevel="0" collapsed="false">
      <c r="A2633" s="2" t="n">
        <v>2629</v>
      </c>
      <c r="B2633" s="2" t="s">
        <v>7740</v>
      </c>
      <c r="C2633" s="2" t="s">
        <v>7741</v>
      </c>
      <c r="D2633" s="2"/>
      <c r="E2633" s="2" t="str">
        <f aca="false">LEFT(C2633,3)</f>
        <v>216</v>
      </c>
      <c r="F2633" s="2" t="str">
        <f aca="false">IF(D2633="","",LEFT(D2633,3))</f>
        <v/>
      </c>
      <c r="G2633" s="2" t="str">
        <f aca="false">IF(F2633="","",IF(E2633=F2633,"Yes","No"))</f>
        <v/>
      </c>
      <c r="H2633" s="2" t="n">
        <f aca="false">IF(D2633="",0,1/COUNTIF($D$2:$D$3451,D2633))</f>
        <v>0</v>
      </c>
      <c r="I2633" s="13" t="n">
        <f aca="false">IFERROR(INDEX('NCO-2015 scores'!$C$2:$C$131,MATCH(E2633,'NCO-2015 scores'!$A$2:$A$131,0)),0)</f>
        <v>0.405</v>
      </c>
      <c r="J2633" s="13" t="n">
        <f aca="false">IF(ISNUMBER(MATCH(E2633,'NCO-2015 scores'!$A$2:$A$131,0)),IF(ISNUMBER(INDEX('NCO-2015 scores'!$C$2:$C$131,MATCH(E2633,'NCO-2015 scores'!$A$2:$A$131,0))),1,0),0)</f>
        <v>1</v>
      </c>
    </row>
    <row r="2634" customFormat="false" ht="15" hidden="false" customHeight="false" outlineLevel="0" collapsed="false">
      <c r="A2634" s="2" t="n">
        <v>2630</v>
      </c>
      <c r="B2634" s="2" t="s">
        <v>7742</v>
      </c>
      <c r="C2634" s="2" t="s">
        <v>7743</v>
      </c>
      <c r="D2634" s="2"/>
      <c r="E2634" s="2" t="str">
        <f aca="false">LEFT(C2634,3)</f>
        <v>216</v>
      </c>
      <c r="F2634" s="2" t="str">
        <f aca="false">IF(D2634="","",LEFT(D2634,3))</f>
        <v/>
      </c>
      <c r="G2634" s="2" t="str">
        <f aca="false">IF(F2634="","",IF(E2634=F2634,"Yes","No"))</f>
        <v/>
      </c>
      <c r="H2634" s="2" t="n">
        <f aca="false">IF(D2634="",0,1/COUNTIF($D$2:$D$3451,D2634))</f>
        <v>0</v>
      </c>
      <c r="I2634" s="13" t="n">
        <f aca="false">IFERROR(INDEX('NCO-2015 scores'!$C$2:$C$131,MATCH(E2634,'NCO-2015 scores'!$A$2:$A$131,0)),0)</f>
        <v>0.405</v>
      </c>
      <c r="J2634" s="13" t="n">
        <f aca="false">IF(ISNUMBER(MATCH(E2634,'NCO-2015 scores'!$A$2:$A$131,0)),IF(ISNUMBER(INDEX('NCO-2015 scores'!$C$2:$C$131,MATCH(E2634,'NCO-2015 scores'!$A$2:$A$131,0))),1,0),0)</f>
        <v>1</v>
      </c>
    </row>
    <row r="2635" customFormat="false" ht="15" hidden="false" customHeight="false" outlineLevel="0" collapsed="false">
      <c r="A2635" s="2" t="n">
        <v>2631</v>
      </c>
      <c r="B2635" s="2" t="s">
        <v>7744</v>
      </c>
      <c r="C2635" s="2" t="s">
        <v>7745</v>
      </c>
      <c r="D2635" s="2" t="s">
        <v>7746</v>
      </c>
      <c r="E2635" s="2" t="str">
        <f aca="false">LEFT(C2635,3)</f>
        <v>216</v>
      </c>
      <c r="F2635" s="2" t="str">
        <f aca="false">IF(D2635="","",LEFT(D2635,3))</f>
        <v>347</v>
      </c>
      <c r="G2635" s="2" t="str">
        <f aca="false">IF(F2635="","",IF(E2635=F2635,"Yes","No"))</f>
        <v>No</v>
      </c>
      <c r="H2635" s="2" t="n">
        <f aca="false">IF(D2635="",0,1/COUNTIF($D$2:$D$3451,D2635))</f>
        <v>1</v>
      </c>
      <c r="I2635" s="13" t="n">
        <f aca="false">IFERROR(INDEX('NCO-2015 scores'!$C$2:$C$131,MATCH(E2635,'NCO-2015 scores'!$A$2:$A$131,0)),0)</f>
        <v>0.405</v>
      </c>
      <c r="J2635" s="13" t="n">
        <f aca="false">IF(ISNUMBER(MATCH(E2635,'NCO-2015 scores'!$A$2:$A$131,0)),IF(ISNUMBER(INDEX('NCO-2015 scores'!$C$2:$C$131,MATCH(E2635,'NCO-2015 scores'!$A$2:$A$131,0))),1,0),0)</f>
        <v>1</v>
      </c>
    </row>
    <row r="2636" customFormat="false" ht="15" hidden="false" customHeight="false" outlineLevel="0" collapsed="false">
      <c r="A2636" s="2" t="n">
        <v>2632</v>
      </c>
      <c r="B2636" s="2" t="s">
        <v>7747</v>
      </c>
      <c r="C2636" s="2" t="s">
        <v>7748</v>
      </c>
      <c r="D2636" s="2" t="s">
        <v>7749</v>
      </c>
      <c r="E2636" s="2" t="str">
        <f aca="false">LEFT(C2636,3)</f>
        <v>216</v>
      </c>
      <c r="F2636" s="2" t="str">
        <f aca="false">IF(D2636="","",LEFT(D2636,3))</f>
        <v>347</v>
      </c>
      <c r="G2636" s="2" t="str">
        <f aca="false">IF(F2636="","",IF(E2636=F2636,"Yes","No"))</f>
        <v>No</v>
      </c>
      <c r="H2636" s="2" t="n">
        <f aca="false">IF(D2636="",0,1/COUNTIF($D$2:$D$3451,D2636))</f>
        <v>1</v>
      </c>
      <c r="I2636" s="13" t="n">
        <f aca="false">IFERROR(INDEX('NCO-2015 scores'!$C$2:$C$131,MATCH(E2636,'NCO-2015 scores'!$A$2:$A$131,0)),0)</f>
        <v>0.405</v>
      </c>
      <c r="J2636" s="13" t="n">
        <f aca="false">IF(ISNUMBER(MATCH(E2636,'NCO-2015 scores'!$A$2:$A$131,0)),IF(ISNUMBER(INDEX('NCO-2015 scores'!$C$2:$C$131,MATCH(E2636,'NCO-2015 scores'!$A$2:$A$131,0))),1,0),0)</f>
        <v>1</v>
      </c>
    </row>
    <row r="2637" customFormat="false" ht="15" hidden="false" customHeight="false" outlineLevel="0" collapsed="false">
      <c r="A2637" s="2" t="n">
        <v>2633</v>
      </c>
      <c r="B2637" s="2" t="s">
        <v>7750</v>
      </c>
      <c r="C2637" s="2" t="s">
        <v>7751</v>
      </c>
      <c r="D2637" s="2" t="s">
        <v>7752</v>
      </c>
      <c r="E2637" s="2" t="str">
        <f aca="false">LEFT(C2637,3)</f>
        <v>216</v>
      </c>
      <c r="F2637" s="2" t="str">
        <f aca="false">IF(D2637="","",LEFT(D2637,3))</f>
        <v>347</v>
      </c>
      <c r="G2637" s="2" t="str">
        <f aca="false">IF(F2637="","",IF(E2637=F2637,"Yes","No"))</f>
        <v>No</v>
      </c>
      <c r="H2637" s="2" t="n">
        <f aca="false">IF(D2637="",0,1/COUNTIF($D$2:$D$3451,D2637))</f>
        <v>1</v>
      </c>
      <c r="I2637" s="13" t="n">
        <f aca="false">IFERROR(INDEX('NCO-2015 scores'!$C$2:$C$131,MATCH(E2637,'NCO-2015 scores'!$A$2:$A$131,0)),0)</f>
        <v>0.405</v>
      </c>
      <c r="J2637" s="13" t="n">
        <f aca="false">IF(ISNUMBER(MATCH(E2637,'NCO-2015 scores'!$A$2:$A$131,0)),IF(ISNUMBER(INDEX('NCO-2015 scores'!$C$2:$C$131,MATCH(E2637,'NCO-2015 scores'!$A$2:$A$131,0))),1,0),0)</f>
        <v>1</v>
      </c>
    </row>
    <row r="2638" customFormat="false" ht="15" hidden="false" customHeight="false" outlineLevel="0" collapsed="false">
      <c r="A2638" s="2" t="n">
        <v>2634</v>
      </c>
      <c r="B2638" s="2" t="s">
        <v>7753</v>
      </c>
      <c r="C2638" s="2" t="s">
        <v>7754</v>
      </c>
      <c r="D2638" s="2" t="s">
        <v>7755</v>
      </c>
      <c r="E2638" s="2" t="str">
        <f aca="false">LEFT(C2638,3)</f>
        <v>754</v>
      </c>
      <c r="F2638" s="2" t="str">
        <f aca="false">IF(D2638="","",LEFT(D2638,3))</f>
        <v>315</v>
      </c>
      <c r="G2638" s="2" t="str">
        <f aca="false">IF(F2638="","",IF(E2638=F2638,"Yes","No"))</f>
        <v>No</v>
      </c>
      <c r="H2638" s="2" t="n">
        <f aca="false">IF(D2638="",0,1/COUNTIF($D$2:$D$3451,D2638))</f>
        <v>1</v>
      </c>
      <c r="I2638" s="13" t="n">
        <f aca="false">IFERROR(INDEX('NCO-2015 scores'!$C$2:$C$131,MATCH(E2638,'NCO-2015 scores'!$A$2:$A$131,0)),0)</f>
        <v>0.172</v>
      </c>
      <c r="J2638" s="13" t="n">
        <f aca="false">IF(ISNUMBER(MATCH(E2638,'NCO-2015 scores'!$A$2:$A$131,0)),IF(ISNUMBER(INDEX('NCO-2015 scores'!$C$2:$C$131,MATCH(E2638,'NCO-2015 scores'!$A$2:$A$131,0))),1,0),0)</f>
        <v>1</v>
      </c>
    </row>
    <row r="2639" customFormat="false" ht="15" hidden="false" customHeight="false" outlineLevel="0" collapsed="false">
      <c r="A2639" s="2" t="n">
        <v>2635</v>
      </c>
      <c r="B2639" s="2" t="s">
        <v>7756</v>
      </c>
      <c r="C2639" s="2" t="s">
        <v>7757</v>
      </c>
      <c r="D2639" s="2"/>
      <c r="E2639" s="2" t="str">
        <f aca="false">LEFT(C2639,3)</f>
        <v>754</v>
      </c>
      <c r="F2639" s="2" t="str">
        <f aca="false">IF(D2639="","",LEFT(D2639,3))</f>
        <v/>
      </c>
      <c r="G2639" s="2" t="str">
        <f aca="false">IF(F2639="","",IF(E2639=F2639,"Yes","No"))</f>
        <v/>
      </c>
      <c r="H2639" s="2" t="n">
        <f aca="false">IF(D2639="",0,1/COUNTIF($D$2:$D$3451,D2639))</f>
        <v>0</v>
      </c>
      <c r="I2639" s="13" t="n">
        <f aca="false">IFERROR(INDEX('NCO-2015 scores'!$C$2:$C$131,MATCH(E2639,'NCO-2015 scores'!$A$2:$A$131,0)),0)</f>
        <v>0.172</v>
      </c>
      <c r="J2639" s="13" t="n">
        <f aca="false">IF(ISNUMBER(MATCH(E2639,'NCO-2015 scores'!$A$2:$A$131,0)),IF(ISNUMBER(INDEX('NCO-2015 scores'!$C$2:$C$131,MATCH(E2639,'NCO-2015 scores'!$A$2:$A$131,0))),1,0),0)</f>
        <v>1</v>
      </c>
    </row>
    <row r="2640" customFormat="false" ht="15" hidden="false" customHeight="false" outlineLevel="0" collapsed="false">
      <c r="A2640" s="2" t="n">
        <v>2636</v>
      </c>
      <c r="B2640" s="2" t="s">
        <v>7758</v>
      </c>
      <c r="C2640" s="2" t="s">
        <v>7759</v>
      </c>
      <c r="D2640" s="2"/>
      <c r="E2640" s="2" t="str">
        <f aca="false">LEFT(C2640,3)</f>
        <v>754</v>
      </c>
      <c r="F2640" s="2" t="str">
        <f aca="false">IF(D2640="","",LEFT(D2640,3))</f>
        <v/>
      </c>
      <c r="G2640" s="2" t="str">
        <f aca="false">IF(F2640="","",IF(E2640=F2640,"Yes","No"))</f>
        <v/>
      </c>
      <c r="H2640" s="2" t="n">
        <f aca="false">IF(D2640="",0,1/COUNTIF($D$2:$D$3451,D2640))</f>
        <v>0</v>
      </c>
      <c r="I2640" s="13" t="n">
        <f aca="false">IFERROR(INDEX('NCO-2015 scores'!$C$2:$C$131,MATCH(E2640,'NCO-2015 scores'!$A$2:$A$131,0)),0)</f>
        <v>0.172</v>
      </c>
      <c r="J2640" s="13" t="n">
        <f aca="false">IF(ISNUMBER(MATCH(E2640,'NCO-2015 scores'!$A$2:$A$131,0)),IF(ISNUMBER(INDEX('NCO-2015 scores'!$C$2:$C$131,MATCH(E2640,'NCO-2015 scores'!$A$2:$A$131,0))),1,0),0)</f>
        <v>1</v>
      </c>
    </row>
    <row r="2641" customFormat="false" ht="15" hidden="false" customHeight="false" outlineLevel="0" collapsed="false">
      <c r="A2641" s="2" t="n">
        <v>2637</v>
      </c>
      <c r="B2641" s="2" t="s">
        <v>7760</v>
      </c>
      <c r="C2641" s="2" t="s">
        <v>7761</v>
      </c>
      <c r="D2641" s="2" t="s">
        <v>7762</v>
      </c>
      <c r="E2641" s="2" t="str">
        <f aca="false">LEFT(C2641,3)</f>
        <v>754</v>
      </c>
      <c r="F2641" s="2" t="str">
        <f aca="false">IF(D2641="","",LEFT(D2641,3))</f>
        <v>315</v>
      </c>
      <c r="G2641" s="2" t="str">
        <f aca="false">IF(F2641="","",IF(E2641=F2641,"Yes","No"))</f>
        <v>No</v>
      </c>
      <c r="H2641" s="2" t="n">
        <f aca="false">IF(D2641="",0,1/COUNTIF($D$2:$D$3451,D2641))</f>
        <v>1</v>
      </c>
      <c r="I2641" s="13" t="n">
        <f aca="false">IFERROR(INDEX('NCO-2015 scores'!$C$2:$C$131,MATCH(E2641,'NCO-2015 scores'!$A$2:$A$131,0)),0)</f>
        <v>0.172</v>
      </c>
      <c r="J2641" s="13" t="n">
        <f aca="false">IF(ISNUMBER(MATCH(E2641,'NCO-2015 scores'!$A$2:$A$131,0)),IF(ISNUMBER(INDEX('NCO-2015 scores'!$C$2:$C$131,MATCH(E2641,'NCO-2015 scores'!$A$2:$A$131,0))),1,0),0)</f>
        <v>1</v>
      </c>
    </row>
    <row r="2642" customFormat="false" ht="15" hidden="false" customHeight="false" outlineLevel="0" collapsed="false">
      <c r="A2642" s="2" t="n">
        <v>2638</v>
      </c>
      <c r="B2642" s="2" t="s">
        <v>7763</v>
      </c>
      <c r="C2642" s="2" t="s">
        <v>7764</v>
      </c>
      <c r="D2642" s="2" t="s">
        <v>7765</v>
      </c>
      <c r="E2642" s="2" t="str">
        <f aca="false">LEFT(C2642,3)</f>
        <v>754</v>
      </c>
      <c r="F2642" s="2" t="str">
        <f aca="false">IF(D2642="","",LEFT(D2642,3))</f>
        <v>315</v>
      </c>
      <c r="G2642" s="2" t="str">
        <f aca="false">IF(F2642="","",IF(E2642=F2642,"Yes","No"))</f>
        <v>No</v>
      </c>
      <c r="H2642" s="2" t="n">
        <f aca="false">IF(D2642="",0,1/COUNTIF($D$2:$D$3451,D2642))</f>
        <v>1</v>
      </c>
      <c r="I2642" s="13" t="n">
        <f aca="false">IFERROR(INDEX('NCO-2015 scores'!$C$2:$C$131,MATCH(E2642,'NCO-2015 scores'!$A$2:$A$131,0)),0)</f>
        <v>0.172</v>
      </c>
      <c r="J2642" s="13" t="n">
        <f aca="false">IF(ISNUMBER(MATCH(E2642,'NCO-2015 scores'!$A$2:$A$131,0)),IF(ISNUMBER(INDEX('NCO-2015 scores'!$C$2:$C$131,MATCH(E2642,'NCO-2015 scores'!$A$2:$A$131,0))),1,0),0)</f>
        <v>1</v>
      </c>
    </row>
    <row r="2643" customFormat="false" ht="15" hidden="false" customHeight="false" outlineLevel="0" collapsed="false">
      <c r="A2643" s="2" t="n">
        <v>2639</v>
      </c>
      <c r="B2643" s="2" t="s">
        <v>7766</v>
      </c>
      <c r="C2643" s="2" t="s">
        <v>7767</v>
      </c>
      <c r="D2643" s="2"/>
      <c r="E2643" s="2" t="str">
        <f aca="false">LEFT(C2643,3)</f>
        <v>754</v>
      </c>
      <c r="F2643" s="2" t="str">
        <f aca="false">IF(D2643="","",LEFT(D2643,3))</f>
        <v/>
      </c>
      <c r="G2643" s="2" t="str">
        <f aca="false">IF(F2643="","",IF(E2643=F2643,"Yes","No"))</f>
        <v/>
      </c>
      <c r="H2643" s="2" t="n">
        <f aca="false">IF(D2643="",0,1/COUNTIF($D$2:$D$3451,D2643))</f>
        <v>0</v>
      </c>
      <c r="I2643" s="13" t="n">
        <f aca="false">IFERROR(INDEX('NCO-2015 scores'!$C$2:$C$131,MATCH(E2643,'NCO-2015 scores'!$A$2:$A$131,0)),0)</f>
        <v>0.172</v>
      </c>
      <c r="J2643" s="13" t="n">
        <f aca="false">IF(ISNUMBER(MATCH(E2643,'NCO-2015 scores'!$A$2:$A$131,0)),IF(ISNUMBER(INDEX('NCO-2015 scores'!$C$2:$C$131,MATCH(E2643,'NCO-2015 scores'!$A$2:$A$131,0))),1,0),0)</f>
        <v>1</v>
      </c>
    </row>
    <row r="2644" customFormat="false" ht="15" hidden="false" customHeight="false" outlineLevel="0" collapsed="false">
      <c r="A2644" s="2" t="n">
        <v>2640</v>
      </c>
      <c r="B2644" s="2" t="s">
        <v>7768</v>
      </c>
      <c r="C2644" s="2" t="s">
        <v>7769</v>
      </c>
      <c r="D2644" s="2"/>
      <c r="E2644" s="2" t="str">
        <f aca="false">LEFT(C2644,3)</f>
        <v>754</v>
      </c>
      <c r="F2644" s="2" t="str">
        <f aca="false">IF(D2644="","",LEFT(D2644,3))</f>
        <v/>
      </c>
      <c r="G2644" s="2" t="str">
        <f aca="false">IF(F2644="","",IF(E2644=F2644,"Yes","No"))</f>
        <v/>
      </c>
      <c r="H2644" s="2" t="n">
        <f aca="false">IF(D2644="",0,1/COUNTIF($D$2:$D$3451,D2644))</f>
        <v>0</v>
      </c>
      <c r="I2644" s="13" t="n">
        <f aca="false">IFERROR(INDEX('NCO-2015 scores'!$C$2:$C$131,MATCH(E2644,'NCO-2015 scores'!$A$2:$A$131,0)),0)</f>
        <v>0.172</v>
      </c>
      <c r="J2644" s="13" t="n">
        <f aca="false">IF(ISNUMBER(MATCH(E2644,'NCO-2015 scores'!$A$2:$A$131,0)),IF(ISNUMBER(INDEX('NCO-2015 scores'!$C$2:$C$131,MATCH(E2644,'NCO-2015 scores'!$A$2:$A$131,0))),1,0),0)</f>
        <v>1</v>
      </c>
    </row>
    <row r="2645" customFormat="false" ht="15" hidden="false" customHeight="false" outlineLevel="0" collapsed="false">
      <c r="A2645" s="2" t="n">
        <v>2641</v>
      </c>
      <c r="B2645" s="2" t="s">
        <v>7770</v>
      </c>
      <c r="C2645" s="2" t="s">
        <v>7771</v>
      </c>
      <c r="D2645" s="2"/>
      <c r="E2645" s="2" t="str">
        <f aca="false">LEFT(C2645,3)</f>
        <v>754</v>
      </c>
      <c r="F2645" s="2" t="str">
        <f aca="false">IF(D2645="","",LEFT(D2645,3))</f>
        <v/>
      </c>
      <c r="G2645" s="2" t="str">
        <f aca="false">IF(F2645="","",IF(E2645=F2645,"Yes","No"))</f>
        <v/>
      </c>
      <c r="H2645" s="2" t="n">
        <f aca="false">IF(D2645="",0,1/COUNTIF($D$2:$D$3451,D2645))</f>
        <v>0</v>
      </c>
      <c r="I2645" s="13" t="n">
        <f aca="false">IFERROR(INDEX('NCO-2015 scores'!$C$2:$C$131,MATCH(E2645,'NCO-2015 scores'!$A$2:$A$131,0)),0)</f>
        <v>0.172</v>
      </c>
      <c r="J2645" s="13" t="n">
        <f aca="false">IF(ISNUMBER(MATCH(E2645,'NCO-2015 scores'!$A$2:$A$131,0)),IF(ISNUMBER(INDEX('NCO-2015 scores'!$C$2:$C$131,MATCH(E2645,'NCO-2015 scores'!$A$2:$A$131,0))),1,0),0)</f>
        <v>1</v>
      </c>
    </row>
    <row r="2646" customFormat="false" ht="15" hidden="false" customHeight="false" outlineLevel="0" collapsed="false">
      <c r="A2646" s="2" t="n">
        <v>2642</v>
      </c>
      <c r="B2646" s="2" t="s">
        <v>7772</v>
      </c>
      <c r="C2646" s="2" t="s">
        <v>7773</v>
      </c>
      <c r="D2646" s="2"/>
      <c r="E2646" s="2" t="str">
        <f aca="false">LEFT(C2646,3)</f>
        <v>754</v>
      </c>
      <c r="F2646" s="2" t="str">
        <f aca="false">IF(D2646="","",LEFT(D2646,3))</f>
        <v/>
      </c>
      <c r="G2646" s="2" t="str">
        <f aca="false">IF(F2646="","",IF(E2646=F2646,"Yes","No"))</f>
        <v/>
      </c>
      <c r="H2646" s="2" t="n">
        <f aca="false">IF(D2646="",0,1/COUNTIF($D$2:$D$3451,D2646))</f>
        <v>0</v>
      </c>
      <c r="I2646" s="13" t="n">
        <f aca="false">IFERROR(INDEX('NCO-2015 scores'!$C$2:$C$131,MATCH(E2646,'NCO-2015 scores'!$A$2:$A$131,0)),0)</f>
        <v>0.172</v>
      </c>
      <c r="J2646" s="13" t="n">
        <f aca="false">IF(ISNUMBER(MATCH(E2646,'NCO-2015 scores'!$A$2:$A$131,0)),IF(ISNUMBER(INDEX('NCO-2015 scores'!$C$2:$C$131,MATCH(E2646,'NCO-2015 scores'!$A$2:$A$131,0))),1,0),0)</f>
        <v>1</v>
      </c>
    </row>
    <row r="2647" customFormat="false" ht="15" hidden="false" customHeight="false" outlineLevel="0" collapsed="false">
      <c r="A2647" s="2" t="n">
        <v>2643</v>
      </c>
      <c r="B2647" s="2" t="s">
        <v>7774</v>
      </c>
      <c r="C2647" s="2" t="s">
        <v>7775</v>
      </c>
      <c r="D2647" s="2"/>
      <c r="E2647" s="2" t="str">
        <f aca="false">LEFT(C2647,3)</f>
        <v>754</v>
      </c>
      <c r="F2647" s="2" t="str">
        <f aca="false">IF(D2647="","",LEFT(D2647,3))</f>
        <v/>
      </c>
      <c r="G2647" s="2" t="str">
        <f aca="false">IF(F2647="","",IF(E2647=F2647,"Yes","No"))</f>
        <v/>
      </c>
      <c r="H2647" s="2" t="n">
        <f aca="false">IF(D2647="",0,1/COUNTIF($D$2:$D$3451,D2647))</f>
        <v>0</v>
      </c>
      <c r="I2647" s="13" t="n">
        <f aca="false">IFERROR(INDEX('NCO-2015 scores'!$C$2:$C$131,MATCH(E2647,'NCO-2015 scores'!$A$2:$A$131,0)),0)</f>
        <v>0.172</v>
      </c>
      <c r="J2647" s="13" t="n">
        <f aca="false">IF(ISNUMBER(MATCH(E2647,'NCO-2015 scores'!$A$2:$A$131,0)),IF(ISNUMBER(INDEX('NCO-2015 scores'!$C$2:$C$131,MATCH(E2647,'NCO-2015 scores'!$A$2:$A$131,0))),1,0),0)</f>
        <v>1</v>
      </c>
    </row>
    <row r="2648" customFormat="false" ht="15" hidden="false" customHeight="false" outlineLevel="0" collapsed="false">
      <c r="A2648" s="2" t="n">
        <v>2644</v>
      </c>
      <c r="B2648" s="2" t="s">
        <v>7776</v>
      </c>
      <c r="C2648" s="2" t="s">
        <v>7777</v>
      </c>
      <c r="D2648" s="2"/>
      <c r="E2648" s="2" t="str">
        <f aca="false">LEFT(C2648,3)</f>
        <v>754</v>
      </c>
      <c r="F2648" s="2" t="str">
        <f aca="false">IF(D2648="","",LEFT(D2648,3))</f>
        <v/>
      </c>
      <c r="G2648" s="2" t="str">
        <f aca="false">IF(F2648="","",IF(E2648=F2648,"Yes","No"))</f>
        <v/>
      </c>
      <c r="H2648" s="2" t="n">
        <f aca="false">IF(D2648="",0,1/COUNTIF($D$2:$D$3451,D2648))</f>
        <v>0</v>
      </c>
      <c r="I2648" s="13" t="n">
        <f aca="false">IFERROR(INDEX('NCO-2015 scores'!$C$2:$C$131,MATCH(E2648,'NCO-2015 scores'!$A$2:$A$131,0)),0)</f>
        <v>0.172</v>
      </c>
      <c r="J2648" s="13" t="n">
        <f aca="false">IF(ISNUMBER(MATCH(E2648,'NCO-2015 scores'!$A$2:$A$131,0)),IF(ISNUMBER(INDEX('NCO-2015 scores'!$C$2:$C$131,MATCH(E2648,'NCO-2015 scores'!$A$2:$A$131,0))),1,0),0)</f>
        <v>1</v>
      </c>
    </row>
    <row r="2649" customFormat="false" ht="15" hidden="false" customHeight="false" outlineLevel="0" collapsed="false">
      <c r="A2649" s="2" t="n">
        <v>2645</v>
      </c>
      <c r="B2649" s="2" t="s">
        <v>7778</v>
      </c>
      <c r="C2649" s="2" t="s">
        <v>7779</v>
      </c>
      <c r="D2649" s="2"/>
      <c r="E2649" s="2" t="str">
        <f aca="false">LEFT(C2649,3)</f>
        <v>754</v>
      </c>
      <c r="F2649" s="2" t="str">
        <f aca="false">IF(D2649="","",LEFT(D2649,3))</f>
        <v/>
      </c>
      <c r="G2649" s="2" t="str">
        <f aca="false">IF(F2649="","",IF(E2649=F2649,"Yes","No"))</f>
        <v/>
      </c>
      <c r="H2649" s="2" t="n">
        <f aca="false">IF(D2649="",0,1/COUNTIF($D$2:$D$3451,D2649))</f>
        <v>0</v>
      </c>
      <c r="I2649" s="13" t="n">
        <f aca="false">IFERROR(INDEX('NCO-2015 scores'!$C$2:$C$131,MATCH(E2649,'NCO-2015 scores'!$A$2:$A$131,0)),0)</f>
        <v>0.172</v>
      </c>
      <c r="J2649" s="13" t="n">
        <f aca="false">IF(ISNUMBER(MATCH(E2649,'NCO-2015 scores'!$A$2:$A$131,0)),IF(ISNUMBER(INDEX('NCO-2015 scores'!$C$2:$C$131,MATCH(E2649,'NCO-2015 scores'!$A$2:$A$131,0))),1,0),0)</f>
        <v>1</v>
      </c>
    </row>
    <row r="2650" customFormat="false" ht="15" hidden="false" customHeight="false" outlineLevel="0" collapsed="false">
      <c r="A2650" s="2" t="n">
        <v>2646</v>
      </c>
      <c r="B2650" s="2" t="s">
        <v>7780</v>
      </c>
      <c r="C2650" s="2" t="s">
        <v>7781</v>
      </c>
      <c r="D2650" s="2" t="s">
        <v>7782</v>
      </c>
      <c r="E2650" s="2" t="str">
        <f aca="false">LEFT(C2650,3)</f>
        <v>754</v>
      </c>
      <c r="F2650" s="2" t="str">
        <f aca="false">IF(D2650="","",LEFT(D2650,3))</f>
        <v>315</v>
      </c>
      <c r="G2650" s="2" t="str">
        <f aca="false">IF(F2650="","",IF(E2650=F2650,"Yes","No"))</f>
        <v>No</v>
      </c>
      <c r="H2650" s="2" t="n">
        <f aca="false">IF(D2650="",0,1/COUNTIF($D$2:$D$3451,D2650))</f>
        <v>1</v>
      </c>
      <c r="I2650" s="13" t="n">
        <f aca="false">IFERROR(INDEX('NCO-2015 scores'!$C$2:$C$131,MATCH(E2650,'NCO-2015 scores'!$A$2:$A$131,0)),0)</f>
        <v>0.172</v>
      </c>
      <c r="J2650" s="13" t="n">
        <f aca="false">IF(ISNUMBER(MATCH(E2650,'NCO-2015 scores'!$A$2:$A$131,0)),IF(ISNUMBER(INDEX('NCO-2015 scores'!$C$2:$C$131,MATCH(E2650,'NCO-2015 scores'!$A$2:$A$131,0))),1,0),0)</f>
        <v>1</v>
      </c>
    </row>
    <row r="2651" customFormat="false" ht="15" hidden="false" customHeight="false" outlineLevel="0" collapsed="false">
      <c r="A2651" s="2" t="n">
        <v>2647</v>
      </c>
      <c r="B2651" s="2" t="s">
        <v>3069</v>
      </c>
      <c r="C2651" s="2" t="s">
        <v>7783</v>
      </c>
      <c r="D2651" s="2"/>
      <c r="E2651" s="2" t="str">
        <f aca="false">LEFT(C2651,3)</f>
        <v>754</v>
      </c>
      <c r="F2651" s="2" t="str">
        <f aca="false">IF(D2651="","",LEFT(D2651,3))</f>
        <v/>
      </c>
      <c r="G2651" s="2" t="str">
        <f aca="false">IF(F2651="","",IF(E2651=F2651,"Yes","No"))</f>
        <v/>
      </c>
      <c r="H2651" s="2" t="n">
        <f aca="false">IF(D2651="",0,1/COUNTIF($D$2:$D$3451,D2651))</f>
        <v>0</v>
      </c>
      <c r="I2651" s="13" t="n">
        <f aca="false">IFERROR(INDEX('NCO-2015 scores'!$C$2:$C$131,MATCH(E2651,'NCO-2015 scores'!$A$2:$A$131,0)),0)</f>
        <v>0.172</v>
      </c>
      <c r="J2651" s="13" t="n">
        <f aca="false">IF(ISNUMBER(MATCH(E2651,'NCO-2015 scores'!$A$2:$A$131,0)),IF(ISNUMBER(INDEX('NCO-2015 scores'!$C$2:$C$131,MATCH(E2651,'NCO-2015 scores'!$A$2:$A$131,0))),1,0),0)</f>
        <v>1</v>
      </c>
    </row>
    <row r="2652" customFormat="false" ht="15" hidden="false" customHeight="false" outlineLevel="0" collapsed="false">
      <c r="A2652" s="2" t="n">
        <v>2648</v>
      </c>
      <c r="B2652" s="2" t="s">
        <v>7784</v>
      </c>
      <c r="C2652" s="2" t="s">
        <v>7785</v>
      </c>
      <c r="D2652" s="2"/>
      <c r="E2652" s="2" t="str">
        <f aca="false">LEFT(C2652,3)</f>
        <v>754</v>
      </c>
      <c r="F2652" s="2" t="str">
        <f aca="false">IF(D2652="","",LEFT(D2652,3))</f>
        <v/>
      </c>
      <c r="G2652" s="2" t="str">
        <f aca="false">IF(F2652="","",IF(E2652=F2652,"Yes","No"))</f>
        <v/>
      </c>
      <c r="H2652" s="2" t="n">
        <f aca="false">IF(D2652="",0,1/COUNTIF($D$2:$D$3451,D2652))</f>
        <v>0</v>
      </c>
      <c r="I2652" s="13" t="n">
        <f aca="false">IFERROR(INDEX('NCO-2015 scores'!$C$2:$C$131,MATCH(E2652,'NCO-2015 scores'!$A$2:$A$131,0)),0)</f>
        <v>0.172</v>
      </c>
      <c r="J2652" s="13" t="n">
        <f aca="false">IF(ISNUMBER(MATCH(E2652,'NCO-2015 scores'!$A$2:$A$131,0)),IF(ISNUMBER(INDEX('NCO-2015 scores'!$C$2:$C$131,MATCH(E2652,'NCO-2015 scores'!$A$2:$A$131,0))),1,0),0)</f>
        <v>1</v>
      </c>
    </row>
    <row r="2653" customFormat="false" ht="15" hidden="false" customHeight="false" outlineLevel="0" collapsed="false">
      <c r="A2653" s="2" t="n">
        <v>2649</v>
      </c>
      <c r="B2653" s="2" t="s">
        <v>7786</v>
      </c>
      <c r="C2653" s="2" t="s">
        <v>7787</v>
      </c>
      <c r="D2653" s="2"/>
      <c r="E2653" s="2" t="str">
        <f aca="false">LEFT(C2653,3)</f>
        <v>754</v>
      </c>
      <c r="F2653" s="2" t="str">
        <f aca="false">IF(D2653="","",LEFT(D2653,3))</f>
        <v/>
      </c>
      <c r="G2653" s="2" t="str">
        <f aca="false">IF(F2653="","",IF(E2653=F2653,"Yes","No"))</f>
        <v/>
      </c>
      <c r="H2653" s="2" t="n">
        <f aca="false">IF(D2653="",0,1/COUNTIF($D$2:$D$3451,D2653))</f>
        <v>0</v>
      </c>
      <c r="I2653" s="13" t="n">
        <f aca="false">IFERROR(INDEX('NCO-2015 scores'!$C$2:$C$131,MATCH(E2653,'NCO-2015 scores'!$A$2:$A$131,0)),0)</f>
        <v>0.172</v>
      </c>
      <c r="J2653" s="13" t="n">
        <f aca="false">IF(ISNUMBER(MATCH(E2653,'NCO-2015 scores'!$A$2:$A$131,0)),IF(ISNUMBER(INDEX('NCO-2015 scores'!$C$2:$C$131,MATCH(E2653,'NCO-2015 scores'!$A$2:$A$131,0))),1,0),0)</f>
        <v>1</v>
      </c>
    </row>
    <row r="2654" customFormat="false" ht="15" hidden="false" customHeight="false" outlineLevel="0" collapsed="false">
      <c r="A2654" s="2" t="n">
        <v>2650</v>
      </c>
      <c r="B2654" s="2" t="s">
        <v>7788</v>
      </c>
      <c r="C2654" s="2" t="s">
        <v>7789</v>
      </c>
      <c r="D2654" s="2"/>
      <c r="E2654" s="2" t="str">
        <f aca="false">LEFT(C2654,3)</f>
        <v>754</v>
      </c>
      <c r="F2654" s="2" t="str">
        <f aca="false">IF(D2654="","",LEFT(D2654,3))</f>
        <v/>
      </c>
      <c r="G2654" s="2" t="str">
        <f aca="false">IF(F2654="","",IF(E2654=F2654,"Yes","No"))</f>
        <v/>
      </c>
      <c r="H2654" s="2" t="n">
        <f aca="false">IF(D2654="",0,1/COUNTIF($D$2:$D$3451,D2654))</f>
        <v>0</v>
      </c>
      <c r="I2654" s="13" t="n">
        <f aca="false">IFERROR(INDEX('NCO-2015 scores'!$C$2:$C$131,MATCH(E2654,'NCO-2015 scores'!$A$2:$A$131,0)),0)</f>
        <v>0.172</v>
      </c>
      <c r="J2654" s="13" t="n">
        <f aca="false">IF(ISNUMBER(MATCH(E2654,'NCO-2015 scores'!$A$2:$A$131,0)),IF(ISNUMBER(INDEX('NCO-2015 scores'!$C$2:$C$131,MATCH(E2654,'NCO-2015 scores'!$A$2:$A$131,0))),1,0),0)</f>
        <v>1</v>
      </c>
    </row>
    <row r="2655" customFormat="false" ht="15" hidden="false" customHeight="false" outlineLevel="0" collapsed="false">
      <c r="A2655" s="2" t="n">
        <v>2651</v>
      </c>
      <c r="B2655" s="2" t="s">
        <v>7790</v>
      </c>
      <c r="C2655" s="2" t="s">
        <v>7791</v>
      </c>
      <c r="D2655" s="2"/>
      <c r="E2655" s="2" t="str">
        <f aca="false">LEFT(C2655,3)</f>
        <v>754</v>
      </c>
      <c r="F2655" s="2" t="str">
        <f aca="false">IF(D2655="","",LEFT(D2655,3))</f>
        <v/>
      </c>
      <c r="G2655" s="2" t="str">
        <f aca="false">IF(F2655="","",IF(E2655=F2655,"Yes","No"))</f>
        <v/>
      </c>
      <c r="H2655" s="2" t="n">
        <f aca="false">IF(D2655="",0,1/COUNTIF($D$2:$D$3451,D2655))</f>
        <v>0</v>
      </c>
      <c r="I2655" s="13" t="n">
        <f aca="false">IFERROR(INDEX('NCO-2015 scores'!$C$2:$C$131,MATCH(E2655,'NCO-2015 scores'!$A$2:$A$131,0)),0)</f>
        <v>0.172</v>
      </c>
      <c r="J2655" s="13" t="n">
        <f aca="false">IF(ISNUMBER(MATCH(E2655,'NCO-2015 scores'!$A$2:$A$131,0)),IF(ISNUMBER(INDEX('NCO-2015 scores'!$C$2:$C$131,MATCH(E2655,'NCO-2015 scores'!$A$2:$A$131,0))),1,0),0)</f>
        <v>1</v>
      </c>
    </row>
    <row r="2656" customFormat="false" ht="15" hidden="false" customHeight="false" outlineLevel="0" collapsed="false">
      <c r="A2656" s="2" t="n">
        <v>2652</v>
      </c>
      <c r="B2656" s="2" t="s">
        <v>7792</v>
      </c>
      <c r="C2656" s="2" t="s">
        <v>7793</v>
      </c>
      <c r="D2656" s="2"/>
      <c r="E2656" s="2" t="str">
        <f aca="false">LEFT(C2656,3)</f>
        <v>754</v>
      </c>
      <c r="F2656" s="2" t="str">
        <f aca="false">IF(D2656="","",LEFT(D2656,3))</f>
        <v/>
      </c>
      <c r="G2656" s="2" t="str">
        <f aca="false">IF(F2656="","",IF(E2656=F2656,"Yes","No"))</f>
        <v/>
      </c>
      <c r="H2656" s="2" t="n">
        <f aca="false">IF(D2656="",0,1/COUNTIF($D$2:$D$3451,D2656))</f>
        <v>0</v>
      </c>
      <c r="I2656" s="13" t="n">
        <f aca="false">IFERROR(INDEX('NCO-2015 scores'!$C$2:$C$131,MATCH(E2656,'NCO-2015 scores'!$A$2:$A$131,0)),0)</f>
        <v>0.172</v>
      </c>
      <c r="J2656" s="13" t="n">
        <f aca="false">IF(ISNUMBER(MATCH(E2656,'NCO-2015 scores'!$A$2:$A$131,0)),IF(ISNUMBER(INDEX('NCO-2015 scores'!$C$2:$C$131,MATCH(E2656,'NCO-2015 scores'!$A$2:$A$131,0))),1,0),0)</f>
        <v>1</v>
      </c>
    </row>
    <row r="2657" customFormat="false" ht="15" hidden="false" customHeight="false" outlineLevel="0" collapsed="false">
      <c r="A2657" s="2" t="n">
        <v>2653</v>
      </c>
      <c r="B2657" s="2" t="s">
        <v>7794</v>
      </c>
      <c r="C2657" s="2" t="s">
        <v>7795</v>
      </c>
      <c r="D2657" s="2"/>
      <c r="E2657" s="2" t="str">
        <f aca="false">LEFT(C2657,3)</f>
        <v>754</v>
      </c>
      <c r="F2657" s="2" t="str">
        <f aca="false">IF(D2657="","",LEFT(D2657,3))</f>
        <v/>
      </c>
      <c r="G2657" s="2" t="str">
        <f aca="false">IF(F2657="","",IF(E2657=F2657,"Yes","No"))</f>
        <v/>
      </c>
      <c r="H2657" s="2" t="n">
        <f aca="false">IF(D2657="",0,1/COUNTIF($D$2:$D$3451,D2657))</f>
        <v>0</v>
      </c>
      <c r="I2657" s="13" t="n">
        <f aca="false">IFERROR(INDEX('NCO-2015 scores'!$C$2:$C$131,MATCH(E2657,'NCO-2015 scores'!$A$2:$A$131,0)),0)</f>
        <v>0.172</v>
      </c>
      <c r="J2657" s="13" t="n">
        <f aca="false">IF(ISNUMBER(MATCH(E2657,'NCO-2015 scores'!$A$2:$A$131,0)),IF(ISNUMBER(INDEX('NCO-2015 scores'!$C$2:$C$131,MATCH(E2657,'NCO-2015 scores'!$A$2:$A$131,0))),1,0),0)</f>
        <v>1</v>
      </c>
    </row>
    <row r="2658" customFormat="false" ht="15" hidden="false" customHeight="false" outlineLevel="0" collapsed="false">
      <c r="A2658" s="2" t="n">
        <v>2654</v>
      </c>
      <c r="B2658" s="2" t="s">
        <v>7796</v>
      </c>
      <c r="C2658" s="2" t="s">
        <v>7797</v>
      </c>
      <c r="D2658" s="2"/>
      <c r="E2658" s="2" t="str">
        <f aca="false">LEFT(C2658,3)</f>
        <v>754</v>
      </c>
      <c r="F2658" s="2" t="str">
        <f aca="false">IF(D2658="","",LEFT(D2658,3))</f>
        <v/>
      </c>
      <c r="G2658" s="2" t="str">
        <f aca="false">IF(F2658="","",IF(E2658=F2658,"Yes","No"))</f>
        <v/>
      </c>
      <c r="H2658" s="2" t="n">
        <f aca="false">IF(D2658="",0,1/COUNTIF($D$2:$D$3451,D2658))</f>
        <v>0</v>
      </c>
      <c r="I2658" s="13" t="n">
        <f aca="false">IFERROR(INDEX('NCO-2015 scores'!$C$2:$C$131,MATCH(E2658,'NCO-2015 scores'!$A$2:$A$131,0)),0)</f>
        <v>0.172</v>
      </c>
      <c r="J2658" s="13" t="n">
        <f aca="false">IF(ISNUMBER(MATCH(E2658,'NCO-2015 scores'!$A$2:$A$131,0)),IF(ISNUMBER(INDEX('NCO-2015 scores'!$C$2:$C$131,MATCH(E2658,'NCO-2015 scores'!$A$2:$A$131,0))),1,0),0)</f>
        <v>1</v>
      </c>
    </row>
    <row r="2659" customFormat="false" ht="15" hidden="false" customHeight="false" outlineLevel="0" collapsed="false">
      <c r="A2659" s="2" t="n">
        <v>2655</v>
      </c>
      <c r="B2659" s="2" t="s">
        <v>7798</v>
      </c>
      <c r="C2659" s="2" t="s">
        <v>7799</v>
      </c>
      <c r="D2659" s="2"/>
      <c r="E2659" s="2" t="str">
        <f aca="false">LEFT(C2659,3)</f>
        <v>754</v>
      </c>
      <c r="F2659" s="2" t="str">
        <f aca="false">IF(D2659="","",LEFT(D2659,3))</f>
        <v/>
      </c>
      <c r="G2659" s="2" t="str">
        <f aca="false">IF(F2659="","",IF(E2659=F2659,"Yes","No"))</f>
        <v/>
      </c>
      <c r="H2659" s="2" t="n">
        <f aca="false">IF(D2659="",0,1/COUNTIF($D$2:$D$3451,D2659))</f>
        <v>0</v>
      </c>
      <c r="I2659" s="13" t="n">
        <f aca="false">IFERROR(INDEX('NCO-2015 scores'!$C$2:$C$131,MATCH(E2659,'NCO-2015 scores'!$A$2:$A$131,0)),0)</f>
        <v>0.172</v>
      </c>
      <c r="J2659" s="13" t="n">
        <f aca="false">IF(ISNUMBER(MATCH(E2659,'NCO-2015 scores'!$A$2:$A$131,0)),IF(ISNUMBER(INDEX('NCO-2015 scores'!$C$2:$C$131,MATCH(E2659,'NCO-2015 scores'!$A$2:$A$131,0))),1,0),0)</f>
        <v>1</v>
      </c>
    </row>
    <row r="2660" customFormat="false" ht="15" hidden="false" customHeight="false" outlineLevel="0" collapsed="false">
      <c r="A2660" s="2" t="n">
        <v>2656</v>
      </c>
      <c r="B2660" s="2" t="s">
        <v>7800</v>
      </c>
      <c r="C2660" s="2" t="s">
        <v>7801</v>
      </c>
      <c r="D2660" s="2"/>
      <c r="E2660" s="2" t="str">
        <f aca="false">LEFT(C2660,3)</f>
        <v>754</v>
      </c>
      <c r="F2660" s="2" t="str">
        <f aca="false">IF(D2660="","",LEFT(D2660,3))</f>
        <v/>
      </c>
      <c r="G2660" s="2" t="str">
        <f aca="false">IF(F2660="","",IF(E2660=F2660,"Yes","No"))</f>
        <v/>
      </c>
      <c r="H2660" s="2" t="n">
        <f aca="false">IF(D2660="",0,1/COUNTIF($D$2:$D$3451,D2660))</f>
        <v>0</v>
      </c>
      <c r="I2660" s="13" t="n">
        <f aca="false">IFERROR(INDEX('NCO-2015 scores'!$C$2:$C$131,MATCH(E2660,'NCO-2015 scores'!$A$2:$A$131,0)),0)</f>
        <v>0.172</v>
      </c>
      <c r="J2660" s="13" t="n">
        <f aca="false">IF(ISNUMBER(MATCH(E2660,'NCO-2015 scores'!$A$2:$A$131,0)),IF(ISNUMBER(INDEX('NCO-2015 scores'!$C$2:$C$131,MATCH(E2660,'NCO-2015 scores'!$A$2:$A$131,0))),1,0),0)</f>
        <v>1</v>
      </c>
    </row>
    <row r="2661" customFormat="false" ht="15" hidden="false" customHeight="false" outlineLevel="0" collapsed="false">
      <c r="A2661" s="2" t="n">
        <v>2657</v>
      </c>
      <c r="B2661" s="2" t="s">
        <v>7802</v>
      </c>
      <c r="C2661" s="2" t="s">
        <v>7803</v>
      </c>
      <c r="D2661" s="2"/>
      <c r="E2661" s="2" t="str">
        <f aca="false">LEFT(C2661,3)</f>
        <v>754</v>
      </c>
      <c r="F2661" s="2" t="str">
        <f aca="false">IF(D2661="","",LEFT(D2661,3))</f>
        <v/>
      </c>
      <c r="G2661" s="2" t="str">
        <f aca="false">IF(F2661="","",IF(E2661=F2661,"Yes","No"))</f>
        <v/>
      </c>
      <c r="H2661" s="2" t="n">
        <f aca="false">IF(D2661="",0,1/COUNTIF($D$2:$D$3451,D2661))</f>
        <v>0</v>
      </c>
      <c r="I2661" s="13" t="n">
        <f aca="false">IFERROR(INDEX('NCO-2015 scores'!$C$2:$C$131,MATCH(E2661,'NCO-2015 scores'!$A$2:$A$131,0)),0)</f>
        <v>0.172</v>
      </c>
      <c r="J2661" s="13" t="n">
        <f aca="false">IF(ISNUMBER(MATCH(E2661,'NCO-2015 scores'!$A$2:$A$131,0)),IF(ISNUMBER(INDEX('NCO-2015 scores'!$C$2:$C$131,MATCH(E2661,'NCO-2015 scores'!$A$2:$A$131,0))),1,0),0)</f>
        <v>1</v>
      </c>
    </row>
    <row r="2662" customFormat="false" ht="15" hidden="false" customHeight="false" outlineLevel="0" collapsed="false">
      <c r="A2662" s="2" t="n">
        <v>2658</v>
      </c>
      <c r="B2662" s="2" t="s">
        <v>7804</v>
      </c>
      <c r="C2662" s="2" t="s">
        <v>7805</v>
      </c>
      <c r="D2662" s="2"/>
      <c r="E2662" s="2" t="str">
        <f aca="false">LEFT(C2662,3)</f>
        <v>754</v>
      </c>
      <c r="F2662" s="2" t="str">
        <f aca="false">IF(D2662="","",LEFT(D2662,3))</f>
        <v/>
      </c>
      <c r="G2662" s="2" t="str">
        <f aca="false">IF(F2662="","",IF(E2662=F2662,"Yes","No"))</f>
        <v/>
      </c>
      <c r="H2662" s="2" t="n">
        <f aca="false">IF(D2662="",0,1/COUNTIF($D$2:$D$3451,D2662))</f>
        <v>0</v>
      </c>
      <c r="I2662" s="13" t="n">
        <f aca="false">IFERROR(INDEX('NCO-2015 scores'!$C$2:$C$131,MATCH(E2662,'NCO-2015 scores'!$A$2:$A$131,0)),0)</f>
        <v>0.172</v>
      </c>
      <c r="J2662" s="13" t="n">
        <f aca="false">IF(ISNUMBER(MATCH(E2662,'NCO-2015 scores'!$A$2:$A$131,0)),IF(ISNUMBER(INDEX('NCO-2015 scores'!$C$2:$C$131,MATCH(E2662,'NCO-2015 scores'!$A$2:$A$131,0))),1,0),0)</f>
        <v>1</v>
      </c>
    </row>
    <row r="2663" customFormat="false" ht="15" hidden="false" customHeight="false" outlineLevel="0" collapsed="false">
      <c r="A2663" s="2" t="n">
        <v>2659</v>
      </c>
      <c r="B2663" s="2" t="s">
        <v>7806</v>
      </c>
      <c r="C2663" s="2" t="s">
        <v>7807</v>
      </c>
      <c r="D2663" s="2"/>
      <c r="E2663" s="2" t="str">
        <f aca="false">LEFT(C2663,3)</f>
        <v>754</v>
      </c>
      <c r="F2663" s="2" t="str">
        <f aca="false">IF(D2663="","",LEFT(D2663,3))</f>
        <v/>
      </c>
      <c r="G2663" s="2" t="str">
        <f aca="false">IF(F2663="","",IF(E2663=F2663,"Yes","No"))</f>
        <v/>
      </c>
      <c r="H2663" s="2" t="n">
        <f aca="false">IF(D2663="",0,1/COUNTIF($D$2:$D$3451,D2663))</f>
        <v>0</v>
      </c>
      <c r="I2663" s="13" t="n">
        <f aca="false">IFERROR(INDEX('NCO-2015 scores'!$C$2:$C$131,MATCH(E2663,'NCO-2015 scores'!$A$2:$A$131,0)),0)</f>
        <v>0.172</v>
      </c>
      <c r="J2663" s="13" t="n">
        <f aca="false">IF(ISNUMBER(MATCH(E2663,'NCO-2015 scores'!$A$2:$A$131,0)),IF(ISNUMBER(INDEX('NCO-2015 scores'!$C$2:$C$131,MATCH(E2663,'NCO-2015 scores'!$A$2:$A$131,0))),1,0),0)</f>
        <v>1</v>
      </c>
    </row>
    <row r="2664" customFormat="false" ht="15" hidden="false" customHeight="false" outlineLevel="0" collapsed="false">
      <c r="A2664" s="2" t="n">
        <v>2660</v>
      </c>
      <c r="B2664" s="2" t="s">
        <v>7808</v>
      </c>
      <c r="C2664" s="2" t="s">
        <v>7809</v>
      </c>
      <c r="D2664" s="2"/>
      <c r="E2664" s="2" t="str">
        <f aca="false">LEFT(C2664,3)</f>
        <v>754</v>
      </c>
      <c r="F2664" s="2" t="str">
        <f aca="false">IF(D2664="","",LEFT(D2664,3))</f>
        <v/>
      </c>
      <c r="G2664" s="2" t="str">
        <f aca="false">IF(F2664="","",IF(E2664=F2664,"Yes","No"))</f>
        <v/>
      </c>
      <c r="H2664" s="2" t="n">
        <f aca="false">IF(D2664="",0,1/COUNTIF($D$2:$D$3451,D2664))</f>
        <v>0</v>
      </c>
      <c r="I2664" s="13" t="n">
        <f aca="false">IFERROR(INDEX('NCO-2015 scores'!$C$2:$C$131,MATCH(E2664,'NCO-2015 scores'!$A$2:$A$131,0)),0)</f>
        <v>0.172</v>
      </c>
      <c r="J2664" s="13" t="n">
        <f aca="false">IF(ISNUMBER(MATCH(E2664,'NCO-2015 scores'!$A$2:$A$131,0)),IF(ISNUMBER(INDEX('NCO-2015 scores'!$C$2:$C$131,MATCH(E2664,'NCO-2015 scores'!$A$2:$A$131,0))),1,0),0)</f>
        <v>1</v>
      </c>
    </row>
    <row r="2665" customFormat="false" ht="15" hidden="false" customHeight="false" outlineLevel="0" collapsed="false">
      <c r="A2665" s="2" t="n">
        <v>2661</v>
      </c>
      <c r="B2665" s="2" t="s">
        <v>7810</v>
      </c>
      <c r="C2665" s="2" t="s">
        <v>7811</v>
      </c>
      <c r="D2665" s="2"/>
      <c r="E2665" s="2" t="str">
        <f aca="false">LEFT(C2665,3)</f>
        <v>754</v>
      </c>
      <c r="F2665" s="2" t="str">
        <f aca="false">IF(D2665="","",LEFT(D2665,3))</f>
        <v/>
      </c>
      <c r="G2665" s="2" t="str">
        <f aca="false">IF(F2665="","",IF(E2665=F2665,"Yes","No"))</f>
        <v/>
      </c>
      <c r="H2665" s="2" t="n">
        <f aca="false">IF(D2665="",0,1/COUNTIF($D$2:$D$3451,D2665))</f>
        <v>0</v>
      </c>
      <c r="I2665" s="13" t="n">
        <f aca="false">IFERROR(INDEX('NCO-2015 scores'!$C$2:$C$131,MATCH(E2665,'NCO-2015 scores'!$A$2:$A$131,0)),0)</f>
        <v>0.172</v>
      </c>
      <c r="J2665" s="13" t="n">
        <f aca="false">IF(ISNUMBER(MATCH(E2665,'NCO-2015 scores'!$A$2:$A$131,0)),IF(ISNUMBER(INDEX('NCO-2015 scores'!$C$2:$C$131,MATCH(E2665,'NCO-2015 scores'!$A$2:$A$131,0))),1,0),0)</f>
        <v>1</v>
      </c>
    </row>
    <row r="2666" customFormat="false" ht="15" hidden="false" customHeight="false" outlineLevel="0" collapsed="false">
      <c r="A2666" s="2" t="n">
        <v>2662</v>
      </c>
      <c r="B2666" s="2" t="s">
        <v>7812</v>
      </c>
      <c r="C2666" s="2" t="s">
        <v>7813</v>
      </c>
      <c r="D2666" s="2"/>
      <c r="E2666" s="2" t="str">
        <f aca="false">LEFT(C2666,3)</f>
        <v>754</v>
      </c>
      <c r="F2666" s="2" t="str">
        <f aca="false">IF(D2666="","",LEFT(D2666,3))</f>
        <v/>
      </c>
      <c r="G2666" s="2" t="str">
        <f aca="false">IF(F2666="","",IF(E2666=F2666,"Yes","No"))</f>
        <v/>
      </c>
      <c r="H2666" s="2" t="n">
        <f aca="false">IF(D2666="",0,1/COUNTIF($D$2:$D$3451,D2666))</f>
        <v>0</v>
      </c>
      <c r="I2666" s="13" t="n">
        <f aca="false">IFERROR(INDEX('NCO-2015 scores'!$C$2:$C$131,MATCH(E2666,'NCO-2015 scores'!$A$2:$A$131,0)),0)</f>
        <v>0.172</v>
      </c>
      <c r="J2666" s="13" t="n">
        <f aca="false">IF(ISNUMBER(MATCH(E2666,'NCO-2015 scores'!$A$2:$A$131,0)),IF(ISNUMBER(INDEX('NCO-2015 scores'!$C$2:$C$131,MATCH(E2666,'NCO-2015 scores'!$A$2:$A$131,0))),1,0),0)</f>
        <v>1</v>
      </c>
    </row>
    <row r="2667" customFormat="false" ht="15" hidden="false" customHeight="false" outlineLevel="0" collapsed="false">
      <c r="A2667" s="2" t="n">
        <v>2663</v>
      </c>
      <c r="B2667" s="2" t="s">
        <v>7814</v>
      </c>
      <c r="C2667" s="2" t="s">
        <v>7815</v>
      </c>
      <c r="D2667" s="2"/>
      <c r="E2667" s="2" t="str">
        <f aca="false">LEFT(C2667,3)</f>
        <v>754</v>
      </c>
      <c r="F2667" s="2" t="str">
        <f aca="false">IF(D2667="","",LEFT(D2667,3))</f>
        <v/>
      </c>
      <c r="G2667" s="2" t="str">
        <f aca="false">IF(F2667="","",IF(E2667=F2667,"Yes","No"))</f>
        <v/>
      </c>
      <c r="H2667" s="2" t="n">
        <f aca="false">IF(D2667="",0,1/COUNTIF($D$2:$D$3451,D2667))</f>
        <v>0</v>
      </c>
      <c r="I2667" s="13" t="n">
        <f aca="false">IFERROR(INDEX('NCO-2015 scores'!$C$2:$C$131,MATCH(E2667,'NCO-2015 scores'!$A$2:$A$131,0)),0)</f>
        <v>0.172</v>
      </c>
      <c r="J2667" s="13" t="n">
        <f aca="false">IF(ISNUMBER(MATCH(E2667,'NCO-2015 scores'!$A$2:$A$131,0)),IF(ISNUMBER(INDEX('NCO-2015 scores'!$C$2:$C$131,MATCH(E2667,'NCO-2015 scores'!$A$2:$A$131,0))),1,0),0)</f>
        <v>1</v>
      </c>
    </row>
    <row r="2668" customFormat="false" ht="15" hidden="false" customHeight="false" outlineLevel="0" collapsed="false">
      <c r="A2668" s="2" t="n">
        <v>2664</v>
      </c>
      <c r="B2668" s="2" t="s">
        <v>7816</v>
      </c>
      <c r="C2668" s="2" t="s">
        <v>7817</v>
      </c>
      <c r="D2668" s="2"/>
      <c r="E2668" s="2" t="str">
        <f aca="false">LEFT(C2668,3)</f>
        <v>432</v>
      </c>
      <c r="F2668" s="2" t="str">
        <f aca="false">IF(D2668="","",LEFT(D2668,3))</f>
        <v/>
      </c>
      <c r="G2668" s="2" t="str">
        <f aca="false">IF(F2668="","",IF(E2668=F2668,"Yes","No"))</f>
        <v/>
      </c>
      <c r="H2668" s="2" t="n">
        <f aca="false">IF(D2668="",0,1/COUNTIF($D$2:$D$3451,D2668))</f>
        <v>0</v>
      </c>
      <c r="I2668" s="13" t="n">
        <f aca="false">IFERROR(INDEX('NCO-2015 scores'!$C$2:$C$131,MATCH(E2668,'NCO-2015 scores'!$A$2:$A$131,0)),0)</f>
        <v>0.4367</v>
      </c>
      <c r="J2668" s="13" t="n">
        <f aca="false">IF(ISNUMBER(MATCH(E2668,'NCO-2015 scores'!$A$2:$A$131,0)),IF(ISNUMBER(INDEX('NCO-2015 scores'!$C$2:$C$131,MATCH(E2668,'NCO-2015 scores'!$A$2:$A$131,0))),1,0),0)</f>
        <v>1</v>
      </c>
    </row>
    <row r="2669" customFormat="false" ht="15" hidden="false" customHeight="false" outlineLevel="0" collapsed="false">
      <c r="A2669" s="2" t="n">
        <v>2665</v>
      </c>
      <c r="B2669" s="2" t="s">
        <v>7818</v>
      </c>
      <c r="C2669" s="2" t="s">
        <v>7819</v>
      </c>
      <c r="D2669" s="2"/>
      <c r="E2669" s="2" t="str">
        <f aca="false">LEFT(C2669,3)</f>
        <v>432</v>
      </c>
      <c r="F2669" s="2" t="str">
        <f aca="false">IF(D2669="","",LEFT(D2669,3))</f>
        <v/>
      </c>
      <c r="G2669" s="2" t="str">
        <f aca="false">IF(F2669="","",IF(E2669=F2669,"Yes","No"))</f>
        <v/>
      </c>
      <c r="H2669" s="2" t="n">
        <f aca="false">IF(D2669="",0,1/COUNTIF($D$2:$D$3451,D2669))</f>
        <v>0</v>
      </c>
      <c r="I2669" s="13" t="n">
        <f aca="false">IFERROR(INDEX('NCO-2015 scores'!$C$2:$C$131,MATCH(E2669,'NCO-2015 scores'!$A$2:$A$131,0)),0)</f>
        <v>0.4367</v>
      </c>
      <c r="J2669" s="13" t="n">
        <f aca="false">IF(ISNUMBER(MATCH(E2669,'NCO-2015 scores'!$A$2:$A$131,0)),IF(ISNUMBER(INDEX('NCO-2015 scores'!$C$2:$C$131,MATCH(E2669,'NCO-2015 scores'!$A$2:$A$131,0))),1,0),0)</f>
        <v>1</v>
      </c>
    </row>
    <row r="2670" customFormat="false" ht="15" hidden="false" customHeight="false" outlineLevel="0" collapsed="false">
      <c r="A2670" s="2" t="n">
        <v>2666</v>
      </c>
      <c r="B2670" s="2" t="s">
        <v>7820</v>
      </c>
      <c r="C2670" s="2" t="s">
        <v>7821</v>
      </c>
      <c r="D2670" s="2" t="s">
        <v>7822</v>
      </c>
      <c r="E2670" s="2" t="str">
        <f aca="false">LEFT(C2670,3)</f>
        <v>263</v>
      </c>
      <c r="F2670" s="2" t="str">
        <f aca="false">IF(D2670="","",LEFT(D2670,3))</f>
        <v>244</v>
      </c>
      <c r="G2670" s="2" t="str">
        <f aca="false">IF(F2670="","",IF(E2670=F2670,"Yes","No"))</f>
        <v>No</v>
      </c>
      <c r="H2670" s="2" t="n">
        <f aca="false">IF(D2670="",0,1/COUNTIF($D$2:$D$3451,D2670))</f>
        <v>1</v>
      </c>
      <c r="I2670" s="13" t="n">
        <f aca="false">IFERROR(INDEX('NCO-2015 scores'!$C$2:$C$131,MATCH(E2670,'NCO-2015 scores'!$A$2:$A$131,0)),0)</f>
        <v>0.39</v>
      </c>
      <c r="J2670" s="13" t="n">
        <f aca="false">IF(ISNUMBER(MATCH(E2670,'NCO-2015 scores'!$A$2:$A$131,0)),IF(ISNUMBER(INDEX('NCO-2015 scores'!$C$2:$C$131,MATCH(E2670,'NCO-2015 scores'!$A$2:$A$131,0))),1,0),0)</f>
        <v>1</v>
      </c>
    </row>
    <row r="2671" customFormat="false" ht="15" hidden="false" customHeight="false" outlineLevel="0" collapsed="false">
      <c r="A2671" s="2" t="n">
        <v>2667</v>
      </c>
      <c r="B2671" s="2" t="s">
        <v>7823</v>
      </c>
      <c r="C2671" s="2" t="s">
        <v>7824</v>
      </c>
      <c r="D2671" s="2" t="s">
        <v>7825</v>
      </c>
      <c r="E2671" s="2" t="str">
        <f aca="false">LEFT(C2671,3)</f>
        <v>263</v>
      </c>
      <c r="F2671" s="2" t="str">
        <f aca="false">IF(D2671="","",LEFT(D2671,3))</f>
        <v>244</v>
      </c>
      <c r="G2671" s="2" t="str">
        <f aca="false">IF(F2671="","",IF(E2671=F2671,"Yes","No"))</f>
        <v>No</v>
      </c>
      <c r="H2671" s="2" t="n">
        <f aca="false">IF(D2671="",0,1/COUNTIF($D$2:$D$3451,D2671))</f>
        <v>1</v>
      </c>
      <c r="I2671" s="13" t="n">
        <f aca="false">IFERROR(INDEX('NCO-2015 scores'!$C$2:$C$131,MATCH(E2671,'NCO-2015 scores'!$A$2:$A$131,0)),0)</f>
        <v>0.39</v>
      </c>
      <c r="J2671" s="13" t="n">
        <f aca="false">IF(ISNUMBER(MATCH(E2671,'NCO-2015 scores'!$A$2:$A$131,0)),IF(ISNUMBER(INDEX('NCO-2015 scores'!$C$2:$C$131,MATCH(E2671,'NCO-2015 scores'!$A$2:$A$131,0))),1,0),0)</f>
        <v>1</v>
      </c>
    </row>
    <row r="2672" customFormat="false" ht="15" hidden="false" customHeight="false" outlineLevel="0" collapsed="false">
      <c r="A2672" s="2" t="n">
        <v>2668</v>
      </c>
      <c r="B2672" s="2" t="s">
        <v>7826</v>
      </c>
      <c r="C2672" s="2" t="s">
        <v>7827</v>
      </c>
      <c r="D2672" s="2" t="s">
        <v>7828</v>
      </c>
      <c r="E2672" s="2" t="str">
        <f aca="false">LEFT(C2672,3)</f>
        <v>263</v>
      </c>
      <c r="F2672" s="2" t="str">
        <f aca="false">IF(D2672="","",LEFT(D2672,3))</f>
        <v>244</v>
      </c>
      <c r="G2672" s="2" t="str">
        <f aca="false">IF(F2672="","",IF(E2672=F2672,"Yes","No"))</f>
        <v>No</v>
      </c>
      <c r="H2672" s="2" t="n">
        <f aca="false">IF(D2672="",0,1/COUNTIF($D$2:$D$3451,D2672))</f>
        <v>1</v>
      </c>
      <c r="I2672" s="13" t="n">
        <f aca="false">IFERROR(INDEX('NCO-2015 scores'!$C$2:$C$131,MATCH(E2672,'NCO-2015 scores'!$A$2:$A$131,0)),0)</f>
        <v>0.39</v>
      </c>
      <c r="J2672" s="13" t="n">
        <f aca="false">IF(ISNUMBER(MATCH(E2672,'NCO-2015 scores'!$A$2:$A$131,0)),IF(ISNUMBER(INDEX('NCO-2015 scores'!$C$2:$C$131,MATCH(E2672,'NCO-2015 scores'!$A$2:$A$131,0))),1,0),0)</f>
        <v>1</v>
      </c>
    </row>
    <row r="2673" customFormat="false" ht="15" hidden="false" customHeight="false" outlineLevel="0" collapsed="false">
      <c r="A2673" s="2" t="n">
        <v>2669</v>
      </c>
      <c r="B2673" s="2" t="s">
        <v>7829</v>
      </c>
      <c r="C2673" s="2" t="s">
        <v>7830</v>
      </c>
      <c r="D2673" s="2" t="s">
        <v>7831</v>
      </c>
      <c r="E2673" s="2" t="str">
        <f aca="false">LEFT(C2673,3)</f>
        <v>263</v>
      </c>
      <c r="F2673" s="2" t="str">
        <f aca="false">IF(D2673="","",LEFT(D2673,3))</f>
        <v>244</v>
      </c>
      <c r="G2673" s="2" t="str">
        <f aca="false">IF(F2673="","",IF(E2673=F2673,"Yes","No"))</f>
        <v>No</v>
      </c>
      <c r="H2673" s="2" t="n">
        <f aca="false">IF(D2673="",0,1/COUNTIF($D$2:$D$3451,D2673))</f>
        <v>1</v>
      </c>
      <c r="I2673" s="13" t="n">
        <f aca="false">IFERROR(INDEX('NCO-2015 scores'!$C$2:$C$131,MATCH(E2673,'NCO-2015 scores'!$A$2:$A$131,0)),0)</f>
        <v>0.39</v>
      </c>
      <c r="J2673" s="13" t="n">
        <f aca="false">IF(ISNUMBER(MATCH(E2673,'NCO-2015 scores'!$A$2:$A$131,0)),IF(ISNUMBER(INDEX('NCO-2015 scores'!$C$2:$C$131,MATCH(E2673,'NCO-2015 scores'!$A$2:$A$131,0))),1,0),0)</f>
        <v>1</v>
      </c>
    </row>
    <row r="2674" customFormat="false" ht="15" hidden="false" customHeight="false" outlineLevel="0" collapsed="false">
      <c r="A2674" s="2" t="n">
        <v>2670</v>
      </c>
      <c r="B2674" s="2" t="s">
        <v>7832</v>
      </c>
      <c r="C2674" s="2" t="s">
        <v>7833</v>
      </c>
      <c r="D2674" s="2" t="s">
        <v>7834</v>
      </c>
      <c r="E2674" s="2" t="str">
        <f aca="false">LEFT(C2674,3)</f>
        <v>263</v>
      </c>
      <c r="F2674" s="2" t="str">
        <f aca="false">IF(D2674="","",LEFT(D2674,3))</f>
        <v>244</v>
      </c>
      <c r="G2674" s="2" t="str">
        <f aca="false">IF(F2674="","",IF(E2674=F2674,"Yes","No"))</f>
        <v>No</v>
      </c>
      <c r="H2674" s="2" t="n">
        <f aca="false">IF(D2674="",0,1/COUNTIF($D$2:$D$3451,D2674))</f>
        <v>1</v>
      </c>
      <c r="I2674" s="13" t="n">
        <f aca="false">IFERROR(INDEX('NCO-2015 scores'!$C$2:$C$131,MATCH(E2674,'NCO-2015 scores'!$A$2:$A$131,0)),0)</f>
        <v>0.39</v>
      </c>
      <c r="J2674" s="13" t="n">
        <f aca="false">IF(ISNUMBER(MATCH(E2674,'NCO-2015 scores'!$A$2:$A$131,0)),IF(ISNUMBER(INDEX('NCO-2015 scores'!$C$2:$C$131,MATCH(E2674,'NCO-2015 scores'!$A$2:$A$131,0))),1,0),0)</f>
        <v>1</v>
      </c>
    </row>
    <row r="2675" customFormat="false" ht="15" hidden="false" customHeight="false" outlineLevel="0" collapsed="false">
      <c r="A2675" s="2" t="n">
        <v>2671</v>
      </c>
      <c r="B2675" s="2" t="s">
        <v>7835</v>
      </c>
      <c r="C2675" s="2" t="s">
        <v>7836</v>
      </c>
      <c r="D2675" s="2" t="s">
        <v>7837</v>
      </c>
      <c r="E2675" s="2" t="str">
        <f aca="false">LEFT(C2675,3)</f>
        <v>263</v>
      </c>
      <c r="F2675" s="2" t="str">
        <f aca="false">IF(D2675="","",LEFT(D2675,3))</f>
        <v>244</v>
      </c>
      <c r="G2675" s="2" t="str">
        <f aca="false">IF(F2675="","",IF(E2675=F2675,"Yes","No"))</f>
        <v>No</v>
      </c>
      <c r="H2675" s="2" t="n">
        <f aca="false">IF(D2675="",0,1/COUNTIF($D$2:$D$3451,D2675))</f>
        <v>1</v>
      </c>
      <c r="I2675" s="13" t="n">
        <f aca="false">IFERROR(INDEX('NCO-2015 scores'!$C$2:$C$131,MATCH(E2675,'NCO-2015 scores'!$A$2:$A$131,0)),0)</f>
        <v>0.39</v>
      </c>
      <c r="J2675" s="13" t="n">
        <f aca="false">IF(ISNUMBER(MATCH(E2675,'NCO-2015 scores'!$A$2:$A$131,0)),IF(ISNUMBER(INDEX('NCO-2015 scores'!$C$2:$C$131,MATCH(E2675,'NCO-2015 scores'!$A$2:$A$131,0))),1,0),0)</f>
        <v>1</v>
      </c>
    </row>
    <row r="2676" customFormat="false" ht="15" hidden="false" customHeight="false" outlineLevel="0" collapsed="false">
      <c r="A2676" s="2" t="n">
        <v>2672</v>
      </c>
      <c r="B2676" s="2" t="s">
        <v>7838</v>
      </c>
      <c r="C2676" s="2" t="s">
        <v>7839</v>
      </c>
      <c r="D2676" s="2" t="s">
        <v>7840</v>
      </c>
      <c r="E2676" s="2" t="str">
        <f aca="false">LEFT(C2676,3)</f>
        <v>263</v>
      </c>
      <c r="F2676" s="2" t="str">
        <f aca="false">IF(D2676="","",LEFT(D2676,3))</f>
        <v>244</v>
      </c>
      <c r="G2676" s="2" t="str">
        <f aca="false">IF(F2676="","",IF(E2676=F2676,"Yes","No"))</f>
        <v>No</v>
      </c>
      <c r="H2676" s="2" t="n">
        <f aca="false">IF(D2676="",0,1/COUNTIF($D$2:$D$3451,D2676))</f>
        <v>1</v>
      </c>
      <c r="I2676" s="13" t="n">
        <f aca="false">IFERROR(INDEX('NCO-2015 scores'!$C$2:$C$131,MATCH(E2676,'NCO-2015 scores'!$A$2:$A$131,0)),0)</f>
        <v>0.39</v>
      </c>
      <c r="J2676" s="13" t="n">
        <f aca="false">IF(ISNUMBER(MATCH(E2676,'NCO-2015 scores'!$A$2:$A$131,0)),IF(ISNUMBER(INDEX('NCO-2015 scores'!$C$2:$C$131,MATCH(E2676,'NCO-2015 scores'!$A$2:$A$131,0))),1,0),0)</f>
        <v>1</v>
      </c>
    </row>
    <row r="2677" customFormat="false" ht="15" hidden="false" customHeight="false" outlineLevel="0" collapsed="false">
      <c r="A2677" s="2" t="n">
        <v>2673</v>
      </c>
      <c r="B2677" s="2" t="s">
        <v>7841</v>
      </c>
      <c r="C2677" s="2" t="s">
        <v>7842</v>
      </c>
      <c r="D2677" s="2" t="s">
        <v>7843</v>
      </c>
      <c r="E2677" s="2" t="str">
        <f aca="false">LEFT(C2677,3)</f>
        <v>263</v>
      </c>
      <c r="F2677" s="2" t="str">
        <f aca="false">IF(D2677="","",LEFT(D2677,3))</f>
        <v>244</v>
      </c>
      <c r="G2677" s="2" t="str">
        <f aca="false">IF(F2677="","",IF(E2677=F2677,"Yes","No"))</f>
        <v>No</v>
      </c>
      <c r="H2677" s="2" t="n">
        <f aca="false">IF(D2677="",0,1/COUNTIF($D$2:$D$3451,D2677))</f>
        <v>1</v>
      </c>
      <c r="I2677" s="13" t="n">
        <f aca="false">IFERROR(INDEX('NCO-2015 scores'!$C$2:$C$131,MATCH(E2677,'NCO-2015 scores'!$A$2:$A$131,0)),0)</f>
        <v>0.39</v>
      </c>
      <c r="J2677" s="13" t="n">
        <f aca="false">IF(ISNUMBER(MATCH(E2677,'NCO-2015 scores'!$A$2:$A$131,0)),IF(ISNUMBER(INDEX('NCO-2015 scores'!$C$2:$C$131,MATCH(E2677,'NCO-2015 scores'!$A$2:$A$131,0))),1,0),0)</f>
        <v>1</v>
      </c>
    </row>
    <row r="2678" customFormat="false" ht="15" hidden="false" customHeight="false" outlineLevel="0" collapsed="false">
      <c r="A2678" s="2" t="n">
        <v>2674</v>
      </c>
      <c r="B2678" s="2" t="s">
        <v>7844</v>
      </c>
      <c r="C2678" s="2" t="s">
        <v>7845</v>
      </c>
      <c r="D2678" s="2" t="s">
        <v>7846</v>
      </c>
      <c r="E2678" s="2" t="str">
        <f aca="false">LEFT(C2678,3)</f>
        <v>263</v>
      </c>
      <c r="F2678" s="2" t="str">
        <f aca="false">IF(D2678="","",LEFT(D2678,3))</f>
        <v>244</v>
      </c>
      <c r="G2678" s="2" t="str">
        <f aca="false">IF(F2678="","",IF(E2678=F2678,"Yes","No"))</f>
        <v>No</v>
      </c>
      <c r="H2678" s="2" t="n">
        <f aca="false">IF(D2678="",0,1/COUNTIF($D$2:$D$3451,D2678))</f>
        <v>1</v>
      </c>
      <c r="I2678" s="13" t="n">
        <f aca="false">IFERROR(INDEX('NCO-2015 scores'!$C$2:$C$131,MATCH(E2678,'NCO-2015 scores'!$A$2:$A$131,0)),0)</f>
        <v>0.39</v>
      </c>
      <c r="J2678" s="13" t="n">
        <f aca="false">IF(ISNUMBER(MATCH(E2678,'NCO-2015 scores'!$A$2:$A$131,0)),IF(ISNUMBER(INDEX('NCO-2015 scores'!$C$2:$C$131,MATCH(E2678,'NCO-2015 scores'!$A$2:$A$131,0))),1,0),0)</f>
        <v>1</v>
      </c>
    </row>
    <row r="2679" customFormat="false" ht="15" hidden="false" customHeight="false" outlineLevel="0" collapsed="false">
      <c r="A2679" s="2" t="n">
        <v>2675</v>
      </c>
      <c r="B2679" s="2" t="s">
        <v>7847</v>
      </c>
      <c r="C2679" s="2" t="s">
        <v>7848</v>
      </c>
      <c r="D2679" s="2" t="s">
        <v>7849</v>
      </c>
      <c r="E2679" s="2" t="str">
        <f aca="false">LEFT(C2679,3)</f>
        <v>243</v>
      </c>
      <c r="F2679" s="2" t="str">
        <f aca="false">IF(D2679="","",LEFT(D2679,3))</f>
        <v>241</v>
      </c>
      <c r="G2679" s="2" t="str">
        <f aca="false">IF(F2679="","",IF(E2679=F2679,"Yes","No"))</f>
        <v>No</v>
      </c>
      <c r="H2679" s="2" t="n">
        <f aca="false">IF(D2679="",0,1/COUNTIF($D$2:$D$3451,D2679))</f>
        <v>1</v>
      </c>
      <c r="I2679" s="13" t="n">
        <f aca="false">IFERROR(INDEX('NCO-2015 scores'!$C$2:$C$131,MATCH(E2679,'NCO-2015 scores'!$A$2:$A$131,0)),0)</f>
        <v>0.4975</v>
      </c>
      <c r="J2679" s="13" t="n">
        <f aca="false">IF(ISNUMBER(MATCH(E2679,'NCO-2015 scores'!$A$2:$A$131,0)),IF(ISNUMBER(INDEX('NCO-2015 scores'!$C$2:$C$131,MATCH(E2679,'NCO-2015 scores'!$A$2:$A$131,0))),1,0),0)</f>
        <v>1</v>
      </c>
    </row>
    <row r="2680" customFormat="false" ht="15" hidden="false" customHeight="false" outlineLevel="0" collapsed="false">
      <c r="A2680" s="2" t="n">
        <v>2676</v>
      </c>
      <c r="B2680" s="2" t="s">
        <v>7850</v>
      </c>
      <c r="C2680" s="2" t="s">
        <v>7851</v>
      </c>
      <c r="D2680" s="2" t="s">
        <v>7852</v>
      </c>
      <c r="E2680" s="2" t="str">
        <f aca="false">LEFT(C2680,3)</f>
        <v>243</v>
      </c>
      <c r="F2680" s="2" t="str">
        <f aca="false">IF(D2680="","",LEFT(D2680,3))</f>
        <v>241</v>
      </c>
      <c r="G2680" s="2" t="str">
        <f aca="false">IF(F2680="","",IF(E2680=F2680,"Yes","No"))</f>
        <v>No</v>
      </c>
      <c r="H2680" s="2" t="n">
        <f aca="false">IF(D2680="",0,1/COUNTIF($D$2:$D$3451,D2680))</f>
        <v>1</v>
      </c>
      <c r="I2680" s="13" t="n">
        <f aca="false">IFERROR(INDEX('NCO-2015 scores'!$C$2:$C$131,MATCH(E2680,'NCO-2015 scores'!$A$2:$A$131,0)),0)</f>
        <v>0.4975</v>
      </c>
      <c r="J2680" s="13" t="n">
        <f aca="false">IF(ISNUMBER(MATCH(E2680,'NCO-2015 scores'!$A$2:$A$131,0)),IF(ISNUMBER(INDEX('NCO-2015 scores'!$C$2:$C$131,MATCH(E2680,'NCO-2015 scores'!$A$2:$A$131,0))),1,0),0)</f>
        <v>1</v>
      </c>
    </row>
    <row r="2681" customFormat="false" ht="15" hidden="false" customHeight="false" outlineLevel="0" collapsed="false">
      <c r="A2681" s="2" t="n">
        <v>2677</v>
      </c>
      <c r="B2681" s="2" t="s">
        <v>7853</v>
      </c>
      <c r="C2681" s="2" t="s">
        <v>7854</v>
      </c>
      <c r="D2681" s="2" t="s">
        <v>7855</v>
      </c>
      <c r="E2681" s="2" t="str">
        <f aca="false">LEFT(C2681,3)</f>
        <v>243</v>
      </c>
      <c r="F2681" s="2" t="str">
        <f aca="false">IF(D2681="","",LEFT(D2681,3))</f>
        <v>241</v>
      </c>
      <c r="G2681" s="2" t="str">
        <f aca="false">IF(F2681="","",IF(E2681=F2681,"Yes","No"))</f>
        <v>No</v>
      </c>
      <c r="H2681" s="2" t="n">
        <f aca="false">IF(D2681="",0,1/COUNTIF($D$2:$D$3451,D2681))</f>
        <v>1</v>
      </c>
      <c r="I2681" s="13" t="n">
        <f aca="false">IFERROR(INDEX('NCO-2015 scores'!$C$2:$C$131,MATCH(E2681,'NCO-2015 scores'!$A$2:$A$131,0)),0)</f>
        <v>0.4975</v>
      </c>
      <c r="J2681" s="13" t="n">
        <f aca="false">IF(ISNUMBER(MATCH(E2681,'NCO-2015 scores'!$A$2:$A$131,0)),IF(ISNUMBER(INDEX('NCO-2015 scores'!$C$2:$C$131,MATCH(E2681,'NCO-2015 scores'!$A$2:$A$131,0))),1,0),0)</f>
        <v>1</v>
      </c>
    </row>
    <row r="2682" customFormat="false" ht="15" hidden="false" customHeight="false" outlineLevel="0" collapsed="false">
      <c r="A2682" s="2" t="n">
        <v>2678</v>
      </c>
      <c r="B2682" s="2" t="s">
        <v>7856</v>
      </c>
      <c r="C2682" s="2" t="s">
        <v>7857</v>
      </c>
      <c r="D2682" s="2" t="s">
        <v>7858</v>
      </c>
      <c r="E2682" s="2" t="str">
        <f aca="false">LEFT(C2682,3)</f>
        <v>243</v>
      </c>
      <c r="F2682" s="2" t="str">
        <f aca="false">IF(D2682="","",LEFT(D2682,3))</f>
        <v>241</v>
      </c>
      <c r="G2682" s="2" t="str">
        <f aca="false">IF(F2682="","",IF(E2682=F2682,"Yes","No"))</f>
        <v>No</v>
      </c>
      <c r="H2682" s="2" t="n">
        <f aca="false">IF(D2682="",0,1/COUNTIF($D$2:$D$3451,D2682))</f>
        <v>1</v>
      </c>
      <c r="I2682" s="13" t="n">
        <f aca="false">IFERROR(INDEX('NCO-2015 scores'!$C$2:$C$131,MATCH(E2682,'NCO-2015 scores'!$A$2:$A$131,0)),0)</f>
        <v>0.4975</v>
      </c>
      <c r="J2682" s="13" t="n">
        <f aca="false">IF(ISNUMBER(MATCH(E2682,'NCO-2015 scores'!$A$2:$A$131,0)),IF(ISNUMBER(INDEX('NCO-2015 scores'!$C$2:$C$131,MATCH(E2682,'NCO-2015 scores'!$A$2:$A$131,0))),1,0),0)</f>
        <v>1</v>
      </c>
    </row>
    <row r="2683" customFormat="false" ht="15" hidden="false" customHeight="false" outlineLevel="0" collapsed="false">
      <c r="A2683" s="2" t="n">
        <v>2679</v>
      </c>
      <c r="B2683" s="2" t="s">
        <v>7859</v>
      </c>
      <c r="C2683" s="2" t="s">
        <v>7860</v>
      </c>
      <c r="D2683" s="2"/>
      <c r="E2683" s="2" t="str">
        <f aca="false">LEFT(C2683,3)</f>
        <v>243</v>
      </c>
      <c r="F2683" s="2" t="str">
        <f aca="false">IF(D2683="","",LEFT(D2683,3))</f>
        <v/>
      </c>
      <c r="G2683" s="2" t="str">
        <f aca="false">IF(F2683="","",IF(E2683=F2683,"Yes","No"))</f>
        <v/>
      </c>
      <c r="H2683" s="2" t="n">
        <f aca="false">IF(D2683="",0,1/COUNTIF($D$2:$D$3451,D2683))</f>
        <v>0</v>
      </c>
      <c r="I2683" s="13" t="n">
        <f aca="false">IFERROR(INDEX('NCO-2015 scores'!$C$2:$C$131,MATCH(E2683,'NCO-2015 scores'!$A$2:$A$131,0)),0)</f>
        <v>0.4975</v>
      </c>
      <c r="J2683" s="13" t="n">
        <f aca="false">IF(ISNUMBER(MATCH(E2683,'NCO-2015 scores'!$A$2:$A$131,0)),IF(ISNUMBER(INDEX('NCO-2015 scores'!$C$2:$C$131,MATCH(E2683,'NCO-2015 scores'!$A$2:$A$131,0))),1,0),0)</f>
        <v>1</v>
      </c>
    </row>
    <row r="2684" customFormat="false" ht="15" hidden="false" customHeight="false" outlineLevel="0" collapsed="false">
      <c r="A2684" s="2" t="n">
        <v>2680</v>
      </c>
      <c r="B2684" s="2" t="s">
        <v>7861</v>
      </c>
      <c r="C2684" s="2" t="s">
        <v>7862</v>
      </c>
      <c r="D2684" s="2" t="s">
        <v>7863</v>
      </c>
      <c r="E2684" s="2" t="str">
        <f aca="false">LEFT(C2684,3)</f>
        <v>817</v>
      </c>
      <c r="F2684" s="2" t="str">
        <f aca="false">IF(D2684="","",LEFT(D2684,3))</f>
        <v>814</v>
      </c>
      <c r="G2684" s="2" t="str">
        <f aca="false">IF(F2684="","",IF(E2684=F2684,"Yes","No"))</f>
        <v>No</v>
      </c>
      <c r="H2684" s="2" t="n">
        <f aca="false">IF(D2684="",0,1/COUNTIF($D$2:$D$3451,D2684))</f>
        <v>1</v>
      </c>
      <c r="I2684" s="13" t="n">
        <f aca="false">IFERROR(INDEX('NCO-2015 scores'!$C$2:$C$131,MATCH(E2684,'NCO-2015 scores'!$A$2:$A$131,0)),0)</f>
        <v>0.21</v>
      </c>
      <c r="J2684" s="13" t="n">
        <f aca="false">IF(ISNUMBER(MATCH(E2684,'NCO-2015 scores'!$A$2:$A$131,0)),IF(ISNUMBER(INDEX('NCO-2015 scores'!$C$2:$C$131,MATCH(E2684,'NCO-2015 scores'!$A$2:$A$131,0))),1,0),0)</f>
        <v>1</v>
      </c>
    </row>
    <row r="2685" customFormat="false" ht="15" hidden="false" customHeight="false" outlineLevel="0" collapsed="false">
      <c r="A2685" s="2" t="n">
        <v>2681</v>
      </c>
      <c r="B2685" s="2" t="s">
        <v>7864</v>
      </c>
      <c r="C2685" s="2" t="s">
        <v>7865</v>
      </c>
      <c r="D2685" s="2" t="s">
        <v>7866</v>
      </c>
      <c r="E2685" s="2" t="str">
        <f aca="false">LEFT(C2685,3)</f>
        <v>817</v>
      </c>
      <c r="F2685" s="2" t="str">
        <f aca="false">IF(D2685="","",LEFT(D2685,3))</f>
        <v>814</v>
      </c>
      <c r="G2685" s="2" t="str">
        <f aca="false">IF(F2685="","",IF(E2685=F2685,"Yes","No"))</f>
        <v>No</v>
      </c>
      <c r="H2685" s="2" t="n">
        <f aca="false">IF(D2685="",0,1/COUNTIF($D$2:$D$3451,D2685))</f>
        <v>1</v>
      </c>
      <c r="I2685" s="13" t="n">
        <f aca="false">IFERROR(INDEX('NCO-2015 scores'!$C$2:$C$131,MATCH(E2685,'NCO-2015 scores'!$A$2:$A$131,0)),0)</f>
        <v>0.21</v>
      </c>
      <c r="J2685" s="13" t="n">
        <f aca="false">IF(ISNUMBER(MATCH(E2685,'NCO-2015 scores'!$A$2:$A$131,0)),IF(ISNUMBER(INDEX('NCO-2015 scores'!$C$2:$C$131,MATCH(E2685,'NCO-2015 scores'!$A$2:$A$131,0))),1,0),0)</f>
        <v>1</v>
      </c>
    </row>
    <row r="2686" customFormat="false" ht="15" hidden="false" customHeight="false" outlineLevel="0" collapsed="false">
      <c r="A2686" s="2" t="n">
        <v>2682</v>
      </c>
      <c r="B2686" s="2" t="s">
        <v>7867</v>
      </c>
      <c r="C2686" s="2" t="s">
        <v>7868</v>
      </c>
      <c r="D2686" s="2" t="s">
        <v>7869</v>
      </c>
      <c r="E2686" s="2" t="str">
        <f aca="false">LEFT(C2686,3)</f>
        <v>817</v>
      </c>
      <c r="F2686" s="2" t="str">
        <f aca="false">IF(D2686="","",LEFT(D2686,3))</f>
        <v>814</v>
      </c>
      <c r="G2686" s="2" t="str">
        <f aca="false">IF(F2686="","",IF(E2686=F2686,"Yes","No"))</f>
        <v>No</v>
      </c>
      <c r="H2686" s="2" t="n">
        <f aca="false">IF(D2686="",0,1/COUNTIF($D$2:$D$3451,D2686))</f>
        <v>1</v>
      </c>
      <c r="I2686" s="13" t="n">
        <f aca="false">IFERROR(INDEX('NCO-2015 scores'!$C$2:$C$131,MATCH(E2686,'NCO-2015 scores'!$A$2:$A$131,0)),0)</f>
        <v>0.21</v>
      </c>
      <c r="J2686" s="13" t="n">
        <f aca="false">IF(ISNUMBER(MATCH(E2686,'NCO-2015 scores'!$A$2:$A$131,0)),IF(ISNUMBER(INDEX('NCO-2015 scores'!$C$2:$C$131,MATCH(E2686,'NCO-2015 scores'!$A$2:$A$131,0))),1,0),0)</f>
        <v>1</v>
      </c>
    </row>
    <row r="2687" customFormat="false" ht="15" hidden="false" customHeight="false" outlineLevel="0" collapsed="false">
      <c r="A2687" s="2" t="n">
        <v>2683</v>
      </c>
      <c r="B2687" s="2" t="s">
        <v>7870</v>
      </c>
      <c r="C2687" s="2" t="s">
        <v>7871</v>
      </c>
      <c r="D2687" s="2" t="s">
        <v>7872</v>
      </c>
      <c r="E2687" s="2" t="str">
        <f aca="false">LEFT(C2687,3)</f>
        <v>817</v>
      </c>
      <c r="F2687" s="2" t="str">
        <f aca="false">IF(D2687="","",LEFT(D2687,3))</f>
        <v>814</v>
      </c>
      <c r="G2687" s="2" t="str">
        <f aca="false">IF(F2687="","",IF(E2687=F2687,"Yes","No"))</f>
        <v>No</v>
      </c>
      <c r="H2687" s="2" t="n">
        <f aca="false">IF(D2687="",0,1/COUNTIF($D$2:$D$3451,D2687))</f>
        <v>1</v>
      </c>
      <c r="I2687" s="13" t="n">
        <f aca="false">IFERROR(INDEX('NCO-2015 scores'!$C$2:$C$131,MATCH(E2687,'NCO-2015 scores'!$A$2:$A$131,0)),0)</f>
        <v>0.21</v>
      </c>
      <c r="J2687" s="13" t="n">
        <f aca="false">IF(ISNUMBER(MATCH(E2687,'NCO-2015 scores'!$A$2:$A$131,0)),IF(ISNUMBER(INDEX('NCO-2015 scores'!$C$2:$C$131,MATCH(E2687,'NCO-2015 scores'!$A$2:$A$131,0))),1,0),0)</f>
        <v>1</v>
      </c>
    </row>
    <row r="2688" customFormat="false" ht="15" hidden="false" customHeight="false" outlineLevel="0" collapsed="false">
      <c r="A2688" s="2" t="n">
        <v>2684</v>
      </c>
      <c r="B2688" s="2" t="s">
        <v>7873</v>
      </c>
      <c r="C2688" s="2" t="s">
        <v>7874</v>
      </c>
      <c r="D2688" s="2" t="s">
        <v>7875</v>
      </c>
      <c r="E2688" s="2" t="str">
        <f aca="false">LEFT(C2688,3)</f>
        <v>817</v>
      </c>
      <c r="F2688" s="2" t="str">
        <f aca="false">IF(D2688="","",LEFT(D2688,3))</f>
        <v>814</v>
      </c>
      <c r="G2688" s="2" t="str">
        <f aca="false">IF(F2688="","",IF(E2688=F2688,"Yes","No"))</f>
        <v>No</v>
      </c>
      <c r="H2688" s="2" t="n">
        <f aca="false">IF(D2688="",0,1/COUNTIF($D$2:$D$3451,D2688))</f>
        <v>1</v>
      </c>
      <c r="I2688" s="13" t="n">
        <f aca="false">IFERROR(INDEX('NCO-2015 scores'!$C$2:$C$131,MATCH(E2688,'NCO-2015 scores'!$A$2:$A$131,0)),0)</f>
        <v>0.21</v>
      </c>
      <c r="J2688" s="13" t="n">
        <f aca="false">IF(ISNUMBER(MATCH(E2688,'NCO-2015 scores'!$A$2:$A$131,0)),IF(ISNUMBER(INDEX('NCO-2015 scores'!$C$2:$C$131,MATCH(E2688,'NCO-2015 scores'!$A$2:$A$131,0))),1,0),0)</f>
        <v>1</v>
      </c>
    </row>
    <row r="2689" customFormat="false" ht="15" hidden="false" customHeight="false" outlineLevel="0" collapsed="false">
      <c r="A2689" s="2" t="n">
        <v>2685</v>
      </c>
      <c r="B2689" s="2" t="s">
        <v>7876</v>
      </c>
      <c r="C2689" s="2" t="s">
        <v>7877</v>
      </c>
      <c r="D2689" s="2" t="s">
        <v>7878</v>
      </c>
      <c r="E2689" s="2" t="str">
        <f aca="false">LEFT(C2689,3)</f>
        <v>817</v>
      </c>
      <c r="F2689" s="2" t="str">
        <f aca="false">IF(D2689="","",LEFT(D2689,3))</f>
        <v>814</v>
      </c>
      <c r="G2689" s="2" t="str">
        <f aca="false">IF(F2689="","",IF(E2689=F2689,"Yes","No"))</f>
        <v>No</v>
      </c>
      <c r="H2689" s="2" t="n">
        <f aca="false">IF(D2689="",0,1/COUNTIF($D$2:$D$3451,D2689))</f>
        <v>1</v>
      </c>
      <c r="I2689" s="13" t="n">
        <f aca="false">IFERROR(INDEX('NCO-2015 scores'!$C$2:$C$131,MATCH(E2689,'NCO-2015 scores'!$A$2:$A$131,0)),0)</f>
        <v>0.21</v>
      </c>
      <c r="J2689" s="13" t="n">
        <f aca="false">IF(ISNUMBER(MATCH(E2689,'NCO-2015 scores'!$A$2:$A$131,0)),IF(ISNUMBER(INDEX('NCO-2015 scores'!$C$2:$C$131,MATCH(E2689,'NCO-2015 scores'!$A$2:$A$131,0))),1,0),0)</f>
        <v>1</v>
      </c>
    </row>
    <row r="2690" customFormat="false" ht="15" hidden="false" customHeight="false" outlineLevel="0" collapsed="false">
      <c r="A2690" s="2" t="n">
        <v>2686</v>
      </c>
      <c r="B2690" s="2" t="s">
        <v>7879</v>
      </c>
      <c r="C2690" s="2" t="s">
        <v>7880</v>
      </c>
      <c r="D2690" s="2" t="s">
        <v>7881</v>
      </c>
      <c r="E2690" s="2" t="str">
        <f aca="false">LEFT(C2690,3)</f>
        <v>817</v>
      </c>
      <c r="F2690" s="2" t="str">
        <f aca="false">IF(D2690="","",LEFT(D2690,3))</f>
        <v>814</v>
      </c>
      <c r="G2690" s="2" t="str">
        <f aca="false">IF(F2690="","",IF(E2690=F2690,"Yes","No"))</f>
        <v>No</v>
      </c>
      <c r="H2690" s="2" t="n">
        <f aca="false">IF(D2690="",0,1/COUNTIF($D$2:$D$3451,D2690))</f>
        <v>1</v>
      </c>
      <c r="I2690" s="13" t="n">
        <f aca="false">IFERROR(INDEX('NCO-2015 scores'!$C$2:$C$131,MATCH(E2690,'NCO-2015 scores'!$A$2:$A$131,0)),0)</f>
        <v>0.21</v>
      </c>
      <c r="J2690" s="13" t="n">
        <f aca="false">IF(ISNUMBER(MATCH(E2690,'NCO-2015 scores'!$A$2:$A$131,0)),IF(ISNUMBER(INDEX('NCO-2015 scores'!$C$2:$C$131,MATCH(E2690,'NCO-2015 scores'!$A$2:$A$131,0))),1,0),0)</f>
        <v>1</v>
      </c>
    </row>
    <row r="2691" customFormat="false" ht="15" hidden="false" customHeight="false" outlineLevel="0" collapsed="false">
      <c r="A2691" s="2" t="n">
        <v>2687</v>
      </c>
      <c r="B2691" s="2" t="s">
        <v>7882</v>
      </c>
      <c r="C2691" s="2" t="s">
        <v>7883</v>
      </c>
      <c r="D2691" s="2" t="s">
        <v>7884</v>
      </c>
      <c r="E2691" s="2" t="str">
        <f aca="false">LEFT(C2691,3)</f>
        <v>817</v>
      </c>
      <c r="F2691" s="2" t="str">
        <f aca="false">IF(D2691="","",LEFT(D2691,3))</f>
        <v>814</v>
      </c>
      <c r="G2691" s="2" t="str">
        <f aca="false">IF(F2691="","",IF(E2691=F2691,"Yes","No"))</f>
        <v>No</v>
      </c>
      <c r="H2691" s="2" t="n">
        <f aca="false">IF(D2691="",0,1/COUNTIF($D$2:$D$3451,D2691))</f>
        <v>1</v>
      </c>
      <c r="I2691" s="13" t="n">
        <f aca="false">IFERROR(INDEX('NCO-2015 scores'!$C$2:$C$131,MATCH(E2691,'NCO-2015 scores'!$A$2:$A$131,0)),0)</f>
        <v>0.21</v>
      </c>
      <c r="J2691" s="13" t="n">
        <f aca="false">IF(ISNUMBER(MATCH(E2691,'NCO-2015 scores'!$A$2:$A$131,0)),IF(ISNUMBER(INDEX('NCO-2015 scores'!$C$2:$C$131,MATCH(E2691,'NCO-2015 scores'!$A$2:$A$131,0))),1,0),0)</f>
        <v>1</v>
      </c>
    </row>
    <row r="2692" customFormat="false" ht="15" hidden="false" customHeight="false" outlineLevel="0" collapsed="false">
      <c r="A2692" s="2" t="n">
        <v>2688</v>
      </c>
      <c r="B2692" s="2" t="s">
        <v>7885</v>
      </c>
      <c r="C2692" s="2" t="s">
        <v>7886</v>
      </c>
      <c r="D2692" s="2" t="s">
        <v>7887</v>
      </c>
      <c r="E2692" s="2" t="str">
        <f aca="false">LEFT(C2692,3)</f>
        <v>817</v>
      </c>
      <c r="F2692" s="2" t="str">
        <f aca="false">IF(D2692="","",LEFT(D2692,3))</f>
        <v>814</v>
      </c>
      <c r="G2692" s="2" t="str">
        <f aca="false">IF(F2692="","",IF(E2692=F2692,"Yes","No"))</f>
        <v>No</v>
      </c>
      <c r="H2692" s="2" t="n">
        <f aca="false">IF(D2692="",0,1/COUNTIF($D$2:$D$3451,D2692))</f>
        <v>1</v>
      </c>
      <c r="I2692" s="13" t="n">
        <f aca="false">IFERROR(INDEX('NCO-2015 scores'!$C$2:$C$131,MATCH(E2692,'NCO-2015 scores'!$A$2:$A$131,0)),0)</f>
        <v>0.21</v>
      </c>
      <c r="J2692" s="13" t="n">
        <f aca="false">IF(ISNUMBER(MATCH(E2692,'NCO-2015 scores'!$A$2:$A$131,0)),IF(ISNUMBER(INDEX('NCO-2015 scores'!$C$2:$C$131,MATCH(E2692,'NCO-2015 scores'!$A$2:$A$131,0))),1,0),0)</f>
        <v>1</v>
      </c>
    </row>
    <row r="2693" customFormat="false" ht="15" hidden="false" customHeight="false" outlineLevel="0" collapsed="false">
      <c r="A2693" s="2" t="n">
        <v>2689</v>
      </c>
      <c r="B2693" s="2" t="s">
        <v>7888</v>
      </c>
      <c r="C2693" s="2" t="s">
        <v>7889</v>
      </c>
      <c r="D2693" s="2" t="s">
        <v>7890</v>
      </c>
      <c r="E2693" s="2" t="str">
        <f aca="false">LEFT(C2693,3)</f>
        <v>817</v>
      </c>
      <c r="F2693" s="2" t="str">
        <f aca="false">IF(D2693="","",LEFT(D2693,3))</f>
        <v>814</v>
      </c>
      <c r="G2693" s="2" t="str">
        <f aca="false">IF(F2693="","",IF(E2693=F2693,"Yes","No"))</f>
        <v>No</v>
      </c>
      <c r="H2693" s="2" t="n">
        <f aca="false">IF(D2693="",0,1/COUNTIF($D$2:$D$3451,D2693))</f>
        <v>1</v>
      </c>
      <c r="I2693" s="13" t="n">
        <f aca="false">IFERROR(INDEX('NCO-2015 scores'!$C$2:$C$131,MATCH(E2693,'NCO-2015 scores'!$A$2:$A$131,0)),0)</f>
        <v>0.21</v>
      </c>
      <c r="J2693" s="13" t="n">
        <f aca="false">IF(ISNUMBER(MATCH(E2693,'NCO-2015 scores'!$A$2:$A$131,0)),IF(ISNUMBER(INDEX('NCO-2015 scores'!$C$2:$C$131,MATCH(E2693,'NCO-2015 scores'!$A$2:$A$131,0))),1,0),0)</f>
        <v>1</v>
      </c>
    </row>
    <row r="2694" customFormat="false" ht="15" hidden="false" customHeight="false" outlineLevel="0" collapsed="false">
      <c r="A2694" s="2" t="n">
        <v>2690</v>
      </c>
      <c r="B2694" s="2" t="s">
        <v>7891</v>
      </c>
      <c r="C2694" s="2" t="s">
        <v>7892</v>
      </c>
      <c r="D2694" s="2" t="s">
        <v>7893</v>
      </c>
      <c r="E2694" s="2" t="str">
        <f aca="false">LEFT(C2694,3)</f>
        <v>817</v>
      </c>
      <c r="F2694" s="2" t="str">
        <f aca="false">IF(D2694="","",LEFT(D2694,3))</f>
        <v>814</v>
      </c>
      <c r="G2694" s="2" t="str">
        <f aca="false">IF(F2694="","",IF(E2694=F2694,"Yes","No"))</f>
        <v>No</v>
      </c>
      <c r="H2694" s="2" t="n">
        <f aca="false">IF(D2694="",0,1/COUNTIF($D$2:$D$3451,D2694))</f>
        <v>1</v>
      </c>
      <c r="I2694" s="13" t="n">
        <f aca="false">IFERROR(INDEX('NCO-2015 scores'!$C$2:$C$131,MATCH(E2694,'NCO-2015 scores'!$A$2:$A$131,0)),0)</f>
        <v>0.21</v>
      </c>
      <c r="J2694" s="13" t="n">
        <f aca="false">IF(ISNUMBER(MATCH(E2694,'NCO-2015 scores'!$A$2:$A$131,0)),IF(ISNUMBER(INDEX('NCO-2015 scores'!$C$2:$C$131,MATCH(E2694,'NCO-2015 scores'!$A$2:$A$131,0))),1,0),0)</f>
        <v>1</v>
      </c>
    </row>
    <row r="2695" customFormat="false" ht="15" hidden="false" customHeight="false" outlineLevel="0" collapsed="false">
      <c r="A2695" s="2" t="n">
        <v>2691</v>
      </c>
      <c r="B2695" s="2" t="s">
        <v>7894</v>
      </c>
      <c r="C2695" s="2" t="s">
        <v>7895</v>
      </c>
      <c r="D2695" s="2" t="s">
        <v>7896</v>
      </c>
      <c r="E2695" s="2" t="str">
        <f aca="false">LEFT(C2695,3)</f>
        <v>817</v>
      </c>
      <c r="F2695" s="2" t="str">
        <f aca="false">IF(D2695="","",LEFT(D2695,3))</f>
        <v>814</v>
      </c>
      <c r="G2695" s="2" t="str">
        <f aca="false">IF(F2695="","",IF(E2695=F2695,"Yes","No"))</f>
        <v>No</v>
      </c>
      <c r="H2695" s="2" t="n">
        <f aca="false">IF(D2695="",0,1/COUNTIF($D$2:$D$3451,D2695))</f>
        <v>1</v>
      </c>
      <c r="I2695" s="13" t="n">
        <f aca="false">IFERROR(INDEX('NCO-2015 scores'!$C$2:$C$131,MATCH(E2695,'NCO-2015 scores'!$A$2:$A$131,0)),0)</f>
        <v>0.21</v>
      </c>
      <c r="J2695" s="13" t="n">
        <f aca="false">IF(ISNUMBER(MATCH(E2695,'NCO-2015 scores'!$A$2:$A$131,0)),IF(ISNUMBER(INDEX('NCO-2015 scores'!$C$2:$C$131,MATCH(E2695,'NCO-2015 scores'!$A$2:$A$131,0))),1,0),0)</f>
        <v>1</v>
      </c>
    </row>
    <row r="2696" customFormat="false" ht="15" hidden="false" customHeight="false" outlineLevel="0" collapsed="false">
      <c r="A2696" s="2" t="n">
        <v>2692</v>
      </c>
      <c r="B2696" s="2" t="s">
        <v>7897</v>
      </c>
      <c r="C2696" s="2" t="s">
        <v>7898</v>
      </c>
      <c r="D2696" s="2" t="s">
        <v>7899</v>
      </c>
      <c r="E2696" s="2" t="str">
        <f aca="false">LEFT(C2696,3)</f>
        <v>817</v>
      </c>
      <c r="F2696" s="2" t="str">
        <f aca="false">IF(D2696="","",LEFT(D2696,3))</f>
        <v>814</v>
      </c>
      <c r="G2696" s="2" t="str">
        <f aca="false">IF(F2696="","",IF(E2696=F2696,"Yes","No"))</f>
        <v>No</v>
      </c>
      <c r="H2696" s="2" t="n">
        <f aca="false">IF(D2696="",0,1/COUNTIF($D$2:$D$3451,D2696))</f>
        <v>1</v>
      </c>
      <c r="I2696" s="13" t="n">
        <f aca="false">IFERROR(INDEX('NCO-2015 scores'!$C$2:$C$131,MATCH(E2696,'NCO-2015 scores'!$A$2:$A$131,0)),0)</f>
        <v>0.21</v>
      </c>
      <c r="J2696" s="13" t="n">
        <f aca="false">IF(ISNUMBER(MATCH(E2696,'NCO-2015 scores'!$A$2:$A$131,0)),IF(ISNUMBER(INDEX('NCO-2015 scores'!$C$2:$C$131,MATCH(E2696,'NCO-2015 scores'!$A$2:$A$131,0))),1,0),0)</f>
        <v>1</v>
      </c>
    </row>
    <row r="2697" customFormat="false" ht="15" hidden="false" customHeight="false" outlineLevel="0" collapsed="false">
      <c r="A2697" s="2" t="n">
        <v>2693</v>
      </c>
      <c r="B2697" s="2" t="s">
        <v>7900</v>
      </c>
      <c r="C2697" s="2" t="s">
        <v>7901</v>
      </c>
      <c r="D2697" s="2" t="s">
        <v>7902</v>
      </c>
      <c r="E2697" s="2" t="str">
        <f aca="false">LEFT(C2697,3)</f>
        <v>817</v>
      </c>
      <c r="F2697" s="2" t="str">
        <f aca="false">IF(D2697="","",LEFT(D2697,3))</f>
        <v>814</v>
      </c>
      <c r="G2697" s="2" t="str">
        <f aca="false">IF(F2697="","",IF(E2697=F2697,"Yes","No"))</f>
        <v>No</v>
      </c>
      <c r="H2697" s="2" t="n">
        <f aca="false">IF(D2697="",0,1/COUNTIF($D$2:$D$3451,D2697))</f>
        <v>1</v>
      </c>
      <c r="I2697" s="13" t="n">
        <f aca="false">IFERROR(INDEX('NCO-2015 scores'!$C$2:$C$131,MATCH(E2697,'NCO-2015 scores'!$A$2:$A$131,0)),0)</f>
        <v>0.21</v>
      </c>
      <c r="J2697" s="13" t="n">
        <f aca="false">IF(ISNUMBER(MATCH(E2697,'NCO-2015 scores'!$A$2:$A$131,0)),IF(ISNUMBER(INDEX('NCO-2015 scores'!$C$2:$C$131,MATCH(E2697,'NCO-2015 scores'!$A$2:$A$131,0))),1,0),0)</f>
        <v>1</v>
      </c>
    </row>
    <row r="2698" customFormat="false" ht="15" hidden="false" customHeight="false" outlineLevel="0" collapsed="false">
      <c r="A2698" s="2" t="n">
        <v>2694</v>
      </c>
      <c r="B2698" s="2" t="s">
        <v>7903</v>
      </c>
      <c r="C2698" s="2" t="s">
        <v>7904</v>
      </c>
      <c r="D2698" s="2" t="s">
        <v>7905</v>
      </c>
      <c r="E2698" s="2" t="str">
        <f aca="false">LEFT(C2698,3)</f>
        <v>817</v>
      </c>
      <c r="F2698" s="2" t="str">
        <f aca="false">IF(D2698="","",LEFT(D2698,3))</f>
        <v>814</v>
      </c>
      <c r="G2698" s="2" t="str">
        <f aca="false">IF(F2698="","",IF(E2698=F2698,"Yes","No"))</f>
        <v>No</v>
      </c>
      <c r="H2698" s="2" t="n">
        <f aca="false">IF(D2698="",0,1/COUNTIF($D$2:$D$3451,D2698))</f>
        <v>1</v>
      </c>
      <c r="I2698" s="13" t="n">
        <f aca="false">IFERROR(INDEX('NCO-2015 scores'!$C$2:$C$131,MATCH(E2698,'NCO-2015 scores'!$A$2:$A$131,0)),0)</f>
        <v>0.21</v>
      </c>
      <c r="J2698" s="13" t="n">
        <f aca="false">IF(ISNUMBER(MATCH(E2698,'NCO-2015 scores'!$A$2:$A$131,0)),IF(ISNUMBER(INDEX('NCO-2015 scores'!$C$2:$C$131,MATCH(E2698,'NCO-2015 scores'!$A$2:$A$131,0))),1,0),0)</f>
        <v>1</v>
      </c>
    </row>
    <row r="2699" customFormat="false" ht="15" hidden="false" customHeight="false" outlineLevel="0" collapsed="false">
      <c r="A2699" s="2" t="n">
        <v>2695</v>
      </c>
      <c r="B2699" s="2" t="s">
        <v>7906</v>
      </c>
      <c r="C2699" s="2" t="s">
        <v>7907</v>
      </c>
      <c r="D2699" s="2" t="s">
        <v>7908</v>
      </c>
      <c r="E2699" s="2" t="str">
        <f aca="false">LEFT(C2699,3)</f>
        <v>817</v>
      </c>
      <c r="F2699" s="2" t="str">
        <f aca="false">IF(D2699="","",LEFT(D2699,3))</f>
        <v>814</v>
      </c>
      <c r="G2699" s="2" t="str">
        <f aca="false">IF(F2699="","",IF(E2699=F2699,"Yes","No"))</f>
        <v>No</v>
      </c>
      <c r="H2699" s="2" t="n">
        <f aca="false">IF(D2699="",0,1/COUNTIF($D$2:$D$3451,D2699))</f>
        <v>1</v>
      </c>
      <c r="I2699" s="13" t="n">
        <f aca="false">IFERROR(INDEX('NCO-2015 scores'!$C$2:$C$131,MATCH(E2699,'NCO-2015 scores'!$A$2:$A$131,0)),0)</f>
        <v>0.21</v>
      </c>
      <c r="J2699" s="13" t="n">
        <f aca="false">IF(ISNUMBER(MATCH(E2699,'NCO-2015 scores'!$A$2:$A$131,0)),IF(ISNUMBER(INDEX('NCO-2015 scores'!$C$2:$C$131,MATCH(E2699,'NCO-2015 scores'!$A$2:$A$131,0))),1,0),0)</f>
        <v>1</v>
      </c>
    </row>
    <row r="2700" customFormat="false" ht="15" hidden="false" customHeight="false" outlineLevel="0" collapsed="false">
      <c r="A2700" s="2" t="n">
        <v>2696</v>
      </c>
      <c r="B2700" s="2" t="s">
        <v>7909</v>
      </c>
      <c r="C2700" s="2" t="s">
        <v>7910</v>
      </c>
      <c r="D2700" s="2" t="s">
        <v>7911</v>
      </c>
      <c r="E2700" s="2" t="str">
        <f aca="false">LEFT(C2700,3)</f>
        <v>817</v>
      </c>
      <c r="F2700" s="2" t="str">
        <f aca="false">IF(D2700="","",LEFT(D2700,3))</f>
        <v>814</v>
      </c>
      <c r="G2700" s="2" t="str">
        <f aca="false">IF(F2700="","",IF(E2700=F2700,"Yes","No"))</f>
        <v>No</v>
      </c>
      <c r="H2700" s="2" t="n">
        <f aca="false">IF(D2700="",0,1/COUNTIF($D$2:$D$3451,D2700))</f>
        <v>1</v>
      </c>
      <c r="I2700" s="13" t="n">
        <f aca="false">IFERROR(INDEX('NCO-2015 scores'!$C$2:$C$131,MATCH(E2700,'NCO-2015 scores'!$A$2:$A$131,0)),0)</f>
        <v>0.21</v>
      </c>
      <c r="J2700" s="13" t="n">
        <f aca="false">IF(ISNUMBER(MATCH(E2700,'NCO-2015 scores'!$A$2:$A$131,0)),IF(ISNUMBER(INDEX('NCO-2015 scores'!$C$2:$C$131,MATCH(E2700,'NCO-2015 scores'!$A$2:$A$131,0))),1,0),0)</f>
        <v>1</v>
      </c>
    </row>
    <row r="2701" customFormat="false" ht="15" hidden="false" customHeight="false" outlineLevel="0" collapsed="false">
      <c r="A2701" s="2" t="n">
        <v>2697</v>
      </c>
      <c r="B2701" s="2" t="s">
        <v>7912</v>
      </c>
      <c r="C2701" s="2" t="s">
        <v>7913</v>
      </c>
      <c r="D2701" s="2" t="s">
        <v>7914</v>
      </c>
      <c r="E2701" s="2" t="str">
        <f aca="false">LEFT(C2701,3)</f>
        <v>817</v>
      </c>
      <c r="F2701" s="2" t="str">
        <f aca="false">IF(D2701="","",LEFT(D2701,3))</f>
        <v>814</v>
      </c>
      <c r="G2701" s="2" t="str">
        <f aca="false">IF(F2701="","",IF(E2701=F2701,"Yes","No"))</f>
        <v>No</v>
      </c>
      <c r="H2701" s="2" t="n">
        <f aca="false">IF(D2701="",0,1/COUNTIF($D$2:$D$3451,D2701))</f>
        <v>1</v>
      </c>
      <c r="I2701" s="13" t="n">
        <f aca="false">IFERROR(INDEX('NCO-2015 scores'!$C$2:$C$131,MATCH(E2701,'NCO-2015 scores'!$A$2:$A$131,0)),0)</f>
        <v>0.21</v>
      </c>
      <c r="J2701" s="13" t="n">
        <f aca="false">IF(ISNUMBER(MATCH(E2701,'NCO-2015 scores'!$A$2:$A$131,0)),IF(ISNUMBER(INDEX('NCO-2015 scores'!$C$2:$C$131,MATCH(E2701,'NCO-2015 scores'!$A$2:$A$131,0))),1,0),0)</f>
        <v>1</v>
      </c>
    </row>
    <row r="2702" customFormat="false" ht="15" hidden="false" customHeight="false" outlineLevel="0" collapsed="false">
      <c r="A2702" s="2" t="n">
        <v>2698</v>
      </c>
      <c r="B2702" s="2" t="s">
        <v>7915</v>
      </c>
      <c r="C2702" s="2" t="s">
        <v>7916</v>
      </c>
      <c r="D2702" s="2" t="s">
        <v>7917</v>
      </c>
      <c r="E2702" s="2" t="str">
        <f aca="false">LEFT(C2702,3)</f>
        <v>817</v>
      </c>
      <c r="F2702" s="2" t="str">
        <f aca="false">IF(D2702="","",LEFT(D2702,3))</f>
        <v>814</v>
      </c>
      <c r="G2702" s="2" t="str">
        <f aca="false">IF(F2702="","",IF(E2702=F2702,"Yes","No"))</f>
        <v>No</v>
      </c>
      <c r="H2702" s="2" t="n">
        <f aca="false">IF(D2702="",0,1/COUNTIF($D$2:$D$3451,D2702))</f>
        <v>1</v>
      </c>
      <c r="I2702" s="13" t="n">
        <f aca="false">IFERROR(INDEX('NCO-2015 scores'!$C$2:$C$131,MATCH(E2702,'NCO-2015 scores'!$A$2:$A$131,0)),0)</f>
        <v>0.21</v>
      </c>
      <c r="J2702" s="13" t="n">
        <f aca="false">IF(ISNUMBER(MATCH(E2702,'NCO-2015 scores'!$A$2:$A$131,0)),IF(ISNUMBER(INDEX('NCO-2015 scores'!$C$2:$C$131,MATCH(E2702,'NCO-2015 scores'!$A$2:$A$131,0))),1,0),0)</f>
        <v>1</v>
      </c>
    </row>
    <row r="2703" customFormat="false" ht="15" hidden="false" customHeight="false" outlineLevel="0" collapsed="false">
      <c r="A2703" s="2" t="n">
        <v>2699</v>
      </c>
      <c r="B2703" s="2" t="s">
        <v>7918</v>
      </c>
      <c r="C2703" s="2" t="s">
        <v>7919</v>
      </c>
      <c r="D2703" s="2" t="s">
        <v>7920</v>
      </c>
      <c r="E2703" s="2" t="str">
        <f aca="false">LEFT(C2703,3)</f>
        <v>817</v>
      </c>
      <c r="F2703" s="2" t="str">
        <f aca="false">IF(D2703="","",LEFT(D2703,3))</f>
        <v>814</v>
      </c>
      <c r="G2703" s="2" t="str">
        <f aca="false">IF(F2703="","",IF(E2703=F2703,"Yes","No"))</f>
        <v>No</v>
      </c>
      <c r="H2703" s="2" t="n">
        <f aca="false">IF(D2703="",0,1/COUNTIF($D$2:$D$3451,D2703))</f>
        <v>1</v>
      </c>
      <c r="I2703" s="13" t="n">
        <f aca="false">IFERROR(INDEX('NCO-2015 scores'!$C$2:$C$131,MATCH(E2703,'NCO-2015 scores'!$A$2:$A$131,0)),0)</f>
        <v>0.21</v>
      </c>
      <c r="J2703" s="13" t="n">
        <f aca="false">IF(ISNUMBER(MATCH(E2703,'NCO-2015 scores'!$A$2:$A$131,0)),IF(ISNUMBER(INDEX('NCO-2015 scores'!$C$2:$C$131,MATCH(E2703,'NCO-2015 scores'!$A$2:$A$131,0))),1,0),0)</f>
        <v>1</v>
      </c>
    </row>
    <row r="2704" customFormat="false" ht="15" hidden="false" customHeight="false" outlineLevel="0" collapsed="false">
      <c r="A2704" s="2" t="n">
        <v>2700</v>
      </c>
      <c r="B2704" s="2" t="s">
        <v>7921</v>
      </c>
      <c r="C2704" s="2" t="s">
        <v>7922</v>
      </c>
      <c r="D2704" s="2" t="s">
        <v>7923</v>
      </c>
      <c r="E2704" s="2" t="str">
        <f aca="false">LEFT(C2704,3)</f>
        <v>831</v>
      </c>
      <c r="F2704" s="2" t="str">
        <f aca="false">IF(D2704="","",LEFT(D2704,3))</f>
        <v>831</v>
      </c>
      <c r="G2704" s="2" t="str">
        <f aca="false">IF(F2704="","",IF(E2704=F2704,"Yes","No"))</f>
        <v>Yes</v>
      </c>
      <c r="H2704" s="2" t="n">
        <f aca="false">IF(D2704="",0,1/COUNTIF($D$2:$D$3451,D2704))</f>
        <v>1</v>
      </c>
      <c r="I2704" s="13" t="n">
        <f aca="false">IFERROR(INDEX('NCO-2015 scores'!$C$2:$C$131,MATCH(E2704,'NCO-2015 scores'!$A$2:$A$131,0)),0)</f>
        <v>0.185</v>
      </c>
      <c r="J2704" s="13" t="n">
        <f aca="false">IF(ISNUMBER(MATCH(E2704,'NCO-2015 scores'!$A$2:$A$131,0)),IF(ISNUMBER(INDEX('NCO-2015 scores'!$C$2:$C$131,MATCH(E2704,'NCO-2015 scores'!$A$2:$A$131,0))),1,0),0)</f>
        <v>1</v>
      </c>
    </row>
    <row r="2705" customFormat="false" ht="15" hidden="false" customHeight="false" outlineLevel="0" collapsed="false">
      <c r="A2705" s="2" t="n">
        <v>2701</v>
      </c>
      <c r="B2705" s="2" t="s">
        <v>7924</v>
      </c>
      <c r="C2705" s="2" t="s">
        <v>7925</v>
      </c>
      <c r="D2705" s="2" t="s">
        <v>7926</v>
      </c>
      <c r="E2705" s="2" t="str">
        <f aca="false">LEFT(C2705,3)</f>
        <v>831</v>
      </c>
      <c r="F2705" s="2" t="str">
        <f aca="false">IF(D2705="","",LEFT(D2705,3))</f>
        <v>831</v>
      </c>
      <c r="G2705" s="2" t="str">
        <f aca="false">IF(F2705="","",IF(E2705=F2705,"Yes","No"))</f>
        <v>Yes</v>
      </c>
      <c r="H2705" s="2" t="n">
        <f aca="false">IF(D2705="",0,1/COUNTIF($D$2:$D$3451,D2705))</f>
        <v>1</v>
      </c>
      <c r="I2705" s="13" t="n">
        <f aca="false">IFERROR(INDEX('NCO-2015 scores'!$C$2:$C$131,MATCH(E2705,'NCO-2015 scores'!$A$2:$A$131,0)),0)</f>
        <v>0.185</v>
      </c>
      <c r="J2705" s="13" t="n">
        <f aca="false">IF(ISNUMBER(MATCH(E2705,'NCO-2015 scores'!$A$2:$A$131,0)),IF(ISNUMBER(INDEX('NCO-2015 scores'!$C$2:$C$131,MATCH(E2705,'NCO-2015 scores'!$A$2:$A$131,0))),1,0),0)</f>
        <v>1</v>
      </c>
    </row>
    <row r="2706" customFormat="false" ht="15" hidden="false" customHeight="false" outlineLevel="0" collapsed="false">
      <c r="A2706" s="2" t="n">
        <v>2702</v>
      </c>
      <c r="B2706" s="2" t="s">
        <v>7927</v>
      </c>
      <c r="C2706" s="2" t="s">
        <v>7928</v>
      </c>
      <c r="D2706" s="2" t="s">
        <v>7929</v>
      </c>
      <c r="E2706" s="2" t="str">
        <f aca="false">LEFT(C2706,3)</f>
        <v>831</v>
      </c>
      <c r="F2706" s="2" t="str">
        <f aca="false">IF(D2706="","",LEFT(D2706,3))</f>
        <v>831</v>
      </c>
      <c r="G2706" s="2" t="str">
        <f aca="false">IF(F2706="","",IF(E2706=F2706,"Yes","No"))</f>
        <v>Yes</v>
      </c>
      <c r="H2706" s="2" t="n">
        <f aca="false">IF(D2706="",0,1/COUNTIF($D$2:$D$3451,D2706))</f>
        <v>1</v>
      </c>
      <c r="I2706" s="13" t="n">
        <f aca="false">IFERROR(INDEX('NCO-2015 scores'!$C$2:$C$131,MATCH(E2706,'NCO-2015 scores'!$A$2:$A$131,0)),0)</f>
        <v>0.185</v>
      </c>
      <c r="J2706" s="13" t="n">
        <f aca="false">IF(ISNUMBER(MATCH(E2706,'NCO-2015 scores'!$A$2:$A$131,0)),IF(ISNUMBER(INDEX('NCO-2015 scores'!$C$2:$C$131,MATCH(E2706,'NCO-2015 scores'!$A$2:$A$131,0))),1,0),0)</f>
        <v>1</v>
      </c>
    </row>
    <row r="2707" customFormat="false" ht="15" hidden="false" customHeight="false" outlineLevel="0" collapsed="false">
      <c r="A2707" s="2" t="n">
        <v>2703</v>
      </c>
      <c r="B2707" s="2" t="s">
        <v>7930</v>
      </c>
      <c r="C2707" s="2" t="s">
        <v>7931</v>
      </c>
      <c r="D2707" s="2" t="s">
        <v>7932</v>
      </c>
      <c r="E2707" s="2" t="str">
        <f aca="false">LEFT(C2707,3)</f>
        <v>831</v>
      </c>
      <c r="F2707" s="2" t="str">
        <f aca="false">IF(D2707="","",LEFT(D2707,3))</f>
        <v>831</v>
      </c>
      <c r="G2707" s="2" t="str">
        <f aca="false">IF(F2707="","",IF(E2707=F2707,"Yes","No"))</f>
        <v>Yes</v>
      </c>
      <c r="H2707" s="2" t="n">
        <f aca="false">IF(D2707="",0,1/COUNTIF($D$2:$D$3451,D2707))</f>
        <v>1</v>
      </c>
      <c r="I2707" s="13" t="n">
        <f aca="false">IFERROR(INDEX('NCO-2015 scores'!$C$2:$C$131,MATCH(E2707,'NCO-2015 scores'!$A$2:$A$131,0)),0)</f>
        <v>0.185</v>
      </c>
      <c r="J2707" s="13" t="n">
        <f aca="false">IF(ISNUMBER(MATCH(E2707,'NCO-2015 scores'!$A$2:$A$131,0)),IF(ISNUMBER(INDEX('NCO-2015 scores'!$C$2:$C$131,MATCH(E2707,'NCO-2015 scores'!$A$2:$A$131,0))),1,0),0)</f>
        <v>1</v>
      </c>
    </row>
    <row r="2708" customFormat="false" ht="15" hidden="false" customHeight="false" outlineLevel="0" collapsed="false">
      <c r="A2708" s="2" t="n">
        <v>2704</v>
      </c>
      <c r="B2708" s="2" t="s">
        <v>7933</v>
      </c>
      <c r="C2708" s="2" t="s">
        <v>7934</v>
      </c>
      <c r="D2708" s="2" t="s">
        <v>7935</v>
      </c>
      <c r="E2708" s="2" t="str">
        <f aca="false">LEFT(C2708,3)</f>
        <v>831</v>
      </c>
      <c r="F2708" s="2" t="str">
        <f aca="false">IF(D2708="","",LEFT(D2708,3))</f>
        <v>831</v>
      </c>
      <c r="G2708" s="2" t="str">
        <f aca="false">IF(F2708="","",IF(E2708=F2708,"Yes","No"))</f>
        <v>Yes</v>
      </c>
      <c r="H2708" s="2" t="n">
        <f aca="false">IF(D2708="",0,1/COUNTIF($D$2:$D$3451,D2708))</f>
        <v>1</v>
      </c>
      <c r="I2708" s="13" t="n">
        <f aca="false">IFERROR(INDEX('NCO-2015 scores'!$C$2:$C$131,MATCH(E2708,'NCO-2015 scores'!$A$2:$A$131,0)),0)</f>
        <v>0.185</v>
      </c>
      <c r="J2708" s="13" t="n">
        <f aca="false">IF(ISNUMBER(MATCH(E2708,'NCO-2015 scores'!$A$2:$A$131,0)),IF(ISNUMBER(INDEX('NCO-2015 scores'!$C$2:$C$131,MATCH(E2708,'NCO-2015 scores'!$A$2:$A$131,0))),1,0),0)</f>
        <v>1</v>
      </c>
    </row>
    <row r="2709" customFormat="false" ht="15" hidden="false" customHeight="false" outlineLevel="0" collapsed="false">
      <c r="A2709" s="2" t="n">
        <v>2705</v>
      </c>
      <c r="B2709" s="2" t="s">
        <v>7936</v>
      </c>
      <c r="C2709" s="2" t="s">
        <v>7937</v>
      </c>
      <c r="D2709" s="2" t="s">
        <v>7938</v>
      </c>
      <c r="E2709" s="2" t="str">
        <f aca="false">LEFT(C2709,3)</f>
        <v>831</v>
      </c>
      <c r="F2709" s="2" t="str">
        <f aca="false">IF(D2709="","",LEFT(D2709,3))</f>
        <v>831</v>
      </c>
      <c r="G2709" s="2" t="str">
        <f aca="false">IF(F2709="","",IF(E2709=F2709,"Yes","No"))</f>
        <v>Yes</v>
      </c>
      <c r="H2709" s="2" t="n">
        <f aca="false">IF(D2709="",0,1/COUNTIF($D$2:$D$3451,D2709))</f>
        <v>1</v>
      </c>
      <c r="I2709" s="13" t="n">
        <f aca="false">IFERROR(INDEX('NCO-2015 scores'!$C$2:$C$131,MATCH(E2709,'NCO-2015 scores'!$A$2:$A$131,0)),0)</f>
        <v>0.185</v>
      </c>
      <c r="J2709" s="13" t="n">
        <f aca="false">IF(ISNUMBER(MATCH(E2709,'NCO-2015 scores'!$A$2:$A$131,0)),IF(ISNUMBER(INDEX('NCO-2015 scores'!$C$2:$C$131,MATCH(E2709,'NCO-2015 scores'!$A$2:$A$131,0))),1,0),0)</f>
        <v>1</v>
      </c>
    </row>
    <row r="2710" customFormat="false" ht="15" hidden="false" customHeight="false" outlineLevel="0" collapsed="false">
      <c r="A2710" s="2" t="n">
        <v>2706</v>
      </c>
      <c r="B2710" s="2" t="s">
        <v>7939</v>
      </c>
      <c r="C2710" s="2" t="s">
        <v>7940</v>
      </c>
      <c r="D2710" s="2" t="s">
        <v>7941</v>
      </c>
      <c r="E2710" s="2" t="str">
        <f aca="false">LEFT(C2710,3)</f>
        <v>333</v>
      </c>
      <c r="F2710" s="2" t="str">
        <f aca="false">IF(D2710="","",LEFT(D2710,3))</f>
        <v>341</v>
      </c>
      <c r="G2710" s="2" t="str">
        <f aca="false">IF(F2710="","",IF(E2710=F2710,"Yes","No"))</f>
        <v>No</v>
      </c>
      <c r="H2710" s="2" t="n">
        <f aca="false">IF(D2710="",0,1/COUNTIF($D$2:$D$3451,D2710))</f>
        <v>1</v>
      </c>
      <c r="I2710" s="13" t="n">
        <f aca="false">IFERROR(INDEX('NCO-2015 scores'!$C$2:$C$131,MATCH(E2710,'NCO-2015 scores'!$A$2:$A$131,0)),0)</f>
        <v>0.446</v>
      </c>
      <c r="J2710" s="13" t="n">
        <f aca="false">IF(ISNUMBER(MATCH(E2710,'NCO-2015 scores'!$A$2:$A$131,0)),IF(ISNUMBER(INDEX('NCO-2015 scores'!$C$2:$C$131,MATCH(E2710,'NCO-2015 scores'!$A$2:$A$131,0))),1,0),0)</f>
        <v>1</v>
      </c>
    </row>
    <row r="2711" customFormat="false" ht="15" hidden="false" customHeight="false" outlineLevel="0" collapsed="false">
      <c r="A2711" s="2" t="n">
        <v>2707</v>
      </c>
      <c r="B2711" s="2" t="s">
        <v>7942</v>
      </c>
      <c r="C2711" s="2" t="s">
        <v>7943</v>
      </c>
      <c r="D2711" s="2" t="s">
        <v>7944</v>
      </c>
      <c r="E2711" s="2" t="str">
        <f aca="false">LEFT(C2711,3)</f>
        <v>333</v>
      </c>
      <c r="F2711" s="2" t="str">
        <f aca="false">IF(D2711="","",LEFT(D2711,3))</f>
        <v>341</v>
      </c>
      <c r="G2711" s="2" t="str">
        <f aca="false">IF(F2711="","",IF(E2711=F2711,"Yes","No"))</f>
        <v>No</v>
      </c>
      <c r="H2711" s="2" t="n">
        <f aca="false">IF(D2711="",0,1/COUNTIF($D$2:$D$3451,D2711))</f>
        <v>1</v>
      </c>
      <c r="I2711" s="13" t="n">
        <f aca="false">IFERROR(INDEX('NCO-2015 scores'!$C$2:$C$131,MATCH(E2711,'NCO-2015 scores'!$A$2:$A$131,0)),0)</f>
        <v>0.446</v>
      </c>
      <c r="J2711" s="13" t="n">
        <f aca="false">IF(ISNUMBER(MATCH(E2711,'NCO-2015 scores'!$A$2:$A$131,0)),IF(ISNUMBER(INDEX('NCO-2015 scores'!$C$2:$C$131,MATCH(E2711,'NCO-2015 scores'!$A$2:$A$131,0))),1,0),0)</f>
        <v>1</v>
      </c>
    </row>
    <row r="2712" customFormat="false" ht="15" hidden="false" customHeight="false" outlineLevel="0" collapsed="false">
      <c r="A2712" s="2" t="n">
        <v>2708</v>
      </c>
      <c r="B2712" s="2" t="s">
        <v>7945</v>
      </c>
      <c r="C2712" s="2" t="s">
        <v>7946</v>
      </c>
      <c r="D2712" s="2" t="s">
        <v>7947</v>
      </c>
      <c r="E2712" s="2" t="str">
        <f aca="false">LEFT(C2712,3)</f>
        <v>333</v>
      </c>
      <c r="F2712" s="2" t="str">
        <f aca="false">IF(D2712="","",LEFT(D2712,3))</f>
        <v>341</v>
      </c>
      <c r="G2712" s="2" t="str">
        <f aca="false">IF(F2712="","",IF(E2712=F2712,"Yes","No"))</f>
        <v>No</v>
      </c>
      <c r="H2712" s="2" t="n">
        <f aca="false">IF(D2712="",0,1/COUNTIF($D$2:$D$3451,D2712))</f>
        <v>1</v>
      </c>
      <c r="I2712" s="13" t="n">
        <f aca="false">IFERROR(INDEX('NCO-2015 scores'!$C$2:$C$131,MATCH(E2712,'NCO-2015 scores'!$A$2:$A$131,0)),0)</f>
        <v>0.446</v>
      </c>
      <c r="J2712" s="13" t="n">
        <f aca="false">IF(ISNUMBER(MATCH(E2712,'NCO-2015 scores'!$A$2:$A$131,0)),IF(ISNUMBER(INDEX('NCO-2015 scores'!$C$2:$C$131,MATCH(E2712,'NCO-2015 scores'!$A$2:$A$131,0))),1,0),0)</f>
        <v>1</v>
      </c>
    </row>
    <row r="2713" customFormat="false" ht="15" hidden="false" customHeight="false" outlineLevel="0" collapsed="false">
      <c r="A2713" s="2" t="n">
        <v>2709</v>
      </c>
      <c r="B2713" s="2" t="s">
        <v>7948</v>
      </c>
      <c r="C2713" s="2" t="s">
        <v>7949</v>
      </c>
      <c r="D2713" s="2" t="s">
        <v>7950</v>
      </c>
      <c r="E2713" s="2" t="str">
        <f aca="false">LEFT(C2713,3)</f>
        <v>422</v>
      </c>
      <c r="F2713" s="2" t="str">
        <f aca="false">IF(D2713="","",LEFT(D2713,3))</f>
        <v>422</v>
      </c>
      <c r="G2713" s="2" t="str">
        <f aca="false">IF(F2713="","",IF(E2713=F2713,"Yes","No"))</f>
        <v>Yes</v>
      </c>
      <c r="H2713" s="2" t="n">
        <f aca="false">IF(D2713="",0,1/COUNTIF($D$2:$D$3451,D2713))</f>
        <v>1</v>
      </c>
      <c r="I2713" s="13" t="n">
        <f aca="false">IFERROR(INDEX('NCO-2015 scores'!$C$2:$C$131,MATCH(E2713,'NCO-2015 scores'!$A$2:$A$131,0)),0)</f>
        <v>0.5375</v>
      </c>
      <c r="J2713" s="13" t="n">
        <f aca="false">IF(ISNUMBER(MATCH(E2713,'NCO-2015 scores'!$A$2:$A$131,0)),IF(ISNUMBER(INDEX('NCO-2015 scores'!$C$2:$C$131,MATCH(E2713,'NCO-2015 scores'!$A$2:$A$131,0))),1,0),0)</f>
        <v>1</v>
      </c>
    </row>
    <row r="2714" customFormat="false" ht="15" hidden="false" customHeight="false" outlineLevel="0" collapsed="false">
      <c r="A2714" s="2" t="n">
        <v>2710</v>
      </c>
      <c r="B2714" s="2" t="s">
        <v>7951</v>
      </c>
      <c r="C2714" s="2" t="s">
        <v>7952</v>
      </c>
      <c r="D2714" s="2"/>
      <c r="E2714" s="2" t="str">
        <f aca="false">LEFT(C2714,3)</f>
        <v>422</v>
      </c>
      <c r="F2714" s="2" t="str">
        <f aca="false">IF(D2714="","",LEFT(D2714,3))</f>
        <v/>
      </c>
      <c r="G2714" s="2" t="str">
        <f aca="false">IF(F2714="","",IF(E2714=F2714,"Yes","No"))</f>
        <v/>
      </c>
      <c r="H2714" s="2" t="n">
        <f aca="false">IF(D2714="",0,1/COUNTIF($D$2:$D$3451,D2714))</f>
        <v>0</v>
      </c>
      <c r="I2714" s="13" t="n">
        <f aca="false">IFERROR(INDEX('NCO-2015 scores'!$C$2:$C$131,MATCH(E2714,'NCO-2015 scores'!$A$2:$A$131,0)),0)</f>
        <v>0.5375</v>
      </c>
      <c r="J2714" s="13" t="n">
        <f aca="false">IF(ISNUMBER(MATCH(E2714,'NCO-2015 scores'!$A$2:$A$131,0)),IF(ISNUMBER(INDEX('NCO-2015 scores'!$C$2:$C$131,MATCH(E2714,'NCO-2015 scores'!$A$2:$A$131,0))),1,0),0)</f>
        <v>1</v>
      </c>
    </row>
    <row r="2715" customFormat="false" ht="15" hidden="false" customHeight="false" outlineLevel="0" collapsed="false">
      <c r="A2715" s="2" t="n">
        <v>2711</v>
      </c>
      <c r="B2715" s="2" t="s">
        <v>7953</v>
      </c>
      <c r="C2715" s="2" t="s">
        <v>7954</v>
      </c>
      <c r="D2715" s="2" t="s">
        <v>7955</v>
      </c>
      <c r="E2715" s="2" t="str">
        <f aca="false">LEFT(C2715,3)</f>
        <v>263</v>
      </c>
      <c r="F2715" s="2" t="str">
        <f aca="false">IF(D2715="","",LEFT(D2715,3))</f>
        <v>246</v>
      </c>
      <c r="G2715" s="2" t="str">
        <f aca="false">IF(F2715="","",IF(E2715=F2715,"Yes","No"))</f>
        <v>No</v>
      </c>
      <c r="H2715" s="2" t="n">
        <f aca="false">IF(D2715="",0,1/COUNTIF($D$2:$D$3451,D2715))</f>
        <v>1</v>
      </c>
      <c r="I2715" s="13" t="n">
        <f aca="false">IFERROR(INDEX('NCO-2015 scores'!$C$2:$C$131,MATCH(E2715,'NCO-2015 scores'!$A$2:$A$131,0)),0)</f>
        <v>0.39</v>
      </c>
      <c r="J2715" s="13" t="n">
        <f aca="false">IF(ISNUMBER(MATCH(E2715,'NCO-2015 scores'!$A$2:$A$131,0)),IF(ISNUMBER(INDEX('NCO-2015 scores'!$C$2:$C$131,MATCH(E2715,'NCO-2015 scores'!$A$2:$A$131,0))),1,0),0)</f>
        <v>1</v>
      </c>
    </row>
    <row r="2716" customFormat="false" ht="15" hidden="false" customHeight="false" outlineLevel="0" collapsed="false">
      <c r="A2716" s="2" t="n">
        <v>2712</v>
      </c>
      <c r="B2716" s="2" t="s">
        <v>7956</v>
      </c>
      <c r="C2716" s="2" t="s">
        <v>7957</v>
      </c>
      <c r="D2716" s="2" t="s">
        <v>7958</v>
      </c>
      <c r="E2716" s="2" t="str">
        <f aca="false">LEFT(C2716,3)</f>
        <v>263</v>
      </c>
      <c r="F2716" s="2" t="str">
        <f aca="false">IF(D2716="","",LEFT(D2716,3))</f>
        <v>246</v>
      </c>
      <c r="G2716" s="2" t="str">
        <f aca="false">IF(F2716="","",IF(E2716=F2716,"Yes","No"))</f>
        <v>No</v>
      </c>
      <c r="H2716" s="2" t="n">
        <f aca="false">IF(D2716="",0,1/COUNTIF($D$2:$D$3451,D2716))</f>
        <v>1</v>
      </c>
      <c r="I2716" s="13" t="n">
        <f aca="false">IFERROR(INDEX('NCO-2015 scores'!$C$2:$C$131,MATCH(E2716,'NCO-2015 scores'!$A$2:$A$131,0)),0)</f>
        <v>0.39</v>
      </c>
      <c r="J2716" s="13" t="n">
        <f aca="false">IF(ISNUMBER(MATCH(E2716,'NCO-2015 scores'!$A$2:$A$131,0)),IF(ISNUMBER(INDEX('NCO-2015 scores'!$C$2:$C$131,MATCH(E2716,'NCO-2015 scores'!$A$2:$A$131,0))),1,0),0)</f>
        <v>1</v>
      </c>
    </row>
    <row r="2717" customFormat="false" ht="15" hidden="false" customHeight="false" outlineLevel="0" collapsed="false">
      <c r="A2717" s="2" t="n">
        <v>2713</v>
      </c>
      <c r="B2717" s="2" t="s">
        <v>7959</v>
      </c>
      <c r="C2717" s="2" t="s">
        <v>7960</v>
      </c>
      <c r="D2717" s="2" t="s">
        <v>7961</v>
      </c>
      <c r="E2717" s="2" t="str">
        <f aca="false">LEFT(C2717,3)</f>
        <v>263</v>
      </c>
      <c r="F2717" s="2" t="str">
        <f aca="false">IF(D2717="","",LEFT(D2717,3))</f>
        <v>246</v>
      </c>
      <c r="G2717" s="2" t="str">
        <f aca="false">IF(F2717="","",IF(E2717=F2717,"Yes","No"))</f>
        <v>No</v>
      </c>
      <c r="H2717" s="2" t="n">
        <f aca="false">IF(D2717="",0,1/COUNTIF($D$2:$D$3451,D2717))</f>
        <v>1</v>
      </c>
      <c r="I2717" s="13" t="n">
        <f aca="false">IFERROR(INDEX('NCO-2015 scores'!$C$2:$C$131,MATCH(E2717,'NCO-2015 scores'!$A$2:$A$131,0)),0)</f>
        <v>0.39</v>
      </c>
      <c r="J2717" s="13" t="n">
        <f aca="false">IF(ISNUMBER(MATCH(E2717,'NCO-2015 scores'!$A$2:$A$131,0)),IF(ISNUMBER(INDEX('NCO-2015 scores'!$C$2:$C$131,MATCH(E2717,'NCO-2015 scores'!$A$2:$A$131,0))),1,0),0)</f>
        <v>1</v>
      </c>
    </row>
    <row r="2718" customFormat="false" ht="15" hidden="false" customHeight="false" outlineLevel="0" collapsed="false">
      <c r="A2718" s="2" t="n">
        <v>2714</v>
      </c>
      <c r="B2718" s="2" t="s">
        <v>7962</v>
      </c>
      <c r="C2718" s="2" t="s">
        <v>7963</v>
      </c>
      <c r="D2718" s="2"/>
      <c r="E2718" s="2" t="str">
        <f aca="false">LEFT(C2718,3)</f>
        <v>122</v>
      </c>
      <c r="F2718" s="2" t="str">
        <f aca="false">IF(D2718="","",LEFT(D2718,3))</f>
        <v/>
      </c>
      <c r="G2718" s="2" t="str">
        <f aca="false">IF(F2718="","",IF(E2718=F2718,"Yes","No"))</f>
        <v/>
      </c>
      <c r="H2718" s="2" t="n">
        <f aca="false">IF(D2718="",0,1/COUNTIF($D$2:$D$3451,D2718))</f>
        <v>0</v>
      </c>
      <c r="I2718" s="13" t="n">
        <f aca="false">IFERROR(INDEX('NCO-2015 scores'!$C$2:$C$131,MATCH(E2718,'NCO-2015 scores'!$A$2:$A$131,0)),0)</f>
        <v>0.4</v>
      </c>
      <c r="J2718" s="13" t="n">
        <f aca="false">IF(ISNUMBER(MATCH(E2718,'NCO-2015 scores'!$A$2:$A$131,0)),IF(ISNUMBER(INDEX('NCO-2015 scores'!$C$2:$C$131,MATCH(E2718,'NCO-2015 scores'!$A$2:$A$131,0))),1,0),0)</f>
        <v>1</v>
      </c>
    </row>
    <row r="2719" customFormat="false" ht="15" hidden="false" customHeight="false" outlineLevel="0" collapsed="false">
      <c r="A2719" s="2" t="n">
        <v>2715</v>
      </c>
      <c r="B2719" s="2" t="s">
        <v>7964</v>
      </c>
      <c r="C2719" s="2" t="s">
        <v>7965</v>
      </c>
      <c r="D2719" s="2"/>
      <c r="E2719" s="2" t="str">
        <f aca="false">LEFT(C2719,3)</f>
        <v>122</v>
      </c>
      <c r="F2719" s="2" t="str">
        <f aca="false">IF(D2719="","",LEFT(D2719,3))</f>
        <v/>
      </c>
      <c r="G2719" s="2" t="str">
        <f aca="false">IF(F2719="","",IF(E2719=F2719,"Yes","No"))</f>
        <v/>
      </c>
      <c r="H2719" s="2" t="n">
        <f aca="false">IF(D2719="",0,1/COUNTIF($D$2:$D$3451,D2719))</f>
        <v>0</v>
      </c>
      <c r="I2719" s="13" t="n">
        <f aca="false">IFERROR(INDEX('NCO-2015 scores'!$C$2:$C$131,MATCH(E2719,'NCO-2015 scores'!$A$2:$A$131,0)),0)</f>
        <v>0.4</v>
      </c>
      <c r="J2719" s="13" t="n">
        <f aca="false">IF(ISNUMBER(MATCH(E2719,'NCO-2015 scores'!$A$2:$A$131,0)),IF(ISNUMBER(INDEX('NCO-2015 scores'!$C$2:$C$131,MATCH(E2719,'NCO-2015 scores'!$A$2:$A$131,0))),1,0),0)</f>
        <v>1</v>
      </c>
    </row>
    <row r="2720" customFormat="false" ht="15" hidden="false" customHeight="false" outlineLevel="0" collapsed="false">
      <c r="A2720" s="2" t="n">
        <v>2716</v>
      </c>
      <c r="B2720" s="2" t="s">
        <v>7966</v>
      </c>
      <c r="C2720" s="2" t="s">
        <v>7967</v>
      </c>
      <c r="D2720" s="2"/>
      <c r="E2720" s="2" t="str">
        <f aca="false">LEFT(C2720,3)</f>
        <v>122</v>
      </c>
      <c r="F2720" s="2" t="str">
        <f aca="false">IF(D2720="","",LEFT(D2720,3))</f>
        <v/>
      </c>
      <c r="G2720" s="2" t="str">
        <f aca="false">IF(F2720="","",IF(E2720=F2720,"Yes","No"))</f>
        <v/>
      </c>
      <c r="H2720" s="2" t="n">
        <f aca="false">IF(D2720="",0,1/COUNTIF($D$2:$D$3451,D2720))</f>
        <v>0</v>
      </c>
      <c r="I2720" s="13" t="n">
        <f aca="false">IFERROR(INDEX('NCO-2015 scores'!$C$2:$C$131,MATCH(E2720,'NCO-2015 scores'!$A$2:$A$131,0)),0)</f>
        <v>0.4</v>
      </c>
      <c r="J2720" s="13" t="n">
        <f aca="false">IF(ISNUMBER(MATCH(E2720,'NCO-2015 scores'!$A$2:$A$131,0)),IF(ISNUMBER(INDEX('NCO-2015 scores'!$C$2:$C$131,MATCH(E2720,'NCO-2015 scores'!$A$2:$A$131,0))),1,0),0)</f>
        <v>1</v>
      </c>
    </row>
    <row r="2721" customFormat="false" ht="15" hidden="false" customHeight="false" outlineLevel="0" collapsed="false">
      <c r="A2721" s="2" t="n">
        <v>2717</v>
      </c>
      <c r="B2721" s="2" t="s">
        <v>7968</v>
      </c>
      <c r="C2721" s="2" t="s">
        <v>7969</v>
      </c>
      <c r="D2721" s="2" t="s">
        <v>7970</v>
      </c>
      <c r="E2721" s="2" t="str">
        <f aca="false">LEFT(C2721,3)</f>
        <v>141</v>
      </c>
      <c r="F2721" s="2" t="str">
        <f aca="false">IF(D2721="","",LEFT(D2721,3))</f>
        <v>130</v>
      </c>
      <c r="G2721" s="2" t="str">
        <f aca="false">IF(F2721="","",IF(E2721=F2721,"Yes","No"))</f>
        <v>No</v>
      </c>
      <c r="H2721" s="2" t="n">
        <f aca="false">IF(D2721="",0,1/COUNTIF($D$2:$D$3451,D2721))</f>
        <v>1</v>
      </c>
      <c r="I2721" s="13" t="n">
        <f aca="false">IFERROR(INDEX('NCO-2015 scores'!$C$2:$C$131,MATCH(E2721,'NCO-2015 scores'!$A$2:$A$131,0)),0)</f>
        <v>0.365</v>
      </c>
      <c r="J2721" s="13" t="n">
        <f aca="false">IF(ISNUMBER(MATCH(E2721,'NCO-2015 scores'!$A$2:$A$131,0)),IF(ISNUMBER(INDEX('NCO-2015 scores'!$C$2:$C$131,MATCH(E2721,'NCO-2015 scores'!$A$2:$A$131,0))),1,0),0)</f>
        <v>1</v>
      </c>
    </row>
    <row r="2722" customFormat="false" ht="15" hidden="false" customHeight="false" outlineLevel="0" collapsed="false">
      <c r="A2722" s="2" t="n">
        <v>2718</v>
      </c>
      <c r="B2722" s="2" t="s">
        <v>7971</v>
      </c>
      <c r="C2722" s="2" t="s">
        <v>7972</v>
      </c>
      <c r="D2722" s="2" t="s">
        <v>7973</v>
      </c>
      <c r="E2722" s="2" t="str">
        <f aca="false">LEFT(C2722,3)</f>
        <v>141</v>
      </c>
      <c r="F2722" s="2" t="str">
        <f aca="false">IF(D2722="","",LEFT(D2722,3))</f>
        <v>122</v>
      </c>
      <c r="G2722" s="2" t="str">
        <f aca="false">IF(F2722="","",IF(E2722=F2722,"Yes","No"))</f>
        <v>No</v>
      </c>
      <c r="H2722" s="2" t="n">
        <f aca="false">IF(D2722="",0,1/COUNTIF($D$2:$D$3451,D2722))</f>
        <v>1</v>
      </c>
      <c r="I2722" s="13" t="n">
        <f aca="false">IFERROR(INDEX('NCO-2015 scores'!$C$2:$C$131,MATCH(E2722,'NCO-2015 scores'!$A$2:$A$131,0)),0)</f>
        <v>0.365</v>
      </c>
      <c r="J2722" s="13" t="n">
        <f aca="false">IF(ISNUMBER(MATCH(E2722,'NCO-2015 scores'!$A$2:$A$131,0)),IF(ISNUMBER(INDEX('NCO-2015 scores'!$C$2:$C$131,MATCH(E2722,'NCO-2015 scores'!$A$2:$A$131,0))),1,0),0)</f>
        <v>1</v>
      </c>
    </row>
    <row r="2723" customFormat="false" ht="15" hidden="false" customHeight="false" outlineLevel="0" collapsed="false">
      <c r="A2723" s="2" t="n">
        <v>2719</v>
      </c>
      <c r="B2723" s="2" t="s">
        <v>7974</v>
      </c>
      <c r="C2723" s="2" t="s">
        <v>7975</v>
      </c>
      <c r="D2723" s="2" t="s">
        <v>7976</v>
      </c>
      <c r="E2723" s="2" t="str">
        <f aca="false">LEFT(C2723,3)</f>
        <v>142</v>
      </c>
      <c r="F2723" s="2" t="str">
        <f aca="false">IF(D2723="","",LEFT(D2723,3))</f>
        <v>122</v>
      </c>
      <c r="G2723" s="2" t="str">
        <f aca="false">IF(F2723="","",IF(E2723=F2723,"Yes","No"))</f>
        <v>No</v>
      </c>
      <c r="H2723" s="2" t="n">
        <f aca="false">IF(D2723="",0,1/COUNTIF($D$2:$D$3451,D2723))</f>
        <v>1</v>
      </c>
      <c r="I2723" s="13" t="n">
        <f aca="false">IFERROR(INDEX('NCO-2015 scores'!$C$2:$C$131,MATCH(E2723,'NCO-2015 scores'!$A$2:$A$131,0)),0)</f>
        <v>0.44</v>
      </c>
      <c r="J2723" s="13" t="n">
        <f aca="false">IF(ISNUMBER(MATCH(E2723,'NCO-2015 scores'!$A$2:$A$131,0)),IF(ISNUMBER(INDEX('NCO-2015 scores'!$C$2:$C$131,MATCH(E2723,'NCO-2015 scores'!$A$2:$A$131,0))),1,0),0)</f>
        <v>1</v>
      </c>
    </row>
    <row r="2724" customFormat="false" ht="15" hidden="false" customHeight="false" outlineLevel="0" collapsed="false">
      <c r="A2724" s="2" t="n">
        <v>2720</v>
      </c>
      <c r="B2724" s="2" t="s">
        <v>7977</v>
      </c>
      <c r="C2724" s="2" t="s">
        <v>7978</v>
      </c>
      <c r="D2724" s="2" t="s">
        <v>7979</v>
      </c>
      <c r="E2724" s="2" t="str">
        <f aca="false">LEFT(C2724,3)</f>
        <v>142</v>
      </c>
      <c r="F2724" s="2" t="str">
        <f aca="false">IF(D2724="","",LEFT(D2724,3))</f>
        <v>122</v>
      </c>
      <c r="G2724" s="2" t="str">
        <f aca="false">IF(F2724="","",IF(E2724=F2724,"Yes","No"))</f>
        <v>No</v>
      </c>
      <c r="H2724" s="2" t="n">
        <f aca="false">IF(D2724="",0,1/COUNTIF($D$2:$D$3451,D2724))</f>
        <v>1</v>
      </c>
      <c r="I2724" s="13" t="n">
        <f aca="false">IFERROR(INDEX('NCO-2015 scores'!$C$2:$C$131,MATCH(E2724,'NCO-2015 scores'!$A$2:$A$131,0)),0)</f>
        <v>0.44</v>
      </c>
      <c r="J2724" s="13" t="n">
        <f aca="false">IF(ISNUMBER(MATCH(E2724,'NCO-2015 scores'!$A$2:$A$131,0)),IF(ISNUMBER(INDEX('NCO-2015 scores'!$C$2:$C$131,MATCH(E2724,'NCO-2015 scores'!$A$2:$A$131,0))),1,0),0)</f>
        <v>1</v>
      </c>
    </row>
    <row r="2725" customFormat="false" ht="15" hidden="false" customHeight="false" outlineLevel="0" collapsed="false">
      <c r="A2725" s="2" t="n">
        <v>2721</v>
      </c>
      <c r="B2725" s="2" t="s">
        <v>7980</v>
      </c>
      <c r="C2725" s="2" t="s">
        <v>7981</v>
      </c>
      <c r="D2725" s="2" t="s">
        <v>7982</v>
      </c>
      <c r="E2725" s="2" t="str">
        <f aca="false">LEFT(C2725,3)</f>
        <v>142</v>
      </c>
      <c r="F2725" s="2" t="str">
        <f aca="false">IF(D2725="","",LEFT(D2725,3))</f>
        <v>122</v>
      </c>
      <c r="G2725" s="2" t="str">
        <f aca="false">IF(F2725="","",IF(E2725=F2725,"Yes","No"))</f>
        <v>No</v>
      </c>
      <c r="H2725" s="2" t="n">
        <f aca="false">IF(D2725="",0,1/COUNTIF($D$2:$D$3451,D2725))</f>
        <v>1</v>
      </c>
      <c r="I2725" s="13" t="n">
        <f aca="false">IFERROR(INDEX('NCO-2015 scores'!$C$2:$C$131,MATCH(E2725,'NCO-2015 scores'!$A$2:$A$131,0)),0)</f>
        <v>0.44</v>
      </c>
      <c r="J2725" s="13" t="n">
        <f aca="false">IF(ISNUMBER(MATCH(E2725,'NCO-2015 scores'!$A$2:$A$131,0)),IF(ISNUMBER(INDEX('NCO-2015 scores'!$C$2:$C$131,MATCH(E2725,'NCO-2015 scores'!$A$2:$A$131,0))),1,0),0)</f>
        <v>1</v>
      </c>
    </row>
    <row r="2726" customFormat="false" ht="15" hidden="false" customHeight="false" outlineLevel="0" collapsed="false">
      <c r="A2726" s="2" t="n">
        <v>2722</v>
      </c>
      <c r="B2726" s="2" t="s">
        <v>7983</v>
      </c>
      <c r="C2726" s="2" t="s">
        <v>7984</v>
      </c>
      <c r="D2726" s="2" t="s">
        <v>7985</v>
      </c>
      <c r="E2726" s="2" t="str">
        <f aca="false">LEFT(C2726,3)</f>
        <v>142</v>
      </c>
      <c r="F2726" s="2" t="str">
        <f aca="false">IF(D2726="","",LEFT(D2726,3))</f>
        <v>130</v>
      </c>
      <c r="G2726" s="2" t="str">
        <f aca="false">IF(F2726="","",IF(E2726=F2726,"Yes","No"))</f>
        <v>No</v>
      </c>
      <c r="H2726" s="2" t="n">
        <f aca="false">IF(D2726="",0,1/COUNTIF($D$2:$D$3451,D2726))</f>
        <v>1</v>
      </c>
      <c r="I2726" s="13" t="n">
        <f aca="false">IFERROR(INDEX('NCO-2015 scores'!$C$2:$C$131,MATCH(E2726,'NCO-2015 scores'!$A$2:$A$131,0)),0)</f>
        <v>0.44</v>
      </c>
      <c r="J2726" s="13" t="n">
        <f aca="false">IF(ISNUMBER(MATCH(E2726,'NCO-2015 scores'!$A$2:$A$131,0)),IF(ISNUMBER(INDEX('NCO-2015 scores'!$C$2:$C$131,MATCH(E2726,'NCO-2015 scores'!$A$2:$A$131,0))),1,0),0)</f>
        <v>1</v>
      </c>
    </row>
    <row r="2727" customFormat="false" ht="15" hidden="false" customHeight="false" outlineLevel="0" collapsed="false">
      <c r="A2727" s="2" t="n">
        <v>2723</v>
      </c>
      <c r="B2727" s="2" t="s">
        <v>7986</v>
      </c>
      <c r="C2727" s="2" t="s">
        <v>7987</v>
      </c>
      <c r="D2727" s="2" t="s">
        <v>7988</v>
      </c>
      <c r="E2727" s="2" t="str">
        <f aca="false">LEFT(C2727,3)</f>
        <v>142</v>
      </c>
      <c r="F2727" s="2" t="str">
        <f aca="false">IF(D2727="","",LEFT(D2727,3))</f>
        <v>130</v>
      </c>
      <c r="G2727" s="2" t="str">
        <f aca="false">IF(F2727="","",IF(E2727=F2727,"Yes","No"))</f>
        <v>No</v>
      </c>
      <c r="H2727" s="2" t="n">
        <f aca="false">IF(D2727="",0,1/COUNTIF($D$2:$D$3451,D2727))</f>
        <v>1</v>
      </c>
      <c r="I2727" s="13" t="n">
        <f aca="false">IFERROR(INDEX('NCO-2015 scores'!$C$2:$C$131,MATCH(E2727,'NCO-2015 scores'!$A$2:$A$131,0)),0)</f>
        <v>0.44</v>
      </c>
      <c r="J2727" s="13" t="n">
        <f aca="false">IF(ISNUMBER(MATCH(E2727,'NCO-2015 scores'!$A$2:$A$131,0)),IF(ISNUMBER(INDEX('NCO-2015 scores'!$C$2:$C$131,MATCH(E2727,'NCO-2015 scores'!$A$2:$A$131,0))),1,0),0)</f>
        <v>1</v>
      </c>
    </row>
    <row r="2728" customFormat="false" ht="15" hidden="false" customHeight="false" outlineLevel="0" collapsed="false">
      <c r="A2728" s="2" t="n">
        <v>2724</v>
      </c>
      <c r="B2728" s="2" t="s">
        <v>7989</v>
      </c>
      <c r="C2728" s="2" t="s">
        <v>7990</v>
      </c>
      <c r="D2728" s="2" t="s">
        <v>7991</v>
      </c>
      <c r="E2728" s="2" t="str">
        <f aca="false">LEFT(C2728,3)</f>
        <v>142</v>
      </c>
      <c r="F2728" s="2" t="str">
        <f aca="false">IF(D2728="","",LEFT(D2728,3))</f>
        <v>130</v>
      </c>
      <c r="G2728" s="2" t="str">
        <f aca="false">IF(F2728="","",IF(E2728=F2728,"Yes","No"))</f>
        <v>No</v>
      </c>
      <c r="H2728" s="2" t="n">
        <f aca="false">IF(D2728="",0,1/COUNTIF($D$2:$D$3451,D2728))</f>
        <v>1</v>
      </c>
      <c r="I2728" s="13" t="n">
        <f aca="false">IFERROR(INDEX('NCO-2015 scores'!$C$2:$C$131,MATCH(E2728,'NCO-2015 scores'!$A$2:$A$131,0)),0)</f>
        <v>0.44</v>
      </c>
      <c r="J2728" s="13" t="n">
        <f aca="false">IF(ISNUMBER(MATCH(E2728,'NCO-2015 scores'!$A$2:$A$131,0)),IF(ISNUMBER(INDEX('NCO-2015 scores'!$C$2:$C$131,MATCH(E2728,'NCO-2015 scores'!$A$2:$A$131,0))),1,0),0)</f>
        <v>1</v>
      </c>
    </row>
    <row r="2729" customFormat="false" ht="15" hidden="false" customHeight="false" outlineLevel="0" collapsed="false">
      <c r="A2729" s="2" t="n">
        <v>2725</v>
      </c>
      <c r="B2729" s="2" t="s">
        <v>7992</v>
      </c>
      <c r="C2729" s="2" t="s">
        <v>7993</v>
      </c>
      <c r="D2729" s="2" t="s">
        <v>7994</v>
      </c>
      <c r="E2729" s="2" t="str">
        <f aca="false">LEFT(C2729,3)</f>
        <v>721</v>
      </c>
      <c r="F2729" s="2" t="str">
        <f aca="false">IF(D2729="","",LEFT(D2729,3))</f>
        <v>721</v>
      </c>
      <c r="G2729" s="2" t="str">
        <f aca="false">IF(F2729="","",IF(E2729=F2729,"Yes","No"))</f>
        <v>Yes</v>
      </c>
      <c r="H2729" s="2" t="n">
        <f aca="false">IF(D2729="",0,1/COUNTIF($D$2:$D$3451,D2729))</f>
        <v>1</v>
      </c>
      <c r="I2729" s="13" t="n">
        <f aca="false">IFERROR(INDEX('NCO-2015 scores'!$C$2:$C$131,MATCH(E2729,'NCO-2015 scores'!$A$2:$A$131,0)),0)</f>
        <v>0.142</v>
      </c>
      <c r="J2729" s="13" t="n">
        <f aca="false">IF(ISNUMBER(MATCH(E2729,'NCO-2015 scores'!$A$2:$A$131,0)),IF(ISNUMBER(INDEX('NCO-2015 scores'!$C$2:$C$131,MATCH(E2729,'NCO-2015 scores'!$A$2:$A$131,0))),1,0),0)</f>
        <v>1</v>
      </c>
    </row>
    <row r="2730" customFormat="false" ht="15" hidden="false" customHeight="false" outlineLevel="0" collapsed="false">
      <c r="A2730" s="2" t="n">
        <v>2726</v>
      </c>
      <c r="B2730" s="2" t="s">
        <v>7995</v>
      </c>
      <c r="C2730" s="2" t="s">
        <v>7996</v>
      </c>
      <c r="D2730" s="2"/>
      <c r="E2730" s="2" t="str">
        <f aca="false">LEFT(C2730,3)</f>
        <v>721</v>
      </c>
      <c r="F2730" s="2" t="str">
        <f aca="false">IF(D2730="","",LEFT(D2730,3))</f>
        <v/>
      </c>
      <c r="G2730" s="2" t="str">
        <f aca="false">IF(F2730="","",IF(E2730=F2730,"Yes","No"))</f>
        <v/>
      </c>
      <c r="H2730" s="2" t="n">
        <f aca="false">IF(D2730="",0,1/COUNTIF($D$2:$D$3451,D2730))</f>
        <v>0</v>
      </c>
      <c r="I2730" s="13" t="n">
        <f aca="false">IFERROR(INDEX('NCO-2015 scores'!$C$2:$C$131,MATCH(E2730,'NCO-2015 scores'!$A$2:$A$131,0)),0)</f>
        <v>0.142</v>
      </c>
      <c r="J2730" s="13" t="n">
        <f aca="false">IF(ISNUMBER(MATCH(E2730,'NCO-2015 scores'!$A$2:$A$131,0)),IF(ISNUMBER(INDEX('NCO-2015 scores'!$C$2:$C$131,MATCH(E2730,'NCO-2015 scores'!$A$2:$A$131,0))),1,0),0)</f>
        <v>1</v>
      </c>
    </row>
    <row r="2731" customFormat="false" ht="15" hidden="false" customHeight="false" outlineLevel="0" collapsed="false">
      <c r="A2731" s="2" t="n">
        <v>2727</v>
      </c>
      <c r="B2731" s="2" t="s">
        <v>7997</v>
      </c>
      <c r="C2731" s="2" t="s">
        <v>7998</v>
      </c>
      <c r="D2731" s="2" t="s">
        <v>7999</v>
      </c>
      <c r="E2731" s="2" t="str">
        <f aca="false">LEFT(C2731,3)</f>
        <v>721</v>
      </c>
      <c r="F2731" s="2" t="str">
        <f aca="false">IF(D2731="","",LEFT(D2731,3))</f>
        <v>721</v>
      </c>
      <c r="G2731" s="2" t="str">
        <f aca="false">IF(F2731="","",IF(E2731=F2731,"Yes","No"))</f>
        <v>Yes</v>
      </c>
      <c r="H2731" s="2" t="n">
        <f aca="false">IF(D2731="",0,1/COUNTIF($D$2:$D$3451,D2731))</f>
        <v>1</v>
      </c>
      <c r="I2731" s="13" t="n">
        <f aca="false">IFERROR(INDEX('NCO-2015 scores'!$C$2:$C$131,MATCH(E2731,'NCO-2015 scores'!$A$2:$A$131,0)),0)</f>
        <v>0.142</v>
      </c>
      <c r="J2731" s="13" t="n">
        <f aca="false">IF(ISNUMBER(MATCH(E2731,'NCO-2015 scores'!$A$2:$A$131,0)),IF(ISNUMBER(INDEX('NCO-2015 scores'!$C$2:$C$131,MATCH(E2731,'NCO-2015 scores'!$A$2:$A$131,0))),1,0),0)</f>
        <v>1</v>
      </c>
    </row>
    <row r="2732" customFormat="false" ht="15" hidden="false" customHeight="false" outlineLevel="0" collapsed="false">
      <c r="A2732" s="2" t="n">
        <v>2728</v>
      </c>
      <c r="B2732" s="2" t="s">
        <v>8000</v>
      </c>
      <c r="C2732" s="2" t="s">
        <v>8001</v>
      </c>
      <c r="D2732" s="2" t="s">
        <v>8002</v>
      </c>
      <c r="E2732" s="2" t="str">
        <f aca="false">LEFT(C2732,3)</f>
        <v>721</v>
      </c>
      <c r="F2732" s="2" t="str">
        <f aca="false">IF(D2732="","",LEFT(D2732,3))</f>
        <v>721</v>
      </c>
      <c r="G2732" s="2" t="str">
        <f aca="false">IF(F2732="","",IF(E2732=F2732,"Yes","No"))</f>
        <v>Yes</v>
      </c>
      <c r="H2732" s="2" t="n">
        <f aca="false">IF(D2732="",0,1/COUNTIF($D$2:$D$3451,D2732))</f>
        <v>1</v>
      </c>
      <c r="I2732" s="13" t="n">
        <f aca="false">IFERROR(INDEX('NCO-2015 scores'!$C$2:$C$131,MATCH(E2732,'NCO-2015 scores'!$A$2:$A$131,0)),0)</f>
        <v>0.142</v>
      </c>
      <c r="J2732" s="13" t="n">
        <f aca="false">IF(ISNUMBER(MATCH(E2732,'NCO-2015 scores'!$A$2:$A$131,0)),IF(ISNUMBER(INDEX('NCO-2015 scores'!$C$2:$C$131,MATCH(E2732,'NCO-2015 scores'!$A$2:$A$131,0))),1,0),0)</f>
        <v>1</v>
      </c>
    </row>
    <row r="2733" customFormat="false" ht="15" hidden="false" customHeight="false" outlineLevel="0" collapsed="false">
      <c r="A2733" s="2" t="n">
        <v>2729</v>
      </c>
      <c r="B2733" s="2" t="s">
        <v>8003</v>
      </c>
      <c r="C2733" s="2" t="s">
        <v>8004</v>
      </c>
      <c r="D2733" s="2" t="s">
        <v>8005</v>
      </c>
      <c r="E2733" s="2" t="str">
        <f aca="false">LEFT(C2733,3)</f>
        <v>721</v>
      </c>
      <c r="F2733" s="2" t="str">
        <f aca="false">IF(D2733="","",LEFT(D2733,3))</f>
        <v>721</v>
      </c>
      <c r="G2733" s="2" t="str">
        <f aca="false">IF(F2733="","",IF(E2733=F2733,"Yes","No"))</f>
        <v>Yes</v>
      </c>
      <c r="H2733" s="2" t="n">
        <f aca="false">IF(D2733="",0,1/COUNTIF($D$2:$D$3451,D2733))</f>
        <v>1</v>
      </c>
      <c r="I2733" s="13" t="n">
        <f aca="false">IFERROR(INDEX('NCO-2015 scores'!$C$2:$C$131,MATCH(E2733,'NCO-2015 scores'!$A$2:$A$131,0)),0)</f>
        <v>0.142</v>
      </c>
      <c r="J2733" s="13" t="n">
        <f aca="false">IF(ISNUMBER(MATCH(E2733,'NCO-2015 scores'!$A$2:$A$131,0)),IF(ISNUMBER(INDEX('NCO-2015 scores'!$C$2:$C$131,MATCH(E2733,'NCO-2015 scores'!$A$2:$A$131,0))),1,0),0)</f>
        <v>1</v>
      </c>
    </row>
    <row r="2734" customFormat="false" ht="15" hidden="false" customHeight="false" outlineLevel="0" collapsed="false">
      <c r="A2734" s="2" t="n">
        <v>2730</v>
      </c>
      <c r="B2734" s="2" t="s">
        <v>8006</v>
      </c>
      <c r="C2734" s="2" t="s">
        <v>8007</v>
      </c>
      <c r="D2734" s="2" t="s">
        <v>8008</v>
      </c>
      <c r="E2734" s="2" t="str">
        <f aca="false">LEFT(C2734,3)</f>
        <v>712</v>
      </c>
      <c r="F2734" s="2" t="str">
        <f aca="false">IF(D2734="","",LEFT(D2734,3))</f>
        <v>713</v>
      </c>
      <c r="G2734" s="2" t="str">
        <f aca="false">IF(F2734="","",IF(E2734=F2734,"Yes","No"))</f>
        <v>No</v>
      </c>
      <c r="H2734" s="2" t="n">
        <f aca="false">IF(D2734="",0,1/COUNTIF($D$2:$D$3451,D2734))</f>
        <v>1</v>
      </c>
      <c r="I2734" s="13" t="n">
        <f aca="false">IFERROR(INDEX('NCO-2015 scores'!$C$2:$C$131,MATCH(E2734,'NCO-2015 scores'!$A$2:$A$131,0)),0)</f>
        <v>0.1429</v>
      </c>
      <c r="J2734" s="13" t="n">
        <f aca="false">IF(ISNUMBER(MATCH(E2734,'NCO-2015 scores'!$A$2:$A$131,0)),IF(ISNUMBER(INDEX('NCO-2015 scores'!$C$2:$C$131,MATCH(E2734,'NCO-2015 scores'!$A$2:$A$131,0))),1,0),0)</f>
        <v>1</v>
      </c>
    </row>
    <row r="2735" customFormat="false" ht="15" hidden="false" customHeight="false" outlineLevel="0" collapsed="false">
      <c r="A2735" s="2" t="n">
        <v>2731</v>
      </c>
      <c r="B2735" s="2" t="s">
        <v>8009</v>
      </c>
      <c r="C2735" s="2" t="s">
        <v>8010</v>
      </c>
      <c r="D2735" s="2" t="s">
        <v>8011</v>
      </c>
      <c r="E2735" s="2" t="str">
        <f aca="false">LEFT(C2735,3)</f>
        <v>712</v>
      </c>
      <c r="F2735" s="2" t="str">
        <f aca="false">IF(D2735="","",LEFT(D2735,3))</f>
        <v>713</v>
      </c>
      <c r="G2735" s="2" t="str">
        <f aca="false">IF(F2735="","",IF(E2735=F2735,"Yes","No"))</f>
        <v>No</v>
      </c>
      <c r="H2735" s="2" t="n">
        <f aca="false">IF(D2735="",0,1/COUNTIF($D$2:$D$3451,D2735))</f>
        <v>1</v>
      </c>
      <c r="I2735" s="13" t="n">
        <f aca="false">IFERROR(INDEX('NCO-2015 scores'!$C$2:$C$131,MATCH(E2735,'NCO-2015 scores'!$A$2:$A$131,0)),0)</f>
        <v>0.1429</v>
      </c>
      <c r="J2735" s="13" t="n">
        <f aca="false">IF(ISNUMBER(MATCH(E2735,'NCO-2015 scores'!$A$2:$A$131,0)),IF(ISNUMBER(INDEX('NCO-2015 scores'!$C$2:$C$131,MATCH(E2735,'NCO-2015 scores'!$A$2:$A$131,0))),1,0),0)</f>
        <v>1</v>
      </c>
    </row>
    <row r="2736" customFormat="false" ht="15" hidden="false" customHeight="false" outlineLevel="0" collapsed="false">
      <c r="A2736" s="2" t="n">
        <v>2732</v>
      </c>
      <c r="B2736" s="2" t="s">
        <v>8012</v>
      </c>
      <c r="C2736" s="2" t="s">
        <v>8013</v>
      </c>
      <c r="D2736" s="2"/>
      <c r="E2736" s="2" t="str">
        <f aca="false">LEFT(C2736,3)</f>
        <v>814</v>
      </c>
      <c r="F2736" s="2" t="str">
        <f aca="false">IF(D2736="","",LEFT(D2736,3))</f>
        <v/>
      </c>
      <c r="G2736" s="2" t="str">
        <f aca="false">IF(F2736="","",IF(E2736=F2736,"Yes","No"))</f>
        <v/>
      </c>
      <c r="H2736" s="2" t="n">
        <f aca="false">IF(D2736="",0,1/COUNTIF($D$2:$D$3451,D2736))</f>
        <v>0</v>
      </c>
      <c r="I2736" s="13" t="n">
        <f aca="false">IFERROR(INDEX('NCO-2015 scores'!$C$2:$C$131,MATCH(E2736,'NCO-2015 scores'!$A$2:$A$131,0)),0)</f>
        <v>0.1767</v>
      </c>
      <c r="J2736" s="13" t="n">
        <f aca="false">IF(ISNUMBER(MATCH(E2736,'NCO-2015 scores'!$A$2:$A$131,0)),IF(ISNUMBER(INDEX('NCO-2015 scores'!$C$2:$C$131,MATCH(E2736,'NCO-2015 scores'!$A$2:$A$131,0))),1,0),0)</f>
        <v>1</v>
      </c>
    </row>
    <row r="2737" customFormat="false" ht="15" hidden="false" customHeight="false" outlineLevel="0" collapsed="false">
      <c r="A2737" s="2" t="n">
        <v>2733</v>
      </c>
      <c r="B2737" s="2" t="s">
        <v>8014</v>
      </c>
      <c r="C2737" s="2" t="s">
        <v>8015</v>
      </c>
      <c r="D2737" s="2" t="s">
        <v>8016</v>
      </c>
      <c r="E2737" s="2" t="str">
        <f aca="false">LEFT(C2737,3)</f>
        <v>814</v>
      </c>
      <c r="F2737" s="2" t="str">
        <f aca="false">IF(D2737="","",LEFT(D2737,3))</f>
        <v>823</v>
      </c>
      <c r="G2737" s="2" t="str">
        <f aca="false">IF(F2737="","",IF(E2737=F2737,"Yes","No"))</f>
        <v>No</v>
      </c>
      <c r="H2737" s="2" t="n">
        <f aca="false">IF(D2737="",0,1/COUNTIF($D$2:$D$3451,D2737))</f>
        <v>1</v>
      </c>
      <c r="I2737" s="13" t="n">
        <f aca="false">IFERROR(INDEX('NCO-2015 scores'!$C$2:$C$131,MATCH(E2737,'NCO-2015 scores'!$A$2:$A$131,0)),0)</f>
        <v>0.1767</v>
      </c>
      <c r="J2737" s="13" t="n">
        <f aca="false">IF(ISNUMBER(MATCH(E2737,'NCO-2015 scores'!$A$2:$A$131,0)),IF(ISNUMBER(INDEX('NCO-2015 scores'!$C$2:$C$131,MATCH(E2737,'NCO-2015 scores'!$A$2:$A$131,0))),1,0),0)</f>
        <v>1</v>
      </c>
    </row>
    <row r="2738" customFormat="false" ht="15" hidden="false" customHeight="false" outlineLevel="0" collapsed="false">
      <c r="A2738" s="2" t="n">
        <v>2734</v>
      </c>
      <c r="B2738" s="2" t="s">
        <v>8017</v>
      </c>
      <c r="C2738" s="2" t="s">
        <v>8018</v>
      </c>
      <c r="D2738" s="2"/>
      <c r="E2738" s="2" t="str">
        <f aca="false">LEFT(C2738,3)</f>
        <v>814</v>
      </c>
      <c r="F2738" s="2" t="str">
        <f aca="false">IF(D2738="","",LEFT(D2738,3))</f>
        <v/>
      </c>
      <c r="G2738" s="2" t="str">
        <f aca="false">IF(F2738="","",IF(E2738=F2738,"Yes","No"))</f>
        <v/>
      </c>
      <c r="H2738" s="2" t="n">
        <f aca="false">IF(D2738="",0,1/COUNTIF($D$2:$D$3451,D2738))</f>
        <v>0</v>
      </c>
      <c r="I2738" s="13" t="n">
        <f aca="false">IFERROR(INDEX('NCO-2015 scores'!$C$2:$C$131,MATCH(E2738,'NCO-2015 scores'!$A$2:$A$131,0)),0)</f>
        <v>0.1767</v>
      </c>
      <c r="J2738" s="13" t="n">
        <f aca="false">IF(ISNUMBER(MATCH(E2738,'NCO-2015 scores'!$A$2:$A$131,0)),IF(ISNUMBER(INDEX('NCO-2015 scores'!$C$2:$C$131,MATCH(E2738,'NCO-2015 scores'!$A$2:$A$131,0))),1,0),0)</f>
        <v>1</v>
      </c>
    </row>
    <row r="2739" customFormat="false" ht="15" hidden="false" customHeight="false" outlineLevel="0" collapsed="false">
      <c r="A2739" s="2" t="n">
        <v>2735</v>
      </c>
      <c r="B2739" s="2" t="s">
        <v>8019</v>
      </c>
      <c r="C2739" s="2" t="s">
        <v>8020</v>
      </c>
      <c r="D2739" s="2"/>
      <c r="E2739" s="2" t="str">
        <f aca="false">LEFT(C2739,3)</f>
        <v>814</v>
      </c>
      <c r="F2739" s="2" t="str">
        <f aca="false">IF(D2739="","",LEFT(D2739,3))</f>
        <v/>
      </c>
      <c r="G2739" s="2" t="str">
        <f aca="false">IF(F2739="","",IF(E2739=F2739,"Yes","No"))</f>
        <v/>
      </c>
      <c r="H2739" s="2" t="n">
        <f aca="false">IF(D2739="",0,1/COUNTIF($D$2:$D$3451,D2739))</f>
        <v>0</v>
      </c>
      <c r="I2739" s="13" t="n">
        <f aca="false">IFERROR(INDEX('NCO-2015 scores'!$C$2:$C$131,MATCH(E2739,'NCO-2015 scores'!$A$2:$A$131,0)),0)</f>
        <v>0.1767</v>
      </c>
      <c r="J2739" s="13" t="n">
        <f aca="false">IF(ISNUMBER(MATCH(E2739,'NCO-2015 scores'!$A$2:$A$131,0)),IF(ISNUMBER(INDEX('NCO-2015 scores'!$C$2:$C$131,MATCH(E2739,'NCO-2015 scores'!$A$2:$A$131,0))),1,0),0)</f>
        <v>1</v>
      </c>
    </row>
    <row r="2740" customFormat="false" ht="15" hidden="false" customHeight="false" outlineLevel="0" collapsed="false">
      <c r="A2740" s="2" t="n">
        <v>2736</v>
      </c>
      <c r="B2740" s="2" t="s">
        <v>8021</v>
      </c>
      <c r="C2740" s="2" t="s">
        <v>8022</v>
      </c>
      <c r="D2740" s="2"/>
      <c r="E2740" s="2" t="str">
        <f aca="false">LEFT(C2740,3)</f>
        <v>814</v>
      </c>
      <c r="F2740" s="2" t="str">
        <f aca="false">IF(D2740="","",LEFT(D2740,3))</f>
        <v/>
      </c>
      <c r="G2740" s="2" t="str">
        <f aca="false">IF(F2740="","",IF(E2740=F2740,"Yes","No"))</f>
        <v/>
      </c>
      <c r="H2740" s="2" t="n">
        <f aca="false">IF(D2740="",0,1/COUNTIF($D$2:$D$3451,D2740))</f>
        <v>0</v>
      </c>
      <c r="I2740" s="13" t="n">
        <f aca="false">IFERROR(INDEX('NCO-2015 scores'!$C$2:$C$131,MATCH(E2740,'NCO-2015 scores'!$A$2:$A$131,0)),0)</f>
        <v>0.1767</v>
      </c>
      <c r="J2740" s="13" t="n">
        <f aca="false">IF(ISNUMBER(MATCH(E2740,'NCO-2015 scores'!$A$2:$A$131,0)),IF(ISNUMBER(INDEX('NCO-2015 scores'!$C$2:$C$131,MATCH(E2740,'NCO-2015 scores'!$A$2:$A$131,0))),1,0),0)</f>
        <v>1</v>
      </c>
    </row>
    <row r="2741" customFormat="false" ht="15" hidden="false" customHeight="false" outlineLevel="0" collapsed="false">
      <c r="A2741" s="2" t="n">
        <v>2737</v>
      </c>
      <c r="B2741" s="2" t="s">
        <v>8023</v>
      </c>
      <c r="C2741" s="2" t="s">
        <v>8024</v>
      </c>
      <c r="D2741" s="2" t="s">
        <v>8025</v>
      </c>
      <c r="E2741" s="2" t="str">
        <f aca="false">LEFT(C2741,3)</f>
        <v>814</v>
      </c>
      <c r="F2741" s="2" t="str">
        <f aca="false">IF(D2741="","",LEFT(D2741,3))</f>
        <v>823</v>
      </c>
      <c r="G2741" s="2" t="str">
        <f aca="false">IF(F2741="","",IF(E2741=F2741,"Yes","No"))</f>
        <v>No</v>
      </c>
      <c r="H2741" s="2" t="n">
        <f aca="false">IF(D2741="",0,1/COUNTIF($D$2:$D$3451,D2741))</f>
        <v>1</v>
      </c>
      <c r="I2741" s="13" t="n">
        <f aca="false">IFERROR(INDEX('NCO-2015 scores'!$C$2:$C$131,MATCH(E2741,'NCO-2015 scores'!$A$2:$A$131,0)),0)</f>
        <v>0.1767</v>
      </c>
      <c r="J2741" s="13" t="n">
        <f aca="false">IF(ISNUMBER(MATCH(E2741,'NCO-2015 scores'!$A$2:$A$131,0)),IF(ISNUMBER(INDEX('NCO-2015 scores'!$C$2:$C$131,MATCH(E2741,'NCO-2015 scores'!$A$2:$A$131,0))),1,0),0)</f>
        <v>1</v>
      </c>
    </row>
    <row r="2742" customFormat="false" ht="15" hidden="false" customHeight="false" outlineLevel="0" collapsed="false">
      <c r="A2742" s="2" t="n">
        <v>2738</v>
      </c>
      <c r="B2742" s="2" t="s">
        <v>8026</v>
      </c>
      <c r="C2742" s="2" t="s">
        <v>8027</v>
      </c>
      <c r="D2742" s="2"/>
      <c r="E2742" s="2" t="str">
        <f aca="false">LEFT(C2742,3)</f>
        <v>814</v>
      </c>
      <c r="F2742" s="2" t="str">
        <f aca="false">IF(D2742="","",LEFT(D2742,3))</f>
        <v/>
      </c>
      <c r="G2742" s="2" t="str">
        <f aca="false">IF(F2742="","",IF(E2742=F2742,"Yes","No"))</f>
        <v/>
      </c>
      <c r="H2742" s="2" t="n">
        <f aca="false">IF(D2742="",0,1/COUNTIF($D$2:$D$3451,D2742))</f>
        <v>0</v>
      </c>
      <c r="I2742" s="13" t="n">
        <f aca="false">IFERROR(INDEX('NCO-2015 scores'!$C$2:$C$131,MATCH(E2742,'NCO-2015 scores'!$A$2:$A$131,0)),0)</f>
        <v>0.1767</v>
      </c>
      <c r="J2742" s="13" t="n">
        <f aca="false">IF(ISNUMBER(MATCH(E2742,'NCO-2015 scores'!$A$2:$A$131,0)),IF(ISNUMBER(INDEX('NCO-2015 scores'!$C$2:$C$131,MATCH(E2742,'NCO-2015 scores'!$A$2:$A$131,0))),1,0),0)</f>
        <v>1</v>
      </c>
    </row>
    <row r="2743" customFormat="false" ht="15" hidden="false" customHeight="false" outlineLevel="0" collapsed="false">
      <c r="A2743" s="2" t="n">
        <v>2739</v>
      </c>
      <c r="B2743" s="2" t="s">
        <v>8028</v>
      </c>
      <c r="C2743" s="2" t="s">
        <v>8029</v>
      </c>
      <c r="D2743" s="2" t="s">
        <v>8030</v>
      </c>
      <c r="E2743" s="2" t="str">
        <f aca="false">LEFT(C2743,3)</f>
        <v>814</v>
      </c>
      <c r="F2743" s="2" t="str">
        <f aca="false">IF(D2743="","",LEFT(D2743,3))</f>
        <v>823</v>
      </c>
      <c r="G2743" s="2" t="str">
        <f aca="false">IF(F2743="","",IF(E2743=F2743,"Yes","No"))</f>
        <v>No</v>
      </c>
      <c r="H2743" s="2" t="n">
        <f aca="false">IF(D2743="",0,1/COUNTIF($D$2:$D$3451,D2743))</f>
        <v>1</v>
      </c>
      <c r="I2743" s="13" t="n">
        <f aca="false">IFERROR(INDEX('NCO-2015 scores'!$C$2:$C$131,MATCH(E2743,'NCO-2015 scores'!$A$2:$A$131,0)),0)</f>
        <v>0.1767</v>
      </c>
      <c r="J2743" s="13" t="n">
        <f aca="false">IF(ISNUMBER(MATCH(E2743,'NCO-2015 scores'!$A$2:$A$131,0)),IF(ISNUMBER(INDEX('NCO-2015 scores'!$C$2:$C$131,MATCH(E2743,'NCO-2015 scores'!$A$2:$A$131,0))),1,0),0)</f>
        <v>1</v>
      </c>
    </row>
    <row r="2744" customFormat="false" ht="15" hidden="false" customHeight="false" outlineLevel="0" collapsed="false">
      <c r="A2744" s="2" t="n">
        <v>2740</v>
      </c>
      <c r="B2744" s="2" t="s">
        <v>8031</v>
      </c>
      <c r="C2744" s="2" t="s">
        <v>8032</v>
      </c>
      <c r="D2744" s="2"/>
      <c r="E2744" s="2" t="str">
        <f aca="false">LEFT(C2744,3)</f>
        <v>814</v>
      </c>
      <c r="F2744" s="2" t="str">
        <f aca="false">IF(D2744="","",LEFT(D2744,3))</f>
        <v/>
      </c>
      <c r="G2744" s="2" t="str">
        <f aca="false">IF(F2744="","",IF(E2744=F2744,"Yes","No"))</f>
        <v/>
      </c>
      <c r="H2744" s="2" t="n">
        <f aca="false">IF(D2744="",0,1/COUNTIF($D$2:$D$3451,D2744))</f>
        <v>0</v>
      </c>
      <c r="I2744" s="13" t="n">
        <f aca="false">IFERROR(INDEX('NCO-2015 scores'!$C$2:$C$131,MATCH(E2744,'NCO-2015 scores'!$A$2:$A$131,0)),0)</f>
        <v>0.1767</v>
      </c>
      <c r="J2744" s="13" t="n">
        <f aca="false">IF(ISNUMBER(MATCH(E2744,'NCO-2015 scores'!$A$2:$A$131,0)),IF(ISNUMBER(INDEX('NCO-2015 scores'!$C$2:$C$131,MATCH(E2744,'NCO-2015 scores'!$A$2:$A$131,0))),1,0),0)</f>
        <v>1</v>
      </c>
    </row>
    <row r="2745" customFormat="false" ht="15" hidden="false" customHeight="false" outlineLevel="0" collapsed="false">
      <c r="A2745" s="2" t="n">
        <v>2741</v>
      </c>
      <c r="B2745" s="2" t="s">
        <v>8033</v>
      </c>
      <c r="C2745" s="2" t="s">
        <v>8034</v>
      </c>
      <c r="D2745" s="2"/>
      <c r="E2745" s="2" t="str">
        <f aca="false">LEFT(C2745,3)</f>
        <v>814</v>
      </c>
      <c r="F2745" s="2" t="str">
        <f aca="false">IF(D2745="","",LEFT(D2745,3))</f>
        <v/>
      </c>
      <c r="G2745" s="2" t="str">
        <f aca="false">IF(F2745="","",IF(E2745=F2745,"Yes","No"))</f>
        <v/>
      </c>
      <c r="H2745" s="2" t="n">
        <f aca="false">IF(D2745="",0,1/COUNTIF($D$2:$D$3451,D2745))</f>
        <v>0</v>
      </c>
      <c r="I2745" s="13" t="n">
        <f aca="false">IFERROR(INDEX('NCO-2015 scores'!$C$2:$C$131,MATCH(E2745,'NCO-2015 scores'!$A$2:$A$131,0)),0)</f>
        <v>0.1767</v>
      </c>
      <c r="J2745" s="13" t="n">
        <f aca="false">IF(ISNUMBER(MATCH(E2745,'NCO-2015 scores'!$A$2:$A$131,0)),IF(ISNUMBER(INDEX('NCO-2015 scores'!$C$2:$C$131,MATCH(E2745,'NCO-2015 scores'!$A$2:$A$131,0))),1,0),0)</f>
        <v>1</v>
      </c>
    </row>
    <row r="2746" customFormat="false" ht="15" hidden="false" customHeight="false" outlineLevel="0" collapsed="false">
      <c r="A2746" s="2" t="n">
        <v>2742</v>
      </c>
      <c r="B2746" s="2" t="s">
        <v>8035</v>
      </c>
      <c r="C2746" s="2" t="s">
        <v>8036</v>
      </c>
      <c r="D2746" s="2"/>
      <c r="E2746" s="2" t="str">
        <f aca="false">LEFT(C2746,3)</f>
        <v>814</v>
      </c>
      <c r="F2746" s="2" t="str">
        <f aca="false">IF(D2746="","",LEFT(D2746,3))</f>
        <v/>
      </c>
      <c r="G2746" s="2" t="str">
        <f aca="false">IF(F2746="","",IF(E2746=F2746,"Yes","No"))</f>
        <v/>
      </c>
      <c r="H2746" s="2" t="n">
        <f aca="false">IF(D2746="",0,1/COUNTIF($D$2:$D$3451,D2746))</f>
        <v>0</v>
      </c>
      <c r="I2746" s="13" t="n">
        <f aca="false">IFERROR(INDEX('NCO-2015 scores'!$C$2:$C$131,MATCH(E2746,'NCO-2015 scores'!$A$2:$A$131,0)),0)</f>
        <v>0.1767</v>
      </c>
      <c r="J2746" s="13" t="n">
        <f aca="false">IF(ISNUMBER(MATCH(E2746,'NCO-2015 scores'!$A$2:$A$131,0)),IF(ISNUMBER(INDEX('NCO-2015 scores'!$C$2:$C$131,MATCH(E2746,'NCO-2015 scores'!$A$2:$A$131,0))),1,0),0)</f>
        <v>1</v>
      </c>
    </row>
    <row r="2747" customFormat="false" ht="15" hidden="false" customHeight="false" outlineLevel="0" collapsed="false">
      <c r="A2747" s="2" t="n">
        <v>2743</v>
      </c>
      <c r="B2747" s="2" t="s">
        <v>8037</v>
      </c>
      <c r="C2747" s="2" t="s">
        <v>8038</v>
      </c>
      <c r="D2747" s="2" t="s">
        <v>8039</v>
      </c>
      <c r="E2747" s="2" t="str">
        <f aca="false">LEFT(C2747,3)</f>
        <v>814</v>
      </c>
      <c r="F2747" s="2" t="str">
        <f aca="false">IF(D2747="","",LEFT(D2747,3))</f>
        <v>823</v>
      </c>
      <c r="G2747" s="2" t="str">
        <f aca="false">IF(F2747="","",IF(E2747=F2747,"Yes","No"))</f>
        <v>No</v>
      </c>
      <c r="H2747" s="2" t="n">
        <f aca="false">IF(D2747="",0,1/COUNTIF($D$2:$D$3451,D2747))</f>
        <v>1</v>
      </c>
      <c r="I2747" s="13" t="n">
        <f aca="false">IFERROR(INDEX('NCO-2015 scores'!$C$2:$C$131,MATCH(E2747,'NCO-2015 scores'!$A$2:$A$131,0)),0)</f>
        <v>0.1767</v>
      </c>
      <c r="J2747" s="13" t="n">
        <f aca="false">IF(ISNUMBER(MATCH(E2747,'NCO-2015 scores'!$A$2:$A$131,0)),IF(ISNUMBER(INDEX('NCO-2015 scores'!$C$2:$C$131,MATCH(E2747,'NCO-2015 scores'!$A$2:$A$131,0))),1,0),0)</f>
        <v>1</v>
      </c>
    </row>
    <row r="2748" customFormat="false" ht="15" hidden="false" customHeight="false" outlineLevel="0" collapsed="false">
      <c r="A2748" s="2" t="n">
        <v>2744</v>
      </c>
      <c r="B2748" s="2" t="s">
        <v>8040</v>
      </c>
      <c r="C2748" s="2" t="s">
        <v>8041</v>
      </c>
      <c r="D2748" s="2" t="s">
        <v>8042</v>
      </c>
      <c r="E2748" s="2" t="str">
        <f aca="false">LEFT(C2748,3)</f>
        <v>814</v>
      </c>
      <c r="F2748" s="2" t="str">
        <f aca="false">IF(D2748="","",LEFT(D2748,3))</f>
        <v>823</v>
      </c>
      <c r="G2748" s="2" t="str">
        <f aca="false">IF(F2748="","",IF(E2748=F2748,"Yes","No"))</f>
        <v>No</v>
      </c>
      <c r="H2748" s="2" t="n">
        <f aca="false">IF(D2748="",0,1/COUNTIF($D$2:$D$3451,D2748))</f>
        <v>1</v>
      </c>
      <c r="I2748" s="13" t="n">
        <f aca="false">IFERROR(INDEX('NCO-2015 scores'!$C$2:$C$131,MATCH(E2748,'NCO-2015 scores'!$A$2:$A$131,0)),0)</f>
        <v>0.1767</v>
      </c>
      <c r="J2748" s="13" t="n">
        <f aca="false">IF(ISNUMBER(MATCH(E2748,'NCO-2015 scores'!$A$2:$A$131,0)),IF(ISNUMBER(INDEX('NCO-2015 scores'!$C$2:$C$131,MATCH(E2748,'NCO-2015 scores'!$A$2:$A$131,0))),1,0),0)</f>
        <v>1</v>
      </c>
    </row>
    <row r="2749" customFormat="false" ht="15" hidden="false" customHeight="false" outlineLevel="0" collapsed="false">
      <c r="A2749" s="2" t="n">
        <v>2745</v>
      </c>
      <c r="B2749" s="2" t="s">
        <v>8043</v>
      </c>
      <c r="C2749" s="2" t="s">
        <v>8044</v>
      </c>
      <c r="D2749" s="2" t="s">
        <v>8045</v>
      </c>
      <c r="E2749" s="2" t="str">
        <f aca="false">LEFT(C2749,3)</f>
        <v>814</v>
      </c>
      <c r="F2749" s="2" t="str">
        <f aca="false">IF(D2749="","",LEFT(D2749,3))</f>
        <v>823</v>
      </c>
      <c r="G2749" s="2" t="str">
        <f aca="false">IF(F2749="","",IF(E2749=F2749,"Yes","No"))</f>
        <v>No</v>
      </c>
      <c r="H2749" s="2" t="n">
        <f aca="false">IF(D2749="",0,1/COUNTIF($D$2:$D$3451,D2749))</f>
        <v>1</v>
      </c>
      <c r="I2749" s="13" t="n">
        <f aca="false">IFERROR(INDEX('NCO-2015 scores'!$C$2:$C$131,MATCH(E2749,'NCO-2015 scores'!$A$2:$A$131,0)),0)</f>
        <v>0.1767</v>
      </c>
      <c r="J2749" s="13" t="n">
        <f aca="false">IF(ISNUMBER(MATCH(E2749,'NCO-2015 scores'!$A$2:$A$131,0)),IF(ISNUMBER(INDEX('NCO-2015 scores'!$C$2:$C$131,MATCH(E2749,'NCO-2015 scores'!$A$2:$A$131,0))),1,0),0)</f>
        <v>1</v>
      </c>
    </row>
    <row r="2750" customFormat="false" ht="15" hidden="false" customHeight="false" outlineLevel="0" collapsed="false">
      <c r="A2750" s="2" t="n">
        <v>2746</v>
      </c>
      <c r="B2750" s="2" t="s">
        <v>8046</v>
      </c>
      <c r="C2750" s="2" t="s">
        <v>8047</v>
      </c>
      <c r="D2750" s="2" t="s">
        <v>8048</v>
      </c>
      <c r="E2750" s="2" t="str">
        <f aca="false">LEFT(C2750,3)</f>
        <v>814</v>
      </c>
      <c r="F2750" s="2" t="str">
        <f aca="false">IF(D2750="","",LEFT(D2750,3))</f>
        <v>823</v>
      </c>
      <c r="G2750" s="2" t="str">
        <f aca="false">IF(F2750="","",IF(E2750=F2750,"Yes","No"))</f>
        <v>No</v>
      </c>
      <c r="H2750" s="2" t="n">
        <f aca="false">IF(D2750="",0,1/COUNTIF($D$2:$D$3451,D2750))</f>
        <v>1</v>
      </c>
      <c r="I2750" s="13" t="n">
        <f aca="false">IFERROR(INDEX('NCO-2015 scores'!$C$2:$C$131,MATCH(E2750,'NCO-2015 scores'!$A$2:$A$131,0)),0)</f>
        <v>0.1767</v>
      </c>
      <c r="J2750" s="13" t="n">
        <f aca="false">IF(ISNUMBER(MATCH(E2750,'NCO-2015 scores'!$A$2:$A$131,0)),IF(ISNUMBER(INDEX('NCO-2015 scores'!$C$2:$C$131,MATCH(E2750,'NCO-2015 scores'!$A$2:$A$131,0))),1,0),0)</f>
        <v>1</v>
      </c>
    </row>
    <row r="2751" customFormat="false" ht="15" hidden="false" customHeight="false" outlineLevel="0" collapsed="false">
      <c r="A2751" s="2" t="n">
        <v>2747</v>
      </c>
      <c r="B2751" s="2" t="s">
        <v>8049</v>
      </c>
      <c r="C2751" s="2" t="s">
        <v>8050</v>
      </c>
      <c r="D2751" s="2" t="s">
        <v>8051</v>
      </c>
      <c r="E2751" s="2" t="str">
        <f aca="false">LEFT(C2751,3)</f>
        <v>814</v>
      </c>
      <c r="F2751" s="2" t="str">
        <f aca="false">IF(D2751="","",LEFT(D2751,3))</f>
        <v>823</v>
      </c>
      <c r="G2751" s="2" t="str">
        <f aca="false">IF(F2751="","",IF(E2751=F2751,"Yes","No"))</f>
        <v>No</v>
      </c>
      <c r="H2751" s="2" t="n">
        <f aca="false">IF(D2751="",0,1/COUNTIF($D$2:$D$3451,D2751))</f>
        <v>1</v>
      </c>
      <c r="I2751" s="13" t="n">
        <f aca="false">IFERROR(INDEX('NCO-2015 scores'!$C$2:$C$131,MATCH(E2751,'NCO-2015 scores'!$A$2:$A$131,0)),0)</f>
        <v>0.1767</v>
      </c>
      <c r="J2751" s="13" t="n">
        <f aca="false">IF(ISNUMBER(MATCH(E2751,'NCO-2015 scores'!$A$2:$A$131,0)),IF(ISNUMBER(INDEX('NCO-2015 scores'!$C$2:$C$131,MATCH(E2751,'NCO-2015 scores'!$A$2:$A$131,0))),1,0),0)</f>
        <v>1</v>
      </c>
    </row>
    <row r="2752" customFormat="false" ht="15" hidden="false" customHeight="false" outlineLevel="0" collapsed="false">
      <c r="A2752" s="2" t="n">
        <v>2748</v>
      </c>
      <c r="B2752" s="2" t="s">
        <v>8052</v>
      </c>
      <c r="C2752" s="2" t="s">
        <v>8053</v>
      </c>
      <c r="D2752" s="2" t="s">
        <v>8054</v>
      </c>
      <c r="E2752" s="2" t="str">
        <f aca="false">LEFT(C2752,3)</f>
        <v>814</v>
      </c>
      <c r="F2752" s="2" t="str">
        <f aca="false">IF(D2752="","",LEFT(D2752,3))</f>
        <v>823</v>
      </c>
      <c r="G2752" s="2" t="str">
        <f aca="false">IF(F2752="","",IF(E2752=F2752,"Yes","No"))</f>
        <v>No</v>
      </c>
      <c r="H2752" s="2" t="n">
        <f aca="false">IF(D2752="",0,1/COUNTIF($D$2:$D$3451,D2752))</f>
        <v>1</v>
      </c>
      <c r="I2752" s="13" t="n">
        <f aca="false">IFERROR(INDEX('NCO-2015 scores'!$C$2:$C$131,MATCH(E2752,'NCO-2015 scores'!$A$2:$A$131,0)),0)</f>
        <v>0.1767</v>
      </c>
      <c r="J2752" s="13" t="n">
        <f aca="false">IF(ISNUMBER(MATCH(E2752,'NCO-2015 scores'!$A$2:$A$131,0)),IF(ISNUMBER(INDEX('NCO-2015 scores'!$C$2:$C$131,MATCH(E2752,'NCO-2015 scores'!$A$2:$A$131,0))),1,0),0)</f>
        <v>1</v>
      </c>
    </row>
    <row r="2753" customFormat="false" ht="15" hidden="false" customHeight="false" outlineLevel="0" collapsed="false">
      <c r="A2753" s="2" t="n">
        <v>2749</v>
      </c>
      <c r="B2753" s="2" t="s">
        <v>8055</v>
      </c>
      <c r="C2753" s="2" t="s">
        <v>8056</v>
      </c>
      <c r="D2753" s="2" t="s">
        <v>8057</v>
      </c>
      <c r="E2753" s="2" t="str">
        <f aca="false">LEFT(C2753,3)</f>
        <v>814</v>
      </c>
      <c r="F2753" s="2" t="str">
        <f aca="false">IF(D2753="","",LEFT(D2753,3))</f>
        <v>823</v>
      </c>
      <c r="G2753" s="2" t="str">
        <f aca="false">IF(F2753="","",IF(E2753=F2753,"Yes","No"))</f>
        <v>No</v>
      </c>
      <c r="H2753" s="2" t="n">
        <f aca="false">IF(D2753="",0,1/COUNTIF($D$2:$D$3451,D2753))</f>
        <v>1</v>
      </c>
      <c r="I2753" s="13" t="n">
        <f aca="false">IFERROR(INDEX('NCO-2015 scores'!$C$2:$C$131,MATCH(E2753,'NCO-2015 scores'!$A$2:$A$131,0)),0)</f>
        <v>0.1767</v>
      </c>
      <c r="J2753" s="13" t="n">
        <f aca="false">IF(ISNUMBER(MATCH(E2753,'NCO-2015 scores'!$A$2:$A$131,0)),IF(ISNUMBER(INDEX('NCO-2015 scores'!$C$2:$C$131,MATCH(E2753,'NCO-2015 scores'!$A$2:$A$131,0))),1,0),0)</f>
        <v>1</v>
      </c>
    </row>
    <row r="2754" customFormat="false" ht="15" hidden="false" customHeight="false" outlineLevel="0" collapsed="false">
      <c r="A2754" s="2" t="n">
        <v>2750</v>
      </c>
      <c r="B2754" s="2" t="s">
        <v>8058</v>
      </c>
      <c r="C2754" s="2" t="s">
        <v>8059</v>
      </c>
      <c r="D2754" s="2" t="s">
        <v>8060</v>
      </c>
      <c r="E2754" s="2" t="str">
        <f aca="false">LEFT(C2754,3)</f>
        <v>814</v>
      </c>
      <c r="F2754" s="2" t="str">
        <f aca="false">IF(D2754="","",LEFT(D2754,3))</f>
        <v>823</v>
      </c>
      <c r="G2754" s="2" t="str">
        <f aca="false">IF(F2754="","",IF(E2754=F2754,"Yes","No"))</f>
        <v>No</v>
      </c>
      <c r="H2754" s="2" t="n">
        <f aca="false">IF(D2754="",0,1/COUNTIF($D$2:$D$3451,D2754))</f>
        <v>1</v>
      </c>
      <c r="I2754" s="13" t="n">
        <f aca="false">IFERROR(INDEX('NCO-2015 scores'!$C$2:$C$131,MATCH(E2754,'NCO-2015 scores'!$A$2:$A$131,0)),0)</f>
        <v>0.1767</v>
      </c>
      <c r="J2754" s="13" t="n">
        <f aca="false">IF(ISNUMBER(MATCH(E2754,'NCO-2015 scores'!$A$2:$A$131,0)),IF(ISNUMBER(INDEX('NCO-2015 scores'!$C$2:$C$131,MATCH(E2754,'NCO-2015 scores'!$A$2:$A$131,0))),1,0),0)</f>
        <v>1</v>
      </c>
    </row>
    <row r="2755" customFormat="false" ht="15" hidden="false" customHeight="false" outlineLevel="0" collapsed="false">
      <c r="A2755" s="2" t="n">
        <v>2751</v>
      </c>
      <c r="B2755" s="2" t="s">
        <v>8061</v>
      </c>
      <c r="C2755" s="2" t="s">
        <v>8062</v>
      </c>
      <c r="D2755" s="2"/>
      <c r="E2755" s="2" t="str">
        <f aca="false">LEFT(C2755,3)</f>
        <v>814</v>
      </c>
      <c r="F2755" s="2" t="str">
        <f aca="false">IF(D2755="","",LEFT(D2755,3))</f>
        <v/>
      </c>
      <c r="G2755" s="2" t="str">
        <f aca="false">IF(F2755="","",IF(E2755=F2755,"Yes","No"))</f>
        <v/>
      </c>
      <c r="H2755" s="2" t="n">
        <f aca="false">IF(D2755="",0,1/COUNTIF($D$2:$D$3451,D2755))</f>
        <v>0</v>
      </c>
      <c r="I2755" s="13" t="n">
        <f aca="false">IFERROR(INDEX('NCO-2015 scores'!$C$2:$C$131,MATCH(E2755,'NCO-2015 scores'!$A$2:$A$131,0)),0)</f>
        <v>0.1767</v>
      </c>
      <c r="J2755" s="13" t="n">
        <f aca="false">IF(ISNUMBER(MATCH(E2755,'NCO-2015 scores'!$A$2:$A$131,0)),IF(ISNUMBER(INDEX('NCO-2015 scores'!$C$2:$C$131,MATCH(E2755,'NCO-2015 scores'!$A$2:$A$131,0))),1,0),0)</f>
        <v>1</v>
      </c>
    </row>
    <row r="2756" customFormat="false" ht="15" hidden="false" customHeight="false" outlineLevel="0" collapsed="false">
      <c r="A2756" s="2" t="n">
        <v>2752</v>
      </c>
      <c r="B2756" s="2" t="s">
        <v>8063</v>
      </c>
      <c r="C2756" s="2" t="s">
        <v>8064</v>
      </c>
      <c r="D2756" s="2" t="s">
        <v>8065</v>
      </c>
      <c r="E2756" s="2" t="str">
        <f aca="false">LEFT(C2756,3)</f>
        <v>814</v>
      </c>
      <c r="F2756" s="2" t="str">
        <f aca="false">IF(D2756="","",LEFT(D2756,3))</f>
        <v>823</v>
      </c>
      <c r="G2756" s="2" t="str">
        <f aca="false">IF(F2756="","",IF(E2756=F2756,"Yes","No"))</f>
        <v>No</v>
      </c>
      <c r="H2756" s="2" t="n">
        <f aca="false">IF(D2756="",0,1/COUNTIF($D$2:$D$3451,D2756))</f>
        <v>1</v>
      </c>
      <c r="I2756" s="13" t="n">
        <f aca="false">IFERROR(INDEX('NCO-2015 scores'!$C$2:$C$131,MATCH(E2756,'NCO-2015 scores'!$A$2:$A$131,0)),0)</f>
        <v>0.1767</v>
      </c>
      <c r="J2756" s="13" t="n">
        <f aca="false">IF(ISNUMBER(MATCH(E2756,'NCO-2015 scores'!$A$2:$A$131,0)),IF(ISNUMBER(INDEX('NCO-2015 scores'!$C$2:$C$131,MATCH(E2756,'NCO-2015 scores'!$A$2:$A$131,0))),1,0),0)</f>
        <v>1</v>
      </c>
    </row>
    <row r="2757" customFormat="false" ht="15" hidden="false" customHeight="false" outlineLevel="0" collapsed="false">
      <c r="A2757" s="2" t="n">
        <v>2753</v>
      </c>
      <c r="B2757" s="2" t="s">
        <v>8066</v>
      </c>
      <c r="C2757" s="2" t="s">
        <v>8067</v>
      </c>
      <c r="D2757" s="2" t="s">
        <v>8068</v>
      </c>
      <c r="E2757" s="2" t="str">
        <f aca="false">LEFT(C2757,3)</f>
        <v>814</v>
      </c>
      <c r="F2757" s="2" t="str">
        <f aca="false">IF(D2757="","",LEFT(D2757,3))</f>
        <v>823</v>
      </c>
      <c r="G2757" s="2" t="str">
        <f aca="false">IF(F2757="","",IF(E2757=F2757,"Yes","No"))</f>
        <v>No</v>
      </c>
      <c r="H2757" s="2" t="n">
        <f aca="false">IF(D2757="",0,1/COUNTIF($D$2:$D$3451,D2757))</f>
        <v>1</v>
      </c>
      <c r="I2757" s="13" t="n">
        <f aca="false">IFERROR(INDEX('NCO-2015 scores'!$C$2:$C$131,MATCH(E2757,'NCO-2015 scores'!$A$2:$A$131,0)),0)</f>
        <v>0.1767</v>
      </c>
      <c r="J2757" s="13" t="n">
        <f aca="false">IF(ISNUMBER(MATCH(E2757,'NCO-2015 scores'!$A$2:$A$131,0)),IF(ISNUMBER(INDEX('NCO-2015 scores'!$C$2:$C$131,MATCH(E2757,'NCO-2015 scores'!$A$2:$A$131,0))),1,0),0)</f>
        <v>1</v>
      </c>
    </row>
    <row r="2758" customFormat="false" ht="15" hidden="false" customHeight="false" outlineLevel="0" collapsed="false">
      <c r="A2758" s="2" t="n">
        <v>2754</v>
      </c>
      <c r="B2758" s="2" t="s">
        <v>8069</v>
      </c>
      <c r="C2758" s="2" t="s">
        <v>8070</v>
      </c>
      <c r="D2758" s="2" t="s">
        <v>8071</v>
      </c>
      <c r="E2758" s="2" t="str">
        <f aca="false">LEFT(C2758,3)</f>
        <v>814</v>
      </c>
      <c r="F2758" s="2" t="str">
        <f aca="false">IF(D2758="","",LEFT(D2758,3))</f>
        <v>823</v>
      </c>
      <c r="G2758" s="2" t="str">
        <f aca="false">IF(F2758="","",IF(E2758=F2758,"Yes","No"))</f>
        <v>No</v>
      </c>
      <c r="H2758" s="2" t="n">
        <f aca="false">IF(D2758="",0,1/COUNTIF($D$2:$D$3451,D2758))</f>
        <v>1</v>
      </c>
      <c r="I2758" s="13" t="n">
        <f aca="false">IFERROR(INDEX('NCO-2015 scores'!$C$2:$C$131,MATCH(E2758,'NCO-2015 scores'!$A$2:$A$131,0)),0)</f>
        <v>0.1767</v>
      </c>
      <c r="J2758" s="13" t="n">
        <f aca="false">IF(ISNUMBER(MATCH(E2758,'NCO-2015 scores'!$A$2:$A$131,0)),IF(ISNUMBER(INDEX('NCO-2015 scores'!$C$2:$C$131,MATCH(E2758,'NCO-2015 scores'!$A$2:$A$131,0))),1,0),0)</f>
        <v>1</v>
      </c>
    </row>
    <row r="2759" customFormat="false" ht="15" hidden="false" customHeight="false" outlineLevel="0" collapsed="false">
      <c r="A2759" s="2" t="n">
        <v>2755</v>
      </c>
      <c r="B2759" s="2" t="s">
        <v>8072</v>
      </c>
      <c r="C2759" s="2" t="s">
        <v>8073</v>
      </c>
      <c r="D2759" s="2" t="s">
        <v>8074</v>
      </c>
      <c r="E2759" s="2" t="str">
        <f aca="false">LEFT(C2759,3)</f>
        <v>814</v>
      </c>
      <c r="F2759" s="2" t="str">
        <f aca="false">IF(D2759="","",LEFT(D2759,3))</f>
        <v>823</v>
      </c>
      <c r="G2759" s="2" t="str">
        <f aca="false">IF(F2759="","",IF(E2759=F2759,"Yes","No"))</f>
        <v>No</v>
      </c>
      <c r="H2759" s="2" t="n">
        <f aca="false">IF(D2759="",0,1/COUNTIF($D$2:$D$3451,D2759))</f>
        <v>1</v>
      </c>
      <c r="I2759" s="13" t="n">
        <f aca="false">IFERROR(INDEX('NCO-2015 scores'!$C$2:$C$131,MATCH(E2759,'NCO-2015 scores'!$A$2:$A$131,0)),0)</f>
        <v>0.1767</v>
      </c>
      <c r="J2759" s="13" t="n">
        <f aca="false">IF(ISNUMBER(MATCH(E2759,'NCO-2015 scores'!$A$2:$A$131,0)),IF(ISNUMBER(INDEX('NCO-2015 scores'!$C$2:$C$131,MATCH(E2759,'NCO-2015 scores'!$A$2:$A$131,0))),1,0),0)</f>
        <v>1</v>
      </c>
    </row>
    <row r="2760" customFormat="false" ht="15" hidden="false" customHeight="false" outlineLevel="0" collapsed="false">
      <c r="A2760" s="2" t="n">
        <v>2756</v>
      </c>
      <c r="B2760" s="2" t="s">
        <v>8075</v>
      </c>
      <c r="C2760" s="2" t="s">
        <v>8076</v>
      </c>
      <c r="D2760" s="2" t="s">
        <v>8077</v>
      </c>
      <c r="E2760" s="2" t="str">
        <f aca="false">LEFT(C2760,3)</f>
        <v>814</v>
      </c>
      <c r="F2760" s="2" t="str">
        <f aca="false">IF(D2760="","",LEFT(D2760,3))</f>
        <v>823</v>
      </c>
      <c r="G2760" s="2" t="str">
        <f aca="false">IF(F2760="","",IF(E2760=F2760,"Yes","No"))</f>
        <v>No</v>
      </c>
      <c r="H2760" s="2" t="n">
        <f aca="false">IF(D2760="",0,1/COUNTIF($D$2:$D$3451,D2760))</f>
        <v>1</v>
      </c>
      <c r="I2760" s="13" t="n">
        <f aca="false">IFERROR(INDEX('NCO-2015 scores'!$C$2:$C$131,MATCH(E2760,'NCO-2015 scores'!$A$2:$A$131,0)),0)</f>
        <v>0.1767</v>
      </c>
      <c r="J2760" s="13" t="n">
        <f aca="false">IF(ISNUMBER(MATCH(E2760,'NCO-2015 scores'!$A$2:$A$131,0)),IF(ISNUMBER(INDEX('NCO-2015 scores'!$C$2:$C$131,MATCH(E2760,'NCO-2015 scores'!$A$2:$A$131,0))),1,0),0)</f>
        <v>1</v>
      </c>
    </row>
    <row r="2761" customFormat="false" ht="15" hidden="false" customHeight="false" outlineLevel="0" collapsed="false">
      <c r="A2761" s="2" t="n">
        <v>2757</v>
      </c>
      <c r="B2761" s="2" t="s">
        <v>8078</v>
      </c>
      <c r="C2761" s="2" t="s">
        <v>8079</v>
      </c>
      <c r="D2761" s="2" t="s">
        <v>8080</v>
      </c>
      <c r="E2761" s="2" t="str">
        <f aca="false">LEFT(C2761,3)</f>
        <v>814</v>
      </c>
      <c r="F2761" s="2" t="str">
        <f aca="false">IF(D2761="","",LEFT(D2761,3))</f>
        <v>823</v>
      </c>
      <c r="G2761" s="2" t="str">
        <f aca="false">IF(F2761="","",IF(E2761=F2761,"Yes","No"))</f>
        <v>No</v>
      </c>
      <c r="H2761" s="2" t="n">
        <f aca="false">IF(D2761="",0,1/COUNTIF($D$2:$D$3451,D2761))</f>
        <v>1</v>
      </c>
      <c r="I2761" s="13" t="n">
        <f aca="false">IFERROR(INDEX('NCO-2015 scores'!$C$2:$C$131,MATCH(E2761,'NCO-2015 scores'!$A$2:$A$131,0)),0)</f>
        <v>0.1767</v>
      </c>
      <c r="J2761" s="13" t="n">
        <f aca="false">IF(ISNUMBER(MATCH(E2761,'NCO-2015 scores'!$A$2:$A$131,0)),IF(ISNUMBER(INDEX('NCO-2015 scores'!$C$2:$C$131,MATCH(E2761,'NCO-2015 scores'!$A$2:$A$131,0))),1,0),0)</f>
        <v>1</v>
      </c>
    </row>
    <row r="2762" customFormat="false" ht="15" hidden="false" customHeight="false" outlineLevel="0" collapsed="false">
      <c r="A2762" s="2" t="n">
        <v>2758</v>
      </c>
      <c r="B2762" s="2" t="s">
        <v>8081</v>
      </c>
      <c r="C2762" s="2" t="s">
        <v>8082</v>
      </c>
      <c r="D2762" s="2" t="s">
        <v>8083</v>
      </c>
      <c r="E2762" s="2" t="str">
        <f aca="false">LEFT(C2762,3)</f>
        <v>814</v>
      </c>
      <c r="F2762" s="2" t="str">
        <f aca="false">IF(D2762="","",LEFT(D2762,3))</f>
        <v>823</v>
      </c>
      <c r="G2762" s="2" t="str">
        <f aca="false">IF(F2762="","",IF(E2762=F2762,"Yes","No"))</f>
        <v>No</v>
      </c>
      <c r="H2762" s="2" t="n">
        <f aca="false">IF(D2762="",0,1/COUNTIF($D$2:$D$3451,D2762))</f>
        <v>1</v>
      </c>
      <c r="I2762" s="13" t="n">
        <f aca="false">IFERROR(INDEX('NCO-2015 scores'!$C$2:$C$131,MATCH(E2762,'NCO-2015 scores'!$A$2:$A$131,0)),0)</f>
        <v>0.1767</v>
      </c>
      <c r="J2762" s="13" t="n">
        <f aca="false">IF(ISNUMBER(MATCH(E2762,'NCO-2015 scores'!$A$2:$A$131,0)),IF(ISNUMBER(INDEX('NCO-2015 scores'!$C$2:$C$131,MATCH(E2762,'NCO-2015 scores'!$A$2:$A$131,0))),1,0),0)</f>
        <v>1</v>
      </c>
    </row>
    <row r="2763" customFormat="false" ht="15" hidden="false" customHeight="false" outlineLevel="0" collapsed="false">
      <c r="A2763" s="2" t="n">
        <v>2759</v>
      </c>
      <c r="B2763" s="2" t="s">
        <v>8084</v>
      </c>
      <c r="C2763" s="2" t="s">
        <v>8085</v>
      </c>
      <c r="D2763" s="2"/>
      <c r="E2763" s="2" t="str">
        <f aca="false">LEFT(C2763,3)</f>
        <v>814</v>
      </c>
      <c r="F2763" s="2" t="str">
        <f aca="false">IF(D2763="","",LEFT(D2763,3))</f>
        <v/>
      </c>
      <c r="G2763" s="2" t="str">
        <f aca="false">IF(F2763="","",IF(E2763=F2763,"Yes","No"))</f>
        <v/>
      </c>
      <c r="H2763" s="2" t="n">
        <f aca="false">IF(D2763="",0,1/COUNTIF($D$2:$D$3451,D2763))</f>
        <v>0</v>
      </c>
      <c r="I2763" s="13" t="n">
        <f aca="false">IFERROR(INDEX('NCO-2015 scores'!$C$2:$C$131,MATCH(E2763,'NCO-2015 scores'!$A$2:$A$131,0)),0)</f>
        <v>0.1767</v>
      </c>
      <c r="J2763" s="13" t="n">
        <f aca="false">IF(ISNUMBER(MATCH(E2763,'NCO-2015 scores'!$A$2:$A$131,0)),IF(ISNUMBER(INDEX('NCO-2015 scores'!$C$2:$C$131,MATCH(E2763,'NCO-2015 scores'!$A$2:$A$131,0))),1,0),0)</f>
        <v>1</v>
      </c>
    </row>
    <row r="2764" customFormat="false" ht="15" hidden="false" customHeight="false" outlineLevel="0" collapsed="false">
      <c r="A2764" s="2" t="n">
        <v>2760</v>
      </c>
      <c r="B2764" s="2" t="s">
        <v>8086</v>
      </c>
      <c r="C2764" s="2" t="s">
        <v>8087</v>
      </c>
      <c r="D2764" s="2" t="s">
        <v>8088</v>
      </c>
      <c r="E2764" s="2" t="str">
        <f aca="false">LEFT(C2764,3)</f>
        <v>814</v>
      </c>
      <c r="F2764" s="2" t="str">
        <f aca="false">IF(D2764="","",LEFT(D2764,3))</f>
        <v>823</v>
      </c>
      <c r="G2764" s="2" t="str">
        <f aca="false">IF(F2764="","",IF(E2764=F2764,"Yes","No"))</f>
        <v>No</v>
      </c>
      <c r="H2764" s="2" t="n">
        <f aca="false">IF(D2764="",0,1/COUNTIF($D$2:$D$3451,D2764))</f>
        <v>1</v>
      </c>
      <c r="I2764" s="13" t="n">
        <f aca="false">IFERROR(INDEX('NCO-2015 scores'!$C$2:$C$131,MATCH(E2764,'NCO-2015 scores'!$A$2:$A$131,0)),0)</f>
        <v>0.1767</v>
      </c>
      <c r="J2764" s="13" t="n">
        <f aca="false">IF(ISNUMBER(MATCH(E2764,'NCO-2015 scores'!$A$2:$A$131,0)),IF(ISNUMBER(INDEX('NCO-2015 scores'!$C$2:$C$131,MATCH(E2764,'NCO-2015 scores'!$A$2:$A$131,0))),1,0),0)</f>
        <v>1</v>
      </c>
    </row>
    <row r="2765" customFormat="false" ht="15" hidden="false" customHeight="false" outlineLevel="0" collapsed="false">
      <c r="A2765" s="2" t="n">
        <v>2761</v>
      </c>
      <c r="B2765" s="2" t="s">
        <v>8089</v>
      </c>
      <c r="C2765" s="2" t="s">
        <v>8090</v>
      </c>
      <c r="D2765" s="2" t="s">
        <v>8091</v>
      </c>
      <c r="E2765" s="2" t="str">
        <f aca="false">LEFT(C2765,3)</f>
        <v>814</v>
      </c>
      <c r="F2765" s="2" t="str">
        <f aca="false">IF(D2765="","",LEFT(D2765,3))</f>
        <v>823</v>
      </c>
      <c r="G2765" s="2" t="str">
        <f aca="false">IF(F2765="","",IF(E2765=F2765,"Yes","No"))</f>
        <v>No</v>
      </c>
      <c r="H2765" s="2" t="n">
        <f aca="false">IF(D2765="",0,1/COUNTIF($D$2:$D$3451,D2765))</f>
        <v>1</v>
      </c>
      <c r="I2765" s="13" t="n">
        <f aca="false">IFERROR(INDEX('NCO-2015 scores'!$C$2:$C$131,MATCH(E2765,'NCO-2015 scores'!$A$2:$A$131,0)),0)</f>
        <v>0.1767</v>
      </c>
      <c r="J2765" s="13" t="n">
        <f aca="false">IF(ISNUMBER(MATCH(E2765,'NCO-2015 scores'!$A$2:$A$131,0)),IF(ISNUMBER(INDEX('NCO-2015 scores'!$C$2:$C$131,MATCH(E2765,'NCO-2015 scores'!$A$2:$A$131,0))),1,0),0)</f>
        <v>1</v>
      </c>
    </row>
    <row r="2766" customFormat="false" ht="15" hidden="false" customHeight="false" outlineLevel="0" collapsed="false">
      <c r="A2766" s="2" t="n">
        <v>2762</v>
      </c>
      <c r="B2766" s="2" t="s">
        <v>8092</v>
      </c>
      <c r="C2766" s="2" t="s">
        <v>8093</v>
      </c>
      <c r="D2766" s="2" t="s">
        <v>8094</v>
      </c>
      <c r="E2766" s="2" t="str">
        <f aca="false">LEFT(C2766,3)</f>
        <v>814</v>
      </c>
      <c r="F2766" s="2" t="str">
        <f aca="false">IF(D2766="","",LEFT(D2766,3))</f>
        <v>823</v>
      </c>
      <c r="G2766" s="2" t="str">
        <f aca="false">IF(F2766="","",IF(E2766=F2766,"Yes","No"))</f>
        <v>No</v>
      </c>
      <c r="H2766" s="2" t="n">
        <f aca="false">IF(D2766="",0,1/COUNTIF($D$2:$D$3451,D2766))</f>
        <v>1</v>
      </c>
      <c r="I2766" s="13" t="n">
        <f aca="false">IFERROR(INDEX('NCO-2015 scores'!$C$2:$C$131,MATCH(E2766,'NCO-2015 scores'!$A$2:$A$131,0)),0)</f>
        <v>0.1767</v>
      </c>
      <c r="J2766" s="13" t="n">
        <f aca="false">IF(ISNUMBER(MATCH(E2766,'NCO-2015 scores'!$A$2:$A$131,0)),IF(ISNUMBER(INDEX('NCO-2015 scores'!$C$2:$C$131,MATCH(E2766,'NCO-2015 scores'!$A$2:$A$131,0))),1,0),0)</f>
        <v>1</v>
      </c>
    </row>
    <row r="2767" customFormat="false" ht="15" hidden="false" customHeight="false" outlineLevel="0" collapsed="false">
      <c r="A2767" s="2" t="n">
        <v>2763</v>
      </c>
      <c r="B2767" s="2" t="s">
        <v>8095</v>
      </c>
      <c r="C2767" s="2" t="s">
        <v>8096</v>
      </c>
      <c r="D2767" s="2" t="s">
        <v>8097</v>
      </c>
      <c r="E2767" s="2" t="str">
        <f aca="false">LEFT(C2767,3)</f>
        <v>814</v>
      </c>
      <c r="F2767" s="2" t="str">
        <f aca="false">IF(D2767="","",LEFT(D2767,3))</f>
        <v>823</v>
      </c>
      <c r="G2767" s="2" t="str">
        <f aca="false">IF(F2767="","",IF(E2767=F2767,"Yes","No"))</f>
        <v>No</v>
      </c>
      <c r="H2767" s="2" t="n">
        <f aca="false">IF(D2767="",0,1/COUNTIF($D$2:$D$3451,D2767))</f>
        <v>1</v>
      </c>
      <c r="I2767" s="13" t="n">
        <f aca="false">IFERROR(INDEX('NCO-2015 scores'!$C$2:$C$131,MATCH(E2767,'NCO-2015 scores'!$A$2:$A$131,0)),0)</f>
        <v>0.1767</v>
      </c>
      <c r="J2767" s="13" t="n">
        <f aca="false">IF(ISNUMBER(MATCH(E2767,'NCO-2015 scores'!$A$2:$A$131,0)),IF(ISNUMBER(INDEX('NCO-2015 scores'!$C$2:$C$131,MATCH(E2767,'NCO-2015 scores'!$A$2:$A$131,0))),1,0),0)</f>
        <v>1</v>
      </c>
    </row>
    <row r="2768" customFormat="false" ht="15" hidden="false" customHeight="false" outlineLevel="0" collapsed="false">
      <c r="A2768" s="2" t="n">
        <v>2764</v>
      </c>
      <c r="B2768" s="2" t="s">
        <v>8098</v>
      </c>
      <c r="C2768" s="2" t="s">
        <v>8099</v>
      </c>
      <c r="D2768" s="2" t="s">
        <v>8100</v>
      </c>
      <c r="E2768" s="2" t="str">
        <f aca="false">LEFT(C2768,3)</f>
        <v>814</v>
      </c>
      <c r="F2768" s="2" t="str">
        <f aca="false">IF(D2768="","",LEFT(D2768,3))</f>
        <v>823</v>
      </c>
      <c r="G2768" s="2" t="str">
        <f aca="false">IF(F2768="","",IF(E2768=F2768,"Yes","No"))</f>
        <v>No</v>
      </c>
      <c r="H2768" s="2" t="n">
        <f aca="false">IF(D2768="",0,1/COUNTIF($D$2:$D$3451,D2768))</f>
        <v>1</v>
      </c>
      <c r="I2768" s="13" t="n">
        <f aca="false">IFERROR(INDEX('NCO-2015 scores'!$C$2:$C$131,MATCH(E2768,'NCO-2015 scores'!$A$2:$A$131,0)),0)</f>
        <v>0.1767</v>
      </c>
      <c r="J2768" s="13" t="n">
        <f aca="false">IF(ISNUMBER(MATCH(E2768,'NCO-2015 scores'!$A$2:$A$131,0)),IF(ISNUMBER(INDEX('NCO-2015 scores'!$C$2:$C$131,MATCH(E2768,'NCO-2015 scores'!$A$2:$A$131,0))),1,0),0)</f>
        <v>1</v>
      </c>
    </row>
    <row r="2769" customFormat="false" ht="15" hidden="false" customHeight="false" outlineLevel="0" collapsed="false">
      <c r="A2769" s="2" t="n">
        <v>2765</v>
      </c>
      <c r="B2769" s="2" t="s">
        <v>8101</v>
      </c>
      <c r="C2769" s="2" t="s">
        <v>8102</v>
      </c>
      <c r="D2769" s="2" t="s">
        <v>8103</v>
      </c>
      <c r="E2769" s="2" t="str">
        <f aca="false">LEFT(C2769,3)</f>
        <v>814</v>
      </c>
      <c r="F2769" s="2" t="str">
        <f aca="false">IF(D2769="","",LEFT(D2769,3))</f>
        <v>823</v>
      </c>
      <c r="G2769" s="2" t="str">
        <f aca="false">IF(F2769="","",IF(E2769=F2769,"Yes","No"))</f>
        <v>No</v>
      </c>
      <c r="H2769" s="2" t="n">
        <f aca="false">IF(D2769="",0,1/COUNTIF($D$2:$D$3451,D2769))</f>
        <v>1</v>
      </c>
      <c r="I2769" s="13" t="n">
        <f aca="false">IFERROR(INDEX('NCO-2015 scores'!$C$2:$C$131,MATCH(E2769,'NCO-2015 scores'!$A$2:$A$131,0)),0)</f>
        <v>0.1767</v>
      </c>
      <c r="J2769" s="13" t="n">
        <f aca="false">IF(ISNUMBER(MATCH(E2769,'NCO-2015 scores'!$A$2:$A$131,0)),IF(ISNUMBER(INDEX('NCO-2015 scores'!$C$2:$C$131,MATCH(E2769,'NCO-2015 scores'!$A$2:$A$131,0))),1,0),0)</f>
        <v>1</v>
      </c>
    </row>
    <row r="2770" customFormat="false" ht="15" hidden="false" customHeight="false" outlineLevel="0" collapsed="false">
      <c r="A2770" s="2" t="n">
        <v>2766</v>
      </c>
      <c r="B2770" s="2" t="s">
        <v>8104</v>
      </c>
      <c r="C2770" s="2" t="s">
        <v>8105</v>
      </c>
      <c r="D2770" s="2" t="s">
        <v>8106</v>
      </c>
      <c r="E2770" s="2" t="str">
        <f aca="false">LEFT(C2770,3)</f>
        <v>814</v>
      </c>
      <c r="F2770" s="2" t="str">
        <f aca="false">IF(D2770="","",LEFT(D2770,3))</f>
        <v>823</v>
      </c>
      <c r="G2770" s="2" t="str">
        <f aca="false">IF(F2770="","",IF(E2770=F2770,"Yes","No"))</f>
        <v>No</v>
      </c>
      <c r="H2770" s="2" t="n">
        <f aca="false">IF(D2770="",0,1/COUNTIF($D$2:$D$3451,D2770))</f>
        <v>1</v>
      </c>
      <c r="I2770" s="13" t="n">
        <f aca="false">IFERROR(INDEX('NCO-2015 scores'!$C$2:$C$131,MATCH(E2770,'NCO-2015 scores'!$A$2:$A$131,0)),0)</f>
        <v>0.1767</v>
      </c>
      <c r="J2770" s="13" t="n">
        <f aca="false">IF(ISNUMBER(MATCH(E2770,'NCO-2015 scores'!$A$2:$A$131,0)),IF(ISNUMBER(INDEX('NCO-2015 scores'!$C$2:$C$131,MATCH(E2770,'NCO-2015 scores'!$A$2:$A$131,0))),1,0),0)</f>
        <v>1</v>
      </c>
    </row>
    <row r="2771" customFormat="false" ht="15" hidden="false" customHeight="false" outlineLevel="0" collapsed="false">
      <c r="A2771" s="2" t="n">
        <v>2767</v>
      </c>
      <c r="B2771" s="2" t="s">
        <v>8107</v>
      </c>
      <c r="C2771" s="2" t="s">
        <v>8108</v>
      </c>
      <c r="D2771" s="2"/>
      <c r="E2771" s="2" t="str">
        <f aca="false">LEFT(C2771,3)</f>
        <v>814</v>
      </c>
      <c r="F2771" s="2" t="str">
        <f aca="false">IF(D2771="","",LEFT(D2771,3))</f>
        <v/>
      </c>
      <c r="G2771" s="2" t="str">
        <f aca="false">IF(F2771="","",IF(E2771=F2771,"Yes","No"))</f>
        <v/>
      </c>
      <c r="H2771" s="2" t="n">
        <f aca="false">IF(D2771="",0,1/COUNTIF($D$2:$D$3451,D2771))</f>
        <v>0</v>
      </c>
      <c r="I2771" s="13" t="n">
        <f aca="false">IFERROR(INDEX('NCO-2015 scores'!$C$2:$C$131,MATCH(E2771,'NCO-2015 scores'!$A$2:$A$131,0)),0)</f>
        <v>0.1767</v>
      </c>
      <c r="J2771" s="13" t="n">
        <f aca="false">IF(ISNUMBER(MATCH(E2771,'NCO-2015 scores'!$A$2:$A$131,0)),IF(ISNUMBER(INDEX('NCO-2015 scores'!$C$2:$C$131,MATCH(E2771,'NCO-2015 scores'!$A$2:$A$131,0))),1,0),0)</f>
        <v>1</v>
      </c>
    </row>
    <row r="2772" customFormat="false" ht="15" hidden="false" customHeight="false" outlineLevel="0" collapsed="false">
      <c r="A2772" s="2" t="n">
        <v>2768</v>
      </c>
      <c r="B2772" s="2" t="s">
        <v>8109</v>
      </c>
      <c r="C2772" s="2" t="s">
        <v>8110</v>
      </c>
      <c r="D2772" s="2"/>
      <c r="E2772" s="2" t="str">
        <f aca="false">LEFT(C2772,3)</f>
        <v>814</v>
      </c>
      <c r="F2772" s="2" t="str">
        <f aca="false">IF(D2772="","",LEFT(D2772,3))</f>
        <v/>
      </c>
      <c r="G2772" s="2" t="str">
        <f aca="false">IF(F2772="","",IF(E2772=F2772,"Yes","No"))</f>
        <v/>
      </c>
      <c r="H2772" s="2" t="n">
        <f aca="false">IF(D2772="",0,1/COUNTIF($D$2:$D$3451,D2772))</f>
        <v>0</v>
      </c>
      <c r="I2772" s="13" t="n">
        <f aca="false">IFERROR(INDEX('NCO-2015 scores'!$C$2:$C$131,MATCH(E2772,'NCO-2015 scores'!$A$2:$A$131,0)),0)</f>
        <v>0.1767</v>
      </c>
      <c r="J2772" s="13" t="n">
        <f aca="false">IF(ISNUMBER(MATCH(E2772,'NCO-2015 scores'!$A$2:$A$131,0)),IF(ISNUMBER(INDEX('NCO-2015 scores'!$C$2:$C$131,MATCH(E2772,'NCO-2015 scores'!$A$2:$A$131,0))),1,0),0)</f>
        <v>1</v>
      </c>
    </row>
    <row r="2773" customFormat="false" ht="15" hidden="false" customHeight="false" outlineLevel="0" collapsed="false">
      <c r="A2773" s="2" t="n">
        <v>2769</v>
      </c>
      <c r="B2773" s="2" t="s">
        <v>8111</v>
      </c>
      <c r="C2773" s="2" t="s">
        <v>8112</v>
      </c>
      <c r="D2773" s="2" t="s">
        <v>8113</v>
      </c>
      <c r="E2773" s="2" t="str">
        <f aca="false">LEFT(C2773,3)</f>
        <v>122</v>
      </c>
      <c r="F2773" s="2" t="str">
        <f aca="false">IF(D2773="","",LEFT(D2773,3))</f>
        <v>123</v>
      </c>
      <c r="G2773" s="2" t="str">
        <f aca="false">IF(F2773="","",IF(E2773=F2773,"Yes","No"))</f>
        <v>No</v>
      </c>
      <c r="H2773" s="2" t="n">
        <f aca="false">IF(D2773="",0,1/COUNTIF($D$2:$D$3451,D2773))</f>
        <v>1</v>
      </c>
      <c r="I2773" s="13" t="n">
        <f aca="false">IFERROR(INDEX('NCO-2015 scores'!$C$2:$C$131,MATCH(E2773,'NCO-2015 scores'!$A$2:$A$131,0)),0)</f>
        <v>0.4</v>
      </c>
      <c r="J2773" s="13" t="n">
        <f aca="false">IF(ISNUMBER(MATCH(E2773,'NCO-2015 scores'!$A$2:$A$131,0)),IF(ISNUMBER(INDEX('NCO-2015 scores'!$C$2:$C$131,MATCH(E2773,'NCO-2015 scores'!$A$2:$A$131,0))),1,0),0)</f>
        <v>1</v>
      </c>
    </row>
    <row r="2774" customFormat="false" ht="15" hidden="false" customHeight="false" outlineLevel="0" collapsed="false">
      <c r="A2774" s="2" t="n">
        <v>2770</v>
      </c>
      <c r="B2774" s="2" t="s">
        <v>8114</v>
      </c>
      <c r="C2774" s="2" t="s">
        <v>8115</v>
      </c>
      <c r="D2774" s="2" t="s">
        <v>8116</v>
      </c>
      <c r="E2774" s="2" t="str">
        <f aca="false">LEFT(C2774,3)</f>
        <v>122</v>
      </c>
      <c r="F2774" s="2" t="str">
        <f aca="false">IF(D2774="","",LEFT(D2774,3))</f>
        <v>123</v>
      </c>
      <c r="G2774" s="2" t="str">
        <f aca="false">IF(F2774="","",IF(E2774=F2774,"Yes","No"))</f>
        <v>No</v>
      </c>
      <c r="H2774" s="2" t="n">
        <f aca="false">IF(D2774="",0,1/COUNTIF($D$2:$D$3451,D2774))</f>
        <v>1</v>
      </c>
      <c r="I2774" s="13" t="n">
        <f aca="false">IFERROR(INDEX('NCO-2015 scores'!$C$2:$C$131,MATCH(E2774,'NCO-2015 scores'!$A$2:$A$131,0)),0)</f>
        <v>0.4</v>
      </c>
      <c r="J2774" s="13" t="n">
        <f aca="false">IF(ISNUMBER(MATCH(E2774,'NCO-2015 scores'!$A$2:$A$131,0)),IF(ISNUMBER(INDEX('NCO-2015 scores'!$C$2:$C$131,MATCH(E2774,'NCO-2015 scores'!$A$2:$A$131,0))),1,0),0)</f>
        <v>1</v>
      </c>
    </row>
    <row r="2775" customFormat="false" ht="15" hidden="false" customHeight="false" outlineLevel="0" collapsed="false">
      <c r="A2775" s="2" t="n">
        <v>2771</v>
      </c>
      <c r="B2775" s="2" t="s">
        <v>8117</v>
      </c>
      <c r="C2775" s="2" t="s">
        <v>8118</v>
      </c>
      <c r="D2775" s="2"/>
      <c r="E2775" s="2" t="str">
        <f aca="false">LEFT(C2775,3)</f>
        <v>122</v>
      </c>
      <c r="F2775" s="2" t="str">
        <f aca="false">IF(D2775="","",LEFT(D2775,3))</f>
        <v/>
      </c>
      <c r="G2775" s="2" t="str">
        <f aca="false">IF(F2775="","",IF(E2775=F2775,"Yes","No"))</f>
        <v/>
      </c>
      <c r="H2775" s="2" t="n">
        <f aca="false">IF(D2775="",0,1/COUNTIF($D$2:$D$3451,D2775))</f>
        <v>0</v>
      </c>
      <c r="I2775" s="13" t="n">
        <f aca="false">IFERROR(INDEX('NCO-2015 scores'!$C$2:$C$131,MATCH(E2775,'NCO-2015 scores'!$A$2:$A$131,0)),0)</f>
        <v>0.4</v>
      </c>
      <c r="J2775" s="13" t="n">
        <f aca="false">IF(ISNUMBER(MATCH(E2775,'NCO-2015 scores'!$A$2:$A$131,0)),IF(ISNUMBER(INDEX('NCO-2015 scores'!$C$2:$C$131,MATCH(E2775,'NCO-2015 scores'!$A$2:$A$131,0))),1,0),0)</f>
        <v>1</v>
      </c>
    </row>
    <row r="2776" customFormat="false" ht="15" hidden="false" customHeight="false" outlineLevel="0" collapsed="false">
      <c r="A2776" s="2" t="n">
        <v>2772</v>
      </c>
      <c r="B2776" s="2" t="s">
        <v>8119</v>
      </c>
      <c r="C2776" s="2" t="s">
        <v>8120</v>
      </c>
      <c r="D2776" s="2"/>
      <c r="E2776" s="2" t="str">
        <f aca="false">LEFT(C2776,3)</f>
        <v>122</v>
      </c>
      <c r="F2776" s="2" t="str">
        <f aca="false">IF(D2776="","",LEFT(D2776,3))</f>
        <v/>
      </c>
      <c r="G2776" s="2" t="str">
        <f aca="false">IF(F2776="","",IF(E2776=F2776,"Yes","No"))</f>
        <v/>
      </c>
      <c r="H2776" s="2" t="n">
        <f aca="false">IF(D2776="",0,1/COUNTIF($D$2:$D$3451,D2776))</f>
        <v>0</v>
      </c>
      <c r="I2776" s="13" t="n">
        <f aca="false">IFERROR(INDEX('NCO-2015 scores'!$C$2:$C$131,MATCH(E2776,'NCO-2015 scores'!$A$2:$A$131,0)),0)</f>
        <v>0.4</v>
      </c>
      <c r="J2776" s="13" t="n">
        <f aca="false">IF(ISNUMBER(MATCH(E2776,'NCO-2015 scores'!$A$2:$A$131,0)),IF(ISNUMBER(INDEX('NCO-2015 scores'!$C$2:$C$131,MATCH(E2776,'NCO-2015 scores'!$A$2:$A$131,0))),1,0),0)</f>
        <v>1</v>
      </c>
    </row>
    <row r="2777" customFormat="false" ht="15" hidden="false" customHeight="false" outlineLevel="0" collapsed="false">
      <c r="A2777" s="2" t="n">
        <v>2773</v>
      </c>
      <c r="B2777" s="2" t="s">
        <v>8121</v>
      </c>
      <c r="C2777" s="2" t="s">
        <v>8122</v>
      </c>
      <c r="D2777" s="2"/>
      <c r="E2777" s="2" t="str">
        <f aca="false">LEFT(C2777,3)</f>
        <v>122</v>
      </c>
      <c r="F2777" s="2" t="str">
        <f aca="false">IF(D2777="","",LEFT(D2777,3))</f>
        <v/>
      </c>
      <c r="G2777" s="2" t="str">
        <f aca="false">IF(F2777="","",IF(E2777=F2777,"Yes","No"))</f>
        <v/>
      </c>
      <c r="H2777" s="2" t="n">
        <f aca="false">IF(D2777="",0,1/COUNTIF($D$2:$D$3451,D2777))</f>
        <v>0</v>
      </c>
      <c r="I2777" s="13" t="n">
        <f aca="false">IFERROR(INDEX('NCO-2015 scores'!$C$2:$C$131,MATCH(E2777,'NCO-2015 scores'!$A$2:$A$131,0)),0)</f>
        <v>0.4</v>
      </c>
      <c r="J2777" s="13" t="n">
        <f aca="false">IF(ISNUMBER(MATCH(E2777,'NCO-2015 scores'!$A$2:$A$131,0)),IF(ISNUMBER(INDEX('NCO-2015 scores'!$C$2:$C$131,MATCH(E2777,'NCO-2015 scores'!$A$2:$A$131,0))),1,0),0)</f>
        <v>1</v>
      </c>
    </row>
    <row r="2778" customFormat="false" ht="15" hidden="false" customHeight="false" outlineLevel="0" collapsed="false">
      <c r="A2778" s="2" t="n">
        <v>2774</v>
      </c>
      <c r="B2778" s="2" t="s">
        <v>8123</v>
      </c>
      <c r="C2778" s="2" t="s">
        <v>8124</v>
      </c>
      <c r="D2778" s="2"/>
      <c r="E2778" s="2" t="str">
        <f aca="false">LEFT(C2778,3)</f>
        <v>122</v>
      </c>
      <c r="F2778" s="2" t="str">
        <f aca="false">IF(D2778="","",LEFT(D2778,3))</f>
        <v/>
      </c>
      <c r="G2778" s="2" t="str">
        <f aca="false">IF(F2778="","",IF(E2778=F2778,"Yes","No"))</f>
        <v/>
      </c>
      <c r="H2778" s="2" t="n">
        <f aca="false">IF(D2778="",0,1/COUNTIF($D$2:$D$3451,D2778))</f>
        <v>0</v>
      </c>
      <c r="I2778" s="13" t="n">
        <f aca="false">IFERROR(INDEX('NCO-2015 scores'!$C$2:$C$131,MATCH(E2778,'NCO-2015 scores'!$A$2:$A$131,0)),0)</f>
        <v>0.4</v>
      </c>
      <c r="J2778" s="13" t="n">
        <f aca="false">IF(ISNUMBER(MATCH(E2778,'NCO-2015 scores'!$A$2:$A$131,0)),IF(ISNUMBER(INDEX('NCO-2015 scores'!$C$2:$C$131,MATCH(E2778,'NCO-2015 scores'!$A$2:$A$131,0))),1,0),0)</f>
        <v>1</v>
      </c>
    </row>
    <row r="2779" customFormat="false" ht="15" hidden="false" customHeight="false" outlineLevel="0" collapsed="false">
      <c r="A2779" s="2" t="n">
        <v>2775</v>
      </c>
      <c r="B2779" s="2" t="s">
        <v>8125</v>
      </c>
      <c r="C2779" s="2" t="s">
        <v>8126</v>
      </c>
      <c r="D2779" s="2"/>
      <c r="E2779" s="2" t="str">
        <f aca="false">LEFT(C2779,3)</f>
        <v>122</v>
      </c>
      <c r="F2779" s="2" t="str">
        <f aca="false">IF(D2779="","",LEFT(D2779,3))</f>
        <v/>
      </c>
      <c r="G2779" s="2" t="str">
        <f aca="false">IF(F2779="","",IF(E2779=F2779,"Yes","No"))</f>
        <v/>
      </c>
      <c r="H2779" s="2" t="n">
        <f aca="false">IF(D2779="",0,1/COUNTIF($D$2:$D$3451,D2779))</f>
        <v>0</v>
      </c>
      <c r="I2779" s="13" t="n">
        <f aca="false">IFERROR(INDEX('NCO-2015 scores'!$C$2:$C$131,MATCH(E2779,'NCO-2015 scores'!$A$2:$A$131,0)),0)</f>
        <v>0.4</v>
      </c>
      <c r="J2779" s="13" t="n">
        <f aca="false">IF(ISNUMBER(MATCH(E2779,'NCO-2015 scores'!$A$2:$A$131,0)),IF(ISNUMBER(INDEX('NCO-2015 scores'!$C$2:$C$131,MATCH(E2779,'NCO-2015 scores'!$A$2:$A$131,0))),1,0),0)</f>
        <v>1</v>
      </c>
    </row>
    <row r="2780" customFormat="false" ht="15" hidden="false" customHeight="false" outlineLevel="0" collapsed="false">
      <c r="A2780" s="2" t="n">
        <v>2776</v>
      </c>
      <c r="B2780" s="2" t="s">
        <v>8127</v>
      </c>
      <c r="C2780" s="2" t="s">
        <v>8128</v>
      </c>
      <c r="D2780" s="2" t="s">
        <v>8129</v>
      </c>
      <c r="E2780" s="2" t="str">
        <f aca="false">LEFT(C2780,3)</f>
        <v>122</v>
      </c>
      <c r="F2780" s="2" t="str">
        <f aca="false">IF(D2780="","",LEFT(D2780,3))</f>
        <v>123</v>
      </c>
      <c r="G2780" s="2" t="str">
        <f aca="false">IF(F2780="","",IF(E2780=F2780,"Yes","No"))</f>
        <v>No</v>
      </c>
      <c r="H2780" s="2" t="n">
        <f aca="false">IF(D2780="",0,1/COUNTIF($D$2:$D$3451,D2780))</f>
        <v>1</v>
      </c>
      <c r="I2780" s="13" t="n">
        <f aca="false">IFERROR(INDEX('NCO-2015 scores'!$C$2:$C$131,MATCH(E2780,'NCO-2015 scores'!$A$2:$A$131,0)),0)</f>
        <v>0.4</v>
      </c>
      <c r="J2780" s="13" t="n">
        <f aca="false">IF(ISNUMBER(MATCH(E2780,'NCO-2015 scores'!$A$2:$A$131,0)),IF(ISNUMBER(INDEX('NCO-2015 scores'!$C$2:$C$131,MATCH(E2780,'NCO-2015 scores'!$A$2:$A$131,0))),1,0),0)</f>
        <v>1</v>
      </c>
    </row>
    <row r="2781" customFormat="false" ht="15" hidden="false" customHeight="false" outlineLevel="0" collapsed="false">
      <c r="A2781" s="2" t="n">
        <v>2777</v>
      </c>
      <c r="B2781" s="2" t="s">
        <v>8130</v>
      </c>
      <c r="C2781" s="2" t="s">
        <v>8131</v>
      </c>
      <c r="D2781" s="2" t="s">
        <v>8132</v>
      </c>
      <c r="E2781" s="2" t="str">
        <f aca="false">LEFT(C2781,3)</f>
        <v>524</v>
      </c>
      <c r="F2781" s="2" t="str">
        <f aca="false">IF(D2781="","",LEFT(D2781,3))</f>
        <v>522</v>
      </c>
      <c r="G2781" s="2" t="str">
        <f aca="false">IF(F2781="","",IF(E2781=F2781,"Yes","No"))</f>
        <v>No</v>
      </c>
      <c r="H2781" s="2" t="n">
        <f aca="false">IF(D2781="",0,1/COUNTIF($D$2:$D$3451,D2781))</f>
        <v>1</v>
      </c>
      <c r="I2781" s="13" t="n">
        <f aca="false">IFERROR(INDEX('NCO-2015 scores'!$C$2:$C$131,MATCH(E2781,'NCO-2015 scores'!$A$2:$A$131,0)),0)</f>
        <v>0.37</v>
      </c>
      <c r="J2781" s="13" t="n">
        <f aca="false">IF(ISNUMBER(MATCH(E2781,'NCO-2015 scores'!$A$2:$A$131,0)),IF(ISNUMBER(INDEX('NCO-2015 scores'!$C$2:$C$131,MATCH(E2781,'NCO-2015 scores'!$A$2:$A$131,0))),1,0),0)</f>
        <v>1</v>
      </c>
    </row>
    <row r="2782" customFormat="false" ht="15" hidden="false" customHeight="false" outlineLevel="0" collapsed="false">
      <c r="A2782" s="2" t="n">
        <v>2778</v>
      </c>
      <c r="B2782" s="2" t="s">
        <v>8133</v>
      </c>
      <c r="C2782" s="2" t="s">
        <v>8134</v>
      </c>
      <c r="D2782" s="2"/>
      <c r="E2782" s="2" t="str">
        <f aca="false">LEFT(C2782,3)</f>
        <v>524</v>
      </c>
      <c r="F2782" s="2" t="str">
        <f aca="false">IF(D2782="","",LEFT(D2782,3))</f>
        <v/>
      </c>
      <c r="G2782" s="2" t="str">
        <f aca="false">IF(F2782="","",IF(E2782=F2782,"Yes","No"))</f>
        <v/>
      </c>
      <c r="H2782" s="2" t="n">
        <f aca="false">IF(D2782="",0,1/COUNTIF($D$2:$D$3451,D2782))</f>
        <v>0</v>
      </c>
      <c r="I2782" s="13" t="n">
        <f aca="false">IFERROR(INDEX('NCO-2015 scores'!$C$2:$C$131,MATCH(E2782,'NCO-2015 scores'!$A$2:$A$131,0)),0)</f>
        <v>0.37</v>
      </c>
      <c r="J2782" s="13" t="n">
        <f aca="false">IF(ISNUMBER(MATCH(E2782,'NCO-2015 scores'!$A$2:$A$131,0)),IF(ISNUMBER(INDEX('NCO-2015 scores'!$C$2:$C$131,MATCH(E2782,'NCO-2015 scores'!$A$2:$A$131,0))),1,0),0)</f>
        <v>1</v>
      </c>
    </row>
    <row r="2783" customFormat="false" ht="15" hidden="false" customHeight="false" outlineLevel="0" collapsed="false">
      <c r="A2783" s="2" t="n">
        <v>2779</v>
      </c>
      <c r="B2783" s="2" t="s">
        <v>8135</v>
      </c>
      <c r="C2783" s="2" t="s">
        <v>8136</v>
      </c>
      <c r="D2783" s="2"/>
      <c r="E2783" s="2" t="str">
        <f aca="false">LEFT(C2783,3)</f>
        <v>524</v>
      </c>
      <c r="F2783" s="2" t="str">
        <f aca="false">IF(D2783="","",LEFT(D2783,3))</f>
        <v/>
      </c>
      <c r="G2783" s="2" t="str">
        <f aca="false">IF(F2783="","",IF(E2783=F2783,"Yes","No"))</f>
        <v/>
      </c>
      <c r="H2783" s="2" t="n">
        <f aca="false">IF(D2783="",0,1/COUNTIF($D$2:$D$3451,D2783))</f>
        <v>0</v>
      </c>
      <c r="I2783" s="13" t="n">
        <f aca="false">IFERROR(INDEX('NCO-2015 scores'!$C$2:$C$131,MATCH(E2783,'NCO-2015 scores'!$A$2:$A$131,0)),0)</f>
        <v>0.37</v>
      </c>
      <c r="J2783" s="13" t="n">
        <f aca="false">IF(ISNUMBER(MATCH(E2783,'NCO-2015 scores'!$A$2:$A$131,0)),IF(ISNUMBER(INDEX('NCO-2015 scores'!$C$2:$C$131,MATCH(E2783,'NCO-2015 scores'!$A$2:$A$131,0))),1,0),0)</f>
        <v>1</v>
      </c>
    </row>
    <row r="2784" customFormat="false" ht="15" hidden="false" customHeight="false" outlineLevel="0" collapsed="false">
      <c r="A2784" s="2" t="n">
        <v>2780</v>
      </c>
      <c r="B2784" s="2" t="s">
        <v>8137</v>
      </c>
      <c r="C2784" s="2" t="s">
        <v>8138</v>
      </c>
      <c r="D2784" s="2" t="s">
        <v>8139</v>
      </c>
      <c r="E2784" s="2" t="str">
        <f aca="false">LEFT(C2784,3)</f>
        <v>524</v>
      </c>
      <c r="F2784" s="2" t="str">
        <f aca="false">IF(D2784="","",LEFT(D2784,3))</f>
        <v>522</v>
      </c>
      <c r="G2784" s="2" t="str">
        <f aca="false">IF(F2784="","",IF(E2784=F2784,"Yes","No"))</f>
        <v>No</v>
      </c>
      <c r="H2784" s="2" t="n">
        <f aca="false">IF(D2784="",0,1/COUNTIF($D$2:$D$3451,D2784))</f>
        <v>1</v>
      </c>
      <c r="I2784" s="13" t="n">
        <f aca="false">IFERROR(INDEX('NCO-2015 scores'!$C$2:$C$131,MATCH(E2784,'NCO-2015 scores'!$A$2:$A$131,0)),0)</f>
        <v>0.37</v>
      </c>
      <c r="J2784" s="13" t="n">
        <f aca="false">IF(ISNUMBER(MATCH(E2784,'NCO-2015 scores'!$A$2:$A$131,0)),IF(ISNUMBER(INDEX('NCO-2015 scores'!$C$2:$C$131,MATCH(E2784,'NCO-2015 scores'!$A$2:$A$131,0))),1,0),0)</f>
        <v>1</v>
      </c>
    </row>
    <row r="2785" customFormat="false" ht="15" hidden="false" customHeight="false" outlineLevel="0" collapsed="false">
      <c r="A2785" s="2" t="n">
        <v>2781</v>
      </c>
      <c r="B2785" s="2" t="s">
        <v>8140</v>
      </c>
      <c r="C2785" s="2" t="s">
        <v>8141</v>
      </c>
      <c r="D2785" s="2"/>
      <c r="E2785" s="2" t="str">
        <f aca="false">LEFT(C2785,3)</f>
        <v>524</v>
      </c>
      <c r="F2785" s="2" t="str">
        <f aca="false">IF(D2785="","",LEFT(D2785,3))</f>
        <v/>
      </c>
      <c r="G2785" s="2" t="str">
        <f aca="false">IF(F2785="","",IF(E2785=F2785,"Yes","No"))</f>
        <v/>
      </c>
      <c r="H2785" s="2" t="n">
        <f aca="false">IF(D2785="",0,1/COUNTIF($D$2:$D$3451,D2785))</f>
        <v>0</v>
      </c>
      <c r="I2785" s="13" t="n">
        <f aca="false">IFERROR(INDEX('NCO-2015 scores'!$C$2:$C$131,MATCH(E2785,'NCO-2015 scores'!$A$2:$A$131,0)),0)</f>
        <v>0.37</v>
      </c>
      <c r="J2785" s="13" t="n">
        <f aca="false">IF(ISNUMBER(MATCH(E2785,'NCO-2015 scores'!$A$2:$A$131,0)),IF(ISNUMBER(INDEX('NCO-2015 scores'!$C$2:$C$131,MATCH(E2785,'NCO-2015 scores'!$A$2:$A$131,0))),1,0),0)</f>
        <v>1</v>
      </c>
    </row>
    <row r="2786" customFormat="false" ht="15" hidden="false" customHeight="false" outlineLevel="0" collapsed="false">
      <c r="A2786" s="2" t="n">
        <v>2782</v>
      </c>
      <c r="B2786" s="2" t="s">
        <v>8142</v>
      </c>
      <c r="C2786" s="2" t="s">
        <v>8143</v>
      </c>
      <c r="D2786" s="2"/>
      <c r="E2786" s="2" t="str">
        <f aca="false">LEFT(C2786,3)</f>
        <v>524</v>
      </c>
      <c r="F2786" s="2" t="str">
        <f aca="false">IF(D2786="","",LEFT(D2786,3))</f>
        <v/>
      </c>
      <c r="G2786" s="2" t="str">
        <f aca="false">IF(F2786="","",IF(E2786=F2786,"Yes","No"))</f>
        <v/>
      </c>
      <c r="H2786" s="2" t="n">
        <f aca="false">IF(D2786="",0,1/COUNTIF($D$2:$D$3451,D2786))</f>
        <v>0</v>
      </c>
      <c r="I2786" s="13" t="n">
        <f aca="false">IFERROR(INDEX('NCO-2015 scores'!$C$2:$C$131,MATCH(E2786,'NCO-2015 scores'!$A$2:$A$131,0)),0)</f>
        <v>0.37</v>
      </c>
      <c r="J2786" s="13" t="n">
        <f aca="false">IF(ISNUMBER(MATCH(E2786,'NCO-2015 scores'!$A$2:$A$131,0)),IF(ISNUMBER(INDEX('NCO-2015 scores'!$C$2:$C$131,MATCH(E2786,'NCO-2015 scores'!$A$2:$A$131,0))),1,0),0)</f>
        <v>1</v>
      </c>
    </row>
    <row r="2787" customFormat="false" ht="15" hidden="false" customHeight="false" outlineLevel="0" collapsed="false">
      <c r="A2787" s="2" t="n">
        <v>2783</v>
      </c>
      <c r="B2787" s="2" t="s">
        <v>8144</v>
      </c>
      <c r="C2787" s="2" t="s">
        <v>8145</v>
      </c>
      <c r="D2787" s="2"/>
      <c r="E2787" s="2" t="str">
        <f aca="false">LEFT(C2787,3)</f>
        <v>524</v>
      </c>
      <c r="F2787" s="2" t="str">
        <f aca="false">IF(D2787="","",LEFT(D2787,3))</f>
        <v/>
      </c>
      <c r="G2787" s="2" t="str">
        <f aca="false">IF(F2787="","",IF(E2787=F2787,"Yes","No"))</f>
        <v/>
      </c>
      <c r="H2787" s="2" t="n">
        <f aca="false">IF(D2787="",0,1/COUNTIF($D$2:$D$3451,D2787))</f>
        <v>0</v>
      </c>
      <c r="I2787" s="13" t="n">
        <f aca="false">IFERROR(INDEX('NCO-2015 scores'!$C$2:$C$131,MATCH(E2787,'NCO-2015 scores'!$A$2:$A$131,0)),0)</f>
        <v>0.37</v>
      </c>
      <c r="J2787" s="13" t="n">
        <f aca="false">IF(ISNUMBER(MATCH(E2787,'NCO-2015 scores'!$A$2:$A$131,0)),IF(ISNUMBER(INDEX('NCO-2015 scores'!$C$2:$C$131,MATCH(E2787,'NCO-2015 scores'!$A$2:$A$131,0))),1,0),0)</f>
        <v>1</v>
      </c>
    </row>
    <row r="2788" customFormat="false" ht="15" hidden="false" customHeight="false" outlineLevel="0" collapsed="false">
      <c r="A2788" s="2" t="n">
        <v>2784</v>
      </c>
      <c r="B2788" s="2" t="s">
        <v>8146</v>
      </c>
      <c r="C2788" s="2" t="s">
        <v>8147</v>
      </c>
      <c r="D2788" s="2" t="s">
        <v>8148</v>
      </c>
      <c r="E2788" s="2" t="str">
        <f aca="false">LEFT(C2788,3)</f>
        <v>524</v>
      </c>
      <c r="F2788" s="2" t="str">
        <f aca="false">IF(D2788="","",LEFT(D2788,3))</f>
        <v>522</v>
      </c>
      <c r="G2788" s="2" t="str">
        <f aca="false">IF(F2788="","",IF(E2788=F2788,"Yes","No"))</f>
        <v>No</v>
      </c>
      <c r="H2788" s="2" t="n">
        <f aca="false">IF(D2788="",0,1/COUNTIF($D$2:$D$3451,D2788))</f>
        <v>1</v>
      </c>
      <c r="I2788" s="13" t="n">
        <f aca="false">IFERROR(INDEX('NCO-2015 scores'!$C$2:$C$131,MATCH(E2788,'NCO-2015 scores'!$A$2:$A$131,0)),0)</f>
        <v>0.37</v>
      </c>
      <c r="J2788" s="13" t="n">
        <f aca="false">IF(ISNUMBER(MATCH(E2788,'NCO-2015 scores'!$A$2:$A$131,0)),IF(ISNUMBER(INDEX('NCO-2015 scores'!$C$2:$C$131,MATCH(E2788,'NCO-2015 scores'!$A$2:$A$131,0))),1,0),0)</f>
        <v>1</v>
      </c>
    </row>
    <row r="2789" customFormat="false" ht="15" hidden="false" customHeight="false" outlineLevel="0" collapsed="false">
      <c r="A2789" s="2" t="n">
        <v>2785</v>
      </c>
      <c r="B2789" s="2" t="s">
        <v>8149</v>
      </c>
      <c r="C2789" s="2" t="s">
        <v>8150</v>
      </c>
      <c r="D2789" s="2"/>
      <c r="E2789" s="2" t="str">
        <f aca="false">LEFT(C2789,3)</f>
        <v>524</v>
      </c>
      <c r="F2789" s="2" t="str">
        <f aca="false">IF(D2789="","",LEFT(D2789,3))</f>
        <v/>
      </c>
      <c r="G2789" s="2" t="str">
        <f aca="false">IF(F2789="","",IF(E2789=F2789,"Yes","No"))</f>
        <v/>
      </c>
      <c r="H2789" s="2" t="n">
        <f aca="false">IF(D2789="",0,1/COUNTIF($D$2:$D$3451,D2789))</f>
        <v>0</v>
      </c>
      <c r="I2789" s="13" t="n">
        <f aca="false">IFERROR(INDEX('NCO-2015 scores'!$C$2:$C$131,MATCH(E2789,'NCO-2015 scores'!$A$2:$A$131,0)),0)</f>
        <v>0.37</v>
      </c>
      <c r="J2789" s="13" t="n">
        <f aca="false">IF(ISNUMBER(MATCH(E2789,'NCO-2015 scores'!$A$2:$A$131,0)),IF(ISNUMBER(INDEX('NCO-2015 scores'!$C$2:$C$131,MATCH(E2789,'NCO-2015 scores'!$A$2:$A$131,0))),1,0),0)</f>
        <v>1</v>
      </c>
    </row>
    <row r="2790" customFormat="false" ht="15" hidden="false" customHeight="false" outlineLevel="0" collapsed="false">
      <c r="A2790" s="2" t="n">
        <v>2786</v>
      </c>
      <c r="B2790" s="2" t="s">
        <v>8151</v>
      </c>
      <c r="C2790" s="2" t="s">
        <v>8152</v>
      </c>
      <c r="D2790" s="2" t="s">
        <v>8153</v>
      </c>
      <c r="E2790" s="2" t="str">
        <f aca="false">LEFT(C2790,3)</f>
        <v>524</v>
      </c>
      <c r="F2790" s="2" t="str">
        <f aca="false">IF(D2790="","",LEFT(D2790,3))</f>
        <v>522</v>
      </c>
      <c r="G2790" s="2" t="str">
        <f aca="false">IF(F2790="","",IF(E2790=F2790,"Yes","No"))</f>
        <v>No</v>
      </c>
      <c r="H2790" s="2" t="n">
        <f aca="false">IF(D2790="",0,1/COUNTIF($D$2:$D$3451,D2790))</f>
        <v>1</v>
      </c>
      <c r="I2790" s="13" t="n">
        <f aca="false">IFERROR(INDEX('NCO-2015 scores'!$C$2:$C$131,MATCH(E2790,'NCO-2015 scores'!$A$2:$A$131,0)),0)</f>
        <v>0.37</v>
      </c>
      <c r="J2790" s="13" t="n">
        <f aca="false">IF(ISNUMBER(MATCH(E2790,'NCO-2015 scores'!$A$2:$A$131,0)),IF(ISNUMBER(INDEX('NCO-2015 scores'!$C$2:$C$131,MATCH(E2790,'NCO-2015 scores'!$A$2:$A$131,0))),1,0),0)</f>
        <v>1</v>
      </c>
    </row>
    <row r="2791" customFormat="false" ht="15" hidden="false" customHeight="false" outlineLevel="0" collapsed="false">
      <c r="A2791" s="2" t="n">
        <v>2787</v>
      </c>
      <c r="B2791" s="2" t="s">
        <v>8154</v>
      </c>
      <c r="C2791" s="2" t="s">
        <v>8155</v>
      </c>
      <c r="D2791" s="2" t="s">
        <v>8156</v>
      </c>
      <c r="E2791" s="2" t="str">
        <f aca="false">LEFT(C2791,3)</f>
        <v>524</v>
      </c>
      <c r="F2791" s="2" t="str">
        <f aca="false">IF(D2791="","",LEFT(D2791,3))</f>
        <v>522</v>
      </c>
      <c r="G2791" s="2" t="str">
        <f aca="false">IF(F2791="","",IF(E2791=F2791,"Yes","No"))</f>
        <v>No</v>
      </c>
      <c r="H2791" s="2" t="n">
        <f aca="false">IF(D2791="",0,1/COUNTIF($D$2:$D$3451,D2791))</f>
        <v>1</v>
      </c>
      <c r="I2791" s="13" t="n">
        <f aca="false">IFERROR(INDEX('NCO-2015 scores'!$C$2:$C$131,MATCH(E2791,'NCO-2015 scores'!$A$2:$A$131,0)),0)</f>
        <v>0.37</v>
      </c>
      <c r="J2791" s="13" t="n">
        <f aca="false">IF(ISNUMBER(MATCH(E2791,'NCO-2015 scores'!$A$2:$A$131,0)),IF(ISNUMBER(INDEX('NCO-2015 scores'!$C$2:$C$131,MATCH(E2791,'NCO-2015 scores'!$A$2:$A$131,0))),1,0),0)</f>
        <v>1</v>
      </c>
    </row>
    <row r="2792" customFormat="false" ht="15" hidden="false" customHeight="false" outlineLevel="0" collapsed="false">
      <c r="A2792" s="2" t="n">
        <v>2788</v>
      </c>
      <c r="B2792" s="2" t="s">
        <v>8157</v>
      </c>
      <c r="C2792" s="2" t="s">
        <v>8158</v>
      </c>
      <c r="D2792" s="2"/>
      <c r="E2792" s="2" t="str">
        <f aca="false">LEFT(C2792,3)</f>
        <v>524</v>
      </c>
      <c r="F2792" s="2" t="str">
        <f aca="false">IF(D2792="","",LEFT(D2792,3))</f>
        <v/>
      </c>
      <c r="G2792" s="2" t="str">
        <f aca="false">IF(F2792="","",IF(E2792=F2792,"Yes","No"))</f>
        <v/>
      </c>
      <c r="H2792" s="2" t="n">
        <f aca="false">IF(D2792="",0,1/COUNTIF($D$2:$D$3451,D2792))</f>
        <v>0</v>
      </c>
      <c r="I2792" s="13" t="n">
        <f aca="false">IFERROR(INDEX('NCO-2015 scores'!$C$2:$C$131,MATCH(E2792,'NCO-2015 scores'!$A$2:$A$131,0)),0)</f>
        <v>0.37</v>
      </c>
      <c r="J2792" s="13" t="n">
        <f aca="false">IF(ISNUMBER(MATCH(E2792,'NCO-2015 scores'!$A$2:$A$131,0)),IF(ISNUMBER(INDEX('NCO-2015 scores'!$C$2:$C$131,MATCH(E2792,'NCO-2015 scores'!$A$2:$A$131,0))),1,0),0)</f>
        <v>1</v>
      </c>
    </row>
    <row r="2793" customFormat="false" ht="15" hidden="false" customHeight="false" outlineLevel="0" collapsed="false">
      <c r="A2793" s="2" t="n">
        <v>2789</v>
      </c>
      <c r="B2793" s="2" t="s">
        <v>8159</v>
      </c>
      <c r="C2793" s="2" t="s">
        <v>8160</v>
      </c>
      <c r="D2793" s="2" t="s">
        <v>8161</v>
      </c>
      <c r="E2793" s="2" t="str">
        <f aca="false">LEFT(C2793,3)</f>
        <v>524</v>
      </c>
      <c r="F2793" s="2" t="str">
        <f aca="false">IF(D2793="","",LEFT(D2793,3))</f>
        <v>522</v>
      </c>
      <c r="G2793" s="2" t="str">
        <f aca="false">IF(F2793="","",IF(E2793=F2793,"Yes","No"))</f>
        <v>No</v>
      </c>
      <c r="H2793" s="2" t="n">
        <f aca="false">IF(D2793="",0,1/COUNTIF($D$2:$D$3451,D2793))</f>
        <v>1</v>
      </c>
      <c r="I2793" s="13" t="n">
        <f aca="false">IFERROR(INDEX('NCO-2015 scores'!$C$2:$C$131,MATCH(E2793,'NCO-2015 scores'!$A$2:$A$131,0)),0)</f>
        <v>0.37</v>
      </c>
      <c r="J2793" s="13" t="n">
        <f aca="false">IF(ISNUMBER(MATCH(E2793,'NCO-2015 scores'!$A$2:$A$131,0)),IF(ISNUMBER(INDEX('NCO-2015 scores'!$C$2:$C$131,MATCH(E2793,'NCO-2015 scores'!$A$2:$A$131,0))),1,0),0)</f>
        <v>1</v>
      </c>
    </row>
    <row r="2794" customFormat="false" ht="15" hidden="false" customHeight="false" outlineLevel="0" collapsed="false">
      <c r="A2794" s="2" t="n">
        <v>2790</v>
      </c>
      <c r="B2794" s="2" t="s">
        <v>8162</v>
      </c>
      <c r="C2794" s="2" t="s">
        <v>8163</v>
      </c>
      <c r="D2794" s="2"/>
      <c r="E2794" s="2" t="str">
        <f aca="false">LEFT(C2794,3)</f>
        <v>524</v>
      </c>
      <c r="F2794" s="2" t="str">
        <f aca="false">IF(D2794="","",LEFT(D2794,3))</f>
        <v/>
      </c>
      <c r="G2794" s="2" t="str">
        <f aca="false">IF(F2794="","",IF(E2794=F2794,"Yes","No"))</f>
        <v/>
      </c>
      <c r="H2794" s="2" t="n">
        <f aca="false">IF(D2794="",0,1/COUNTIF($D$2:$D$3451,D2794))</f>
        <v>0</v>
      </c>
      <c r="I2794" s="13" t="n">
        <f aca="false">IFERROR(INDEX('NCO-2015 scores'!$C$2:$C$131,MATCH(E2794,'NCO-2015 scores'!$A$2:$A$131,0)),0)</f>
        <v>0.37</v>
      </c>
      <c r="J2794" s="13" t="n">
        <f aca="false">IF(ISNUMBER(MATCH(E2794,'NCO-2015 scores'!$A$2:$A$131,0)),IF(ISNUMBER(INDEX('NCO-2015 scores'!$C$2:$C$131,MATCH(E2794,'NCO-2015 scores'!$A$2:$A$131,0))),1,0),0)</f>
        <v>1</v>
      </c>
    </row>
    <row r="2795" customFormat="false" ht="15" hidden="false" customHeight="false" outlineLevel="0" collapsed="false">
      <c r="A2795" s="2" t="n">
        <v>2791</v>
      </c>
      <c r="B2795" s="2" t="s">
        <v>8164</v>
      </c>
      <c r="C2795" s="2" t="s">
        <v>8165</v>
      </c>
      <c r="D2795" s="2" t="s">
        <v>8166</v>
      </c>
      <c r="E2795" s="2" t="str">
        <f aca="false">LEFT(C2795,3)</f>
        <v>524</v>
      </c>
      <c r="F2795" s="2" t="str">
        <f aca="false">IF(D2795="","",LEFT(D2795,3))</f>
        <v>522</v>
      </c>
      <c r="G2795" s="2" t="str">
        <f aca="false">IF(F2795="","",IF(E2795=F2795,"Yes","No"))</f>
        <v>No</v>
      </c>
      <c r="H2795" s="2" t="n">
        <f aca="false">IF(D2795="",0,1/COUNTIF($D$2:$D$3451,D2795))</f>
        <v>1</v>
      </c>
      <c r="I2795" s="13" t="n">
        <f aca="false">IFERROR(INDEX('NCO-2015 scores'!$C$2:$C$131,MATCH(E2795,'NCO-2015 scores'!$A$2:$A$131,0)),0)</f>
        <v>0.37</v>
      </c>
      <c r="J2795" s="13" t="n">
        <f aca="false">IF(ISNUMBER(MATCH(E2795,'NCO-2015 scores'!$A$2:$A$131,0)),IF(ISNUMBER(INDEX('NCO-2015 scores'!$C$2:$C$131,MATCH(E2795,'NCO-2015 scores'!$A$2:$A$131,0))),1,0),0)</f>
        <v>1</v>
      </c>
    </row>
    <row r="2796" customFormat="false" ht="15" hidden="false" customHeight="false" outlineLevel="0" collapsed="false">
      <c r="A2796" s="2" t="n">
        <v>2792</v>
      </c>
      <c r="B2796" s="2" t="s">
        <v>8167</v>
      </c>
      <c r="C2796" s="2" t="s">
        <v>8168</v>
      </c>
      <c r="D2796" s="2" t="s">
        <v>8169</v>
      </c>
      <c r="E2796" s="2" t="str">
        <f aca="false">LEFT(C2796,3)</f>
        <v>524</v>
      </c>
      <c r="F2796" s="2" t="str">
        <f aca="false">IF(D2796="","",LEFT(D2796,3))</f>
        <v>522</v>
      </c>
      <c r="G2796" s="2" t="str">
        <f aca="false">IF(F2796="","",IF(E2796=F2796,"Yes","No"))</f>
        <v>No</v>
      </c>
      <c r="H2796" s="2" t="n">
        <f aca="false">IF(D2796="",0,1/COUNTIF($D$2:$D$3451,D2796))</f>
        <v>1</v>
      </c>
      <c r="I2796" s="13" t="n">
        <f aca="false">IFERROR(INDEX('NCO-2015 scores'!$C$2:$C$131,MATCH(E2796,'NCO-2015 scores'!$A$2:$A$131,0)),0)</f>
        <v>0.37</v>
      </c>
      <c r="J2796" s="13" t="n">
        <f aca="false">IF(ISNUMBER(MATCH(E2796,'NCO-2015 scores'!$A$2:$A$131,0)),IF(ISNUMBER(INDEX('NCO-2015 scores'!$C$2:$C$131,MATCH(E2796,'NCO-2015 scores'!$A$2:$A$131,0))),1,0),0)</f>
        <v>1</v>
      </c>
    </row>
    <row r="2797" customFormat="false" ht="15" hidden="false" customHeight="false" outlineLevel="0" collapsed="false">
      <c r="A2797" s="2" t="n">
        <v>2793</v>
      </c>
      <c r="B2797" s="2" t="s">
        <v>8170</v>
      </c>
      <c r="C2797" s="2" t="s">
        <v>8171</v>
      </c>
      <c r="D2797" s="2" t="s">
        <v>8172</v>
      </c>
      <c r="E2797" s="2" t="str">
        <f aca="false">LEFT(C2797,3)</f>
        <v>524</v>
      </c>
      <c r="F2797" s="2" t="str">
        <f aca="false">IF(D2797="","",LEFT(D2797,3))</f>
        <v>522</v>
      </c>
      <c r="G2797" s="2" t="str">
        <f aca="false">IF(F2797="","",IF(E2797=F2797,"Yes","No"))</f>
        <v>No</v>
      </c>
      <c r="H2797" s="2" t="n">
        <f aca="false">IF(D2797="",0,1/COUNTIF($D$2:$D$3451,D2797))</f>
        <v>1</v>
      </c>
      <c r="I2797" s="13" t="n">
        <f aca="false">IFERROR(INDEX('NCO-2015 scores'!$C$2:$C$131,MATCH(E2797,'NCO-2015 scores'!$A$2:$A$131,0)),0)</f>
        <v>0.37</v>
      </c>
      <c r="J2797" s="13" t="n">
        <f aca="false">IF(ISNUMBER(MATCH(E2797,'NCO-2015 scores'!$A$2:$A$131,0)),IF(ISNUMBER(INDEX('NCO-2015 scores'!$C$2:$C$131,MATCH(E2797,'NCO-2015 scores'!$A$2:$A$131,0))),1,0),0)</f>
        <v>1</v>
      </c>
    </row>
    <row r="2798" customFormat="false" ht="15" hidden="false" customHeight="false" outlineLevel="0" collapsed="false">
      <c r="A2798" s="2" t="n">
        <v>2794</v>
      </c>
      <c r="B2798" s="2" t="s">
        <v>8173</v>
      </c>
      <c r="C2798" s="2" t="s">
        <v>8174</v>
      </c>
      <c r="D2798" s="2" t="s">
        <v>8175</v>
      </c>
      <c r="E2798" s="2" t="str">
        <f aca="false">LEFT(C2798,3)</f>
        <v>441</v>
      </c>
      <c r="F2798" s="2" t="str">
        <f aca="false">IF(D2798="","",LEFT(D2798,3))</f>
        <v>414</v>
      </c>
      <c r="G2798" s="2" t="str">
        <f aca="false">IF(F2798="","",IF(E2798=F2798,"Yes","No"))</f>
        <v>No</v>
      </c>
      <c r="H2798" s="2" t="n">
        <f aca="false">IF(D2798="",0,1/COUNTIF($D$2:$D$3451,D2798))</f>
        <v>1</v>
      </c>
      <c r="I2798" s="13" t="n">
        <f aca="false">IFERROR(INDEX('NCO-2015 scores'!$C$2:$C$131,MATCH(E2798,'NCO-2015 scores'!$A$2:$A$131,0)),0)</f>
        <v>0.5086</v>
      </c>
      <c r="J2798" s="13" t="n">
        <f aca="false">IF(ISNUMBER(MATCH(E2798,'NCO-2015 scores'!$A$2:$A$131,0)),IF(ISNUMBER(INDEX('NCO-2015 scores'!$C$2:$C$131,MATCH(E2798,'NCO-2015 scores'!$A$2:$A$131,0))),1,0),0)</f>
        <v>1</v>
      </c>
    </row>
    <row r="2799" customFormat="false" ht="15" hidden="false" customHeight="false" outlineLevel="0" collapsed="false">
      <c r="A2799" s="2" t="n">
        <v>2795</v>
      </c>
      <c r="B2799" s="2" t="s">
        <v>8176</v>
      </c>
      <c r="C2799" s="2" t="s">
        <v>8177</v>
      </c>
      <c r="D2799" s="2" t="s">
        <v>8178</v>
      </c>
      <c r="E2799" s="2" t="str">
        <f aca="false">LEFT(C2799,3)</f>
        <v>441</v>
      </c>
      <c r="F2799" s="2" t="str">
        <f aca="false">IF(D2799="","",LEFT(D2799,3))</f>
        <v>414</v>
      </c>
      <c r="G2799" s="2" t="str">
        <f aca="false">IF(F2799="","",IF(E2799=F2799,"Yes","No"))</f>
        <v>No</v>
      </c>
      <c r="H2799" s="2" t="n">
        <f aca="false">IF(D2799="",0,1/COUNTIF($D$2:$D$3451,D2799))</f>
        <v>1</v>
      </c>
      <c r="I2799" s="13" t="n">
        <f aca="false">IFERROR(INDEX('NCO-2015 scores'!$C$2:$C$131,MATCH(E2799,'NCO-2015 scores'!$A$2:$A$131,0)),0)</f>
        <v>0.5086</v>
      </c>
      <c r="J2799" s="13" t="n">
        <f aca="false">IF(ISNUMBER(MATCH(E2799,'NCO-2015 scores'!$A$2:$A$131,0)),IF(ISNUMBER(INDEX('NCO-2015 scores'!$C$2:$C$131,MATCH(E2799,'NCO-2015 scores'!$A$2:$A$131,0))),1,0),0)</f>
        <v>1</v>
      </c>
    </row>
    <row r="2800" customFormat="false" ht="15" hidden="false" customHeight="false" outlineLevel="0" collapsed="false">
      <c r="A2800" s="2" t="n">
        <v>2796</v>
      </c>
      <c r="B2800" s="2" t="s">
        <v>8179</v>
      </c>
      <c r="C2800" s="2" t="s">
        <v>8180</v>
      </c>
      <c r="D2800" s="2" t="s">
        <v>8181</v>
      </c>
      <c r="E2800" s="2" t="str">
        <f aca="false">LEFT(C2800,3)</f>
        <v>233</v>
      </c>
      <c r="F2800" s="2" t="str">
        <f aca="false">IF(D2800="","",LEFT(D2800,3))</f>
        <v>232</v>
      </c>
      <c r="G2800" s="2" t="str">
        <f aca="false">IF(F2800="","",IF(E2800=F2800,"Yes","No"))</f>
        <v>No</v>
      </c>
      <c r="H2800" s="2" t="n">
        <f aca="false">IF(D2800="",0,1/COUNTIF($D$2:$D$3451,D2800))</f>
        <v>1</v>
      </c>
      <c r="I2800" s="13" t="n">
        <f aca="false">IFERROR(INDEX('NCO-2015 scores'!$C$2:$C$131,MATCH(E2800,'NCO-2015 scores'!$A$2:$A$131,0)),0)</f>
        <v>0.3</v>
      </c>
      <c r="J2800" s="13" t="n">
        <f aca="false">IF(ISNUMBER(MATCH(E2800,'NCO-2015 scores'!$A$2:$A$131,0)),IF(ISNUMBER(INDEX('NCO-2015 scores'!$C$2:$C$131,MATCH(E2800,'NCO-2015 scores'!$A$2:$A$131,0))),1,0),0)</f>
        <v>1</v>
      </c>
    </row>
    <row r="2801" customFormat="false" ht="15" hidden="false" customHeight="false" outlineLevel="0" collapsed="false">
      <c r="A2801" s="2" t="n">
        <v>2797</v>
      </c>
      <c r="B2801" s="2" t="s">
        <v>8182</v>
      </c>
      <c r="C2801" s="2" t="s">
        <v>8183</v>
      </c>
      <c r="D2801" s="2" t="s">
        <v>8184</v>
      </c>
      <c r="E2801" s="2" t="str">
        <f aca="false">LEFT(C2801,3)</f>
        <v>233</v>
      </c>
      <c r="F2801" s="2" t="str">
        <f aca="false">IF(D2801="","",LEFT(D2801,3))</f>
        <v>232</v>
      </c>
      <c r="G2801" s="2" t="str">
        <f aca="false">IF(F2801="","",IF(E2801=F2801,"Yes","No"))</f>
        <v>No</v>
      </c>
      <c r="H2801" s="2" t="n">
        <f aca="false">IF(D2801="",0,1/COUNTIF($D$2:$D$3451,D2801))</f>
        <v>1</v>
      </c>
      <c r="I2801" s="13" t="n">
        <f aca="false">IFERROR(INDEX('NCO-2015 scores'!$C$2:$C$131,MATCH(E2801,'NCO-2015 scores'!$A$2:$A$131,0)),0)</f>
        <v>0.3</v>
      </c>
      <c r="J2801" s="13" t="n">
        <f aca="false">IF(ISNUMBER(MATCH(E2801,'NCO-2015 scores'!$A$2:$A$131,0)),IF(ISNUMBER(INDEX('NCO-2015 scores'!$C$2:$C$131,MATCH(E2801,'NCO-2015 scores'!$A$2:$A$131,0))),1,0),0)</f>
        <v>1</v>
      </c>
    </row>
    <row r="2802" customFormat="false" ht="15" hidden="false" customHeight="false" outlineLevel="0" collapsed="false">
      <c r="A2802" s="2" t="n">
        <v>2798</v>
      </c>
      <c r="B2802" s="2" t="s">
        <v>8185</v>
      </c>
      <c r="C2802" s="2" t="s">
        <v>8186</v>
      </c>
      <c r="D2802" s="2" t="s">
        <v>8187</v>
      </c>
      <c r="E2802" s="2" t="str">
        <f aca="false">LEFT(C2802,3)</f>
        <v>233</v>
      </c>
      <c r="F2802" s="2" t="str">
        <f aca="false">IF(D2802="","",LEFT(D2802,3))</f>
        <v>232</v>
      </c>
      <c r="G2802" s="2" t="str">
        <f aca="false">IF(F2802="","",IF(E2802=F2802,"Yes","No"))</f>
        <v>No</v>
      </c>
      <c r="H2802" s="2" t="n">
        <f aca="false">IF(D2802="",0,1/COUNTIF($D$2:$D$3451,D2802))</f>
        <v>1</v>
      </c>
      <c r="I2802" s="13" t="n">
        <f aca="false">IFERROR(INDEX('NCO-2015 scores'!$C$2:$C$131,MATCH(E2802,'NCO-2015 scores'!$A$2:$A$131,0)),0)</f>
        <v>0.3</v>
      </c>
      <c r="J2802" s="13" t="n">
        <f aca="false">IF(ISNUMBER(MATCH(E2802,'NCO-2015 scores'!$A$2:$A$131,0)),IF(ISNUMBER(INDEX('NCO-2015 scores'!$C$2:$C$131,MATCH(E2802,'NCO-2015 scores'!$A$2:$A$131,0))),1,0),0)</f>
        <v>1</v>
      </c>
    </row>
    <row r="2803" customFormat="false" ht="15" hidden="false" customHeight="false" outlineLevel="0" collapsed="false">
      <c r="A2803" s="2" t="n">
        <v>2799</v>
      </c>
      <c r="B2803" s="2" t="s">
        <v>8188</v>
      </c>
      <c r="C2803" s="2" t="s">
        <v>8189</v>
      </c>
      <c r="D2803" s="2" t="s">
        <v>8190</v>
      </c>
      <c r="E2803" s="2" t="str">
        <f aca="false">LEFT(C2803,3)</f>
        <v>233</v>
      </c>
      <c r="F2803" s="2" t="str">
        <f aca="false">IF(D2803="","",LEFT(D2803,3))</f>
        <v>232</v>
      </c>
      <c r="G2803" s="2" t="str">
        <f aca="false">IF(F2803="","",IF(E2803=F2803,"Yes","No"))</f>
        <v>No</v>
      </c>
      <c r="H2803" s="2" t="n">
        <f aca="false">IF(D2803="",0,1/COUNTIF($D$2:$D$3451,D2803))</f>
        <v>1</v>
      </c>
      <c r="I2803" s="13" t="n">
        <f aca="false">IFERROR(INDEX('NCO-2015 scores'!$C$2:$C$131,MATCH(E2803,'NCO-2015 scores'!$A$2:$A$131,0)),0)</f>
        <v>0.3</v>
      </c>
      <c r="J2803" s="13" t="n">
        <f aca="false">IF(ISNUMBER(MATCH(E2803,'NCO-2015 scores'!$A$2:$A$131,0)),IF(ISNUMBER(INDEX('NCO-2015 scores'!$C$2:$C$131,MATCH(E2803,'NCO-2015 scores'!$A$2:$A$131,0))),1,0),0)</f>
        <v>1</v>
      </c>
    </row>
    <row r="2804" customFormat="false" ht="15" hidden="false" customHeight="false" outlineLevel="0" collapsed="false">
      <c r="A2804" s="2" t="n">
        <v>2800</v>
      </c>
      <c r="B2804" s="2" t="s">
        <v>8191</v>
      </c>
      <c r="C2804" s="2" t="s">
        <v>8192</v>
      </c>
      <c r="D2804" s="2" t="s">
        <v>8193</v>
      </c>
      <c r="E2804" s="2" t="str">
        <f aca="false">LEFT(C2804,3)</f>
        <v>233</v>
      </c>
      <c r="F2804" s="2" t="str">
        <f aca="false">IF(D2804="","",LEFT(D2804,3))</f>
        <v>232</v>
      </c>
      <c r="G2804" s="2" t="str">
        <f aca="false">IF(F2804="","",IF(E2804=F2804,"Yes","No"))</f>
        <v>No</v>
      </c>
      <c r="H2804" s="2" t="n">
        <f aca="false">IF(D2804="",0,1/COUNTIF($D$2:$D$3451,D2804))</f>
        <v>1</v>
      </c>
      <c r="I2804" s="13" t="n">
        <f aca="false">IFERROR(INDEX('NCO-2015 scores'!$C$2:$C$131,MATCH(E2804,'NCO-2015 scores'!$A$2:$A$131,0)),0)</f>
        <v>0.3</v>
      </c>
      <c r="J2804" s="13" t="n">
        <f aca="false">IF(ISNUMBER(MATCH(E2804,'NCO-2015 scores'!$A$2:$A$131,0)),IF(ISNUMBER(INDEX('NCO-2015 scores'!$C$2:$C$131,MATCH(E2804,'NCO-2015 scores'!$A$2:$A$131,0))),1,0),0)</f>
        <v>1</v>
      </c>
    </row>
    <row r="2805" customFormat="false" ht="15" hidden="false" customHeight="false" outlineLevel="0" collapsed="false">
      <c r="A2805" s="2" t="n">
        <v>2801</v>
      </c>
      <c r="B2805" s="2" t="s">
        <v>8194</v>
      </c>
      <c r="C2805" s="2" t="s">
        <v>8195</v>
      </c>
      <c r="D2805" s="2" t="s">
        <v>8196</v>
      </c>
      <c r="E2805" s="2" t="str">
        <f aca="false">LEFT(C2805,3)</f>
        <v>412</v>
      </c>
      <c r="F2805" s="2" t="str">
        <f aca="false">IF(D2805="","",LEFT(D2805,3))</f>
        <v>411</v>
      </c>
      <c r="G2805" s="2" t="str">
        <f aca="false">IF(F2805="","",IF(E2805=F2805,"Yes","No"))</f>
        <v>No</v>
      </c>
      <c r="H2805" s="2" t="n">
        <f aca="false">IF(D2805="",0,1/COUNTIF($D$2:$D$3451,D2805))</f>
        <v>1</v>
      </c>
      <c r="I2805" s="13" t="n">
        <f aca="false">IFERROR(INDEX('NCO-2015 scores'!$C$2:$C$131,MATCH(E2805,'NCO-2015 scores'!$A$2:$A$131,0)),0)</f>
        <v>0.58</v>
      </c>
      <c r="J2805" s="13" t="n">
        <f aca="false">IF(ISNUMBER(MATCH(E2805,'NCO-2015 scores'!$A$2:$A$131,0)),IF(ISNUMBER(INDEX('NCO-2015 scores'!$C$2:$C$131,MATCH(E2805,'NCO-2015 scores'!$A$2:$A$131,0))),1,0),0)</f>
        <v>1</v>
      </c>
    </row>
    <row r="2806" customFormat="false" ht="15" hidden="false" customHeight="false" outlineLevel="0" collapsed="false">
      <c r="A2806" s="2" t="n">
        <v>2802</v>
      </c>
      <c r="B2806" s="2" t="s">
        <v>8197</v>
      </c>
      <c r="C2806" s="2" t="s">
        <v>8198</v>
      </c>
      <c r="D2806" s="2" t="s">
        <v>8199</v>
      </c>
      <c r="E2806" s="2" t="str">
        <f aca="false">LEFT(C2806,3)</f>
        <v>412</v>
      </c>
      <c r="F2806" s="2" t="str">
        <f aca="false">IF(D2806="","",LEFT(D2806,3))</f>
        <v>411</v>
      </c>
      <c r="G2806" s="2" t="str">
        <f aca="false">IF(F2806="","",IF(E2806=F2806,"Yes","No"))</f>
        <v>No</v>
      </c>
      <c r="H2806" s="2" t="n">
        <f aca="false">IF(D2806="",0,1/COUNTIF($D$2:$D$3451,D2806))</f>
        <v>1</v>
      </c>
      <c r="I2806" s="13" t="n">
        <f aca="false">IFERROR(INDEX('NCO-2015 scores'!$C$2:$C$131,MATCH(E2806,'NCO-2015 scores'!$A$2:$A$131,0)),0)</f>
        <v>0.58</v>
      </c>
      <c r="J2806" s="13" t="n">
        <f aca="false">IF(ISNUMBER(MATCH(E2806,'NCO-2015 scores'!$A$2:$A$131,0)),IF(ISNUMBER(INDEX('NCO-2015 scores'!$C$2:$C$131,MATCH(E2806,'NCO-2015 scores'!$A$2:$A$131,0))),1,0),0)</f>
        <v>1</v>
      </c>
    </row>
    <row r="2807" customFormat="false" ht="15" hidden="false" customHeight="false" outlineLevel="0" collapsed="false">
      <c r="A2807" s="2" t="n">
        <v>2803</v>
      </c>
      <c r="B2807" s="2" t="s">
        <v>8200</v>
      </c>
      <c r="C2807" s="2" t="s">
        <v>8201</v>
      </c>
      <c r="D2807" s="2" t="s">
        <v>8202</v>
      </c>
      <c r="E2807" s="2" t="str">
        <f aca="false">LEFT(C2807,3)</f>
        <v>412</v>
      </c>
      <c r="F2807" s="2" t="str">
        <f aca="false">IF(D2807="","",LEFT(D2807,3))</f>
        <v>411</v>
      </c>
      <c r="G2807" s="2" t="str">
        <f aca="false">IF(F2807="","",IF(E2807=F2807,"Yes","No"))</f>
        <v>No</v>
      </c>
      <c r="H2807" s="2" t="n">
        <f aca="false">IF(D2807="",0,1/COUNTIF($D$2:$D$3451,D2807))</f>
        <v>1</v>
      </c>
      <c r="I2807" s="13" t="n">
        <f aca="false">IFERROR(INDEX('NCO-2015 scores'!$C$2:$C$131,MATCH(E2807,'NCO-2015 scores'!$A$2:$A$131,0)),0)</f>
        <v>0.58</v>
      </c>
      <c r="J2807" s="13" t="n">
        <f aca="false">IF(ISNUMBER(MATCH(E2807,'NCO-2015 scores'!$A$2:$A$131,0)),IF(ISNUMBER(INDEX('NCO-2015 scores'!$C$2:$C$131,MATCH(E2807,'NCO-2015 scores'!$A$2:$A$131,0))),1,0),0)</f>
        <v>1</v>
      </c>
    </row>
    <row r="2808" customFormat="false" ht="15" hidden="false" customHeight="false" outlineLevel="0" collapsed="false">
      <c r="A2808" s="2" t="n">
        <v>2804</v>
      </c>
      <c r="B2808" s="2" t="s">
        <v>8203</v>
      </c>
      <c r="C2808" s="2" t="s">
        <v>8204</v>
      </c>
      <c r="D2808" s="2" t="s">
        <v>8205</v>
      </c>
      <c r="E2808" s="2" t="str">
        <f aca="false">LEFT(C2808,3)</f>
        <v>412</v>
      </c>
      <c r="F2808" s="2" t="str">
        <f aca="false">IF(D2808="","",LEFT(D2808,3))</f>
        <v>411</v>
      </c>
      <c r="G2808" s="2" t="str">
        <f aca="false">IF(F2808="","",IF(E2808=F2808,"Yes","No"))</f>
        <v>No</v>
      </c>
      <c r="H2808" s="2" t="n">
        <f aca="false">IF(D2808="",0,1/COUNTIF($D$2:$D$3451,D2808))</f>
        <v>1</v>
      </c>
      <c r="I2808" s="13" t="n">
        <f aca="false">IFERROR(INDEX('NCO-2015 scores'!$C$2:$C$131,MATCH(E2808,'NCO-2015 scores'!$A$2:$A$131,0)),0)</f>
        <v>0.58</v>
      </c>
      <c r="J2808" s="13" t="n">
        <f aca="false">IF(ISNUMBER(MATCH(E2808,'NCO-2015 scores'!$A$2:$A$131,0)),IF(ISNUMBER(INDEX('NCO-2015 scores'!$C$2:$C$131,MATCH(E2808,'NCO-2015 scores'!$A$2:$A$131,0))),1,0),0)</f>
        <v>1</v>
      </c>
    </row>
    <row r="2809" customFormat="false" ht="15" hidden="false" customHeight="false" outlineLevel="0" collapsed="false">
      <c r="A2809" s="2" t="n">
        <v>2805</v>
      </c>
      <c r="B2809" s="2" t="s">
        <v>8206</v>
      </c>
      <c r="C2809" s="2" t="s">
        <v>8207</v>
      </c>
      <c r="D2809" s="2" t="s">
        <v>8208</v>
      </c>
      <c r="E2809" s="2" t="str">
        <f aca="false">LEFT(C2809,3)</f>
        <v>331</v>
      </c>
      <c r="F2809" s="2" t="str">
        <f aca="false">IF(D2809="","",LEFT(D2809,3))</f>
        <v>341</v>
      </c>
      <c r="G2809" s="2" t="str">
        <f aca="false">IF(F2809="","",IF(E2809=F2809,"Yes","No"))</f>
        <v>No</v>
      </c>
      <c r="H2809" s="2" t="n">
        <f aca="false">IF(D2809="",0,1/COUNTIF($D$2:$D$3451,D2809))</f>
        <v>1</v>
      </c>
      <c r="I2809" s="13" t="n">
        <f aca="false">IFERROR(INDEX('NCO-2015 scores'!$C$2:$C$131,MATCH(E2809,'NCO-2015 scores'!$A$2:$A$131,0)),0)</f>
        <v>0.548</v>
      </c>
      <c r="J2809" s="13" t="n">
        <f aca="false">IF(ISNUMBER(MATCH(E2809,'NCO-2015 scores'!$A$2:$A$131,0)),IF(ISNUMBER(INDEX('NCO-2015 scores'!$C$2:$C$131,MATCH(E2809,'NCO-2015 scores'!$A$2:$A$131,0))),1,0),0)</f>
        <v>1</v>
      </c>
    </row>
    <row r="2810" customFormat="false" ht="15" hidden="false" customHeight="false" outlineLevel="0" collapsed="false">
      <c r="A2810" s="2" t="n">
        <v>2806</v>
      </c>
      <c r="B2810" s="2" t="s">
        <v>8209</v>
      </c>
      <c r="C2810" s="2" t="s">
        <v>8210</v>
      </c>
      <c r="D2810" s="2"/>
      <c r="E2810" s="2" t="str">
        <f aca="false">LEFT(C2810,3)</f>
        <v>331</v>
      </c>
      <c r="F2810" s="2" t="str">
        <f aca="false">IF(D2810="","",LEFT(D2810,3))</f>
        <v/>
      </c>
      <c r="G2810" s="2" t="str">
        <f aca="false">IF(F2810="","",IF(E2810=F2810,"Yes","No"))</f>
        <v/>
      </c>
      <c r="H2810" s="2" t="n">
        <f aca="false">IF(D2810="",0,1/COUNTIF($D$2:$D$3451,D2810))</f>
        <v>0</v>
      </c>
      <c r="I2810" s="13" t="n">
        <f aca="false">IFERROR(INDEX('NCO-2015 scores'!$C$2:$C$131,MATCH(E2810,'NCO-2015 scores'!$A$2:$A$131,0)),0)</f>
        <v>0.548</v>
      </c>
      <c r="J2810" s="13" t="n">
        <f aca="false">IF(ISNUMBER(MATCH(E2810,'NCO-2015 scores'!$A$2:$A$131,0)),IF(ISNUMBER(INDEX('NCO-2015 scores'!$C$2:$C$131,MATCH(E2810,'NCO-2015 scores'!$A$2:$A$131,0))),1,0),0)</f>
        <v>1</v>
      </c>
    </row>
    <row r="2811" customFormat="false" ht="15" hidden="false" customHeight="false" outlineLevel="0" collapsed="false">
      <c r="A2811" s="2" t="n">
        <v>2807</v>
      </c>
      <c r="B2811" s="2" t="s">
        <v>8211</v>
      </c>
      <c r="C2811" s="2" t="s">
        <v>8212</v>
      </c>
      <c r="D2811" s="2"/>
      <c r="E2811" s="2" t="str">
        <f aca="false">LEFT(C2811,3)</f>
        <v>331</v>
      </c>
      <c r="F2811" s="2" t="str">
        <f aca="false">IF(D2811="","",LEFT(D2811,3))</f>
        <v/>
      </c>
      <c r="G2811" s="2" t="str">
        <f aca="false">IF(F2811="","",IF(E2811=F2811,"Yes","No"))</f>
        <v/>
      </c>
      <c r="H2811" s="2" t="n">
        <f aca="false">IF(D2811="",0,1/COUNTIF($D$2:$D$3451,D2811))</f>
        <v>0</v>
      </c>
      <c r="I2811" s="13" t="n">
        <f aca="false">IFERROR(INDEX('NCO-2015 scores'!$C$2:$C$131,MATCH(E2811,'NCO-2015 scores'!$A$2:$A$131,0)),0)</f>
        <v>0.548</v>
      </c>
      <c r="J2811" s="13" t="n">
        <f aca="false">IF(ISNUMBER(MATCH(E2811,'NCO-2015 scores'!$A$2:$A$131,0)),IF(ISNUMBER(INDEX('NCO-2015 scores'!$C$2:$C$131,MATCH(E2811,'NCO-2015 scores'!$A$2:$A$131,0))),1,0),0)</f>
        <v>1</v>
      </c>
    </row>
    <row r="2812" customFormat="false" ht="15" hidden="false" customHeight="false" outlineLevel="0" collapsed="false">
      <c r="A2812" s="2" t="n">
        <v>2808</v>
      </c>
      <c r="B2812" s="2" t="s">
        <v>8213</v>
      </c>
      <c r="C2812" s="2" t="s">
        <v>8214</v>
      </c>
      <c r="D2812" s="2" t="s">
        <v>8215</v>
      </c>
      <c r="E2812" s="2" t="str">
        <f aca="false">LEFT(C2812,3)</f>
        <v>331</v>
      </c>
      <c r="F2812" s="2" t="str">
        <f aca="false">IF(D2812="","",LEFT(D2812,3))</f>
        <v>341</v>
      </c>
      <c r="G2812" s="2" t="str">
        <f aca="false">IF(F2812="","",IF(E2812=F2812,"Yes","No"))</f>
        <v>No</v>
      </c>
      <c r="H2812" s="2" t="n">
        <f aca="false">IF(D2812="",0,1/COUNTIF($D$2:$D$3451,D2812))</f>
        <v>1</v>
      </c>
      <c r="I2812" s="13" t="n">
        <f aca="false">IFERROR(INDEX('NCO-2015 scores'!$C$2:$C$131,MATCH(E2812,'NCO-2015 scores'!$A$2:$A$131,0)),0)</f>
        <v>0.548</v>
      </c>
      <c r="J2812" s="13" t="n">
        <f aca="false">IF(ISNUMBER(MATCH(E2812,'NCO-2015 scores'!$A$2:$A$131,0)),IF(ISNUMBER(INDEX('NCO-2015 scores'!$C$2:$C$131,MATCH(E2812,'NCO-2015 scores'!$A$2:$A$131,0))),1,0),0)</f>
        <v>1</v>
      </c>
    </row>
    <row r="2813" customFormat="false" ht="15" hidden="false" customHeight="false" outlineLevel="0" collapsed="false">
      <c r="A2813" s="2" t="n">
        <v>2809</v>
      </c>
      <c r="B2813" s="2" t="s">
        <v>8216</v>
      </c>
      <c r="C2813" s="2" t="s">
        <v>8217</v>
      </c>
      <c r="D2813" s="2" t="s">
        <v>8218</v>
      </c>
      <c r="E2813" s="2" t="str">
        <f aca="false">LEFT(C2813,3)</f>
        <v>331</v>
      </c>
      <c r="F2813" s="2" t="str">
        <f aca="false">IF(D2813="","",LEFT(D2813,3))</f>
        <v>341</v>
      </c>
      <c r="G2813" s="2" t="str">
        <f aca="false">IF(F2813="","",IF(E2813=F2813,"Yes","No"))</f>
        <v>No</v>
      </c>
      <c r="H2813" s="2" t="n">
        <f aca="false">IF(D2813="",0,1/COUNTIF($D$2:$D$3451,D2813))</f>
        <v>1</v>
      </c>
      <c r="I2813" s="13" t="n">
        <f aca="false">IFERROR(INDEX('NCO-2015 scores'!$C$2:$C$131,MATCH(E2813,'NCO-2015 scores'!$A$2:$A$131,0)),0)</f>
        <v>0.548</v>
      </c>
      <c r="J2813" s="13" t="n">
        <f aca="false">IF(ISNUMBER(MATCH(E2813,'NCO-2015 scores'!$A$2:$A$131,0)),IF(ISNUMBER(INDEX('NCO-2015 scores'!$C$2:$C$131,MATCH(E2813,'NCO-2015 scores'!$A$2:$A$131,0))),1,0),0)</f>
        <v>1</v>
      </c>
    </row>
    <row r="2814" customFormat="false" ht="15" hidden="false" customHeight="false" outlineLevel="0" collapsed="false">
      <c r="A2814" s="2" t="n">
        <v>2810</v>
      </c>
      <c r="B2814" s="2" t="s">
        <v>8219</v>
      </c>
      <c r="C2814" s="2" t="s">
        <v>8220</v>
      </c>
      <c r="D2814" s="2" t="s">
        <v>8221</v>
      </c>
      <c r="E2814" s="2" t="str">
        <f aca="false">LEFT(C2814,3)</f>
        <v>541</v>
      </c>
      <c r="F2814" s="2" t="str">
        <f aca="false">IF(D2814="","",LEFT(D2814,3))</f>
        <v>516</v>
      </c>
      <c r="G2814" s="2" t="str">
        <f aca="false">IF(F2814="","",IF(E2814=F2814,"Yes","No"))</f>
        <v>No</v>
      </c>
      <c r="H2814" s="2" t="n">
        <f aca="false">IF(D2814="",0,1/COUNTIF($D$2:$D$3451,D2814))</f>
        <v>1</v>
      </c>
      <c r="I2814" s="13" t="n">
        <f aca="false">IFERROR(INDEX('NCO-2015 scores'!$C$2:$C$131,MATCH(E2814,'NCO-2015 scores'!$A$2:$A$131,0)),0)</f>
        <v>0.172</v>
      </c>
      <c r="J2814" s="13" t="n">
        <f aca="false">IF(ISNUMBER(MATCH(E2814,'NCO-2015 scores'!$A$2:$A$131,0)),IF(ISNUMBER(INDEX('NCO-2015 scores'!$C$2:$C$131,MATCH(E2814,'NCO-2015 scores'!$A$2:$A$131,0))),1,0),0)</f>
        <v>1</v>
      </c>
    </row>
    <row r="2815" customFormat="false" ht="15" hidden="false" customHeight="false" outlineLevel="0" collapsed="false">
      <c r="A2815" s="2" t="n">
        <v>2811</v>
      </c>
      <c r="B2815" s="2" t="s">
        <v>8222</v>
      </c>
      <c r="C2815" s="2" t="s">
        <v>8223</v>
      </c>
      <c r="D2815" s="2"/>
      <c r="E2815" s="2" t="str">
        <f aca="false">LEFT(C2815,3)</f>
        <v>541</v>
      </c>
      <c r="F2815" s="2" t="str">
        <f aca="false">IF(D2815="","",LEFT(D2815,3))</f>
        <v/>
      </c>
      <c r="G2815" s="2" t="str">
        <f aca="false">IF(F2815="","",IF(E2815=F2815,"Yes","No"))</f>
        <v/>
      </c>
      <c r="H2815" s="2" t="n">
        <f aca="false">IF(D2815="",0,1/COUNTIF($D$2:$D$3451,D2815))</f>
        <v>0</v>
      </c>
      <c r="I2815" s="13" t="n">
        <f aca="false">IFERROR(INDEX('NCO-2015 scores'!$C$2:$C$131,MATCH(E2815,'NCO-2015 scores'!$A$2:$A$131,0)),0)</f>
        <v>0.172</v>
      </c>
      <c r="J2815" s="13" t="n">
        <f aca="false">IF(ISNUMBER(MATCH(E2815,'NCO-2015 scores'!$A$2:$A$131,0)),IF(ISNUMBER(INDEX('NCO-2015 scores'!$C$2:$C$131,MATCH(E2815,'NCO-2015 scores'!$A$2:$A$131,0))),1,0),0)</f>
        <v>1</v>
      </c>
    </row>
    <row r="2816" customFormat="false" ht="15" hidden="false" customHeight="false" outlineLevel="0" collapsed="false">
      <c r="A2816" s="2" t="n">
        <v>2812</v>
      </c>
      <c r="B2816" s="2" t="s">
        <v>8224</v>
      </c>
      <c r="C2816" s="2" t="s">
        <v>8225</v>
      </c>
      <c r="D2816" s="2"/>
      <c r="E2816" s="2" t="str">
        <f aca="false">LEFT(C2816,3)</f>
        <v>541</v>
      </c>
      <c r="F2816" s="2" t="str">
        <f aca="false">IF(D2816="","",LEFT(D2816,3))</f>
        <v/>
      </c>
      <c r="G2816" s="2" t="str">
        <f aca="false">IF(F2816="","",IF(E2816=F2816,"Yes","No"))</f>
        <v/>
      </c>
      <c r="H2816" s="2" t="n">
        <f aca="false">IF(D2816="",0,1/COUNTIF($D$2:$D$3451,D2816))</f>
        <v>0</v>
      </c>
      <c r="I2816" s="13" t="n">
        <f aca="false">IFERROR(INDEX('NCO-2015 scores'!$C$2:$C$131,MATCH(E2816,'NCO-2015 scores'!$A$2:$A$131,0)),0)</f>
        <v>0.172</v>
      </c>
      <c r="J2816" s="13" t="n">
        <f aca="false">IF(ISNUMBER(MATCH(E2816,'NCO-2015 scores'!$A$2:$A$131,0)),IF(ISNUMBER(INDEX('NCO-2015 scores'!$C$2:$C$131,MATCH(E2816,'NCO-2015 scores'!$A$2:$A$131,0))),1,0),0)</f>
        <v>1</v>
      </c>
    </row>
    <row r="2817" customFormat="false" ht="15" hidden="false" customHeight="false" outlineLevel="0" collapsed="false">
      <c r="A2817" s="2" t="n">
        <v>2813</v>
      </c>
      <c r="B2817" s="2" t="s">
        <v>8226</v>
      </c>
      <c r="C2817" s="2" t="s">
        <v>8227</v>
      </c>
      <c r="D2817" s="2"/>
      <c r="E2817" s="2" t="str">
        <f aca="false">LEFT(C2817,3)</f>
        <v>541</v>
      </c>
      <c r="F2817" s="2" t="str">
        <f aca="false">IF(D2817="","",LEFT(D2817,3))</f>
        <v/>
      </c>
      <c r="G2817" s="2" t="str">
        <f aca="false">IF(F2817="","",IF(E2817=F2817,"Yes","No"))</f>
        <v/>
      </c>
      <c r="H2817" s="2" t="n">
        <f aca="false">IF(D2817="",0,1/COUNTIF($D$2:$D$3451,D2817))</f>
        <v>0</v>
      </c>
      <c r="I2817" s="13" t="n">
        <f aca="false">IFERROR(INDEX('NCO-2015 scores'!$C$2:$C$131,MATCH(E2817,'NCO-2015 scores'!$A$2:$A$131,0)),0)</f>
        <v>0.172</v>
      </c>
      <c r="J2817" s="13" t="n">
        <f aca="false">IF(ISNUMBER(MATCH(E2817,'NCO-2015 scores'!$A$2:$A$131,0)),IF(ISNUMBER(INDEX('NCO-2015 scores'!$C$2:$C$131,MATCH(E2817,'NCO-2015 scores'!$A$2:$A$131,0))),1,0),0)</f>
        <v>1</v>
      </c>
    </row>
    <row r="2818" customFormat="false" ht="15" hidden="false" customHeight="false" outlineLevel="0" collapsed="false">
      <c r="A2818" s="2" t="n">
        <v>2814</v>
      </c>
      <c r="B2818" s="2" t="s">
        <v>8228</v>
      </c>
      <c r="C2818" s="2" t="s">
        <v>8229</v>
      </c>
      <c r="D2818" s="2"/>
      <c r="E2818" s="2" t="str">
        <f aca="false">LEFT(C2818,3)</f>
        <v>541</v>
      </c>
      <c r="F2818" s="2" t="str">
        <f aca="false">IF(D2818="","",LEFT(D2818,3))</f>
        <v/>
      </c>
      <c r="G2818" s="2" t="str">
        <f aca="false">IF(F2818="","",IF(E2818=F2818,"Yes","No"))</f>
        <v/>
      </c>
      <c r="H2818" s="2" t="n">
        <f aca="false">IF(D2818="",0,1/COUNTIF($D$2:$D$3451,D2818))</f>
        <v>0</v>
      </c>
      <c r="I2818" s="13" t="n">
        <f aca="false">IFERROR(INDEX('NCO-2015 scores'!$C$2:$C$131,MATCH(E2818,'NCO-2015 scores'!$A$2:$A$131,0)),0)</f>
        <v>0.172</v>
      </c>
      <c r="J2818" s="13" t="n">
        <f aca="false">IF(ISNUMBER(MATCH(E2818,'NCO-2015 scores'!$A$2:$A$131,0)),IF(ISNUMBER(INDEX('NCO-2015 scores'!$C$2:$C$131,MATCH(E2818,'NCO-2015 scores'!$A$2:$A$131,0))),1,0),0)</f>
        <v>1</v>
      </c>
    </row>
    <row r="2819" customFormat="false" ht="15" hidden="false" customHeight="false" outlineLevel="0" collapsed="false">
      <c r="A2819" s="2" t="n">
        <v>2815</v>
      </c>
      <c r="B2819" s="2" t="s">
        <v>8230</v>
      </c>
      <c r="C2819" s="2" t="s">
        <v>8231</v>
      </c>
      <c r="D2819" s="2"/>
      <c r="E2819" s="2" t="str">
        <f aca="false">LEFT(C2819,3)</f>
        <v>541</v>
      </c>
      <c r="F2819" s="2" t="str">
        <f aca="false">IF(D2819="","",LEFT(D2819,3))</f>
        <v/>
      </c>
      <c r="G2819" s="2" t="str">
        <f aca="false">IF(F2819="","",IF(E2819=F2819,"Yes","No"))</f>
        <v/>
      </c>
      <c r="H2819" s="2" t="n">
        <f aca="false">IF(D2819="",0,1/COUNTIF($D$2:$D$3451,D2819))</f>
        <v>0</v>
      </c>
      <c r="I2819" s="13" t="n">
        <f aca="false">IFERROR(INDEX('NCO-2015 scores'!$C$2:$C$131,MATCH(E2819,'NCO-2015 scores'!$A$2:$A$131,0)),0)</f>
        <v>0.172</v>
      </c>
      <c r="J2819" s="13" t="n">
        <f aca="false">IF(ISNUMBER(MATCH(E2819,'NCO-2015 scores'!$A$2:$A$131,0)),IF(ISNUMBER(INDEX('NCO-2015 scores'!$C$2:$C$131,MATCH(E2819,'NCO-2015 scores'!$A$2:$A$131,0))),1,0),0)</f>
        <v>1</v>
      </c>
    </row>
    <row r="2820" customFormat="false" ht="15" hidden="false" customHeight="false" outlineLevel="0" collapsed="false">
      <c r="A2820" s="2" t="n">
        <v>2816</v>
      </c>
      <c r="B2820" s="2" t="s">
        <v>8232</v>
      </c>
      <c r="C2820" s="2" t="s">
        <v>8233</v>
      </c>
      <c r="D2820" s="2" t="s">
        <v>8234</v>
      </c>
      <c r="E2820" s="2" t="str">
        <f aca="false">LEFT(C2820,3)</f>
        <v>541</v>
      </c>
      <c r="F2820" s="2" t="str">
        <f aca="false">IF(D2820="","",LEFT(D2820,3))</f>
        <v>516</v>
      </c>
      <c r="G2820" s="2" t="str">
        <f aca="false">IF(F2820="","",IF(E2820=F2820,"Yes","No"))</f>
        <v>No</v>
      </c>
      <c r="H2820" s="2" t="n">
        <f aca="false">IF(D2820="",0,1/COUNTIF($D$2:$D$3451,D2820))</f>
        <v>1</v>
      </c>
      <c r="I2820" s="13" t="n">
        <f aca="false">IFERROR(INDEX('NCO-2015 scores'!$C$2:$C$131,MATCH(E2820,'NCO-2015 scores'!$A$2:$A$131,0)),0)</f>
        <v>0.172</v>
      </c>
      <c r="J2820" s="13" t="n">
        <f aca="false">IF(ISNUMBER(MATCH(E2820,'NCO-2015 scores'!$A$2:$A$131,0)),IF(ISNUMBER(INDEX('NCO-2015 scores'!$C$2:$C$131,MATCH(E2820,'NCO-2015 scores'!$A$2:$A$131,0))),1,0),0)</f>
        <v>1</v>
      </c>
    </row>
    <row r="2821" customFormat="false" ht="15" hidden="false" customHeight="false" outlineLevel="0" collapsed="false">
      <c r="A2821" s="2" t="n">
        <v>2817</v>
      </c>
      <c r="B2821" s="2" t="s">
        <v>8235</v>
      </c>
      <c r="C2821" s="2" t="s">
        <v>8236</v>
      </c>
      <c r="D2821" s="2" t="s">
        <v>8237</v>
      </c>
      <c r="E2821" s="2" t="str">
        <f aca="false">LEFT(C2821,3)</f>
        <v>541</v>
      </c>
      <c r="F2821" s="2" t="str">
        <f aca="false">IF(D2821="","",LEFT(D2821,3))</f>
        <v>915</v>
      </c>
      <c r="G2821" s="2" t="str">
        <f aca="false">IF(F2821="","",IF(E2821=F2821,"Yes","No"))</f>
        <v>No</v>
      </c>
      <c r="H2821" s="2" t="n">
        <f aca="false">IF(D2821="",0,1/COUNTIF($D$2:$D$3451,D2821))</f>
        <v>1</v>
      </c>
      <c r="I2821" s="13" t="n">
        <f aca="false">IFERROR(INDEX('NCO-2015 scores'!$C$2:$C$131,MATCH(E2821,'NCO-2015 scores'!$A$2:$A$131,0)),0)</f>
        <v>0.172</v>
      </c>
      <c r="J2821" s="13" t="n">
        <f aca="false">IF(ISNUMBER(MATCH(E2821,'NCO-2015 scores'!$A$2:$A$131,0)),IF(ISNUMBER(INDEX('NCO-2015 scores'!$C$2:$C$131,MATCH(E2821,'NCO-2015 scores'!$A$2:$A$131,0))),1,0),0)</f>
        <v>1</v>
      </c>
    </row>
    <row r="2822" customFormat="false" ht="15" hidden="false" customHeight="false" outlineLevel="0" collapsed="false">
      <c r="A2822" s="2" t="n">
        <v>2818</v>
      </c>
      <c r="B2822" s="2" t="s">
        <v>8238</v>
      </c>
      <c r="C2822" s="2" t="s">
        <v>8239</v>
      </c>
      <c r="D2822" s="2" t="s">
        <v>8240</v>
      </c>
      <c r="E2822" s="2" t="str">
        <f aca="false">LEFT(C2822,3)</f>
        <v>541</v>
      </c>
      <c r="F2822" s="2" t="str">
        <f aca="false">IF(D2822="","",LEFT(D2822,3))</f>
        <v>915</v>
      </c>
      <c r="G2822" s="2" t="str">
        <f aca="false">IF(F2822="","",IF(E2822=F2822,"Yes","No"))</f>
        <v>No</v>
      </c>
      <c r="H2822" s="2" t="n">
        <f aca="false">IF(D2822="",0,1/COUNTIF($D$2:$D$3451,D2822))</f>
        <v>1</v>
      </c>
      <c r="I2822" s="13" t="n">
        <f aca="false">IFERROR(INDEX('NCO-2015 scores'!$C$2:$C$131,MATCH(E2822,'NCO-2015 scores'!$A$2:$A$131,0)),0)</f>
        <v>0.172</v>
      </c>
      <c r="J2822" s="13" t="n">
        <f aca="false">IF(ISNUMBER(MATCH(E2822,'NCO-2015 scores'!$A$2:$A$131,0)),IF(ISNUMBER(INDEX('NCO-2015 scores'!$C$2:$C$131,MATCH(E2822,'NCO-2015 scores'!$A$2:$A$131,0))),1,0),0)</f>
        <v>1</v>
      </c>
    </row>
    <row r="2823" customFormat="false" ht="15" hidden="false" customHeight="false" outlineLevel="0" collapsed="false">
      <c r="A2823" s="2" t="n">
        <v>2819</v>
      </c>
      <c r="B2823" s="2" t="s">
        <v>8241</v>
      </c>
      <c r="C2823" s="2" t="s">
        <v>8242</v>
      </c>
      <c r="D2823" s="2" t="s">
        <v>8243</v>
      </c>
      <c r="E2823" s="2" t="str">
        <f aca="false">LEFT(C2823,3)</f>
        <v>111</v>
      </c>
      <c r="F2823" s="2" t="str">
        <f aca="false">IF(D2823="","",LEFT(D2823,3))</f>
        <v>112</v>
      </c>
      <c r="G2823" s="2" t="str">
        <f aca="false">IF(F2823="","",IF(E2823=F2823,"Yes","No"))</f>
        <v>No</v>
      </c>
      <c r="H2823" s="2" t="n">
        <f aca="false">IF(D2823="",0,1/COUNTIF($D$2:$D$3451,D2823))</f>
        <v>1</v>
      </c>
      <c r="I2823" s="13" t="n">
        <f aca="false">IFERROR(INDEX('NCO-2015 scores'!$C$2:$C$131,MATCH(E2823,'NCO-2015 scores'!$A$2:$A$131,0)),0)</f>
        <v>0.3225</v>
      </c>
      <c r="J2823" s="13" t="n">
        <f aca="false">IF(ISNUMBER(MATCH(E2823,'NCO-2015 scores'!$A$2:$A$131,0)),IF(ISNUMBER(INDEX('NCO-2015 scores'!$C$2:$C$131,MATCH(E2823,'NCO-2015 scores'!$A$2:$A$131,0))),1,0),0)</f>
        <v>1</v>
      </c>
    </row>
    <row r="2824" customFormat="false" ht="15" hidden="false" customHeight="false" outlineLevel="0" collapsed="false">
      <c r="A2824" s="2" t="n">
        <v>2820</v>
      </c>
      <c r="B2824" s="2" t="s">
        <v>8244</v>
      </c>
      <c r="C2824" s="2" t="s">
        <v>8245</v>
      </c>
      <c r="D2824" s="2" t="s">
        <v>8246</v>
      </c>
      <c r="E2824" s="2" t="str">
        <f aca="false">LEFT(C2824,3)</f>
        <v>111</v>
      </c>
      <c r="F2824" s="2" t="str">
        <f aca="false">IF(D2824="","",LEFT(D2824,3))</f>
        <v>112</v>
      </c>
      <c r="G2824" s="2" t="str">
        <f aca="false">IF(F2824="","",IF(E2824=F2824,"Yes","No"))</f>
        <v>No</v>
      </c>
      <c r="H2824" s="2" t="n">
        <f aca="false">IF(D2824="",0,1/COUNTIF($D$2:$D$3451,D2824))</f>
        <v>1</v>
      </c>
      <c r="I2824" s="13" t="n">
        <f aca="false">IFERROR(INDEX('NCO-2015 scores'!$C$2:$C$131,MATCH(E2824,'NCO-2015 scores'!$A$2:$A$131,0)),0)</f>
        <v>0.3225</v>
      </c>
      <c r="J2824" s="13" t="n">
        <f aca="false">IF(ISNUMBER(MATCH(E2824,'NCO-2015 scores'!$A$2:$A$131,0)),IF(ISNUMBER(INDEX('NCO-2015 scores'!$C$2:$C$131,MATCH(E2824,'NCO-2015 scores'!$A$2:$A$131,0))),1,0),0)</f>
        <v>1</v>
      </c>
    </row>
    <row r="2825" customFormat="false" ht="15" hidden="false" customHeight="false" outlineLevel="0" collapsed="false">
      <c r="A2825" s="2" t="n">
        <v>2821</v>
      </c>
      <c r="B2825" s="2" t="s">
        <v>8247</v>
      </c>
      <c r="C2825" s="2" t="s">
        <v>8248</v>
      </c>
      <c r="D2825" s="2" t="s">
        <v>8249</v>
      </c>
      <c r="E2825" s="2" t="str">
        <f aca="false">LEFT(C2825,3)</f>
        <v>111</v>
      </c>
      <c r="F2825" s="2" t="str">
        <f aca="false">IF(D2825="","",LEFT(D2825,3))</f>
        <v>112</v>
      </c>
      <c r="G2825" s="2" t="str">
        <f aca="false">IF(F2825="","",IF(E2825=F2825,"Yes","No"))</f>
        <v>No</v>
      </c>
      <c r="H2825" s="2" t="n">
        <f aca="false">IF(D2825="",0,1/COUNTIF($D$2:$D$3451,D2825))</f>
        <v>1</v>
      </c>
      <c r="I2825" s="13" t="n">
        <f aca="false">IFERROR(INDEX('NCO-2015 scores'!$C$2:$C$131,MATCH(E2825,'NCO-2015 scores'!$A$2:$A$131,0)),0)</f>
        <v>0.3225</v>
      </c>
      <c r="J2825" s="13" t="n">
        <f aca="false">IF(ISNUMBER(MATCH(E2825,'NCO-2015 scores'!$A$2:$A$131,0)),IF(ISNUMBER(INDEX('NCO-2015 scores'!$C$2:$C$131,MATCH(E2825,'NCO-2015 scores'!$A$2:$A$131,0))),1,0),0)</f>
        <v>1</v>
      </c>
    </row>
    <row r="2826" customFormat="false" ht="15" hidden="false" customHeight="false" outlineLevel="0" collapsed="false">
      <c r="A2826" s="2" t="n">
        <v>2822</v>
      </c>
      <c r="B2826" s="2" t="s">
        <v>8250</v>
      </c>
      <c r="C2826" s="2" t="s">
        <v>8251</v>
      </c>
      <c r="D2826" s="2" t="s">
        <v>8252</v>
      </c>
      <c r="E2826" s="2" t="str">
        <f aca="false">LEFT(C2826,3)</f>
        <v>111</v>
      </c>
      <c r="F2826" s="2" t="str">
        <f aca="false">IF(D2826="","",LEFT(D2826,3))</f>
        <v>112</v>
      </c>
      <c r="G2826" s="2" t="str">
        <f aca="false">IF(F2826="","",IF(E2826=F2826,"Yes","No"))</f>
        <v>No</v>
      </c>
      <c r="H2826" s="2" t="n">
        <f aca="false">IF(D2826="",0,1/COUNTIF($D$2:$D$3451,D2826))</f>
        <v>1</v>
      </c>
      <c r="I2826" s="13" t="n">
        <f aca="false">IFERROR(INDEX('NCO-2015 scores'!$C$2:$C$131,MATCH(E2826,'NCO-2015 scores'!$A$2:$A$131,0)),0)</f>
        <v>0.3225</v>
      </c>
      <c r="J2826" s="13" t="n">
        <f aca="false">IF(ISNUMBER(MATCH(E2826,'NCO-2015 scores'!$A$2:$A$131,0)),IF(ISNUMBER(INDEX('NCO-2015 scores'!$C$2:$C$131,MATCH(E2826,'NCO-2015 scores'!$A$2:$A$131,0))),1,0),0)</f>
        <v>1</v>
      </c>
    </row>
    <row r="2827" customFormat="false" ht="15" hidden="false" customHeight="false" outlineLevel="0" collapsed="false">
      <c r="A2827" s="2" t="n">
        <v>2823</v>
      </c>
      <c r="B2827" s="2" t="s">
        <v>8253</v>
      </c>
      <c r="C2827" s="2" t="s">
        <v>8254</v>
      </c>
      <c r="D2827" s="2" t="s">
        <v>8255</v>
      </c>
      <c r="E2827" s="2" t="str">
        <f aca="false">LEFT(C2827,3)</f>
        <v>111</v>
      </c>
      <c r="F2827" s="2" t="str">
        <f aca="false">IF(D2827="","",LEFT(D2827,3))</f>
        <v>112</v>
      </c>
      <c r="G2827" s="2" t="str">
        <f aca="false">IF(F2827="","",IF(E2827=F2827,"Yes","No"))</f>
        <v>No</v>
      </c>
      <c r="H2827" s="2" t="n">
        <f aca="false">IF(D2827="",0,1/COUNTIF($D$2:$D$3451,D2827))</f>
        <v>1</v>
      </c>
      <c r="I2827" s="13" t="n">
        <f aca="false">IFERROR(INDEX('NCO-2015 scores'!$C$2:$C$131,MATCH(E2827,'NCO-2015 scores'!$A$2:$A$131,0)),0)</f>
        <v>0.3225</v>
      </c>
      <c r="J2827" s="13" t="n">
        <f aca="false">IF(ISNUMBER(MATCH(E2827,'NCO-2015 scores'!$A$2:$A$131,0)),IF(ISNUMBER(INDEX('NCO-2015 scores'!$C$2:$C$131,MATCH(E2827,'NCO-2015 scores'!$A$2:$A$131,0))),1,0),0)</f>
        <v>1</v>
      </c>
    </row>
    <row r="2828" customFormat="false" ht="15" hidden="false" customHeight="false" outlineLevel="0" collapsed="false">
      <c r="A2828" s="2" t="n">
        <v>2824</v>
      </c>
      <c r="B2828" s="2" t="s">
        <v>8256</v>
      </c>
      <c r="C2828" s="2" t="s">
        <v>8257</v>
      </c>
      <c r="D2828" s="2" t="s">
        <v>8258</v>
      </c>
      <c r="E2828" s="2" t="str">
        <f aca="false">LEFT(C2828,3)</f>
        <v>111</v>
      </c>
      <c r="F2828" s="2" t="str">
        <f aca="false">IF(D2828="","",LEFT(D2828,3))</f>
        <v>112</v>
      </c>
      <c r="G2828" s="2" t="str">
        <f aca="false">IF(F2828="","",IF(E2828=F2828,"Yes","No"))</f>
        <v>No</v>
      </c>
      <c r="H2828" s="2" t="n">
        <f aca="false">IF(D2828="",0,1/COUNTIF($D$2:$D$3451,D2828))</f>
        <v>1</v>
      </c>
      <c r="I2828" s="13" t="n">
        <f aca="false">IFERROR(INDEX('NCO-2015 scores'!$C$2:$C$131,MATCH(E2828,'NCO-2015 scores'!$A$2:$A$131,0)),0)</f>
        <v>0.3225</v>
      </c>
      <c r="J2828" s="13" t="n">
        <f aca="false">IF(ISNUMBER(MATCH(E2828,'NCO-2015 scores'!$A$2:$A$131,0)),IF(ISNUMBER(INDEX('NCO-2015 scores'!$C$2:$C$131,MATCH(E2828,'NCO-2015 scores'!$A$2:$A$131,0))),1,0),0)</f>
        <v>1</v>
      </c>
    </row>
    <row r="2829" customFormat="false" ht="15" hidden="false" customHeight="false" outlineLevel="0" collapsed="false">
      <c r="A2829" s="2" t="n">
        <v>2825</v>
      </c>
      <c r="B2829" s="2" t="s">
        <v>8259</v>
      </c>
      <c r="C2829" s="2" t="s">
        <v>8260</v>
      </c>
      <c r="D2829" s="2" t="s">
        <v>8261</v>
      </c>
      <c r="E2829" s="2" t="str">
        <f aca="false">LEFT(C2829,3)</f>
        <v>111</v>
      </c>
      <c r="F2829" s="2" t="str">
        <f aca="false">IF(D2829="","",LEFT(D2829,3))</f>
        <v>112</v>
      </c>
      <c r="G2829" s="2" t="str">
        <f aca="false">IF(F2829="","",IF(E2829=F2829,"Yes","No"))</f>
        <v>No</v>
      </c>
      <c r="H2829" s="2" t="n">
        <f aca="false">IF(D2829="",0,1/COUNTIF($D$2:$D$3451,D2829))</f>
        <v>1</v>
      </c>
      <c r="I2829" s="13" t="n">
        <f aca="false">IFERROR(INDEX('NCO-2015 scores'!$C$2:$C$131,MATCH(E2829,'NCO-2015 scores'!$A$2:$A$131,0)),0)</f>
        <v>0.3225</v>
      </c>
      <c r="J2829" s="13" t="n">
        <f aca="false">IF(ISNUMBER(MATCH(E2829,'NCO-2015 scores'!$A$2:$A$131,0)),IF(ISNUMBER(INDEX('NCO-2015 scores'!$C$2:$C$131,MATCH(E2829,'NCO-2015 scores'!$A$2:$A$131,0))),1,0),0)</f>
        <v>1</v>
      </c>
    </row>
    <row r="2830" customFormat="false" ht="15" hidden="false" customHeight="false" outlineLevel="0" collapsed="false">
      <c r="A2830" s="2" t="n">
        <v>2826</v>
      </c>
      <c r="B2830" s="2" t="s">
        <v>8262</v>
      </c>
      <c r="C2830" s="2" t="s">
        <v>8263</v>
      </c>
      <c r="D2830" s="2" t="s">
        <v>8264</v>
      </c>
      <c r="E2830" s="2" t="str">
        <f aca="false">LEFT(C2830,3)</f>
        <v>111</v>
      </c>
      <c r="F2830" s="2" t="str">
        <f aca="false">IF(D2830="","",LEFT(D2830,3))</f>
        <v>112</v>
      </c>
      <c r="G2830" s="2" t="str">
        <f aca="false">IF(F2830="","",IF(E2830=F2830,"Yes","No"))</f>
        <v>No</v>
      </c>
      <c r="H2830" s="2" t="n">
        <f aca="false">IF(D2830="",0,1/COUNTIF($D$2:$D$3451,D2830))</f>
        <v>1</v>
      </c>
      <c r="I2830" s="13" t="n">
        <f aca="false">IFERROR(INDEX('NCO-2015 scores'!$C$2:$C$131,MATCH(E2830,'NCO-2015 scores'!$A$2:$A$131,0)),0)</f>
        <v>0.3225</v>
      </c>
      <c r="J2830" s="13" t="n">
        <f aca="false">IF(ISNUMBER(MATCH(E2830,'NCO-2015 scores'!$A$2:$A$131,0)),IF(ISNUMBER(INDEX('NCO-2015 scores'!$C$2:$C$131,MATCH(E2830,'NCO-2015 scores'!$A$2:$A$131,0))),1,0),0)</f>
        <v>1</v>
      </c>
    </row>
    <row r="2831" customFormat="false" ht="15" hidden="false" customHeight="false" outlineLevel="0" collapsed="false">
      <c r="A2831" s="2" t="n">
        <v>2827</v>
      </c>
      <c r="B2831" s="2" t="s">
        <v>8265</v>
      </c>
      <c r="C2831" s="2" t="s">
        <v>8266</v>
      </c>
      <c r="D2831" s="2" t="s">
        <v>8267</v>
      </c>
      <c r="E2831" s="2" t="str">
        <f aca="false">LEFT(C2831,3)</f>
        <v>111</v>
      </c>
      <c r="F2831" s="2" t="str">
        <f aca="false">IF(D2831="","",LEFT(D2831,3))</f>
        <v>112</v>
      </c>
      <c r="G2831" s="2" t="str">
        <f aca="false">IF(F2831="","",IF(E2831=F2831,"Yes","No"))</f>
        <v>No</v>
      </c>
      <c r="H2831" s="2" t="n">
        <f aca="false">IF(D2831="",0,1/COUNTIF($D$2:$D$3451,D2831))</f>
        <v>1</v>
      </c>
      <c r="I2831" s="13" t="n">
        <f aca="false">IFERROR(INDEX('NCO-2015 scores'!$C$2:$C$131,MATCH(E2831,'NCO-2015 scores'!$A$2:$A$131,0)),0)</f>
        <v>0.3225</v>
      </c>
      <c r="J2831" s="13" t="n">
        <f aca="false">IF(ISNUMBER(MATCH(E2831,'NCO-2015 scores'!$A$2:$A$131,0)),IF(ISNUMBER(INDEX('NCO-2015 scores'!$C$2:$C$131,MATCH(E2831,'NCO-2015 scores'!$A$2:$A$131,0))),1,0),0)</f>
        <v>1</v>
      </c>
    </row>
    <row r="2832" customFormat="false" ht="15" hidden="false" customHeight="false" outlineLevel="0" collapsed="false">
      <c r="A2832" s="2" t="n">
        <v>2828</v>
      </c>
      <c r="B2832" s="2" t="s">
        <v>8268</v>
      </c>
      <c r="C2832" s="2" t="s">
        <v>8269</v>
      </c>
      <c r="D2832" s="2" t="s">
        <v>8270</v>
      </c>
      <c r="E2832" s="2" t="str">
        <f aca="false">LEFT(C2832,3)</f>
        <v>111</v>
      </c>
      <c r="F2832" s="2" t="str">
        <f aca="false">IF(D2832="","",LEFT(D2832,3))</f>
        <v>114</v>
      </c>
      <c r="G2832" s="2" t="str">
        <f aca="false">IF(F2832="","",IF(E2832=F2832,"Yes","No"))</f>
        <v>No</v>
      </c>
      <c r="H2832" s="2" t="n">
        <f aca="false">IF(D2832="",0,1/COUNTIF($D$2:$D$3451,D2832))</f>
        <v>1</v>
      </c>
      <c r="I2832" s="13" t="n">
        <f aca="false">IFERROR(INDEX('NCO-2015 scores'!$C$2:$C$131,MATCH(E2832,'NCO-2015 scores'!$A$2:$A$131,0)),0)</f>
        <v>0.3225</v>
      </c>
      <c r="J2832" s="13" t="n">
        <f aca="false">IF(ISNUMBER(MATCH(E2832,'NCO-2015 scores'!$A$2:$A$131,0)),IF(ISNUMBER(INDEX('NCO-2015 scores'!$C$2:$C$131,MATCH(E2832,'NCO-2015 scores'!$A$2:$A$131,0))),1,0),0)</f>
        <v>1</v>
      </c>
    </row>
    <row r="2833" customFormat="false" ht="15" hidden="false" customHeight="false" outlineLevel="0" collapsed="false">
      <c r="A2833" s="2" t="n">
        <v>2829</v>
      </c>
      <c r="B2833" s="2" t="s">
        <v>8271</v>
      </c>
      <c r="C2833" s="2" t="s">
        <v>8272</v>
      </c>
      <c r="D2833" s="2" t="s">
        <v>8273</v>
      </c>
      <c r="E2833" s="2" t="str">
        <f aca="false">LEFT(C2833,3)</f>
        <v>111</v>
      </c>
      <c r="F2833" s="2" t="str">
        <f aca="false">IF(D2833="","",LEFT(D2833,3))</f>
        <v>114</v>
      </c>
      <c r="G2833" s="2" t="str">
        <f aca="false">IF(F2833="","",IF(E2833=F2833,"Yes","No"))</f>
        <v>No</v>
      </c>
      <c r="H2833" s="2" t="n">
        <f aca="false">IF(D2833="",0,1/COUNTIF($D$2:$D$3451,D2833))</f>
        <v>1</v>
      </c>
      <c r="I2833" s="13" t="n">
        <f aca="false">IFERROR(INDEX('NCO-2015 scores'!$C$2:$C$131,MATCH(E2833,'NCO-2015 scores'!$A$2:$A$131,0)),0)</f>
        <v>0.3225</v>
      </c>
      <c r="J2833" s="13" t="n">
        <f aca="false">IF(ISNUMBER(MATCH(E2833,'NCO-2015 scores'!$A$2:$A$131,0)),IF(ISNUMBER(INDEX('NCO-2015 scores'!$C$2:$C$131,MATCH(E2833,'NCO-2015 scores'!$A$2:$A$131,0))),1,0),0)</f>
        <v>1</v>
      </c>
    </row>
    <row r="2834" customFormat="false" ht="15" hidden="false" customHeight="false" outlineLevel="0" collapsed="false">
      <c r="A2834" s="2" t="n">
        <v>2830</v>
      </c>
      <c r="B2834" s="2" t="s">
        <v>8274</v>
      </c>
      <c r="C2834" s="2" t="s">
        <v>8275</v>
      </c>
      <c r="D2834" s="2" t="s">
        <v>8276</v>
      </c>
      <c r="E2834" s="2" t="str">
        <f aca="false">LEFT(C2834,3)</f>
        <v>111</v>
      </c>
      <c r="F2834" s="2" t="str">
        <f aca="false">IF(D2834="","",LEFT(D2834,3))</f>
        <v>114</v>
      </c>
      <c r="G2834" s="2" t="str">
        <f aca="false">IF(F2834="","",IF(E2834=F2834,"Yes","No"))</f>
        <v>No</v>
      </c>
      <c r="H2834" s="2" t="n">
        <f aca="false">IF(D2834="",0,1/COUNTIF($D$2:$D$3451,D2834))</f>
        <v>1</v>
      </c>
      <c r="I2834" s="13" t="n">
        <f aca="false">IFERROR(INDEX('NCO-2015 scores'!$C$2:$C$131,MATCH(E2834,'NCO-2015 scores'!$A$2:$A$131,0)),0)</f>
        <v>0.3225</v>
      </c>
      <c r="J2834" s="13" t="n">
        <f aca="false">IF(ISNUMBER(MATCH(E2834,'NCO-2015 scores'!$A$2:$A$131,0)),IF(ISNUMBER(INDEX('NCO-2015 scores'!$C$2:$C$131,MATCH(E2834,'NCO-2015 scores'!$A$2:$A$131,0))),1,0),0)</f>
        <v>1</v>
      </c>
    </row>
    <row r="2835" customFormat="false" ht="15" hidden="false" customHeight="false" outlineLevel="0" collapsed="false">
      <c r="A2835" s="2" t="n">
        <v>2831</v>
      </c>
      <c r="B2835" s="2" t="s">
        <v>8277</v>
      </c>
      <c r="C2835" s="2" t="s">
        <v>8278</v>
      </c>
      <c r="D2835" s="2" t="s">
        <v>8279</v>
      </c>
      <c r="E2835" s="2" t="str">
        <f aca="false">LEFT(C2835,3)</f>
        <v>111</v>
      </c>
      <c r="F2835" s="2" t="str">
        <f aca="false">IF(D2835="","",LEFT(D2835,3))</f>
        <v>114</v>
      </c>
      <c r="G2835" s="2" t="str">
        <f aca="false">IF(F2835="","",IF(E2835=F2835,"Yes","No"))</f>
        <v>No</v>
      </c>
      <c r="H2835" s="2" t="n">
        <f aca="false">IF(D2835="",0,1/COUNTIF($D$2:$D$3451,D2835))</f>
        <v>1</v>
      </c>
      <c r="I2835" s="13" t="n">
        <f aca="false">IFERROR(INDEX('NCO-2015 scores'!$C$2:$C$131,MATCH(E2835,'NCO-2015 scores'!$A$2:$A$131,0)),0)</f>
        <v>0.3225</v>
      </c>
      <c r="J2835" s="13" t="n">
        <f aca="false">IF(ISNUMBER(MATCH(E2835,'NCO-2015 scores'!$A$2:$A$131,0)),IF(ISNUMBER(INDEX('NCO-2015 scores'!$C$2:$C$131,MATCH(E2835,'NCO-2015 scores'!$A$2:$A$131,0))),1,0),0)</f>
        <v>1</v>
      </c>
    </row>
    <row r="2836" customFormat="false" ht="15" hidden="false" customHeight="false" outlineLevel="0" collapsed="false">
      <c r="A2836" s="2" t="n">
        <v>2832</v>
      </c>
      <c r="B2836" s="2" t="s">
        <v>8280</v>
      </c>
      <c r="C2836" s="2" t="s">
        <v>8281</v>
      </c>
      <c r="D2836" s="2" t="s">
        <v>8282</v>
      </c>
      <c r="E2836" s="2" t="str">
        <f aca="false">LEFT(C2836,3)</f>
        <v>524</v>
      </c>
      <c r="F2836" s="2" t="str">
        <f aca="false">IF(D2836="","",LEFT(D2836,3))</f>
        <v>522</v>
      </c>
      <c r="G2836" s="2" t="str">
        <f aca="false">IF(F2836="","",IF(E2836=F2836,"Yes","No"))</f>
        <v>No</v>
      </c>
      <c r="H2836" s="2" t="n">
        <f aca="false">IF(D2836="",0,1/COUNTIF($D$2:$D$3451,D2836))</f>
        <v>1</v>
      </c>
      <c r="I2836" s="13" t="n">
        <f aca="false">IFERROR(INDEX('NCO-2015 scores'!$C$2:$C$131,MATCH(E2836,'NCO-2015 scores'!$A$2:$A$131,0)),0)</f>
        <v>0.37</v>
      </c>
      <c r="J2836" s="13" t="n">
        <f aca="false">IF(ISNUMBER(MATCH(E2836,'NCO-2015 scores'!$A$2:$A$131,0)),IF(ISNUMBER(INDEX('NCO-2015 scores'!$C$2:$C$131,MATCH(E2836,'NCO-2015 scores'!$A$2:$A$131,0))),1,0),0)</f>
        <v>1</v>
      </c>
    </row>
    <row r="2837" customFormat="false" ht="15" hidden="false" customHeight="false" outlineLevel="0" collapsed="false">
      <c r="A2837" s="2" t="n">
        <v>2833</v>
      </c>
      <c r="B2837" s="2" t="s">
        <v>8283</v>
      </c>
      <c r="C2837" s="2" t="s">
        <v>8284</v>
      </c>
      <c r="D2837" s="2" t="s">
        <v>8285</v>
      </c>
      <c r="E2837" s="2" t="str">
        <f aca="false">LEFT(C2837,3)</f>
        <v>815</v>
      </c>
      <c r="F2837" s="2" t="str">
        <f aca="false">IF(D2837="","",LEFT(D2837,3))</f>
        <v>826</v>
      </c>
      <c r="G2837" s="2" t="str">
        <f aca="false">IF(F2837="","",IF(E2837=F2837,"Yes","No"))</f>
        <v>No</v>
      </c>
      <c r="H2837" s="2" t="n">
        <f aca="false">IF(D2837="",0,1/COUNTIF($D$2:$D$3451,D2837))</f>
        <v>1</v>
      </c>
      <c r="I2837" s="13" t="n">
        <f aca="false">IFERROR(INDEX('NCO-2015 scores'!$C$2:$C$131,MATCH(E2837,'NCO-2015 scores'!$A$2:$A$131,0)),0)</f>
        <v>0.1625</v>
      </c>
      <c r="J2837" s="13" t="n">
        <f aca="false">IF(ISNUMBER(MATCH(E2837,'NCO-2015 scores'!$A$2:$A$131,0)),IF(ISNUMBER(INDEX('NCO-2015 scores'!$C$2:$C$131,MATCH(E2837,'NCO-2015 scores'!$A$2:$A$131,0))),1,0),0)</f>
        <v>1</v>
      </c>
    </row>
    <row r="2838" customFormat="false" ht="15" hidden="false" customHeight="false" outlineLevel="0" collapsed="false">
      <c r="A2838" s="2" t="n">
        <v>2834</v>
      </c>
      <c r="B2838" s="2" t="s">
        <v>8286</v>
      </c>
      <c r="C2838" s="2" t="s">
        <v>8287</v>
      </c>
      <c r="D2838" s="2"/>
      <c r="E2838" s="2" t="str">
        <f aca="false">LEFT(C2838,3)</f>
        <v>815</v>
      </c>
      <c r="F2838" s="2" t="str">
        <f aca="false">IF(D2838="","",LEFT(D2838,3))</f>
        <v/>
      </c>
      <c r="G2838" s="2" t="str">
        <f aca="false">IF(F2838="","",IF(E2838=F2838,"Yes","No"))</f>
        <v/>
      </c>
      <c r="H2838" s="2" t="n">
        <f aca="false">IF(D2838="",0,1/COUNTIF($D$2:$D$3451,D2838))</f>
        <v>0</v>
      </c>
      <c r="I2838" s="13" t="n">
        <f aca="false">IFERROR(INDEX('NCO-2015 scores'!$C$2:$C$131,MATCH(E2838,'NCO-2015 scores'!$A$2:$A$131,0)),0)</f>
        <v>0.1625</v>
      </c>
      <c r="J2838" s="13" t="n">
        <f aca="false">IF(ISNUMBER(MATCH(E2838,'NCO-2015 scores'!$A$2:$A$131,0)),IF(ISNUMBER(INDEX('NCO-2015 scores'!$C$2:$C$131,MATCH(E2838,'NCO-2015 scores'!$A$2:$A$131,0))),1,0),0)</f>
        <v>1</v>
      </c>
    </row>
    <row r="2839" customFormat="false" ht="15" hidden="false" customHeight="false" outlineLevel="0" collapsed="false">
      <c r="A2839" s="2" t="n">
        <v>2835</v>
      </c>
      <c r="B2839" s="2" t="s">
        <v>8288</v>
      </c>
      <c r="C2839" s="2" t="s">
        <v>8289</v>
      </c>
      <c r="D2839" s="2" t="s">
        <v>8290</v>
      </c>
      <c r="E2839" s="2" t="str">
        <f aca="false">LEFT(C2839,3)</f>
        <v>815</v>
      </c>
      <c r="F2839" s="2" t="str">
        <f aca="false">IF(D2839="","",LEFT(D2839,3))</f>
        <v>826</v>
      </c>
      <c r="G2839" s="2" t="str">
        <f aca="false">IF(F2839="","",IF(E2839=F2839,"Yes","No"))</f>
        <v>No</v>
      </c>
      <c r="H2839" s="2" t="n">
        <f aca="false">IF(D2839="",0,1/COUNTIF($D$2:$D$3451,D2839))</f>
        <v>1</v>
      </c>
      <c r="I2839" s="13" t="n">
        <f aca="false">IFERROR(INDEX('NCO-2015 scores'!$C$2:$C$131,MATCH(E2839,'NCO-2015 scores'!$A$2:$A$131,0)),0)</f>
        <v>0.1625</v>
      </c>
      <c r="J2839" s="13" t="n">
        <f aca="false">IF(ISNUMBER(MATCH(E2839,'NCO-2015 scores'!$A$2:$A$131,0)),IF(ISNUMBER(INDEX('NCO-2015 scores'!$C$2:$C$131,MATCH(E2839,'NCO-2015 scores'!$A$2:$A$131,0))),1,0),0)</f>
        <v>1</v>
      </c>
    </row>
    <row r="2840" customFormat="false" ht="15" hidden="false" customHeight="false" outlineLevel="0" collapsed="false">
      <c r="A2840" s="2" t="n">
        <v>2836</v>
      </c>
      <c r="B2840" s="2" t="s">
        <v>8291</v>
      </c>
      <c r="C2840" s="2" t="s">
        <v>8292</v>
      </c>
      <c r="D2840" s="2" t="s">
        <v>8293</v>
      </c>
      <c r="E2840" s="2" t="str">
        <f aca="false">LEFT(C2840,3)</f>
        <v>815</v>
      </c>
      <c r="F2840" s="2" t="str">
        <f aca="false">IF(D2840="","",LEFT(D2840,3))</f>
        <v>826</v>
      </c>
      <c r="G2840" s="2" t="str">
        <f aca="false">IF(F2840="","",IF(E2840=F2840,"Yes","No"))</f>
        <v>No</v>
      </c>
      <c r="H2840" s="2" t="n">
        <f aca="false">IF(D2840="",0,1/COUNTIF($D$2:$D$3451,D2840))</f>
        <v>1</v>
      </c>
      <c r="I2840" s="13" t="n">
        <f aca="false">IFERROR(INDEX('NCO-2015 scores'!$C$2:$C$131,MATCH(E2840,'NCO-2015 scores'!$A$2:$A$131,0)),0)</f>
        <v>0.1625</v>
      </c>
      <c r="J2840" s="13" t="n">
        <f aca="false">IF(ISNUMBER(MATCH(E2840,'NCO-2015 scores'!$A$2:$A$131,0)),IF(ISNUMBER(INDEX('NCO-2015 scores'!$C$2:$C$131,MATCH(E2840,'NCO-2015 scores'!$A$2:$A$131,0))),1,0),0)</f>
        <v>1</v>
      </c>
    </row>
    <row r="2841" customFormat="false" ht="15" hidden="false" customHeight="false" outlineLevel="0" collapsed="false">
      <c r="A2841" s="2" t="n">
        <v>2837</v>
      </c>
      <c r="B2841" s="2" t="s">
        <v>8294</v>
      </c>
      <c r="C2841" s="2" t="s">
        <v>8295</v>
      </c>
      <c r="D2841" s="2"/>
      <c r="E2841" s="2" t="str">
        <f aca="false">LEFT(C2841,3)</f>
        <v>815</v>
      </c>
      <c r="F2841" s="2" t="str">
        <f aca="false">IF(D2841="","",LEFT(D2841,3))</f>
        <v/>
      </c>
      <c r="G2841" s="2" t="str">
        <f aca="false">IF(F2841="","",IF(E2841=F2841,"Yes","No"))</f>
        <v/>
      </c>
      <c r="H2841" s="2" t="n">
        <f aca="false">IF(D2841="",0,1/COUNTIF($D$2:$D$3451,D2841))</f>
        <v>0</v>
      </c>
      <c r="I2841" s="13" t="n">
        <f aca="false">IFERROR(INDEX('NCO-2015 scores'!$C$2:$C$131,MATCH(E2841,'NCO-2015 scores'!$A$2:$A$131,0)),0)</f>
        <v>0.1625</v>
      </c>
      <c r="J2841" s="13" t="n">
        <f aca="false">IF(ISNUMBER(MATCH(E2841,'NCO-2015 scores'!$A$2:$A$131,0)),IF(ISNUMBER(INDEX('NCO-2015 scores'!$C$2:$C$131,MATCH(E2841,'NCO-2015 scores'!$A$2:$A$131,0))),1,0),0)</f>
        <v>1</v>
      </c>
    </row>
    <row r="2842" customFormat="false" ht="15" hidden="false" customHeight="false" outlineLevel="0" collapsed="false">
      <c r="A2842" s="2" t="n">
        <v>2838</v>
      </c>
      <c r="B2842" s="2" t="s">
        <v>8296</v>
      </c>
      <c r="C2842" s="2" t="s">
        <v>8297</v>
      </c>
      <c r="D2842" s="2"/>
      <c r="E2842" s="2" t="str">
        <f aca="false">LEFT(C2842,3)</f>
        <v>815</v>
      </c>
      <c r="F2842" s="2" t="str">
        <f aca="false">IF(D2842="","",LEFT(D2842,3))</f>
        <v/>
      </c>
      <c r="G2842" s="2" t="str">
        <f aca="false">IF(F2842="","",IF(E2842=F2842,"Yes","No"))</f>
        <v/>
      </c>
      <c r="H2842" s="2" t="n">
        <f aca="false">IF(D2842="",0,1/COUNTIF($D$2:$D$3451,D2842))</f>
        <v>0</v>
      </c>
      <c r="I2842" s="13" t="n">
        <f aca="false">IFERROR(INDEX('NCO-2015 scores'!$C$2:$C$131,MATCH(E2842,'NCO-2015 scores'!$A$2:$A$131,0)),0)</f>
        <v>0.1625</v>
      </c>
      <c r="J2842" s="13" t="n">
        <f aca="false">IF(ISNUMBER(MATCH(E2842,'NCO-2015 scores'!$A$2:$A$131,0)),IF(ISNUMBER(INDEX('NCO-2015 scores'!$C$2:$C$131,MATCH(E2842,'NCO-2015 scores'!$A$2:$A$131,0))),1,0),0)</f>
        <v>1</v>
      </c>
    </row>
    <row r="2843" customFormat="false" ht="15" hidden="false" customHeight="false" outlineLevel="0" collapsed="false">
      <c r="A2843" s="2" t="n">
        <v>2839</v>
      </c>
      <c r="B2843" s="2" t="s">
        <v>8298</v>
      </c>
      <c r="C2843" s="2" t="s">
        <v>8299</v>
      </c>
      <c r="D2843" s="2" t="s">
        <v>8300</v>
      </c>
      <c r="E2843" s="2" t="str">
        <f aca="false">LEFT(C2843,3)</f>
        <v>815</v>
      </c>
      <c r="F2843" s="2" t="str">
        <f aca="false">IF(D2843="","",LEFT(D2843,3))</f>
        <v>826</v>
      </c>
      <c r="G2843" s="2" t="str">
        <f aca="false">IF(F2843="","",IF(E2843=F2843,"Yes","No"))</f>
        <v>No</v>
      </c>
      <c r="H2843" s="2" t="n">
        <f aca="false">IF(D2843="",0,1/COUNTIF($D$2:$D$3451,D2843))</f>
        <v>1</v>
      </c>
      <c r="I2843" s="13" t="n">
        <f aca="false">IFERROR(INDEX('NCO-2015 scores'!$C$2:$C$131,MATCH(E2843,'NCO-2015 scores'!$A$2:$A$131,0)),0)</f>
        <v>0.1625</v>
      </c>
      <c r="J2843" s="13" t="n">
        <f aca="false">IF(ISNUMBER(MATCH(E2843,'NCO-2015 scores'!$A$2:$A$131,0)),IF(ISNUMBER(INDEX('NCO-2015 scores'!$C$2:$C$131,MATCH(E2843,'NCO-2015 scores'!$A$2:$A$131,0))),1,0),0)</f>
        <v>1</v>
      </c>
    </row>
    <row r="2844" customFormat="false" ht="15" hidden="false" customHeight="false" outlineLevel="0" collapsed="false">
      <c r="A2844" s="2" t="n">
        <v>2840</v>
      </c>
      <c r="B2844" s="2" t="s">
        <v>8301</v>
      </c>
      <c r="C2844" s="2" t="s">
        <v>8302</v>
      </c>
      <c r="D2844" s="2" t="s">
        <v>8303</v>
      </c>
      <c r="E2844" s="2" t="str">
        <f aca="false">LEFT(C2844,3)</f>
        <v>815</v>
      </c>
      <c r="F2844" s="2" t="str">
        <f aca="false">IF(D2844="","",LEFT(D2844,3))</f>
        <v>826</v>
      </c>
      <c r="G2844" s="2" t="str">
        <f aca="false">IF(F2844="","",IF(E2844=F2844,"Yes","No"))</f>
        <v>No</v>
      </c>
      <c r="H2844" s="2" t="n">
        <f aca="false">IF(D2844="",0,1/COUNTIF($D$2:$D$3451,D2844))</f>
        <v>1</v>
      </c>
      <c r="I2844" s="13" t="n">
        <f aca="false">IFERROR(INDEX('NCO-2015 scores'!$C$2:$C$131,MATCH(E2844,'NCO-2015 scores'!$A$2:$A$131,0)),0)</f>
        <v>0.1625</v>
      </c>
      <c r="J2844" s="13" t="n">
        <f aca="false">IF(ISNUMBER(MATCH(E2844,'NCO-2015 scores'!$A$2:$A$131,0)),IF(ISNUMBER(INDEX('NCO-2015 scores'!$C$2:$C$131,MATCH(E2844,'NCO-2015 scores'!$A$2:$A$131,0))),1,0),0)</f>
        <v>1</v>
      </c>
    </row>
    <row r="2845" customFormat="false" ht="15" hidden="false" customHeight="false" outlineLevel="0" collapsed="false">
      <c r="A2845" s="2" t="n">
        <v>2841</v>
      </c>
      <c r="B2845" s="2" t="s">
        <v>8304</v>
      </c>
      <c r="C2845" s="2" t="s">
        <v>8305</v>
      </c>
      <c r="D2845" s="2" t="s">
        <v>8306</v>
      </c>
      <c r="E2845" s="2" t="str">
        <f aca="false">LEFT(C2845,3)</f>
        <v>815</v>
      </c>
      <c r="F2845" s="2" t="str">
        <f aca="false">IF(D2845="","",LEFT(D2845,3))</f>
        <v>826</v>
      </c>
      <c r="G2845" s="2" t="str">
        <f aca="false">IF(F2845="","",IF(E2845=F2845,"Yes","No"))</f>
        <v>No</v>
      </c>
      <c r="H2845" s="2" t="n">
        <f aca="false">IF(D2845="",0,1/COUNTIF($D$2:$D$3451,D2845))</f>
        <v>1</v>
      </c>
      <c r="I2845" s="13" t="n">
        <f aca="false">IFERROR(INDEX('NCO-2015 scores'!$C$2:$C$131,MATCH(E2845,'NCO-2015 scores'!$A$2:$A$131,0)),0)</f>
        <v>0.1625</v>
      </c>
      <c r="J2845" s="13" t="n">
        <f aca="false">IF(ISNUMBER(MATCH(E2845,'NCO-2015 scores'!$A$2:$A$131,0)),IF(ISNUMBER(INDEX('NCO-2015 scores'!$C$2:$C$131,MATCH(E2845,'NCO-2015 scores'!$A$2:$A$131,0))),1,0),0)</f>
        <v>1</v>
      </c>
    </row>
    <row r="2846" customFormat="false" ht="15" hidden="false" customHeight="false" outlineLevel="0" collapsed="false">
      <c r="A2846" s="2" t="n">
        <v>2842</v>
      </c>
      <c r="B2846" s="2" t="s">
        <v>8307</v>
      </c>
      <c r="C2846" s="2" t="s">
        <v>8308</v>
      </c>
      <c r="D2846" s="2" t="s">
        <v>8309</v>
      </c>
      <c r="E2846" s="2" t="str">
        <f aca="false">LEFT(C2846,3)</f>
        <v>815</v>
      </c>
      <c r="F2846" s="2" t="str">
        <f aca="false">IF(D2846="","",LEFT(D2846,3))</f>
        <v>826</v>
      </c>
      <c r="G2846" s="2" t="str">
        <f aca="false">IF(F2846="","",IF(E2846=F2846,"Yes","No"))</f>
        <v>No</v>
      </c>
      <c r="H2846" s="2" t="n">
        <f aca="false">IF(D2846="",0,1/COUNTIF($D$2:$D$3451,D2846))</f>
        <v>1</v>
      </c>
      <c r="I2846" s="13" t="n">
        <f aca="false">IFERROR(INDEX('NCO-2015 scores'!$C$2:$C$131,MATCH(E2846,'NCO-2015 scores'!$A$2:$A$131,0)),0)</f>
        <v>0.1625</v>
      </c>
      <c r="J2846" s="13" t="n">
        <f aca="false">IF(ISNUMBER(MATCH(E2846,'NCO-2015 scores'!$A$2:$A$131,0)),IF(ISNUMBER(INDEX('NCO-2015 scores'!$C$2:$C$131,MATCH(E2846,'NCO-2015 scores'!$A$2:$A$131,0))),1,0),0)</f>
        <v>1</v>
      </c>
    </row>
    <row r="2847" customFormat="false" ht="15" hidden="false" customHeight="false" outlineLevel="0" collapsed="false">
      <c r="A2847" s="2" t="n">
        <v>2843</v>
      </c>
      <c r="B2847" s="2" t="s">
        <v>8310</v>
      </c>
      <c r="C2847" s="2" t="s">
        <v>8311</v>
      </c>
      <c r="D2847" s="2"/>
      <c r="E2847" s="2" t="str">
        <f aca="false">LEFT(C2847,3)</f>
        <v>815</v>
      </c>
      <c r="F2847" s="2" t="str">
        <f aca="false">IF(D2847="","",LEFT(D2847,3))</f>
        <v/>
      </c>
      <c r="G2847" s="2" t="str">
        <f aca="false">IF(F2847="","",IF(E2847=F2847,"Yes","No"))</f>
        <v/>
      </c>
      <c r="H2847" s="2" t="n">
        <f aca="false">IF(D2847="",0,1/COUNTIF($D$2:$D$3451,D2847))</f>
        <v>0</v>
      </c>
      <c r="I2847" s="13" t="n">
        <f aca="false">IFERROR(INDEX('NCO-2015 scores'!$C$2:$C$131,MATCH(E2847,'NCO-2015 scores'!$A$2:$A$131,0)),0)</f>
        <v>0.1625</v>
      </c>
      <c r="J2847" s="13" t="n">
        <f aca="false">IF(ISNUMBER(MATCH(E2847,'NCO-2015 scores'!$A$2:$A$131,0)),IF(ISNUMBER(INDEX('NCO-2015 scores'!$C$2:$C$131,MATCH(E2847,'NCO-2015 scores'!$A$2:$A$131,0))),1,0),0)</f>
        <v>1</v>
      </c>
    </row>
    <row r="2848" customFormat="false" ht="15" hidden="false" customHeight="false" outlineLevel="0" collapsed="false">
      <c r="A2848" s="2" t="n">
        <v>2844</v>
      </c>
      <c r="B2848" s="2" t="s">
        <v>8312</v>
      </c>
      <c r="C2848" s="2" t="s">
        <v>8313</v>
      </c>
      <c r="D2848" s="2"/>
      <c r="E2848" s="2" t="str">
        <f aca="false">LEFT(C2848,3)</f>
        <v>815</v>
      </c>
      <c r="F2848" s="2" t="str">
        <f aca="false">IF(D2848="","",LEFT(D2848,3))</f>
        <v/>
      </c>
      <c r="G2848" s="2" t="str">
        <f aca="false">IF(F2848="","",IF(E2848=F2848,"Yes","No"))</f>
        <v/>
      </c>
      <c r="H2848" s="2" t="n">
        <f aca="false">IF(D2848="",0,1/COUNTIF($D$2:$D$3451,D2848))</f>
        <v>0</v>
      </c>
      <c r="I2848" s="13" t="n">
        <f aca="false">IFERROR(INDEX('NCO-2015 scores'!$C$2:$C$131,MATCH(E2848,'NCO-2015 scores'!$A$2:$A$131,0)),0)</f>
        <v>0.1625</v>
      </c>
      <c r="J2848" s="13" t="n">
        <f aca="false">IF(ISNUMBER(MATCH(E2848,'NCO-2015 scores'!$A$2:$A$131,0)),IF(ISNUMBER(INDEX('NCO-2015 scores'!$C$2:$C$131,MATCH(E2848,'NCO-2015 scores'!$A$2:$A$131,0))),1,0),0)</f>
        <v>1</v>
      </c>
    </row>
    <row r="2849" customFormat="false" ht="15" hidden="false" customHeight="false" outlineLevel="0" collapsed="false">
      <c r="A2849" s="2" t="n">
        <v>2845</v>
      </c>
      <c r="B2849" s="2" t="s">
        <v>8314</v>
      </c>
      <c r="C2849" s="2" t="s">
        <v>8315</v>
      </c>
      <c r="D2849" s="2" t="s">
        <v>8316</v>
      </c>
      <c r="E2849" s="2" t="str">
        <f aca="false">LEFT(C2849,3)</f>
        <v>753</v>
      </c>
      <c r="F2849" s="2" t="str">
        <f aca="false">IF(D2849="","",LEFT(D2849,3))</f>
        <v>743</v>
      </c>
      <c r="G2849" s="2" t="str">
        <f aca="false">IF(F2849="","",IF(E2849=F2849,"Yes","No"))</f>
        <v>No</v>
      </c>
      <c r="H2849" s="2" t="n">
        <f aca="false">IF(D2849="",0,1/COUNTIF($D$2:$D$3451,D2849))</f>
        <v>1</v>
      </c>
      <c r="I2849" s="13" t="n">
        <f aca="false">IFERROR(INDEX('NCO-2015 scores'!$C$2:$C$131,MATCH(E2849,'NCO-2015 scores'!$A$2:$A$131,0)),0)</f>
        <v>0.15</v>
      </c>
      <c r="J2849" s="13" t="n">
        <f aca="false">IF(ISNUMBER(MATCH(E2849,'NCO-2015 scores'!$A$2:$A$131,0)),IF(ISNUMBER(INDEX('NCO-2015 scores'!$C$2:$C$131,MATCH(E2849,'NCO-2015 scores'!$A$2:$A$131,0))),1,0),0)</f>
        <v>1</v>
      </c>
    </row>
    <row r="2850" customFormat="false" ht="15" hidden="false" customHeight="false" outlineLevel="0" collapsed="false">
      <c r="A2850" s="2" t="n">
        <v>2846</v>
      </c>
      <c r="B2850" s="2" t="s">
        <v>8317</v>
      </c>
      <c r="C2850" s="2" t="s">
        <v>8318</v>
      </c>
      <c r="D2850" s="2" t="s">
        <v>8319</v>
      </c>
      <c r="E2850" s="2" t="str">
        <f aca="false">LEFT(C2850,3)</f>
        <v>753</v>
      </c>
      <c r="F2850" s="2" t="str">
        <f aca="false">IF(D2850="","",LEFT(D2850,3))</f>
        <v>743</v>
      </c>
      <c r="G2850" s="2" t="str">
        <f aca="false">IF(F2850="","",IF(E2850=F2850,"Yes","No"))</f>
        <v>No</v>
      </c>
      <c r="H2850" s="2" t="n">
        <f aca="false">IF(D2850="",0,1/COUNTIF($D$2:$D$3451,D2850))</f>
        <v>1</v>
      </c>
      <c r="I2850" s="13" t="n">
        <f aca="false">IFERROR(INDEX('NCO-2015 scores'!$C$2:$C$131,MATCH(E2850,'NCO-2015 scores'!$A$2:$A$131,0)),0)</f>
        <v>0.15</v>
      </c>
      <c r="J2850" s="13" t="n">
        <f aca="false">IF(ISNUMBER(MATCH(E2850,'NCO-2015 scores'!$A$2:$A$131,0)),IF(ISNUMBER(INDEX('NCO-2015 scores'!$C$2:$C$131,MATCH(E2850,'NCO-2015 scores'!$A$2:$A$131,0))),1,0),0)</f>
        <v>1</v>
      </c>
    </row>
    <row r="2851" customFormat="false" ht="15" hidden="false" customHeight="false" outlineLevel="0" collapsed="false">
      <c r="A2851" s="2" t="n">
        <v>2847</v>
      </c>
      <c r="B2851" s="2" t="s">
        <v>8320</v>
      </c>
      <c r="C2851" s="2" t="s">
        <v>8321</v>
      </c>
      <c r="D2851" s="2" t="s">
        <v>8322</v>
      </c>
      <c r="E2851" s="2" t="str">
        <f aca="false">LEFT(C2851,3)</f>
        <v>753</v>
      </c>
      <c r="F2851" s="2" t="str">
        <f aca="false">IF(D2851="","",LEFT(D2851,3))</f>
        <v>743</v>
      </c>
      <c r="G2851" s="2" t="str">
        <f aca="false">IF(F2851="","",IF(E2851=F2851,"Yes","No"))</f>
        <v>No</v>
      </c>
      <c r="H2851" s="2" t="n">
        <f aca="false">IF(D2851="",0,1/COUNTIF($D$2:$D$3451,D2851))</f>
        <v>1</v>
      </c>
      <c r="I2851" s="13" t="n">
        <f aca="false">IFERROR(INDEX('NCO-2015 scores'!$C$2:$C$131,MATCH(E2851,'NCO-2015 scores'!$A$2:$A$131,0)),0)</f>
        <v>0.15</v>
      </c>
      <c r="J2851" s="13" t="n">
        <f aca="false">IF(ISNUMBER(MATCH(E2851,'NCO-2015 scores'!$A$2:$A$131,0)),IF(ISNUMBER(INDEX('NCO-2015 scores'!$C$2:$C$131,MATCH(E2851,'NCO-2015 scores'!$A$2:$A$131,0))),1,0),0)</f>
        <v>1</v>
      </c>
    </row>
    <row r="2852" customFormat="false" ht="15" hidden="false" customHeight="false" outlineLevel="0" collapsed="false">
      <c r="A2852" s="2" t="n">
        <v>2848</v>
      </c>
      <c r="B2852" s="2" t="s">
        <v>8323</v>
      </c>
      <c r="C2852" s="2" t="s">
        <v>8324</v>
      </c>
      <c r="D2852" s="2" t="s">
        <v>8325</v>
      </c>
      <c r="E2852" s="2" t="str">
        <f aca="false">LEFT(C2852,3)</f>
        <v>753</v>
      </c>
      <c r="F2852" s="2" t="str">
        <f aca="false">IF(D2852="","",LEFT(D2852,3))</f>
        <v>743</v>
      </c>
      <c r="G2852" s="2" t="str">
        <f aca="false">IF(F2852="","",IF(E2852=F2852,"Yes","No"))</f>
        <v>No</v>
      </c>
      <c r="H2852" s="2" t="n">
        <f aca="false">IF(D2852="",0,1/COUNTIF($D$2:$D$3451,D2852))</f>
        <v>1</v>
      </c>
      <c r="I2852" s="13" t="n">
        <f aca="false">IFERROR(INDEX('NCO-2015 scores'!$C$2:$C$131,MATCH(E2852,'NCO-2015 scores'!$A$2:$A$131,0)),0)</f>
        <v>0.15</v>
      </c>
      <c r="J2852" s="13" t="n">
        <f aca="false">IF(ISNUMBER(MATCH(E2852,'NCO-2015 scores'!$A$2:$A$131,0)),IF(ISNUMBER(INDEX('NCO-2015 scores'!$C$2:$C$131,MATCH(E2852,'NCO-2015 scores'!$A$2:$A$131,0))),1,0),0)</f>
        <v>1</v>
      </c>
    </row>
    <row r="2853" customFormat="false" ht="15" hidden="false" customHeight="false" outlineLevel="0" collapsed="false">
      <c r="A2853" s="2" t="n">
        <v>2849</v>
      </c>
      <c r="B2853" s="2" t="s">
        <v>8326</v>
      </c>
      <c r="C2853" s="2" t="s">
        <v>8327</v>
      </c>
      <c r="D2853" s="2" t="s">
        <v>8328</v>
      </c>
      <c r="E2853" s="2" t="str">
        <f aca="false">LEFT(C2853,3)</f>
        <v>753</v>
      </c>
      <c r="F2853" s="2" t="str">
        <f aca="false">IF(D2853="","",LEFT(D2853,3))</f>
        <v>743</v>
      </c>
      <c r="G2853" s="2" t="str">
        <f aca="false">IF(F2853="","",IF(E2853=F2853,"Yes","No"))</f>
        <v>No</v>
      </c>
      <c r="H2853" s="2" t="n">
        <f aca="false">IF(D2853="",0,1/COUNTIF($D$2:$D$3451,D2853))</f>
        <v>1</v>
      </c>
      <c r="I2853" s="13" t="n">
        <f aca="false">IFERROR(INDEX('NCO-2015 scores'!$C$2:$C$131,MATCH(E2853,'NCO-2015 scores'!$A$2:$A$131,0)),0)</f>
        <v>0.15</v>
      </c>
      <c r="J2853" s="13" t="n">
        <f aca="false">IF(ISNUMBER(MATCH(E2853,'NCO-2015 scores'!$A$2:$A$131,0)),IF(ISNUMBER(INDEX('NCO-2015 scores'!$C$2:$C$131,MATCH(E2853,'NCO-2015 scores'!$A$2:$A$131,0))),1,0),0)</f>
        <v>1</v>
      </c>
    </row>
    <row r="2854" customFormat="false" ht="15" hidden="false" customHeight="false" outlineLevel="0" collapsed="false">
      <c r="A2854" s="2" t="n">
        <v>2850</v>
      </c>
      <c r="B2854" s="2" t="s">
        <v>8329</v>
      </c>
      <c r="C2854" s="2" t="s">
        <v>8330</v>
      </c>
      <c r="D2854" s="2" t="s">
        <v>8331</v>
      </c>
      <c r="E2854" s="2" t="str">
        <f aca="false">LEFT(C2854,3)</f>
        <v>753</v>
      </c>
      <c r="F2854" s="2" t="str">
        <f aca="false">IF(D2854="","",LEFT(D2854,3))</f>
        <v>743</v>
      </c>
      <c r="G2854" s="2" t="str">
        <f aca="false">IF(F2854="","",IF(E2854=F2854,"Yes","No"))</f>
        <v>No</v>
      </c>
      <c r="H2854" s="2" t="n">
        <f aca="false">IF(D2854="",0,1/COUNTIF($D$2:$D$3451,D2854))</f>
        <v>1</v>
      </c>
      <c r="I2854" s="13" t="n">
        <f aca="false">IFERROR(INDEX('NCO-2015 scores'!$C$2:$C$131,MATCH(E2854,'NCO-2015 scores'!$A$2:$A$131,0)),0)</f>
        <v>0.15</v>
      </c>
      <c r="J2854" s="13" t="n">
        <f aca="false">IF(ISNUMBER(MATCH(E2854,'NCO-2015 scores'!$A$2:$A$131,0)),IF(ISNUMBER(INDEX('NCO-2015 scores'!$C$2:$C$131,MATCH(E2854,'NCO-2015 scores'!$A$2:$A$131,0))),1,0),0)</f>
        <v>1</v>
      </c>
    </row>
    <row r="2855" customFormat="false" ht="15" hidden="false" customHeight="false" outlineLevel="0" collapsed="false">
      <c r="A2855" s="2" t="n">
        <v>2851</v>
      </c>
      <c r="B2855" s="2" t="s">
        <v>8332</v>
      </c>
      <c r="C2855" s="2" t="s">
        <v>8333</v>
      </c>
      <c r="D2855" s="2" t="s">
        <v>8334</v>
      </c>
      <c r="E2855" s="2" t="str">
        <f aca="false">LEFT(C2855,3)</f>
        <v>753</v>
      </c>
      <c r="F2855" s="2" t="str">
        <f aca="false">IF(D2855="","",LEFT(D2855,3))</f>
        <v>743</v>
      </c>
      <c r="G2855" s="2" t="str">
        <f aca="false">IF(F2855="","",IF(E2855=F2855,"Yes","No"))</f>
        <v>No</v>
      </c>
      <c r="H2855" s="2" t="n">
        <f aca="false">IF(D2855="",0,1/COUNTIF($D$2:$D$3451,D2855))</f>
        <v>1</v>
      </c>
      <c r="I2855" s="13" t="n">
        <f aca="false">IFERROR(INDEX('NCO-2015 scores'!$C$2:$C$131,MATCH(E2855,'NCO-2015 scores'!$A$2:$A$131,0)),0)</f>
        <v>0.15</v>
      </c>
      <c r="J2855" s="13" t="n">
        <f aca="false">IF(ISNUMBER(MATCH(E2855,'NCO-2015 scores'!$A$2:$A$131,0)),IF(ISNUMBER(INDEX('NCO-2015 scores'!$C$2:$C$131,MATCH(E2855,'NCO-2015 scores'!$A$2:$A$131,0))),1,0),0)</f>
        <v>1</v>
      </c>
    </row>
    <row r="2856" customFormat="false" ht="15" hidden="false" customHeight="false" outlineLevel="0" collapsed="false">
      <c r="A2856" s="2" t="n">
        <v>2852</v>
      </c>
      <c r="B2856" s="2" t="s">
        <v>8335</v>
      </c>
      <c r="C2856" s="2" t="s">
        <v>8336</v>
      </c>
      <c r="D2856" s="2" t="s">
        <v>8337</v>
      </c>
      <c r="E2856" s="2" t="str">
        <f aca="false">LEFT(C2856,3)</f>
        <v>753</v>
      </c>
      <c r="F2856" s="2" t="str">
        <f aca="false">IF(D2856="","",LEFT(D2856,3))</f>
        <v>743</v>
      </c>
      <c r="G2856" s="2" t="str">
        <f aca="false">IF(F2856="","",IF(E2856=F2856,"Yes","No"))</f>
        <v>No</v>
      </c>
      <c r="H2856" s="2" t="n">
        <f aca="false">IF(D2856="",0,1/COUNTIF($D$2:$D$3451,D2856))</f>
        <v>1</v>
      </c>
      <c r="I2856" s="13" t="n">
        <f aca="false">IFERROR(INDEX('NCO-2015 scores'!$C$2:$C$131,MATCH(E2856,'NCO-2015 scores'!$A$2:$A$131,0)),0)</f>
        <v>0.15</v>
      </c>
      <c r="J2856" s="13" t="n">
        <f aca="false">IF(ISNUMBER(MATCH(E2856,'NCO-2015 scores'!$A$2:$A$131,0)),IF(ISNUMBER(INDEX('NCO-2015 scores'!$C$2:$C$131,MATCH(E2856,'NCO-2015 scores'!$A$2:$A$131,0))),1,0),0)</f>
        <v>1</v>
      </c>
    </row>
    <row r="2857" customFormat="false" ht="15" hidden="false" customHeight="false" outlineLevel="0" collapsed="false">
      <c r="A2857" s="2" t="n">
        <v>2853</v>
      </c>
      <c r="B2857" s="2" t="s">
        <v>8338</v>
      </c>
      <c r="C2857" s="2" t="s">
        <v>8339</v>
      </c>
      <c r="D2857" s="2" t="s">
        <v>8340</v>
      </c>
      <c r="E2857" s="2" t="str">
        <f aca="false">LEFT(C2857,3)</f>
        <v>753</v>
      </c>
      <c r="F2857" s="2" t="str">
        <f aca="false">IF(D2857="","",LEFT(D2857,3))</f>
        <v>743</v>
      </c>
      <c r="G2857" s="2" t="str">
        <f aca="false">IF(F2857="","",IF(E2857=F2857,"Yes","No"))</f>
        <v>No</v>
      </c>
      <c r="H2857" s="2" t="n">
        <f aca="false">IF(D2857="",0,1/COUNTIF($D$2:$D$3451,D2857))</f>
        <v>1</v>
      </c>
      <c r="I2857" s="13" t="n">
        <f aca="false">IFERROR(INDEX('NCO-2015 scores'!$C$2:$C$131,MATCH(E2857,'NCO-2015 scores'!$A$2:$A$131,0)),0)</f>
        <v>0.15</v>
      </c>
      <c r="J2857" s="13" t="n">
        <f aca="false">IF(ISNUMBER(MATCH(E2857,'NCO-2015 scores'!$A$2:$A$131,0)),IF(ISNUMBER(INDEX('NCO-2015 scores'!$C$2:$C$131,MATCH(E2857,'NCO-2015 scores'!$A$2:$A$131,0))),1,0),0)</f>
        <v>1</v>
      </c>
    </row>
    <row r="2858" customFormat="false" ht="15" hidden="false" customHeight="false" outlineLevel="0" collapsed="false">
      <c r="A2858" s="2" t="n">
        <v>2854</v>
      </c>
      <c r="B2858" s="2" t="s">
        <v>8341</v>
      </c>
      <c r="C2858" s="2" t="s">
        <v>8342</v>
      </c>
      <c r="D2858" s="2" t="s">
        <v>8343</v>
      </c>
      <c r="E2858" s="2" t="str">
        <f aca="false">LEFT(C2858,3)</f>
        <v>753</v>
      </c>
      <c r="F2858" s="2" t="str">
        <f aca="false">IF(D2858="","",LEFT(D2858,3))</f>
        <v>743</v>
      </c>
      <c r="G2858" s="2" t="str">
        <f aca="false">IF(F2858="","",IF(E2858=F2858,"Yes","No"))</f>
        <v>No</v>
      </c>
      <c r="H2858" s="2" t="n">
        <f aca="false">IF(D2858="",0,1/COUNTIF($D$2:$D$3451,D2858))</f>
        <v>1</v>
      </c>
      <c r="I2858" s="13" t="n">
        <f aca="false">IFERROR(INDEX('NCO-2015 scores'!$C$2:$C$131,MATCH(E2858,'NCO-2015 scores'!$A$2:$A$131,0)),0)</f>
        <v>0.15</v>
      </c>
      <c r="J2858" s="13" t="n">
        <f aca="false">IF(ISNUMBER(MATCH(E2858,'NCO-2015 scores'!$A$2:$A$131,0)),IF(ISNUMBER(INDEX('NCO-2015 scores'!$C$2:$C$131,MATCH(E2858,'NCO-2015 scores'!$A$2:$A$131,0))),1,0),0)</f>
        <v>1</v>
      </c>
    </row>
    <row r="2859" customFormat="false" ht="15" hidden="false" customHeight="false" outlineLevel="0" collapsed="false">
      <c r="A2859" s="2" t="n">
        <v>2855</v>
      </c>
      <c r="B2859" s="2" t="s">
        <v>8344</v>
      </c>
      <c r="C2859" s="2" t="s">
        <v>8345</v>
      </c>
      <c r="D2859" s="2" t="s">
        <v>8346</v>
      </c>
      <c r="E2859" s="2" t="str">
        <f aca="false">LEFT(C2859,3)</f>
        <v>753</v>
      </c>
      <c r="F2859" s="2" t="str">
        <f aca="false">IF(D2859="","",LEFT(D2859,3))</f>
        <v>743</v>
      </c>
      <c r="G2859" s="2" t="str">
        <f aca="false">IF(F2859="","",IF(E2859=F2859,"Yes","No"))</f>
        <v>No</v>
      </c>
      <c r="H2859" s="2" t="n">
        <f aca="false">IF(D2859="",0,1/COUNTIF($D$2:$D$3451,D2859))</f>
        <v>1</v>
      </c>
      <c r="I2859" s="13" t="n">
        <f aca="false">IFERROR(INDEX('NCO-2015 scores'!$C$2:$C$131,MATCH(E2859,'NCO-2015 scores'!$A$2:$A$131,0)),0)</f>
        <v>0.15</v>
      </c>
      <c r="J2859" s="13" t="n">
        <f aca="false">IF(ISNUMBER(MATCH(E2859,'NCO-2015 scores'!$A$2:$A$131,0)),IF(ISNUMBER(INDEX('NCO-2015 scores'!$C$2:$C$131,MATCH(E2859,'NCO-2015 scores'!$A$2:$A$131,0))),1,0),0)</f>
        <v>1</v>
      </c>
    </row>
    <row r="2860" customFormat="false" ht="15" hidden="false" customHeight="false" outlineLevel="0" collapsed="false">
      <c r="A2860" s="2" t="n">
        <v>2856</v>
      </c>
      <c r="B2860" s="2" t="s">
        <v>8347</v>
      </c>
      <c r="C2860" s="2" t="s">
        <v>8348</v>
      </c>
      <c r="D2860" s="2" t="s">
        <v>8349</v>
      </c>
      <c r="E2860" s="2" t="str">
        <f aca="false">LEFT(C2860,3)</f>
        <v>721</v>
      </c>
      <c r="F2860" s="2" t="str">
        <f aca="false">IF(D2860="","",LEFT(D2860,3))</f>
        <v>721</v>
      </c>
      <c r="G2860" s="2" t="str">
        <f aca="false">IF(F2860="","",IF(E2860=F2860,"Yes","No"))</f>
        <v>Yes</v>
      </c>
      <c r="H2860" s="2" t="n">
        <f aca="false">IF(D2860="",0,1/COUNTIF($D$2:$D$3451,D2860))</f>
        <v>1</v>
      </c>
      <c r="I2860" s="13" t="n">
        <f aca="false">IFERROR(INDEX('NCO-2015 scores'!$C$2:$C$131,MATCH(E2860,'NCO-2015 scores'!$A$2:$A$131,0)),0)</f>
        <v>0.142</v>
      </c>
      <c r="J2860" s="13" t="n">
        <f aca="false">IF(ISNUMBER(MATCH(E2860,'NCO-2015 scores'!$A$2:$A$131,0)),IF(ISNUMBER(INDEX('NCO-2015 scores'!$C$2:$C$131,MATCH(E2860,'NCO-2015 scores'!$A$2:$A$131,0))),1,0),0)</f>
        <v>1</v>
      </c>
    </row>
    <row r="2861" customFormat="false" ht="15" hidden="false" customHeight="false" outlineLevel="0" collapsed="false">
      <c r="A2861" s="2" t="n">
        <v>2857</v>
      </c>
      <c r="B2861" s="2" t="s">
        <v>8350</v>
      </c>
      <c r="C2861" s="2" t="s">
        <v>8351</v>
      </c>
      <c r="D2861" s="2" t="s">
        <v>8352</v>
      </c>
      <c r="E2861" s="2" t="str">
        <f aca="false">LEFT(C2861,3)</f>
        <v>721</v>
      </c>
      <c r="F2861" s="2" t="str">
        <f aca="false">IF(D2861="","",LEFT(D2861,3))</f>
        <v>721</v>
      </c>
      <c r="G2861" s="2" t="str">
        <f aca="false">IF(F2861="","",IF(E2861=F2861,"Yes","No"))</f>
        <v>Yes</v>
      </c>
      <c r="H2861" s="2" t="n">
        <f aca="false">IF(D2861="",0,1/COUNTIF($D$2:$D$3451,D2861))</f>
        <v>1</v>
      </c>
      <c r="I2861" s="13" t="n">
        <f aca="false">IFERROR(INDEX('NCO-2015 scores'!$C$2:$C$131,MATCH(E2861,'NCO-2015 scores'!$A$2:$A$131,0)),0)</f>
        <v>0.142</v>
      </c>
      <c r="J2861" s="13" t="n">
        <f aca="false">IF(ISNUMBER(MATCH(E2861,'NCO-2015 scores'!$A$2:$A$131,0)),IF(ISNUMBER(INDEX('NCO-2015 scores'!$C$2:$C$131,MATCH(E2861,'NCO-2015 scores'!$A$2:$A$131,0))),1,0),0)</f>
        <v>1</v>
      </c>
    </row>
    <row r="2862" customFormat="false" ht="15" hidden="false" customHeight="false" outlineLevel="0" collapsed="false">
      <c r="A2862" s="2" t="n">
        <v>2858</v>
      </c>
      <c r="B2862" s="2" t="s">
        <v>8353</v>
      </c>
      <c r="C2862" s="2" t="s">
        <v>8354</v>
      </c>
      <c r="D2862" s="2" t="s">
        <v>8355</v>
      </c>
      <c r="E2862" s="2" t="str">
        <f aca="false">LEFT(C2862,3)</f>
        <v>721</v>
      </c>
      <c r="F2862" s="2" t="str">
        <f aca="false">IF(D2862="","",LEFT(D2862,3))</f>
        <v>721</v>
      </c>
      <c r="G2862" s="2" t="str">
        <f aca="false">IF(F2862="","",IF(E2862=F2862,"Yes","No"))</f>
        <v>Yes</v>
      </c>
      <c r="H2862" s="2" t="n">
        <f aca="false">IF(D2862="",0,1/COUNTIF($D$2:$D$3451,D2862))</f>
        <v>1</v>
      </c>
      <c r="I2862" s="13" t="n">
        <f aca="false">IFERROR(INDEX('NCO-2015 scores'!$C$2:$C$131,MATCH(E2862,'NCO-2015 scores'!$A$2:$A$131,0)),0)</f>
        <v>0.142</v>
      </c>
      <c r="J2862" s="13" t="n">
        <f aca="false">IF(ISNUMBER(MATCH(E2862,'NCO-2015 scores'!$A$2:$A$131,0)),IF(ISNUMBER(INDEX('NCO-2015 scores'!$C$2:$C$131,MATCH(E2862,'NCO-2015 scores'!$A$2:$A$131,0))),1,0),0)</f>
        <v>1</v>
      </c>
    </row>
    <row r="2863" customFormat="false" ht="15" hidden="false" customHeight="false" outlineLevel="0" collapsed="false">
      <c r="A2863" s="2" t="n">
        <v>2859</v>
      </c>
      <c r="B2863" s="2" t="s">
        <v>8356</v>
      </c>
      <c r="C2863" s="2" t="s">
        <v>8357</v>
      </c>
      <c r="D2863" s="2" t="s">
        <v>8358</v>
      </c>
      <c r="E2863" s="2" t="str">
        <f aca="false">LEFT(C2863,3)</f>
        <v>721</v>
      </c>
      <c r="F2863" s="2" t="str">
        <f aca="false">IF(D2863="","",LEFT(D2863,3))</f>
        <v>721</v>
      </c>
      <c r="G2863" s="2" t="str">
        <f aca="false">IF(F2863="","",IF(E2863=F2863,"Yes","No"))</f>
        <v>Yes</v>
      </c>
      <c r="H2863" s="2" t="n">
        <f aca="false">IF(D2863="",0,1/COUNTIF($D$2:$D$3451,D2863))</f>
        <v>1</v>
      </c>
      <c r="I2863" s="13" t="n">
        <f aca="false">IFERROR(INDEX('NCO-2015 scores'!$C$2:$C$131,MATCH(E2863,'NCO-2015 scores'!$A$2:$A$131,0)),0)</f>
        <v>0.142</v>
      </c>
      <c r="J2863" s="13" t="n">
        <f aca="false">IF(ISNUMBER(MATCH(E2863,'NCO-2015 scores'!$A$2:$A$131,0)),IF(ISNUMBER(INDEX('NCO-2015 scores'!$C$2:$C$131,MATCH(E2863,'NCO-2015 scores'!$A$2:$A$131,0))),1,0),0)</f>
        <v>1</v>
      </c>
    </row>
    <row r="2864" customFormat="false" ht="15" hidden="false" customHeight="false" outlineLevel="0" collapsed="false">
      <c r="A2864" s="2" t="n">
        <v>2860</v>
      </c>
      <c r="B2864" s="2" t="s">
        <v>8359</v>
      </c>
      <c r="C2864" s="2" t="s">
        <v>8360</v>
      </c>
      <c r="D2864" s="2" t="s">
        <v>8361</v>
      </c>
      <c r="E2864" s="2" t="str">
        <f aca="false">LEFT(C2864,3)</f>
        <v>721</v>
      </c>
      <c r="F2864" s="2" t="str">
        <f aca="false">IF(D2864="","",LEFT(D2864,3))</f>
        <v>721</v>
      </c>
      <c r="G2864" s="2" t="str">
        <f aca="false">IF(F2864="","",IF(E2864=F2864,"Yes","No"))</f>
        <v>Yes</v>
      </c>
      <c r="H2864" s="2" t="n">
        <f aca="false">IF(D2864="",0,1/COUNTIF($D$2:$D$3451,D2864))</f>
        <v>1</v>
      </c>
      <c r="I2864" s="13" t="n">
        <f aca="false">IFERROR(INDEX('NCO-2015 scores'!$C$2:$C$131,MATCH(E2864,'NCO-2015 scores'!$A$2:$A$131,0)),0)</f>
        <v>0.142</v>
      </c>
      <c r="J2864" s="13" t="n">
        <f aca="false">IF(ISNUMBER(MATCH(E2864,'NCO-2015 scores'!$A$2:$A$131,0)),IF(ISNUMBER(INDEX('NCO-2015 scores'!$C$2:$C$131,MATCH(E2864,'NCO-2015 scores'!$A$2:$A$131,0))),1,0),0)</f>
        <v>1</v>
      </c>
    </row>
    <row r="2865" customFormat="false" ht="15" hidden="false" customHeight="false" outlineLevel="0" collapsed="false">
      <c r="A2865" s="2" t="n">
        <v>2861</v>
      </c>
      <c r="B2865" s="2" t="s">
        <v>8362</v>
      </c>
      <c r="C2865" s="2" t="s">
        <v>8363</v>
      </c>
      <c r="D2865" s="2"/>
      <c r="E2865" s="2" t="str">
        <f aca="false">LEFT(C2865,3)</f>
        <v>721</v>
      </c>
      <c r="F2865" s="2" t="str">
        <f aca="false">IF(D2865="","",LEFT(D2865,3))</f>
        <v/>
      </c>
      <c r="G2865" s="2" t="str">
        <f aca="false">IF(F2865="","",IF(E2865=F2865,"Yes","No"))</f>
        <v/>
      </c>
      <c r="H2865" s="2" t="n">
        <f aca="false">IF(D2865="",0,1/COUNTIF($D$2:$D$3451,D2865))</f>
        <v>0</v>
      </c>
      <c r="I2865" s="13" t="n">
        <f aca="false">IFERROR(INDEX('NCO-2015 scores'!$C$2:$C$131,MATCH(E2865,'NCO-2015 scores'!$A$2:$A$131,0)),0)</f>
        <v>0.142</v>
      </c>
      <c r="J2865" s="13" t="n">
        <f aca="false">IF(ISNUMBER(MATCH(E2865,'NCO-2015 scores'!$A$2:$A$131,0)),IF(ISNUMBER(INDEX('NCO-2015 scores'!$C$2:$C$131,MATCH(E2865,'NCO-2015 scores'!$A$2:$A$131,0))),1,0),0)</f>
        <v>1</v>
      </c>
    </row>
    <row r="2866" customFormat="false" ht="15" hidden="false" customHeight="false" outlineLevel="0" collapsed="false">
      <c r="A2866" s="2" t="n">
        <v>2862</v>
      </c>
      <c r="B2866" s="2" t="s">
        <v>8364</v>
      </c>
      <c r="C2866" s="2" t="s">
        <v>8365</v>
      </c>
      <c r="D2866" s="2" t="s">
        <v>8366</v>
      </c>
      <c r="E2866" s="2" t="str">
        <f aca="false">LEFT(C2866,3)</f>
        <v>721</v>
      </c>
      <c r="F2866" s="2" t="str">
        <f aca="false">IF(D2866="","",LEFT(D2866,3))</f>
        <v>721</v>
      </c>
      <c r="G2866" s="2" t="str">
        <f aca="false">IF(F2866="","",IF(E2866=F2866,"Yes","No"))</f>
        <v>Yes</v>
      </c>
      <c r="H2866" s="2" t="n">
        <f aca="false">IF(D2866="",0,1/COUNTIF($D$2:$D$3451,D2866))</f>
        <v>1</v>
      </c>
      <c r="I2866" s="13" t="n">
        <f aca="false">IFERROR(INDEX('NCO-2015 scores'!$C$2:$C$131,MATCH(E2866,'NCO-2015 scores'!$A$2:$A$131,0)),0)</f>
        <v>0.142</v>
      </c>
      <c r="J2866" s="13" t="n">
        <f aca="false">IF(ISNUMBER(MATCH(E2866,'NCO-2015 scores'!$A$2:$A$131,0)),IF(ISNUMBER(INDEX('NCO-2015 scores'!$C$2:$C$131,MATCH(E2866,'NCO-2015 scores'!$A$2:$A$131,0))),1,0),0)</f>
        <v>1</v>
      </c>
    </row>
    <row r="2867" customFormat="false" ht="15" hidden="false" customHeight="false" outlineLevel="0" collapsed="false">
      <c r="A2867" s="2" t="n">
        <v>2863</v>
      </c>
      <c r="B2867" s="2" t="s">
        <v>8367</v>
      </c>
      <c r="C2867" s="2" t="s">
        <v>8368</v>
      </c>
      <c r="D2867" s="2"/>
      <c r="E2867" s="2" t="str">
        <f aca="false">LEFT(C2867,3)</f>
        <v>721</v>
      </c>
      <c r="F2867" s="2" t="str">
        <f aca="false">IF(D2867="","",LEFT(D2867,3))</f>
        <v/>
      </c>
      <c r="G2867" s="2" t="str">
        <f aca="false">IF(F2867="","",IF(E2867=F2867,"Yes","No"))</f>
        <v/>
      </c>
      <c r="H2867" s="2" t="n">
        <f aca="false">IF(D2867="",0,1/COUNTIF($D$2:$D$3451,D2867))</f>
        <v>0</v>
      </c>
      <c r="I2867" s="13" t="n">
        <f aca="false">IFERROR(INDEX('NCO-2015 scores'!$C$2:$C$131,MATCH(E2867,'NCO-2015 scores'!$A$2:$A$131,0)),0)</f>
        <v>0.142</v>
      </c>
      <c r="J2867" s="13" t="n">
        <f aca="false">IF(ISNUMBER(MATCH(E2867,'NCO-2015 scores'!$A$2:$A$131,0)),IF(ISNUMBER(INDEX('NCO-2015 scores'!$C$2:$C$131,MATCH(E2867,'NCO-2015 scores'!$A$2:$A$131,0))),1,0),0)</f>
        <v>1</v>
      </c>
    </row>
    <row r="2868" customFormat="false" ht="15" hidden="false" customHeight="false" outlineLevel="0" collapsed="false">
      <c r="A2868" s="2" t="n">
        <v>2864</v>
      </c>
      <c r="B2868" s="2" t="s">
        <v>8369</v>
      </c>
      <c r="C2868" s="2" t="s">
        <v>8370</v>
      </c>
      <c r="D2868" s="2" t="s">
        <v>8371</v>
      </c>
      <c r="E2868" s="2" t="str">
        <f aca="false">LEFT(C2868,3)</f>
        <v>721</v>
      </c>
      <c r="F2868" s="2" t="str">
        <f aca="false">IF(D2868="","",LEFT(D2868,3))</f>
        <v>721</v>
      </c>
      <c r="G2868" s="2" t="str">
        <f aca="false">IF(F2868="","",IF(E2868=F2868,"Yes","No"))</f>
        <v>Yes</v>
      </c>
      <c r="H2868" s="2" t="n">
        <f aca="false">IF(D2868="",0,1/COUNTIF($D$2:$D$3451,D2868))</f>
        <v>1</v>
      </c>
      <c r="I2868" s="13" t="n">
        <f aca="false">IFERROR(INDEX('NCO-2015 scores'!$C$2:$C$131,MATCH(E2868,'NCO-2015 scores'!$A$2:$A$131,0)),0)</f>
        <v>0.142</v>
      </c>
      <c r="J2868" s="13" t="n">
        <f aca="false">IF(ISNUMBER(MATCH(E2868,'NCO-2015 scores'!$A$2:$A$131,0)),IF(ISNUMBER(INDEX('NCO-2015 scores'!$C$2:$C$131,MATCH(E2868,'NCO-2015 scores'!$A$2:$A$131,0))),1,0),0)</f>
        <v>1</v>
      </c>
    </row>
    <row r="2869" customFormat="false" ht="15" hidden="false" customHeight="false" outlineLevel="0" collapsed="false">
      <c r="A2869" s="2" t="n">
        <v>2865</v>
      </c>
      <c r="B2869" s="2" t="s">
        <v>8372</v>
      </c>
      <c r="C2869" s="2" t="s">
        <v>8373</v>
      </c>
      <c r="D2869" s="2" t="s">
        <v>8374</v>
      </c>
      <c r="E2869" s="2" t="str">
        <f aca="false">LEFT(C2869,3)</f>
        <v>835</v>
      </c>
      <c r="F2869" s="2" t="str">
        <f aca="false">IF(D2869="","",LEFT(D2869,3))</f>
        <v>834</v>
      </c>
      <c r="G2869" s="2" t="str">
        <f aca="false">IF(F2869="","",IF(E2869=F2869,"Yes","No"))</f>
        <v>No</v>
      </c>
      <c r="H2869" s="2" t="n">
        <f aca="false">IF(D2869="",0,1/COUNTIF($D$2:$D$3451,D2869))</f>
        <v>1</v>
      </c>
      <c r="I2869" s="13" t="n">
        <f aca="false">IFERROR(INDEX('NCO-2015 scores'!$C$2:$C$131,MATCH(E2869,'NCO-2015 scores'!$A$2:$A$131,0)),0)</f>
        <v>0.14</v>
      </c>
      <c r="J2869" s="13" t="n">
        <f aca="false">IF(ISNUMBER(MATCH(E2869,'NCO-2015 scores'!$A$2:$A$131,0)),IF(ISNUMBER(INDEX('NCO-2015 scores'!$C$2:$C$131,MATCH(E2869,'NCO-2015 scores'!$A$2:$A$131,0))),1,0),0)</f>
        <v>1</v>
      </c>
    </row>
    <row r="2870" customFormat="false" ht="15" hidden="false" customHeight="false" outlineLevel="0" collapsed="false">
      <c r="A2870" s="2" t="n">
        <v>2866</v>
      </c>
      <c r="B2870" s="2" t="s">
        <v>8375</v>
      </c>
      <c r="C2870" s="2" t="s">
        <v>8376</v>
      </c>
      <c r="D2870" s="2" t="s">
        <v>8377</v>
      </c>
      <c r="E2870" s="2" t="str">
        <f aca="false">LEFT(C2870,3)</f>
        <v>835</v>
      </c>
      <c r="F2870" s="2" t="str">
        <f aca="false">IF(D2870="","",LEFT(D2870,3))</f>
        <v>834</v>
      </c>
      <c r="G2870" s="2" t="str">
        <f aca="false">IF(F2870="","",IF(E2870=F2870,"Yes","No"))</f>
        <v>No</v>
      </c>
      <c r="H2870" s="2" t="n">
        <f aca="false">IF(D2870="",0,1/COUNTIF($D$2:$D$3451,D2870))</f>
        <v>0.5</v>
      </c>
      <c r="I2870" s="13" t="n">
        <f aca="false">IFERROR(INDEX('NCO-2015 scores'!$C$2:$C$131,MATCH(E2870,'NCO-2015 scores'!$A$2:$A$131,0)),0)</f>
        <v>0.14</v>
      </c>
      <c r="J2870" s="13" t="n">
        <f aca="false">IF(ISNUMBER(MATCH(E2870,'NCO-2015 scores'!$A$2:$A$131,0)),IF(ISNUMBER(INDEX('NCO-2015 scores'!$C$2:$C$131,MATCH(E2870,'NCO-2015 scores'!$A$2:$A$131,0))),1,0),0)</f>
        <v>1</v>
      </c>
    </row>
    <row r="2871" customFormat="false" ht="15" hidden="false" customHeight="false" outlineLevel="0" collapsed="false">
      <c r="A2871" s="2" t="n">
        <v>2867</v>
      </c>
      <c r="B2871" s="2" t="s">
        <v>8378</v>
      </c>
      <c r="C2871" s="2" t="s">
        <v>8379</v>
      </c>
      <c r="D2871" s="2" t="s">
        <v>8377</v>
      </c>
      <c r="E2871" s="2" t="str">
        <f aca="false">LEFT(C2871,3)</f>
        <v>835</v>
      </c>
      <c r="F2871" s="2" t="str">
        <f aca="false">IF(D2871="","",LEFT(D2871,3))</f>
        <v>834</v>
      </c>
      <c r="G2871" s="2" t="str">
        <f aca="false">IF(F2871="","",IF(E2871=F2871,"Yes","No"))</f>
        <v>No</v>
      </c>
      <c r="H2871" s="2" t="n">
        <f aca="false">IF(D2871="",0,1/COUNTIF($D$2:$D$3451,D2871))</f>
        <v>0.5</v>
      </c>
      <c r="I2871" s="13" t="n">
        <f aca="false">IFERROR(INDEX('NCO-2015 scores'!$C$2:$C$131,MATCH(E2871,'NCO-2015 scores'!$A$2:$A$131,0)),0)</f>
        <v>0.14</v>
      </c>
      <c r="J2871" s="13" t="n">
        <f aca="false">IF(ISNUMBER(MATCH(E2871,'NCO-2015 scores'!$A$2:$A$131,0)),IF(ISNUMBER(INDEX('NCO-2015 scores'!$C$2:$C$131,MATCH(E2871,'NCO-2015 scores'!$A$2:$A$131,0))),1,0),0)</f>
        <v>1</v>
      </c>
    </row>
    <row r="2872" customFormat="false" ht="15" hidden="false" customHeight="false" outlineLevel="0" collapsed="false">
      <c r="A2872" s="2" t="n">
        <v>2868</v>
      </c>
      <c r="B2872" s="2" t="s">
        <v>8380</v>
      </c>
      <c r="C2872" s="2" t="s">
        <v>8381</v>
      </c>
      <c r="D2872" s="2" t="s">
        <v>8382</v>
      </c>
      <c r="E2872" s="2" t="str">
        <f aca="false">LEFT(C2872,3)</f>
        <v>835</v>
      </c>
      <c r="F2872" s="2" t="str">
        <f aca="false">IF(D2872="","",LEFT(D2872,3))</f>
        <v>834</v>
      </c>
      <c r="G2872" s="2" t="str">
        <f aca="false">IF(F2872="","",IF(E2872=F2872,"Yes","No"))</f>
        <v>No</v>
      </c>
      <c r="H2872" s="2" t="n">
        <f aca="false">IF(D2872="",0,1/COUNTIF($D$2:$D$3451,D2872))</f>
        <v>1</v>
      </c>
      <c r="I2872" s="13" t="n">
        <f aca="false">IFERROR(INDEX('NCO-2015 scores'!$C$2:$C$131,MATCH(E2872,'NCO-2015 scores'!$A$2:$A$131,0)),0)</f>
        <v>0.14</v>
      </c>
      <c r="J2872" s="13" t="n">
        <f aca="false">IF(ISNUMBER(MATCH(E2872,'NCO-2015 scores'!$A$2:$A$131,0)),IF(ISNUMBER(INDEX('NCO-2015 scores'!$C$2:$C$131,MATCH(E2872,'NCO-2015 scores'!$A$2:$A$131,0))),1,0),0)</f>
        <v>1</v>
      </c>
    </row>
    <row r="2873" customFormat="false" ht="15" hidden="false" customHeight="false" outlineLevel="0" collapsed="false">
      <c r="A2873" s="2" t="n">
        <v>2869</v>
      </c>
      <c r="B2873" s="2" t="s">
        <v>8383</v>
      </c>
      <c r="C2873" s="2" t="s">
        <v>8384</v>
      </c>
      <c r="D2873" s="2" t="s">
        <v>8385</v>
      </c>
      <c r="E2873" s="2" t="str">
        <f aca="false">LEFT(C2873,3)</f>
        <v>835</v>
      </c>
      <c r="F2873" s="2" t="str">
        <f aca="false">IF(D2873="","",LEFT(D2873,3))</f>
        <v>834</v>
      </c>
      <c r="G2873" s="2" t="str">
        <f aca="false">IF(F2873="","",IF(E2873=F2873,"Yes","No"))</f>
        <v>No</v>
      </c>
      <c r="H2873" s="2" t="n">
        <f aca="false">IF(D2873="",0,1/COUNTIF($D$2:$D$3451,D2873))</f>
        <v>1</v>
      </c>
      <c r="I2873" s="13" t="n">
        <f aca="false">IFERROR(INDEX('NCO-2015 scores'!$C$2:$C$131,MATCH(E2873,'NCO-2015 scores'!$A$2:$A$131,0)),0)</f>
        <v>0.14</v>
      </c>
      <c r="J2873" s="13" t="n">
        <f aca="false">IF(ISNUMBER(MATCH(E2873,'NCO-2015 scores'!$A$2:$A$131,0)),IF(ISNUMBER(INDEX('NCO-2015 scores'!$C$2:$C$131,MATCH(E2873,'NCO-2015 scores'!$A$2:$A$131,0))),1,0),0)</f>
        <v>1</v>
      </c>
    </row>
    <row r="2874" customFormat="false" ht="15" hidden="false" customHeight="false" outlineLevel="0" collapsed="false">
      <c r="A2874" s="2" t="n">
        <v>2870</v>
      </c>
      <c r="B2874" s="2" t="s">
        <v>8386</v>
      </c>
      <c r="C2874" s="2" t="s">
        <v>8387</v>
      </c>
      <c r="D2874" s="2" t="s">
        <v>8388</v>
      </c>
      <c r="E2874" s="2" t="str">
        <f aca="false">LEFT(C2874,3)</f>
        <v>835</v>
      </c>
      <c r="F2874" s="2" t="str">
        <f aca="false">IF(D2874="","",LEFT(D2874,3))</f>
        <v>834</v>
      </c>
      <c r="G2874" s="2" t="str">
        <f aca="false">IF(F2874="","",IF(E2874=F2874,"Yes","No"))</f>
        <v>No</v>
      </c>
      <c r="H2874" s="2" t="n">
        <f aca="false">IF(D2874="",0,1/COUNTIF($D$2:$D$3451,D2874))</f>
        <v>1</v>
      </c>
      <c r="I2874" s="13" t="n">
        <f aca="false">IFERROR(INDEX('NCO-2015 scores'!$C$2:$C$131,MATCH(E2874,'NCO-2015 scores'!$A$2:$A$131,0)),0)</f>
        <v>0.14</v>
      </c>
      <c r="J2874" s="13" t="n">
        <f aca="false">IF(ISNUMBER(MATCH(E2874,'NCO-2015 scores'!$A$2:$A$131,0)),IF(ISNUMBER(INDEX('NCO-2015 scores'!$C$2:$C$131,MATCH(E2874,'NCO-2015 scores'!$A$2:$A$131,0))),1,0),0)</f>
        <v>1</v>
      </c>
    </row>
    <row r="2875" customFormat="false" ht="15" hidden="false" customHeight="false" outlineLevel="0" collapsed="false">
      <c r="A2875" s="2" t="n">
        <v>2871</v>
      </c>
      <c r="B2875" s="2" t="s">
        <v>8389</v>
      </c>
      <c r="C2875" s="2" t="s">
        <v>8390</v>
      </c>
      <c r="D2875" s="2" t="s">
        <v>8391</v>
      </c>
      <c r="E2875" s="2" t="str">
        <f aca="false">LEFT(C2875,3)</f>
        <v>835</v>
      </c>
      <c r="F2875" s="2" t="str">
        <f aca="false">IF(D2875="","",LEFT(D2875,3))</f>
        <v>834</v>
      </c>
      <c r="G2875" s="2" t="str">
        <f aca="false">IF(F2875="","",IF(E2875=F2875,"Yes","No"))</f>
        <v>No</v>
      </c>
      <c r="H2875" s="2" t="n">
        <f aca="false">IF(D2875="",0,1/COUNTIF($D$2:$D$3451,D2875))</f>
        <v>1</v>
      </c>
      <c r="I2875" s="13" t="n">
        <f aca="false">IFERROR(INDEX('NCO-2015 scores'!$C$2:$C$131,MATCH(E2875,'NCO-2015 scores'!$A$2:$A$131,0)),0)</f>
        <v>0.14</v>
      </c>
      <c r="J2875" s="13" t="n">
        <f aca="false">IF(ISNUMBER(MATCH(E2875,'NCO-2015 scores'!$A$2:$A$131,0)),IF(ISNUMBER(INDEX('NCO-2015 scores'!$C$2:$C$131,MATCH(E2875,'NCO-2015 scores'!$A$2:$A$131,0))),1,0),0)</f>
        <v>1</v>
      </c>
    </row>
    <row r="2876" customFormat="false" ht="15" hidden="false" customHeight="false" outlineLevel="0" collapsed="false">
      <c r="A2876" s="2" t="n">
        <v>2872</v>
      </c>
      <c r="B2876" s="2" t="s">
        <v>8392</v>
      </c>
      <c r="C2876" s="2" t="s">
        <v>8393</v>
      </c>
      <c r="D2876" s="2" t="s">
        <v>8394</v>
      </c>
      <c r="E2876" s="2" t="str">
        <f aca="false">LEFT(C2876,3)</f>
        <v>835</v>
      </c>
      <c r="F2876" s="2" t="str">
        <f aca="false">IF(D2876="","",LEFT(D2876,3))</f>
        <v>834</v>
      </c>
      <c r="G2876" s="2" t="str">
        <f aca="false">IF(F2876="","",IF(E2876=F2876,"Yes","No"))</f>
        <v>No</v>
      </c>
      <c r="H2876" s="2" t="n">
        <f aca="false">IF(D2876="",0,1/COUNTIF($D$2:$D$3451,D2876))</f>
        <v>1</v>
      </c>
      <c r="I2876" s="13" t="n">
        <f aca="false">IFERROR(INDEX('NCO-2015 scores'!$C$2:$C$131,MATCH(E2876,'NCO-2015 scores'!$A$2:$A$131,0)),0)</f>
        <v>0.14</v>
      </c>
      <c r="J2876" s="13" t="n">
        <f aca="false">IF(ISNUMBER(MATCH(E2876,'NCO-2015 scores'!$A$2:$A$131,0)),IF(ISNUMBER(INDEX('NCO-2015 scores'!$C$2:$C$131,MATCH(E2876,'NCO-2015 scores'!$A$2:$A$131,0))),1,0),0)</f>
        <v>1</v>
      </c>
    </row>
    <row r="2877" customFormat="false" ht="15" hidden="false" customHeight="false" outlineLevel="0" collapsed="false">
      <c r="A2877" s="2" t="n">
        <v>2873</v>
      </c>
      <c r="B2877" s="2" t="s">
        <v>8395</v>
      </c>
      <c r="C2877" s="2" t="s">
        <v>8396</v>
      </c>
      <c r="D2877" s="2" t="s">
        <v>8397</v>
      </c>
      <c r="E2877" s="2" t="str">
        <f aca="false">LEFT(C2877,3)</f>
        <v>315</v>
      </c>
      <c r="F2877" s="2" t="str">
        <f aca="false">IF(D2877="","",LEFT(D2877,3))</f>
        <v>314</v>
      </c>
      <c r="G2877" s="2" t="str">
        <f aca="false">IF(F2877="","",IF(E2877=F2877,"Yes","No"))</f>
        <v>No</v>
      </c>
      <c r="H2877" s="2" t="n">
        <f aca="false">IF(D2877="",0,1/COUNTIF($D$2:$D$3451,D2877))</f>
        <v>1</v>
      </c>
      <c r="I2877" s="13" t="n">
        <f aca="false">IFERROR(INDEX('NCO-2015 scores'!$C$2:$C$131,MATCH(E2877,'NCO-2015 scores'!$A$2:$A$131,0)),0)</f>
        <v>0.288</v>
      </c>
      <c r="J2877" s="13" t="n">
        <f aca="false">IF(ISNUMBER(MATCH(E2877,'NCO-2015 scores'!$A$2:$A$131,0)),IF(ISNUMBER(INDEX('NCO-2015 scores'!$C$2:$C$131,MATCH(E2877,'NCO-2015 scores'!$A$2:$A$131,0))),1,0),0)</f>
        <v>1</v>
      </c>
    </row>
    <row r="2878" customFormat="false" ht="15" hidden="false" customHeight="false" outlineLevel="0" collapsed="false">
      <c r="A2878" s="2" t="n">
        <v>2874</v>
      </c>
      <c r="B2878" s="2" t="s">
        <v>8398</v>
      </c>
      <c r="C2878" s="2" t="s">
        <v>8399</v>
      </c>
      <c r="D2878" s="2" t="s">
        <v>8400</v>
      </c>
      <c r="E2878" s="2" t="str">
        <f aca="false">LEFT(C2878,3)</f>
        <v>315</v>
      </c>
      <c r="F2878" s="2" t="str">
        <f aca="false">IF(D2878="","",LEFT(D2878,3))</f>
        <v>314</v>
      </c>
      <c r="G2878" s="2" t="str">
        <f aca="false">IF(F2878="","",IF(E2878=F2878,"Yes","No"))</f>
        <v>No</v>
      </c>
      <c r="H2878" s="2" t="n">
        <f aca="false">IF(D2878="",0,1/COUNTIF($D$2:$D$3451,D2878))</f>
        <v>1</v>
      </c>
      <c r="I2878" s="13" t="n">
        <f aca="false">IFERROR(INDEX('NCO-2015 scores'!$C$2:$C$131,MATCH(E2878,'NCO-2015 scores'!$A$2:$A$131,0)),0)</f>
        <v>0.288</v>
      </c>
      <c r="J2878" s="13" t="n">
        <f aca="false">IF(ISNUMBER(MATCH(E2878,'NCO-2015 scores'!$A$2:$A$131,0)),IF(ISNUMBER(INDEX('NCO-2015 scores'!$C$2:$C$131,MATCH(E2878,'NCO-2015 scores'!$A$2:$A$131,0))),1,0),0)</f>
        <v>1</v>
      </c>
    </row>
    <row r="2879" customFormat="false" ht="15" hidden="false" customHeight="false" outlineLevel="0" collapsed="false">
      <c r="A2879" s="2" t="n">
        <v>2875</v>
      </c>
      <c r="B2879" s="2" t="s">
        <v>8401</v>
      </c>
      <c r="C2879" s="2" t="s">
        <v>8402</v>
      </c>
      <c r="D2879" s="2" t="s">
        <v>8403</v>
      </c>
      <c r="E2879" s="2" t="str">
        <f aca="false">LEFT(C2879,3)</f>
        <v>315</v>
      </c>
      <c r="F2879" s="2" t="str">
        <f aca="false">IF(D2879="","",LEFT(D2879,3))</f>
        <v>314</v>
      </c>
      <c r="G2879" s="2" t="str">
        <f aca="false">IF(F2879="","",IF(E2879=F2879,"Yes","No"))</f>
        <v>No</v>
      </c>
      <c r="H2879" s="2" t="n">
        <f aca="false">IF(D2879="",0,1/COUNTIF($D$2:$D$3451,D2879))</f>
        <v>1</v>
      </c>
      <c r="I2879" s="13" t="n">
        <f aca="false">IFERROR(INDEX('NCO-2015 scores'!$C$2:$C$131,MATCH(E2879,'NCO-2015 scores'!$A$2:$A$131,0)),0)</f>
        <v>0.288</v>
      </c>
      <c r="J2879" s="13" t="n">
        <f aca="false">IF(ISNUMBER(MATCH(E2879,'NCO-2015 scores'!$A$2:$A$131,0)),IF(ISNUMBER(INDEX('NCO-2015 scores'!$C$2:$C$131,MATCH(E2879,'NCO-2015 scores'!$A$2:$A$131,0))),1,0),0)</f>
        <v>1</v>
      </c>
    </row>
    <row r="2880" customFormat="false" ht="15" hidden="false" customHeight="false" outlineLevel="0" collapsed="false">
      <c r="A2880" s="2" t="n">
        <v>2876</v>
      </c>
      <c r="B2880" s="2" t="s">
        <v>8404</v>
      </c>
      <c r="C2880" s="2" t="s">
        <v>8405</v>
      </c>
      <c r="D2880" s="2" t="s">
        <v>8406</v>
      </c>
      <c r="E2880" s="2" t="str">
        <f aca="false">LEFT(C2880,3)</f>
        <v>315</v>
      </c>
      <c r="F2880" s="2" t="str">
        <f aca="false">IF(D2880="","",LEFT(D2880,3))</f>
        <v>314</v>
      </c>
      <c r="G2880" s="2" t="str">
        <f aca="false">IF(F2880="","",IF(E2880=F2880,"Yes","No"))</f>
        <v>No</v>
      </c>
      <c r="H2880" s="2" t="n">
        <f aca="false">IF(D2880="",0,1/COUNTIF($D$2:$D$3451,D2880))</f>
        <v>1</v>
      </c>
      <c r="I2880" s="13" t="n">
        <f aca="false">IFERROR(INDEX('NCO-2015 scores'!$C$2:$C$131,MATCH(E2880,'NCO-2015 scores'!$A$2:$A$131,0)),0)</f>
        <v>0.288</v>
      </c>
      <c r="J2880" s="13" t="n">
        <f aca="false">IF(ISNUMBER(MATCH(E2880,'NCO-2015 scores'!$A$2:$A$131,0)),IF(ISNUMBER(INDEX('NCO-2015 scores'!$C$2:$C$131,MATCH(E2880,'NCO-2015 scores'!$A$2:$A$131,0))),1,0),0)</f>
        <v>1</v>
      </c>
    </row>
    <row r="2881" customFormat="false" ht="15" hidden="false" customHeight="false" outlineLevel="0" collapsed="false">
      <c r="A2881" s="2" t="n">
        <v>2877</v>
      </c>
      <c r="B2881" s="2" t="s">
        <v>8407</v>
      </c>
      <c r="C2881" s="2" t="s">
        <v>8408</v>
      </c>
      <c r="D2881" s="2" t="s">
        <v>8409</v>
      </c>
      <c r="E2881" s="2" t="str">
        <f aca="false">LEFT(C2881,3)</f>
        <v>315</v>
      </c>
      <c r="F2881" s="2" t="str">
        <f aca="false">IF(D2881="","",LEFT(D2881,3))</f>
        <v>314</v>
      </c>
      <c r="G2881" s="2" t="str">
        <f aca="false">IF(F2881="","",IF(E2881=F2881,"Yes","No"))</f>
        <v>No</v>
      </c>
      <c r="H2881" s="2" t="n">
        <f aca="false">IF(D2881="",0,1/COUNTIF($D$2:$D$3451,D2881))</f>
        <v>1</v>
      </c>
      <c r="I2881" s="13" t="n">
        <f aca="false">IFERROR(INDEX('NCO-2015 scores'!$C$2:$C$131,MATCH(E2881,'NCO-2015 scores'!$A$2:$A$131,0)),0)</f>
        <v>0.288</v>
      </c>
      <c r="J2881" s="13" t="n">
        <f aca="false">IF(ISNUMBER(MATCH(E2881,'NCO-2015 scores'!$A$2:$A$131,0)),IF(ISNUMBER(INDEX('NCO-2015 scores'!$C$2:$C$131,MATCH(E2881,'NCO-2015 scores'!$A$2:$A$131,0))),1,0),0)</f>
        <v>1</v>
      </c>
    </row>
    <row r="2882" customFormat="false" ht="15" hidden="false" customHeight="false" outlineLevel="0" collapsed="false">
      <c r="A2882" s="2" t="n">
        <v>2878</v>
      </c>
      <c r="B2882" s="2" t="s">
        <v>8410</v>
      </c>
      <c r="C2882" s="2" t="s">
        <v>8411</v>
      </c>
      <c r="D2882" s="2" t="s">
        <v>8412</v>
      </c>
      <c r="E2882" s="2" t="str">
        <f aca="false">LEFT(C2882,3)</f>
        <v>315</v>
      </c>
      <c r="F2882" s="2" t="str">
        <f aca="false">IF(D2882="","",LEFT(D2882,3))</f>
        <v>314</v>
      </c>
      <c r="G2882" s="2" t="str">
        <f aca="false">IF(F2882="","",IF(E2882=F2882,"Yes","No"))</f>
        <v>No</v>
      </c>
      <c r="H2882" s="2" t="n">
        <f aca="false">IF(D2882="",0,1/COUNTIF($D$2:$D$3451,D2882))</f>
        <v>1</v>
      </c>
      <c r="I2882" s="13" t="n">
        <f aca="false">IFERROR(INDEX('NCO-2015 scores'!$C$2:$C$131,MATCH(E2882,'NCO-2015 scores'!$A$2:$A$131,0)),0)</f>
        <v>0.288</v>
      </c>
      <c r="J2882" s="13" t="n">
        <f aca="false">IF(ISNUMBER(MATCH(E2882,'NCO-2015 scores'!$A$2:$A$131,0)),IF(ISNUMBER(INDEX('NCO-2015 scores'!$C$2:$C$131,MATCH(E2882,'NCO-2015 scores'!$A$2:$A$131,0))),1,0),0)</f>
        <v>1</v>
      </c>
    </row>
    <row r="2883" customFormat="false" ht="15" hidden="false" customHeight="false" outlineLevel="0" collapsed="false">
      <c r="A2883" s="2" t="n">
        <v>2879</v>
      </c>
      <c r="B2883" s="2" t="s">
        <v>8413</v>
      </c>
      <c r="C2883" s="2" t="s">
        <v>8414</v>
      </c>
      <c r="D2883" s="2" t="s">
        <v>8415</v>
      </c>
      <c r="E2883" s="2" t="str">
        <f aca="false">LEFT(C2883,3)</f>
        <v>315</v>
      </c>
      <c r="F2883" s="2" t="str">
        <f aca="false">IF(D2883="","",LEFT(D2883,3))</f>
        <v>314</v>
      </c>
      <c r="G2883" s="2" t="str">
        <f aca="false">IF(F2883="","",IF(E2883=F2883,"Yes","No"))</f>
        <v>No</v>
      </c>
      <c r="H2883" s="2" t="n">
        <f aca="false">IF(D2883="",0,1/COUNTIF($D$2:$D$3451,D2883))</f>
        <v>1</v>
      </c>
      <c r="I2883" s="13" t="n">
        <f aca="false">IFERROR(INDEX('NCO-2015 scores'!$C$2:$C$131,MATCH(E2883,'NCO-2015 scores'!$A$2:$A$131,0)),0)</f>
        <v>0.288</v>
      </c>
      <c r="J2883" s="13" t="n">
        <f aca="false">IF(ISNUMBER(MATCH(E2883,'NCO-2015 scores'!$A$2:$A$131,0)),IF(ISNUMBER(INDEX('NCO-2015 scores'!$C$2:$C$131,MATCH(E2883,'NCO-2015 scores'!$A$2:$A$131,0))),1,0),0)</f>
        <v>1</v>
      </c>
    </row>
    <row r="2884" customFormat="false" ht="15" hidden="false" customHeight="false" outlineLevel="0" collapsed="false">
      <c r="A2884" s="2" t="n">
        <v>2880</v>
      </c>
      <c r="B2884" s="2" t="s">
        <v>8416</v>
      </c>
      <c r="C2884" s="2" t="s">
        <v>8417</v>
      </c>
      <c r="D2884" s="2" t="s">
        <v>8418</v>
      </c>
      <c r="E2884" s="2" t="str">
        <f aca="false">LEFT(C2884,3)</f>
        <v>315</v>
      </c>
      <c r="F2884" s="2" t="str">
        <f aca="false">IF(D2884="","",LEFT(D2884,3))</f>
        <v>314</v>
      </c>
      <c r="G2884" s="2" t="str">
        <f aca="false">IF(F2884="","",IF(E2884=F2884,"Yes","No"))</f>
        <v>No</v>
      </c>
      <c r="H2884" s="2" t="n">
        <f aca="false">IF(D2884="",0,1/COUNTIF($D$2:$D$3451,D2884))</f>
        <v>1</v>
      </c>
      <c r="I2884" s="13" t="n">
        <f aca="false">IFERROR(INDEX('NCO-2015 scores'!$C$2:$C$131,MATCH(E2884,'NCO-2015 scores'!$A$2:$A$131,0)),0)</f>
        <v>0.288</v>
      </c>
      <c r="J2884" s="13" t="n">
        <f aca="false">IF(ISNUMBER(MATCH(E2884,'NCO-2015 scores'!$A$2:$A$131,0)),IF(ISNUMBER(INDEX('NCO-2015 scores'!$C$2:$C$131,MATCH(E2884,'NCO-2015 scores'!$A$2:$A$131,0))),1,0),0)</f>
        <v>1</v>
      </c>
    </row>
    <row r="2885" customFormat="false" ht="15" hidden="false" customHeight="false" outlineLevel="0" collapsed="false">
      <c r="A2885" s="2" t="n">
        <v>2881</v>
      </c>
      <c r="B2885" s="2" t="s">
        <v>8419</v>
      </c>
      <c r="C2885" s="2" t="s">
        <v>8420</v>
      </c>
      <c r="D2885" s="2" t="s">
        <v>8421</v>
      </c>
      <c r="E2885" s="2" t="str">
        <f aca="false">LEFT(C2885,3)</f>
        <v>315</v>
      </c>
      <c r="F2885" s="2" t="str">
        <f aca="false">IF(D2885="","",LEFT(D2885,3))</f>
        <v>314</v>
      </c>
      <c r="G2885" s="2" t="str">
        <f aca="false">IF(F2885="","",IF(E2885=F2885,"Yes","No"))</f>
        <v>No</v>
      </c>
      <c r="H2885" s="2" t="n">
        <f aca="false">IF(D2885="",0,1/COUNTIF($D$2:$D$3451,D2885))</f>
        <v>1</v>
      </c>
      <c r="I2885" s="13" t="n">
        <f aca="false">IFERROR(INDEX('NCO-2015 scores'!$C$2:$C$131,MATCH(E2885,'NCO-2015 scores'!$A$2:$A$131,0)),0)</f>
        <v>0.288</v>
      </c>
      <c r="J2885" s="13" t="n">
        <f aca="false">IF(ISNUMBER(MATCH(E2885,'NCO-2015 scores'!$A$2:$A$131,0)),IF(ISNUMBER(INDEX('NCO-2015 scores'!$C$2:$C$131,MATCH(E2885,'NCO-2015 scores'!$A$2:$A$131,0))),1,0),0)</f>
        <v>1</v>
      </c>
    </row>
    <row r="2886" customFormat="false" ht="15" hidden="false" customHeight="false" outlineLevel="0" collapsed="false">
      <c r="A2886" s="2" t="n">
        <v>2882</v>
      </c>
      <c r="B2886" s="2" t="s">
        <v>8422</v>
      </c>
      <c r="C2886" s="2" t="s">
        <v>8423</v>
      </c>
      <c r="D2886" s="2" t="s">
        <v>8424</v>
      </c>
      <c r="E2886" s="2" t="str">
        <f aca="false">LEFT(C2886,3)</f>
        <v>315</v>
      </c>
      <c r="F2886" s="2" t="str">
        <f aca="false">IF(D2886="","",LEFT(D2886,3))</f>
        <v>314</v>
      </c>
      <c r="G2886" s="2" t="str">
        <f aca="false">IF(F2886="","",IF(E2886=F2886,"Yes","No"))</f>
        <v>No</v>
      </c>
      <c r="H2886" s="2" t="n">
        <f aca="false">IF(D2886="",0,1/COUNTIF($D$2:$D$3451,D2886))</f>
        <v>1</v>
      </c>
      <c r="I2886" s="13" t="n">
        <f aca="false">IFERROR(INDEX('NCO-2015 scores'!$C$2:$C$131,MATCH(E2886,'NCO-2015 scores'!$A$2:$A$131,0)),0)</f>
        <v>0.288</v>
      </c>
      <c r="J2886" s="13" t="n">
        <f aca="false">IF(ISNUMBER(MATCH(E2886,'NCO-2015 scores'!$A$2:$A$131,0)),IF(ISNUMBER(INDEX('NCO-2015 scores'!$C$2:$C$131,MATCH(E2886,'NCO-2015 scores'!$A$2:$A$131,0))),1,0),0)</f>
        <v>1</v>
      </c>
    </row>
    <row r="2887" customFormat="false" ht="15" hidden="false" customHeight="false" outlineLevel="0" collapsed="false">
      <c r="A2887" s="2" t="n">
        <v>2883</v>
      </c>
      <c r="B2887" s="2" t="s">
        <v>8425</v>
      </c>
      <c r="C2887" s="2" t="s">
        <v>8426</v>
      </c>
      <c r="D2887" s="2" t="s">
        <v>8427</v>
      </c>
      <c r="E2887" s="2" t="str">
        <f aca="false">LEFT(C2887,3)</f>
        <v>315</v>
      </c>
      <c r="F2887" s="2" t="str">
        <f aca="false">IF(D2887="","",LEFT(D2887,3))</f>
        <v>314</v>
      </c>
      <c r="G2887" s="2" t="str">
        <f aca="false">IF(F2887="","",IF(E2887=F2887,"Yes","No"))</f>
        <v>No</v>
      </c>
      <c r="H2887" s="2" t="n">
        <f aca="false">IF(D2887="",0,1/COUNTIF($D$2:$D$3451,D2887))</f>
        <v>1</v>
      </c>
      <c r="I2887" s="13" t="n">
        <f aca="false">IFERROR(INDEX('NCO-2015 scores'!$C$2:$C$131,MATCH(E2887,'NCO-2015 scores'!$A$2:$A$131,0)),0)</f>
        <v>0.288</v>
      </c>
      <c r="J2887" s="13" t="n">
        <f aca="false">IF(ISNUMBER(MATCH(E2887,'NCO-2015 scores'!$A$2:$A$131,0)),IF(ISNUMBER(INDEX('NCO-2015 scores'!$C$2:$C$131,MATCH(E2887,'NCO-2015 scores'!$A$2:$A$131,0))),1,0),0)</f>
        <v>1</v>
      </c>
    </row>
    <row r="2888" customFormat="false" ht="15" hidden="false" customHeight="false" outlineLevel="0" collapsed="false">
      <c r="A2888" s="2" t="n">
        <v>2884</v>
      </c>
      <c r="B2888" s="2" t="s">
        <v>8428</v>
      </c>
      <c r="C2888" s="2" t="s">
        <v>8429</v>
      </c>
      <c r="D2888" s="2" t="s">
        <v>8430</v>
      </c>
      <c r="E2888" s="2" t="str">
        <f aca="false">LEFT(C2888,3)</f>
        <v>315</v>
      </c>
      <c r="F2888" s="2" t="str">
        <f aca="false">IF(D2888="","",LEFT(D2888,3))</f>
        <v>314</v>
      </c>
      <c r="G2888" s="2" t="str">
        <f aca="false">IF(F2888="","",IF(E2888=F2888,"Yes","No"))</f>
        <v>No</v>
      </c>
      <c r="H2888" s="2" t="n">
        <f aca="false">IF(D2888="",0,1/COUNTIF($D$2:$D$3451,D2888))</f>
        <v>1</v>
      </c>
      <c r="I2888" s="13" t="n">
        <f aca="false">IFERROR(INDEX('NCO-2015 scores'!$C$2:$C$131,MATCH(E2888,'NCO-2015 scores'!$A$2:$A$131,0)),0)</f>
        <v>0.288</v>
      </c>
      <c r="J2888" s="13" t="n">
        <f aca="false">IF(ISNUMBER(MATCH(E2888,'NCO-2015 scores'!$A$2:$A$131,0)),IF(ISNUMBER(INDEX('NCO-2015 scores'!$C$2:$C$131,MATCH(E2888,'NCO-2015 scores'!$A$2:$A$131,0))),1,0),0)</f>
        <v>1</v>
      </c>
    </row>
    <row r="2889" customFormat="false" ht="15" hidden="false" customHeight="false" outlineLevel="0" collapsed="false">
      <c r="A2889" s="2" t="n">
        <v>2885</v>
      </c>
      <c r="B2889" s="2" t="s">
        <v>8431</v>
      </c>
      <c r="C2889" s="2" t="s">
        <v>8432</v>
      </c>
      <c r="D2889" s="2" t="s">
        <v>8433</v>
      </c>
      <c r="E2889" s="2" t="str">
        <f aca="false">LEFT(C2889,3)</f>
        <v>315</v>
      </c>
      <c r="F2889" s="2" t="str">
        <f aca="false">IF(D2889="","",LEFT(D2889,3))</f>
        <v>314</v>
      </c>
      <c r="G2889" s="2" t="str">
        <f aca="false">IF(F2889="","",IF(E2889=F2889,"Yes","No"))</f>
        <v>No</v>
      </c>
      <c r="H2889" s="2" t="n">
        <f aca="false">IF(D2889="",0,1/COUNTIF($D$2:$D$3451,D2889))</f>
        <v>1</v>
      </c>
      <c r="I2889" s="13" t="n">
        <f aca="false">IFERROR(INDEX('NCO-2015 scores'!$C$2:$C$131,MATCH(E2889,'NCO-2015 scores'!$A$2:$A$131,0)),0)</f>
        <v>0.288</v>
      </c>
      <c r="J2889" s="13" t="n">
        <f aca="false">IF(ISNUMBER(MATCH(E2889,'NCO-2015 scores'!$A$2:$A$131,0)),IF(ISNUMBER(INDEX('NCO-2015 scores'!$C$2:$C$131,MATCH(E2889,'NCO-2015 scores'!$A$2:$A$131,0))),1,0),0)</f>
        <v>1</v>
      </c>
    </row>
    <row r="2890" customFormat="false" ht="15" hidden="false" customHeight="false" outlineLevel="0" collapsed="false">
      <c r="A2890" s="2" t="n">
        <v>2886</v>
      </c>
      <c r="B2890" s="2" t="s">
        <v>8434</v>
      </c>
      <c r="C2890" s="2" t="s">
        <v>8435</v>
      </c>
      <c r="D2890" s="2" t="s">
        <v>8436</v>
      </c>
      <c r="E2890" s="2" t="str">
        <f aca="false">LEFT(C2890,3)</f>
        <v>315</v>
      </c>
      <c r="F2890" s="2" t="str">
        <f aca="false">IF(D2890="","",LEFT(D2890,3))</f>
        <v>314</v>
      </c>
      <c r="G2890" s="2" t="str">
        <f aca="false">IF(F2890="","",IF(E2890=F2890,"Yes","No"))</f>
        <v>No</v>
      </c>
      <c r="H2890" s="2" t="n">
        <f aca="false">IF(D2890="",0,1/COUNTIF($D$2:$D$3451,D2890))</f>
        <v>1</v>
      </c>
      <c r="I2890" s="13" t="n">
        <f aca="false">IFERROR(INDEX('NCO-2015 scores'!$C$2:$C$131,MATCH(E2890,'NCO-2015 scores'!$A$2:$A$131,0)),0)</f>
        <v>0.288</v>
      </c>
      <c r="J2890" s="13" t="n">
        <f aca="false">IF(ISNUMBER(MATCH(E2890,'NCO-2015 scores'!$A$2:$A$131,0)),IF(ISNUMBER(INDEX('NCO-2015 scores'!$C$2:$C$131,MATCH(E2890,'NCO-2015 scores'!$A$2:$A$131,0))),1,0),0)</f>
        <v>1</v>
      </c>
    </row>
    <row r="2891" customFormat="false" ht="15" hidden="false" customHeight="false" outlineLevel="0" collapsed="false">
      <c r="A2891" s="2" t="n">
        <v>2887</v>
      </c>
      <c r="B2891" s="2" t="s">
        <v>8437</v>
      </c>
      <c r="C2891" s="2" t="s">
        <v>8438</v>
      </c>
      <c r="D2891" s="2" t="s">
        <v>8439</v>
      </c>
      <c r="E2891" s="2" t="str">
        <f aca="false">LEFT(C2891,3)</f>
        <v>815</v>
      </c>
      <c r="F2891" s="2" t="str">
        <f aca="false">IF(D2891="","",LEFT(D2891,3))</f>
        <v>826</v>
      </c>
      <c r="G2891" s="2" t="str">
        <f aca="false">IF(F2891="","",IF(E2891=F2891,"Yes","No"))</f>
        <v>No</v>
      </c>
      <c r="H2891" s="2" t="n">
        <f aca="false">IF(D2891="",0,1/COUNTIF($D$2:$D$3451,D2891))</f>
        <v>1</v>
      </c>
      <c r="I2891" s="13" t="n">
        <f aca="false">IFERROR(INDEX('NCO-2015 scores'!$C$2:$C$131,MATCH(E2891,'NCO-2015 scores'!$A$2:$A$131,0)),0)</f>
        <v>0.1625</v>
      </c>
      <c r="J2891" s="13" t="n">
        <f aca="false">IF(ISNUMBER(MATCH(E2891,'NCO-2015 scores'!$A$2:$A$131,0)),IF(ISNUMBER(INDEX('NCO-2015 scores'!$C$2:$C$131,MATCH(E2891,'NCO-2015 scores'!$A$2:$A$131,0))),1,0),0)</f>
        <v>1</v>
      </c>
    </row>
    <row r="2892" customFormat="false" ht="15" hidden="false" customHeight="false" outlineLevel="0" collapsed="false">
      <c r="A2892" s="2" t="n">
        <v>2888</v>
      </c>
      <c r="B2892" s="2" t="s">
        <v>8440</v>
      </c>
      <c r="C2892" s="2" t="s">
        <v>8441</v>
      </c>
      <c r="D2892" s="2" t="s">
        <v>8442</v>
      </c>
      <c r="E2892" s="2" t="str">
        <f aca="false">LEFT(C2892,3)</f>
        <v>815</v>
      </c>
      <c r="F2892" s="2" t="str">
        <f aca="false">IF(D2892="","",LEFT(D2892,3))</f>
        <v>826</v>
      </c>
      <c r="G2892" s="2" t="str">
        <f aca="false">IF(F2892="","",IF(E2892=F2892,"Yes","No"))</f>
        <v>No</v>
      </c>
      <c r="H2892" s="2" t="n">
        <f aca="false">IF(D2892="",0,1/COUNTIF($D$2:$D$3451,D2892))</f>
        <v>1</v>
      </c>
      <c r="I2892" s="13" t="n">
        <f aca="false">IFERROR(INDEX('NCO-2015 scores'!$C$2:$C$131,MATCH(E2892,'NCO-2015 scores'!$A$2:$A$131,0)),0)</f>
        <v>0.1625</v>
      </c>
      <c r="J2892" s="13" t="n">
        <f aca="false">IF(ISNUMBER(MATCH(E2892,'NCO-2015 scores'!$A$2:$A$131,0)),IF(ISNUMBER(INDEX('NCO-2015 scores'!$C$2:$C$131,MATCH(E2892,'NCO-2015 scores'!$A$2:$A$131,0))),1,0),0)</f>
        <v>1</v>
      </c>
    </row>
    <row r="2893" customFormat="false" ht="15" hidden="false" customHeight="false" outlineLevel="0" collapsed="false">
      <c r="A2893" s="2" t="n">
        <v>2889</v>
      </c>
      <c r="B2893" s="2" t="s">
        <v>8443</v>
      </c>
      <c r="C2893" s="2" t="s">
        <v>8444</v>
      </c>
      <c r="D2893" s="2" t="s">
        <v>8445</v>
      </c>
      <c r="E2893" s="2" t="str">
        <f aca="false">LEFT(C2893,3)</f>
        <v>815</v>
      </c>
      <c r="F2893" s="2" t="str">
        <f aca="false">IF(D2893="","",LEFT(D2893,3))</f>
        <v>826</v>
      </c>
      <c r="G2893" s="2" t="str">
        <f aca="false">IF(F2893="","",IF(E2893=F2893,"Yes","No"))</f>
        <v>No</v>
      </c>
      <c r="H2893" s="2" t="n">
        <f aca="false">IF(D2893="",0,1/COUNTIF($D$2:$D$3451,D2893))</f>
        <v>1</v>
      </c>
      <c r="I2893" s="13" t="n">
        <f aca="false">IFERROR(INDEX('NCO-2015 scores'!$C$2:$C$131,MATCH(E2893,'NCO-2015 scores'!$A$2:$A$131,0)),0)</f>
        <v>0.1625</v>
      </c>
      <c r="J2893" s="13" t="n">
        <f aca="false">IF(ISNUMBER(MATCH(E2893,'NCO-2015 scores'!$A$2:$A$131,0)),IF(ISNUMBER(INDEX('NCO-2015 scores'!$C$2:$C$131,MATCH(E2893,'NCO-2015 scores'!$A$2:$A$131,0))),1,0),0)</f>
        <v>1</v>
      </c>
    </row>
    <row r="2894" customFormat="false" ht="15" hidden="false" customHeight="false" outlineLevel="0" collapsed="false">
      <c r="A2894" s="2" t="n">
        <v>2890</v>
      </c>
      <c r="B2894" s="2" t="s">
        <v>8446</v>
      </c>
      <c r="C2894" s="2" t="s">
        <v>8447</v>
      </c>
      <c r="D2894" s="2" t="s">
        <v>8448</v>
      </c>
      <c r="E2894" s="2" t="str">
        <f aca="false">LEFT(C2894,3)</f>
        <v>815</v>
      </c>
      <c r="F2894" s="2" t="str">
        <f aca="false">IF(D2894="","",LEFT(D2894,3))</f>
        <v>826</v>
      </c>
      <c r="G2894" s="2" t="str">
        <f aca="false">IF(F2894="","",IF(E2894=F2894,"Yes","No"))</f>
        <v>No</v>
      </c>
      <c r="H2894" s="2" t="n">
        <f aca="false">IF(D2894="",0,1/COUNTIF($D$2:$D$3451,D2894))</f>
        <v>1</v>
      </c>
      <c r="I2894" s="13" t="n">
        <f aca="false">IFERROR(INDEX('NCO-2015 scores'!$C$2:$C$131,MATCH(E2894,'NCO-2015 scores'!$A$2:$A$131,0)),0)</f>
        <v>0.1625</v>
      </c>
      <c r="J2894" s="13" t="n">
        <f aca="false">IF(ISNUMBER(MATCH(E2894,'NCO-2015 scores'!$A$2:$A$131,0)),IF(ISNUMBER(INDEX('NCO-2015 scores'!$C$2:$C$131,MATCH(E2894,'NCO-2015 scores'!$A$2:$A$131,0))),1,0),0)</f>
        <v>1</v>
      </c>
    </row>
    <row r="2895" customFormat="false" ht="15" hidden="false" customHeight="false" outlineLevel="0" collapsed="false">
      <c r="A2895" s="2" t="n">
        <v>2891</v>
      </c>
      <c r="B2895" s="2" t="s">
        <v>8449</v>
      </c>
      <c r="C2895" s="2" t="s">
        <v>8450</v>
      </c>
      <c r="D2895" s="2" t="s">
        <v>8451</v>
      </c>
      <c r="E2895" s="2" t="str">
        <f aca="false">LEFT(C2895,3)</f>
        <v>815</v>
      </c>
      <c r="F2895" s="2" t="str">
        <f aca="false">IF(D2895="","",LEFT(D2895,3))</f>
        <v>826</v>
      </c>
      <c r="G2895" s="2" t="str">
        <f aca="false">IF(F2895="","",IF(E2895=F2895,"Yes","No"))</f>
        <v>No</v>
      </c>
      <c r="H2895" s="2" t="n">
        <f aca="false">IF(D2895="",0,1/COUNTIF($D$2:$D$3451,D2895))</f>
        <v>1</v>
      </c>
      <c r="I2895" s="13" t="n">
        <f aca="false">IFERROR(INDEX('NCO-2015 scores'!$C$2:$C$131,MATCH(E2895,'NCO-2015 scores'!$A$2:$A$131,0)),0)</f>
        <v>0.1625</v>
      </c>
      <c r="J2895" s="13" t="n">
        <f aca="false">IF(ISNUMBER(MATCH(E2895,'NCO-2015 scores'!$A$2:$A$131,0)),IF(ISNUMBER(INDEX('NCO-2015 scores'!$C$2:$C$131,MATCH(E2895,'NCO-2015 scores'!$A$2:$A$131,0))),1,0),0)</f>
        <v>1</v>
      </c>
    </row>
    <row r="2896" customFormat="false" ht="15" hidden="false" customHeight="false" outlineLevel="0" collapsed="false">
      <c r="A2896" s="2" t="n">
        <v>2892</v>
      </c>
      <c r="B2896" s="2" t="s">
        <v>8452</v>
      </c>
      <c r="C2896" s="2" t="s">
        <v>8453</v>
      </c>
      <c r="D2896" s="2"/>
      <c r="E2896" s="2" t="str">
        <f aca="false">LEFT(C2896,3)</f>
        <v>815</v>
      </c>
      <c r="F2896" s="2" t="str">
        <f aca="false">IF(D2896="","",LEFT(D2896,3))</f>
        <v/>
      </c>
      <c r="G2896" s="2" t="str">
        <f aca="false">IF(F2896="","",IF(E2896=F2896,"Yes","No"))</f>
        <v/>
      </c>
      <c r="H2896" s="2" t="n">
        <f aca="false">IF(D2896="",0,1/COUNTIF($D$2:$D$3451,D2896))</f>
        <v>0</v>
      </c>
      <c r="I2896" s="13" t="n">
        <f aca="false">IFERROR(INDEX('NCO-2015 scores'!$C$2:$C$131,MATCH(E2896,'NCO-2015 scores'!$A$2:$A$131,0)),0)</f>
        <v>0.1625</v>
      </c>
      <c r="J2896" s="13" t="n">
        <f aca="false">IF(ISNUMBER(MATCH(E2896,'NCO-2015 scores'!$A$2:$A$131,0)),IF(ISNUMBER(INDEX('NCO-2015 scores'!$C$2:$C$131,MATCH(E2896,'NCO-2015 scores'!$A$2:$A$131,0))),1,0),0)</f>
        <v>1</v>
      </c>
    </row>
    <row r="2897" customFormat="false" ht="15" hidden="false" customHeight="false" outlineLevel="0" collapsed="false">
      <c r="A2897" s="2" t="n">
        <v>2893</v>
      </c>
      <c r="B2897" s="2" t="s">
        <v>8454</v>
      </c>
      <c r="C2897" s="2" t="s">
        <v>8455</v>
      </c>
      <c r="D2897" s="2" t="s">
        <v>8456</v>
      </c>
      <c r="E2897" s="2" t="str">
        <f aca="false">LEFT(C2897,3)</f>
        <v>815</v>
      </c>
      <c r="F2897" s="2" t="str">
        <f aca="false">IF(D2897="","",LEFT(D2897,3))</f>
        <v>826</v>
      </c>
      <c r="G2897" s="2" t="str">
        <f aca="false">IF(F2897="","",IF(E2897=F2897,"Yes","No"))</f>
        <v>No</v>
      </c>
      <c r="H2897" s="2" t="n">
        <f aca="false">IF(D2897="",0,1/COUNTIF($D$2:$D$3451,D2897))</f>
        <v>1</v>
      </c>
      <c r="I2897" s="13" t="n">
        <f aca="false">IFERROR(INDEX('NCO-2015 scores'!$C$2:$C$131,MATCH(E2897,'NCO-2015 scores'!$A$2:$A$131,0)),0)</f>
        <v>0.1625</v>
      </c>
      <c r="J2897" s="13" t="n">
        <f aca="false">IF(ISNUMBER(MATCH(E2897,'NCO-2015 scores'!$A$2:$A$131,0)),IF(ISNUMBER(INDEX('NCO-2015 scores'!$C$2:$C$131,MATCH(E2897,'NCO-2015 scores'!$A$2:$A$131,0))),1,0),0)</f>
        <v>1</v>
      </c>
    </row>
    <row r="2898" customFormat="false" ht="15" hidden="false" customHeight="false" outlineLevel="0" collapsed="false">
      <c r="A2898" s="2" t="n">
        <v>2894</v>
      </c>
      <c r="B2898" s="2" t="s">
        <v>8457</v>
      </c>
      <c r="C2898" s="2" t="s">
        <v>8458</v>
      </c>
      <c r="D2898" s="2" t="s">
        <v>8459</v>
      </c>
      <c r="E2898" s="2" t="str">
        <f aca="false">LEFT(C2898,3)</f>
        <v>815</v>
      </c>
      <c r="F2898" s="2" t="str">
        <f aca="false">IF(D2898="","",LEFT(D2898,3))</f>
        <v>826</v>
      </c>
      <c r="G2898" s="2" t="str">
        <f aca="false">IF(F2898="","",IF(E2898=F2898,"Yes","No"))</f>
        <v>No</v>
      </c>
      <c r="H2898" s="2" t="n">
        <f aca="false">IF(D2898="",0,1/COUNTIF($D$2:$D$3451,D2898))</f>
        <v>1</v>
      </c>
      <c r="I2898" s="13" t="n">
        <f aca="false">IFERROR(INDEX('NCO-2015 scores'!$C$2:$C$131,MATCH(E2898,'NCO-2015 scores'!$A$2:$A$131,0)),0)</f>
        <v>0.1625</v>
      </c>
      <c r="J2898" s="13" t="n">
        <f aca="false">IF(ISNUMBER(MATCH(E2898,'NCO-2015 scores'!$A$2:$A$131,0)),IF(ISNUMBER(INDEX('NCO-2015 scores'!$C$2:$C$131,MATCH(E2898,'NCO-2015 scores'!$A$2:$A$131,0))),1,0),0)</f>
        <v>1</v>
      </c>
    </row>
    <row r="2899" customFormat="false" ht="15" hidden="false" customHeight="false" outlineLevel="0" collapsed="false">
      <c r="A2899" s="2" t="n">
        <v>2895</v>
      </c>
      <c r="B2899" s="2" t="s">
        <v>8460</v>
      </c>
      <c r="C2899" s="2" t="s">
        <v>8461</v>
      </c>
      <c r="D2899" s="2" t="s">
        <v>8462</v>
      </c>
      <c r="E2899" s="2" t="str">
        <f aca="false">LEFT(C2899,3)</f>
        <v>815</v>
      </c>
      <c r="F2899" s="2" t="str">
        <f aca="false">IF(D2899="","",LEFT(D2899,3))</f>
        <v>826</v>
      </c>
      <c r="G2899" s="2" t="str">
        <f aca="false">IF(F2899="","",IF(E2899=F2899,"Yes","No"))</f>
        <v>No</v>
      </c>
      <c r="H2899" s="2" t="n">
        <f aca="false">IF(D2899="",0,1/COUNTIF($D$2:$D$3451,D2899))</f>
        <v>1</v>
      </c>
      <c r="I2899" s="13" t="n">
        <f aca="false">IFERROR(INDEX('NCO-2015 scores'!$C$2:$C$131,MATCH(E2899,'NCO-2015 scores'!$A$2:$A$131,0)),0)</f>
        <v>0.1625</v>
      </c>
      <c r="J2899" s="13" t="n">
        <f aca="false">IF(ISNUMBER(MATCH(E2899,'NCO-2015 scores'!$A$2:$A$131,0)),IF(ISNUMBER(INDEX('NCO-2015 scores'!$C$2:$C$131,MATCH(E2899,'NCO-2015 scores'!$A$2:$A$131,0))),1,0),0)</f>
        <v>1</v>
      </c>
    </row>
    <row r="2900" customFormat="false" ht="15" hidden="false" customHeight="false" outlineLevel="0" collapsed="false">
      <c r="A2900" s="2" t="n">
        <v>2896</v>
      </c>
      <c r="B2900" s="2" t="s">
        <v>8463</v>
      </c>
      <c r="C2900" s="2" t="s">
        <v>8464</v>
      </c>
      <c r="D2900" s="2" t="s">
        <v>8465</v>
      </c>
      <c r="E2900" s="2" t="str">
        <f aca="false">LEFT(C2900,3)</f>
        <v>815</v>
      </c>
      <c r="F2900" s="2" t="str">
        <f aca="false">IF(D2900="","",LEFT(D2900,3))</f>
        <v>826</v>
      </c>
      <c r="G2900" s="2" t="str">
        <f aca="false">IF(F2900="","",IF(E2900=F2900,"Yes","No"))</f>
        <v>No</v>
      </c>
      <c r="H2900" s="2" t="n">
        <f aca="false">IF(D2900="",0,1/COUNTIF($D$2:$D$3451,D2900))</f>
        <v>1</v>
      </c>
      <c r="I2900" s="13" t="n">
        <f aca="false">IFERROR(INDEX('NCO-2015 scores'!$C$2:$C$131,MATCH(E2900,'NCO-2015 scores'!$A$2:$A$131,0)),0)</f>
        <v>0.1625</v>
      </c>
      <c r="J2900" s="13" t="n">
        <f aca="false">IF(ISNUMBER(MATCH(E2900,'NCO-2015 scores'!$A$2:$A$131,0)),IF(ISNUMBER(INDEX('NCO-2015 scores'!$C$2:$C$131,MATCH(E2900,'NCO-2015 scores'!$A$2:$A$131,0))),1,0),0)</f>
        <v>1</v>
      </c>
    </row>
    <row r="2901" customFormat="false" ht="15" hidden="false" customHeight="false" outlineLevel="0" collapsed="false">
      <c r="A2901" s="2" t="n">
        <v>2897</v>
      </c>
      <c r="B2901" s="2" t="s">
        <v>8466</v>
      </c>
      <c r="C2901" s="2" t="s">
        <v>8467</v>
      </c>
      <c r="D2901" s="2" t="s">
        <v>8468</v>
      </c>
      <c r="E2901" s="2" t="str">
        <f aca="false">LEFT(C2901,3)</f>
        <v>815</v>
      </c>
      <c r="F2901" s="2" t="str">
        <f aca="false">IF(D2901="","",LEFT(D2901,3))</f>
        <v>826</v>
      </c>
      <c r="G2901" s="2" t="str">
        <f aca="false">IF(F2901="","",IF(E2901=F2901,"Yes","No"))</f>
        <v>No</v>
      </c>
      <c r="H2901" s="2" t="n">
        <f aca="false">IF(D2901="",0,1/COUNTIF($D$2:$D$3451,D2901))</f>
        <v>1</v>
      </c>
      <c r="I2901" s="13" t="n">
        <f aca="false">IFERROR(INDEX('NCO-2015 scores'!$C$2:$C$131,MATCH(E2901,'NCO-2015 scores'!$A$2:$A$131,0)),0)</f>
        <v>0.1625</v>
      </c>
      <c r="J2901" s="13" t="n">
        <f aca="false">IF(ISNUMBER(MATCH(E2901,'NCO-2015 scores'!$A$2:$A$131,0)),IF(ISNUMBER(INDEX('NCO-2015 scores'!$C$2:$C$131,MATCH(E2901,'NCO-2015 scores'!$A$2:$A$131,0))),1,0),0)</f>
        <v>1</v>
      </c>
    </row>
    <row r="2902" customFormat="false" ht="15" hidden="false" customHeight="false" outlineLevel="0" collapsed="false">
      <c r="A2902" s="2" t="n">
        <v>2898</v>
      </c>
      <c r="B2902" s="2" t="s">
        <v>8469</v>
      </c>
      <c r="C2902" s="2" t="s">
        <v>8470</v>
      </c>
      <c r="D2902" s="2" t="s">
        <v>8471</v>
      </c>
      <c r="E2902" s="2" t="str">
        <f aca="false">LEFT(C2902,3)</f>
        <v>815</v>
      </c>
      <c r="F2902" s="2" t="str">
        <f aca="false">IF(D2902="","",LEFT(D2902,3))</f>
        <v>826</v>
      </c>
      <c r="G2902" s="2" t="str">
        <f aca="false">IF(F2902="","",IF(E2902=F2902,"Yes","No"))</f>
        <v>No</v>
      </c>
      <c r="H2902" s="2" t="n">
        <f aca="false">IF(D2902="",0,1/COUNTIF($D$2:$D$3451,D2902))</f>
        <v>1</v>
      </c>
      <c r="I2902" s="13" t="n">
        <f aca="false">IFERROR(INDEX('NCO-2015 scores'!$C$2:$C$131,MATCH(E2902,'NCO-2015 scores'!$A$2:$A$131,0)),0)</f>
        <v>0.1625</v>
      </c>
      <c r="J2902" s="13" t="n">
        <f aca="false">IF(ISNUMBER(MATCH(E2902,'NCO-2015 scores'!$A$2:$A$131,0)),IF(ISNUMBER(INDEX('NCO-2015 scores'!$C$2:$C$131,MATCH(E2902,'NCO-2015 scores'!$A$2:$A$131,0))),1,0),0)</f>
        <v>1</v>
      </c>
    </row>
    <row r="2903" customFormat="false" ht="15" hidden="false" customHeight="false" outlineLevel="0" collapsed="false">
      <c r="A2903" s="2" t="n">
        <v>2899</v>
      </c>
      <c r="B2903" s="2" t="s">
        <v>8472</v>
      </c>
      <c r="C2903" s="2" t="s">
        <v>8473</v>
      </c>
      <c r="D2903" s="2" t="s">
        <v>8474</v>
      </c>
      <c r="E2903" s="2" t="str">
        <f aca="false">LEFT(C2903,3)</f>
        <v>815</v>
      </c>
      <c r="F2903" s="2" t="str">
        <f aca="false">IF(D2903="","",LEFT(D2903,3))</f>
        <v>826</v>
      </c>
      <c r="G2903" s="2" t="str">
        <f aca="false">IF(F2903="","",IF(E2903=F2903,"Yes","No"))</f>
        <v>No</v>
      </c>
      <c r="H2903" s="2" t="n">
        <f aca="false">IF(D2903="",0,1/COUNTIF($D$2:$D$3451,D2903))</f>
        <v>1</v>
      </c>
      <c r="I2903" s="13" t="n">
        <f aca="false">IFERROR(INDEX('NCO-2015 scores'!$C$2:$C$131,MATCH(E2903,'NCO-2015 scores'!$A$2:$A$131,0)),0)</f>
        <v>0.1625</v>
      </c>
      <c r="J2903" s="13" t="n">
        <f aca="false">IF(ISNUMBER(MATCH(E2903,'NCO-2015 scores'!$A$2:$A$131,0)),IF(ISNUMBER(INDEX('NCO-2015 scores'!$C$2:$C$131,MATCH(E2903,'NCO-2015 scores'!$A$2:$A$131,0))),1,0),0)</f>
        <v>1</v>
      </c>
    </row>
    <row r="2904" customFormat="false" ht="15" hidden="false" customHeight="false" outlineLevel="0" collapsed="false">
      <c r="A2904" s="2" t="n">
        <v>2900</v>
      </c>
      <c r="B2904" s="2" t="s">
        <v>8475</v>
      </c>
      <c r="C2904" s="2" t="s">
        <v>8476</v>
      </c>
      <c r="D2904" s="2" t="s">
        <v>8477</v>
      </c>
      <c r="E2904" s="2" t="str">
        <f aca="false">LEFT(C2904,3)</f>
        <v>815</v>
      </c>
      <c r="F2904" s="2" t="str">
        <f aca="false">IF(D2904="","",LEFT(D2904,3))</f>
        <v>826</v>
      </c>
      <c r="G2904" s="2" t="str">
        <f aca="false">IF(F2904="","",IF(E2904=F2904,"Yes","No"))</f>
        <v>No</v>
      </c>
      <c r="H2904" s="2" t="n">
        <f aca="false">IF(D2904="",0,1/COUNTIF($D$2:$D$3451,D2904))</f>
        <v>1</v>
      </c>
      <c r="I2904" s="13" t="n">
        <f aca="false">IFERROR(INDEX('NCO-2015 scores'!$C$2:$C$131,MATCH(E2904,'NCO-2015 scores'!$A$2:$A$131,0)),0)</f>
        <v>0.1625</v>
      </c>
      <c r="J2904" s="13" t="n">
        <f aca="false">IF(ISNUMBER(MATCH(E2904,'NCO-2015 scores'!$A$2:$A$131,0)),IF(ISNUMBER(INDEX('NCO-2015 scores'!$C$2:$C$131,MATCH(E2904,'NCO-2015 scores'!$A$2:$A$131,0))),1,0),0)</f>
        <v>1</v>
      </c>
    </row>
    <row r="2905" customFormat="false" ht="15" hidden="false" customHeight="false" outlineLevel="0" collapsed="false">
      <c r="A2905" s="2" t="n">
        <v>2901</v>
      </c>
      <c r="B2905" s="2" t="s">
        <v>8478</v>
      </c>
      <c r="C2905" s="2" t="s">
        <v>8479</v>
      </c>
      <c r="D2905" s="2" t="s">
        <v>8480</v>
      </c>
      <c r="E2905" s="2" t="str">
        <f aca="false">LEFT(C2905,3)</f>
        <v>815</v>
      </c>
      <c r="F2905" s="2" t="str">
        <f aca="false">IF(D2905="","",LEFT(D2905,3))</f>
        <v>826</v>
      </c>
      <c r="G2905" s="2" t="str">
        <f aca="false">IF(F2905="","",IF(E2905=F2905,"Yes","No"))</f>
        <v>No</v>
      </c>
      <c r="H2905" s="2" t="n">
        <f aca="false">IF(D2905="",0,1/COUNTIF($D$2:$D$3451,D2905))</f>
        <v>1</v>
      </c>
      <c r="I2905" s="13" t="n">
        <f aca="false">IFERROR(INDEX('NCO-2015 scores'!$C$2:$C$131,MATCH(E2905,'NCO-2015 scores'!$A$2:$A$131,0)),0)</f>
        <v>0.1625</v>
      </c>
      <c r="J2905" s="13" t="n">
        <f aca="false">IF(ISNUMBER(MATCH(E2905,'NCO-2015 scores'!$A$2:$A$131,0)),IF(ISNUMBER(INDEX('NCO-2015 scores'!$C$2:$C$131,MATCH(E2905,'NCO-2015 scores'!$A$2:$A$131,0))),1,0),0)</f>
        <v>1</v>
      </c>
    </row>
    <row r="2906" customFormat="false" ht="15" hidden="false" customHeight="false" outlineLevel="0" collapsed="false">
      <c r="A2906" s="2" t="n">
        <v>2902</v>
      </c>
      <c r="B2906" s="2" t="s">
        <v>8481</v>
      </c>
      <c r="C2906" s="2" t="s">
        <v>8482</v>
      </c>
      <c r="D2906" s="2" t="s">
        <v>8483</v>
      </c>
      <c r="E2906" s="2" t="str">
        <f aca="false">LEFT(C2906,3)</f>
        <v>815</v>
      </c>
      <c r="F2906" s="2" t="str">
        <f aca="false">IF(D2906="","",LEFT(D2906,3))</f>
        <v>826</v>
      </c>
      <c r="G2906" s="2" t="str">
        <f aca="false">IF(F2906="","",IF(E2906=F2906,"Yes","No"))</f>
        <v>No</v>
      </c>
      <c r="H2906" s="2" t="n">
        <f aca="false">IF(D2906="",0,1/COUNTIF($D$2:$D$3451,D2906))</f>
        <v>1</v>
      </c>
      <c r="I2906" s="13" t="n">
        <f aca="false">IFERROR(INDEX('NCO-2015 scores'!$C$2:$C$131,MATCH(E2906,'NCO-2015 scores'!$A$2:$A$131,0)),0)</f>
        <v>0.1625</v>
      </c>
      <c r="J2906" s="13" t="n">
        <f aca="false">IF(ISNUMBER(MATCH(E2906,'NCO-2015 scores'!$A$2:$A$131,0)),IF(ISNUMBER(INDEX('NCO-2015 scores'!$C$2:$C$131,MATCH(E2906,'NCO-2015 scores'!$A$2:$A$131,0))),1,0),0)</f>
        <v>1</v>
      </c>
    </row>
    <row r="2907" customFormat="false" ht="15" hidden="false" customHeight="false" outlineLevel="0" collapsed="false">
      <c r="A2907" s="2" t="n">
        <v>2903</v>
      </c>
      <c r="B2907" s="2" t="s">
        <v>8484</v>
      </c>
      <c r="C2907" s="2" t="s">
        <v>8485</v>
      </c>
      <c r="D2907" s="2" t="s">
        <v>8486</v>
      </c>
      <c r="E2907" s="2" t="str">
        <f aca="false">LEFT(C2907,3)</f>
        <v>815</v>
      </c>
      <c r="F2907" s="2" t="str">
        <f aca="false">IF(D2907="","",LEFT(D2907,3))</f>
        <v>826</v>
      </c>
      <c r="G2907" s="2" t="str">
        <f aca="false">IF(F2907="","",IF(E2907=F2907,"Yes","No"))</f>
        <v>No</v>
      </c>
      <c r="H2907" s="2" t="n">
        <f aca="false">IF(D2907="",0,1/COUNTIF($D$2:$D$3451,D2907))</f>
        <v>1</v>
      </c>
      <c r="I2907" s="13" t="n">
        <f aca="false">IFERROR(INDEX('NCO-2015 scores'!$C$2:$C$131,MATCH(E2907,'NCO-2015 scores'!$A$2:$A$131,0)),0)</f>
        <v>0.1625</v>
      </c>
      <c r="J2907" s="13" t="n">
        <f aca="false">IF(ISNUMBER(MATCH(E2907,'NCO-2015 scores'!$A$2:$A$131,0)),IF(ISNUMBER(INDEX('NCO-2015 scores'!$C$2:$C$131,MATCH(E2907,'NCO-2015 scores'!$A$2:$A$131,0))),1,0),0)</f>
        <v>1</v>
      </c>
    </row>
    <row r="2908" customFormat="false" ht="15" hidden="false" customHeight="false" outlineLevel="0" collapsed="false">
      <c r="A2908" s="2" t="n">
        <v>2904</v>
      </c>
      <c r="B2908" s="2" t="s">
        <v>8487</v>
      </c>
      <c r="C2908" s="2" t="s">
        <v>8488</v>
      </c>
      <c r="D2908" s="2" t="s">
        <v>8489</v>
      </c>
      <c r="E2908" s="2" t="str">
        <f aca="false">LEFT(C2908,3)</f>
        <v>815</v>
      </c>
      <c r="F2908" s="2" t="str">
        <f aca="false">IF(D2908="","",LEFT(D2908,3))</f>
        <v>826</v>
      </c>
      <c r="G2908" s="2" t="str">
        <f aca="false">IF(F2908="","",IF(E2908=F2908,"Yes","No"))</f>
        <v>No</v>
      </c>
      <c r="H2908" s="2" t="n">
        <f aca="false">IF(D2908="",0,1/COUNTIF($D$2:$D$3451,D2908))</f>
        <v>1</v>
      </c>
      <c r="I2908" s="13" t="n">
        <f aca="false">IFERROR(INDEX('NCO-2015 scores'!$C$2:$C$131,MATCH(E2908,'NCO-2015 scores'!$A$2:$A$131,0)),0)</f>
        <v>0.1625</v>
      </c>
      <c r="J2908" s="13" t="n">
        <f aca="false">IF(ISNUMBER(MATCH(E2908,'NCO-2015 scores'!$A$2:$A$131,0)),IF(ISNUMBER(INDEX('NCO-2015 scores'!$C$2:$C$131,MATCH(E2908,'NCO-2015 scores'!$A$2:$A$131,0))),1,0),0)</f>
        <v>1</v>
      </c>
    </row>
    <row r="2909" customFormat="false" ht="15" hidden="false" customHeight="false" outlineLevel="0" collapsed="false">
      <c r="A2909" s="2" t="n">
        <v>2905</v>
      </c>
      <c r="B2909" s="2" t="s">
        <v>8490</v>
      </c>
      <c r="C2909" s="2" t="s">
        <v>8491</v>
      </c>
      <c r="D2909" s="2" t="s">
        <v>8492</v>
      </c>
      <c r="E2909" s="2" t="str">
        <f aca="false">LEFT(C2909,3)</f>
        <v>815</v>
      </c>
      <c r="F2909" s="2" t="str">
        <f aca="false">IF(D2909="","",LEFT(D2909,3))</f>
        <v>826</v>
      </c>
      <c r="G2909" s="2" t="str">
        <f aca="false">IF(F2909="","",IF(E2909=F2909,"Yes","No"))</f>
        <v>No</v>
      </c>
      <c r="H2909" s="2" t="n">
        <f aca="false">IF(D2909="",0,1/COUNTIF($D$2:$D$3451,D2909))</f>
        <v>1</v>
      </c>
      <c r="I2909" s="13" t="n">
        <f aca="false">IFERROR(INDEX('NCO-2015 scores'!$C$2:$C$131,MATCH(E2909,'NCO-2015 scores'!$A$2:$A$131,0)),0)</f>
        <v>0.1625</v>
      </c>
      <c r="J2909" s="13" t="n">
        <f aca="false">IF(ISNUMBER(MATCH(E2909,'NCO-2015 scores'!$A$2:$A$131,0)),IF(ISNUMBER(INDEX('NCO-2015 scores'!$C$2:$C$131,MATCH(E2909,'NCO-2015 scores'!$A$2:$A$131,0))),1,0),0)</f>
        <v>1</v>
      </c>
    </row>
    <row r="2910" customFormat="false" ht="15" hidden="false" customHeight="false" outlineLevel="0" collapsed="false">
      <c r="A2910" s="2" t="n">
        <v>2906</v>
      </c>
      <c r="B2910" s="2" t="s">
        <v>8493</v>
      </c>
      <c r="C2910" s="2" t="s">
        <v>8494</v>
      </c>
      <c r="D2910" s="2" t="s">
        <v>8495</v>
      </c>
      <c r="E2910" s="2" t="str">
        <f aca="false">LEFT(C2910,3)</f>
        <v>815</v>
      </c>
      <c r="F2910" s="2" t="str">
        <f aca="false">IF(D2910="","",LEFT(D2910,3))</f>
        <v>826</v>
      </c>
      <c r="G2910" s="2" t="str">
        <f aca="false">IF(F2910="","",IF(E2910=F2910,"Yes","No"))</f>
        <v>No</v>
      </c>
      <c r="H2910" s="2" t="n">
        <f aca="false">IF(D2910="",0,1/COUNTIF($D$2:$D$3451,D2910))</f>
        <v>1</v>
      </c>
      <c r="I2910" s="13" t="n">
        <f aca="false">IFERROR(INDEX('NCO-2015 scores'!$C$2:$C$131,MATCH(E2910,'NCO-2015 scores'!$A$2:$A$131,0)),0)</f>
        <v>0.1625</v>
      </c>
      <c r="J2910" s="13" t="n">
        <f aca="false">IF(ISNUMBER(MATCH(E2910,'NCO-2015 scores'!$A$2:$A$131,0)),IF(ISNUMBER(INDEX('NCO-2015 scores'!$C$2:$C$131,MATCH(E2910,'NCO-2015 scores'!$A$2:$A$131,0))),1,0),0)</f>
        <v>1</v>
      </c>
    </row>
    <row r="2911" customFormat="false" ht="15" hidden="false" customHeight="false" outlineLevel="0" collapsed="false">
      <c r="A2911" s="2" t="n">
        <v>2907</v>
      </c>
      <c r="B2911" s="2" t="s">
        <v>8496</v>
      </c>
      <c r="C2911" s="2" t="s">
        <v>8497</v>
      </c>
      <c r="D2911" s="2" t="s">
        <v>8498</v>
      </c>
      <c r="E2911" s="2" t="str">
        <f aca="false">LEFT(C2911,3)</f>
        <v>815</v>
      </c>
      <c r="F2911" s="2" t="str">
        <f aca="false">IF(D2911="","",LEFT(D2911,3))</f>
        <v>826</v>
      </c>
      <c r="G2911" s="2" t="str">
        <f aca="false">IF(F2911="","",IF(E2911=F2911,"Yes","No"))</f>
        <v>No</v>
      </c>
      <c r="H2911" s="2" t="n">
        <f aca="false">IF(D2911="",0,1/COUNTIF($D$2:$D$3451,D2911))</f>
        <v>1</v>
      </c>
      <c r="I2911" s="13" t="n">
        <f aca="false">IFERROR(INDEX('NCO-2015 scores'!$C$2:$C$131,MATCH(E2911,'NCO-2015 scores'!$A$2:$A$131,0)),0)</f>
        <v>0.1625</v>
      </c>
      <c r="J2911" s="13" t="n">
        <f aca="false">IF(ISNUMBER(MATCH(E2911,'NCO-2015 scores'!$A$2:$A$131,0)),IF(ISNUMBER(INDEX('NCO-2015 scores'!$C$2:$C$131,MATCH(E2911,'NCO-2015 scores'!$A$2:$A$131,0))),1,0),0)</f>
        <v>1</v>
      </c>
    </row>
    <row r="2912" customFormat="false" ht="15" hidden="false" customHeight="false" outlineLevel="0" collapsed="false">
      <c r="A2912" s="2" t="n">
        <v>2908</v>
      </c>
      <c r="B2912" s="2" t="s">
        <v>8499</v>
      </c>
      <c r="C2912" s="2" t="s">
        <v>8500</v>
      </c>
      <c r="D2912" s="2"/>
      <c r="E2912" s="2" t="str">
        <f aca="false">LEFT(C2912,3)</f>
        <v>815</v>
      </c>
      <c r="F2912" s="2" t="str">
        <f aca="false">IF(D2912="","",LEFT(D2912,3))</f>
        <v/>
      </c>
      <c r="G2912" s="2" t="str">
        <f aca="false">IF(F2912="","",IF(E2912=F2912,"Yes","No"))</f>
        <v/>
      </c>
      <c r="H2912" s="2" t="n">
        <f aca="false">IF(D2912="",0,1/COUNTIF($D$2:$D$3451,D2912))</f>
        <v>0</v>
      </c>
      <c r="I2912" s="13" t="n">
        <f aca="false">IFERROR(INDEX('NCO-2015 scores'!$C$2:$C$131,MATCH(E2912,'NCO-2015 scores'!$A$2:$A$131,0)),0)</f>
        <v>0.1625</v>
      </c>
      <c r="J2912" s="13" t="n">
        <f aca="false">IF(ISNUMBER(MATCH(E2912,'NCO-2015 scores'!$A$2:$A$131,0)),IF(ISNUMBER(INDEX('NCO-2015 scores'!$C$2:$C$131,MATCH(E2912,'NCO-2015 scores'!$A$2:$A$131,0))),1,0),0)</f>
        <v>1</v>
      </c>
    </row>
    <row r="2913" customFormat="false" ht="15" hidden="false" customHeight="false" outlineLevel="0" collapsed="false">
      <c r="A2913" s="2" t="n">
        <v>2909</v>
      </c>
      <c r="B2913" s="2" t="s">
        <v>8501</v>
      </c>
      <c r="C2913" s="2" t="s">
        <v>8502</v>
      </c>
      <c r="D2913" s="2" t="s">
        <v>8503</v>
      </c>
      <c r="E2913" s="2" t="str">
        <f aca="false">LEFT(C2913,3)</f>
        <v>815</v>
      </c>
      <c r="F2913" s="2" t="str">
        <f aca="false">IF(D2913="","",LEFT(D2913,3))</f>
        <v>826</v>
      </c>
      <c r="G2913" s="2" t="str">
        <f aca="false">IF(F2913="","",IF(E2913=F2913,"Yes","No"))</f>
        <v>No</v>
      </c>
      <c r="H2913" s="2" t="n">
        <f aca="false">IF(D2913="",0,1/COUNTIF($D$2:$D$3451,D2913))</f>
        <v>1</v>
      </c>
      <c r="I2913" s="13" t="n">
        <f aca="false">IFERROR(INDEX('NCO-2015 scores'!$C$2:$C$131,MATCH(E2913,'NCO-2015 scores'!$A$2:$A$131,0)),0)</f>
        <v>0.1625</v>
      </c>
      <c r="J2913" s="13" t="n">
        <f aca="false">IF(ISNUMBER(MATCH(E2913,'NCO-2015 scores'!$A$2:$A$131,0)),IF(ISNUMBER(INDEX('NCO-2015 scores'!$C$2:$C$131,MATCH(E2913,'NCO-2015 scores'!$A$2:$A$131,0))),1,0),0)</f>
        <v>1</v>
      </c>
    </row>
    <row r="2914" customFormat="false" ht="15" hidden="false" customHeight="false" outlineLevel="0" collapsed="false">
      <c r="A2914" s="2" t="n">
        <v>2910</v>
      </c>
      <c r="B2914" s="2" t="s">
        <v>8504</v>
      </c>
      <c r="C2914" s="2" t="s">
        <v>8505</v>
      </c>
      <c r="D2914" s="2"/>
      <c r="E2914" s="2" t="str">
        <f aca="false">LEFT(C2914,3)</f>
        <v>815</v>
      </c>
      <c r="F2914" s="2" t="str">
        <f aca="false">IF(D2914="","",LEFT(D2914,3))</f>
        <v/>
      </c>
      <c r="G2914" s="2" t="str">
        <f aca="false">IF(F2914="","",IF(E2914=F2914,"Yes","No"))</f>
        <v/>
      </c>
      <c r="H2914" s="2" t="n">
        <f aca="false">IF(D2914="",0,1/COUNTIF($D$2:$D$3451,D2914))</f>
        <v>0</v>
      </c>
      <c r="I2914" s="13" t="n">
        <f aca="false">IFERROR(INDEX('NCO-2015 scores'!$C$2:$C$131,MATCH(E2914,'NCO-2015 scores'!$A$2:$A$131,0)),0)</f>
        <v>0.1625</v>
      </c>
      <c r="J2914" s="13" t="n">
        <f aca="false">IF(ISNUMBER(MATCH(E2914,'NCO-2015 scores'!$A$2:$A$131,0)),IF(ISNUMBER(INDEX('NCO-2015 scores'!$C$2:$C$131,MATCH(E2914,'NCO-2015 scores'!$A$2:$A$131,0))),1,0),0)</f>
        <v>1</v>
      </c>
    </row>
    <row r="2915" customFormat="false" ht="15" hidden="false" customHeight="false" outlineLevel="0" collapsed="false">
      <c r="A2915" s="2" t="n">
        <v>2911</v>
      </c>
      <c r="B2915" s="2" t="s">
        <v>8506</v>
      </c>
      <c r="C2915" s="2" t="s">
        <v>8507</v>
      </c>
      <c r="D2915" s="2" t="s">
        <v>8508</v>
      </c>
      <c r="E2915" s="2" t="str">
        <f aca="false">LEFT(C2915,3)</f>
        <v>815</v>
      </c>
      <c r="F2915" s="2" t="str">
        <f aca="false">IF(D2915="","",LEFT(D2915,3))</f>
        <v>826</v>
      </c>
      <c r="G2915" s="2" t="str">
        <f aca="false">IF(F2915="","",IF(E2915=F2915,"Yes","No"))</f>
        <v>No</v>
      </c>
      <c r="H2915" s="2" t="n">
        <f aca="false">IF(D2915="",0,1/COUNTIF($D$2:$D$3451,D2915))</f>
        <v>1</v>
      </c>
      <c r="I2915" s="13" t="n">
        <f aca="false">IFERROR(INDEX('NCO-2015 scores'!$C$2:$C$131,MATCH(E2915,'NCO-2015 scores'!$A$2:$A$131,0)),0)</f>
        <v>0.1625</v>
      </c>
      <c r="J2915" s="13" t="n">
        <f aca="false">IF(ISNUMBER(MATCH(E2915,'NCO-2015 scores'!$A$2:$A$131,0)),IF(ISNUMBER(INDEX('NCO-2015 scores'!$C$2:$C$131,MATCH(E2915,'NCO-2015 scores'!$A$2:$A$131,0))),1,0),0)</f>
        <v>1</v>
      </c>
    </row>
    <row r="2916" customFormat="false" ht="15" hidden="false" customHeight="false" outlineLevel="0" collapsed="false">
      <c r="A2916" s="2" t="n">
        <v>2912</v>
      </c>
      <c r="B2916" s="2" t="s">
        <v>8509</v>
      </c>
      <c r="C2916" s="2" t="s">
        <v>8510</v>
      </c>
      <c r="D2916" s="2" t="s">
        <v>8511</v>
      </c>
      <c r="E2916" s="2" t="str">
        <f aca="false">LEFT(C2916,3)</f>
        <v>815</v>
      </c>
      <c r="F2916" s="2" t="str">
        <f aca="false">IF(D2916="","",LEFT(D2916,3))</f>
        <v>826</v>
      </c>
      <c r="G2916" s="2" t="str">
        <f aca="false">IF(F2916="","",IF(E2916=F2916,"Yes","No"))</f>
        <v>No</v>
      </c>
      <c r="H2916" s="2" t="n">
        <f aca="false">IF(D2916="",0,1/COUNTIF($D$2:$D$3451,D2916))</f>
        <v>1</v>
      </c>
      <c r="I2916" s="13" t="n">
        <f aca="false">IFERROR(INDEX('NCO-2015 scores'!$C$2:$C$131,MATCH(E2916,'NCO-2015 scores'!$A$2:$A$131,0)),0)</f>
        <v>0.1625</v>
      </c>
      <c r="J2916" s="13" t="n">
        <f aca="false">IF(ISNUMBER(MATCH(E2916,'NCO-2015 scores'!$A$2:$A$131,0)),IF(ISNUMBER(INDEX('NCO-2015 scores'!$C$2:$C$131,MATCH(E2916,'NCO-2015 scores'!$A$2:$A$131,0))),1,0),0)</f>
        <v>1</v>
      </c>
    </row>
    <row r="2917" customFormat="false" ht="15" hidden="false" customHeight="false" outlineLevel="0" collapsed="false">
      <c r="A2917" s="2" t="n">
        <v>2913</v>
      </c>
      <c r="B2917" s="2" t="s">
        <v>8512</v>
      </c>
      <c r="C2917" s="2" t="s">
        <v>8513</v>
      </c>
      <c r="D2917" s="2"/>
      <c r="E2917" s="2" t="str">
        <f aca="false">LEFT(C2917,3)</f>
        <v>815</v>
      </c>
      <c r="F2917" s="2" t="str">
        <f aca="false">IF(D2917="","",LEFT(D2917,3))</f>
        <v/>
      </c>
      <c r="G2917" s="2" t="str">
        <f aca="false">IF(F2917="","",IF(E2917=F2917,"Yes","No"))</f>
        <v/>
      </c>
      <c r="H2917" s="2" t="n">
        <f aca="false">IF(D2917="",0,1/COUNTIF($D$2:$D$3451,D2917))</f>
        <v>0</v>
      </c>
      <c r="I2917" s="13" t="n">
        <f aca="false">IFERROR(INDEX('NCO-2015 scores'!$C$2:$C$131,MATCH(E2917,'NCO-2015 scores'!$A$2:$A$131,0)),0)</f>
        <v>0.1625</v>
      </c>
      <c r="J2917" s="13" t="n">
        <f aca="false">IF(ISNUMBER(MATCH(E2917,'NCO-2015 scores'!$A$2:$A$131,0)),IF(ISNUMBER(INDEX('NCO-2015 scores'!$C$2:$C$131,MATCH(E2917,'NCO-2015 scores'!$A$2:$A$131,0))),1,0),0)</f>
        <v>1</v>
      </c>
    </row>
    <row r="2918" customFormat="false" ht="15" hidden="false" customHeight="false" outlineLevel="0" collapsed="false">
      <c r="A2918" s="2" t="n">
        <v>2914</v>
      </c>
      <c r="B2918" s="2" t="s">
        <v>8514</v>
      </c>
      <c r="C2918" s="2" t="s">
        <v>8515</v>
      </c>
      <c r="D2918" s="2" t="s">
        <v>8516</v>
      </c>
      <c r="E2918" s="2" t="str">
        <f aca="false">LEFT(C2918,3)</f>
        <v>753</v>
      </c>
      <c r="F2918" s="2" t="str">
        <f aca="false">IF(D2918="","",LEFT(D2918,3))</f>
        <v>744</v>
      </c>
      <c r="G2918" s="2" t="str">
        <f aca="false">IF(F2918="","",IF(E2918=F2918,"Yes","No"))</f>
        <v>No</v>
      </c>
      <c r="H2918" s="2" t="n">
        <f aca="false">IF(D2918="",0,1/COUNTIF($D$2:$D$3451,D2918))</f>
        <v>1</v>
      </c>
      <c r="I2918" s="13" t="n">
        <f aca="false">IFERROR(INDEX('NCO-2015 scores'!$C$2:$C$131,MATCH(E2918,'NCO-2015 scores'!$A$2:$A$131,0)),0)</f>
        <v>0.15</v>
      </c>
      <c r="J2918" s="13" t="n">
        <f aca="false">IF(ISNUMBER(MATCH(E2918,'NCO-2015 scores'!$A$2:$A$131,0)),IF(ISNUMBER(INDEX('NCO-2015 scores'!$C$2:$C$131,MATCH(E2918,'NCO-2015 scores'!$A$2:$A$131,0))),1,0),0)</f>
        <v>1</v>
      </c>
    </row>
    <row r="2919" customFormat="false" ht="15" hidden="false" customHeight="false" outlineLevel="0" collapsed="false">
      <c r="A2919" s="2" t="n">
        <v>2915</v>
      </c>
      <c r="B2919" s="2" t="s">
        <v>8517</v>
      </c>
      <c r="C2919" s="2" t="s">
        <v>8518</v>
      </c>
      <c r="D2919" s="2" t="s">
        <v>8519</v>
      </c>
      <c r="E2919" s="2" t="str">
        <f aca="false">LEFT(C2919,3)</f>
        <v>753</v>
      </c>
      <c r="F2919" s="2" t="str">
        <f aca="false">IF(D2919="","",LEFT(D2919,3))</f>
        <v>744</v>
      </c>
      <c r="G2919" s="2" t="str">
        <f aca="false">IF(F2919="","",IF(E2919=F2919,"Yes","No"))</f>
        <v>No</v>
      </c>
      <c r="H2919" s="2" t="n">
        <f aca="false">IF(D2919="",0,1/COUNTIF($D$2:$D$3451,D2919))</f>
        <v>1</v>
      </c>
      <c r="I2919" s="13" t="n">
        <f aca="false">IFERROR(INDEX('NCO-2015 scores'!$C$2:$C$131,MATCH(E2919,'NCO-2015 scores'!$A$2:$A$131,0)),0)</f>
        <v>0.15</v>
      </c>
      <c r="J2919" s="13" t="n">
        <f aca="false">IF(ISNUMBER(MATCH(E2919,'NCO-2015 scores'!$A$2:$A$131,0)),IF(ISNUMBER(INDEX('NCO-2015 scores'!$C$2:$C$131,MATCH(E2919,'NCO-2015 scores'!$A$2:$A$131,0))),1,0),0)</f>
        <v>1</v>
      </c>
    </row>
    <row r="2920" customFormat="false" ht="15" hidden="false" customHeight="false" outlineLevel="0" collapsed="false">
      <c r="A2920" s="2" t="n">
        <v>2916</v>
      </c>
      <c r="B2920" s="2" t="s">
        <v>8520</v>
      </c>
      <c r="C2920" s="2" t="s">
        <v>8521</v>
      </c>
      <c r="D2920" s="2" t="s">
        <v>8522</v>
      </c>
      <c r="E2920" s="2" t="str">
        <f aca="false">LEFT(C2920,3)</f>
        <v>753</v>
      </c>
      <c r="F2920" s="2" t="str">
        <f aca="false">IF(D2920="","",LEFT(D2920,3))</f>
        <v>744</v>
      </c>
      <c r="G2920" s="2" t="str">
        <f aca="false">IF(F2920="","",IF(E2920=F2920,"Yes","No"))</f>
        <v>No</v>
      </c>
      <c r="H2920" s="2" t="n">
        <f aca="false">IF(D2920="",0,1/COUNTIF($D$2:$D$3451,D2920))</f>
        <v>1</v>
      </c>
      <c r="I2920" s="13" t="n">
        <f aca="false">IFERROR(INDEX('NCO-2015 scores'!$C$2:$C$131,MATCH(E2920,'NCO-2015 scores'!$A$2:$A$131,0)),0)</f>
        <v>0.15</v>
      </c>
      <c r="J2920" s="13" t="n">
        <f aca="false">IF(ISNUMBER(MATCH(E2920,'NCO-2015 scores'!$A$2:$A$131,0)),IF(ISNUMBER(INDEX('NCO-2015 scores'!$C$2:$C$131,MATCH(E2920,'NCO-2015 scores'!$A$2:$A$131,0))),1,0),0)</f>
        <v>1</v>
      </c>
    </row>
    <row r="2921" customFormat="false" ht="15" hidden="false" customHeight="false" outlineLevel="0" collapsed="false">
      <c r="A2921" s="2" t="n">
        <v>2917</v>
      </c>
      <c r="B2921" s="2" t="s">
        <v>8523</v>
      </c>
      <c r="C2921" s="2" t="s">
        <v>8524</v>
      </c>
      <c r="D2921" s="2" t="s">
        <v>8525</v>
      </c>
      <c r="E2921" s="2" t="str">
        <f aca="false">LEFT(C2921,3)</f>
        <v>753</v>
      </c>
      <c r="F2921" s="2" t="str">
        <f aca="false">IF(D2921="","",LEFT(D2921,3))</f>
        <v>744</v>
      </c>
      <c r="G2921" s="2" t="str">
        <f aca="false">IF(F2921="","",IF(E2921=F2921,"Yes","No"))</f>
        <v>No</v>
      </c>
      <c r="H2921" s="2" t="n">
        <f aca="false">IF(D2921="",0,1/COUNTIF($D$2:$D$3451,D2921))</f>
        <v>1</v>
      </c>
      <c r="I2921" s="13" t="n">
        <f aca="false">IFERROR(INDEX('NCO-2015 scores'!$C$2:$C$131,MATCH(E2921,'NCO-2015 scores'!$A$2:$A$131,0)),0)</f>
        <v>0.15</v>
      </c>
      <c r="J2921" s="13" t="n">
        <f aca="false">IF(ISNUMBER(MATCH(E2921,'NCO-2015 scores'!$A$2:$A$131,0)),IF(ISNUMBER(INDEX('NCO-2015 scores'!$C$2:$C$131,MATCH(E2921,'NCO-2015 scores'!$A$2:$A$131,0))),1,0),0)</f>
        <v>1</v>
      </c>
    </row>
    <row r="2922" customFormat="false" ht="15" hidden="false" customHeight="false" outlineLevel="0" collapsed="false">
      <c r="A2922" s="2" t="n">
        <v>2918</v>
      </c>
      <c r="B2922" s="2" t="s">
        <v>8526</v>
      </c>
      <c r="C2922" s="2" t="s">
        <v>8527</v>
      </c>
      <c r="D2922" s="2" t="s">
        <v>8528</v>
      </c>
      <c r="E2922" s="2" t="str">
        <f aca="false">LEFT(C2922,3)</f>
        <v>753</v>
      </c>
      <c r="F2922" s="2" t="str">
        <f aca="false">IF(D2922="","",LEFT(D2922,3))</f>
        <v>744</v>
      </c>
      <c r="G2922" s="2" t="str">
        <f aca="false">IF(F2922="","",IF(E2922=F2922,"Yes","No"))</f>
        <v>No</v>
      </c>
      <c r="H2922" s="2" t="n">
        <f aca="false">IF(D2922="",0,1/COUNTIF($D$2:$D$3451,D2922))</f>
        <v>1</v>
      </c>
      <c r="I2922" s="13" t="n">
        <f aca="false">IFERROR(INDEX('NCO-2015 scores'!$C$2:$C$131,MATCH(E2922,'NCO-2015 scores'!$A$2:$A$131,0)),0)</f>
        <v>0.15</v>
      </c>
      <c r="J2922" s="13" t="n">
        <f aca="false">IF(ISNUMBER(MATCH(E2922,'NCO-2015 scores'!$A$2:$A$131,0)),IF(ISNUMBER(INDEX('NCO-2015 scores'!$C$2:$C$131,MATCH(E2922,'NCO-2015 scores'!$A$2:$A$131,0))),1,0),0)</f>
        <v>1</v>
      </c>
    </row>
    <row r="2923" customFormat="false" ht="15" hidden="false" customHeight="false" outlineLevel="0" collapsed="false">
      <c r="A2923" s="2" t="n">
        <v>2919</v>
      </c>
      <c r="B2923" s="2" t="s">
        <v>8529</v>
      </c>
      <c r="C2923" s="2" t="s">
        <v>8530</v>
      </c>
      <c r="D2923" s="2" t="s">
        <v>8531</v>
      </c>
      <c r="E2923" s="2" t="str">
        <f aca="false">LEFT(C2923,3)</f>
        <v>753</v>
      </c>
      <c r="F2923" s="2" t="str">
        <f aca="false">IF(D2923="","",LEFT(D2923,3))</f>
        <v>744</v>
      </c>
      <c r="G2923" s="2" t="str">
        <f aca="false">IF(F2923="","",IF(E2923=F2923,"Yes","No"))</f>
        <v>No</v>
      </c>
      <c r="H2923" s="2" t="n">
        <f aca="false">IF(D2923="",0,1/COUNTIF($D$2:$D$3451,D2923))</f>
        <v>1</v>
      </c>
      <c r="I2923" s="13" t="n">
        <f aca="false">IFERROR(INDEX('NCO-2015 scores'!$C$2:$C$131,MATCH(E2923,'NCO-2015 scores'!$A$2:$A$131,0)),0)</f>
        <v>0.15</v>
      </c>
      <c r="J2923" s="13" t="n">
        <f aca="false">IF(ISNUMBER(MATCH(E2923,'NCO-2015 scores'!$A$2:$A$131,0)),IF(ISNUMBER(INDEX('NCO-2015 scores'!$C$2:$C$131,MATCH(E2923,'NCO-2015 scores'!$A$2:$A$131,0))),1,0),0)</f>
        <v>1</v>
      </c>
    </row>
    <row r="2924" customFormat="false" ht="15" hidden="false" customHeight="false" outlineLevel="0" collapsed="false">
      <c r="A2924" s="2" t="n">
        <v>2920</v>
      </c>
      <c r="B2924" s="2" t="s">
        <v>8532</v>
      </c>
      <c r="C2924" s="2" t="s">
        <v>8533</v>
      </c>
      <c r="D2924" s="2" t="s">
        <v>8534</v>
      </c>
      <c r="E2924" s="2" t="str">
        <f aca="false">LEFT(C2924,3)</f>
        <v>753</v>
      </c>
      <c r="F2924" s="2" t="str">
        <f aca="false">IF(D2924="","",LEFT(D2924,3))</f>
        <v>744</v>
      </c>
      <c r="G2924" s="2" t="str">
        <f aca="false">IF(F2924="","",IF(E2924=F2924,"Yes","No"))</f>
        <v>No</v>
      </c>
      <c r="H2924" s="2" t="n">
        <f aca="false">IF(D2924="",0,1/COUNTIF($D$2:$D$3451,D2924))</f>
        <v>1</v>
      </c>
      <c r="I2924" s="13" t="n">
        <f aca="false">IFERROR(INDEX('NCO-2015 scores'!$C$2:$C$131,MATCH(E2924,'NCO-2015 scores'!$A$2:$A$131,0)),0)</f>
        <v>0.15</v>
      </c>
      <c r="J2924" s="13" t="n">
        <f aca="false">IF(ISNUMBER(MATCH(E2924,'NCO-2015 scores'!$A$2:$A$131,0)),IF(ISNUMBER(INDEX('NCO-2015 scores'!$C$2:$C$131,MATCH(E2924,'NCO-2015 scores'!$A$2:$A$131,0))),1,0),0)</f>
        <v>1</v>
      </c>
    </row>
    <row r="2925" customFormat="false" ht="15" hidden="false" customHeight="false" outlineLevel="0" collapsed="false">
      <c r="A2925" s="2" t="n">
        <v>2921</v>
      </c>
      <c r="B2925" s="2" t="s">
        <v>8535</v>
      </c>
      <c r="C2925" s="2" t="s">
        <v>8536</v>
      </c>
      <c r="D2925" s="2" t="s">
        <v>8537</v>
      </c>
      <c r="E2925" s="2" t="str">
        <f aca="false">LEFT(C2925,3)</f>
        <v>753</v>
      </c>
      <c r="F2925" s="2" t="str">
        <f aca="false">IF(D2925="","",LEFT(D2925,3))</f>
        <v>744</v>
      </c>
      <c r="G2925" s="2" t="str">
        <f aca="false">IF(F2925="","",IF(E2925=F2925,"Yes","No"))</f>
        <v>No</v>
      </c>
      <c r="H2925" s="2" t="n">
        <f aca="false">IF(D2925="",0,1/COUNTIF($D$2:$D$3451,D2925))</f>
        <v>1</v>
      </c>
      <c r="I2925" s="13" t="n">
        <f aca="false">IFERROR(INDEX('NCO-2015 scores'!$C$2:$C$131,MATCH(E2925,'NCO-2015 scores'!$A$2:$A$131,0)),0)</f>
        <v>0.15</v>
      </c>
      <c r="J2925" s="13" t="n">
        <f aca="false">IF(ISNUMBER(MATCH(E2925,'NCO-2015 scores'!$A$2:$A$131,0)),IF(ISNUMBER(INDEX('NCO-2015 scores'!$C$2:$C$131,MATCH(E2925,'NCO-2015 scores'!$A$2:$A$131,0))),1,0),0)</f>
        <v>1</v>
      </c>
    </row>
    <row r="2926" customFormat="false" ht="15" hidden="false" customHeight="false" outlineLevel="0" collapsed="false">
      <c r="A2926" s="2" t="n">
        <v>2922</v>
      </c>
      <c r="B2926" s="2" t="s">
        <v>8538</v>
      </c>
      <c r="C2926" s="2" t="s">
        <v>8539</v>
      </c>
      <c r="D2926" s="2" t="s">
        <v>8540</v>
      </c>
      <c r="E2926" s="2" t="str">
        <f aca="false">LEFT(C2926,3)</f>
        <v>753</v>
      </c>
      <c r="F2926" s="2" t="str">
        <f aca="false">IF(D2926="","",LEFT(D2926,3))</f>
        <v>744</v>
      </c>
      <c r="G2926" s="2" t="str">
        <f aca="false">IF(F2926="","",IF(E2926=F2926,"Yes","No"))</f>
        <v>No</v>
      </c>
      <c r="H2926" s="2" t="n">
        <f aca="false">IF(D2926="",0,1/COUNTIF($D$2:$D$3451,D2926))</f>
        <v>1</v>
      </c>
      <c r="I2926" s="13" t="n">
        <f aca="false">IFERROR(INDEX('NCO-2015 scores'!$C$2:$C$131,MATCH(E2926,'NCO-2015 scores'!$A$2:$A$131,0)),0)</f>
        <v>0.15</v>
      </c>
      <c r="J2926" s="13" t="n">
        <f aca="false">IF(ISNUMBER(MATCH(E2926,'NCO-2015 scores'!$A$2:$A$131,0)),IF(ISNUMBER(INDEX('NCO-2015 scores'!$C$2:$C$131,MATCH(E2926,'NCO-2015 scores'!$A$2:$A$131,0))),1,0),0)</f>
        <v>1</v>
      </c>
    </row>
    <row r="2927" customFormat="false" ht="15" hidden="false" customHeight="false" outlineLevel="0" collapsed="false">
      <c r="A2927" s="2" t="n">
        <v>2923</v>
      </c>
      <c r="B2927" s="2" t="s">
        <v>8541</v>
      </c>
      <c r="C2927" s="2" t="s">
        <v>8542</v>
      </c>
      <c r="D2927" s="2" t="s">
        <v>8543</v>
      </c>
      <c r="E2927" s="2" t="str">
        <f aca="false">LEFT(C2927,3)</f>
        <v>753</v>
      </c>
      <c r="F2927" s="2" t="str">
        <f aca="false">IF(D2927="","",LEFT(D2927,3))</f>
        <v>744</v>
      </c>
      <c r="G2927" s="2" t="str">
        <f aca="false">IF(F2927="","",IF(E2927=F2927,"Yes","No"))</f>
        <v>No</v>
      </c>
      <c r="H2927" s="2" t="n">
        <f aca="false">IF(D2927="",0,1/COUNTIF($D$2:$D$3451,D2927))</f>
        <v>1</v>
      </c>
      <c r="I2927" s="13" t="n">
        <f aca="false">IFERROR(INDEX('NCO-2015 scores'!$C$2:$C$131,MATCH(E2927,'NCO-2015 scores'!$A$2:$A$131,0)),0)</f>
        <v>0.15</v>
      </c>
      <c r="J2927" s="13" t="n">
        <f aca="false">IF(ISNUMBER(MATCH(E2927,'NCO-2015 scores'!$A$2:$A$131,0)),IF(ISNUMBER(INDEX('NCO-2015 scores'!$C$2:$C$131,MATCH(E2927,'NCO-2015 scores'!$A$2:$A$131,0))),1,0),0)</f>
        <v>1</v>
      </c>
    </row>
    <row r="2928" customFormat="false" ht="15" hidden="false" customHeight="false" outlineLevel="0" collapsed="false">
      <c r="A2928" s="2" t="n">
        <v>2924</v>
      </c>
      <c r="B2928" s="2" t="s">
        <v>8544</v>
      </c>
      <c r="C2928" s="2" t="s">
        <v>8545</v>
      </c>
      <c r="D2928" s="2" t="s">
        <v>8546</v>
      </c>
      <c r="E2928" s="2" t="str">
        <f aca="false">LEFT(C2928,3)</f>
        <v>753</v>
      </c>
      <c r="F2928" s="2" t="str">
        <f aca="false">IF(D2928="","",LEFT(D2928,3))</f>
        <v>744</v>
      </c>
      <c r="G2928" s="2" t="str">
        <f aca="false">IF(F2928="","",IF(E2928=F2928,"Yes","No"))</f>
        <v>No</v>
      </c>
      <c r="H2928" s="2" t="n">
        <f aca="false">IF(D2928="",0,1/COUNTIF($D$2:$D$3451,D2928))</f>
        <v>1</v>
      </c>
      <c r="I2928" s="13" t="n">
        <f aca="false">IFERROR(INDEX('NCO-2015 scores'!$C$2:$C$131,MATCH(E2928,'NCO-2015 scores'!$A$2:$A$131,0)),0)</f>
        <v>0.15</v>
      </c>
      <c r="J2928" s="13" t="n">
        <f aca="false">IF(ISNUMBER(MATCH(E2928,'NCO-2015 scores'!$A$2:$A$131,0)),IF(ISNUMBER(INDEX('NCO-2015 scores'!$C$2:$C$131,MATCH(E2928,'NCO-2015 scores'!$A$2:$A$131,0))),1,0),0)</f>
        <v>1</v>
      </c>
    </row>
    <row r="2929" customFormat="false" ht="15" hidden="false" customHeight="false" outlineLevel="0" collapsed="false">
      <c r="A2929" s="2" t="n">
        <v>2925</v>
      </c>
      <c r="B2929" s="2" t="s">
        <v>8547</v>
      </c>
      <c r="C2929" s="2" t="s">
        <v>8548</v>
      </c>
      <c r="D2929" s="2" t="s">
        <v>8549</v>
      </c>
      <c r="E2929" s="2" t="str">
        <f aca="false">LEFT(C2929,3)</f>
        <v>753</v>
      </c>
      <c r="F2929" s="2" t="str">
        <f aca="false">IF(D2929="","",LEFT(D2929,3))</f>
        <v>744</v>
      </c>
      <c r="G2929" s="2" t="str">
        <f aca="false">IF(F2929="","",IF(E2929=F2929,"Yes","No"))</f>
        <v>No</v>
      </c>
      <c r="H2929" s="2" t="n">
        <f aca="false">IF(D2929="",0,1/COUNTIF($D$2:$D$3451,D2929))</f>
        <v>1</v>
      </c>
      <c r="I2929" s="13" t="n">
        <f aca="false">IFERROR(INDEX('NCO-2015 scores'!$C$2:$C$131,MATCH(E2929,'NCO-2015 scores'!$A$2:$A$131,0)),0)</f>
        <v>0.15</v>
      </c>
      <c r="J2929" s="13" t="n">
        <f aca="false">IF(ISNUMBER(MATCH(E2929,'NCO-2015 scores'!$A$2:$A$131,0)),IF(ISNUMBER(INDEX('NCO-2015 scores'!$C$2:$C$131,MATCH(E2929,'NCO-2015 scores'!$A$2:$A$131,0))),1,0),0)</f>
        <v>1</v>
      </c>
    </row>
    <row r="2930" customFormat="false" ht="15" hidden="false" customHeight="false" outlineLevel="0" collapsed="false">
      <c r="A2930" s="2" t="n">
        <v>2926</v>
      </c>
      <c r="B2930" s="2" t="s">
        <v>8550</v>
      </c>
      <c r="C2930" s="2" t="s">
        <v>8551</v>
      </c>
      <c r="D2930" s="2" t="s">
        <v>8552</v>
      </c>
      <c r="E2930" s="2" t="str">
        <f aca="false">LEFT(C2930,3)</f>
        <v>753</v>
      </c>
      <c r="F2930" s="2" t="str">
        <f aca="false">IF(D2930="","",LEFT(D2930,3))</f>
        <v>744</v>
      </c>
      <c r="G2930" s="2" t="str">
        <f aca="false">IF(F2930="","",IF(E2930=F2930,"Yes","No"))</f>
        <v>No</v>
      </c>
      <c r="H2930" s="2" t="n">
        <f aca="false">IF(D2930="",0,1/COUNTIF($D$2:$D$3451,D2930))</f>
        <v>1</v>
      </c>
      <c r="I2930" s="13" t="n">
        <f aca="false">IFERROR(INDEX('NCO-2015 scores'!$C$2:$C$131,MATCH(E2930,'NCO-2015 scores'!$A$2:$A$131,0)),0)</f>
        <v>0.15</v>
      </c>
      <c r="J2930" s="13" t="n">
        <f aca="false">IF(ISNUMBER(MATCH(E2930,'NCO-2015 scores'!$A$2:$A$131,0)),IF(ISNUMBER(INDEX('NCO-2015 scores'!$C$2:$C$131,MATCH(E2930,'NCO-2015 scores'!$A$2:$A$131,0))),1,0),0)</f>
        <v>1</v>
      </c>
    </row>
    <row r="2931" customFormat="false" ht="15" hidden="false" customHeight="false" outlineLevel="0" collapsed="false">
      <c r="A2931" s="2" t="n">
        <v>2927</v>
      </c>
      <c r="B2931" s="2" t="s">
        <v>8553</v>
      </c>
      <c r="C2931" s="2" t="s">
        <v>8554</v>
      </c>
      <c r="D2931" s="2" t="s">
        <v>8555</v>
      </c>
      <c r="E2931" s="2" t="str">
        <f aca="false">LEFT(C2931,3)</f>
        <v>753</v>
      </c>
      <c r="F2931" s="2" t="str">
        <f aca="false">IF(D2931="","",LEFT(D2931,3))</f>
        <v>744</v>
      </c>
      <c r="G2931" s="2" t="str">
        <f aca="false">IF(F2931="","",IF(E2931=F2931,"Yes","No"))</f>
        <v>No</v>
      </c>
      <c r="H2931" s="2" t="n">
        <f aca="false">IF(D2931="",0,1/COUNTIF($D$2:$D$3451,D2931))</f>
        <v>1</v>
      </c>
      <c r="I2931" s="13" t="n">
        <f aca="false">IFERROR(INDEX('NCO-2015 scores'!$C$2:$C$131,MATCH(E2931,'NCO-2015 scores'!$A$2:$A$131,0)),0)</f>
        <v>0.15</v>
      </c>
      <c r="J2931" s="13" t="n">
        <f aca="false">IF(ISNUMBER(MATCH(E2931,'NCO-2015 scores'!$A$2:$A$131,0)),IF(ISNUMBER(INDEX('NCO-2015 scores'!$C$2:$C$131,MATCH(E2931,'NCO-2015 scores'!$A$2:$A$131,0))),1,0),0)</f>
        <v>1</v>
      </c>
    </row>
    <row r="2932" customFormat="false" ht="15" hidden="false" customHeight="false" outlineLevel="0" collapsed="false">
      <c r="A2932" s="2" t="n">
        <v>2928</v>
      </c>
      <c r="B2932" s="2" t="s">
        <v>8556</v>
      </c>
      <c r="C2932" s="2" t="s">
        <v>8557</v>
      </c>
      <c r="D2932" s="2" t="s">
        <v>8558</v>
      </c>
      <c r="E2932" s="2" t="str">
        <f aca="false">LEFT(C2932,3)</f>
        <v>753</v>
      </c>
      <c r="F2932" s="2" t="str">
        <f aca="false">IF(D2932="","",LEFT(D2932,3))</f>
        <v>744</v>
      </c>
      <c r="G2932" s="2" t="str">
        <f aca="false">IF(F2932="","",IF(E2932=F2932,"Yes","No"))</f>
        <v>No</v>
      </c>
      <c r="H2932" s="2" t="n">
        <f aca="false">IF(D2932="",0,1/COUNTIF($D$2:$D$3451,D2932))</f>
        <v>1</v>
      </c>
      <c r="I2932" s="13" t="n">
        <f aca="false">IFERROR(INDEX('NCO-2015 scores'!$C$2:$C$131,MATCH(E2932,'NCO-2015 scores'!$A$2:$A$131,0)),0)</f>
        <v>0.15</v>
      </c>
      <c r="J2932" s="13" t="n">
        <f aca="false">IF(ISNUMBER(MATCH(E2932,'NCO-2015 scores'!$A$2:$A$131,0)),IF(ISNUMBER(INDEX('NCO-2015 scores'!$C$2:$C$131,MATCH(E2932,'NCO-2015 scores'!$A$2:$A$131,0))),1,0),0)</f>
        <v>1</v>
      </c>
    </row>
    <row r="2933" customFormat="false" ht="15" hidden="false" customHeight="false" outlineLevel="0" collapsed="false">
      <c r="A2933" s="2" t="n">
        <v>2929</v>
      </c>
      <c r="B2933" s="2" t="s">
        <v>8559</v>
      </c>
      <c r="C2933" s="2" t="s">
        <v>8560</v>
      </c>
      <c r="D2933" s="2" t="s">
        <v>8561</v>
      </c>
      <c r="E2933" s="2" t="str">
        <f aca="false">LEFT(C2933,3)</f>
        <v>753</v>
      </c>
      <c r="F2933" s="2" t="str">
        <f aca="false">IF(D2933="","",LEFT(D2933,3))</f>
        <v>744</v>
      </c>
      <c r="G2933" s="2" t="str">
        <f aca="false">IF(F2933="","",IF(E2933=F2933,"Yes","No"))</f>
        <v>No</v>
      </c>
      <c r="H2933" s="2" t="n">
        <f aca="false">IF(D2933="",0,1/COUNTIF($D$2:$D$3451,D2933))</f>
        <v>1</v>
      </c>
      <c r="I2933" s="13" t="n">
        <f aca="false">IFERROR(INDEX('NCO-2015 scores'!$C$2:$C$131,MATCH(E2933,'NCO-2015 scores'!$A$2:$A$131,0)),0)</f>
        <v>0.15</v>
      </c>
      <c r="J2933" s="13" t="n">
        <f aca="false">IF(ISNUMBER(MATCH(E2933,'NCO-2015 scores'!$A$2:$A$131,0)),IF(ISNUMBER(INDEX('NCO-2015 scores'!$C$2:$C$131,MATCH(E2933,'NCO-2015 scores'!$A$2:$A$131,0))),1,0),0)</f>
        <v>1</v>
      </c>
    </row>
    <row r="2934" customFormat="false" ht="15" hidden="false" customHeight="false" outlineLevel="0" collapsed="false">
      <c r="A2934" s="2" t="n">
        <v>2930</v>
      </c>
      <c r="B2934" s="2" t="s">
        <v>8562</v>
      </c>
      <c r="C2934" s="2" t="s">
        <v>8563</v>
      </c>
      <c r="D2934" s="2" t="s">
        <v>8564</v>
      </c>
      <c r="E2934" s="2" t="str">
        <f aca="false">LEFT(C2934,3)</f>
        <v>753</v>
      </c>
      <c r="F2934" s="2" t="str">
        <f aca="false">IF(D2934="","",LEFT(D2934,3))</f>
        <v>744</v>
      </c>
      <c r="G2934" s="2" t="str">
        <f aca="false">IF(F2934="","",IF(E2934=F2934,"Yes","No"))</f>
        <v>No</v>
      </c>
      <c r="H2934" s="2" t="n">
        <f aca="false">IF(D2934="",0,1/COUNTIF($D$2:$D$3451,D2934))</f>
        <v>1</v>
      </c>
      <c r="I2934" s="13" t="n">
        <f aca="false">IFERROR(INDEX('NCO-2015 scores'!$C$2:$C$131,MATCH(E2934,'NCO-2015 scores'!$A$2:$A$131,0)),0)</f>
        <v>0.15</v>
      </c>
      <c r="J2934" s="13" t="n">
        <f aca="false">IF(ISNUMBER(MATCH(E2934,'NCO-2015 scores'!$A$2:$A$131,0)),IF(ISNUMBER(INDEX('NCO-2015 scores'!$C$2:$C$131,MATCH(E2934,'NCO-2015 scores'!$A$2:$A$131,0))),1,0),0)</f>
        <v>1</v>
      </c>
    </row>
    <row r="2935" customFormat="false" ht="15" hidden="false" customHeight="false" outlineLevel="0" collapsed="false">
      <c r="A2935" s="2" t="n">
        <v>2931</v>
      </c>
      <c r="B2935" s="2" t="s">
        <v>8565</v>
      </c>
      <c r="C2935" s="2" t="s">
        <v>8566</v>
      </c>
      <c r="D2935" s="2" t="s">
        <v>8567</v>
      </c>
      <c r="E2935" s="2" t="str">
        <f aca="false">LEFT(C2935,3)</f>
        <v>753</v>
      </c>
      <c r="F2935" s="2" t="str">
        <f aca="false">IF(D2935="","",LEFT(D2935,3))</f>
        <v>744</v>
      </c>
      <c r="G2935" s="2" t="str">
        <f aca="false">IF(F2935="","",IF(E2935=F2935,"Yes","No"))</f>
        <v>No</v>
      </c>
      <c r="H2935" s="2" t="n">
        <f aca="false">IF(D2935="",0,1/COUNTIF($D$2:$D$3451,D2935))</f>
        <v>1</v>
      </c>
      <c r="I2935" s="13" t="n">
        <f aca="false">IFERROR(INDEX('NCO-2015 scores'!$C$2:$C$131,MATCH(E2935,'NCO-2015 scores'!$A$2:$A$131,0)),0)</f>
        <v>0.15</v>
      </c>
      <c r="J2935" s="13" t="n">
        <f aca="false">IF(ISNUMBER(MATCH(E2935,'NCO-2015 scores'!$A$2:$A$131,0)),IF(ISNUMBER(INDEX('NCO-2015 scores'!$C$2:$C$131,MATCH(E2935,'NCO-2015 scores'!$A$2:$A$131,0))),1,0),0)</f>
        <v>1</v>
      </c>
    </row>
    <row r="2936" customFormat="false" ht="15" hidden="false" customHeight="false" outlineLevel="0" collapsed="false">
      <c r="A2936" s="2" t="n">
        <v>2932</v>
      </c>
      <c r="B2936" s="2" t="s">
        <v>8568</v>
      </c>
      <c r="C2936" s="2" t="s">
        <v>8569</v>
      </c>
      <c r="D2936" s="2" t="s">
        <v>8570</v>
      </c>
      <c r="E2936" s="2" t="str">
        <f aca="false">LEFT(C2936,3)</f>
        <v>753</v>
      </c>
      <c r="F2936" s="2" t="str">
        <f aca="false">IF(D2936="","",LEFT(D2936,3))</f>
        <v>744</v>
      </c>
      <c r="G2936" s="2" t="str">
        <f aca="false">IF(F2936="","",IF(E2936=F2936,"Yes","No"))</f>
        <v>No</v>
      </c>
      <c r="H2936" s="2" t="n">
        <f aca="false">IF(D2936="",0,1/COUNTIF($D$2:$D$3451,D2936))</f>
        <v>1</v>
      </c>
      <c r="I2936" s="13" t="n">
        <f aca="false">IFERROR(INDEX('NCO-2015 scores'!$C$2:$C$131,MATCH(E2936,'NCO-2015 scores'!$A$2:$A$131,0)),0)</f>
        <v>0.15</v>
      </c>
      <c r="J2936" s="13" t="n">
        <f aca="false">IF(ISNUMBER(MATCH(E2936,'NCO-2015 scores'!$A$2:$A$131,0)),IF(ISNUMBER(INDEX('NCO-2015 scores'!$C$2:$C$131,MATCH(E2936,'NCO-2015 scores'!$A$2:$A$131,0))),1,0),0)</f>
        <v>1</v>
      </c>
    </row>
    <row r="2937" customFormat="false" ht="15" hidden="false" customHeight="false" outlineLevel="0" collapsed="false">
      <c r="A2937" s="2" t="n">
        <v>2933</v>
      </c>
      <c r="B2937" s="2" t="s">
        <v>8571</v>
      </c>
      <c r="C2937" s="2" t="s">
        <v>8572</v>
      </c>
      <c r="D2937" s="2" t="s">
        <v>8573</v>
      </c>
      <c r="E2937" s="2" t="str">
        <f aca="false">LEFT(C2937,3)</f>
        <v>753</v>
      </c>
      <c r="F2937" s="2" t="str">
        <f aca="false">IF(D2937="","",LEFT(D2937,3))</f>
        <v>744</v>
      </c>
      <c r="G2937" s="2" t="str">
        <f aca="false">IF(F2937="","",IF(E2937=F2937,"Yes","No"))</f>
        <v>No</v>
      </c>
      <c r="H2937" s="2" t="n">
        <f aca="false">IF(D2937="",0,1/COUNTIF($D$2:$D$3451,D2937))</f>
        <v>1</v>
      </c>
      <c r="I2937" s="13" t="n">
        <f aca="false">IFERROR(INDEX('NCO-2015 scores'!$C$2:$C$131,MATCH(E2937,'NCO-2015 scores'!$A$2:$A$131,0)),0)</f>
        <v>0.15</v>
      </c>
      <c r="J2937" s="13" t="n">
        <f aca="false">IF(ISNUMBER(MATCH(E2937,'NCO-2015 scores'!$A$2:$A$131,0)),IF(ISNUMBER(INDEX('NCO-2015 scores'!$C$2:$C$131,MATCH(E2937,'NCO-2015 scores'!$A$2:$A$131,0))),1,0),0)</f>
        <v>1</v>
      </c>
    </row>
    <row r="2938" customFormat="false" ht="15" hidden="false" customHeight="false" outlineLevel="0" collapsed="false">
      <c r="A2938" s="2" t="n">
        <v>2934</v>
      </c>
      <c r="B2938" s="2" t="s">
        <v>8574</v>
      </c>
      <c r="C2938" s="2" t="s">
        <v>8575</v>
      </c>
      <c r="D2938" s="2" t="s">
        <v>8576</v>
      </c>
      <c r="E2938" s="2" t="str">
        <f aca="false">LEFT(C2938,3)</f>
        <v>753</v>
      </c>
      <c r="F2938" s="2" t="str">
        <f aca="false">IF(D2938="","",LEFT(D2938,3))</f>
        <v>744</v>
      </c>
      <c r="G2938" s="2" t="str">
        <f aca="false">IF(F2938="","",IF(E2938=F2938,"Yes","No"))</f>
        <v>No</v>
      </c>
      <c r="H2938" s="2" t="n">
        <f aca="false">IF(D2938="",0,1/COUNTIF($D$2:$D$3451,D2938))</f>
        <v>1</v>
      </c>
      <c r="I2938" s="13" t="n">
        <f aca="false">IFERROR(INDEX('NCO-2015 scores'!$C$2:$C$131,MATCH(E2938,'NCO-2015 scores'!$A$2:$A$131,0)),0)</f>
        <v>0.15</v>
      </c>
      <c r="J2938" s="13" t="n">
        <f aca="false">IF(ISNUMBER(MATCH(E2938,'NCO-2015 scores'!$A$2:$A$131,0)),IF(ISNUMBER(INDEX('NCO-2015 scores'!$C$2:$C$131,MATCH(E2938,'NCO-2015 scores'!$A$2:$A$131,0))),1,0),0)</f>
        <v>1</v>
      </c>
    </row>
    <row r="2939" customFormat="false" ht="15" hidden="false" customHeight="false" outlineLevel="0" collapsed="false">
      <c r="A2939" s="2" t="n">
        <v>2935</v>
      </c>
      <c r="B2939" s="2" t="s">
        <v>8577</v>
      </c>
      <c r="C2939" s="2" t="s">
        <v>8578</v>
      </c>
      <c r="D2939" s="2" t="s">
        <v>8579</v>
      </c>
      <c r="E2939" s="2" t="str">
        <f aca="false">LEFT(C2939,3)</f>
        <v>753</v>
      </c>
      <c r="F2939" s="2" t="str">
        <f aca="false">IF(D2939="","",LEFT(D2939,3))</f>
        <v>744</v>
      </c>
      <c r="G2939" s="2" t="str">
        <f aca="false">IF(F2939="","",IF(E2939=F2939,"Yes","No"))</f>
        <v>No</v>
      </c>
      <c r="H2939" s="2" t="n">
        <f aca="false">IF(D2939="",0,1/COUNTIF($D$2:$D$3451,D2939))</f>
        <v>1</v>
      </c>
      <c r="I2939" s="13" t="n">
        <f aca="false">IFERROR(INDEX('NCO-2015 scores'!$C$2:$C$131,MATCH(E2939,'NCO-2015 scores'!$A$2:$A$131,0)),0)</f>
        <v>0.15</v>
      </c>
      <c r="J2939" s="13" t="n">
        <f aca="false">IF(ISNUMBER(MATCH(E2939,'NCO-2015 scores'!$A$2:$A$131,0)),IF(ISNUMBER(INDEX('NCO-2015 scores'!$C$2:$C$131,MATCH(E2939,'NCO-2015 scores'!$A$2:$A$131,0))),1,0),0)</f>
        <v>1</v>
      </c>
    </row>
    <row r="2940" customFormat="false" ht="15" hidden="false" customHeight="false" outlineLevel="0" collapsed="false">
      <c r="A2940" s="2" t="n">
        <v>2936</v>
      </c>
      <c r="B2940" s="2" t="s">
        <v>8580</v>
      </c>
      <c r="C2940" s="2" t="s">
        <v>8581</v>
      </c>
      <c r="D2940" s="2"/>
      <c r="E2940" s="2" t="str">
        <f aca="false">LEFT(C2940,3)</f>
        <v>522</v>
      </c>
      <c r="F2940" s="2" t="str">
        <f aca="false">IF(D2940="","",LEFT(D2940,3))</f>
        <v/>
      </c>
      <c r="G2940" s="2" t="str">
        <f aca="false">IF(F2940="","",IF(E2940=F2940,"Yes","No"))</f>
        <v/>
      </c>
      <c r="H2940" s="2" t="n">
        <f aca="false">IF(D2940="",0,1/COUNTIF($D$2:$D$3451,D2940))</f>
        <v>0</v>
      </c>
      <c r="I2940" s="13" t="n">
        <f aca="false">IFERROR(INDEX('NCO-2015 scores'!$C$2:$C$131,MATCH(E2940,'NCO-2015 scores'!$A$2:$A$131,0)),0)</f>
        <v>0.39</v>
      </c>
      <c r="J2940" s="13" t="n">
        <f aca="false">IF(ISNUMBER(MATCH(E2940,'NCO-2015 scores'!$A$2:$A$131,0)),IF(ISNUMBER(INDEX('NCO-2015 scores'!$C$2:$C$131,MATCH(E2940,'NCO-2015 scores'!$A$2:$A$131,0))),1,0),0)</f>
        <v>1</v>
      </c>
    </row>
    <row r="2941" customFormat="false" ht="15" hidden="false" customHeight="false" outlineLevel="0" collapsed="false">
      <c r="A2941" s="2" t="n">
        <v>2937</v>
      </c>
      <c r="B2941" s="2" t="s">
        <v>8582</v>
      </c>
      <c r="C2941" s="2" t="s">
        <v>8583</v>
      </c>
      <c r="D2941" s="2" t="s">
        <v>8584</v>
      </c>
      <c r="E2941" s="2" t="str">
        <f aca="false">LEFT(C2941,3)</f>
        <v>522</v>
      </c>
      <c r="F2941" s="2" t="str">
        <f aca="false">IF(D2941="","",LEFT(D2941,3))</f>
        <v>522</v>
      </c>
      <c r="G2941" s="2" t="str">
        <f aca="false">IF(F2941="","",IF(E2941=F2941,"Yes","No"))</f>
        <v>Yes</v>
      </c>
      <c r="H2941" s="2" t="n">
        <f aca="false">IF(D2941="",0,1/COUNTIF($D$2:$D$3451,D2941))</f>
        <v>1</v>
      </c>
      <c r="I2941" s="13" t="n">
        <f aca="false">IFERROR(INDEX('NCO-2015 scores'!$C$2:$C$131,MATCH(E2941,'NCO-2015 scores'!$A$2:$A$131,0)),0)</f>
        <v>0.39</v>
      </c>
      <c r="J2941" s="13" t="n">
        <f aca="false">IF(ISNUMBER(MATCH(E2941,'NCO-2015 scores'!$A$2:$A$131,0)),IF(ISNUMBER(INDEX('NCO-2015 scores'!$C$2:$C$131,MATCH(E2941,'NCO-2015 scores'!$A$2:$A$131,0))),1,0),0)</f>
        <v>1</v>
      </c>
    </row>
    <row r="2942" customFormat="false" ht="15" hidden="false" customHeight="false" outlineLevel="0" collapsed="false">
      <c r="A2942" s="2" t="n">
        <v>2938</v>
      </c>
      <c r="B2942" s="2" t="s">
        <v>8585</v>
      </c>
      <c r="C2942" s="2" t="s">
        <v>8586</v>
      </c>
      <c r="D2942" s="2"/>
      <c r="E2942" s="2" t="str">
        <f aca="false">LEFT(C2942,3)</f>
        <v>522</v>
      </c>
      <c r="F2942" s="2" t="str">
        <f aca="false">IF(D2942="","",LEFT(D2942,3))</f>
        <v/>
      </c>
      <c r="G2942" s="2" t="str">
        <f aca="false">IF(F2942="","",IF(E2942=F2942,"Yes","No"))</f>
        <v/>
      </c>
      <c r="H2942" s="2" t="n">
        <f aca="false">IF(D2942="",0,1/COUNTIF($D$2:$D$3451,D2942))</f>
        <v>0</v>
      </c>
      <c r="I2942" s="13" t="n">
        <f aca="false">IFERROR(INDEX('NCO-2015 scores'!$C$2:$C$131,MATCH(E2942,'NCO-2015 scores'!$A$2:$A$131,0)),0)</f>
        <v>0.39</v>
      </c>
      <c r="J2942" s="13" t="n">
        <f aca="false">IF(ISNUMBER(MATCH(E2942,'NCO-2015 scores'!$A$2:$A$131,0)),IF(ISNUMBER(INDEX('NCO-2015 scores'!$C$2:$C$131,MATCH(E2942,'NCO-2015 scores'!$A$2:$A$131,0))),1,0),0)</f>
        <v>1</v>
      </c>
    </row>
    <row r="2943" customFormat="false" ht="15" hidden="false" customHeight="false" outlineLevel="0" collapsed="false">
      <c r="A2943" s="2" t="n">
        <v>2939</v>
      </c>
      <c r="B2943" s="2" t="s">
        <v>8587</v>
      </c>
      <c r="C2943" s="2" t="s">
        <v>8588</v>
      </c>
      <c r="D2943" s="2"/>
      <c r="E2943" s="2" t="str">
        <f aca="false">LEFT(C2943,3)</f>
        <v>522</v>
      </c>
      <c r="F2943" s="2" t="str">
        <f aca="false">IF(D2943="","",LEFT(D2943,3))</f>
        <v/>
      </c>
      <c r="G2943" s="2" t="str">
        <f aca="false">IF(F2943="","",IF(E2943=F2943,"Yes","No"))</f>
        <v/>
      </c>
      <c r="H2943" s="2" t="n">
        <f aca="false">IF(D2943="",0,1/COUNTIF($D$2:$D$3451,D2943))</f>
        <v>0</v>
      </c>
      <c r="I2943" s="13" t="n">
        <f aca="false">IFERROR(INDEX('NCO-2015 scores'!$C$2:$C$131,MATCH(E2943,'NCO-2015 scores'!$A$2:$A$131,0)),0)</f>
        <v>0.39</v>
      </c>
      <c r="J2943" s="13" t="n">
        <f aca="false">IF(ISNUMBER(MATCH(E2943,'NCO-2015 scores'!$A$2:$A$131,0)),IF(ISNUMBER(INDEX('NCO-2015 scores'!$C$2:$C$131,MATCH(E2943,'NCO-2015 scores'!$A$2:$A$131,0))),1,0),0)</f>
        <v>1</v>
      </c>
    </row>
    <row r="2944" customFormat="false" ht="15" hidden="false" customHeight="false" outlineLevel="0" collapsed="false">
      <c r="A2944" s="2" t="n">
        <v>2940</v>
      </c>
      <c r="B2944" s="2" t="s">
        <v>8589</v>
      </c>
      <c r="C2944" s="2" t="s">
        <v>8590</v>
      </c>
      <c r="D2944" s="2"/>
      <c r="E2944" s="2" t="str">
        <f aca="false">LEFT(C2944,3)</f>
        <v>522</v>
      </c>
      <c r="F2944" s="2" t="str">
        <f aca="false">IF(D2944="","",LEFT(D2944,3))</f>
        <v/>
      </c>
      <c r="G2944" s="2" t="str">
        <f aca="false">IF(F2944="","",IF(E2944=F2944,"Yes","No"))</f>
        <v/>
      </c>
      <c r="H2944" s="2" t="n">
        <f aca="false">IF(D2944="",0,1/COUNTIF($D$2:$D$3451,D2944))</f>
        <v>0</v>
      </c>
      <c r="I2944" s="13" t="n">
        <f aca="false">IFERROR(INDEX('NCO-2015 scores'!$C$2:$C$131,MATCH(E2944,'NCO-2015 scores'!$A$2:$A$131,0)),0)</f>
        <v>0.39</v>
      </c>
      <c r="J2944" s="13" t="n">
        <f aca="false">IF(ISNUMBER(MATCH(E2944,'NCO-2015 scores'!$A$2:$A$131,0)),IF(ISNUMBER(INDEX('NCO-2015 scores'!$C$2:$C$131,MATCH(E2944,'NCO-2015 scores'!$A$2:$A$131,0))),1,0),0)</f>
        <v>1</v>
      </c>
    </row>
    <row r="2945" customFormat="false" ht="15" hidden="false" customHeight="false" outlineLevel="0" collapsed="false">
      <c r="A2945" s="2" t="n">
        <v>2941</v>
      </c>
      <c r="B2945" s="2" t="s">
        <v>8591</v>
      </c>
      <c r="C2945" s="2" t="s">
        <v>8592</v>
      </c>
      <c r="D2945" s="2"/>
      <c r="E2945" s="2" t="str">
        <f aca="false">LEFT(C2945,3)</f>
        <v>522</v>
      </c>
      <c r="F2945" s="2" t="str">
        <f aca="false">IF(D2945="","",LEFT(D2945,3))</f>
        <v/>
      </c>
      <c r="G2945" s="2" t="str">
        <f aca="false">IF(F2945="","",IF(E2945=F2945,"Yes","No"))</f>
        <v/>
      </c>
      <c r="H2945" s="2" t="n">
        <f aca="false">IF(D2945="",0,1/COUNTIF($D$2:$D$3451,D2945))</f>
        <v>0</v>
      </c>
      <c r="I2945" s="13" t="n">
        <f aca="false">IFERROR(INDEX('NCO-2015 scores'!$C$2:$C$131,MATCH(E2945,'NCO-2015 scores'!$A$2:$A$131,0)),0)</f>
        <v>0.39</v>
      </c>
      <c r="J2945" s="13" t="n">
        <f aca="false">IF(ISNUMBER(MATCH(E2945,'NCO-2015 scores'!$A$2:$A$131,0)),IF(ISNUMBER(INDEX('NCO-2015 scores'!$C$2:$C$131,MATCH(E2945,'NCO-2015 scores'!$A$2:$A$131,0))),1,0),0)</f>
        <v>1</v>
      </c>
    </row>
    <row r="2946" customFormat="false" ht="15" hidden="false" customHeight="false" outlineLevel="0" collapsed="false">
      <c r="A2946" s="2" t="n">
        <v>2942</v>
      </c>
      <c r="B2946" s="2" t="s">
        <v>2114</v>
      </c>
      <c r="C2946" s="2" t="s">
        <v>8593</v>
      </c>
      <c r="D2946" s="2" t="s">
        <v>8594</v>
      </c>
      <c r="E2946" s="2" t="str">
        <f aca="false">LEFT(C2946,3)</f>
        <v>522</v>
      </c>
      <c r="F2946" s="2" t="str">
        <f aca="false">IF(D2946="","",LEFT(D2946,3))</f>
        <v>522</v>
      </c>
      <c r="G2946" s="2" t="str">
        <f aca="false">IF(F2946="","",IF(E2946=F2946,"Yes","No"))</f>
        <v>Yes</v>
      </c>
      <c r="H2946" s="2" t="n">
        <f aca="false">IF(D2946="",0,1/COUNTIF($D$2:$D$3451,D2946))</f>
        <v>1</v>
      </c>
      <c r="I2946" s="13" t="n">
        <f aca="false">IFERROR(INDEX('NCO-2015 scores'!$C$2:$C$131,MATCH(E2946,'NCO-2015 scores'!$A$2:$A$131,0)),0)</f>
        <v>0.39</v>
      </c>
      <c r="J2946" s="13" t="n">
        <f aca="false">IF(ISNUMBER(MATCH(E2946,'NCO-2015 scores'!$A$2:$A$131,0)),IF(ISNUMBER(INDEX('NCO-2015 scores'!$C$2:$C$131,MATCH(E2946,'NCO-2015 scores'!$A$2:$A$131,0))),1,0),0)</f>
        <v>1</v>
      </c>
    </row>
    <row r="2947" customFormat="false" ht="15" hidden="false" customHeight="false" outlineLevel="0" collapsed="false">
      <c r="A2947" s="2" t="n">
        <v>2943</v>
      </c>
      <c r="B2947" s="2" t="s">
        <v>8595</v>
      </c>
      <c r="C2947" s="2" t="s">
        <v>8596</v>
      </c>
      <c r="D2947" s="2"/>
      <c r="E2947" s="2" t="str">
        <f aca="false">LEFT(C2947,3)</f>
        <v>522</v>
      </c>
      <c r="F2947" s="2" t="str">
        <f aca="false">IF(D2947="","",LEFT(D2947,3))</f>
        <v/>
      </c>
      <c r="G2947" s="2" t="str">
        <f aca="false">IF(F2947="","",IF(E2947=F2947,"Yes","No"))</f>
        <v/>
      </c>
      <c r="H2947" s="2" t="n">
        <f aca="false">IF(D2947="",0,1/COUNTIF($D$2:$D$3451,D2947))</f>
        <v>0</v>
      </c>
      <c r="I2947" s="13" t="n">
        <f aca="false">IFERROR(INDEX('NCO-2015 scores'!$C$2:$C$131,MATCH(E2947,'NCO-2015 scores'!$A$2:$A$131,0)),0)</f>
        <v>0.39</v>
      </c>
      <c r="J2947" s="13" t="n">
        <f aca="false">IF(ISNUMBER(MATCH(E2947,'NCO-2015 scores'!$A$2:$A$131,0)),IF(ISNUMBER(INDEX('NCO-2015 scores'!$C$2:$C$131,MATCH(E2947,'NCO-2015 scores'!$A$2:$A$131,0))),1,0),0)</f>
        <v>1</v>
      </c>
    </row>
    <row r="2948" customFormat="false" ht="15" hidden="false" customHeight="false" outlineLevel="0" collapsed="false">
      <c r="A2948" s="2" t="n">
        <v>2944</v>
      </c>
      <c r="B2948" s="2" t="s">
        <v>8597</v>
      </c>
      <c r="C2948" s="2" t="s">
        <v>8598</v>
      </c>
      <c r="D2948" s="2" t="s">
        <v>8599</v>
      </c>
      <c r="E2948" s="2" t="str">
        <f aca="false">LEFT(C2948,3)</f>
        <v>522</v>
      </c>
      <c r="F2948" s="2" t="str">
        <f aca="false">IF(D2948="","",LEFT(D2948,3))</f>
        <v>522</v>
      </c>
      <c r="G2948" s="2" t="str">
        <f aca="false">IF(F2948="","",IF(E2948=F2948,"Yes","No"))</f>
        <v>Yes</v>
      </c>
      <c r="H2948" s="2" t="n">
        <f aca="false">IF(D2948="",0,1/COUNTIF($D$2:$D$3451,D2948))</f>
        <v>1</v>
      </c>
      <c r="I2948" s="13" t="n">
        <f aca="false">IFERROR(INDEX('NCO-2015 scores'!$C$2:$C$131,MATCH(E2948,'NCO-2015 scores'!$A$2:$A$131,0)),0)</f>
        <v>0.39</v>
      </c>
      <c r="J2948" s="13" t="n">
        <f aca="false">IF(ISNUMBER(MATCH(E2948,'NCO-2015 scores'!$A$2:$A$131,0)),IF(ISNUMBER(INDEX('NCO-2015 scores'!$C$2:$C$131,MATCH(E2948,'NCO-2015 scores'!$A$2:$A$131,0))),1,0),0)</f>
        <v>1</v>
      </c>
    </row>
    <row r="2949" customFormat="false" ht="15" hidden="false" customHeight="false" outlineLevel="0" collapsed="false">
      <c r="A2949" s="2" t="n">
        <v>2945</v>
      </c>
      <c r="B2949" s="2" t="s">
        <v>8600</v>
      </c>
      <c r="C2949" s="2" t="s">
        <v>8601</v>
      </c>
      <c r="D2949" s="2" t="s">
        <v>8602</v>
      </c>
      <c r="E2949" s="2" t="str">
        <f aca="false">LEFT(C2949,3)</f>
        <v>754</v>
      </c>
      <c r="F2949" s="2" t="str">
        <f aca="false">IF(D2949="","",LEFT(D2949,3))</f>
        <v>711</v>
      </c>
      <c r="G2949" s="2" t="str">
        <f aca="false">IF(F2949="","",IF(E2949=F2949,"Yes","No"))</f>
        <v>No</v>
      </c>
      <c r="H2949" s="2" t="n">
        <f aca="false">IF(D2949="",0,1/COUNTIF($D$2:$D$3451,D2949))</f>
        <v>1</v>
      </c>
      <c r="I2949" s="13" t="n">
        <f aca="false">IFERROR(INDEX('NCO-2015 scores'!$C$2:$C$131,MATCH(E2949,'NCO-2015 scores'!$A$2:$A$131,0)),0)</f>
        <v>0.172</v>
      </c>
      <c r="J2949" s="13" t="n">
        <f aca="false">IF(ISNUMBER(MATCH(E2949,'NCO-2015 scores'!$A$2:$A$131,0)),IF(ISNUMBER(INDEX('NCO-2015 scores'!$C$2:$C$131,MATCH(E2949,'NCO-2015 scores'!$A$2:$A$131,0))),1,0),0)</f>
        <v>1</v>
      </c>
    </row>
    <row r="2950" customFormat="false" ht="15" hidden="false" customHeight="false" outlineLevel="0" collapsed="false">
      <c r="A2950" s="2" t="n">
        <v>2946</v>
      </c>
      <c r="B2950" s="2" t="s">
        <v>8603</v>
      </c>
      <c r="C2950" s="2" t="s">
        <v>8604</v>
      </c>
      <c r="D2950" s="2" t="s">
        <v>8605</v>
      </c>
      <c r="E2950" s="2" t="str">
        <f aca="false">LEFT(C2950,3)</f>
        <v>754</v>
      </c>
      <c r="F2950" s="2" t="str">
        <f aca="false">IF(D2950="","",LEFT(D2950,3))</f>
        <v>711</v>
      </c>
      <c r="G2950" s="2" t="str">
        <f aca="false">IF(F2950="","",IF(E2950=F2950,"Yes","No"))</f>
        <v>No</v>
      </c>
      <c r="H2950" s="2" t="n">
        <f aca="false">IF(D2950="",0,1/COUNTIF($D$2:$D$3451,D2950))</f>
        <v>1</v>
      </c>
      <c r="I2950" s="13" t="n">
        <f aca="false">IFERROR(INDEX('NCO-2015 scores'!$C$2:$C$131,MATCH(E2950,'NCO-2015 scores'!$A$2:$A$131,0)),0)</f>
        <v>0.172</v>
      </c>
      <c r="J2950" s="13" t="n">
        <f aca="false">IF(ISNUMBER(MATCH(E2950,'NCO-2015 scores'!$A$2:$A$131,0)),IF(ISNUMBER(INDEX('NCO-2015 scores'!$C$2:$C$131,MATCH(E2950,'NCO-2015 scores'!$A$2:$A$131,0))),1,0),0)</f>
        <v>1</v>
      </c>
    </row>
    <row r="2951" customFormat="false" ht="15" hidden="false" customHeight="false" outlineLevel="0" collapsed="false">
      <c r="A2951" s="2" t="n">
        <v>2947</v>
      </c>
      <c r="B2951" s="2" t="s">
        <v>8606</v>
      </c>
      <c r="C2951" s="2" t="s">
        <v>8607</v>
      </c>
      <c r="D2951" s="2" t="s">
        <v>8608</v>
      </c>
      <c r="E2951" s="2" t="str">
        <f aca="false">LEFT(C2951,3)</f>
        <v>754</v>
      </c>
      <c r="F2951" s="2" t="str">
        <f aca="false">IF(D2951="","",LEFT(D2951,3))</f>
        <v>711</v>
      </c>
      <c r="G2951" s="2" t="str">
        <f aca="false">IF(F2951="","",IF(E2951=F2951,"Yes","No"))</f>
        <v>No</v>
      </c>
      <c r="H2951" s="2" t="n">
        <f aca="false">IF(D2951="",0,1/COUNTIF($D$2:$D$3451,D2951))</f>
        <v>1</v>
      </c>
      <c r="I2951" s="13" t="n">
        <f aca="false">IFERROR(INDEX('NCO-2015 scores'!$C$2:$C$131,MATCH(E2951,'NCO-2015 scores'!$A$2:$A$131,0)),0)</f>
        <v>0.172</v>
      </c>
      <c r="J2951" s="13" t="n">
        <f aca="false">IF(ISNUMBER(MATCH(E2951,'NCO-2015 scores'!$A$2:$A$131,0)),IF(ISNUMBER(INDEX('NCO-2015 scores'!$C$2:$C$131,MATCH(E2951,'NCO-2015 scores'!$A$2:$A$131,0))),1,0),0)</f>
        <v>1</v>
      </c>
    </row>
    <row r="2952" customFormat="false" ht="15" hidden="false" customHeight="false" outlineLevel="0" collapsed="false">
      <c r="A2952" s="2" t="n">
        <v>2948</v>
      </c>
      <c r="B2952" s="2" t="s">
        <v>8609</v>
      </c>
      <c r="C2952" s="2" t="s">
        <v>8610</v>
      </c>
      <c r="D2952" s="2" t="s">
        <v>8611</v>
      </c>
      <c r="E2952" s="2" t="str">
        <f aca="false">LEFT(C2952,3)</f>
        <v>754</v>
      </c>
      <c r="F2952" s="2" t="str">
        <f aca="false">IF(D2952="","",LEFT(D2952,3))</f>
        <v>711</v>
      </c>
      <c r="G2952" s="2" t="str">
        <f aca="false">IF(F2952="","",IF(E2952=F2952,"Yes","No"))</f>
        <v>No</v>
      </c>
      <c r="H2952" s="2" t="n">
        <f aca="false">IF(D2952="",0,1/COUNTIF($D$2:$D$3451,D2952))</f>
        <v>1</v>
      </c>
      <c r="I2952" s="13" t="n">
        <f aca="false">IFERROR(INDEX('NCO-2015 scores'!$C$2:$C$131,MATCH(E2952,'NCO-2015 scores'!$A$2:$A$131,0)),0)</f>
        <v>0.172</v>
      </c>
      <c r="J2952" s="13" t="n">
        <f aca="false">IF(ISNUMBER(MATCH(E2952,'NCO-2015 scores'!$A$2:$A$131,0)),IF(ISNUMBER(INDEX('NCO-2015 scores'!$C$2:$C$131,MATCH(E2952,'NCO-2015 scores'!$A$2:$A$131,0))),1,0),0)</f>
        <v>1</v>
      </c>
    </row>
    <row r="2953" customFormat="false" ht="15" hidden="false" customHeight="false" outlineLevel="0" collapsed="false">
      <c r="A2953" s="2" t="n">
        <v>2949</v>
      </c>
      <c r="B2953" s="2" t="s">
        <v>8612</v>
      </c>
      <c r="C2953" s="2" t="s">
        <v>8613</v>
      </c>
      <c r="D2953" s="2" t="s">
        <v>8614</v>
      </c>
      <c r="E2953" s="2" t="str">
        <f aca="false">LEFT(C2953,3)</f>
        <v>754</v>
      </c>
      <c r="F2953" s="2" t="str">
        <f aca="false">IF(D2953="","",LEFT(D2953,3))</f>
        <v>711</v>
      </c>
      <c r="G2953" s="2" t="str">
        <f aca="false">IF(F2953="","",IF(E2953=F2953,"Yes","No"))</f>
        <v>No</v>
      </c>
      <c r="H2953" s="2" t="n">
        <f aca="false">IF(D2953="",0,1/COUNTIF($D$2:$D$3451,D2953))</f>
        <v>1</v>
      </c>
      <c r="I2953" s="13" t="n">
        <f aca="false">IFERROR(INDEX('NCO-2015 scores'!$C$2:$C$131,MATCH(E2953,'NCO-2015 scores'!$A$2:$A$131,0)),0)</f>
        <v>0.172</v>
      </c>
      <c r="J2953" s="13" t="n">
        <f aca="false">IF(ISNUMBER(MATCH(E2953,'NCO-2015 scores'!$A$2:$A$131,0)),IF(ISNUMBER(INDEX('NCO-2015 scores'!$C$2:$C$131,MATCH(E2953,'NCO-2015 scores'!$A$2:$A$131,0))),1,0),0)</f>
        <v>1</v>
      </c>
    </row>
    <row r="2954" customFormat="false" ht="15" hidden="false" customHeight="false" outlineLevel="0" collapsed="false">
      <c r="A2954" s="2" t="n">
        <v>2950</v>
      </c>
      <c r="B2954" s="2" t="s">
        <v>8615</v>
      </c>
      <c r="C2954" s="2" t="s">
        <v>8616</v>
      </c>
      <c r="D2954" s="2" t="s">
        <v>8617</v>
      </c>
      <c r="E2954" s="2" t="str">
        <f aca="false">LEFT(C2954,3)</f>
        <v>754</v>
      </c>
      <c r="F2954" s="2" t="str">
        <f aca="false">IF(D2954="","",LEFT(D2954,3))</f>
        <v>711</v>
      </c>
      <c r="G2954" s="2" t="str">
        <f aca="false">IF(F2954="","",IF(E2954=F2954,"Yes","No"))</f>
        <v>No</v>
      </c>
      <c r="H2954" s="2" t="n">
        <f aca="false">IF(D2954="",0,1/COUNTIF($D$2:$D$3451,D2954))</f>
        <v>1</v>
      </c>
      <c r="I2954" s="13" t="n">
        <f aca="false">IFERROR(INDEX('NCO-2015 scores'!$C$2:$C$131,MATCH(E2954,'NCO-2015 scores'!$A$2:$A$131,0)),0)</f>
        <v>0.172</v>
      </c>
      <c r="J2954" s="13" t="n">
        <f aca="false">IF(ISNUMBER(MATCH(E2954,'NCO-2015 scores'!$A$2:$A$131,0)),IF(ISNUMBER(INDEX('NCO-2015 scores'!$C$2:$C$131,MATCH(E2954,'NCO-2015 scores'!$A$2:$A$131,0))),1,0),0)</f>
        <v>1</v>
      </c>
    </row>
    <row r="2955" customFormat="false" ht="15" hidden="false" customHeight="false" outlineLevel="0" collapsed="false">
      <c r="A2955" s="2" t="n">
        <v>2951</v>
      </c>
      <c r="B2955" s="2" t="s">
        <v>8618</v>
      </c>
      <c r="C2955" s="2" t="s">
        <v>8619</v>
      </c>
      <c r="D2955" s="2" t="s">
        <v>8620</v>
      </c>
      <c r="E2955" s="2" t="str">
        <f aca="false">LEFT(C2955,3)</f>
        <v>754</v>
      </c>
      <c r="F2955" s="2" t="str">
        <f aca="false">IF(D2955="","",LEFT(D2955,3))</f>
        <v>711</v>
      </c>
      <c r="G2955" s="2" t="str">
        <f aca="false">IF(F2955="","",IF(E2955=F2955,"Yes","No"))</f>
        <v>No</v>
      </c>
      <c r="H2955" s="2" t="n">
        <f aca="false">IF(D2955="",0,1/COUNTIF($D$2:$D$3451,D2955))</f>
        <v>1</v>
      </c>
      <c r="I2955" s="13" t="n">
        <f aca="false">IFERROR(INDEX('NCO-2015 scores'!$C$2:$C$131,MATCH(E2955,'NCO-2015 scores'!$A$2:$A$131,0)),0)</f>
        <v>0.172</v>
      </c>
      <c r="J2955" s="13" t="n">
        <f aca="false">IF(ISNUMBER(MATCH(E2955,'NCO-2015 scores'!$A$2:$A$131,0)),IF(ISNUMBER(INDEX('NCO-2015 scores'!$C$2:$C$131,MATCH(E2955,'NCO-2015 scores'!$A$2:$A$131,0))),1,0),0)</f>
        <v>1</v>
      </c>
    </row>
    <row r="2956" customFormat="false" ht="15" hidden="false" customHeight="false" outlineLevel="0" collapsed="false">
      <c r="A2956" s="2" t="n">
        <v>2952</v>
      </c>
      <c r="B2956" s="2" t="s">
        <v>8621</v>
      </c>
      <c r="C2956" s="2" t="s">
        <v>8622</v>
      </c>
      <c r="D2956" s="2" t="s">
        <v>8623</v>
      </c>
      <c r="E2956" s="2" t="str">
        <f aca="false">LEFT(C2956,3)</f>
        <v>754</v>
      </c>
      <c r="F2956" s="2" t="str">
        <f aca="false">IF(D2956="","",LEFT(D2956,3))</f>
        <v>711</v>
      </c>
      <c r="G2956" s="2" t="str">
        <f aca="false">IF(F2956="","",IF(E2956=F2956,"Yes","No"))</f>
        <v>No</v>
      </c>
      <c r="H2956" s="2" t="n">
        <f aca="false">IF(D2956="",0,1/COUNTIF($D$2:$D$3451,D2956))</f>
        <v>1</v>
      </c>
      <c r="I2956" s="13" t="n">
        <f aca="false">IFERROR(INDEX('NCO-2015 scores'!$C$2:$C$131,MATCH(E2956,'NCO-2015 scores'!$A$2:$A$131,0)),0)</f>
        <v>0.172</v>
      </c>
      <c r="J2956" s="13" t="n">
        <f aca="false">IF(ISNUMBER(MATCH(E2956,'NCO-2015 scores'!$A$2:$A$131,0)),IF(ISNUMBER(INDEX('NCO-2015 scores'!$C$2:$C$131,MATCH(E2956,'NCO-2015 scores'!$A$2:$A$131,0))),1,0),0)</f>
        <v>1</v>
      </c>
    </row>
    <row r="2957" customFormat="false" ht="15" hidden="false" customHeight="false" outlineLevel="0" collapsed="false">
      <c r="A2957" s="2" t="n">
        <v>2953</v>
      </c>
      <c r="B2957" s="2" t="s">
        <v>8624</v>
      </c>
      <c r="C2957" s="2" t="s">
        <v>8625</v>
      </c>
      <c r="D2957" s="2"/>
      <c r="E2957" s="2" t="str">
        <f aca="false">LEFT(C2957,3)</f>
        <v>754</v>
      </c>
      <c r="F2957" s="2" t="str">
        <f aca="false">IF(D2957="","",LEFT(D2957,3))</f>
        <v/>
      </c>
      <c r="G2957" s="2" t="str">
        <f aca="false">IF(F2957="","",IF(E2957=F2957,"Yes","No"))</f>
        <v/>
      </c>
      <c r="H2957" s="2" t="n">
        <f aca="false">IF(D2957="",0,1/COUNTIF($D$2:$D$3451,D2957))</f>
        <v>0</v>
      </c>
      <c r="I2957" s="13" t="n">
        <f aca="false">IFERROR(INDEX('NCO-2015 scores'!$C$2:$C$131,MATCH(E2957,'NCO-2015 scores'!$A$2:$A$131,0)),0)</f>
        <v>0.172</v>
      </c>
      <c r="J2957" s="13" t="n">
        <f aca="false">IF(ISNUMBER(MATCH(E2957,'NCO-2015 scores'!$A$2:$A$131,0)),IF(ISNUMBER(INDEX('NCO-2015 scores'!$C$2:$C$131,MATCH(E2957,'NCO-2015 scores'!$A$2:$A$131,0))),1,0),0)</f>
        <v>1</v>
      </c>
    </row>
    <row r="2958" customFormat="false" ht="15" hidden="false" customHeight="false" outlineLevel="0" collapsed="false">
      <c r="A2958" s="2" t="n">
        <v>2954</v>
      </c>
      <c r="B2958" s="2" t="s">
        <v>8626</v>
      </c>
      <c r="C2958" s="2" t="s">
        <v>8627</v>
      </c>
      <c r="D2958" s="2" t="s">
        <v>8628</v>
      </c>
      <c r="E2958" s="2" t="str">
        <f aca="false">LEFT(C2958,3)</f>
        <v>754</v>
      </c>
      <c r="F2958" s="2" t="str">
        <f aca="false">IF(D2958="","",LEFT(D2958,3))</f>
        <v>711</v>
      </c>
      <c r="G2958" s="2" t="str">
        <f aca="false">IF(F2958="","",IF(E2958=F2958,"Yes","No"))</f>
        <v>No</v>
      </c>
      <c r="H2958" s="2" t="n">
        <f aca="false">IF(D2958="",0,1/COUNTIF($D$2:$D$3451,D2958))</f>
        <v>1</v>
      </c>
      <c r="I2958" s="13" t="n">
        <f aca="false">IFERROR(INDEX('NCO-2015 scores'!$C$2:$C$131,MATCH(E2958,'NCO-2015 scores'!$A$2:$A$131,0)),0)</f>
        <v>0.172</v>
      </c>
      <c r="J2958" s="13" t="n">
        <f aca="false">IF(ISNUMBER(MATCH(E2958,'NCO-2015 scores'!$A$2:$A$131,0)),IF(ISNUMBER(INDEX('NCO-2015 scores'!$C$2:$C$131,MATCH(E2958,'NCO-2015 scores'!$A$2:$A$131,0))),1,0),0)</f>
        <v>1</v>
      </c>
    </row>
    <row r="2959" customFormat="false" ht="15" hidden="false" customHeight="false" outlineLevel="0" collapsed="false">
      <c r="A2959" s="2" t="n">
        <v>2955</v>
      </c>
      <c r="B2959" s="2" t="s">
        <v>8629</v>
      </c>
      <c r="C2959" s="2" t="s">
        <v>8630</v>
      </c>
      <c r="D2959" s="2" t="s">
        <v>8631</v>
      </c>
      <c r="E2959" s="2" t="str">
        <f aca="false">LEFT(C2959,3)</f>
        <v>731</v>
      </c>
      <c r="F2959" s="2" t="str">
        <f aca="false">IF(D2959="","",LEFT(D2959,3))</f>
        <v>732</v>
      </c>
      <c r="G2959" s="2" t="str">
        <f aca="false">IF(F2959="","",IF(E2959=F2959,"Yes","No"))</f>
        <v>No</v>
      </c>
      <c r="H2959" s="2" t="n">
        <f aca="false">IF(D2959="",0,1/COUNTIF($D$2:$D$3451,D2959))</f>
        <v>1</v>
      </c>
      <c r="I2959" s="13" t="n">
        <f aca="false">IFERROR(INDEX('NCO-2015 scores'!$C$2:$C$131,MATCH(E2959,'NCO-2015 scores'!$A$2:$A$131,0)),0)</f>
        <v>0.1688</v>
      </c>
      <c r="J2959" s="13" t="n">
        <f aca="false">IF(ISNUMBER(MATCH(E2959,'NCO-2015 scores'!$A$2:$A$131,0)),IF(ISNUMBER(INDEX('NCO-2015 scores'!$C$2:$C$131,MATCH(E2959,'NCO-2015 scores'!$A$2:$A$131,0))),1,0),0)</f>
        <v>1</v>
      </c>
    </row>
    <row r="2960" customFormat="false" ht="15" hidden="false" customHeight="false" outlineLevel="0" collapsed="false">
      <c r="A2960" s="2" t="n">
        <v>2956</v>
      </c>
      <c r="B2960" s="2" t="s">
        <v>8632</v>
      </c>
      <c r="C2960" s="2" t="s">
        <v>8633</v>
      </c>
      <c r="D2960" s="2" t="s">
        <v>8634</v>
      </c>
      <c r="E2960" s="2" t="str">
        <f aca="false">LEFT(C2960,3)</f>
        <v>731</v>
      </c>
      <c r="F2960" s="2" t="str">
        <f aca="false">IF(D2960="","",LEFT(D2960,3))</f>
        <v>732</v>
      </c>
      <c r="G2960" s="2" t="str">
        <f aca="false">IF(F2960="","",IF(E2960=F2960,"Yes","No"))</f>
        <v>No</v>
      </c>
      <c r="H2960" s="2" t="n">
        <f aca="false">IF(D2960="",0,1/COUNTIF($D$2:$D$3451,D2960))</f>
        <v>1</v>
      </c>
      <c r="I2960" s="13" t="n">
        <f aca="false">IFERROR(INDEX('NCO-2015 scores'!$C$2:$C$131,MATCH(E2960,'NCO-2015 scores'!$A$2:$A$131,0)),0)</f>
        <v>0.1688</v>
      </c>
      <c r="J2960" s="13" t="n">
        <f aca="false">IF(ISNUMBER(MATCH(E2960,'NCO-2015 scores'!$A$2:$A$131,0)),IF(ISNUMBER(INDEX('NCO-2015 scores'!$C$2:$C$131,MATCH(E2960,'NCO-2015 scores'!$A$2:$A$131,0))),1,0),0)</f>
        <v>1</v>
      </c>
    </row>
    <row r="2961" customFormat="false" ht="15" hidden="false" customHeight="false" outlineLevel="0" collapsed="false">
      <c r="A2961" s="2" t="n">
        <v>2957</v>
      </c>
      <c r="B2961" s="2" t="s">
        <v>8635</v>
      </c>
      <c r="C2961" s="2" t="s">
        <v>8636</v>
      </c>
      <c r="D2961" s="2" t="s">
        <v>8637</v>
      </c>
      <c r="E2961" s="2" t="str">
        <f aca="false">LEFT(C2961,3)</f>
        <v>731</v>
      </c>
      <c r="F2961" s="2" t="str">
        <f aca="false">IF(D2961="","",LEFT(D2961,3))</f>
        <v>732</v>
      </c>
      <c r="G2961" s="2" t="str">
        <f aca="false">IF(F2961="","",IF(E2961=F2961,"Yes","No"))</f>
        <v>No</v>
      </c>
      <c r="H2961" s="2" t="n">
        <f aca="false">IF(D2961="",0,1/COUNTIF($D$2:$D$3451,D2961))</f>
        <v>1</v>
      </c>
      <c r="I2961" s="13" t="n">
        <f aca="false">IFERROR(INDEX('NCO-2015 scores'!$C$2:$C$131,MATCH(E2961,'NCO-2015 scores'!$A$2:$A$131,0)),0)</f>
        <v>0.1688</v>
      </c>
      <c r="J2961" s="13" t="n">
        <f aca="false">IF(ISNUMBER(MATCH(E2961,'NCO-2015 scores'!$A$2:$A$131,0)),IF(ISNUMBER(INDEX('NCO-2015 scores'!$C$2:$C$131,MATCH(E2961,'NCO-2015 scores'!$A$2:$A$131,0))),1,0),0)</f>
        <v>1</v>
      </c>
    </row>
    <row r="2962" customFormat="false" ht="15" hidden="false" customHeight="false" outlineLevel="0" collapsed="false">
      <c r="A2962" s="2" t="n">
        <v>2958</v>
      </c>
      <c r="B2962" s="2" t="s">
        <v>8638</v>
      </c>
      <c r="C2962" s="2" t="s">
        <v>8639</v>
      </c>
      <c r="D2962" s="2" t="s">
        <v>8640</v>
      </c>
      <c r="E2962" s="2" t="str">
        <f aca="false">LEFT(C2962,3)</f>
        <v>731</v>
      </c>
      <c r="F2962" s="2" t="str">
        <f aca="false">IF(D2962="","",LEFT(D2962,3))</f>
        <v>732</v>
      </c>
      <c r="G2962" s="2" t="str">
        <f aca="false">IF(F2962="","",IF(E2962=F2962,"Yes","No"))</f>
        <v>No</v>
      </c>
      <c r="H2962" s="2" t="n">
        <f aca="false">IF(D2962="",0,1/COUNTIF($D$2:$D$3451,D2962))</f>
        <v>1</v>
      </c>
      <c r="I2962" s="13" t="n">
        <f aca="false">IFERROR(INDEX('NCO-2015 scores'!$C$2:$C$131,MATCH(E2962,'NCO-2015 scores'!$A$2:$A$131,0)),0)</f>
        <v>0.1688</v>
      </c>
      <c r="J2962" s="13" t="n">
        <f aca="false">IF(ISNUMBER(MATCH(E2962,'NCO-2015 scores'!$A$2:$A$131,0)),IF(ISNUMBER(INDEX('NCO-2015 scores'!$C$2:$C$131,MATCH(E2962,'NCO-2015 scores'!$A$2:$A$131,0))),1,0),0)</f>
        <v>1</v>
      </c>
    </row>
    <row r="2963" customFormat="false" ht="15" hidden="false" customHeight="false" outlineLevel="0" collapsed="false">
      <c r="A2963" s="2" t="n">
        <v>2959</v>
      </c>
      <c r="B2963" s="2" t="s">
        <v>8641</v>
      </c>
      <c r="C2963" s="2" t="s">
        <v>8642</v>
      </c>
      <c r="D2963" s="2" t="s">
        <v>8643</v>
      </c>
      <c r="E2963" s="2" t="str">
        <f aca="false">LEFT(C2963,3)</f>
        <v>731</v>
      </c>
      <c r="F2963" s="2" t="str">
        <f aca="false">IF(D2963="","",LEFT(D2963,3))</f>
        <v>732</v>
      </c>
      <c r="G2963" s="2" t="str">
        <f aca="false">IF(F2963="","",IF(E2963=F2963,"Yes","No"))</f>
        <v>No</v>
      </c>
      <c r="H2963" s="2" t="n">
        <f aca="false">IF(D2963="",0,1/COUNTIF($D$2:$D$3451,D2963))</f>
        <v>1</v>
      </c>
      <c r="I2963" s="13" t="n">
        <f aca="false">IFERROR(INDEX('NCO-2015 scores'!$C$2:$C$131,MATCH(E2963,'NCO-2015 scores'!$A$2:$A$131,0)),0)</f>
        <v>0.1688</v>
      </c>
      <c r="J2963" s="13" t="n">
        <f aca="false">IF(ISNUMBER(MATCH(E2963,'NCO-2015 scores'!$A$2:$A$131,0)),IF(ISNUMBER(INDEX('NCO-2015 scores'!$C$2:$C$131,MATCH(E2963,'NCO-2015 scores'!$A$2:$A$131,0))),1,0),0)</f>
        <v>1</v>
      </c>
    </row>
    <row r="2964" customFormat="false" ht="15" hidden="false" customHeight="false" outlineLevel="0" collapsed="false">
      <c r="A2964" s="2" t="n">
        <v>2960</v>
      </c>
      <c r="B2964" s="2" t="s">
        <v>8644</v>
      </c>
      <c r="C2964" s="2" t="s">
        <v>8645</v>
      </c>
      <c r="D2964" s="2" t="s">
        <v>8646</v>
      </c>
      <c r="E2964" s="2" t="str">
        <f aca="false">LEFT(C2964,3)</f>
        <v>731</v>
      </c>
      <c r="F2964" s="2" t="str">
        <f aca="false">IF(D2964="","",LEFT(D2964,3))</f>
        <v>732</v>
      </c>
      <c r="G2964" s="2" t="str">
        <f aca="false">IF(F2964="","",IF(E2964=F2964,"Yes","No"))</f>
        <v>No</v>
      </c>
      <c r="H2964" s="2" t="n">
        <f aca="false">IF(D2964="",0,1/COUNTIF($D$2:$D$3451,D2964))</f>
        <v>1</v>
      </c>
      <c r="I2964" s="13" t="n">
        <f aca="false">IFERROR(INDEX('NCO-2015 scores'!$C$2:$C$131,MATCH(E2964,'NCO-2015 scores'!$A$2:$A$131,0)),0)</f>
        <v>0.1688</v>
      </c>
      <c r="J2964" s="13" t="n">
        <f aca="false">IF(ISNUMBER(MATCH(E2964,'NCO-2015 scores'!$A$2:$A$131,0)),IF(ISNUMBER(INDEX('NCO-2015 scores'!$C$2:$C$131,MATCH(E2964,'NCO-2015 scores'!$A$2:$A$131,0))),1,0),0)</f>
        <v>1</v>
      </c>
    </row>
    <row r="2965" customFormat="false" ht="15" hidden="false" customHeight="false" outlineLevel="0" collapsed="false">
      <c r="A2965" s="2" t="n">
        <v>2961</v>
      </c>
      <c r="B2965" s="2" t="s">
        <v>8647</v>
      </c>
      <c r="C2965" s="2" t="s">
        <v>8648</v>
      </c>
      <c r="D2965" s="2" t="s">
        <v>8649</v>
      </c>
      <c r="E2965" s="2" t="str">
        <f aca="false">LEFT(C2965,3)</f>
        <v>731</v>
      </c>
      <c r="F2965" s="2" t="str">
        <f aca="false">IF(D2965="","",LEFT(D2965,3))</f>
        <v>732</v>
      </c>
      <c r="G2965" s="2" t="str">
        <f aca="false">IF(F2965="","",IF(E2965=F2965,"Yes","No"))</f>
        <v>No</v>
      </c>
      <c r="H2965" s="2" t="n">
        <f aca="false">IF(D2965="",0,1/COUNTIF($D$2:$D$3451,D2965))</f>
        <v>1</v>
      </c>
      <c r="I2965" s="13" t="n">
        <f aca="false">IFERROR(INDEX('NCO-2015 scores'!$C$2:$C$131,MATCH(E2965,'NCO-2015 scores'!$A$2:$A$131,0)),0)</f>
        <v>0.1688</v>
      </c>
      <c r="J2965" s="13" t="n">
        <f aca="false">IF(ISNUMBER(MATCH(E2965,'NCO-2015 scores'!$A$2:$A$131,0)),IF(ISNUMBER(INDEX('NCO-2015 scores'!$C$2:$C$131,MATCH(E2965,'NCO-2015 scores'!$A$2:$A$131,0))),1,0),0)</f>
        <v>1</v>
      </c>
    </row>
    <row r="2966" customFormat="false" ht="15" hidden="false" customHeight="false" outlineLevel="0" collapsed="false">
      <c r="A2966" s="2" t="n">
        <v>2962</v>
      </c>
      <c r="B2966" s="2" t="s">
        <v>8650</v>
      </c>
      <c r="C2966" s="2" t="s">
        <v>8651</v>
      </c>
      <c r="D2966" s="2" t="s">
        <v>8652</v>
      </c>
      <c r="E2966" s="2" t="str">
        <f aca="false">LEFT(C2966,3)</f>
        <v>731</v>
      </c>
      <c r="F2966" s="2" t="str">
        <f aca="false">IF(D2966="","",LEFT(D2966,3))</f>
        <v>732</v>
      </c>
      <c r="G2966" s="2" t="str">
        <f aca="false">IF(F2966="","",IF(E2966=F2966,"Yes","No"))</f>
        <v>No</v>
      </c>
      <c r="H2966" s="2" t="n">
        <f aca="false">IF(D2966="",0,1/COUNTIF($D$2:$D$3451,D2966))</f>
        <v>1</v>
      </c>
      <c r="I2966" s="13" t="n">
        <f aca="false">IFERROR(INDEX('NCO-2015 scores'!$C$2:$C$131,MATCH(E2966,'NCO-2015 scores'!$A$2:$A$131,0)),0)</f>
        <v>0.1688</v>
      </c>
      <c r="J2966" s="13" t="n">
        <f aca="false">IF(ISNUMBER(MATCH(E2966,'NCO-2015 scores'!$A$2:$A$131,0)),IF(ISNUMBER(INDEX('NCO-2015 scores'!$C$2:$C$131,MATCH(E2966,'NCO-2015 scores'!$A$2:$A$131,0))),1,0),0)</f>
        <v>1</v>
      </c>
    </row>
    <row r="2967" customFormat="false" ht="15" hidden="false" customHeight="false" outlineLevel="0" collapsed="false">
      <c r="A2967" s="2" t="n">
        <v>2963</v>
      </c>
      <c r="B2967" s="2" t="s">
        <v>8653</v>
      </c>
      <c r="C2967" s="2" t="s">
        <v>8654</v>
      </c>
      <c r="D2967" s="2" t="s">
        <v>8655</v>
      </c>
      <c r="E2967" s="2" t="str">
        <f aca="false">LEFT(C2967,3)</f>
        <v>731</v>
      </c>
      <c r="F2967" s="2" t="str">
        <f aca="false">IF(D2967="","",LEFT(D2967,3))</f>
        <v>732</v>
      </c>
      <c r="G2967" s="2" t="str">
        <f aca="false">IF(F2967="","",IF(E2967=F2967,"Yes","No"))</f>
        <v>No</v>
      </c>
      <c r="H2967" s="2" t="n">
        <f aca="false">IF(D2967="",0,1/COUNTIF($D$2:$D$3451,D2967))</f>
        <v>1</v>
      </c>
      <c r="I2967" s="13" t="n">
        <f aca="false">IFERROR(INDEX('NCO-2015 scores'!$C$2:$C$131,MATCH(E2967,'NCO-2015 scores'!$A$2:$A$131,0)),0)</f>
        <v>0.1688</v>
      </c>
      <c r="J2967" s="13" t="n">
        <f aca="false">IF(ISNUMBER(MATCH(E2967,'NCO-2015 scores'!$A$2:$A$131,0)),IF(ISNUMBER(INDEX('NCO-2015 scores'!$C$2:$C$131,MATCH(E2967,'NCO-2015 scores'!$A$2:$A$131,0))),1,0),0)</f>
        <v>1</v>
      </c>
    </row>
    <row r="2968" customFormat="false" ht="15" hidden="false" customHeight="false" outlineLevel="0" collapsed="false">
      <c r="A2968" s="2" t="n">
        <v>2964</v>
      </c>
      <c r="B2968" s="2" t="s">
        <v>8656</v>
      </c>
      <c r="C2968" s="2" t="s">
        <v>8657</v>
      </c>
      <c r="D2968" s="2" t="s">
        <v>8658</v>
      </c>
      <c r="E2968" s="2" t="str">
        <f aca="false">LEFT(C2968,3)</f>
        <v>731</v>
      </c>
      <c r="F2968" s="2" t="str">
        <f aca="false">IF(D2968="","",LEFT(D2968,3))</f>
        <v>732</v>
      </c>
      <c r="G2968" s="2" t="str">
        <f aca="false">IF(F2968="","",IF(E2968=F2968,"Yes","No"))</f>
        <v>No</v>
      </c>
      <c r="H2968" s="2" t="n">
        <f aca="false">IF(D2968="",0,1/COUNTIF($D$2:$D$3451,D2968))</f>
        <v>1</v>
      </c>
      <c r="I2968" s="13" t="n">
        <f aca="false">IFERROR(INDEX('NCO-2015 scores'!$C$2:$C$131,MATCH(E2968,'NCO-2015 scores'!$A$2:$A$131,0)),0)</f>
        <v>0.1688</v>
      </c>
      <c r="J2968" s="13" t="n">
        <f aca="false">IF(ISNUMBER(MATCH(E2968,'NCO-2015 scores'!$A$2:$A$131,0)),IF(ISNUMBER(INDEX('NCO-2015 scores'!$C$2:$C$131,MATCH(E2968,'NCO-2015 scores'!$A$2:$A$131,0))),1,0),0)</f>
        <v>1</v>
      </c>
    </row>
    <row r="2969" customFormat="false" ht="15" hidden="false" customHeight="false" outlineLevel="0" collapsed="false">
      <c r="A2969" s="2" t="n">
        <v>2965</v>
      </c>
      <c r="B2969" s="2" t="s">
        <v>8659</v>
      </c>
      <c r="C2969" s="2" t="s">
        <v>8660</v>
      </c>
      <c r="D2969" s="2" t="s">
        <v>8661</v>
      </c>
      <c r="E2969" s="2" t="str">
        <f aca="false">LEFT(C2969,3)</f>
        <v>731</v>
      </c>
      <c r="F2969" s="2" t="str">
        <f aca="false">IF(D2969="","",LEFT(D2969,3))</f>
        <v>732</v>
      </c>
      <c r="G2969" s="2" t="str">
        <f aca="false">IF(F2969="","",IF(E2969=F2969,"Yes","No"))</f>
        <v>No</v>
      </c>
      <c r="H2969" s="2" t="n">
        <f aca="false">IF(D2969="",0,1/COUNTIF($D$2:$D$3451,D2969))</f>
        <v>1</v>
      </c>
      <c r="I2969" s="13" t="n">
        <f aca="false">IFERROR(INDEX('NCO-2015 scores'!$C$2:$C$131,MATCH(E2969,'NCO-2015 scores'!$A$2:$A$131,0)),0)</f>
        <v>0.1688</v>
      </c>
      <c r="J2969" s="13" t="n">
        <f aca="false">IF(ISNUMBER(MATCH(E2969,'NCO-2015 scores'!$A$2:$A$131,0)),IF(ISNUMBER(INDEX('NCO-2015 scores'!$C$2:$C$131,MATCH(E2969,'NCO-2015 scores'!$A$2:$A$131,0))),1,0),0)</f>
        <v>1</v>
      </c>
    </row>
    <row r="2970" customFormat="false" ht="15" hidden="false" customHeight="false" outlineLevel="0" collapsed="false">
      <c r="A2970" s="2" t="n">
        <v>2966</v>
      </c>
      <c r="B2970" s="2" t="s">
        <v>8662</v>
      </c>
      <c r="C2970" s="2" t="s">
        <v>8663</v>
      </c>
      <c r="D2970" s="2" t="s">
        <v>8664</v>
      </c>
      <c r="E2970" s="2" t="str">
        <f aca="false">LEFT(C2970,3)</f>
        <v>731</v>
      </c>
      <c r="F2970" s="2" t="str">
        <f aca="false">IF(D2970="","",LEFT(D2970,3))</f>
        <v>732</v>
      </c>
      <c r="G2970" s="2" t="str">
        <f aca="false">IF(F2970="","",IF(E2970=F2970,"Yes","No"))</f>
        <v>No</v>
      </c>
      <c r="H2970" s="2" t="n">
        <f aca="false">IF(D2970="",0,1/COUNTIF($D$2:$D$3451,D2970))</f>
        <v>1</v>
      </c>
      <c r="I2970" s="13" t="n">
        <f aca="false">IFERROR(INDEX('NCO-2015 scores'!$C$2:$C$131,MATCH(E2970,'NCO-2015 scores'!$A$2:$A$131,0)),0)</f>
        <v>0.1688</v>
      </c>
      <c r="J2970" s="13" t="n">
        <f aca="false">IF(ISNUMBER(MATCH(E2970,'NCO-2015 scores'!$A$2:$A$131,0)),IF(ISNUMBER(INDEX('NCO-2015 scores'!$C$2:$C$131,MATCH(E2970,'NCO-2015 scores'!$A$2:$A$131,0))),1,0),0)</f>
        <v>1</v>
      </c>
    </row>
    <row r="2971" customFormat="false" ht="15" hidden="false" customHeight="false" outlineLevel="0" collapsed="false">
      <c r="A2971" s="2" t="n">
        <v>2967</v>
      </c>
      <c r="B2971" s="2" t="s">
        <v>8665</v>
      </c>
      <c r="C2971" s="2" t="s">
        <v>8666</v>
      </c>
      <c r="D2971" s="2" t="s">
        <v>8667</v>
      </c>
      <c r="E2971" s="2" t="str">
        <f aca="false">LEFT(C2971,3)</f>
        <v>263</v>
      </c>
      <c r="F2971" s="2" t="str">
        <f aca="false">IF(D2971="","",LEFT(D2971,3))</f>
        <v>244</v>
      </c>
      <c r="G2971" s="2" t="str">
        <f aca="false">IF(F2971="","",IF(E2971=F2971,"Yes","No"))</f>
        <v>No</v>
      </c>
      <c r="H2971" s="2" t="n">
        <f aca="false">IF(D2971="",0,1/COUNTIF($D$2:$D$3451,D2971))</f>
        <v>1</v>
      </c>
      <c r="I2971" s="13" t="n">
        <f aca="false">IFERROR(INDEX('NCO-2015 scores'!$C$2:$C$131,MATCH(E2971,'NCO-2015 scores'!$A$2:$A$131,0)),0)</f>
        <v>0.39</v>
      </c>
      <c r="J2971" s="13" t="n">
        <f aca="false">IF(ISNUMBER(MATCH(E2971,'NCO-2015 scores'!$A$2:$A$131,0)),IF(ISNUMBER(INDEX('NCO-2015 scores'!$C$2:$C$131,MATCH(E2971,'NCO-2015 scores'!$A$2:$A$131,0))),1,0),0)</f>
        <v>1</v>
      </c>
    </row>
    <row r="2972" customFormat="false" ht="15" hidden="false" customHeight="false" outlineLevel="0" collapsed="false">
      <c r="A2972" s="2" t="n">
        <v>2968</v>
      </c>
      <c r="B2972" s="2" t="s">
        <v>8668</v>
      </c>
      <c r="C2972" s="2" t="s">
        <v>8669</v>
      </c>
      <c r="D2972" s="2" t="s">
        <v>8670</v>
      </c>
      <c r="E2972" s="2" t="str">
        <f aca="false">LEFT(C2972,3)</f>
        <v>263</v>
      </c>
      <c r="F2972" s="2" t="str">
        <f aca="false">IF(D2972="","",LEFT(D2972,3))</f>
        <v>244</v>
      </c>
      <c r="G2972" s="2" t="str">
        <f aca="false">IF(F2972="","",IF(E2972=F2972,"Yes","No"))</f>
        <v>No</v>
      </c>
      <c r="H2972" s="2" t="n">
        <f aca="false">IF(D2972="",0,1/COUNTIF($D$2:$D$3451,D2972))</f>
        <v>1</v>
      </c>
      <c r="I2972" s="13" t="n">
        <f aca="false">IFERROR(INDEX('NCO-2015 scores'!$C$2:$C$131,MATCH(E2972,'NCO-2015 scores'!$A$2:$A$131,0)),0)</f>
        <v>0.39</v>
      </c>
      <c r="J2972" s="13" t="n">
        <f aca="false">IF(ISNUMBER(MATCH(E2972,'NCO-2015 scores'!$A$2:$A$131,0)),IF(ISNUMBER(INDEX('NCO-2015 scores'!$C$2:$C$131,MATCH(E2972,'NCO-2015 scores'!$A$2:$A$131,0))),1,0),0)</f>
        <v>1</v>
      </c>
    </row>
    <row r="2973" customFormat="false" ht="15" hidden="false" customHeight="false" outlineLevel="0" collapsed="false">
      <c r="A2973" s="2" t="n">
        <v>2969</v>
      </c>
      <c r="B2973" s="2" t="s">
        <v>8671</v>
      </c>
      <c r="C2973" s="2" t="s">
        <v>8672</v>
      </c>
      <c r="D2973" s="2" t="s">
        <v>8673</v>
      </c>
      <c r="E2973" s="2" t="str">
        <f aca="false">LEFT(C2973,3)</f>
        <v>263</v>
      </c>
      <c r="F2973" s="2" t="str">
        <f aca="false">IF(D2973="","",LEFT(D2973,3))</f>
        <v>244</v>
      </c>
      <c r="G2973" s="2" t="str">
        <f aca="false">IF(F2973="","",IF(E2973=F2973,"Yes","No"))</f>
        <v>No</v>
      </c>
      <c r="H2973" s="2" t="n">
        <f aca="false">IF(D2973="",0,1/COUNTIF($D$2:$D$3451,D2973))</f>
        <v>1</v>
      </c>
      <c r="I2973" s="13" t="n">
        <f aca="false">IFERROR(INDEX('NCO-2015 scores'!$C$2:$C$131,MATCH(E2973,'NCO-2015 scores'!$A$2:$A$131,0)),0)</f>
        <v>0.39</v>
      </c>
      <c r="J2973" s="13" t="n">
        <f aca="false">IF(ISNUMBER(MATCH(E2973,'NCO-2015 scores'!$A$2:$A$131,0)),IF(ISNUMBER(INDEX('NCO-2015 scores'!$C$2:$C$131,MATCH(E2973,'NCO-2015 scores'!$A$2:$A$131,0))),1,0),0)</f>
        <v>1</v>
      </c>
    </row>
    <row r="2974" customFormat="false" ht="15" hidden="false" customHeight="false" outlineLevel="0" collapsed="false">
      <c r="A2974" s="2" t="n">
        <v>2970</v>
      </c>
      <c r="B2974" s="2" t="s">
        <v>8674</v>
      </c>
      <c r="C2974" s="2" t="s">
        <v>8675</v>
      </c>
      <c r="D2974" s="2" t="s">
        <v>8676</v>
      </c>
      <c r="E2974" s="2" t="str">
        <f aca="false">LEFT(C2974,3)</f>
        <v>263</v>
      </c>
      <c r="F2974" s="2" t="str">
        <f aca="false">IF(D2974="","",LEFT(D2974,3))</f>
        <v>244</v>
      </c>
      <c r="G2974" s="2" t="str">
        <f aca="false">IF(F2974="","",IF(E2974=F2974,"Yes","No"))</f>
        <v>No</v>
      </c>
      <c r="H2974" s="2" t="n">
        <f aca="false">IF(D2974="",0,1/COUNTIF($D$2:$D$3451,D2974))</f>
        <v>1</v>
      </c>
      <c r="I2974" s="13" t="n">
        <f aca="false">IFERROR(INDEX('NCO-2015 scores'!$C$2:$C$131,MATCH(E2974,'NCO-2015 scores'!$A$2:$A$131,0)),0)</f>
        <v>0.39</v>
      </c>
      <c r="J2974" s="13" t="n">
        <f aca="false">IF(ISNUMBER(MATCH(E2974,'NCO-2015 scores'!$A$2:$A$131,0)),IF(ISNUMBER(INDEX('NCO-2015 scores'!$C$2:$C$131,MATCH(E2974,'NCO-2015 scores'!$A$2:$A$131,0))),1,0),0)</f>
        <v>1</v>
      </c>
    </row>
    <row r="2975" customFormat="false" ht="15" hidden="false" customHeight="false" outlineLevel="0" collapsed="false">
      <c r="A2975" s="2" t="n">
        <v>2971</v>
      </c>
      <c r="B2975" s="2" t="s">
        <v>8677</v>
      </c>
      <c r="C2975" s="2" t="s">
        <v>8678</v>
      </c>
      <c r="D2975" s="2" t="s">
        <v>8679</v>
      </c>
      <c r="E2975" s="2" t="str">
        <f aca="false">LEFT(C2975,3)</f>
        <v>263</v>
      </c>
      <c r="F2975" s="2" t="str">
        <f aca="false">IF(D2975="","",LEFT(D2975,3))</f>
        <v>244</v>
      </c>
      <c r="G2975" s="2" t="str">
        <f aca="false">IF(F2975="","",IF(E2975=F2975,"Yes","No"))</f>
        <v>No</v>
      </c>
      <c r="H2975" s="2" t="n">
        <f aca="false">IF(D2975="",0,1/COUNTIF($D$2:$D$3451,D2975))</f>
        <v>1</v>
      </c>
      <c r="I2975" s="13" t="n">
        <f aca="false">IFERROR(INDEX('NCO-2015 scores'!$C$2:$C$131,MATCH(E2975,'NCO-2015 scores'!$A$2:$A$131,0)),0)</f>
        <v>0.39</v>
      </c>
      <c r="J2975" s="13" t="n">
        <f aca="false">IF(ISNUMBER(MATCH(E2975,'NCO-2015 scores'!$A$2:$A$131,0)),IF(ISNUMBER(INDEX('NCO-2015 scores'!$C$2:$C$131,MATCH(E2975,'NCO-2015 scores'!$A$2:$A$131,0))),1,0),0)</f>
        <v>1</v>
      </c>
    </row>
    <row r="2976" customFormat="false" ht="15" hidden="false" customHeight="false" outlineLevel="0" collapsed="false">
      <c r="A2976" s="2" t="n">
        <v>2972</v>
      </c>
      <c r="B2976" s="2" t="s">
        <v>8680</v>
      </c>
      <c r="C2976" s="2" t="s">
        <v>8681</v>
      </c>
      <c r="D2976" s="2" t="s">
        <v>8682</v>
      </c>
      <c r="E2976" s="2" t="str">
        <f aca="false">LEFT(C2976,3)</f>
        <v>263</v>
      </c>
      <c r="F2976" s="2" t="str">
        <f aca="false">IF(D2976="","",LEFT(D2976,3))</f>
        <v>244</v>
      </c>
      <c r="G2976" s="2" t="str">
        <f aca="false">IF(F2976="","",IF(E2976=F2976,"Yes","No"))</f>
        <v>No</v>
      </c>
      <c r="H2976" s="2" t="n">
        <f aca="false">IF(D2976="",0,1/COUNTIF($D$2:$D$3451,D2976))</f>
        <v>1</v>
      </c>
      <c r="I2976" s="13" t="n">
        <f aca="false">IFERROR(INDEX('NCO-2015 scores'!$C$2:$C$131,MATCH(E2976,'NCO-2015 scores'!$A$2:$A$131,0)),0)</f>
        <v>0.39</v>
      </c>
      <c r="J2976" s="13" t="n">
        <f aca="false">IF(ISNUMBER(MATCH(E2976,'NCO-2015 scores'!$A$2:$A$131,0)),IF(ISNUMBER(INDEX('NCO-2015 scores'!$C$2:$C$131,MATCH(E2976,'NCO-2015 scores'!$A$2:$A$131,0))),1,0),0)</f>
        <v>1</v>
      </c>
    </row>
    <row r="2977" customFormat="false" ht="15" hidden="false" customHeight="false" outlineLevel="0" collapsed="false">
      <c r="A2977" s="2" t="n">
        <v>2973</v>
      </c>
      <c r="B2977" s="2" t="s">
        <v>8683</v>
      </c>
      <c r="C2977" s="2" t="s">
        <v>8684</v>
      </c>
      <c r="D2977" s="2" t="s">
        <v>8685</v>
      </c>
      <c r="E2977" s="2" t="str">
        <f aca="false">LEFT(C2977,3)</f>
        <v>263</v>
      </c>
      <c r="F2977" s="2" t="str">
        <f aca="false">IF(D2977="","",LEFT(D2977,3))</f>
        <v>244</v>
      </c>
      <c r="G2977" s="2" t="str">
        <f aca="false">IF(F2977="","",IF(E2977=F2977,"Yes","No"))</f>
        <v>No</v>
      </c>
      <c r="H2977" s="2" t="n">
        <f aca="false">IF(D2977="",0,1/COUNTIF($D$2:$D$3451,D2977))</f>
        <v>1</v>
      </c>
      <c r="I2977" s="13" t="n">
        <f aca="false">IFERROR(INDEX('NCO-2015 scores'!$C$2:$C$131,MATCH(E2977,'NCO-2015 scores'!$A$2:$A$131,0)),0)</f>
        <v>0.39</v>
      </c>
      <c r="J2977" s="13" t="n">
        <f aca="false">IF(ISNUMBER(MATCH(E2977,'NCO-2015 scores'!$A$2:$A$131,0)),IF(ISNUMBER(INDEX('NCO-2015 scores'!$C$2:$C$131,MATCH(E2977,'NCO-2015 scores'!$A$2:$A$131,0))),1,0),0)</f>
        <v>1</v>
      </c>
    </row>
    <row r="2978" customFormat="false" ht="15" hidden="false" customHeight="false" outlineLevel="0" collapsed="false">
      <c r="A2978" s="2" t="n">
        <v>2974</v>
      </c>
      <c r="B2978" s="2" t="s">
        <v>8686</v>
      </c>
      <c r="C2978" s="2" t="s">
        <v>8687</v>
      </c>
      <c r="D2978" s="2" t="s">
        <v>8688</v>
      </c>
      <c r="E2978" s="2" t="str">
        <f aca="false">LEFT(C2978,3)</f>
        <v>263</v>
      </c>
      <c r="F2978" s="2" t="str">
        <f aca="false">IF(D2978="","",LEFT(D2978,3))</f>
        <v>244</v>
      </c>
      <c r="G2978" s="2" t="str">
        <f aca="false">IF(F2978="","",IF(E2978=F2978,"Yes","No"))</f>
        <v>No</v>
      </c>
      <c r="H2978" s="2" t="n">
        <f aca="false">IF(D2978="",0,1/COUNTIF($D$2:$D$3451,D2978))</f>
        <v>1</v>
      </c>
      <c r="I2978" s="13" t="n">
        <f aca="false">IFERROR(INDEX('NCO-2015 scores'!$C$2:$C$131,MATCH(E2978,'NCO-2015 scores'!$A$2:$A$131,0)),0)</f>
        <v>0.39</v>
      </c>
      <c r="J2978" s="13" t="n">
        <f aca="false">IF(ISNUMBER(MATCH(E2978,'NCO-2015 scores'!$A$2:$A$131,0)),IF(ISNUMBER(INDEX('NCO-2015 scores'!$C$2:$C$131,MATCH(E2978,'NCO-2015 scores'!$A$2:$A$131,0))),1,0),0)</f>
        <v>1</v>
      </c>
    </row>
    <row r="2979" customFormat="false" ht="15" hidden="false" customHeight="false" outlineLevel="0" collapsed="false">
      <c r="A2979" s="2" t="n">
        <v>2975</v>
      </c>
      <c r="B2979" s="2" t="s">
        <v>8689</v>
      </c>
      <c r="C2979" s="2" t="s">
        <v>8690</v>
      </c>
      <c r="D2979" s="2" t="s">
        <v>8691</v>
      </c>
      <c r="E2979" s="2" t="str">
        <f aca="false">LEFT(C2979,3)</f>
        <v>263</v>
      </c>
      <c r="F2979" s="2" t="str">
        <f aca="false">IF(D2979="","",LEFT(D2979,3))</f>
        <v>244</v>
      </c>
      <c r="G2979" s="2" t="str">
        <f aca="false">IF(F2979="","",IF(E2979=F2979,"Yes","No"))</f>
        <v>No</v>
      </c>
      <c r="H2979" s="2" t="n">
        <f aca="false">IF(D2979="",0,1/COUNTIF($D$2:$D$3451,D2979))</f>
        <v>1</v>
      </c>
      <c r="I2979" s="13" t="n">
        <f aca="false">IFERROR(INDEX('NCO-2015 scores'!$C$2:$C$131,MATCH(E2979,'NCO-2015 scores'!$A$2:$A$131,0)),0)</f>
        <v>0.39</v>
      </c>
      <c r="J2979" s="13" t="n">
        <f aca="false">IF(ISNUMBER(MATCH(E2979,'NCO-2015 scores'!$A$2:$A$131,0)),IF(ISNUMBER(INDEX('NCO-2015 scores'!$C$2:$C$131,MATCH(E2979,'NCO-2015 scores'!$A$2:$A$131,0))),1,0),0)</f>
        <v>1</v>
      </c>
    </row>
    <row r="2980" customFormat="false" ht="15" hidden="false" customHeight="false" outlineLevel="0" collapsed="false">
      <c r="A2980" s="2" t="n">
        <v>2976</v>
      </c>
      <c r="B2980" s="2" t="s">
        <v>8692</v>
      </c>
      <c r="C2980" s="2" t="s">
        <v>8693</v>
      </c>
      <c r="D2980" s="2" t="s">
        <v>8694</v>
      </c>
      <c r="E2980" s="2" t="str">
        <f aca="false">LEFT(C2980,3)</f>
        <v>263</v>
      </c>
      <c r="F2980" s="2" t="str">
        <f aca="false">IF(D2980="","",LEFT(D2980,3))</f>
        <v>244</v>
      </c>
      <c r="G2980" s="2" t="str">
        <f aca="false">IF(F2980="","",IF(E2980=F2980,"Yes","No"))</f>
        <v>No</v>
      </c>
      <c r="H2980" s="2" t="n">
        <f aca="false">IF(D2980="",0,1/COUNTIF($D$2:$D$3451,D2980))</f>
        <v>1</v>
      </c>
      <c r="I2980" s="13" t="n">
        <f aca="false">IFERROR(INDEX('NCO-2015 scores'!$C$2:$C$131,MATCH(E2980,'NCO-2015 scores'!$A$2:$A$131,0)),0)</f>
        <v>0.39</v>
      </c>
      <c r="J2980" s="13" t="n">
        <f aca="false">IF(ISNUMBER(MATCH(E2980,'NCO-2015 scores'!$A$2:$A$131,0)),IF(ISNUMBER(INDEX('NCO-2015 scores'!$C$2:$C$131,MATCH(E2980,'NCO-2015 scores'!$A$2:$A$131,0))),1,0),0)</f>
        <v>1</v>
      </c>
    </row>
    <row r="2981" customFormat="false" ht="15" hidden="false" customHeight="false" outlineLevel="0" collapsed="false">
      <c r="A2981" s="2" t="n">
        <v>2977</v>
      </c>
      <c r="B2981" s="2" t="s">
        <v>8695</v>
      </c>
      <c r="C2981" s="2" t="s">
        <v>8696</v>
      </c>
      <c r="D2981" s="2" t="s">
        <v>8697</v>
      </c>
      <c r="E2981" s="2" t="str">
        <f aca="false">LEFT(C2981,3)</f>
        <v>263</v>
      </c>
      <c r="F2981" s="2" t="str">
        <f aca="false">IF(D2981="","",LEFT(D2981,3))</f>
        <v>244</v>
      </c>
      <c r="G2981" s="2" t="str">
        <f aca="false">IF(F2981="","",IF(E2981=F2981,"Yes","No"))</f>
        <v>No</v>
      </c>
      <c r="H2981" s="2" t="n">
        <f aca="false">IF(D2981="",0,1/COUNTIF($D$2:$D$3451,D2981))</f>
        <v>1</v>
      </c>
      <c r="I2981" s="13" t="n">
        <f aca="false">IFERROR(INDEX('NCO-2015 scores'!$C$2:$C$131,MATCH(E2981,'NCO-2015 scores'!$A$2:$A$131,0)),0)</f>
        <v>0.39</v>
      </c>
      <c r="J2981" s="13" t="n">
        <f aca="false">IF(ISNUMBER(MATCH(E2981,'NCO-2015 scores'!$A$2:$A$131,0)),IF(ISNUMBER(INDEX('NCO-2015 scores'!$C$2:$C$131,MATCH(E2981,'NCO-2015 scores'!$A$2:$A$131,0))),1,0),0)</f>
        <v>1</v>
      </c>
    </row>
    <row r="2982" customFormat="false" ht="15" hidden="false" customHeight="false" outlineLevel="0" collapsed="false">
      <c r="A2982" s="2" t="n">
        <v>2978</v>
      </c>
      <c r="B2982" s="2" t="s">
        <v>8698</v>
      </c>
      <c r="C2982" s="2" t="s">
        <v>8699</v>
      </c>
      <c r="D2982" s="2" t="s">
        <v>8700</v>
      </c>
      <c r="E2982" s="2" t="str">
        <f aca="false">LEFT(C2982,3)</f>
        <v>263</v>
      </c>
      <c r="F2982" s="2" t="str">
        <f aca="false">IF(D2982="","",LEFT(D2982,3))</f>
        <v>244</v>
      </c>
      <c r="G2982" s="2" t="str">
        <f aca="false">IF(F2982="","",IF(E2982=F2982,"Yes","No"))</f>
        <v>No</v>
      </c>
      <c r="H2982" s="2" t="n">
        <f aca="false">IF(D2982="",0,1/COUNTIF($D$2:$D$3451,D2982))</f>
        <v>1</v>
      </c>
      <c r="I2982" s="13" t="n">
        <f aca="false">IFERROR(INDEX('NCO-2015 scores'!$C$2:$C$131,MATCH(E2982,'NCO-2015 scores'!$A$2:$A$131,0)),0)</f>
        <v>0.39</v>
      </c>
      <c r="J2982" s="13" t="n">
        <f aca="false">IF(ISNUMBER(MATCH(E2982,'NCO-2015 scores'!$A$2:$A$131,0)),IF(ISNUMBER(INDEX('NCO-2015 scores'!$C$2:$C$131,MATCH(E2982,'NCO-2015 scores'!$A$2:$A$131,0))),1,0),0)</f>
        <v>1</v>
      </c>
    </row>
    <row r="2983" customFormat="false" ht="15" hidden="false" customHeight="false" outlineLevel="0" collapsed="false">
      <c r="A2983" s="2" t="n">
        <v>2979</v>
      </c>
      <c r="B2983" s="2" t="s">
        <v>8701</v>
      </c>
      <c r="C2983" s="2" t="s">
        <v>8702</v>
      </c>
      <c r="D2983" s="2" t="s">
        <v>8703</v>
      </c>
      <c r="E2983" s="2" t="str">
        <f aca="false">LEFT(C2983,3)</f>
        <v>341</v>
      </c>
      <c r="F2983" s="2" t="str">
        <f aca="false">IF(D2983="","",LEFT(D2983,3))</f>
        <v>346</v>
      </c>
      <c r="G2983" s="2" t="str">
        <f aca="false">IF(F2983="","",IF(E2983=F2983,"Yes","No"))</f>
        <v>No</v>
      </c>
      <c r="H2983" s="2" t="n">
        <f aca="false">IF(D2983="",0,1/COUNTIF($D$2:$D$3451,D2983))</f>
        <v>1</v>
      </c>
      <c r="I2983" s="13" t="n">
        <f aca="false">IFERROR(INDEX('NCO-2015 scores'!$C$2:$C$131,MATCH(E2983,'NCO-2015 scores'!$A$2:$A$131,0)),0)</f>
        <v>0.28</v>
      </c>
      <c r="J2983" s="13" t="n">
        <f aca="false">IF(ISNUMBER(MATCH(E2983,'NCO-2015 scores'!$A$2:$A$131,0)),IF(ISNUMBER(INDEX('NCO-2015 scores'!$C$2:$C$131,MATCH(E2983,'NCO-2015 scores'!$A$2:$A$131,0))),1,0),0)</f>
        <v>1</v>
      </c>
    </row>
    <row r="2984" customFormat="false" ht="15" hidden="false" customHeight="false" outlineLevel="0" collapsed="false">
      <c r="A2984" s="2" t="n">
        <v>2980</v>
      </c>
      <c r="B2984" s="2" t="s">
        <v>8704</v>
      </c>
      <c r="C2984" s="2" t="s">
        <v>8705</v>
      </c>
      <c r="D2984" s="2" t="s">
        <v>8706</v>
      </c>
      <c r="E2984" s="2" t="str">
        <f aca="false">LEFT(C2984,3)</f>
        <v>341</v>
      </c>
      <c r="F2984" s="2" t="str">
        <f aca="false">IF(D2984="","",LEFT(D2984,3))</f>
        <v>346</v>
      </c>
      <c r="G2984" s="2" t="str">
        <f aca="false">IF(F2984="","",IF(E2984=F2984,"Yes","No"))</f>
        <v>No</v>
      </c>
      <c r="H2984" s="2" t="n">
        <f aca="false">IF(D2984="",0,1/COUNTIF($D$2:$D$3451,D2984))</f>
        <v>1</v>
      </c>
      <c r="I2984" s="13" t="n">
        <f aca="false">IFERROR(INDEX('NCO-2015 scores'!$C$2:$C$131,MATCH(E2984,'NCO-2015 scores'!$A$2:$A$131,0)),0)</f>
        <v>0.28</v>
      </c>
      <c r="J2984" s="13" t="n">
        <f aca="false">IF(ISNUMBER(MATCH(E2984,'NCO-2015 scores'!$A$2:$A$131,0)),IF(ISNUMBER(INDEX('NCO-2015 scores'!$C$2:$C$131,MATCH(E2984,'NCO-2015 scores'!$A$2:$A$131,0))),1,0),0)</f>
        <v>1</v>
      </c>
    </row>
    <row r="2985" customFormat="false" ht="15" hidden="false" customHeight="false" outlineLevel="0" collapsed="false">
      <c r="A2985" s="2" t="n">
        <v>2981</v>
      </c>
      <c r="B2985" s="2" t="s">
        <v>8707</v>
      </c>
      <c r="C2985" s="2" t="s">
        <v>8708</v>
      </c>
      <c r="D2985" s="2" t="s">
        <v>8709</v>
      </c>
      <c r="E2985" s="2" t="str">
        <f aca="false">LEFT(C2985,3)</f>
        <v>341</v>
      </c>
      <c r="F2985" s="2" t="str">
        <f aca="false">IF(D2985="","",LEFT(D2985,3))</f>
        <v>346</v>
      </c>
      <c r="G2985" s="2" t="str">
        <f aca="false">IF(F2985="","",IF(E2985=F2985,"Yes","No"))</f>
        <v>No</v>
      </c>
      <c r="H2985" s="2" t="n">
        <f aca="false">IF(D2985="",0,1/COUNTIF($D$2:$D$3451,D2985))</f>
        <v>1</v>
      </c>
      <c r="I2985" s="13" t="n">
        <f aca="false">IFERROR(INDEX('NCO-2015 scores'!$C$2:$C$131,MATCH(E2985,'NCO-2015 scores'!$A$2:$A$131,0)),0)</f>
        <v>0.28</v>
      </c>
      <c r="J2985" s="13" t="n">
        <f aca="false">IF(ISNUMBER(MATCH(E2985,'NCO-2015 scores'!$A$2:$A$131,0)),IF(ISNUMBER(INDEX('NCO-2015 scores'!$C$2:$C$131,MATCH(E2985,'NCO-2015 scores'!$A$2:$A$131,0))),1,0),0)</f>
        <v>1</v>
      </c>
    </row>
    <row r="2986" customFormat="false" ht="15" hidden="false" customHeight="false" outlineLevel="0" collapsed="false">
      <c r="A2986" s="2" t="n">
        <v>2982</v>
      </c>
      <c r="B2986" s="2" t="s">
        <v>8710</v>
      </c>
      <c r="C2986" s="2" t="s">
        <v>8711</v>
      </c>
      <c r="D2986" s="2" t="s">
        <v>8712</v>
      </c>
      <c r="E2986" s="2" t="str">
        <f aca="false">LEFT(C2986,3)</f>
        <v>263</v>
      </c>
      <c r="F2986" s="2" t="str">
        <f aca="false">IF(D2986="","",LEFT(D2986,3))</f>
        <v>244</v>
      </c>
      <c r="G2986" s="2" t="str">
        <f aca="false">IF(F2986="","",IF(E2986=F2986,"Yes","No"))</f>
        <v>No</v>
      </c>
      <c r="H2986" s="2" t="n">
        <f aca="false">IF(D2986="",0,1/COUNTIF($D$2:$D$3451,D2986))</f>
        <v>1</v>
      </c>
      <c r="I2986" s="13" t="n">
        <f aca="false">IFERROR(INDEX('NCO-2015 scores'!$C$2:$C$131,MATCH(E2986,'NCO-2015 scores'!$A$2:$A$131,0)),0)</f>
        <v>0.39</v>
      </c>
      <c r="J2986" s="13" t="n">
        <f aca="false">IF(ISNUMBER(MATCH(E2986,'NCO-2015 scores'!$A$2:$A$131,0)),IF(ISNUMBER(INDEX('NCO-2015 scores'!$C$2:$C$131,MATCH(E2986,'NCO-2015 scores'!$A$2:$A$131,0))),1,0),0)</f>
        <v>1</v>
      </c>
    </row>
    <row r="2987" customFormat="false" ht="15" hidden="false" customHeight="false" outlineLevel="0" collapsed="false">
      <c r="A2987" s="2" t="n">
        <v>2983</v>
      </c>
      <c r="B2987" s="2" t="s">
        <v>8713</v>
      </c>
      <c r="C2987" s="2" t="s">
        <v>8714</v>
      </c>
      <c r="D2987" s="2" t="s">
        <v>8715</v>
      </c>
      <c r="E2987" s="2" t="str">
        <f aca="false">LEFT(C2987,3)</f>
        <v>263</v>
      </c>
      <c r="F2987" s="2" t="str">
        <f aca="false">IF(D2987="","",LEFT(D2987,3))</f>
        <v>244</v>
      </c>
      <c r="G2987" s="2" t="str">
        <f aca="false">IF(F2987="","",IF(E2987=F2987,"Yes","No"))</f>
        <v>No</v>
      </c>
      <c r="H2987" s="2" t="n">
        <f aca="false">IF(D2987="",0,1/COUNTIF($D$2:$D$3451,D2987))</f>
        <v>1</v>
      </c>
      <c r="I2987" s="13" t="n">
        <f aca="false">IFERROR(INDEX('NCO-2015 scores'!$C$2:$C$131,MATCH(E2987,'NCO-2015 scores'!$A$2:$A$131,0)),0)</f>
        <v>0.39</v>
      </c>
      <c r="J2987" s="13" t="n">
        <f aca="false">IF(ISNUMBER(MATCH(E2987,'NCO-2015 scores'!$A$2:$A$131,0)),IF(ISNUMBER(INDEX('NCO-2015 scores'!$C$2:$C$131,MATCH(E2987,'NCO-2015 scores'!$A$2:$A$131,0))),1,0),0)</f>
        <v>1</v>
      </c>
    </row>
    <row r="2988" customFormat="false" ht="15" hidden="false" customHeight="false" outlineLevel="0" collapsed="false">
      <c r="A2988" s="2" t="n">
        <v>2984</v>
      </c>
      <c r="B2988" s="2" t="s">
        <v>8716</v>
      </c>
      <c r="C2988" s="2" t="s">
        <v>8717</v>
      </c>
      <c r="D2988" s="2" t="s">
        <v>8718</v>
      </c>
      <c r="E2988" s="2" t="str">
        <f aca="false">LEFT(C2988,3)</f>
        <v>263</v>
      </c>
      <c r="F2988" s="2" t="str">
        <f aca="false">IF(D2988="","",LEFT(D2988,3))</f>
        <v>244</v>
      </c>
      <c r="G2988" s="2" t="str">
        <f aca="false">IF(F2988="","",IF(E2988=F2988,"Yes","No"))</f>
        <v>No</v>
      </c>
      <c r="H2988" s="2" t="n">
        <f aca="false">IF(D2988="",0,1/COUNTIF($D$2:$D$3451,D2988))</f>
        <v>1</v>
      </c>
      <c r="I2988" s="13" t="n">
        <f aca="false">IFERROR(INDEX('NCO-2015 scores'!$C$2:$C$131,MATCH(E2988,'NCO-2015 scores'!$A$2:$A$131,0)),0)</f>
        <v>0.39</v>
      </c>
      <c r="J2988" s="13" t="n">
        <f aca="false">IF(ISNUMBER(MATCH(E2988,'NCO-2015 scores'!$A$2:$A$131,0)),IF(ISNUMBER(INDEX('NCO-2015 scores'!$C$2:$C$131,MATCH(E2988,'NCO-2015 scores'!$A$2:$A$131,0))),1,0),0)</f>
        <v>1</v>
      </c>
    </row>
    <row r="2989" customFormat="false" ht="15" hidden="false" customHeight="false" outlineLevel="0" collapsed="false">
      <c r="A2989" s="2" t="n">
        <v>2985</v>
      </c>
      <c r="B2989" s="2" t="s">
        <v>8719</v>
      </c>
      <c r="C2989" s="2" t="s">
        <v>8720</v>
      </c>
      <c r="D2989" s="2" t="s">
        <v>8721</v>
      </c>
      <c r="E2989" s="2" t="str">
        <f aca="false">LEFT(C2989,3)</f>
        <v>263</v>
      </c>
      <c r="F2989" s="2" t="str">
        <f aca="false">IF(D2989="","",LEFT(D2989,3))</f>
        <v>244</v>
      </c>
      <c r="G2989" s="2" t="str">
        <f aca="false">IF(F2989="","",IF(E2989=F2989,"Yes","No"))</f>
        <v>No</v>
      </c>
      <c r="H2989" s="2" t="n">
        <f aca="false">IF(D2989="",0,1/COUNTIF($D$2:$D$3451,D2989))</f>
        <v>1</v>
      </c>
      <c r="I2989" s="13" t="n">
        <f aca="false">IFERROR(INDEX('NCO-2015 scores'!$C$2:$C$131,MATCH(E2989,'NCO-2015 scores'!$A$2:$A$131,0)),0)</f>
        <v>0.39</v>
      </c>
      <c r="J2989" s="13" t="n">
        <f aca="false">IF(ISNUMBER(MATCH(E2989,'NCO-2015 scores'!$A$2:$A$131,0)),IF(ISNUMBER(INDEX('NCO-2015 scores'!$C$2:$C$131,MATCH(E2989,'NCO-2015 scores'!$A$2:$A$131,0))),1,0),0)</f>
        <v>1</v>
      </c>
    </row>
    <row r="2990" customFormat="false" ht="15" hidden="false" customHeight="false" outlineLevel="0" collapsed="false">
      <c r="A2990" s="2" t="n">
        <v>2986</v>
      </c>
      <c r="B2990" s="2" t="s">
        <v>8722</v>
      </c>
      <c r="C2990" s="2" t="s">
        <v>8723</v>
      </c>
      <c r="D2990" s="2" t="s">
        <v>8724</v>
      </c>
      <c r="E2990" s="2" t="str">
        <f aca="false">LEFT(C2990,3)</f>
        <v>263</v>
      </c>
      <c r="F2990" s="2" t="str">
        <f aca="false">IF(D2990="","",LEFT(D2990,3))</f>
        <v>244</v>
      </c>
      <c r="G2990" s="2" t="str">
        <f aca="false">IF(F2990="","",IF(E2990=F2990,"Yes","No"))</f>
        <v>No</v>
      </c>
      <c r="H2990" s="2" t="n">
        <f aca="false">IF(D2990="",0,1/COUNTIF($D$2:$D$3451,D2990))</f>
        <v>1</v>
      </c>
      <c r="I2990" s="13" t="n">
        <f aca="false">IFERROR(INDEX('NCO-2015 scores'!$C$2:$C$131,MATCH(E2990,'NCO-2015 scores'!$A$2:$A$131,0)),0)</f>
        <v>0.39</v>
      </c>
      <c r="J2990" s="13" t="n">
        <f aca="false">IF(ISNUMBER(MATCH(E2990,'NCO-2015 scores'!$A$2:$A$131,0)),IF(ISNUMBER(INDEX('NCO-2015 scores'!$C$2:$C$131,MATCH(E2990,'NCO-2015 scores'!$A$2:$A$131,0))),1,0),0)</f>
        <v>1</v>
      </c>
    </row>
    <row r="2991" customFormat="false" ht="15" hidden="false" customHeight="false" outlineLevel="0" collapsed="false">
      <c r="A2991" s="2" t="n">
        <v>2987</v>
      </c>
      <c r="B2991" s="2" t="s">
        <v>8725</v>
      </c>
      <c r="C2991" s="2" t="s">
        <v>8726</v>
      </c>
      <c r="D2991" s="2" t="s">
        <v>8727</v>
      </c>
      <c r="E2991" s="2" t="str">
        <f aca="false">LEFT(C2991,3)</f>
        <v>263</v>
      </c>
      <c r="F2991" s="2" t="str">
        <f aca="false">IF(D2991="","",LEFT(D2991,3))</f>
        <v>244</v>
      </c>
      <c r="G2991" s="2" t="str">
        <f aca="false">IF(F2991="","",IF(E2991=F2991,"Yes","No"))</f>
        <v>No</v>
      </c>
      <c r="H2991" s="2" t="n">
        <f aca="false">IF(D2991="",0,1/COUNTIF($D$2:$D$3451,D2991))</f>
        <v>1</v>
      </c>
      <c r="I2991" s="13" t="n">
        <f aca="false">IFERROR(INDEX('NCO-2015 scores'!$C$2:$C$131,MATCH(E2991,'NCO-2015 scores'!$A$2:$A$131,0)),0)</f>
        <v>0.39</v>
      </c>
      <c r="J2991" s="13" t="n">
        <f aca="false">IF(ISNUMBER(MATCH(E2991,'NCO-2015 scores'!$A$2:$A$131,0)),IF(ISNUMBER(INDEX('NCO-2015 scores'!$C$2:$C$131,MATCH(E2991,'NCO-2015 scores'!$A$2:$A$131,0))),1,0),0)</f>
        <v>1</v>
      </c>
    </row>
    <row r="2992" customFormat="false" ht="15" hidden="false" customHeight="false" outlineLevel="0" collapsed="false">
      <c r="A2992" s="2" t="n">
        <v>2988</v>
      </c>
      <c r="B2992" s="2" t="s">
        <v>8728</v>
      </c>
      <c r="C2992" s="2" t="s">
        <v>8729</v>
      </c>
      <c r="D2992" s="2" t="s">
        <v>8730</v>
      </c>
      <c r="E2992" s="2" t="str">
        <f aca="false">LEFT(C2992,3)</f>
        <v>263</v>
      </c>
      <c r="F2992" s="2" t="str">
        <f aca="false">IF(D2992="","",LEFT(D2992,3))</f>
        <v>244</v>
      </c>
      <c r="G2992" s="2" t="str">
        <f aca="false">IF(F2992="","",IF(E2992=F2992,"Yes","No"))</f>
        <v>No</v>
      </c>
      <c r="H2992" s="2" t="n">
        <f aca="false">IF(D2992="",0,1/COUNTIF($D$2:$D$3451,D2992))</f>
        <v>1</v>
      </c>
      <c r="I2992" s="13" t="n">
        <f aca="false">IFERROR(INDEX('NCO-2015 scores'!$C$2:$C$131,MATCH(E2992,'NCO-2015 scores'!$A$2:$A$131,0)),0)</f>
        <v>0.39</v>
      </c>
      <c r="J2992" s="13" t="n">
        <f aca="false">IF(ISNUMBER(MATCH(E2992,'NCO-2015 scores'!$A$2:$A$131,0)),IF(ISNUMBER(INDEX('NCO-2015 scores'!$C$2:$C$131,MATCH(E2992,'NCO-2015 scores'!$A$2:$A$131,0))),1,0),0)</f>
        <v>1</v>
      </c>
    </row>
    <row r="2993" customFormat="false" ht="15" hidden="false" customHeight="false" outlineLevel="0" collapsed="false">
      <c r="A2993" s="2" t="n">
        <v>2989</v>
      </c>
      <c r="B2993" s="2" t="s">
        <v>8731</v>
      </c>
      <c r="C2993" s="2" t="s">
        <v>8732</v>
      </c>
      <c r="D2993" s="2" t="s">
        <v>8733</v>
      </c>
      <c r="E2993" s="2" t="str">
        <f aca="false">LEFT(C2993,3)</f>
        <v>263</v>
      </c>
      <c r="F2993" s="2" t="str">
        <f aca="false">IF(D2993="","",LEFT(D2993,3))</f>
        <v>244</v>
      </c>
      <c r="G2993" s="2" t="str">
        <f aca="false">IF(F2993="","",IF(E2993=F2993,"Yes","No"))</f>
        <v>No</v>
      </c>
      <c r="H2993" s="2" t="n">
        <f aca="false">IF(D2993="",0,1/COUNTIF($D$2:$D$3451,D2993))</f>
        <v>1</v>
      </c>
      <c r="I2993" s="13" t="n">
        <f aca="false">IFERROR(INDEX('NCO-2015 scores'!$C$2:$C$131,MATCH(E2993,'NCO-2015 scores'!$A$2:$A$131,0)),0)</f>
        <v>0.39</v>
      </c>
      <c r="J2993" s="13" t="n">
        <f aca="false">IF(ISNUMBER(MATCH(E2993,'NCO-2015 scores'!$A$2:$A$131,0)),IF(ISNUMBER(INDEX('NCO-2015 scores'!$C$2:$C$131,MATCH(E2993,'NCO-2015 scores'!$A$2:$A$131,0))),1,0),0)</f>
        <v>1</v>
      </c>
    </row>
    <row r="2994" customFormat="false" ht="15" hidden="false" customHeight="false" outlineLevel="0" collapsed="false">
      <c r="A2994" s="2" t="n">
        <v>2990</v>
      </c>
      <c r="B2994" s="2" t="s">
        <v>8734</v>
      </c>
      <c r="C2994" s="2" t="s">
        <v>8735</v>
      </c>
      <c r="D2994" s="2" t="s">
        <v>8736</v>
      </c>
      <c r="E2994" s="2" t="str">
        <f aca="false">LEFT(C2994,3)</f>
        <v>263</v>
      </c>
      <c r="F2994" s="2" t="str">
        <f aca="false">IF(D2994="","",LEFT(D2994,3))</f>
        <v>244</v>
      </c>
      <c r="G2994" s="2" t="str">
        <f aca="false">IF(F2994="","",IF(E2994=F2994,"Yes","No"))</f>
        <v>No</v>
      </c>
      <c r="H2994" s="2" t="n">
        <f aca="false">IF(D2994="",0,1/COUNTIF($D$2:$D$3451,D2994))</f>
        <v>1</v>
      </c>
      <c r="I2994" s="13" t="n">
        <f aca="false">IFERROR(INDEX('NCO-2015 scores'!$C$2:$C$131,MATCH(E2994,'NCO-2015 scores'!$A$2:$A$131,0)),0)</f>
        <v>0.39</v>
      </c>
      <c r="J2994" s="13" t="n">
        <f aca="false">IF(ISNUMBER(MATCH(E2994,'NCO-2015 scores'!$A$2:$A$131,0)),IF(ISNUMBER(INDEX('NCO-2015 scores'!$C$2:$C$131,MATCH(E2994,'NCO-2015 scores'!$A$2:$A$131,0))),1,0),0)</f>
        <v>1</v>
      </c>
    </row>
    <row r="2995" customFormat="false" ht="15" hidden="false" customHeight="false" outlineLevel="0" collapsed="false">
      <c r="A2995" s="2" t="n">
        <v>2991</v>
      </c>
      <c r="B2995" s="2" t="s">
        <v>8737</v>
      </c>
      <c r="C2995" s="2" t="s">
        <v>8738</v>
      </c>
      <c r="D2995" s="2" t="s">
        <v>8739</v>
      </c>
      <c r="E2995" s="2" t="str">
        <f aca="false">LEFT(C2995,3)</f>
        <v>263</v>
      </c>
      <c r="F2995" s="2" t="str">
        <f aca="false">IF(D2995="","",LEFT(D2995,3))</f>
        <v>244</v>
      </c>
      <c r="G2995" s="2" t="str">
        <f aca="false">IF(F2995="","",IF(E2995=F2995,"Yes","No"))</f>
        <v>No</v>
      </c>
      <c r="H2995" s="2" t="n">
        <f aca="false">IF(D2995="",0,1/COUNTIF($D$2:$D$3451,D2995))</f>
        <v>1</v>
      </c>
      <c r="I2995" s="13" t="n">
        <f aca="false">IFERROR(INDEX('NCO-2015 scores'!$C$2:$C$131,MATCH(E2995,'NCO-2015 scores'!$A$2:$A$131,0)),0)</f>
        <v>0.39</v>
      </c>
      <c r="J2995" s="13" t="n">
        <f aca="false">IF(ISNUMBER(MATCH(E2995,'NCO-2015 scores'!$A$2:$A$131,0)),IF(ISNUMBER(INDEX('NCO-2015 scores'!$C$2:$C$131,MATCH(E2995,'NCO-2015 scores'!$A$2:$A$131,0))),1,0),0)</f>
        <v>1</v>
      </c>
    </row>
    <row r="2996" customFormat="false" ht="15" hidden="false" customHeight="false" outlineLevel="0" collapsed="false">
      <c r="A2996" s="2" t="n">
        <v>2992</v>
      </c>
      <c r="B2996" s="2" t="s">
        <v>8740</v>
      </c>
      <c r="C2996" s="2" t="s">
        <v>8741</v>
      </c>
      <c r="D2996" s="2" t="s">
        <v>8742</v>
      </c>
      <c r="E2996" s="2" t="str">
        <f aca="false">LEFT(C2996,3)</f>
        <v>263</v>
      </c>
      <c r="F2996" s="2" t="str">
        <f aca="false">IF(D2996="","",LEFT(D2996,3))</f>
        <v>244</v>
      </c>
      <c r="G2996" s="2" t="str">
        <f aca="false">IF(F2996="","",IF(E2996=F2996,"Yes","No"))</f>
        <v>No</v>
      </c>
      <c r="H2996" s="2" t="n">
        <f aca="false">IF(D2996="",0,1/COUNTIF($D$2:$D$3451,D2996))</f>
        <v>1</v>
      </c>
      <c r="I2996" s="13" t="n">
        <f aca="false">IFERROR(INDEX('NCO-2015 scores'!$C$2:$C$131,MATCH(E2996,'NCO-2015 scores'!$A$2:$A$131,0)),0)</f>
        <v>0.39</v>
      </c>
      <c r="J2996" s="13" t="n">
        <f aca="false">IF(ISNUMBER(MATCH(E2996,'NCO-2015 scores'!$A$2:$A$131,0)),IF(ISNUMBER(INDEX('NCO-2015 scores'!$C$2:$C$131,MATCH(E2996,'NCO-2015 scores'!$A$2:$A$131,0))),1,0),0)</f>
        <v>1</v>
      </c>
    </row>
    <row r="2997" customFormat="false" ht="15" hidden="false" customHeight="false" outlineLevel="0" collapsed="false">
      <c r="A2997" s="2" t="n">
        <v>2993</v>
      </c>
      <c r="B2997" s="2" t="s">
        <v>8743</v>
      </c>
      <c r="C2997" s="2" t="s">
        <v>8744</v>
      </c>
      <c r="D2997" s="2" t="s">
        <v>8745</v>
      </c>
      <c r="E2997" s="2" t="str">
        <f aca="false">LEFT(C2997,3)</f>
        <v>263</v>
      </c>
      <c r="F2997" s="2" t="str">
        <f aca="false">IF(D2997="","",LEFT(D2997,3))</f>
        <v>244</v>
      </c>
      <c r="G2997" s="2" t="str">
        <f aca="false">IF(F2997="","",IF(E2997=F2997,"Yes","No"))</f>
        <v>No</v>
      </c>
      <c r="H2997" s="2" t="n">
        <f aca="false">IF(D2997="",0,1/COUNTIF($D$2:$D$3451,D2997))</f>
        <v>1</v>
      </c>
      <c r="I2997" s="13" t="n">
        <f aca="false">IFERROR(INDEX('NCO-2015 scores'!$C$2:$C$131,MATCH(E2997,'NCO-2015 scores'!$A$2:$A$131,0)),0)</f>
        <v>0.39</v>
      </c>
      <c r="J2997" s="13" t="n">
        <f aca="false">IF(ISNUMBER(MATCH(E2997,'NCO-2015 scores'!$A$2:$A$131,0)),IF(ISNUMBER(INDEX('NCO-2015 scores'!$C$2:$C$131,MATCH(E2997,'NCO-2015 scores'!$A$2:$A$131,0))),1,0),0)</f>
        <v>1</v>
      </c>
    </row>
    <row r="2998" customFormat="false" ht="15" hidden="false" customHeight="false" outlineLevel="0" collapsed="false">
      <c r="A2998" s="2" t="n">
        <v>2994</v>
      </c>
      <c r="B2998" s="2" t="s">
        <v>8746</v>
      </c>
      <c r="C2998" s="2" t="s">
        <v>8747</v>
      </c>
      <c r="D2998" s="2" t="s">
        <v>8748</v>
      </c>
      <c r="E2998" s="2" t="str">
        <f aca="false">LEFT(C2998,3)</f>
        <v>263</v>
      </c>
      <c r="F2998" s="2" t="str">
        <f aca="false">IF(D2998="","",LEFT(D2998,3))</f>
        <v>244</v>
      </c>
      <c r="G2998" s="2" t="str">
        <f aca="false">IF(F2998="","",IF(E2998=F2998,"Yes","No"))</f>
        <v>No</v>
      </c>
      <c r="H2998" s="2" t="n">
        <f aca="false">IF(D2998="",0,1/COUNTIF($D$2:$D$3451,D2998))</f>
        <v>1</v>
      </c>
      <c r="I2998" s="13" t="n">
        <f aca="false">IFERROR(INDEX('NCO-2015 scores'!$C$2:$C$131,MATCH(E2998,'NCO-2015 scores'!$A$2:$A$131,0)),0)</f>
        <v>0.39</v>
      </c>
      <c r="J2998" s="13" t="n">
        <f aca="false">IF(ISNUMBER(MATCH(E2998,'NCO-2015 scores'!$A$2:$A$131,0)),IF(ISNUMBER(INDEX('NCO-2015 scores'!$C$2:$C$131,MATCH(E2998,'NCO-2015 scores'!$A$2:$A$131,0))),1,0),0)</f>
        <v>1</v>
      </c>
    </row>
    <row r="2999" customFormat="false" ht="15" hidden="false" customHeight="false" outlineLevel="0" collapsed="false">
      <c r="A2999" s="2" t="n">
        <v>2995</v>
      </c>
      <c r="B2999" s="2" t="s">
        <v>8749</v>
      </c>
      <c r="C2999" s="2" t="s">
        <v>8750</v>
      </c>
      <c r="D2999" s="2" t="s">
        <v>8751</v>
      </c>
      <c r="E2999" s="2" t="str">
        <f aca="false">LEFT(C2999,3)</f>
        <v>251</v>
      </c>
      <c r="F2999" s="2" t="str">
        <f aca="false">IF(D2999="","",LEFT(D2999,3))</f>
        <v>213</v>
      </c>
      <c r="G2999" s="2" t="str">
        <f aca="false">IF(F2999="","",IF(E2999=F2999,"Yes","No"))</f>
        <v>No</v>
      </c>
      <c r="H2999" s="2" t="n">
        <f aca="false">IF(D2999="",0,1/COUNTIF($D$2:$D$3451,D2999))</f>
        <v>1</v>
      </c>
      <c r="I2999" s="13" t="n">
        <f aca="false">IFERROR(INDEX('NCO-2015 scores'!$C$2:$C$131,MATCH(E2999,'NCO-2015 scores'!$A$2:$A$131,0)),0)</f>
        <v>0.548</v>
      </c>
      <c r="J2999" s="13" t="n">
        <f aca="false">IF(ISNUMBER(MATCH(E2999,'NCO-2015 scores'!$A$2:$A$131,0)),IF(ISNUMBER(INDEX('NCO-2015 scores'!$C$2:$C$131,MATCH(E2999,'NCO-2015 scores'!$A$2:$A$131,0))),1,0),0)</f>
        <v>1</v>
      </c>
    </row>
    <row r="3000" customFormat="false" ht="15" hidden="false" customHeight="false" outlineLevel="0" collapsed="false">
      <c r="A3000" s="2" t="n">
        <v>2996</v>
      </c>
      <c r="B3000" s="2" t="s">
        <v>8752</v>
      </c>
      <c r="C3000" s="2" t="s">
        <v>8753</v>
      </c>
      <c r="D3000" s="2" t="s">
        <v>8754</v>
      </c>
      <c r="E3000" s="2" t="str">
        <f aca="false">LEFT(C3000,3)</f>
        <v>251</v>
      </c>
      <c r="F3000" s="2" t="str">
        <f aca="false">IF(D3000="","",LEFT(D3000,3))</f>
        <v>213</v>
      </c>
      <c r="G3000" s="2" t="str">
        <f aca="false">IF(F3000="","",IF(E3000=F3000,"Yes","No"))</f>
        <v>No</v>
      </c>
      <c r="H3000" s="2" t="n">
        <f aca="false">IF(D3000="",0,1/COUNTIF($D$2:$D$3451,D3000))</f>
        <v>0.5</v>
      </c>
      <c r="I3000" s="13" t="n">
        <f aca="false">IFERROR(INDEX('NCO-2015 scores'!$C$2:$C$131,MATCH(E3000,'NCO-2015 scores'!$A$2:$A$131,0)),0)</f>
        <v>0.548</v>
      </c>
      <c r="J3000" s="13" t="n">
        <f aca="false">IF(ISNUMBER(MATCH(E3000,'NCO-2015 scores'!$A$2:$A$131,0)),IF(ISNUMBER(INDEX('NCO-2015 scores'!$C$2:$C$131,MATCH(E3000,'NCO-2015 scores'!$A$2:$A$131,0))),1,0),0)</f>
        <v>1</v>
      </c>
    </row>
    <row r="3001" customFormat="false" ht="15" hidden="false" customHeight="false" outlineLevel="0" collapsed="false">
      <c r="A3001" s="2" t="n">
        <v>2997</v>
      </c>
      <c r="B3001" s="2" t="s">
        <v>3116</v>
      </c>
      <c r="C3001" s="2" t="s">
        <v>8755</v>
      </c>
      <c r="D3001" s="2"/>
      <c r="E3001" s="2" t="str">
        <f aca="false">LEFT(C3001,3)</f>
        <v>251</v>
      </c>
      <c r="F3001" s="2" t="str">
        <f aca="false">IF(D3001="","",LEFT(D3001,3))</f>
        <v/>
      </c>
      <c r="G3001" s="2" t="str">
        <f aca="false">IF(F3001="","",IF(E3001=F3001,"Yes","No"))</f>
        <v/>
      </c>
      <c r="H3001" s="2" t="n">
        <f aca="false">IF(D3001="",0,1/COUNTIF($D$2:$D$3451,D3001))</f>
        <v>0</v>
      </c>
      <c r="I3001" s="13" t="n">
        <f aca="false">IFERROR(INDEX('NCO-2015 scores'!$C$2:$C$131,MATCH(E3001,'NCO-2015 scores'!$A$2:$A$131,0)),0)</f>
        <v>0.548</v>
      </c>
      <c r="J3001" s="13" t="n">
        <f aca="false">IF(ISNUMBER(MATCH(E3001,'NCO-2015 scores'!$A$2:$A$131,0)),IF(ISNUMBER(INDEX('NCO-2015 scores'!$C$2:$C$131,MATCH(E3001,'NCO-2015 scores'!$A$2:$A$131,0))),1,0),0)</f>
        <v>1</v>
      </c>
    </row>
    <row r="3002" customFormat="false" ht="15" hidden="false" customHeight="false" outlineLevel="0" collapsed="false">
      <c r="A3002" s="2" t="n">
        <v>2998</v>
      </c>
      <c r="B3002" s="2" t="s">
        <v>8756</v>
      </c>
      <c r="C3002" s="2" t="s">
        <v>8757</v>
      </c>
      <c r="D3002" s="2" t="s">
        <v>8754</v>
      </c>
      <c r="E3002" s="2" t="str">
        <f aca="false">LEFT(C3002,3)</f>
        <v>251</v>
      </c>
      <c r="F3002" s="2" t="str">
        <f aca="false">IF(D3002="","",LEFT(D3002,3))</f>
        <v>213</v>
      </c>
      <c r="G3002" s="2" t="str">
        <f aca="false">IF(F3002="","",IF(E3002=F3002,"Yes","No"))</f>
        <v>No</v>
      </c>
      <c r="H3002" s="2" t="n">
        <f aca="false">IF(D3002="",0,1/COUNTIF($D$2:$D$3451,D3002))</f>
        <v>0.5</v>
      </c>
      <c r="I3002" s="13" t="n">
        <f aca="false">IFERROR(INDEX('NCO-2015 scores'!$C$2:$C$131,MATCH(E3002,'NCO-2015 scores'!$A$2:$A$131,0)),0)</f>
        <v>0.548</v>
      </c>
      <c r="J3002" s="13" t="n">
        <f aca="false">IF(ISNUMBER(MATCH(E3002,'NCO-2015 scores'!$A$2:$A$131,0)),IF(ISNUMBER(INDEX('NCO-2015 scores'!$C$2:$C$131,MATCH(E3002,'NCO-2015 scores'!$A$2:$A$131,0))),1,0),0)</f>
        <v>1</v>
      </c>
    </row>
    <row r="3003" customFormat="false" ht="15" hidden="false" customHeight="false" outlineLevel="0" collapsed="false">
      <c r="A3003" s="2" t="n">
        <v>2999</v>
      </c>
      <c r="B3003" s="2" t="s">
        <v>8758</v>
      </c>
      <c r="C3003" s="2" t="s">
        <v>8759</v>
      </c>
      <c r="D3003" s="2"/>
      <c r="E3003" s="2" t="str">
        <f aca="false">LEFT(C3003,3)</f>
        <v>251</v>
      </c>
      <c r="F3003" s="2" t="str">
        <f aca="false">IF(D3003="","",LEFT(D3003,3))</f>
        <v/>
      </c>
      <c r="G3003" s="2" t="str">
        <f aca="false">IF(F3003="","",IF(E3003=F3003,"Yes","No"))</f>
        <v/>
      </c>
      <c r="H3003" s="2" t="n">
        <f aca="false">IF(D3003="",0,1/COUNTIF($D$2:$D$3451,D3003))</f>
        <v>0</v>
      </c>
      <c r="I3003" s="13" t="n">
        <f aca="false">IFERROR(INDEX('NCO-2015 scores'!$C$2:$C$131,MATCH(E3003,'NCO-2015 scores'!$A$2:$A$131,0)),0)</f>
        <v>0.548</v>
      </c>
      <c r="J3003" s="13" t="n">
        <f aca="false">IF(ISNUMBER(MATCH(E3003,'NCO-2015 scores'!$A$2:$A$131,0)),IF(ISNUMBER(INDEX('NCO-2015 scores'!$C$2:$C$131,MATCH(E3003,'NCO-2015 scores'!$A$2:$A$131,0))),1,0),0)</f>
        <v>1</v>
      </c>
    </row>
    <row r="3004" customFormat="false" ht="15" hidden="false" customHeight="false" outlineLevel="0" collapsed="false">
      <c r="A3004" s="2" t="n">
        <v>3000</v>
      </c>
      <c r="B3004" s="2" t="s">
        <v>8760</v>
      </c>
      <c r="C3004" s="2" t="s">
        <v>8761</v>
      </c>
      <c r="D3004" s="2"/>
      <c r="E3004" s="2" t="str">
        <f aca="false">LEFT(C3004,3)</f>
        <v>251</v>
      </c>
      <c r="F3004" s="2" t="str">
        <f aca="false">IF(D3004="","",LEFT(D3004,3))</f>
        <v/>
      </c>
      <c r="G3004" s="2" t="str">
        <f aca="false">IF(F3004="","",IF(E3004=F3004,"Yes","No"))</f>
        <v/>
      </c>
      <c r="H3004" s="2" t="n">
        <f aca="false">IF(D3004="",0,1/COUNTIF($D$2:$D$3451,D3004))</f>
        <v>0</v>
      </c>
      <c r="I3004" s="13" t="n">
        <f aca="false">IFERROR(INDEX('NCO-2015 scores'!$C$2:$C$131,MATCH(E3004,'NCO-2015 scores'!$A$2:$A$131,0)),0)</f>
        <v>0.548</v>
      </c>
      <c r="J3004" s="13" t="n">
        <f aca="false">IF(ISNUMBER(MATCH(E3004,'NCO-2015 scores'!$A$2:$A$131,0)),IF(ISNUMBER(INDEX('NCO-2015 scores'!$C$2:$C$131,MATCH(E3004,'NCO-2015 scores'!$A$2:$A$131,0))),1,0),0)</f>
        <v>1</v>
      </c>
    </row>
    <row r="3005" customFormat="false" ht="15" hidden="false" customHeight="false" outlineLevel="0" collapsed="false">
      <c r="A3005" s="2" t="n">
        <v>3001</v>
      </c>
      <c r="B3005" s="2" t="s">
        <v>8762</v>
      </c>
      <c r="C3005" s="2" t="s">
        <v>8763</v>
      </c>
      <c r="D3005" s="2"/>
      <c r="E3005" s="2" t="str">
        <f aca="false">LEFT(C3005,3)</f>
        <v>251</v>
      </c>
      <c r="F3005" s="2" t="str">
        <f aca="false">IF(D3005="","",LEFT(D3005,3))</f>
        <v/>
      </c>
      <c r="G3005" s="2" t="str">
        <f aca="false">IF(F3005="","",IF(E3005=F3005,"Yes","No"))</f>
        <v/>
      </c>
      <c r="H3005" s="2" t="n">
        <f aca="false">IF(D3005="",0,1/COUNTIF($D$2:$D$3451,D3005))</f>
        <v>0</v>
      </c>
      <c r="I3005" s="13" t="n">
        <f aca="false">IFERROR(INDEX('NCO-2015 scores'!$C$2:$C$131,MATCH(E3005,'NCO-2015 scores'!$A$2:$A$131,0)),0)</f>
        <v>0.548</v>
      </c>
      <c r="J3005" s="13" t="n">
        <f aca="false">IF(ISNUMBER(MATCH(E3005,'NCO-2015 scores'!$A$2:$A$131,0)),IF(ISNUMBER(INDEX('NCO-2015 scores'!$C$2:$C$131,MATCH(E3005,'NCO-2015 scores'!$A$2:$A$131,0))),1,0),0)</f>
        <v>1</v>
      </c>
    </row>
    <row r="3006" customFormat="false" ht="15" hidden="false" customHeight="false" outlineLevel="0" collapsed="false">
      <c r="A3006" s="2" t="n">
        <v>3002</v>
      </c>
      <c r="B3006" s="2" t="s">
        <v>8764</v>
      </c>
      <c r="C3006" s="2" t="s">
        <v>8765</v>
      </c>
      <c r="D3006" s="2" t="s">
        <v>8766</v>
      </c>
      <c r="E3006" s="2" t="str">
        <f aca="false">LEFT(C3006,3)</f>
        <v>251</v>
      </c>
      <c r="F3006" s="2" t="str">
        <f aca="false">IF(D3006="","",LEFT(D3006,3))</f>
        <v>213</v>
      </c>
      <c r="G3006" s="2" t="str">
        <f aca="false">IF(F3006="","",IF(E3006=F3006,"Yes","No"))</f>
        <v>No</v>
      </c>
      <c r="H3006" s="2" t="n">
        <f aca="false">IF(D3006="",0,1/COUNTIF($D$2:$D$3451,D3006))</f>
        <v>1</v>
      </c>
      <c r="I3006" s="13" t="n">
        <f aca="false">IFERROR(INDEX('NCO-2015 scores'!$C$2:$C$131,MATCH(E3006,'NCO-2015 scores'!$A$2:$A$131,0)),0)</f>
        <v>0.548</v>
      </c>
      <c r="J3006" s="13" t="n">
        <f aca="false">IF(ISNUMBER(MATCH(E3006,'NCO-2015 scores'!$A$2:$A$131,0)),IF(ISNUMBER(INDEX('NCO-2015 scores'!$C$2:$C$131,MATCH(E3006,'NCO-2015 scores'!$A$2:$A$131,0))),1,0),0)</f>
        <v>1</v>
      </c>
    </row>
    <row r="3007" customFormat="false" ht="15" hidden="false" customHeight="false" outlineLevel="0" collapsed="false">
      <c r="A3007" s="2" t="n">
        <v>3003</v>
      </c>
      <c r="B3007" s="2" t="s">
        <v>8767</v>
      </c>
      <c r="C3007" s="2" t="s">
        <v>8768</v>
      </c>
      <c r="D3007" s="2" t="s">
        <v>8769</v>
      </c>
      <c r="E3007" s="2" t="str">
        <f aca="false">LEFT(C3007,3)</f>
        <v>251</v>
      </c>
      <c r="F3007" s="2" t="str">
        <f aca="false">IF(D3007="","",LEFT(D3007,3))</f>
        <v>213</v>
      </c>
      <c r="G3007" s="2" t="str">
        <f aca="false">IF(F3007="","",IF(E3007=F3007,"Yes","No"))</f>
        <v>No</v>
      </c>
      <c r="H3007" s="2" t="n">
        <f aca="false">IF(D3007="",0,1/COUNTIF($D$2:$D$3451,D3007))</f>
        <v>1</v>
      </c>
      <c r="I3007" s="13" t="n">
        <f aca="false">IFERROR(INDEX('NCO-2015 scores'!$C$2:$C$131,MATCH(E3007,'NCO-2015 scores'!$A$2:$A$131,0)),0)</f>
        <v>0.548</v>
      </c>
      <c r="J3007" s="13" t="n">
        <f aca="false">IF(ISNUMBER(MATCH(E3007,'NCO-2015 scores'!$A$2:$A$131,0)),IF(ISNUMBER(INDEX('NCO-2015 scores'!$C$2:$C$131,MATCH(E3007,'NCO-2015 scores'!$A$2:$A$131,0))),1,0),0)</f>
        <v>1</v>
      </c>
    </row>
    <row r="3008" customFormat="false" ht="15" hidden="false" customHeight="false" outlineLevel="0" collapsed="false">
      <c r="A3008" s="2" t="n">
        <v>3004</v>
      </c>
      <c r="B3008" s="2" t="s">
        <v>8770</v>
      </c>
      <c r="C3008" s="2" t="s">
        <v>8771</v>
      </c>
      <c r="D3008" s="2"/>
      <c r="E3008" s="2" t="str">
        <f aca="false">LEFT(C3008,3)</f>
        <v>251</v>
      </c>
      <c r="F3008" s="2" t="str">
        <f aca="false">IF(D3008="","",LEFT(D3008,3))</f>
        <v/>
      </c>
      <c r="G3008" s="2" t="str">
        <f aca="false">IF(F3008="","",IF(E3008=F3008,"Yes","No"))</f>
        <v/>
      </c>
      <c r="H3008" s="2" t="n">
        <f aca="false">IF(D3008="",0,1/COUNTIF($D$2:$D$3451,D3008))</f>
        <v>0</v>
      </c>
      <c r="I3008" s="13" t="n">
        <f aca="false">IFERROR(INDEX('NCO-2015 scores'!$C$2:$C$131,MATCH(E3008,'NCO-2015 scores'!$A$2:$A$131,0)),0)</f>
        <v>0.548</v>
      </c>
      <c r="J3008" s="13" t="n">
        <f aca="false">IF(ISNUMBER(MATCH(E3008,'NCO-2015 scores'!$A$2:$A$131,0)),IF(ISNUMBER(INDEX('NCO-2015 scores'!$C$2:$C$131,MATCH(E3008,'NCO-2015 scores'!$A$2:$A$131,0))),1,0),0)</f>
        <v>1</v>
      </c>
    </row>
    <row r="3009" customFormat="false" ht="15" hidden="false" customHeight="false" outlineLevel="0" collapsed="false">
      <c r="A3009" s="2" t="n">
        <v>3005</v>
      </c>
      <c r="B3009" s="2" t="s">
        <v>8772</v>
      </c>
      <c r="C3009" s="2" t="s">
        <v>8773</v>
      </c>
      <c r="D3009" s="2"/>
      <c r="E3009" s="2" t="str">
        <f aca="false">LEFT(C3009,3)</f>
        <v>251</v>
      </c>
      <c r="F3009" s="2" t="str">
        <f aca="false">IF(D3009="","",LEFT(D3009,3))</f>
        <v/>
      </c>
      <c r="G3009" s="2" t="str">
        <f aca="false">IF(F3009="","",IF(E3009=F3009,"Yes","No"))</f>
        <v/>
      </c>
      <c r="H3009" s="2" t="n">
        <f aca="false">IF(D3009="",0,1/COUNTIF($D$2:$D$3451,D3009))</f>
        <v>0</v>
      </c>
      <c r="I3009" s="13" t="n">
        <f aca="false">IFERROR(INDEX('NCO-2015 scores'!$C$2:$C$131,MATCH(E3009,'NCO-2015 scores'!$A$2:$A$131,0)),0)</f>
        <v>0.548</v>
      </c>
      <c r="J3009" s="13" t="n">
        <f aca="false">IF(ISNUMBER(MATCH(E3009,'NCO-2015 scores'!$A$2:$A$131,0)),IF(ISNUMBER(INDEX('NCO-2015 scores'!$C$2:$C$131,MATCH(E3009,'NCO-2015 scores'!$A$2:$A$131,0))),1,0),0)</f>
        <v>1</v>
      </c>
    </row>
    <row r="3010" customFormat="false" ht="15" hidden="false" customHeight="false" outlineLevel="0" collapsed="false">
      <c r="A3010" s="2" t="n">
        <v>3006</v>
      </c>
      <c r="B3010" s="2" t="s">
        <v>8774</v>
      </c>
      <c r="C3010" s="2" t="s">
        <v>8775</v>
      </c>
      <c r="D3010" s="2" t="s">
        <v>8776</v>
      </c>
      <c r="E3010" s="2" t="str">
        <f aca="false">LEFT(C3010,3)</f>
        <v>251</v>
      </c>
      <c r="F3010" s="2" t="str">
        <f aca="false">IF(D3010="","",LEFT(D3010,3))</f>
        <v>213</v>
      </c>
      <c r="G3010" s="2" t="str">
        <f aca="false">IF(F3010="","",IF(E3010=F3010,"Yes","No"))</f>
        <v>No</v>
      </c>
      <c r="H3010" s="2" t="n">
        <f aca="false">IF(D3010="",0,1/COUNTIF($D$2:$D$3451,D3010))</f>
        <v>1</v>
      </c>
      <c r="I3010" s="13" t="n">
        <f aca="false">IFERROR(INDEX('NCO-2015 scores'!$C$2:$C$131,MATCH(E3010,'NCO-2015 scores'!$A$2:$A$131,0)),0)</f>
        <v>0.548</v>
      </c>
      <c r="J3010" s="13" t="n">
        <f aca="false">IF(ISNUMBER(MATCH(E3010,'NCO-2015 scores'!$A$2:$A$131,0)),IF(ISNUMBER(INDEX('NCO-2015 scores'!$C$2:$C$131,MATCH(E3010,'NCO-2015 scores'!$A$2:$A$131,0))),1,0),0)</f>
        <v>1</v>
      </c>
    </row>
    <row r="3011" customFormat="false" ht="15" hidden="false" customHeight="false" outlineLevel="0" collapsed="false">
      <c r="A3011" s="2" t="n">
        <v>3007</v>
      </c>
      <c r="B3011" s="2" t="s">
        <v>8777</v>
      </c>
      <c r="C3011" s="2" t="s">
        <v>8778</v>
      </c>
      <c r="D3011" s="2"/>
      <c r="E3011" s="2" t="str">
        <f aca="false">LEFT(C3011,3)</f>
        <v>251</v>
      </c>
      <c r="F3011" s="2" t="str">
        <f aca="false">IF(D3011="","",LEFT(D3011,3))</f>
        <v/>
      </c>
      <c r="G3011" s="2" t="str">
        <f aca="false">IF(F3011="","",IF(E3011=F3011,"Yes","No"))</f>
        <v/>
      </c>
      <c r="H3011" s="2" t="n">
        <f aca="false">IF(D3011="",0,1/COUNTIF($D$2:$D$3451,D3011))</f>
        <v>0</v>
      </c>
      <c r="I3011" s="13" t="n">
        <f aca="false">IFERROR(INDEX('NCO-2015 scores'!$C$2:$C$131,MATCH(E3011,'NCO-2015 scores'!$A$2:$A$131,0)),0)</f>
        <v>0.548</v>
      </c>
      <c r="J3011" s="13" t="n">
        <f aca="false">IF(ISNUMBER(MATCH(E3011,'NCO-2015 scores'!$A$2:$A$131,0)),IF(ISNUMBER(INDEX('NCO-2015 scores'!$C$2:$C$131,MATCH(E3011,'NCO-2015 scores'!$A$2:$A$131,0))),1,0),0)</f>
        <v>1</v>
      </c>
    </row>
    <row r="3012" customFormat="false" ht="15" hidden="false" customHeight="false" outlineLevel="0" collapsed="false">
      <c r="A3012" s="2" t="n">
        <v>3008</v>
      </c>
      <c r="B3012" s="2" t="s">
        <v>8779</v>
      </c>
      <c r="C3012" s="2" t="s">
        <v>8780</v>
      </c>
      <c r="D3012" s="2"/>
      <c r="E3012" s="2" t="str">
        <f aca="false">LEFT(C3012,3)</f>
        <v>251</v>
      </c>
      <c r="F3012" s="2" t="str">
        <f aca="false">IF(D3012="","",LEFT(D3012,3))</f>
        <v/>
      </c>
      <c r="G3012" s="2" t="str">
        <f aca="false">IF(F3012="","",IF(E3012=F3012,"Yes","No"))</f>
        <v/>
      </c>
      <c r="H3012" s="2" t="n">
        <f aca="false">IF(D3012="",0,1/COUNTIF($D$2:$D$3451,D3012))</f>
        <v>0</v>
      </c>
      <c r="I3012" s="13" t="n">
        <f aca="false">IFERROR(INDEX('NCO-2015 scores'!$C$2:$C$131,MATCH(E3012,'NCO-2015 scores'!$A$2:$A$131,0)),0)</f>
        <v>0.548</v>
      </c>
      <c r="J3012" s="13" t="n">
        <f aca="false">IF(ISNUMBER(MATCH(E3012,'NCO-2015 scores'!$A$2:$A$131,0)),IF(ISNUMBER(INDEX('NCO-2015 scores'!$C$2:$C$131,MATCH(E3012,'NCO-2015 scores'!$A$2:$A$131,0))),1,0),0)</f>
        <v>1</v>
      </c>
    </row>
    <row r="3013" customFormat="false" ht="15" hidden="false" customHeight="false" outlineLevel="0" collapsed="false">
      <c r="A3013" s="2" t="n">
        <v>3009</v>
      </c>
      <c r="B3013" s="2" t="s">
        <v>8781</v>
      </c>
      <c r="C3013" s="2" t="s">
        <v>8782</v>
      </c>
      <c r="D3013" s="2"/>
      <c r="E3013" s="2" t="str">
        <f aca="false">LEFT(C3013,3)</f>
        <v>251</v>
      </c>
      <c r="F3013" s="2" t="str">
        <f aca="false">IF(D3013="","",LEFT(D3013,3))</f>
        <v/>
      </c>
      <c r="G3013" s="2" t="str">
        <f aca="false">IF(F3013="","",IF(E3013=F3013,"Yes","No"))</f>
        <v/>
      </c>
      <c r="H3013" s="2" t="n">
        <f aca="false">IF(D3013="",0,1/COUNTIF($D$2:$D$3451,D3013))</f>
        <v>0</v>
      </c>
      <c r="I3013" s="13" t="n">
        <f aca="false">IFERROR(INDEX('NCO-2015 scores'!$C$2:$C$131,MATCH(E3013,'NCO-2015 scores'!$A$2:$A$131,0)),0)</f>
        <v>0.548</v>
      </c>
      <c r="J3013" s="13" t="n">
        <f aca="false">IF(ISNUMBER(MATCH(E3013,'NCO-2015 scores'!$A$2:$A$131,0)),IF(ISNUMBER(INDEX('NCO-2015 scores'!$C$2:$C$131,MATCH(E3013,'NCO-2015 scores'!$A$2:$A$131,0))),1,0),0)</f>
        <v>1</v>
      </c>
    </row>
    <row r="3014" customFormat="false" ht="15" hidden="false" customHeight="false" outlineLevel="0" collapsed="false">
      <c r="A3014" s="2" t="n">
        <v>3010</v>
      </c>
      <c r="B3014" s="2" t="s">
        <v>8783</v>
      </c>
      <c r="C3014" s="2" t="s">
        <v>8784</v>
      </c>
      <c r="D3014" s="2" t="s">
        <v>8785</v>
      </c>
      <c r="E3014" s="2" t="str">
        <f aca="false">LEFT(C3014,3)</f>
        <v>251</v>
      </c>
      <c r="F3014" s="2" t="str">
        <f aca="false">IF(D3014="","",LEFT(D3014,3))</f>
        <v>213</v>
      </c>
      <c r="G3014" s="2" t="str">
        <f aca="false">IF(F3014="","",IF(E3014=F3014,"Yes","No"))</f>
        <v>No</v>
      </c>
      <c r="H3014" s="2" t="n">
        <f aca="false">IF(D3014="",0,1/COUNTIF($D$2:$D$3451,D3014))</f>
        <v>1</v>
      </c>
      <c r="I3014" s="13" t="n">
        <f aca="false">IFERROR(INDEX('NCO-2015 scores'!$C$2:$C$131,MATCH(E3014,'NCO-2015 scores'!$A$2:$A$131,0)),0)</f>
        <v>0.548</v>
      </c>
      <c r="J3014" s="13" t="n">
        <f aca="false">IF(ISNUMBER(MATCH(E3014,'NCO-2015 scores'!$A$2:$A$131,0)),IF(ISNUMBER(INDEX('NCO-2015 scores'!$C$2:$C$131,MATCH(E3014,'NCO-2015 scores'!$A$2:$A$131,0))),1,0),0)</f>
        <v>1</v>
      </c>
    </row>
    <row r="3015" customFormat="false" ht="15" hidden="false" customHeight="false" outlineLevel="0" collapsed="false">
      <c r="A3015" s="2" t="n">
        <v>3011</v>
      </c>
      <c r="B3015" s="2" t="s">
        <v>8786</v>
      </c>
      <c r="C3015" s="2" t="s">
        <v>8787</v>
      </c>
      <c r="D3015" s="2"/>
      <c r="E3015" s="2" t="str">
        <f aca="false">LEFT(C3015,3)</f>
        <v>251</v>
      </c>
      <c r="F3015" s="2" t="str">
        <f aca="false">IF(D3015="","",LEFT(D3015,3))</f>
        <v/>
      </c>
      <c r="G3015" s="2" t="str">
        <f aca="false">IF(F3015="","",IF(E3015=F3015,"Yes","No"))</f>
        <v/>
      </c>
      <c r="H3015" s="2" t="n">
        <f aca="false">IF(D3015="",0,1/COUNTIF($D$2:$D$3451,D3015))</f>
        <v>0</v>
      </c>
      <c r="I3015" s="13" t="n">
        <f aca="false">IFERROR(INDEX('NCO-2015 scores'!$C$2:$C$131,MATCH(E3015,'NCO-2015 scores'!$A$2:$A$131,0)),0)</f>
        <v>0.548</v>
      </c>
      <c r="J3015" s="13" t="n">
        <f aca="false">IF(ISNUMBER(MATCH(E3015,'NCO-2015 scores'!$A$2:$A$131,0)),IF(ISNUMBER(INDEX('NCO-2015 scores'!$C$2:$C$131,MATCH(E3015,'NCO-2015 scores'!$A$2:$A$131,0))),1,0),0)</f>
        <v>1</v>
      </c>
    </row>
    <row r="3016" customFormat="false" ht="15" hidden="false" customHeight="false" outlineLevel="0" collapsed="false">
      <c r="A3016" s="2" t="n">
        <v>3012</v>
      </c>
      <c r="B3016" s="2" t="s">
        <v>8788</v>
      </c>
      <c r="C3016" s="2" t="s">
        <v>8789</v>
      </c>
      <c r="D3016" s="2"/>
      <c r="E3016" s="2" t="str">
        <f aca="false">LEFT(C3016,3)</f>
        <v>251</v>
      </c>
      <c r="F3016" s="2" t="str">
        <f aca="false">IF(D3016="","",LEFT(D3016,3))</f>
        <v/>
      </c>
      <c r="G3016" s="2" t="str">
        <f aca="false">IF(F3016="","",IF(E3016=F3016,"Yes","No"))</f>
        <v/>
      </c>
      <c r="H3016" s="2" t="n">
        <f aca="false">IF(D3016="",0,1/COUNTIF($D$2:$D$3451,D3016))</f>
        <v>0</v>
      </c>
      <c r="I3016" s="13" t="n">
        <f aca="false">IFERROR(INDEX('NCO-2015 scores'!$C$2:$C$131,MATCH(E3016,'NCO-2015 scores'!$A$2:$A$131,0)),0)</f>
        <v>0.548</v>
      </c>
      <c r="J3016" s="13" t="n">
        <f aca="false">IF(ISNUMBER(MATCH(E3016,'NCO-2015 scores'!$A$2:$A$131,0)),IF(ISNUMBER(INDEX('NCO-2015 scores'!$C$2:$C$131,MATCH(E3016,'NCO-2015 scores'!$A$2:$A$131,0))),1,0),0)</f>
        <v>1</v>
      </c>
    </row>
    <row r="3017" customFormat="false" ht="15" hidden="false" customHeight="false" outlineLevel="0" collapsed="false">
      <c r="A3017" s="2" t="n">
        <v>3013</v>
      </c>
      <c r="B3017" s="2" t="s">
        <v>8790</v>
      </c>
      <c r="C3017" s="2" t="s">
        <v>8791</v>
      </c>
      <c r="D3017" s="2"/>
      <c r="E3017" s="2" t="str">
        <f aca="false">LEFT(C3017,3)</f>
        <v>251</v>
      </c>
      <c r="F3017" s="2" t="str">
        <f aca="false">IF(D3017="","",LEFT(D3017,3))</f>
        <v/>
      </c>
      <c r="G3017" s="2" t="str">
        <f aca="false">IF(F3017="","",IF(E3017=F3017,"Yes","No"))</f>
        <v/>
      </c>
      <c r="H3017" s="2" t="n">
        <f aca="false">IF(D3017="",0,1/COUNTIF($D$2:$D$3451,D3017))</f>
        <v>0</v>
      </c>
      <c r="I3017" s="13" t="n">
        <f aca="false">IFERROR(INDEX('NCO-2015 scores'!$C$2:$C$131,MATCH(E3017,'NCO-2015 scores'!$A$2:$A$131,0)),0)</f>
        <v>0.548</v>
      </c>
      <c r="J3017" s="13" t="n">
        <f aca="false">IF(ISNUMBER(MATCH(E3017,'NCO-2015 scores'!$A$2:$A$131,0)),IF(ISNUMBER(INDEX('NCO-2015 scores'!$C$2:$C$131,MATCH(E3017,'NCO-2015 scores'!$A$2:$A$131,0))),1,0),0)</f>
        <v>1</v>
      </c>
    </row>
    <row r="3018" customFormat="false" ht="15" hidden="false" customHeight="false" outlineLevel="0" collapsed="false">
      <c r="A3018" s="2" t="n">
        <v>3014</v>
      </c>
      <c r="B3018" s="2" t="s">
        <v>8792</v>
      </c>
      <c r="C3018" s="2" t="s">
        <v>8793</v>
      </c>
      <c r="D3018" s="2"/>
      <c r="E3018" s="2" t="str">
        <f aca="false">LEFT(C3018,3)</f>
        <v>251</v>
      </c>
      <c r="F3018" s="2" t="str">
        <f aca="false">IF(D3018="","",LEFT(D3018,3))</f>
        <v/>
      </c>
      <c r="G3018" s="2" t="str">
        <f aca="false">IF(F3018="","",IF(E3018=F3018,"Yes","No"))</f>
        <v/>
      </c>
      <c r="H3018" s="2" t="n">
        <f aca="false">IF(D3018="",0,1/COUNTIF($D$2:$D$3451,D3018))</f>
        <v>0</v>
      </c>
      <c r="I3018" s="13" t="n">
        <f aca="false">IFERROR(INDEX('NCO-2015 scores'!$C$2:$C$131,MATCH(E3018,'NCO-2015 scores'!$A$2:$A$131,0)),0)</f>
        <v>0.548</v>
      </c>
      <c r="J3018" s="13" t="n">
        <f aca="false">IF(ISNUMBER(MATCH(E3018,'NCO-2015 scores'!$A$2:$A$131,0)),IF(ISNUMBER(INDEX('NCO-2015 scores'!$C$2:$C$131,MATCH(E3018,'NCO-2015 scores'!$A$2:$A$131,0))),1,0),0)</f>
        <v>1</v>
      </c>
    </row>
    <row r="3019" customFormat="false" ht="15" hidden="false" customHeight="false" outlineLevel="0" collapsed="false">
      <c r="A3019" s="2" t="n">
        <v>3015</v>
      </c>
      <c r="B3019" s="2" t="s">
        <v>8794</v>
      </c>
      <c r="C3019" s="2" t="s">
        <v>8795</v>
      </c>
      <c r="D3019" s="2"/>
      <c r="E3019" s="2" t="str">
        <f aca="false">LEFT(C3019,3)</f>
        <v>251</v>
      </c>
      <c r="F3019" s="2" t="str">
        <f aca="false">IF(D3019="","",LEFT(D3019,3))</f>
        <v/>
      </c>
      <c r="G3019" s="2" t="str">
        <f aca="false">IF(F3019="","",IF(E3019=F3019,"Yes","No"))</f>
        <v/>
      </c>
      <c r="H3019" s="2" t="n">
        <f aca="false">IF(D3019="",0,1/COUNTIF($D$2:$D$3451,D3019))</f>
        <v>0</v>
      </c>
      <c r="I3019" s="13" t="n">
        <f aca="false">IFERROR(INDEX('NCO-2015 scores'!$C$2:$C$131,MATCH(E3019,'NCO-2015 scores'!$A$2:$A$131,0)),0)</f>
        <v>0.548</v>
      </c>
      <c r="J3019" s="13" t="n">
        <f aca="false">IF(ISNUMBER(MATCH(E3019,'NCO-2015 scores'!$A$2:$A$131,0)),IF(ISNUMBER(INDEX('NCO-2015 scores'!$C$2:$C$131,MATCH(E3019,'NCO-2015 scores'!$A$2:$A$131,0))),1,0),0)</f>
        <v>1</v>
      </c>
    </row>
    <row r="3020" customFormat="false" ht="15" hidden="false" customHeight="false" outlineLevel="0" collapsed="false">
      <c r="A3020" s="2" t="n">
        <v>3016</v>
      </c>
      <c r="B3020" s="2" t="s">
        <v>8796</v>
      </c>
      <c r="C3020" s="2" t="s">
        <v>8797</v>
      </c>
      <c r="D3020" s="2"/>
      <c r="E3020" s="2" t="str">
        <f aca="false">LEFT(C3020,3)</f>
        <v>251</v>
      </c>
      <c r="F3020" s="2" t="str">
        <f aca="false">IF(D3020="","",LEFT(D3020,3))</f>
        <v/>
      </c>
      <c r="G3020" s="2" t="str">
        <f aca="false">IF(F3020="","",IF(E3020=F3020,"Yes","No"))</f>
        <v/>
      </c>
      <c r="H3020" s="2" t="n">
        <f aca="false">IF(D3020="",0,1/COUNTIF($D$2:$D$3451,D3020))</f>
        <v>0</v>
      </c>
      <c r="I3020" s="13" t="n">
        <f aca="false">IFERROR(INDEX('NCO-2015 scores'!$C$2:$C$131,MATCH(E3020,'NCO-2015 scores'!$A$2:$A$131,0)),0)</f>
        <v>0.548</v>
      </c>
      <c r="J3020" s="13" t="n">
        <f aca="false">IF(ISNUMBER(MATCH(E3020,'NCO-2015 scores'!$A$2:$A$131,0)),IF(ISNUMBER(INDEX('NCO-2015 scores'!$C$2:$C$131,MATCH(E3020,'NCO-2015 scores'!$A$2:$A$131,0))),1,0),0)</f>
        <v>1</v>
      </c>
    </row>
    <row r="3021" customFormat="false" ht="15" hidden="false" customHeight="false" outlineLevel="0" collapsed="false">
      <c r="A3021" s="2" t="n">
        <v>3017</v>
      </c>
      <c r="B3021" s="2" t="s">
        <v>8798</v>
      </c>
      <c r="C3021" s="2" t="s">
        <v>8799</v>
      </c>
      <c r="D3021" s="2" t="s">
        <v>8800</v>
      </c>
      <c r="E3021" s="2" t="str">
        <f aca="false">LEFT(C3021,3)</f>
        <v>235</v>
      </c>
      <c r="F3021" s="2" t="str">
        <f aca="false">IF(D3021="","",LEFT(D3021,3))</f>
        <v>333</v>
      </c>
      <c r="G3021" s="2" t="str">
        <f aca="false">IF(F3021="","",IF(E3021=F3021,"Yes","No"))</f>
        <v>No</v>
      </c>
      <c r="H3021" s="2" t="n">
        <f aca="false">IF(D3021="",0,1/COUNTIF($D$2:$D$3451,D3021))</f>
        <v>1</v>
      </c>
      <c r="I3021" s="13" t="n">
        <f aca="false">IFERROR(INDEX('NCO-2015 scores'!$C$2:$C$131,MATCH(E3021,'NCO-2015 scores'!$A$2:$A$131,0)),0)</f>
        <v>0.3586</v>
      </c>
      <c r="J3021" s="13" t="n">
        <f aca="false">IF(ISNUMBER(MATCH(E3021,'NCO-2015 scores'!$A$2:$A$131,0)),IF(ISNUMBER(INDEX('NCO-2015 scores'!$C$2:$C$131,MATCH(E3021,'NCO-2015 scores'!$A$2:$A$131,0))),1,0),0)</f>
        <v>1</v>
      </c>
    </row>
    <row r="3022" customFormat="false" ht="15" hidden="false" customHeight="false" outlineLevel="0" collapsed="false">
      <c r="A3022" s="2" t="n">
        <v>3018</v>
      </c>
      <c r="B3022" s="2" t="s">
        <v>8801</v>
      </c>
      <c r="C3022" s="2" t="s">
        <v>8802</v>
      </c>
      <c r="D3022" s="2" t="s">
        <v>8803</v>
      </c>
      <c r="E3022" s="2" t="str">
        <f aca="false">LEFT(C3022,3)</f>
        <v>235</v>
      </c>
      <c r="F3022" s="2" t="str">
        <f aca="false">IF(D3022="","",LEFT(D3022,3))</f>
        <v>333</v>
      </c>
      <c r="G3022" s="2" t="str">
        <f aca="false">IF(F3022="","",IF(E3022=F3022,"Yes","No"))</f>
        <v>No</v>
      </c>
      <c r="H3022" s="2" t="n">
        <f aca="false">IF(D3022="",0,1/COUNTIF($D$2:$D$3451,D3022))</f>
        <v>1</v>
      </c>
      <c r="I3022" s="13" t="n">
        <f aca="false">IFERROR(INDEX('NCO-2015 scores'!$C$2:$C$131,MATCH(E3022,'NCO-2015 scores'!$A$2:$A$131,0)),0)</f>
        <v>0.3586</v>
      </c>
      <c r="J3022" s="13" t="n">
        <f aca="false">IF(ISNUMBER(MATCH(E3022,'NCO-2015 scores'!$A$2:$A$131,0)),IF(ISNUMBER(INDEX('NCO-2015 scores'!$C$2:$C$131,MATCH(E3022,'NCO-2015 scores'!$A$2:$A$131,0))),1,0),0)</f>
        <v>1</v>
      </c>
    </row>
    <row r="3023" customFormat="false" ht="15" hidden="false" customHeight="false" outlineLevel="0" collapsed="false">
      <c r="A3023" s="2" t="n">
        <v>3019</v>
      </c>
      <c r="B3023" s="2" t="s">
        <v>8804</v>
      </c>
      <c r="C3023" s="2" t="s">
        <v>8805</v>
      </c>
      <c r="D3023" s="2" t="s">
        <v>8806</v>
      </c>
      <c r="E3023" s="2" t="str">
        <f aca="false">LEFT(C3023,3)</f>
        <v>235</v>
      </c>
      <c r="F3023" s="2" t="str">
        <f aca="false">IF(D3023="","",LEFT(D3023,3))</f>
        <v>333</v>
      </c>
      <c r="G3023" s="2" t="str">
        <f aca="false">IF(F3023="","",IF(E3023=F3023,"Yes","No"))</f>
        <v>No</v>
      </c>
      <c r="H3023" s="2" t="n">
        <f aca="false">IF(D3023="",0,1/COUNTIF($D$2:$D$3451,D3023))</f>
        <v>1</v>
      </c>
      <c r="I3023" s="13" t="n">
        <f aca="false">IFERROR(INDEX('NCO-2015 scores'!$C$2:$C$131,MATCH(E3023,'NCO-2015 scores'!$A$2:$A$131,0)),0)</f>
        <v>0.3586</v>
      </c>
      <c r="J3023" s="13" t="n">
        <f aca="false">IF(ISNUMBER(MATCH(E3023,'NCO-2015 scores'!$A$2:$A$131,0)),IF(ISNUMBER(INDEX('NCO-2015 scores'!$C$2:$C$131,MATCH(E3023,'NCO-2015 scores'!$A$2:$A$131,0))),1,0),0)</f>
        <v>1</v>
      </c>
    </row>
    <row r="3024" customFormat="false" ht="15" hidden="false" customHeight="false" outlineLevel="0" collapsed="false">
      <c r="A3024" s="2" t="n">
        <v>3020</v>
      </c>
      <c r="B3024" s="2" t="s">
        <v>8807</v>
      </c>
      <c r="C3024" s="2" t="s">
        <v>8808</v>
      </c>
      <c r="D3024" s="2" t="s">
        <v>8809</v>
      </c>
      <c r="E3024" s="2" t="str">
        <f aca="false">LEFT(C3024,3)</f>
        <v>235</v>
      </c>
      <c r="F3024" s="2" t="str">
        <f aca="false">IF(D3024="","",LEFT(D3024,3))</f>
        <v>333</v>
      </c>
      <c r="G3024" s="2" t="str">
        <f aca="false">IF(F3024="","",IF(E3024=F3024,"Yes","No"))</f>
        <v>No</v>
      </c>
      <c r="H3024" s="2" t="n">
        <f aca="false">IF(D3024="",0,1/COUNTIF($D$2:$D$3451,D3024))</f>
        <v>1</v>
      </c>
      <c r="I3024" s="13" t="n">
        <f aca="false">IFERROR(INDEX('NCO-2015 scores'!$C$2:$C$131,MATCH(E3024,'NCO-2015 scores'!$A$2:$A$131,0)),0)</f>
        <v>0.3586</v>
      </c>
      <c r="J3024" s="13" t="n">
        <f aca="false">IF(ISNUMBER(MATCH(E3024,'NCO-2015 scores'!$A$2:$A$131,0)),IF(ISNUMBER(INDEX('NCO-2015 scores'!$C$2:$C$131,MATCH(E3024,'NCO-2015 scores'!$A$2:$A$131,0))),1,0),0)</f>
        <v>1</v>
      </c>
    </row>
    <row r="3025" customFormat="false" ht="15" hidden="false" customHeight="false" outlineLevel="0" collapsed="false">
      <c r="A3025" s="2" t="n">
        <v>3021</v>
      </c>
      <c r="B3025" s="2" t="s">
        <v>8810</v>
      </c>
      <c r="C3025" s="2" t="s">
        <v>8811</v>
      </c>
      <c r="D3025" s="2" t="s">
        <v>8812</v>
      </c>
      <c r="E3025" s="2" t="str">
        <f aca="false">LEFT(C3025,3)</f>
        <v>235</v>
      </c>
      <c r="F3025" s="2" t="str">
        <f aca="false">IF(D3025="","",LEFT(D3025,3))</f>
        <v>333</v>
      </c>
      <c r="G3025" s="2" t="str">
        <f aca="false">IF(F3025="","",IF(E3025=F3025,"Yes","No"))</f>
        <v>No</v>
      </c>
      <c r="H3025" s="2" t="n">
        <f aca="false">IF(D3025="",0,1/COUNTIF($D$2:$D$3451,D3025))</f>
        <v>1</v>
      </c>
      <c r="I3025" s="13" t="n">
        <f aca="false">IFERROR(INDEX('NCO-2015 scores'!$C$2:$C$131,MATCH(E3025,'NCO-2015 scores'!$A$2:$A$131,0)),0)</f>
        <v>0.3586</v>
      </c>
      <c r="J3025" s="13" t="n">
        <f aca="false">IF(ISNUMBER(MATCH(E3025,'NCO-2015 scores'!$A$2:$A$131,0)),IF(ISNUMBER(INDEX('NCO-2015 scores'!$C$2:$C$131,MATCH(E3025,'NCO-2015 scores'!$A$2:$A$131,0))),1,0),0)</f>
        <v>1</v>
      </c>
    </row>
    <row r="3026" customFormat="false" ht="15" hidden="false" customHeight="false" outlineLevel="0" collapsed="false">
      <c r="A3026" s="2" t="n">
        <v>3022</v>
      </c>
      <c r="B3026" s="2" t="s">
        <v>8813</v>
      </c>
      <c r="C3026" s="2" t="s">
        <v>8814</v>
      </c>
      <c r="D3026" s="2" t="s">
        <v>8815</v>
      </c>
      <c r="E3026" s="2" t="str">
        <f aca="false">LEFT(C3026,3)</f>
        <v>221</v>
      </c>
      <c r="F3026" s="2" t="str">
        <f aca="false">IF(D3026="","",LEFT(D3026,3))</f>
        <v>222</v>
      </c>
      <c r="G3026" s="2" t="str">
        <f aca="false">IF(F3026="","",IF(E3026=F3026,"Yes","No"))</f>
        <v>No</v>
      </c>
      <c r="H3026" s="2" t="n">
        <f aca="false">IF(D3026="",0,1/COUNTIF($D$2:$D$3451,D3026))</f>
        <v>1</v>
      </c>
      <c r="I3026" s="13" t="n">
        <f aca="false">IFERROR(INDEX('NCO-2015 scores'!$C$2:$C$131,MATCH(E3026,'NCO-2015 scores'!$A$2:$A$131,0)),0)</f>
        <v>0.28</v>
      </c>
      <c r="J3026" s="13" t="n">
        <f aca="false">IF(ISNUMBER(MATCH(E3026,'NCO-2015 scores'!$A$2:$A$131,0)),IF(ISNUMBER(INDEX('NCO-2015 scores'!$C$2:$C$131,MATCH(E3026,'NCO-2015 scores'!$A$2:$A$131,0))),1,0),0)</f>
        <v>1</v>
      </c>
    </row>
    <row r="3027" customFormat="false" ht="15" hidden="false" customHeight="false" outlineLevel="0" collapsed="false">
      <c r="A3027" s="2" t="n">
        <v>3023</v>
      </c>
      <c r="B3027" s="2" t="s">
        <v>8816</v>
      </c>
      <c r="C3027" s="2" t="s">
        <v>8817</v>
      </c>
      <c r="D3027" s="2" t="s">
        <v>8818</v>
      </c>
      <c r="E3027" s="2" t="str">
        <f aca="false">LEFT(C3027,3)</f>
        <v>221</v>
      </c>
      <c r="F3027" s="2" t="str">
        <f aca="false">IF(D3027="","",LEFT(D3027,3))</f>
        <v>222</v>
      </c>
      <c r="G3027" s="2" t="str">
        <f aca="false">IF(F3027="","",IF(E3027=F3027,"Yes","No"))</f>
        <v>No</v>
      </c>
      <c r="H3027" s="2" t="n">
        <f aca="false">IF(D3027="",0,1/COUNTIF($D$2:$D$3451,D3027))</f>
        <v>1</v>
      </c>
      <c r="I3027" s="13" t="n">
        <f aca="false">IFERROR(INDEX('NCO-2015 scores'!$C$2:$C$131,MATCH(E3027,'NCO-2015 scores'!$A$2:$A$131,0)),0)</f>
        <v>0.28</v>
      </c>
      <c r="J3027" s="13" t="n">
        <f aca="false">IF(ISNUMBER(MATCH(E3027,'NCO-2015 scores'!$A$2:$A$131,0)),IF(ISNUMBER(INDEX('NCO-2015 scores'!$C$2:$C$131,MATCH(E3027,'NCO-2015 scores'!$A$2:$A$131,0))),1,0),0)</f>
        <v>1</v>
      </c>
    </row>
    <row r="3028" customFormat="false" ht="15" hidden="false" customHeight="false" outlineLevel="0" collapsed="false">
      <c r="A3028" s="2" t="n">
        <v>3024</v>
      </c>
      <c r="B3028" s="2" t="s">
        <v>8819</v>
      </c>
      <c r="C3028" s="2" t="s">
        <v>8820</v>
      </c>
      <c r="D3028" s="2" t="s">
        <v>8821</v>
      </c>
      <c r="E3028" s="2" t="str">
        <f aca="false">LEFT(C3028,3)</f>
        <v>221</v>
      </c>
      <c r="F3028" s="2" t="str">
        <f aca="false">IF(D3028="","",LEFT(D3028,3))</f>
        <v>222</v>
      </c>
      <c r="G3028" s="2" t="str">
        <f aca="false">IF(F3028="","",IF(E3028=F3028,"Yes","No"))</f>
        <v>No</v>
      </c>
      <c r="H3028" s="2" t="n">
        <f aca="false">IF(D3028="",0,1/COUNTIF($D$2:$D$3451,D3028))</f>
        <v>1</v>
      </c>
      <c r="I3028" s="13" t="n">
        <f aca="false">IFERROR(INDEX('NCO-2015 scores'!$C$2:$C$131,MATCH(E3028,'NCO-2015 scores'!$A$2:$A$131,0)),0)</f>
        <v>0.28</v>
      </c>
      <c r="J3028" s="13" t="n">
        <f aca="false">IF(ISNUMBER(MATCH(E3028,'NCO-2015 scores'!$A$2:$A$131,0)),IF(ISNUMBER(INDEX('NCO-2015 scores'!$C$2:$C$131,MATCH(E3028,'NCO-2015 scores'!$A$2:$A$131,0))),1,0),0)</f>
        <v>1</v>
      </c>
    </row>
    <row r="3029" customFormat="false" ht="15" hidden="false" customHeight="false" outlineLevel="0" collapsed="false">
      <c r="A3029" s="2" t="n">
        <v>3025</v>
      </c>
      <c r="B3029" s="2" t="s">
        <v>8822</v>
      </c>
      <c r="C3029" s="2" t="s">
        <v>8823</v>
      </c>
      <c r="D3029" s="2" t="s">
        <v>8824</v>
      </c>
      <c r="E3029" s="2" t="str">
        <f aca="false">LEFT(C3029,3)</f>
        <v>221</v>
      </c>
      <c r="F3029" s="2" t="str">
        <f aca="false">IF(D3029="","",LEFT(D3029,3))</f>
        <v>222</v>
      </c>
      <c r="G3029" s="2" t="str">
        <f aca="false">IF(F3029="","",IF(E3029=F3029,"Yes","No"))</f>
        <v>No</v>
      </c>
      <c r="H3029" s="2" t="n">
        <f aca="false">IF(D3029="",0,1/COUNTIF($D$2:$D$3451,D3029))</f>
        <v>1</v>
      </c>
      <c r="I3029" s="13" t="n">
        <f aca="false">IFERROR(INDEX('NCO-2015 scores'!$C$2:$C$131,MATCH(E3029,'NCO-2015 scores'!$A$2:$A$131,0)),0)</f>
        <v>0.28</v>
      </c>
      <c r="J3029" s="13" t="n">
        <f aca="false">IF(ISNUMBER(MATCH(E3029,'NCO-2015 scores'!$A$2:$A$131,0)),IF(ISNUMBER(INDEX('NCO-2015 scores'!$C$2:$C$131,MATCH(E3029,'NCO-2015 scores'!$A$2:$A$131,0))),1,0),0)</f>
        <v>1</v>
      </c>
    </row>
    <row r="3030" customFormat="false" ht="15" hidden="false" customHeight="false" outlineLevel="0" collapsed="false">
      <c r="A3030" s="2" t="n">
        <v>3026</v>
      </c>
      <c r="B3030" s="2" t="s">
        <v>8825</v>
      </c>
      <c r="C3030" s="2" t="s">
        <v>8826</v>
      </c>
      <c r="D3030" s="2" t="s">
        <v>8827</v>
      </c>
      <c r="E3030" s="2" t="str">
        <f aca="false">LEFT(C3030,3)</f>
        <v>221</v>
      </c>
      <c r="F3030" s="2" t="str">
        <f aca="false">IF(D3030="","",LEFT(D3030,3))</f>
        <v>221</v>
      </c>
      <c r="G3030" s="2" t="str">
        <f aca="false">IF(F3030="","",IF(E3030=F3030,"Yes","No"))</f>
        <v>Yes</v>
      </c>
      <c r="H3030" s="2" t="n">
        <f aca="false">IF(D3030="",0,1/COUNTIF($D$2:$D$3451,D3030))</f>
        <v>1</v>
      </c>
      <c r="I3030" s="13" t="n">
        <f aca="false">IFERROR(INDEX('NCO-2015 scores'!$C$2:$C$131,MATCH(E3030,'NCO-2015 scores'!$A$2:$A$131,0)),0)</f>
        <v>0.28</v>
      </c>
      <c r="J3030" s="13" t="n">
        <f aca="false">IF(ISNUMBER(MATCH(E3030,'NCO-2015 scores'!$A$2:$A$131,0)),IF(ISNUMBER(INDEX('NCO-2015 scores'!$C$2:$C$131,MATCH(E3030,'NCO-2015 scores'!$A$2:$A$131,0))),1,0),0)</f>
        <v>1</v>
      </c>
    </row>
    <row r="3031" customFormat="false" ht="15" hidden="false" customHeight="false" outlineLevel="0" collapsed="false">
      <c r="A3031" s="2" t="n">
        <v>3027</v>
      </c>
      <c r="B3031" s="2" t="s">
        <v>8828</v>
      </c>
      <c r="C3031" s="2" t="s">
        <v>8829</v>
      </c>
      <c r="D3031" s="2" t="s">
        <v>8830</v>
      </c>
      <c r="E3031" s="2" t="str">
        <f aca="false">LEFT(C3031,3)</f>
        <v>221</v>
      </c>
      <c r="F3031" s="2" t="str">
        <f aca="false">IF(D3031="","",LEFT(D3031,3))</f>
        <v>222</v>
      </c>
      <c r="G3031" s="2" t="str">
        <f aca="false">IF(F3031="","",IF(E3031=F3031,"Yes","No"))</f>
        <v>No</v>
      </c>
      <c r="H3031" s="2" t="n">
        <f aca="false">IF(D3031="",0,1/COUNTIF($D$2:$D$3451,D3031))</f>
        <v>1</v>
      </c>
      <c r="I3031" s="13" t="n">
        <f aca="false">IFERROR(INDEX('NCO-2015 scores'!$C$2:$C$131,MATCH(E3031,'NCO-2015 scores'!$A$2:$A$131,0)),0)</f>
        <v>0.28</v>
      </c>
      <c r="J3031" s="13" t="n">
        <f aca="false">IF(ISNUMBER(MATCH(E3031,'NCO-2015 scores'!$A$2:$A$131,0)),IF(ISNUMBER(INDEX('NCO-2015 scores'!$C$2:$C$131,MATCH(E3031,'NCO-2015 scores'!$A$2:$A$131,0))),1,0),0)</f>
        <v>1</v>
      </c>
    </row>
    <row r="3032" customFormat="false" ht="15" hidden="false" customHeight="false" outlineLevel="0" collapsed="false">
      <c r="A3032" s="2" t="n">
        <v>3028</v>
      </c>
      <c r="B3032" s="2" t="s">
        <v>8831</v>
      </c>
      <c r="C3032" s="2" t="s">
        <v>8832</v>
      </c>
      <c r="D3032" s="2" t="s">
        <v>8833</v>
      </c>
      <c r="E3032" s="2" t="str">
        <f aca="false">LEFT(C3032,3)</f>
        <v>221</v>
      </c>
      <c r="F3032" s="2" t="str">
        <f aca="false">IF(D3032="","",LEFT(D3032,3))</f>
        <v>222</v>
      </c>
      <c r="G3032" s="2" t="str">
        <f aca="false">IF(F3032="","",IF(E3032=F3032,"Yes","No"))</f>
        <v>No</v>
      </c>
      <c r="H3032" s="2" t="n">
        <f aca="false">IF(D3032="",0,1/COUNTIF($D$2:$D$3451,D3032))</f>
        <v>1</v>
      </c>
      <c r="I3032" s="13" t="n">
        <f aca="false">IFERROR(INDEX('NCO-2015 scores'!$C$2:$C$131,MATCH(E3032,'NCO-2015 scores'!$A$2:$A$131,0)),0)</f>
        <v>0.28</v>
      </c>
      <c r="J3032" s="13" t="n">
        <f aca="false">IF(ISNUMBER(MATCH(E3032,'NCO-2015 scores'!$A$2:$A$131,0)),IF(ISNUMBER(INDEX('NCO-2015 scores'!$C$2:$C$131,MATCH(E3032,'NCO-2015 scores'!$A$2:$A$131,0))),1,0),0)</f>
        <v>1</v>
      </c>
    </row>
    <row r="3033" customFormat="false" ht="15" hidden="false" customHeight="false" outlineLevel="0" collapsed="false">
      <c r="A3033" s="2" t="n">
        <v>3029</v>
      </c>
      <c r="B3033" s="2" t="s">
        <v>8834</v>
      </c>
      <c r="C3033" s="2" t="s">
        <v>8835</v>
      </c>
      <c r="D3033" s="2" t="s">
        <v>8836</v>
      </c>
      <c r="E3033" s="2" t="str">
        <f aca="false">LEFT(C3033,3)</f>
        <v>221</v>
      </c>
      <c r="F3033" s="2" t="str">
        <f aca="false">IF(D3033="","",LEFT(D3033,3))</f>
        <v>222</v>
      </c>
      <c r="G3033" s="2" t="str">
        <f aca="false">IF(F3033="","",IF(E3033=F3033,"Yes","No"))</f>
        <v>No</v>
      </c>
      <c r="H3033" s="2" t="n">
        <f aca="false">IF(D3033="",0,1/COUNTIF($D$2:$D$3451,D3033))</f>
        <v>1</v>
      </c>
      <c r="I3033" s="13" t="n">
        <f aca="false">IFERROR(INDEX('NCO-2015 scores'!$C$2:$C$131,MATCH(E3033,'NCO-2015 scores'!$A$2:$A$131,0)),0)</f>
        <v>0.28</v>
      </c>
      <c r="J3033" s="13" t="n">
        <f aca="false">IF(ISNUMBER(MATCH(E3033,'NCO-2015 scores'!$A$2:$A$131,0)),IF(ISNUMBER(INDEX('NCO-2015 scores'!$C$2:$C$131,MATCH(E3033,'NCO-2015 scores'!$A$2:$A$131,0))),1,0),0)</f>
        <v>1</v>
      </c>
    </row>
    <row r="3034" customFormat="false" ht="15" hidden="false" customHeight="false" outlineLevel="0" collapsed="false">
      <c r="A3034" s="2" t="n">
        <v>3030</v>
      </c>
      <c r="B3034" s="2" t="s">
        <v>8837</v>
      </c>
      <c r="C3034" s="2" t="s">
        <v>8838</v>
      </c>
      <c r="D3034" s="2" t="s">
        <v>8839</v>
      </c>
      <c r="E3034" s="2" t="str">
        <f aca="false">LEFT(C3034,3)</f>
        <v>221</v>
      </c>
      <c r="F3034" s="2" t="str">
        <f aca="false">IF(D3034="","",LEFT(D3034,3))</f>
        <v>222</v>
      </c>
      <c r="G3034" s="2" t="str">
        <f aca="false">IF(F3034="","",IF(E3034=F3034,"Yes","No"))</f>
        <v>No</v>
      </c>
      <c r="H3034" s="2" t="n">
        <f aca="false">IF(D3034="",0,1/COUNTIF($D$2:$D$3451,D3034))</f>
        <v>1</v>
      </c>
      <c r="I3034" s="13" t="n">
        <f aca="false">IFERROR(INDEX('NCO-2015 scores'!$C$2:$C$131,MATCH(E3034,'NCO-2015 scores'!$A$2:$A$131,0)),0)</f>
        <v>0.28</v>
      </c>
      <c r="J3034" s="13" t="n">
        <f aca="false">IF(ISNUMBER(MATCH(E3034,'NCO-2015 scores'!$A$2:$A$131,0)),IF(ISNUMBER(INDEX('NCO-2015 scores'!$C$2:$C$131,MATCH(E3034,'NCO-2015 scores'!$A$2:$A$131,0))),1,0),0)</f>
        <v>1</v>
      </c>
    </row>
    <row r="3035" customFormat="false" ht="15" hidden="false" customHeight="false" outlineLevel="0" collapsed="false">
      <c r="A3035" s="2" t="n">
        <v>3031</v>
      </c>
      <c r="B3035" s="2" t="s">
        <v>8840</v>
      </c>
      <c r="C3035" s="2" t="s">
        <v>8841</v>
      </c>
      <c r="D3035" s="2" t="s">
        <v>8842</v>
      </c>
      <c r="E3035" s="2" t="str">
        <f aca="false">LEFT(C3035,3)</f>
        <v>221</v>
      </c>
      <c r="F3035" s="2" t="str">
        <f aca="false">IF(D3035="","",LEFT(D3035,3))</f>
        <v>222</v>
      </c>
      <c r="G3035" s="2" t="str">
        <f aca="false">IF(F3035="","",IF(E3035=F3035,"Yes","No"))</f>
        <v>No</v>
      </c>
      <c r="H3035" s="2" t="n">
        <f aca="false">IF(D3035="",0,1/COUNTIF($D$2:$D$3451,D3035))</f>
        <v>1</v>
      </c>
      <c r="I3035" s="13" t="n">
        <f aca="false">IFERROR(INDEX('NCO-2015 scores'!$C$2:$C$131,MATCH(E3035,'NCO-2015 scores'!$A$2:$A$131,0)),0)</f>
        <v>0.28</v>
      </c>
      <c r="J3035" s="13" t="n">
        <f aca="false">IF(ISNUMBER(MATCH(E3035,'NCO-2015 scores'!$A$2:$A$131,0)),IF(ISNUMBER(INDEX('NCO-2015 scores'!$C$2:$C$131,MATCH(E3035,'NCO-2015 scores'!$A$2:$A$131,0))),1,0),0)</f>
        <v>1</v>
      </c>
    </row>
    <row r="3036" customFormat="false" ht="15" hidden="false" customHeight="false" outlineLevel="0" collapsed="false">
      <c r="A3036" s="2" t="n">
        <v>3032</v>
      </c>
      <c r="B3036" s="2" t="s">
        <v>8843</v>
      </c>
      <c r="C3036" s="2" t="s">
        <v>8844</v>
      </c>
      <c r="D3036" s="2" t="s">
        <v>8845</v>
      </c>
      <c r="E3036" s="2" t="str">
        <f aca="false">LEFT(C3036,3)</f>
        <v>221</v>
      </c>
      <c r="F3036" s="2" t="str">
        <f aca="false">IF(D3036="","",LEFT(D3036,3))</f>
        <v>222</v>
      </c>
      <c r="G3036" s="2" t="str">
        <f aca="false">IF(F3036="","",IF(E3036=F3036,"Yes","No"))</f>
        <v>No</v>
      </c>
      <c r="H3036" s="2" t="n">
        <f aca="false">IF(D3036="",0,1/COUNTIF($D$2:$D$3451,D3036))</f>
        <v>1</v>
      </c>
      <c r="I3036" s="13" t="n">
        <f aca="false">IFERROR(INDEX('NCO-2015 scores'!$C$2:$C$131,MATCH(E3036,'NCO-2015 scores'!$A$2:$A$131,0)),0)</f>
        <v>0.28</v>
      </c>
      <c r="J3036" s="13" t="n">
        <f aca="false">IF(ISNUMBER(MATCH(E3036,'NCO-2015 scores'!$A$2:$A$131,0)),IF(ISNUMBER(INDEX('NCO-2015 scores'!$C$2:$C$131,MATCH(E3036,'NCO-2015 scores'!$A$2:$A$131,0))),1,0),0)</f>
        <v>1</v>
      </c>
    </row>
    <row r="3037" customFormat="false" ht="15" hidden="false" customHeight="false" outlineLevel="0" collapsed="false">
      <c r="A3037" s="2" t="n">
        <v>3033</v>
      </c>
      <c r="B3037" s="2" t="s">
        <v>8846</v>
      </c>
      <c r="C3037" s="2" t="s">
        <v>8847</v>
      </c>
      <c r="D3037" s="2" t="s">
        <v>8848</v>
      </c>
      <c r="E3037" s="2" t="str">
        <f aca="false">LEFT(C3037,3)</f>
        <v>221</v>
      </c>
      <c r="F3037" s="2" t="str">
        <f aca="false">IF(D3037="","",LEFT(D3037,3))</f>
        <v>222</v>
      </c>
      <c r="G3037" s="2" t="str">
        <f aca="false">IF(F3037="","",IF(E3037=F3037,"Yes","No"))</f>
        <v>No</v>
      </c>
      <c r="H3037" s="2" t="n">
        <f aca="false">IF(D3037="",0,1/COUNTIF($D$2:$D$3451,D3037))</f>
        <v>1</v>
      </c>
      <c r="I3037" s="13" t="n">
        <f aca="false">IFERROR(INDEX('NCO-2015 scores'!$C$2:$C$131,MATCH(E3037,'NCO-2015 scores'!$A$2:$A$131,0)),0)</f>
        <v>0.28</v>
      </c>
      <c r="J3037" s="13" t="n">
        <f aca="false">IF(ISNUMBER(MATCH(E3037,'NCO-2015 scores'!$A$2:$A$131,0)),IF(ISNUMBER(INDEX('NCO-2015 scores'!$C$2:$C$131,MATCH(E3037,'NCO-2015 scores'!$A$2:$A$131,0))),1,0),0)</f>
        <v>1</v>
      </c>
    </row>
    <row r="3038" customFormat="false" ht="15" hidden="false" customHeight="false" outlineLevel="0" collapsed="false">
      <c r="A3038" s="2" t="n">
        <v>3034</v>
      </c>
      <c r="B3038" s="2" t="s">
        <v>8849</v>
      </c>
      <c r="C3038" s="2" t="s">
        <v>8850</v>
      </c>
      <c r="D3038" s="2" t="s">
        <v>8851</v>
      </c>
      <c r="E3038" s="2" t="str">
        <f aca="false">LEFT(C3038,3)</f>
        <v>221</v>
      </c>
      <c r="F3038" s="2" t="str">
        <f aca="false">IF(D3038="","",LEFT(D3038,3))</f>
        <v>222</v>
      </c>
      <c r="G3038" s="2" t="str">
        <f aca="false">IF(F3038="","",IF(E3038=F3038,"Yes","No"))</f>
        <v>No</v>
      </c>
      <c r="H3038" s="2" t="n">
        <f aca="false">IF(D3038="",0,1/COUNTIF($D$2:$D$3451,D3038))</f>
        <v>1</v>
      </c>
      <c r="I3038" s="13" t="n">
        <f aca="false">IFERROR(INDEX('NCO-2015 scores'!$C$2:$C$131,MATCH(E3038,'NCO-2015 scores'!$A$2:$A$131,0)),0)</f>
        <v>0.28</v>
      </c>
      <c r="J3038" s="13" t="n">
        <f aca="false">IF(ISNUMBER(MATCH(E3038,'NCO-2015 scores'!$A$2:$A$131,0)),IF(ISNUMBER(INDEX('NCO-2015 scores'!$C$2:$C$131,MATCH(E3038,'NCO-2015 scores'!$A$2:$A$131,0))),1,0),0)</f>
        <v>1</v>
      </c>
    </row>
    <row r="3039" customFormat="false" ht="15" hidden="false" customHeight="false" outlineLevel="0" collapsed="false">
      <c r="A3039" s="2" t="n">
        <v>3035</v>
      </c>
      <c r="B3039" s="2" t="s">
        <v>8852</v>
      </c>
      <c r="C3039" s="2" t="s">
        <v>8853</v>
      </c>
      <c r="D3039" s="2" t="s">
        <v>8854</v>
      </c>
      <c r="E3039" s="2" t="str">
        <f aca="false">LEFT(C3039,3)</f>
        <v>221</v>
      </c>
      <c r="F3039" s="2" t="str">
        <f aca="false">IF(D3039="","",LEFT(D3039,3))</f>
        <v>221</v>
      </c>
      <c r="G3039" s="2" t="str">
        <f aca="false">IF(F3039="","",IF(E3039=F3039,"Yes","No"))</f>
        <v>Yes</v>
      </c>
      <c r="H3039" s="2" t="n">
        <f aca="false">IF(D3039="",0,1/COUNTIF($D$2:$D$3451,D3039))</f>
        <v>1</v>
      </c>
      <c r="I3039" s="13" t="n">
        <f aca="false">IFERROR(INDEX('NCO-2015 scores'!$C$2:$C$131,MATCH(E3039,'NCO-2015 scores'!$A$2:$A$131,0)),0)</f>
        <v>0.28</v>
      </c>
      <c r="J3039" s="13" t="n">
        <f aca="false">IF(ISNUMBER(MATCH(E3039,'NCO-2015 scores'!$A$2:$A$131,0)),IF(ISNUMBER(INDEX('NCO-2015 scores'!$C$2:$C$131,MATCH(E3039,'NCO-2015 scores'!$A$2:$A$131,0))),1,0),0)</f>
        <v>1</v>
      </c>
    </row>
    <row r="3040" customFormat="false" ht="15" hidden="false" customHeight="false" outlineLevel="0" collapsed="false">
      <c r="A3040" s="2" t="n">
        <v>3036</v>
      </c>
      <c r="B3040" s="2" t="s">
        <v>8855</v>
      </c>
      <c r="C3040" s="2" t="s">
        <v>8856</v>
      </c>
      <c r="D3040" s="2" t="s">
        <v>8857</v>
      </c>
      <c r="E3040" s="2" t="str">
        <f aca="false">LEFT(C3040,3)</f>
        <v>221</v>
      </c>
      <c r="F3040" s="2" t="str">
        <f aca="false">IF(D3040="","",LEFT(D3040,3))</f>
        <v>222</v>
      </c>
      <c r="G3040" s="2" t="str">
        <f aca="false">IF(F3040="","",IF(E3040=F3040,"Yes","No"))</f>
        <v>No</v>
      </c>
      <c r="H3040" s="2" t="n">
        <f aca="false">IF(D3040="",0,1/COUNTIF($D$2:$D$3451,D3040))</f>
        <v>1</v>
      </c>
      <c r="I3040" s="13" t="n">
        <f aca="false">IFERROR(INDEX('NCO-2015 scores'!$C$2:$C$131,MATCH(E3040,'NCO-2015 scores'!$A$2:$A$131,0)),0)</f>
        <v>0.28</v>
      </c>
      <c r="J3040" s="13" t="n">
        <f aca="false">IF(ISNUMBER(MATCH(E3040,'NCO-2015 scores'!$A$2:$A$131,0)),IF(ISNUMBER(INDEX('NCO-2015 scores'!$C$2:$C$131,MATCH(E3040,'NCO-2015 scores'!$A$2:$A$131,0))),1,0),0)</f>
        <v>1</v>
      </c>
    </row>
    <row r="3041" customFormat="false" ht="15" hidden="false" customHeight="false" outlineLevel="0" collapsed="false">
      <c r="A3041" s="2" t="n">
        <v>3037</v>
      </c>
      <c r="B3041" s="2" t="s">
        <v>8858</v>
      </c>
      <c r="C3041" s="2" t="s">
        <v>8859</v>
      </c>
      <c r="D3041" s="2" t="s">
        <v>8860</v>
      </c>
      <c r="E3041" s="2" t="str">
        <f aca="false">LEFT(C3041,3)</f>
        <v>221</v>
      </c>
      <c r="F3041" s="2" t="str">
        <f aca="false">IF(D3041="","",LEFT(D3041,3))</f>
        <v>221</v>
      </c>
      <c r="G3041" s="2" t="str">
        <f aca="false">IF(F3041="","",IF(E3041=F3041,"Yes","No"))</f>
        <v>Yes</v>
      </c>
      <c r="H3041" s="2" t="n">
        <f aca="false">IF(D3041="",0,1/COUNTIF($D$2:$D$3451,D3041))</f>
        <v>1</v>
      </c>
      <c r="I3041" s="13" t="n">
        <f aca="false">IFERROR(INDEX('NCO-2015 scores'!$C$2:$C$131,MATCH(E3041,'NCO-2015 scores'!$A$2:$A$131,0)),0)</f>
        <v>0.28</v>
      </c>
      <c r="J3041" s="13" t="n">
        <f aca="false">IF(ISNUMBER(MATCH(E3041,'NCO-2015 scores'!$A$2:$A$131,0)),IF(ISNUMBER(INDEX('NCO-2015 scores'!$C$2:$C$131,MATCH(E3041,'NCO-2015 scores'!$A$2:$A$131,0))),1,0),0)</f>
        <v>1</v>
      </c>
    </row>
    <row r="3042" customFormat="false" ht="15" hidden="false" customHeight="false" outlineLevel="0" collapsed="false">
      <c r="A3042" s="2" t="n">
        <v>3038</v>
      </c>
      <c r="B3042" s="2" t="s">
        <v>8861</v>
      </c>
      <c r="C3042" s="2" t="s">
        <v>8862</v>
      </c>
      <c r="D3042" s="2" t="s">
        <v>8863</v>
      </c>
      <c r="E3042" s="2" t="str">
        <f aca="false">LEFT(C3042,3)</f>
        <v>221</v>
      </c>
      <c r="F3042" s="2" t="str">
        <f aca="false">IF(D3042="","",LEFT(D3042,3))</f>
        <v>222</v>
      </c>
      <c r="G3042" s="2" t="str">
        <f aca="false">IF(F3042="","",IF(E3042=F3042,"Yes","No"))</f>
        <v>No</v>
      </c>
      <c r="H3042" s="2" t="n">
        <f aca="false">IF(D3042="",0,1/COUNTIF($D$2:$D$3451,D3042))</f>
        <v>1</v>
      </c>
      <c r="I3042" s="13" t="n">
        <f aca="false">IFERROR(INDEX('NCO-2015 scores'!$C$2:$C$131,MATCH(E3042,'NCO-2015 scores'!$A$2:$A$131,0)),0)</f>
        <v>0.28</v>
      </c>
      <c r="J3042" s="13" t="n">
        <f aca="false">IF(ISNUMBER(MATCH(E3042,'NCO-2015 scores'!$A$2:$A$131,0)),IF(ISNUMBER(INDEX('NCO-2015 scores'!$C$2:$C$131,MATCH(E3042,'NCO-2015 scores'!$A$2:$A$131,0))),1,0),0)</f>
        <v>1</v>
      </c>
    </row>
    <row r="3043" customFormat="false" ht="15" hidden="false" customHeight="false" outlineLevel="0" collapsed="false">
      <c r="A3043" s="2" t="n">
        <v>3039</v>
      </c>
      <c r="B3043" s="2" t="s">
        <v>8864</v>
      </c>
      <c r="C3043" s="2" t="s">
        <v>8865</v>
      </c>
      <c r="D3043" s="2" t="s">
        <v>8866</v>
      </c>
      <c r="E3043" s="2" t="str">
        <f aca="false">LEFT(C3043,3)</f>
        <v>221</v>
      </c>
      <c r="F3043" s="2" t="str">
        <f aca="false">IF(D3043="","",LEFT(D3043,3))</f>
        <v>221</v>
      </c>
      <c r="G3043" s="2" t="str">
        <f aca="false">IF(F3043="","",IF(E3043=F3043,"Yes","No"))</f>
        <v>Yes</v>
      </c>
      <c r="H3043" s="2" t="n">
        <f aca="false">IF(D3043="",0,1/COUNTIF($D$2:$D$3451,D3043))</f>
        <v>1</v>
      </c>
      <c r="I3043" s="13" t="n">
        <f aca="false">IFERROR(INDEX('NCO-2015 scores'!$C$2:$C$131,MATCH(E3043,'NCO-2015 scores'!$A$2:$A$131,0)),0)</f>
        <v>0.28</v>
      </c>
      <c r="J3043" s="13" t="n">
        <f aca="false">IF(ISNUMBER(MATCH(E3043,'NCO-2015 scores'!$A$2:$A$131,0)),IF(ISNUMBER(INDEX('NCO-2015 scores'!$C$2:$C$131,MATCH(E3043,'NCO-2015 scores'!$A$2:$A$131,0))),1,0),0)</f>
        <v>1</v>
      </c>
    </row>
    <row r="3044" customFormat="false" ht="15" hidden="false" customHeight="false" outlineLevel="0" collapsed="false">
      <c r="A3044" s="2" t="n">
        <v>3040</v>
      </c>
      <c r="B3044" s="2" t="s">
        <v>8867</v>
      </c>
      <c r="C3044" s="2" t="s">
        <v>8868</v>
      </c>
      <c r="D3044" s="2" t="s">
        <v>8869</v>
      </c>
      <c r="E3044" s="2" t="str">
        <f aca="false">LEFT(C3044,3)</f>
        <v>221</v>
      </c>
      <c r="F3044" s="2" t="str">
        <f aca="false">IF(D3044="","",LEFT(D3044,3))</f>
        <v>221</v>
      </c>
      <c r="G3044" s="2" t="str">
        <f aca="false">IF(F3044="","",IF(E3044=F3044,"Yes","No"))</f>
        <v>Yes</v>
      </c>
      <c r="H3044" s="2" t="n">
        <f aca="false">IF(D3044="",0,1/COUNTIF($D$2:$D$3451,D3044))</f>
        <v>1</v>
      </c>
      <c r="I3044" s="13" t="n">
        <f aca="false">IFERROR(INDEX('NCO-2015 scores'!$C$2:$C$131,MATCH(E3044,'NCO-2015 scores'!$A$2:$A$131,0)),0)</f>
        <v>0.28</v>
      </c>
      <c r="J3044" s="13" t="n">
        <f aca="false">IF(ISNUMBER(MATCH(E3044,'NCO-2015 scores'!$A$2:$A$131,0)),IF(ISNUMBER(INDEX('NCO-2015 scores'!$C$2:$C$131,MATCH(E3044,'NCO-2015 scores'!$A$2:$A$131,0))),1,0),0)</f>
        <v>1</v>
      </c>
    </row>
    <row r="3045" customFormat="false" ht="15" hidden="false" customHeight="false" outlineLevel="0" collapsed="false">
      <c r="A3045" s="2" t="n">
        <v>3041</v>
      </c>
      <c r="B3045" s="2" t="s">
        <v>8870</v>
      </c>
      <c r="C3045" s="2" t="s">
        <v>8871</v>
      </c>
      <c r="D3045" s="2" t="s">
        <v>8872</v>
      </c>
      <c r="E3045" s="2" t="str">
        <f aca="false">LEFT(C3045,3)</f>
        <v>221</v>
      </c>
      <c r="F3045" s="2" t="str">
        <f aca="false">IF(D3045="","",LEFT(D3045,3))</f>
        <v>221</v>
      </c>
      <c r="G3045" s="2" t="str">
        <f aca="false">IF(F3045="","",IF(E3045=F3045,"Yes","No"))</f>
        <v>Yes</v>
      </c>
      <c r="H3045" s="2" t="n">
        <f aca="false">IF(D3045="",0,1/COUNTIF($D$2:$D$3451,D3045))</f>
        <v>1</v>
      </c>
      <c r="I3045" s="13" t="n">
        <f aca="false">IFERROR(INDEX('NCO-2015 scores'!$C$2:$C$131,MATCH(E3045,'NCO-2015 scores'!$A$2:$A$131,0)),0)</f>
        <v>0.28</v>
      </c>
      <c r="J3045" s="13" t="n">
        <f aca="false">IF(ISNUMBER(MATCH(E3045,'NCO-2015 scores'!$A$2:$A$131,0)),IF(ISNUMBER(INDEX('NCO-2015 scores'!$C$2:$C$131,MATCH(E3045,'NCO-2015 scores'!$A$2:$A$131,0))),1,0),0)</f>
        <v>1</v>
      </c>
    </row>
    <row r="3046" customFormat="false" ht="15" hidden="false" customHeight="false" outlineLevel="0" collapsed="false">
      <c r="A3046" s="2" t="n">
        <v>3042</v>
      </c>
      <c r="B3046" s="2" t="s">
        <v>8873</v>
      </c>
      <c r="C3046" s="2" t="s">
        <v>8874</v>
      </c>
      <c r="D3046" s="2" t="s">
        <v>8875</v>
      </c>
      <c r="E3046" s="2" t="str">
        <f aca="false">LEFT(C3046,3)</f>
        <v>342</v>
      </c>
      <c r="F3046" s="2" t="str">
        <f aca="false">IF(D3046="","",LEFT(D3046,3))</f>
        <v>347</v>
      </c>
      <c r="G3046" s="2" t="str">
        <f aca="false">IF(F3046="","",IF(E3046=F3046,"Yes","No"))</f>
        <v>No</v>
      </c>
      <c r="H3046" s="2" t="n">
        <f aca="false">IF(D3046="",0,1/COUNTIF($D$2:$D$3451,D3046))</f>
        <v>1</v>
      </c>
      <c r="I3046" s="13" t="n">
        <f aca="false">IFERROR(INDEX('NCO-2015 scores'!$C$2:$C$131,MATCH(E3046,'NCO-2015 scores'!$A$2:$A$131,0)),0)</f>
        <v>0.2833</v>
      </c>
      <c r="J3046" s="13" t="n">
        <f aca="false">IF(ISNUMBER(MATCH(E3046,'NCO-2015 scores'!$A$2:$A$131,0)),IF(ISNUMBER(INDEX('NCO-2015 scores'!$C$2:$C$131,MATCH(E3046,'NCO-2015 scores'!$A$2:$A$131,0))),1,0),0)</f>
        <v>1</v>
      </c>
    </row>
    <row r="3047" customFormat="false" ht="15" hidden="false" customHeight="false" outlineLevel="0" collapsed="false">
      <c r="A3047" s="2" t="n">
        <v>3043</v>
      </c>
      <c r="B3047" s="2" t="s">
        <v>8876</v>
      </c>
      <c r="C3047" s="2" t="s">
        <v>8877</v>
      </c>
      <c r="D3047" s="2" t="s">
        <v>8878</v>
      </c>
      <c r="E3047" s="2" t="str">
        <f aca="false">LEFT(C3047,3)</f>
        <v>342</v>
      </c>
      <c r="F3047" s="2" t="str">
        <f aca="false">IF(D3047="","",LEFT(D3047,3))</f>
        <v>347</v>
      </c>
      <c r="G3047" s="2" t="str">
        <f aca="false">IF(F3047="","",IF(E3047=F3047,"Yes","No"))</f>
        <v>No</v>
      </c>
      <c r="H3047" s="2" t="n">
        <f aca="false">IF(D3047="",0,1/COUNTIF($D$2:$D$3451,D3047))</f>
        <v>1</v>
      </c>
      <c r="I3047" s="13" t="n">
        <f aca="false">IFERROR(INDEX('NCO-2015 scores'!$C$2:$C$131,MATCH(E3047,'NCO-2015 scores'!$A$2:$A$131,0)),0)</f>
        <v>0.2833</v>
      </c>
      <c r="J3047" s="13" t="n">
        <f aca="false">IF(ISNUMBER(MATCH(E3047,'NCO-2015 scores'!$A$2:$A$131,0)),IF(ISNUMBER(INDEX('NCO-2015 scores'!$C$2:$C$131,MATCH(E3047,'NCO-2015 scores'!$A$2:$A$131,0))),1,0),0)</f>
        <v>1</v>
      </c>
    </row>
    <row r="3048" customFormat="false" ht="15" hidden="false" customHeight="false" outlineLevel="0" collapsed="false">
      <c r="A3048" s="2" t="n">
        <v>3044</v>
      </c>
      <c r="B3048" s="2" t="s">
        <v>8879</v>
      </c>
      <c r="C3048" s="2" t="s">
        <v>8880</v>
      </c>
      <c r="D3048" s="2" t="s">
        <v>8881</v>
      </c>
      <c r="E3048" s="2" t="str">
        <f aca="false">LEFT(C3048,3)</f>
        <v>342</v>
      </c>
      <c r="F3048" s="2" t="str">
        <f aca="false">IF(D3048="","",LEFT(D3048,3))</f>
        <v>347</v>
      </c>
      <c r="G3048" s="2" t="str">
        <f aca="false">IF(F3048="","",IF(E3048=F3048,"Yes","No"))</f>
        <v>No</v>
      </c>
      <c r="H3048" s="2" t="n">
        <f aca="false">IF(D3048="",0,1/COUNTIF($D$2:$D$3451,D3048))</f>
        <v>1</v>
      </c>
      <c r="I3048" s="13" t="n">
        <f aca="false">IFERROR(INDEX('NCO-2015 scores'!$C$2:$C$131,MATCH(E3048,'NCO-2015 scores'!$A$2:$A$131,0)),0)</f>
        <v>0.2833</v>
      </c>
      <c r="J3048" s="13" t="n">
        <f aca="false">IF(ISNUMBER(MATCH(E3048,'NCO-2015 scores'!$A$2:$A$131,0)),IF(ISNUMBER(INDEX('NCO-2015 scores'!$C$2:$C$131,MATCH(E3048,'NCO-2015 scores'!$A$2:$A$131,0))),1,0),0)</f>
        <v>1</v>
      </c>
    </row>
    <row r="3049" customFormat="false" ht="15" hidden="false" customHeight="false" outlineLevel="0" collapsed="false">
      <c r="A3049" s="2" t="n">
        <v>3045</v>
      </c>
      <c r="B3049" s="2" t="s">
        <v>8882</v>
      </c>
      <c r="C3049" s="2" t="s">
        <v>8883</v>
      </c>
      <c r="D3049" s="2" t="s">
        <v>8884</v>
      </c>
      <c r="E3049" s="2" t="str">
        <f aca="false">LEFT(C3049,3)</f>
        <v>342</v>
      </c>
      <c r="F3049" s="2" t="str">
        <f aca="false">IF(D3049="","",LEFT(D3049,3))</f>
        <v>347</v>
      </c>
      <c r="G3049" s="2" t="str">
        <f aca="false">IF(F3049="","",IF(E3049=F3049,"Yes","No"))</f>
        <v>No</v>
      </c>
      <c r="H3049" s="2" t="n">
        <f aca="false">IF(D3049="",0,1/COUNTIF($D$2:$D$3451,D3049))</f>
        <v>1</v>
      </c>
      <c r="I3049" s="13" t="n">
        <f aca="false">IFERROR(INDEX('NCO-2015 scores'!$C$2:$C$131,MATCH(E3049,'NCO-2015 scores'!$A$2:$A$131,0)),0)</f>
        <v>0.2833</v>
      </c>
      <c r="J3049" s="13" t="n">
        <f aca="false">IF(ISNUMBER(MATCH(E3049,'NCO-2015 scores'!$A$2:$A$131,0)),IF(ISNUMBER(INDEX('NCO-2015 scores'!$C$2:$C$131,MATCH(E3049,'NCO-2015 scores'!$A$2:$A$131,0))),1,0),0)</f>
        <v>1</v>
      </c>
    </row>
    <row r="3050" customFormat="false" ht="15" hidden="false" customHeight="false" outlineLevel="0" collapsed="false">
      <c r="A3050" s="2" t="n">
        <v>3046</v>
      </c>
      <c r="B3050" s="2" t="s">
        <v>8885</v>
      </c>
      <c r="C3050" s="2" t="s">
        <v>8886</v>
      </c>
      <c r="D3050" s="2" t="s">
        <v>8887</v>
      </c>
      <c r="E3050" s="2" t="str">
        <f aca="false">LEFT(C3050,3)</f>
        <v>342</v>
      </c>
      <c r="F3050" s="2" t="str">
        <f aca="false">IF(D3050="","",LEFT(D3050,3))</f>
        <v>347</v>
      </c>
      <c r="G3050" s="2" t="str">
        <f aca="false">IF(F3050="","",IF(E3050=F3050,"Yes","No"))</f>
        <v>No</v>
      </c>
      <c r="H3050" s="2" t="n">
        <f aca="false">IF(D3050="",0,1/COUNTIF($D$2:$D$3451,D3050))</f>
        <v>1</v>
      </c>
      <c r="I3050" s="13" t="n">
        <f aca="false">IFERROR(INDEX('NCO-2015 scores'!$C$2:$C$131,MATCH(E3050,'NCO-2015 scores'!$A$2:$A$131,0)),0)</f>
        <v>0.2833</v>
      </c>
      <c r="J3050" s="13" t="n">
        <f aca="false">IF(ISNUMBER(MATCH(E3050,'NCO-2015 scores'!$A$2:$A$131,0)),IF(ISNUMBER(INDEX('NCO-2015 scores'!$C$2:$C$131,MATCH(E3050,'NCO-2015 scores'!$A$2:$A$131,0))),1,0),0)</f>
        <v>1</v>
      </c>
    </row>
    <row r="3051" customFormat="false" ht="15" hidden="false" customHeight="false" outlineLevel="0" collapsed="false">
      <c r="A3051" s="2" t="n">
        <v>3047</v>
      </c>
      <c r="B3051" s="2" t="s">
        <v>8888</v>
      </c>
      <c r="C3051" s="2" t="s">
        <v>8889</v>
      </c>
      <c r="D3051" s="2" t="s">
        <v>8890</v>
      </c>
      <c r="E3051" s="2" t="str">
        <f aca="false">LEFT(C3051,3)</f>
        <v>342</v>
      </c>
      <c r="F3051" s="2" t="str">
        <f aca="false">IF(D3051="","",LEFT(D3051,3))</f>
        <v>347</v>
      </c>
      <c r="G3051" s="2" t="str">
        <f aca="false">IF(F3051="","",IF(E3051=F3051,"Yes","No"))</f>
        <v>No</v>
      </c>
      <c r="H3051" s="2" t="n">
        <f aca="false">IF(D3051="",0,1/COUNTIF($D$2:$D$3451,D3051))</f>
        <v>1</v>
      </c>
      <c r="I3051" s="13" t="n">
        <f aca="false">IFERROR(INDEX('NCO-2015 scores'!$C$2:$C$131,MATCH(E3051,'NCO-2015 scores'!$A$2:$A$131,0)),0)</f>
        <v>0.2833</v>
      </c>
      <c r="J3051" s="13" t="n">
        <f aca="false">IF(ISNUMBER(MATCH(E3051,'NCO-2015 scores'!$A$2:$A$131,0)),IF(ISNUMBER(INDEX('NCO-2015 scores'!$C$2:$C$131,MATCH(E3051,'NCO-2015 scores'!$A$2:$A$131,0))),1,0),0)</f>
        <v>1</v>
      </c>
    </row>
    <row r="3052" customFormat="false" ht="15" hidden="false" customHeight="false" outlineLevel="0" collapsed="false">
      <c r="A3052" s="2" t="n">
        <v>3048</v>
      </c>
      <c r="B3052" s="2" t="s">
        <v>8891</v>
      </c>
      <c r="C3052" s="2" t="s">
        <v>8892</v>
      </c>
      <c r="D3052" s="2" t="s">
        <v>8893</v>
      </c>
      <c r="E3052" s="2" t="str">
        <f aca="false">LEFT(C3052,3)</f>
        <v>143</v>
      </c>
      <c r="F3052" s="2" t="str">
        <f aca="false">IF(D3052="","",LEFT(D3052,3))</f>
        <v>130</v>
      </c>
      <c r="G3052" s="2" t="str">
        <f aca="false">IF(F3052="","",IF(E3052=F3052,"Yes","No"))</f>
        <v>No</v>
      </c>
      <c r="H3052" s="2" t="n">
        <f aca="false">IF(D3052="",0,1/COUNTIF($D$2:$D$3451,D3052))</f>
        <v>1</v>
      </c>
      <c r="I3052" s="13" t="n">
        <f aca="false">IFERROR(INDEX('NCO-2015 scores'!$C$2:$C$131,MATCH(E3052,'NCO-2015 scores'!$A$2:$A$131,0)),0)</f>
        <v>0.32</v>
      </c>
      <c r="J3052" s="13" t="n">
        <f aca="false">IF(ISNUMBER(MATCH(E3052,'NCO-2015 scores'!$A$2:$A$131,0)),IF(ISNUMBER(INDEX('NCO-2015 scores'!$C$2:$C$131,MATCH(E3052,'NCO-2015 scores'!$A$2:$A$131,0))),1,0),0)</f>
        <v>1</v>
      </c>
    </row>
    <row r="3053" customFormat="false" ht="15" hidden="false" customHeight="false" outlineLevel="0" collapsed="false">
      <c r="A3053" s="2" t="n">
        <v>3049</v>
      </c>
      <c r="B3053" s="2" t="s">
        <v>8894</v>
      </c>
      <c r="C3053" s="2" t="s">
        <v>8895</v>
      </c>
      <c r="D3053" s="2" t="s">
        <v>8896</v>
      </c>
      <c r="E3053" s="2" t="str">
        <f aca="false">LEFT(C3053,3)</f>
        <v>143</v>
      </c>
      <c r="F3053" s="2" t="str">
        <f aca="false">IF(D3053="","",LEFT(D3053,3))</f>
        <v>130</v>
      </c>
      <c r="G3053" s="2" t="str">
        <f aca="false">IF(F3053="","",IF(E3053=F3053,"Yes","No"))</f>
        <v>No</v>
      </c>
      <c r="H3053" s="2" t="n">
        <f aca="false">IF(D3053="",0,1/COUNTIF($D$2:$D$3451,D3053))</f>
        <v>1</v>
      </c>
      <c r="I3053" s="13" t="n">
        <f aca="false">IFERROR(INDEX('NCO-2015 scores'!$C$2:$C$131,MATCH(E3053,'NCO-2015 scores'!$A$2:$A$131,0)),0)</f>
        <v>0.32</v>
      </c>
      <c r="J3053" s="13" t="n">
        <f aca="false">IF(ISNUMBER(MATCH(E3053,'NCO-2015 scores'!$A$2:$A$131,0)),IF(ISNUMBER(INDEX('NCO-2015 scores'!$C$2:$C$131,MATCH(E3053,'NCO-2015 scores'!$A$2:$A$131,0))),1,0),0)</f>
        <v>1</v>
      </c>
    </row>
    <row r="3054" customFormat="false" ht="15" hidden="false" customHeight="false" outlineLevel="0" collapsed="false">
      <c r="A3054" s="2" t="n">
        <v>3050</v>
      </c>
      <c r="B3054" s="2" t="s">
        <v>8897</v>
      </c>
      <c r="C3054" s="2" t="s">
        <v>8898</v>
      </c>
      <c r="D3054" s="2" t="s">
        <v>8899</v>
      </c>
      <c r="E3054" s="2" t="str">
        <f aca="false">LEFT(C3054,3)</f>
        <v>713</v>
      </c>
      <c r="F3054" s="2" t="str">
        <f aca="false">IF(D3054="","",LEFT(D3054,3))</f>
        <v>714</v>
      </c>
      <c r="G3054" s="2" t="str">
        <f aca="false">IF(F3054="","",IF(E3054=F3054,"Yes","No"))</f>
        <v>No</v>
      </c>
      <c r="H3054" s="2" t="n">
        <f aca="false">IF(D3054="",0,1/COUNTIF($D$2:$D$3451,D3054))</f>
        <v>1</v>
      </c>
      <c r="I3054" s="13" t="n">
        <f aca="false">IFERROR(INDEX('NCO-2015 scores'!$C$2:$C$131,MATCH(E3054,'NCO-2015 scores'!$A$2:$A$131,0)),0)</f>
        <v>0.1133</v>
      </c>
      <c r="J3054" s="13" t="n">
        <f aca="false">IF(ISNUMBER(MATCH(E3054,'NCO-2015 scores'!$A$2:$A$131,0)),IF(ISNUMBER(INDEX('NCO-2015 scores'!$C$2:$C$131,MATCH(E3054,'NCO-2015 scores'!$A$2:$A$131,0))),1,0),0)</f>
        <v>1</v>
      </c>
    </row>
    <row r="3055" customFormat="false" ht="15" hidden="false" customHeight="false" outlineLevel="0" collapsed="false">
      <c r="A3055" s="2" t="n">
        <v>3051</v>
      </c>
      <c r="B3055" s="2" t="s">
        <v>8900</v>
      </c>
      <c r="C3055" s="2" t="s">
        <v>8901</v>
      </c>
      <c r="D3055" s="2" t="s">
        <v>8902</v>
      </c>
      <c r="E3055" s="2" t="str">
        <f aca="false">LEFT(C3055,3)</f>
        <v>713</v>
      </c>
      <c r="F3055" s="2" t="str">
        <f aca="false">IF(D3055="","",LEFT(D3055,3))</f>
        <v>714</v>
      </c>
      <c r="G3055" s="2" t="str">
        <f aca="false">IF(F3055="","",IF(E3055=F3055,"Yes","No"))</f>
        <v>No</v>
      </c>
      <c r="H3055" s="2" t="n">
        <f aca="false">IF(D3055="",0,1/COUNTIF($D$2:$D$3451,D3055))</f>
        <v>1</v>
      </c>
      <c r="I3055" s="13" t="n">
        <f aca="false">IFERROR(INDEX('NCO-2015 scores'!$C$2:$C$131,MATCH(E3055,'NCO-2015 scores'!$A$2:$A$131,0)),0)</f>
        <v>0.1133</v>
      </c>
      <c r="J3055" s="13" t="n">
        <f aca="false">IF(ISNUMBER(MATCH(E3055,'NCO-2015 scores'!$A$2:$A$131,0)),IF(ISNUMBER(INDEX('NCO-2015 scores'!$C$2:$C$131,MATCH(E3055,'NCO-2015 scores'!$A$2:$A$131,0))),1,0),0)</f>
        <v>1</v>
      </c>
    </row>
    <row r="3056" customFormat="false" ht="15" hidden="false" customHeight="false" outlineLevel="0" collapsed="false">
      <c r="A3056" s="2" t="n">
        <v>3052</v>
      </c>
      <c r="B3056" s="2" t="s">
        <v>8903</v>
      </c>
      <c r="C3056" s="2" t="s">
        <v>8904</v>
      </c>
      <c r="D3056" s="2" t="s">
        <v>8905</v>
      </c>
      <c r="E3056" s="2" t="str">
        <f aca="false">LEFT(C3056,3)</f>
        <v>713</v>
      </c>
      <c r="F3056" s="2" t="str">
        <f aca="false">IF(D3056="","",LEFT(D3056,3))</f>
        <v>714</v>
      </c>
      <c r="G3056" s="2" t="str">
        <f aca="false">IF(F3056="","",IF(E3056=F3056,"Yes","No"))</f>
        <v>No</v>
      </c>
      <c r="H3056" s="2" t="n">
        <f aca="false">IF(D3056="",0,1/COUNTIF($D$2:$D$3451,D3056))</f>
        <v>1</v>
      </c>
      <c r="I3056" s="13" t="n">
        <f aca="false">IFERROR(INDEX('NCO-2015 scores'!$C$2:$C$131,MATCH(E3056,'NCO-2015 scores'!$A$2:$A$131,0)),0)</f>
        <v>0.1133</v>
      </c>
      <c r="J3056" s="13" t="n">
        <f aca="false">IF(ISNUMBER(MATCH(E3056,'NCO-2015 scores'!$A$2:$A$131,0)),IF(ISNUMBER(INDEX('NCO-2015 scores'!$C$2:$C$131,MATCH(E3056,'NCO-2015 scores'!$A$2:$A$131,0))),1,0),0)</f>
        <v>1</v>
      </c>
    </row>
    <row r="3057" customFormat="false" ht="15" hidden="false" customHeight="false" outlineLevel="0" collapsed="false">
      <c r="A3057" s="2" t="n">
        <v>3053</v>
      </c>
      <c r="B3057" s="2" t="s">
        <v>8906</v>
      </c>
      <c r="C3057" s="2" t="s">
        <v>8907</v>
      </c>
      <c r="D3057" s="2" t="s">
        <v>8908</v>
      </c>
      <c r="E3057" s="2" t="str">
        <f aca="false">LEFT(C3057,3)</f>
        <v>713</v>
      </c>
      <c r="F3057" s="2" t="str">
        <f aca="false">IF(D3057="","",LEFT(D3057,3))</f>
        <v>714</v>
      </c>
      <c r="G3057" s="2" t="str">
        <f aca="false">IF(F3057="","",IF(E3057=F3057,"Yes","No"))</f>
        <v>No</v>
      </c>
      <c r="H3057" s="2" t="n">
        <f aca="false">IF(D3057="",0,1/COUNTIF($D$2:$D$3451,D3057))</f>
        <v>1</v>
      </c>
      <c r="I3057" s="13" t="n">
        <f aca="false">IFERROR(INDEX('NCO-2015 scores'!$C$2:$C$131,MATCH(E3057,'NCO-2015 scores'!$A$2:$A$131,0)),0)</f>
        <v>0.1133</v>
      </c>
      <c r="J3057" s="13" t="n">
        <f aca="false">IF(ISNUMBER(MATCH(E3057,'NCO-2015 scores'!$A$2:$A$131,0)),IF(ISNUMBER(INDEX('NCO-2015 scores'!$C$2:$C$131,MATCH(E3057,'NCO-2015 scores'!$A$2:$A$131,0))),1,0),0)</f>
        <v>1</v>
      </c>
    </row>
    <row r="3058" customFormat="false" ht="15" hidden="false" customHeight="false" outlineLevel="0" collapsed="false">
      <c r="A3058" s="2" t="n">
        <v>3054</v>
      </c>
      <c r="B3058" s="2" t="s">
        <v>8909</v>
      </c>
      <c r="C3058" s="2" t="s">
        <v>8910</v>
      </c>
      <c r="D3058" s="2"/>
      <c r="E3058" s="2" t="str">
        <f aca="false">LEFT(C3058,3)</f>
        <v>713</v>
      </c>
      <c r="F3058" s="2" t="str">
        <f aca="false">IF(D3058="","",LEFT(D3058,3))</f>
        <v/>
      </c>
      <c r="G3058" s="2" t="str">
        <f aca="false">IF(F3058="","",IF(E3058=F3058,"Yes","No"))</f>
        <v/>
      </c>
      <c r="H3058" s="2" t="n">
        <f aca="false">IF(D3058="",0,1/COUNTIF($D$2:$D$3451,D3058))</f>
        <v>0</v>
      </c>
      <c r="I3058" s="13" t="n">
        <f aca="false">IFERROR(INDEX('NCO-2015 scores'!$C$2:$C$131,MATCH(E3058,'NCO-2015 scores'!$A$2:$A$131,0)),0)</f>
        <v>0.1133</v>
      </c>
      <c r="J3058" s="13" t="n">
        <f aca="false">IF(ISNUMBER(MATCH(E3058,'NCO-2015 scores'!$A$2:$A$131,0)),IF(ISNUMBER(INDEX('NCO-2015 scores'!$C$2:$C$131,MATCH(E3058,'NCO-2015 scores'!$A$2:$A$131,0))),1,0),0)</f>
        <v>1</v>
      </c>
    </row>
    <row r="3059" customFormat="false" ht="15" hidden="false" customHeight="false" outlineLevel="0" collapsed="false">
      <c r="A3059" s="2" t="n">
        <v>3055</v>
      </c>
      <c r="B3059" s="2" t="s">
        <v>8911</v>
      </c>
      <c r="C3059" s="2" t="s">
        <v>8912</v>
      </c>
      <c r="D3059" s="2"/>
      <c r="E3059" s="2" t="str">
        <f aca="false">LEFT(C3059,3)</f>
        <v>713</v>
      </c>
      <c r="F3059" s="2" t="str">
        <f aca="false">IF(D3059="","",LEFT(D3059,3))</f>
        <v/>
      </c>
      <c r="G3059" s="2" t="str">
        <f aca="false">IF(F3059="","",IF(E3059=F3059,"Yes","No"))</f>
        <v/>
      </c>
      <c r="H3059" s="2" t="n">
        <f aca="false">IF(D3059="",0,1/COUNTIF($D$2:$D$3451,D3059))</f>
        <v>0</v>
      </c>
      <c r="I3059" s="13" t="n">
        <f aca="false">IFERROR(INDEX('NCO-2015 scores'!$C$2:$C$131,MATCH(E3059,'NCO-2015 scores'!$A$2:$A$131,0)),0)</f>
        <v>0.1133</v>
      </c>
      <c r="J3059" s="13" t="n">
        <f aca="false">IF(ISNUMBER(MATCH(E3059,'NCO-2015 scores'!$A$2:$A$131,0)),IF(ISNUMBER(INDEX('NCO-2015 scores'!$C$2:$C$131,MATCH(E3059,'NCO-2015 scores'!$A$2:$A$131,0))),1,0),0)</f>
        <v>1</v>
      </c>
    </row>
    <row r="3060" customFormat="false" ht="15" hidden="false" customHeight="false" outlineLevel="0" collapsed="false">
      <c r="A3060" s="2" t="n">
        <v>3056</v>
      </c>
      <c r="B3060" s="2" t="s">
        <v>8913</v>
      </c>
      <c r="C3060" s="2" t="s">
        <v>8914</v>
      </c>
      <c r="D3060" s="2"/>
      <c r="E3060" s="2" t="str">
        <f aca="false">LEFT(C3060,3)</f>
        <v>713</v>
      </c>
      <c r="F3060" s="2" t="str">
        <f aca="false">IF(D3060="","",LEFT(D3060,3))</f>
        <v/>
      </c>
      <c r="G3060" s="2" t="str">
        <f aca="false">IF(F3060="","",IF(E3060=F3060,"Yes","No"))</f>
        <v/>
      </c>
      <c r="H3060" s="2" t="n">
        <f aca="false">IF(D3060="",0,1/COUNTIF($D$2:$D$3451,D3060))</f>
        <v>0</v>
      </c>
      <c r="I3060" s="13" t="n">
        <f aca="false">IFERROR(INDEX('NCO-2015 scores'!$C$2:$C$131,MATCH(E3060,'NCO-2015 scores'!$A$2:$A$131,0)),0)</f>
        <v>0.1133</v>
      </c>
      <c r="J3060" s="13" t="n">
        <f aca="false">IF(ISNUMBER(MATCH(E3060,'NCO-2015 scores'!$A$2:$A$131,0)),IF(ISNUMBER(INDEX('NCO-2015 scores'!$C$2:$C$131,MATCH(E3060,'NCO-2015 scores'!$A$2:$A$131,0))),1,0),0)</f>
        <v>1</v>
      </c>
    </row>
    <row r="3061" customFormat="false" ht="15" hidden="false" customHeight="false" outlineLevel="0" collapsed="false">
      <c r="A3061" s="2" t="n">
        <v>3057</v>
      </c>
      <c r="B3061" s="2" t="s">
        <v>6125</v>
      </c>
      <c r="C3061" s="2" t="s">
        <v>8915</v>
      </c>
      <c r="D3061" s="2" t="s">
        <v>8916</v>
      </c>
      <c r="E3061" s="2" t="str">
        <f aca="false">LEFT(C3061,3)</f>
        <v>713</v>
      </c>
      <c r="F3061" s="2" t="str">
        <f aca="false">IF(D3061="","",LEFT(D3061,3))</f>
        <v>714</v>
      </c>
      <c r="G3061" s="2" t="str">
        <f aca="false">IF(F3061="","",IF(E3061=F3061,"Yes","No"))</f>
        <v>No</v>
      </c>
      <c r="H3061" s="2" t="n">
        <f aca="false">IF(D3061="",0,1/COUNTIF($D$2:$D$3451,D3061))</f>
        <v>1</v>
      </c>
      <c r="I3061" s="13" t="n">
        <f aca="false">IFERROR(INDEX('NCO-2015 scores'!$C$2:$C$131,MATCH(E3061,'NCO-2015 scores'!$A$2:$A$131,0)),0)</f>
        <v>0.1133</v>
      </c>
      <c r="J3061" s="13" t="n">
        <f aca="false">IF(ISNUMBER(MATCH(E3061,'NCO-2015 scores'!$A$2:$A$131,0)),IF(ISNUMBER(INDEX('NCO-2015 scores'!$C$2:$C$131,MATCH(E3061,'NCO-2015 scores'!$A$2:$A$131,0))),1,0),0)</f>
        <v>1</v>
      </c>
    </row>
    <row r="3062" customFormat="false" ht="15" hidden="false" customHeight="false" outlineLevel="0" collapsed="false">
      <c r="A3062" s="2" t="n">
        <v>3058</v>
      </c>
      <c r="B3062" s="2" t="s">
        <v>8917</v>
      </c>
      <c r="C3062" s="2" t="s">
        <v>8918</v>
      </c>
      <c r="D3062" s="2" t="s">
        <v>8919</v>
      </c>
      <c r="E3062" s="2" t="str">
        <f aca="false">LEFT(C3062,3)</f>
        <v>713</v>
      </c>
      <c r="F3062" s="2" t="str">
        <f aca="false">IF(D3062="","",LEFT(D3062,3))</f>
        <v>714</v>
      </c>
      <c r="G3062" s="2" t="str">
        <f aca="false">IF(F3062="","",IF(E3062=F3062,"Yes","No"))</f>
        <v>No</v>
      </c>
      <c r="H3062" s="2" t="n">
        <f aca="false">IF(D3062="",0,1/COUNTIF($D$2:$D$3451,D3062))</f>
        <v>1</v>
      </c>
      <c r="I3062" s="13" t="n">
        <f aca="false">IFERROR(INDEX('NCO-2015 scores'!$C$2:$C$131,MATCH(E3062,'NCO-2015 scores'!$A$2:$A$131,0)),0)</f>
        <v>0.1133</v>
      </c>
      <c r="J3062" s="13" t="n">
        <f aca="false">IF(ISNUMBER(MATCH(E3062,'NCO-2015 scores'!$A$2:$A$131,0)),IF(ISNUMBER(INDEX('NCO-2015 scores'!$C$2:$C$131,MATCH(E3062,'NCO-2015 scores'!$A$2:$A$131,0))),1,0),0)</f>
        <v>1</v>
      </c>
    </row>
    <row r="3063" customFormat="false" ht="15" hidden="false" customHeight="false" outlineLevel="0" collapsed="false">
      <c r="A3063" s="2" t="n">
        <v>3059</v>
      </c>
      <c r="B3063" s="2" t="s">
        <v>8920</v>
      </c>
      <c r="C3063" s="2" t="s">
        <v>8921</v>
      </c>
      <c r="D3063" s="2" t="s">
        <v>8922</v>
      </c>
      <c r="E3063" s="2" t="str">
        <f aca="false">LEFT(C3063,3)</f>
        <v>713</v>
      </c>
      <c r="F3063" s="2" t="str">
        <f aca="false">IF(D3063="","",LEFT(D3063,3))</f>
        <v>714</v>
      </c>
      <c r="G3063" s="2" t="str">
        <f aca="false">IF(F3063="","",IF(E3063=F3063,"Yes","No"))</f>
        <v>No</v>
      </c>
      <c r="H3063" s="2" t="n">
        <f aca="false">IF(D3063="",0,1/COUNTIF($D$2:$D$3451,D3063))</f>
        <v>1</v>
      </c>
      <c r="I3063" s="13" t="n">
        <f aca="false">IFERROR(INDEX('NCO-2015 scores'!$C$2:$C$131,MATCH(E3063,'NCO-2015 scores'!$A$2:$A$131,0)),0)</f>
        <v>0.1133</v>
      </c>
      <c r="J3063" s="13" t="n">
        <f aca="false">IF(ISNUMBER(MATCH(E3063,'NCO-2015 scores'!$A$2:$A$131,0)),IF(ISNUMBER(INDEX('NCO-2015 scores'!$C$2:$C$131,MATCH(E3063,'NCO-2015 scores'!$A$2:$A$131,0))),1,0),0)</f>
        <v>1</v>
      </c>
    </row>
    <row r="3064" customFormat="false" ht="15" hidden="false" customHeight="false" outlineLevel="0" collapsed="false">
      <c r="A3064" s="2" t="n">
        <v>3060</v>
      </c>
      <c r="B3064" s="2" t="s">
        <v>8923</v>
      </c>
      <c r="C3064" s="2" t="s">
        <v>8924</v>
      </c>
      <c r="D3064" s="2" t="s">
        <v>8925</v>
      </c>
      <c r="E3064" s="2" t="str">
        <f aca="false">LEFT(C3064,3)</f>
        <v>713</v>
      </c>
      <c r="F3064" s="2" t="str">
        <f aca="false">IF(D3064="","",LEFT(D3064,3))</f>
        <v>714</v>
      </c>
      <c r="G3064" s="2" t="str">
        <f aca="false">IF(F3064="","",IF(E3064=F3064,"Yes","No"))</f>
        <v>No</v>
      </c>
      <c r="H3064" s="2" t="n">
        <f aca="false">IF(D3064="",0,1/COUNTIF($D$2:$D$3451,D3064))</f>
        <v>1</v>
      </c>
      <c r="I3064" s="13" t="n">
        <f aca="false">IFERROR(INDEX('NCO-2015 scores'!$C$2:$C$131,MATCH(E3064,'NCO-2015 scores'!$A$2:$A$131,0)),0)</f>
        <v>0.1133</v>
      </c>
      <c r="J3064" s="13" t="n">
        <f aca="false">IF(ISNUMBER(MATCH(E3064,'NCO-2015 scores'!$A$2:$A$131,0)),IF(ISNUMBER(INDEX('NCO-2015 scores'!$C$2:$C$131,MATCH(E3064,'NCO-2015 scores'!$A$2:$A$131,0))),1,0),0)</f>
        <v>1</v>
      </c>
    </row>
    <row r="3065" customFormat="false" ht="15" hidden="false" customHeight="false" outlineLevel="0" collapsed="false">
      <c r="A3065" s="2" t="n">
        <v>3061</v>
      </c>
      <c r="B3065" s="2" t="s">
        <v>8926</v>
      </c>
      <c r="C3065" s="2" t="s">
        <v>8927</v>
      </c>
      <c r="D3065" s="2"/>
      <c r="E3065" s="2" t="str">
        <f aca="false">LEFT(C3065,3)</f>
        <v>713</v>
      </c>
      <c r="F3065" s="2" t="str">
        <f aca="false">IF(D3065="","",LEFT(D3065,3))</f>
        <v/>
      </c>
      <c r="G3065" s="2" t="str">
        <f aca="false">IF(F3065="","",IF(E3065=F3065,"Yes","No"))</f>
        <v/>
      </c>
      <c r="H3065" s="2" t="n">
        <f aca="false">IF(D3065="",0,1/COUNTIF($D$2:$D$3451,D3065))</f>
        <v>0</v>
      </c>
      <c r="I3065" s="13" t="n">
        <f aca="false">IFERROR(INDEX('NCO-2015 scores'!$C$2:$C$131,MATCH(E3065,'NCO-2015 scores'!$A$2:$A$131,0)),0)</f>
        <v>0.1133</v>
      </c>
      <c r="J3065" s="13" t="n">
        <f aca="false">IF(ISNUMBER(MATCH(E3065,'NCO-2015 scores'!$A$2:$A$131,0)),IF(ISNUMBER(INDEX('NCO-2015 scores'!$C$2:$C$131,MATCH(E3065,'NCO-2015 scores'!$A$2:$A$131,0))),1,0),0)</f>
        <v>1</v>
      </c>
    </row>
    <row r="3066" customFormat="false" ht="15" hidden="false" customHeight="false" outlineLevel="0" collapsed="false">
      <c r="A3066" s="2" t="n">
        <v>3062</v>
      </c>
      <c r="B3066" s="2" t="s">
        <v>8928</v>
      </c>
      <c r="C3066" s="2" t="s">
        <v>8929</v>
      </c>
      <c r="D3066" s="2" t="s">
        <v>8930</v>
      </c>
      <c r="E3066" s="2" t="str">
        <f aca="false">LEFT(C3066,3)</f>
        <v>713</v>
      </c>
      <c r="F3066" s="2" t="str">
        <f aca="false">IF(D3066="","",LEFT(D3066,3))</f>
        <v>714</v>
      </c>
      <c r="G3066" s="2" t="str">
        <f aca="false">IF(F3066="","",IF(E3066=F3066,"Yes","No"))</f>
        <v>No</v>
      </c>
      <c r="H3066" s="2" t="n">
        <f aca="false">IF(D3066="",0,1/COUNTIF($D$2:$D$3451,D3066))</f>
        <v>1</v>
      </c>
      <c r="I3066" s="13" t="n">
        <f aca="false">IFERROR(INDEX('NCO-2015 scores'!$C$2:$C$131,MATCH(E3066,'NCO-2015 scores'!$A$2:$A$131,0)),0)</f>
        <v>0.1133</v>
      </c>
      <c r="J3066" s="13" t="n">
        <f aca="false">IF(ISNUMBER(MATCH(E3066,'NCO-2015 scores'!$A$2:$A$131,0)),IF(ISNUMBER(INDEX('NCO-2015 scores'!$C$2:$C$131,MATCH(E3066,'NCO-2015 scores'!$A$2:$A$131,0))),1,0),0)</f>
        <v>1</v>
      </c>
    </row>
    <row r="3067" customFormat="false" ht="15" hidden="false" customHeight="false" outlineLevel="0" collapsed="false">
      <c r="A3067" s="2" t="n">
        <v>3063</v>
      </c>
      <c r="B3067" s="2" t="s">
        <v>8931</v>
      </c>
      <c r="C3067" s="2" t="s">
        <v>8932</v>
      </c>
      <c r="D3067" s="2"/>
      <c r="E3067" s="2" t="str">
        <f aca="false">LEFT(C3067,3)</f>
        <v>713</v>
      </c>
      <c r="F3067" s="2" t="str">
        <f aca="false">IF(D3067="","",LEFT(D3067,3))</f>
        <v/>
      </c>
      <c r="G3067" s="2" t="str">
        <f aca="false">IF(F3067="","",IF(E3067=F3067,"Yes","No"))</f>
        <v/>
      </c>
      <c r="H3067" s="2" t="n">
        <f aca="false">IF(D3067="",0,1/COUNTIF($D$2:$D$3451,D3067))</f>
        <v>0</v>
      </c>
      <c r="I3067" s="13" t="n">
        <f aca="false">IFERROR(INDEX('NCO-2015 scores'!$C$2:$C$131,MATCH(E3067,'NCO-2015 scores'!$A$2:$A$131,0)),0)</f>
        <v>0.1133</v>
      </c>
      <c r="J3067" s="13" t="n">
        <f aca="false">IF(ISNUMBER(MATCH(E3067,'NCO-2015 scores'!$A$2:$A$131,0)),IF(ISNUMBER(INDEX('NCO-2015 scores'!$C$2:$C$131,MATCH(E3067,'NCO-2015 scores'!$A$2:$A$131,0))),1,0),0)</f>
        <v>1</v>
      </c>
    </row>
    <row r="3068" customFormat="false" ht="15" hidden="false" customHeight="false" outlineLevel="0" collapsed="false">
      <c r="A3068" s="2" t="n">
        <v>3064</v>
      </c>
      <c r="B3068" s="2" t="s">
        <v>8933</v>
      </c>
      <c r="C3068" s="2" t="s">
        <v>8934</v>
      </c>
      <c r="D3068" s="2" t="s">
        <v>8935</v>
      </c>
      <c r="E3068" s="2" t="str">
        <f aca="false">LEFT(C3068,3)</f>
        <v>521</v>
      </c>
      <c r="F3068" s="2" t="str">
        <f aca="false">IF(D3068="","",LEFT(D3068,3))</f>
        <v>523</v>
      </c>
      <c r="G3068" s="2" t="str">
        <f aca="false">IF(F3068="","",IF(E3068=F3068,"Yes","No"))</f>
        <v>No</v>
      </c>
      <c r="H3068" s="2" t="n">
        <f aca="false">IF(D3068="",0,1/COUNTIF($D$2:$D$3451,D3068))</f>
        <v>1</v>
      </c>
      <c r="I3068" s="13" t="n">
        <f aca="false">IFERROR(INDEX('NCO-2015 scores'!$C$2:$C$131,MATCH(E3068,'NCO-2015 scores'!$A$2:$A$131,0)),0)</f>
        <v>0.285</v>
      </c>
      <c r="J3068" s="13" t="n">
        <f aca="false">IF(ISNUMBER(MATCH(E3068,'NCO-2015 scores'!$A$2:$A$131,0)),IF(ISNUMBER(INDEX('NCO-2015 scores'!$C$2:$C$131,MATCH(E3068,'NCO-2015 scores'!$A$2:$A$131,0))),1,0),0)</f>
        <v>1</v>
      </c>
    </row>
    <row r="3069" customFormat="false" ht="15" hidden="false" customHeight="false" outlineLevel="0" collapsed="false">
      <c r="A3069" s="2" t="n">
        <v>3065</v>
      </c>
      <c r="B3069" s="2" t="s">
        <v>8936</v>
      </c>
      <c r="C3069" s="2" t="s">
        <v>8937</v>
      </c>
      <c r="D3069" s="2" t="s">
        <v>8938</v>
      </c>
      <c r="E3069" s="2" t="str">
        <f aca="false">LEFT(C3069,3)</f>
        <v>521</v>
      </c>
      <c r="F3069" s="2" t="str">
        <f aca="false">IF(D3069="","",LEFT(D3069,3))</f>
        <v>523</v>
      </c>
      <c r="G3069" s="2" t="str">
        <f aca="false">IF(F3069="","",IF(E3069=F3069,"Yes","No"))</f>
        <v>No</v>
      </c>
      <c r="H3069" s="2" t="n">
        <f aca="false">IF(D3069="",0,1/COUNTIF($D$2:$D$3451,D3069))</f>
        <v>1</v>
      </c>
      <c r="I3069" s="13" t="n">
        <f aca="false">IFERROR(INDEX('NCO-2015 scores'!$C$2:$C$131,MATCH(E3069,'NCO-2015 scores'!$A$2:$A$131,0)),0)</f>
        <v>0.285</v>
      </c>
      <c r="J3069" s="13" t="n">
        <f aca="false">IF(ISNUMBER(MATCH(E3069,'NCO-2015 scores'!$A$2:$A$131,0)),IF(ISNUMBER(INDEX('NCO-2015 scores'!$C$2:$C$131,MATCH(E3069,'NCO-2015 scores'!$A$2:$A$131,0))),1,0),0)</f>
        <v>1</v>
      </c>
    </row>
    <row r="3070" customFormat="false" ht="15" hidden="false" customHeight="false" outlineLevel="0" collapsed="false">
      <c r="A3070" s="2" t="n">
        <v>3066</v>
      </c>
      <c r="B3070" s="2" t="s">
        <v>8939</v>
      </c>
      <c r="C3070" s="2" t="s">
        <v>8940</v>
      </c>
      <c r="D3070" s="2" t="s">
        <v>8941</v>
      </c>
      <c r="E3070" s="2" t="str">
        <f aca="false">LEFT(C3070,3)</f>
        <v>521</v>
      </c>
      <c r="F3070" s="2" t="str">
        <f aca="false">IF(D3070="","",LEFT(D3070,3))</f>
        <v>523</v>
      </c>
      <c r="G3070" s="2" t="str">
        <f aca="false">IF(F3070="","",IF(E3070=F3070,"Yes","No"))</f>
        <v>No</v>
      </c>
      <c r="H3070" s="2" t="n">
        <f aca="false">IF(D3070="",0,1/COUNTIF($D$2:$D$3451,D3070))</f>
        <v>1</v>
      </c>
      <c r="I3070" s="13" t="n">
        <f aca="false">IFERROR(INDEX('NCO-2015 scores'!$C$2:$C$131,MATCH(E3070,'NCO-2015 scores'!$A$2:$A$131,0)),0)</f>
        <v>0.285</v>
      </c>
      <c r="J3070" s="13" t="n">
        <f aca="false">IF(ISNUMBER(MATCH(E3070,'NCO-2015 scores'!$A$2:$A$131,0)),IF(ISNUMBER(INDEX('NCO-2015 scores'!$C$2:$C$131,MATCH(E3070,'NCO-2015 scores'!$A$2:$A$131,0))),1,0),0)</f>
        <v>1</v>
      </c>
    </row>
    <row r="3071" customFormat="false" ht="15" hidden="false" customHeight="false" outlineLevel="0" collapsed="false">
      <c r="A3071" s="2" t="n">
        <v>3067</v>
      </c>
      <c r="B3071" s="2" t="s">
        <v>8942</v>
      </c>
      <c r="C3071" s="2" t="s">
        <v>8943</v>
      </c>
      <c r="D3071" s="2"/>
      <c r="E3071" s="2" t="str">
        <f aca="false">LEFT(C3071,3)</f>
        <v>521</v>
      </c>
      <c r="F3071" s="2" t="str">
        <f aca="false">IF(D3071="","",LEFT(D3071,3))</f>
        <v/>
      </c>
      <c r="G3071" s="2" t="str">
        <f aca="false">IF(F3071="","",IF(E3071=F3071,"Yes","No"))</f>
        <v/>
      </c>
      <c r="H3071" s="2" t="n">
        <f aca="false">IF(D3071="",0,1/COUNTIF($D$2:$D$3451,D3071))</f>
        <v>0</v>
      </c>
      <c r="I3071" s="13" t="n">
        <f aca="false">IFERROR(INDEX('NCO-2015 scores'!$C$2:$C$131,MATCH(E3071,'NCO-2015 scores'!$A$2:$A$131,0)),0)</f>
        <v>0.285</v>
      </c>
      <c r="J3071" s="13" t="n">
        <f aca="false">IF(ISNUMBER(MATCH(E3071,'NCO-2015 scores'!$A$2:$A$131,0)),IF(ISNUMBER(INDEX('NCO-2015 scores'!$C$2:$C$131,MATCH(E3071,'NCO-2015 scores'!$A$2:$A$131,0))),1,0),0)</f>
        <v>1</v>
      </c>
    </row>
    <row r="3072" customFormat="false" ht="15" hidden="false" customHeight="false" outlineLevel="0" collapsed="false">
      <c r="A3072" s="2" t="n">
        <v>3068</v>
      </c>
      <c r="B3072" s="2" t="s">
        <v>8944</v>
      </c>
      <c r="C3072" s="2" t="s">
        <v>8945</v>
      </c>
      <c r="D3072" s="2" t="s">
        <v>8946</v>
      </c>
      <c r="E3072" s="2" t="str">
        <f aca="false">LEFT(C3072,3)</f>
        <v>521</v>
      </c>
      <c r="F3072" s="2" t="str">
        <f aca="false">IF(D3072="","",LEFT(D3072,3))</f>
        <v>523</v>
      </c>
      <c r="G3072" s="2" t="str">
        <f aca="false">IF(F3072="","",IF(E3072=F3072,"Yes","No"))</f>
        <v>No</v>
      </c>
      <c r="H3072" s="2" t="n">
        <f aca="false">IF(D3072="",0,1/COUNTIF($D$2:$D$3451,D3072))</f>
        <v>1</v>
      </c>
      <c r="I3072" s="13" t="n">
        <f aca="false">IFERROR(INDEX('NCO-2015 scores'!$C$2:$C$131,MATCH(E3072,'NCO-2015 scores'!$A$2:$A$131,0)),0)</f>
        <v>0.285</v>
      </c>
      <c r="J3072" s="13" t="n">
        <f aca="false">IF(ISNUMBER(MATCH(E3072,'NCO-2015 scores'!$A$2:$A$131,0)),IF(ISNUMBER(INDEX('NCO-2015 scores'!$C$2:$C$131,MATCH(E3072,'NCO-2015 scores'!$A$2:$A$131,0))),1,0),0)</f>
        <v>1</v>
      </c>
    </row>
    <row r="3073" customFormat="false" ht="15" hidden="false" customHeight="false" outlineLevel="0" collapsed="false">
      <c r="A3073" s="2" t="n">
        <v>3069</v>
      </c>
      <c r="B3073" s="2" t="s">
        <v>8947</v>
      </c>
      <c r="C3073" s="2" t="s">
        <v>8948</v>
      </c>
      <c r="D3073" s="2"/>
      <c r="E3073" s="2" t="str">
        <f aca="false">LEFT(C3073,3)</f>
        <v>521</v>
      </c>
      <c r="F3073" s="2" t="str">
        <f aca="false">IF(D3073="","",LEFT(D3073,3))</f>
        <v/>
      </c>
      <c r="G3073" s="2" t="str">
        <f aca="false">IF(F3073="","",IF(E3073=F3073,"Yes","No"))</f>
        <v/>
      </c>
      <c r="H3073" s="2" t="n">
        <f aca="false">IF(D3073="",0,1/COUNTIF($D$2:$D$3451,D3073))</f>
        <v>0</v>
      </c>
      <c r="I3073" s="13" t="n">
        <f aca="false">IFERROR(INDEX('NCO-2015 scores'!$C$2:$C$131,MATCH(E3073,'NCO-2015 scores'!$A$2:$A$131,0)),0)</f>
        <v>0.285</v>
      </c>
      <c r="J3073" s="13" t="n">
        <f aca="false">IF(ISNUMBER(MATCH(E3073,'NCO-2015 scores'!$A$2:$A$131,0)),IF(ISNUMBER(INDEX('NCO-2015 scores'!$C$2:$C$131,MATCH(E3073,'NCO-2015 scores'!$A$2:$A$131,0))),1,0),0)</f>
        <v>1</v>
      </c>
    </row>
    <row r="3074" customFormat="false" ht="15" hidden="false" customHeight="false" outlineLevel="0" collapsed="false">
      <c r="A3074" s="2" t="n">
        <v>3070</v>
      </c>
      <c r="B3074" s="2" t="s">
        <v>8949</v>
      </c>
      <c r="C3074" s="2" t="s">
        <v>8950</v>
      </c>
      <c r="D3074" s="2" t="s">
        <v>8951</v>
      </c>
      <c r="E3074" s="2" t="str">
        <f aca="false">LEFT(C3074,3)</f>
        <v>431</v>
      </c>
      <c r="F3074" s="2" t="str">
        <f aca="false">IF(D3074="","",LEFT(D3074,3))</f>
        <v>412</v>
      </c>
      <c r="G3074" s="2" t="str">
        <f aca="false">IF(F3074="","",IF(E3074=F3074,"Yes","No"))</f>
        <v>No</v>
      </c>
      <c r="H3074" s="2" t="n">
        <f aca="false">IF(D3074="",0,1/COUNTIF($D$2:$D$3451,D3074))</f>
        <v>1</v>
      </c>
      <c r="I3074" s="13" t="n">
        <f aca="false">IFERROR(INDEX('NCO-2015 scores'!$C$2:$C$131,MATCH(E3074,'NCO-2015 scores'!$A$2:$A$131,0)),0)</f>
        <v>0.63</v>
      </c>
      <c r="J3074" s="13" t="n">
        <f aca="false">IF(ISNUMBER(MATCH(E3074,'NCO-2015 scores'!$A$2:$A$131,0)),IF(ISNUMBER(INDEX('NCO-2015 scores'!$C$2:$C$131,MATCH(E3074,'NCO-2015 scores'!$A$2:$A$131,0))),1,0),0)</f>
        <v>1</v>
      </c>
    </row>
    <row r="3075" customFormat="false" ht="15" hidden="false" customHeight="false" outlineLevel="0" collapsed="false">
      <c r="A3075" s="2" t="n">
        <v>3071</v>
      </c>
      <c r="B3075" s="2" t="s">
        <v>8952</v>
      </c>
      <c r="C3075" s="2" t="s">
        <v>8953</v>
      </c>
      <c r="D3075" s="2" t="s">
        <v>8954</v>
      </c>
      <c r="E3075" s="2" t="str">
        <f aca="false">LEFT(C3075,3)</f>
        <v>431</v>
      </c>
      <c r="F3075" s="2" t="str">
        <f aca="false">IF(D3075="","",LEFT(D3075,3))</f>
        <v>412</v>
      </c>
      <c r="G3075" s="2" t="str">
        <f aca="false">IF(F3075="","",IF(E3075=F3075,"Yes","No"))</f>
        <v>No</v>
      </c>
      <c r="H3075" s="2" t="n">
        <f aca="false">IF(D3075="",0,1/COUNTIF($D$2:$D$3451,D3075))</f>
        <v>1</v>
      </c>
      <c r="I3075" s="13" t="n">
        <f aca="false">IFERROR(INDEX('NCO-2015 scores'!$C$2:$C$131,MATCH(E3075,'NCO-2015 scores'!$A$2:$A$131,0)),0)</f>
        <v>0.63</v>
      </c>
      <c r="J3075" s="13" t="n">
        <f aca="false">IF(ISNUMBER(MATCH(E3075,'NCO-2015 scores'!$A$2:$A$131,0)),IF(ISNUMBER(INDEX('NCO-2015 scores'!$C$2:$C$131,MATCH(E3075,'NCO-2015 scores'!$A$2:$A$131,0))),1,0),0)</f>
        <v>1</v>
      </c>
    </row>
    <row r="3076" customFormat="false" ht="15" hidden="false" customHeight="false" outlineLevel="0" collapsed="false">
      <c r="A3076" s="2" t="n">
        <v>3072</v>
      </c>
      <c r="B3076" s="2" t="s">
        <v>8955</v>
      </c>
      <c r="C3076" s="2" t="s">
        <v>8956</v>
      </c>
      <c r="D3076" s="2" t="s">
        <v>8957</v>
      </c>
      <c r="E3076" s="2" t="str">
        <f aca="false">LEFT(C3076,3)</f>
        <v>331</v>
      </c>
      <c r="F3076" s="2" t="str">
        <f aca="false">IF(D3076="","",LEFT(D3076,3))</f>
        <v>343</v>
      </c>
      <c r="G3076" s="2" t="str">
        <f aca="false">IF(F3076="","",IF(E3076=F3076,"Yes","No"))</f>
        <v>No</v>
      </c>
      <c r="H3076" s="2" t="n">
        <f aca="false">IF(D3076="",0,1/COUNTIF($D$2:$D$3451,D3076))</f>
        <v>1</v>
      </c>
      <c r="I3076" s="13" t="n">
        <f aca="false">IFERROR(INDEX('NCO-2015 scores'!$C$2:$C$131,MATCH(E3076,'NCO-2015 scores'!$A$2:$A$131,0)),0)</f>
        <v>0.548</v>
      </c>
      <c r="J3076" s="13" t="n">
        <f aca="false">IF(ISNUMBER(MATCH(E3076,'NCO-2015 scores'!$A$2:$A$131,0)),IF(ISNUMBER(INDEX('NCO-2015 scores'!$C$2:$C$131,MATCH(E3076,'NCO-2015 scores'!$A$2:$A$131,0))),1,0),0)</f>
        <v>1</v>
      </c>
    </row>
    <row r="3077" customFormat="false" ht="15" hidden="false" customHeight="false" outlineLevel="0" collapsed="false">
      <c r="A3077" s="2" t="n">
        <v>3073</v>
      </c>
      <c r="B3077" s="2" t="s">
        <v>8958</v>
      </c>
      <c r="C3077" s="2" t="s">
        <v>8959</v>
      </c>
      <c r="D3077" s="2" t="s">
        <v>8960</v>
      </c>
      <c r="E3077" s="2" t="str">
        <f aca="false">LEFT(C3077,3)</f>
        <v>331</v>
      </c>
      <c r="F3077" s="2" t="str">
        <f aca="false">IF(D3077="","",LEFT(D3077,3))</f>
        <v>343</v>
      </c>
      <c r="G3077" s="2" t="str">
        <f aca="false">IF(F3077="","",IF(E3077=F3077,"Yes","No"))</f>
        <v>No</v>
      </c>
      <c r="H3077" s="2" t="n">
        <f aca="false">IF(D3077="",0,1/COUNTIF($D$2:$D$3451,D3077))</f>
        <v>1</v>
      </c>
      <c r="I3077" s="13" t="n">
        <f aca="false">IFERROR(INDEX('NCO-2015 scores'!$C$2:$C$131,MATCH(E3077,'NCO-2015 scores'!$A$2:$A$131,0)),0)</f>
        <v>0.548</v>
      </c>
      <c r="J3077" s="13" t="n">
        <f aca="false">IF(ISNUMBER(MATCH(E3077,'NCO-2015 scores'!$A$2:$A$131,0)),IF(ISNUMBER(INDEX('NCO-2015 scores'!$C$2:$C$131,MATCH(E3077,'NCO-2015 scores'!$A$2:$A$131,0))),1,0),0)</f>
        <v>1</v>
      </c>
    </row>
    <row r="3078" customFormat="false" ht="15" hidden="false" customHeight="false" outlineLevel="0" collapsed="false">
      <c r="A3078" s="2" t="n">
        <v>3074</v>
      </c>
      <c r="B3078" s="2" t="s">
        <v>8961</v>
      </c>
      <c r="C3078" s="2" t="s">
        <v>8962</v>
      </c>
      <c r="D3078" s="2" t="s">
        <v>8963</v>
      </c>
      <c r="E3078" s="2" t="str">
        <f aca="false">LEFT(C3078,3)</f>
        <v>331</v>
      </c>
      <c r="F3078" s="2" t="str">
        <f aca="false">IF(D3078="","",LEFT(D3078,3))</f>
        <v>343</v>
      </c>
      <c r="G3078" s="2" t="str">
        <f aca="false">IF(F3078="","",IF(E3078=F3078,"Yes","No"))</f>
        <v>No</v>
      </c>
      <c r="H3078" s="2" t="n">
        <f aca="false">IF(D3078="",0,1/COUNTIF($D$2:$D$3451,D3078))</f>
        <v>1</v>
      </c>
      <c r="I3078" s="13" t="n">
        <f aca="false">IFERROR(INDEX('NCO-2015 scores'!$C$2:$C$131,MATCH(E3078,'NCO-2015 scores'!$A$2:$A$131,0)),0)</f>
        <v>0.548</v>
      </c>
      <c r="J3078" s="13" t="n">
        <f aca="false">IF(ISNUMBER(MATCH(E3078,'NCO-2015 scores'!$A$2:$A$131,0)),IF(ISNUMBER(INDEX('NCO-2015 scores'!$C$2:$C$131,MATCH(E3078,'NCO-2015 scores'!$A$2:$A$131,0))),1,0),0)</f>
        <v>1</v>
      </c>
    </row>
    <row r="3079" customFormat="false" ht="15" hidden="false" customHeight="false" outlineLevel="0" collapsed="false">
      <c r="A3079" s="2" t="n">
        <v>3075</v>
      </c>
      <c r="B3079" s="2" t="s">
        <v>8964</v>
      </c>
      <c r="C3079" s="2" t="s">
        <v>8965</v>
      </c>
      <c r="D3079" s="2" t="s">
        <v>8966</v>
      </c>
      <c r="E3079" s="2" t="str">
        <f aca="false">LEFT(C3079,3)</f>
        <v>818</v>
      </c>
      <c r="F3079" s="2" t="str">
        <f aca="false">IF(D3079="","",LEFT(D3079,3))</f>
        <v>816</v>
      </c>
      <c r="G3079" s="2" t="str">
        <f aca="false">IF(F3079="","",IF(E3079=F3079,"Yes","No"))</f>
        <v>No</v>
      </c>
      <c r="H3079" s="2" t="n">
        <f aca="false">IF(D3079="",0,1/COUNTIF($D$2:$D$3451,D3079))</f>
        <v>1</v>
      </c>
      <c r="I3079" s="13" t="n">
        <f aca="false">IFERROR(INDEX('NCO-2015 scores'!$C$2:$C$131,MATCH(E3079,'NCO-2015 scores'!$A$2:$A$131,0)),0)</f>
        <v>0.1967</v>
      </c>
      <c r="J3079" s="13" t="n">
        <f aca="false">IF(ISNUMBER(MATCH(E3079,'NCO-2015 scores'!$A$2:$A$131,0)),IF(ISNUMBER(INDEX('NCO-2015 scores'!$C$2:$C$131,MATCH(E3079,'NCO-2015 scores'!$A$2:$A$131,0))),1,0),0)</f>
        <v>1</v>
      </c>
    </row>
    <row r="3080" customFormat="false" ht="15" hidden="false" customHeight="false" outlineLevel="0" collapsed="false">
      <c r="A3080" s="2" t="n">
        <v>3076</v>
      </c>
      <c r="B3080" s="2" t="s">
        <v>8967</v>
      </c>
      <c r="C3080" s="2" t="s">
        <v>8968</v>
      </c>
      <c r="D3080" s="2" t="s">
        <v>8969</v>
      </c>
      <c r="E3080" s="2" t="str">
        <f aca="false">LEFT(C3080,3)</f>
        <v>818</v>
      </c>
      <c r="F3080" s="2" t="str">
        <f aca="false">IF(D3080="","",LEFT(D3080,3))</f>
        <v>816</v>
      </c>
      <c r="G3080" s="2" t="str">
        <f aca="false">IF(F3080="","",IF(E3080=F3080,"Yes","No"))</f>
        <v>No</v>
      </c>
      <c r="H3080" s="2" t="n">
        <f aca="false">IF(D3080="",0,1/COUNTIF($D$2:$D$3451,D3080))</f>
        <v>1</v>
      </c>
      <c r="I3080" s="13" t="n">
        <f aca="false">IFERROR(INDEX('NCO-2015 scores'!$C$2:$C$131,MATCH(E3080,'NCO-2015 scores'!$A$2:$A$131,0)),0)</f>
        <v>0.1967</v>
      </c>
      <c r="J3080" s="13" t="n">
        <f aca="false">IF(ISNUMBER(MATCH(E3080,'NCO-2015 scores'!$A$2:$A$131,0)),IF(ISNUMBER(INDEX('NCO-2015 scores'!$C$2:$C$131,MATCH(E3080,'NCO-2015 scores'!$A$2:$A$131,0))),1,0),0)</f>
        <v>1</v>
      </c>
    </row>
    <row r="3081" customFormat="false" ht="15" hidden="false" customHeight="false" outlineLevel="0" collapsed="false">
      <c r="A3081" s="2" t="n">
        <v>3077</v>
      </c>
      <c r="B3081" s="2" t="s">
        <v>8970</v>
      </c>
      <c r="C3081" s="2" t="s">
        <v>8971</v>
      </c>
      <c r="D3081" s="2" t="s">
        <v>8972</v>
      </c>
      <c r="E3081" s="2" t="str">
        <f aca="false">LEFT(C3081,3)</f>
        <v>818</v>
      </c>
      <c r="F3081" s="2" t="str">
        <f aca="false">IF(D3081="","",LEFT(D3081,3))</f>
        <v>816</v>
      </c>
      <c r="G3081" s="2" t="str">
        <f aca="false">IF(F3081="","",IF(E3081=F3081,"Yes","No"))</f>
        <v>No</v>
      </c>
      <c r="H3081" s="2" t="n">
        <f aca="false">IF(D3081="",0,1/COUNTIF($D$2:$D$3451,D3081))</f>
        <v>1</v>
      </c>
      <c r="I3081" s="13" t="n">
        <f aca="false">IFERROR(INDEX('NCO-2015 scores'!$C$2:$C$131,MATCH(E3081,'NCO-2015 scores'!$A$2:$A$131,0)),0)</f>
        <v>0.1967</v>
      </c>
      <c r="J3081" s="13" t="n">
        <f aca="false">IF(ISNUMBER(MATCH(E3081,'NCO-2015 scores'!$A$2:$A$131,0)),IF(ISNUMBER(INDEX('NCO-2015 scores'!$C$2:$C$131,MATCH(E3081,'NCO-2015 scores'!$A$2:$A$131,0))),1,0),0)</f>
        <v>1</v>
      </c>
    </row>
    <row r="3082" customFormat="false" ht="15" hidden="false" customHeight="false" outlineLevel="0" collapsed="false">
      <c r="A3082" s="2" t="n">
        <v>3078</v>
      </c>
      <c r="B3082" s="2" t="s">
        <v>8973</v>
      </c>
      <c r="C3082" s="2" t="s">
        <v>8974</v>
      </c>
      <c r="D3082" s="2" t="s">
        <v>8975</v>
      </c>
      <c r="E3082" s="2" t="str">
        <f aca="false">LEFT(C3082,3)</f>
        <v>818</v>
      </c>
      <c r="F3082" s="2" t="str">
        <f aca="false">IF(D3082="","",LEFT(D3082,3))</f>
        <v>816</v>
      </c>
      <c r="G3082" s="2" t="str">
        <f aca="false">IF(F3082="","",IF(E3082=F3082,"Yes","No"))</f>
        <v>No</v>
      </c>
      <c r="H3082" s="2" t="n">
        <f aca="false">IF(D3082="",0,1/COUNTIF($D$2:$D$3451,D3082))</f>
        <v>1</v>
      </c>
      <c r="I3082" s="13" t="n">
        <f aca="false">IFERROR(INDEX('NCO-2015 scores'!$C$2:$C$131,MATCH(E3082,'NCO-2015 scores'!$A$2:$A$131,0)),0)</f>
        <v>0.1967</v>
      </c>
      <c r="J3082" s="13" t="n">
        <f aca="false">IF(ISNUMBER(MATCH(E3082,'NCO-2015 scores'!$A$2:$A$131,0)),IF(ISNUMBER(INDEX('NCO-2015 scores'!$C$2:$C$131,MATCH(E3082,'NCO-2015 scores'!$A$2:$A$131,0))),1,0),0)</f>
        <v>1</v>
      </c>
    </row>
    <row r="3083" customFormat="false" ht="15" hidden="false" customHeight="false" outlineLevel="0" collapsed="false">
      <c r="A3083" s="2" t="n">
        <v>3079</v>
      </c>
      <c r="B3083" s="2" t="s">
        <v>8976</v>
      </c>
      <c r="C3083" s="2" t="s">
        <v>8977</v>
      </c>
      <c r="D3083" s="2" t="s">
        <v>8978</v>
      </c>
      <c r="E3083" s="2" t="str">
        <f aca="false">LEFT(C3083,3)</f>
        <v>818</v>
      </c>
      <c r="F3083" s="2" t="str">
        <f aca="false">IF(D3083="","",LEFT(D3083,3))</f>
        <v>816</v>
      </c>
      <c r="G3083" s="2" t="str">
        <f aca="false">IF(F3083="","",IF(E3083=F3083,"Yes","No"))</f>
        <v>No</v>
      </c>
      <c r="H3083" s="2" t="n">
        <f aca="false">IF(D3083="",0,1/COUNTIF($D$2:$D$3451,D3083))</f>
        <v>1</v>
      </c>
      <c r="I3083" s="13" t="n">
        <f aca="false">IFERROR(INDEX('NCO-2015 scores'!$C$2:$C$131,MATCH(E3083,'NCO-2015 scores'!$A$2:$A$131,0)),0)</f>
        <v>0.1967</v>
      </c>
      <c r="J3083" s="13" t="n">
        <f aca="false">IF(ISNUMBER(MATCH(E3083,'NCO-2015 scores'!$A$2:$A$131,0)),IF(ISNUMBER(INDEX('NCO-2015 scores'!$C$2:$C$131,MATCH(E3083,'NCO-2015 scores'!$A$2:$A$131,0))),1,0),0)</f>
        <v>1</v>
      </c>
    </row>
    <row r="3084" customFormat="false" ht="15" hidden="false" customHeight="false" outlineLevel="0" collapsed="false">
      <c r="A3084" s="2" t="n">
        <v>3080</v>
      </c>
      <c r="B3084" s="2" t="s">
        <v>8979</v>
      </c>
      <c r="C3084" s="2" t="s">
        <v>8980</v>
      </c>
      <c r="D3084" s="2" t="s">
        <v>8981</v>
      </c>
      <c r="E3084" s="2" t="str">
        <f aca="false">LEFT(C3084,3)</f>
        <v>818</v>
      </c>
      <c r="F3084" s="2" t="str">
        <f aca="false">IF(D3084="","",LEFT(D3084,3))</f>
        <v>816</v>
      </c>
      <c r="G3084" s="2" t="str">
        <f aca="false">IF(F3084="","",IF(E3084=F3084,"Yes","No"))</f>
        <v>No</v>
      </c>
      <c r="H3084" s="2" t="n">
        <f aca="false">IF(D3084="",0,1/COUNTIF($D$2:$D$3451,D3084))</f>
        <v>1</v>
      </c>
      <c r="I3084" s="13" t="n">
        <f aca="false">IFERROR(INDEX('NCO-2015 scores'!$C$2:$C$131,MATCH(E3084,'NCO-2015 scores'!$A$2:$A$131,0)),0)</f>
        <v>0.1967</v>
      </c>
      <c r="J3084" s="13" t="n">
        <f aca="false">IF(ISNUMBER(MATCH(E3084,'NCO-2015 scores'!$A$2:$A$131,0)),IF(ISNUMBER(INDEX('NCO-2015 scores'!$C$2:$C$131,MATCH(E3084,'NCO-2015 scores'!$A$2:$A$131,0))),1,0),0)</f>
        <v>1</v>
      </c>
    </row>
    <row r="3085" customFormat="false" ht="15" hidden="false" customHeight="false" outlineLevel="0" collapsed="false">
      <c r="A3085" s="2" t="n">
        <v>3081</v>
      </c>
      <c r="B3085" s="2" t="s">
        <v>8982</v>
      </c>
      <c r="C3085" s="2" t="s">
        <v>8983</v>
      </c>
      <c r="D3085" s="2" t="s">
        <v>8984</v>
      </c>
      <c r="E3085" s="2" t="str">
        <f aca="false">LEFT(C3085,3)</f>
        <v>818</v>
      </c>
      <c r="F3085" s="2" t="str">
        <f aca="false">IF(D3085="","",LEFT(D3085,3))</f>
        <v>816</v>
      </c>
      <c r="G3085" s="2" t="str">
        <f aca="false">IF(F3085="","",IF(E3085=F3085,"Yes","No"))</f>
        <v>No</v>
      </c>
      <c r="H3085" s="2" t="n">
        <f aca="false">IF(D3085="",0,1/COUNTIF($D$2:$D$3451,D3085))</f>
        <v>1</v>
      </c>
      <c r="I3085" s="13" t="n">
        <f aca="false">IFERROR(INDEX('NCO-2015 scores'!$C$2:$C$131,MATCH(E3085,'NCO-2015 scores'!$A$2:$A$131,0)),0)</f>
        <v>0.1967</v>
      </c>
      <c r="J3085" s="13" t="n">
        <f aca="false">IF(ISNUMBER(MATCH(E3085,'NCO-2015 scores'!$A$2:$A$131,0)),IF(ISNUMBER(INDEX('NCO-2015 scores'!$C$2:$C$131,MATCH(E3085,'NCO-2015 scores'!$A$2:$A$131,0))),1,0),0)</f>
        <v>1</v>
      </c>
    </row>
    <row r="3086" customFormat="false" ht="15" hidden="false" customHeight="false" outlineLevel="0" collapsed="false">
      <c r="A3086" s="2" t="n">
        <v>3082</v>
      </c>
      <c r="B3086" s="2" t="s">
        <v>8985</v>
      </c>
      <c r="C3086" s="2" t="s">
        <v>8986</v>
      </c>
      <c r="D3086" s="2" t="s">
        <v>8987</v>
      </c>
      <c r="E3086" s="2" t="str">
        <f aca="false">LEFT(C3086,3)</f>
        <v>818</v>
      </c>
      <c r="F3086" s="2" t="str">
        <f aca="false">IF(D3086="","",LEFT(D3086,3))</f>
        <v>816</v>
      </c>
      <c r="G3086" s="2" t="str">
        <f aca="false">IF(F3086="","",IF(E3086=F3086,"Yes","No"))</f>
        <v>No</v>
      </c>
      <c r="H3086" s="2" t="n">
        <f aca="false">IF(D3086="",0,1/COUNTIF($D$2:$D$3451,D3086))</f>
        <v>1</v>
      </c>
      <c r="I3086" s="13" t="n">
        <f aca="false">IFERROR(INDEX('NCO-2015 scores'!$C$2:$C$131,MATCH(E3086,'NCO-2015 scores'!$A$2:$A$131,0)),0)</f>
        <v>0.1967</v>
      </c>
      <c r="J3086" s="13" t="n">
        <f aca="false">IF(ISNUMBER(MATCH(E3086,'NCO-2015 scores'!$A$2:$A$131,0)),IF(ISNUMBER(INDEX('NCO-2015 scores'!$C$2:$C$131,MATCH(E3086,'NCO-2015 scores'!$A$2:$A$131,0))),1,0),0)</f>
        <v>1</v>
      </c>
    </row>
    <row r="3087" customFormat="false" ht="15" hidden="false" customHeight="false" outlineLevel="0" collapsed="false">
      <c r="A3087" s="2" t="n">
        <v>3083</v>
      </c>
      <c r="B3087" s="2" t="s">
        <v>8988</v>
      </c>
      <c r="C3087" s="2" t="s">
        <v>8989</v>
      </c>
      <c r="D3087" s="2"/>
      <c r="E3087" s="2" t="str">
        <f aca="false">LEFT(C3087,3)</f>
        <v>432</v>
      </c>
      <c r="F3087" s="2" t="str">
        <f aca="false">IF(D3087="","",LEFT(D3087,3))</f>
        <v/>
      </c>
      <c r="G3087" s="2" t="str">
        <f aca="false">IF(F3087="","",IF(E3087=F3087,"Yes","No"))</f>
        <v/>
      </c>
      <c r="H3087" s="2" t="n">
        <f aca="false">IF(D3087="",0,1/COUNTIF($D$2:$D$3451,D3087))</f>
        <v>0</v>
      </c>
      <c r="I3087" s="13" t="n">
        <f aca="false">IFERROR(INDEX('NCO-2015 scores'!$C$2:$C$131,MATCH(E3087,'NCO-2015 scores'!$A$2:$A$131,0)),0)</f>
        <v>0.4367</v>
      </c>
      <c r="J3087" s="13" t="n">
        <f aca="false">IF(ISNUMBER(MATCH(E3087,'NCO-2015 scores'!$A$2:$A$131,0)),IF(ISNUMBER(INDEX('NCO-2015 scores'!$C$2:$C$131,MATCH(E3087,'NCO-2015 scores'!$A$2:$A$131,0))),1,0),0)</f>
        <v>1</v>
      </c>
    </row>
    <row r="3088" customFormat="false" ht="15" hidden="false" customHeight="false" outlineLevel="0" collapsed="false">
      <c r="A3088" s="2" t="n">
        <v>3084</v>
      </c>
      <c r="B3088" s="2" t="s">
        <v>8990</v>
      </c>
      <c r="C3088" s="2" t="s">
        <v>8991</v>
      </c>
      <c r="D3088" s="2"/>
      <c r="E3088" s="2" t="str">
        <f aca="false">LEFT(C3088,3)</f>
        <v>432</v>
      </c>
      <c r="F3088" s="2" t="str">
        <f aca="false">IF(D3088="","",LEFT(D3088,3))</f>
        <v/>
      </c>
      <c r="G3088" s="2" t="str">
        <f aca="false">IF(F3088="","",IF(E3088=F3088,"Yes","No"))</f>
        <v/>
      </c>
      <c r="H3088" s="2" t="n">
        <f aca="false">IF(D3088="",0,1/COUNTIF($D$2:$D$3451,D3088))</f>
        <v>0</v>
      </c>
      <c r="I3088" s="13" t="n">
        <f aca="false">IFERROR(INDEX('NCO-2015 scores'!$C$2:$C$131,MATCH(E3088,'NCO-2015 scores'!$A$2:$A$131,0)),0)</f>
        <v>0.4367</v>
      </c>
      <c r="J3088" s="13" t="n">
        <f aca="false">IF(ISNUMBER(MATCH(E3088,'NCO-2015 scores'!$A$2:$A$131,0)),IF(ISNUMBER(INDEX('NCO-2015 scores'!$C$2:$C$131,MATCH(E3088,'NCO-2015 scores'!$A$2:$A$131,0))),1,0),0)</f>
        <v>1</v>
      </c>
    </row>
    <row r="3089" customFormat="false" ht="15" hidden="false" customHeight="false" outlineLevel="0" collapsed="false">
      <c r="A3089" s="2" t="n">
        <v>3085</v>
      </c>
      <c r="B3089" s="2" t="s">
        <v>8992</v>
      </c>
      <c r="C3089" s="2" t="s">
        <v>8993</v>
      </c>
      <c r="D3089" s="2" t="s">
        <v>8994</v>
      </c>
      <c r="E3089" s="2" t="str">
        <f aca="false">LEFT(C3089,3)</f>
        <v>432</v>
      </c>
      <c r="F3089" s="2" t="str">
        <f aca="false">IF(D3089="","",LEFT(D3089,3))</f>
        <v>413</v>
      </c>
      <c r="G3089" s="2" t="str">
        <f aca="false">IF(F3089="","",IF(E3089=F3089,"Yes","No"))</f>
        <v>No</v>
      </c>
      <c r="H3089" s="2" t="n">
        <f aca="false">IF(D3089="",0,1/COUNTIF($D$2:$D$3451,D3089))</f>
        <v>1</v>
      </c>
      <c r="I3089" s="13" t="n">
        <f aca="false">IFERROR(INDEX('NCO-2015 scores'!$C$2:$C$131,MATCH(E3089,'NCO-2015 scores'!$A$2:$A$131,0)),0)</f>
        <v>0.4367</v>
      </c>
      <c r="J3089" s="13" t="n">
        <f aca="false">IF(ISNUMBER(MATCH(E3089,'NCO-2015 scores'!$A$2:$A$131,0)),IF(ISNUMBER(INDEX('NCO-2015 scores'!$C$2:$C$131,MATCH(E3089,'NCO-2015 scores'!$A$2:$A$131,0))),1,0),0)</f>
        <v>1</v>
      </c>
    </row>
    <row r="3090" customFormat="false" ht="15" hidden="false" customHeight="false" outlineLevel="0" collapsed="false">
      <c r="A3090" s="2" t="n">
        <v>3086</v>
      </c>
      <c r="B3090" s="2" t="s">
        <v>8995</v>
      </c>
      <c r="C3090" s="2" t="s">
        <v>8996</v>
      </c>
      <c r="D3090" s="2"/>
      <c r="E3090" s="2" t="str">
        <f aca="false">LEFT(C3090,3)</f>
        <v>432</v>
      </c>
      <c r="F3090" s="2" t="str">
        <f aca="false">IF(D3090="","",LEFT(D3090,3))</f>
        <v/>
      </c>
      <c r="G3090" s="2" t="str">
        <f aca="false">IF(F3090="","",IF(E3090=F3090,"Yes","No"))</f>
        <v/>
      </c>
      <c r="H3090" s="2" t="n">
        <f aca="false">IF(D3090="",0,1/COUNTIF($D$2:$D$3451,D3090))</f>
        <v>0</v>
      </c>
      <c r="I3090" s="13" t="n">
        <f aca="false">IFERROR(INDEX('NCO-2015 scores'!$C$2:$C$131,MATCH(E3090,'NCO-2015 scores'!$A$2:$A$131,0)),0)</f>
        <v>0.4367</v>
      </c>
      <c r="J3090" s="13" t="n">
        <f aca="false">IF(ISNUMBER(MATCH(E3090,'NCO-2015 scores'!$A$2:$A$131,0)),IF(ISNUMBER(INDEX('NCO-2015 scores'!$C$2:$C$131,MATCH(E3090,'NCO-2015 scores'!$A$2:$A$131,0))),1,0),0)</f>
        <v>1</v>
      </c>
    </row>
    <row r="3091" customFormat="false" ht="15" hidden="false" customHeight="false" outlineLevel="0" collapsed="false">
      <c r="A3091" s="2" t="n">
        <v>3087</v>
      </c>
      <c r="B3091" s="2" t="s">
        <v>8997</v>
      </c>
      <c r="C3091" s="2" t="s">
        <v>8998</v>
      </c>
      <c r="D3091" s="2"/>
      <c r="E3091" s="2" t="str">
        <f aca="false">LEFT(C3091,3)</f>
        <v>432</v>
      </c>
      <c r="F3091" s="2" t="str">
        <f aca="false">IF(D3091="","",LEFT(D3091,3))</f>
        <v/>
      </c>
      <c r="G3091" s="2" t="str">
        <f aca="false">IF(F3091="","",IF(E3091=F3091,"Yes","No"))</f>
        <v/>
      </c>
      <c r="H3091" s="2" t="n">
        <f aca="false">IF(D3091="",0,1/COUNTIF($D$2:$D$3451,D3091))</f>
        <v>0</v>
      </c>
      <c r="I3091" s="13" t="n">
        <f aca="false">IFERROR(INDEX('NCO-2015 scores'!$C$2:$C$131,MATCH(E3091,'NCO-2015 scores'!$A$2:$A$131,0)),0)</f>
        <v>0.4367</v>
      </c>
      <c r="J3091" s="13" t="n">
        <f aca="false">IF(ISNUMBER(MATCH(E3091,'NCO-2015 scores'!$A$2:$A$131,0)),IF(ISNUMBER(INDEX('NCO-2015 scores'!$C$2:$C$131,MATCH(E3091,'NCO-2015 scores'!$A$2:$A$131,0))),1,0),0)</f>
        <v>1</v>
      </c>
    </row>
    <row r="3092" customFormat="false" ht="15" hidden="false" customHeight="false" outlineLevel="0" collapsed="false">
      <c r="A3092" s="2" t="n">
        <v>3088</v>
      </c>
      <c r="B3092" s="2" t="s">
        <v>8999</v>
      </c>
      <c r="C3092" s="2" t="s">
        <v>9000</v>
      </c>
      <c r="D3092" s="2"/>
      <c r="E3092" s="2" t="str">
        <f aca="false">LEFT(C3092,3)</f>
        <v>432</v>
      </c>
      <c r="F3092" s="2" t="str">
        <f aca="false">IF(D3092="","",LEFT(D3092,3))</f>
        <v/>
      </c>
      <c r="G3092" s="2" t="str">
        <f aca="false">IF(F3092="","",IF(E3092=F3092,"Yes","No"))</f>
        <v/>
      </c>
      <c r="H3092" s="2" t="n">
        <f aca="false">IF(D3092="",0,1/COUNTIF($D$2:$D$3451,D3092))</f>
        <v>0</v>
      </c>
      <c r="I3092" s="13" t="n">
        <f aca="false">IFERROR(INDEX('NCO-2015 scores'!$C$2:$C$131,MATCH(E3092,'NCO-2015 scores'!$A$2:$A$131,0)),0)</f>
        <v>0.4367</v>
      </c>
      <c r="J3092" s="13" t="n">
        <f aca="false">IF(ISNUMBER(MATCH(E3092,'NCO-2015 scores'!$A$2:$A$131,0)),IF(ISNUMBER(INDEX('NCO-2015 scores'!$C$2:$C$131,MATCH(E3092,'NCO-2015 scores'!$A$2:$A$131,0))),1,0),0)</f>
        <v>1</v>
      </c>
    </row>
    <row r="3093" customFormat="false" ht="15" hidden="false" customHeight="false" outlineLevel="0" collapsed="false">
      <c r="A3093" s="2" t="n">
        <v>3089</v>
      </c>
      <c r="B3093" s="2" t="s">
        <v>9001</v>
      </c>
      <c r="C3093" s="2" t="s">
        <v>9002</v>
      </c>
      <c r="D3093" s="2"/>
      <c r="E3093" s="2" t="str">
        <f aca="false">LEFT(C3093,3)</f>
        <v>432</v>
      </c>
      <c r="F3093" s="2" t="str">
        <f aca="false">IF(D3093="","",LEFT(D3093,3))</f>
        <v/>
      </c>
      <c r="G3093" s="2" t="str">
        <f aca="false">IF(F3093="","",IF(E3093=F3093,"Yes","No"))</f>
        <v/>
      </c>
      <c r="H3093" s="2" t="n">
        <f aca="false">IF(D3093="",0,1/COUNTIF($D$2:$D$3451,D3093))</f>
        <v>0</v>
      </c>
      <c r="I3093" s="13" t="n">
        <f aca="false">IFERROR(INDEX('NCO-2015 scores'!$C$2:$C$131,MATCH(E3093,'NCO-2015 scores'!$A$2:$A$131,0)),0)</f>
        <v>0.4367</v>
      </c>
      <c r="J3093" s="13" t="n">
        <f aca="false">IF(ISNUMBER(MATCH(E3093,'NCO-2015 scores'!$A$2:$A$131,0)),IF(ISNUMBER(INDEX('NCO-2015 scores'!$C$2:$C$131,MATCH(E3093,'NCO-2015 scores'!$A$2:$A$131,0))),1,0),0)</f>
        <v>1</v>
      </c>
    </row>
    <row r="3094" customFormat="false" ht="15" hidden="false" customHeight="false" outlineLevel="0" collapsed="false">
      <c r="A3094" s="2" t="n">
        <v>3090</v>
      </c>
      <c r="B3094" s="2" t="s">
        <v>9003</v>
      </c>
      <c r="C3094" s="2" t="s">
        <v>9004</v>
      </c>
      <c r="D3094" s="2" t="s">
        <v>9005</v>
      </c>
      <c r="E3094" s="2" t="str">
        <f aca="false">LEFT(C3094,3)</f>
        <v>432</v>
      </c>
      <c r="F3094" s="2" t="str">
        <f aca="false">IF(D3094="","",LEFT(D3094,3))</f>
        <v>413</v>
      </c>
      <c r="G3094" s="2" t="str">
        <f aca="false">IF(F3094="","",IF(E3094=F3094,"Yes","No"))</f>
        <v>No</v>
      </c>
      <c r="H3094" s="2" t="n">
        <f aca="false">IF(D3094="",0,1/COUNTIF($D$2:$D$3451,D3094))</f>
        <v>1</v>
      </c>
      <c r="I3094" s="13" t="n">
        <f aca="false">IFERROR(INDEX('NCO-2015 scores'!$C$2:$C$131,MATCH(E3094,'NCO-2015 scores'!$A$2:$A$131,0)),0)</f>
        <v>0.4367</v>
      </c>
      <c r="J3094" s="13" t="n">
        <f aca="false">IF(ISNUMBER(MATCH(E3094,'NCO-2015 scores'!$A$2:$A$131,0)),IF(ISNUMBER(INDEX('NCO-2015 scores'!$C$2:$C$131,MATCH(E3094,'NCO-2015 scores'!$A$2:$A$131,0))),1,0),0)</f>
        <v>1</v>
      </c>
    </row>
    <row r="3095" customFormat="false" ht="15" hidden="false" customHeight="false" outlineLevel="0" collapsed="false">
      <c r="A3095" s="2" t="n">
        <v>3091</v>
      </c>
      <c r="B3095" s="2" t="s">
        <v>9006</v>
      </c>
      <c r="C3095" s="2" t="s">
        <v>9007</v>
      </c>
      <c r="D3095" s="2" t="s">
        <v>9008</v>
      </c>
      <c r="E3095" s="2" t="str">
        <f aca="false">LEFT(C3095,3)</f>
        <v>432</v>
      </c>
      <c r="F3095" s="2" t="str">
        <f aca="false">IF(D3095="","",LEFT(D3095,3))</f>
        <v>413</v>
      </c>
      <c r="G3095" s="2" t="str">
        <f aca="false">IF(F3095="","",IF(E3095=F3095,"Yes","No"))</f>
        <v>No</v>
      </c>
      <c r="H3095" s="2" t="n">
        <f aca="false">IF(D3095="",0,1/COUNTIF($D$2:$D$3451,D3095))</f>
        <v>1</v>
      </c>
      <c r="I3095" s="13" t="n">
        <f aca="false">IFERROR(INDEX('NCO-2015 scores'!$C$2:$C$131,MATCH(E3095,'NCO-2015 scores'!$A$2:$A$131,0)),0)</f>
        <v>0.4367</v>
      </c>
      <c r="J3095" s="13" t="n">
        <f aca="false">IF(ISNUMBER(MATCH(E3095,'NCO-2015 scores'!$A$2:$A$131,0)),IF(ISNUMBER(INDEX('NCO-2015 scores'!$C$2:$C$131,MATCH(E3095,'NCO-2015 scores'!$A$2:$A$131,0))),1,0),0)</f>
        <v>1</v>
      </c>
    </row>
    <row r="3096" customFormat="false" ht="15" hidden="false" customHeight="false" outlineLevel="0" collapsed="false">
      <c r="A3096" s="2" t="n">
        <v>3092</v>
      </c>
      <c r="B3096" s="2" t="s">
        <v>9009</v>
      </c>
      <c r="C3096" s="2" t="s">
        <v>9010</v>
      </c>
      <c r="D3096" s="2"/>
      <c r="E3096" s="2" t="str">
        <f aca="false">LEFT(C3096,3)</f>
        <v>432</v>
      </c>
      <c r="F3096" s="2" t="str">
        <f aca="false">IF(D3096="","",LEFT(D3096,3))</f>
        <v/>
      </c>
      <c r="G3096" s="2" t="str">
        <f aca="false">IF(F3096="","",IF(E3096=F3096,"Yes","No"))</f>
        <v/>
      </c>
      <c r="H3096" s="2" t="n">
        <f aca="false">IF(D3096="",0,1/COUNTIF($D$2:$D$3451,D3096))</f>
        <v>0</v>
      </c>
      <c r="I3096" s="13" t="n">
        <f aca="false">IFERROR(INDEX('NCO-2015 scores'!$C$2:$C$131,MATCH(E3096,'NCO-2015 scores'!$A$2:$A$131,0)),0)</f>
        <v>0.4367</v>
      </c>
      <c r="J3096" s="13" t="n">
        <f aca="false">IF(ISNUMBER(MATCH(E3096,'NCO-2015 scores'!$A$2:$A$131,0)),IF(ISNUMBER(INDEX('NCO-2015 scores'!$C$2:$C$131,MATCH(E3096,'NCO-2015 scores'!$A$2:$A$131,0))),1,0),0)</f>
        <v>1</v>
      </c>
    </row>
    <row r="3097" customFormat="false" ht="15" hidden="false" customHeight="false" outlineLevel="0" collapsed="false">
      <c r="A3097" s="2" t="n">
        <v>3093</v>
      </c>
      <c r="B3097" s="2" t="s">
        <v>9011</v>
      </c>
      <c r="C3097" s="2" t="s">
        <v>9012</v>
      </c>
      <c r="D3097" s="2"/>
      <c r="E3097" s="2" t="str">
        <f aca="false">LEFT(C3097,3)</f>
        <v>432</v>
      </c>
      <c r="F3097" s="2" t="str">
        <f aca="false">IF(D3097="","",LEFT(D3097,3))</f>
        <v/>
      </c>
      <c r="G3097" s="2" t="str">
        <f aca="false">IF(F3097="","",IF(E3097=F3097,"Yes","No"))</f>
        <v/>
      </c>
      <c r="H3097" s="2" t="n">
        <f aca="false">IF(D3097="",0,1/COUNTIF($D$2:$D$3451,D3097))</f>
        <v>0</v>
      </c>
      <c r="I3097" s="13" t="n">
        <f aca="false">IFERROR(INDEX('NCO-2015 scores'!$C$2:$C$131,MATCH(E3097,'NCO-2015 scores'!$A$2:$A$131,0)),0)</f>
        <v>0.4367</v>
      </c>
      <c r="J3097" s="13" t="n">
        <f aca="false">IF(ISNUMBER(MATCH(E3097,'NCO-2015 scores'!$A$2:$A$131,0)),IF(ISNUMBER(INDEX('NCO-2015 scores'!$C$2:$C$131,MATCH(E3097,'NCO-2015 scores'!$A$2:$A$131,0))),1,0),0)</f>
        <v>1</v>
      </c>
    </row>
    <row r="3098" customFormat="false" ht="15" hidden="false" customHeight="false" outlineLevel="0" collapsed="false">
      <c r="A3098" s="2" t="n">
        <v>3094</v>
      </c>
      <c r="B3098" s="2" t="s">
        <v>9013</v>
      </c>
      <c r="C3098" s="2" t="s">
        <v>9014</v>
      </c>
      <c r="D3098" s="2"/>
      <c r="E3098" s="2" t="str">
        <f aca="false">LEFT(C3098,3)</f>
        <v>432</v>
      </c>
      <c r="F3098" s="2" t="str">
        <f aca="false">IF(D3098="","",LEFT(D3098,3))</f>
        <v/>
      </c>
      <c r="G3098" s="2" t="str">
        <f aca="false">IF(F3098="","",IF(E3098=F3098,"Yes","No"))</f>
        <v/>
      </c>
      <c r="H3098" s="2" t="n">
        <f aca="false">IF(D3098="",0,1/COUNTIF($D$2:$D$3451,D3098))</f>
        <v>0</v>
      </c>
      <c r="I3098" s="13" t="n">
        <f aca="false">IFERROR(INDEX('NCO-2015 scores'!$C$2:$C$131,MATCH(E3098,'NCO-2015 scores'!$A$2:$A$131,0)),0)</f>
        <v>0.4367</v>
      </c>
      <c r="J3098" s="13" t="n">
        <f aca="false">IF(ISNUMBER(MATCH(E3098,'NCO-2015 scores'!$A$2:$A$131,0)),IF(ISNUMBER(INDEX('NCO-2015 scores'!$C$2:$C$131,MATCH(E3098,'NCO-2015 scores'!$A$2:$A$131,0))),1,0),0)</f>
        <v>1</v>
      </c>
    </row>
    <row r="3099" customFormat="false" ht="15" hidden="false" customHeight="false" outlineLevel="0" collapsed="false">
      <c r="A3099" s="2" t="n">
        <v>3095</v>
      </c>
      <c r="B3099" s="2" t="s">
        <v>9015</v>
      </c>
      <c r="C3099" s="2" t="s">
        <v>9016</v>
      </c>
      <c r="D3099" s="2"/>
      <c r="E3099" s="2" t="str">
        <f aca="false">LEFT(C3099,3)</f>
        <v>432</v>
      </c>
      <c r="F3099" s="2" t="str">
        <f aca="false">IF(D3099="","",LEFT(D3099,3))</f>
        <v/>
      </c>
      <c r="G3099" s="2" t="str">
        <f aca="false">IF(F3099="","",IF(E3099=F3099,"Yes","No"))</f>
        <v/>
      </c>
      <c r="H3099" s="2" t="n">
        <f aca="false">IF(D3099="",0,1/COUNTIF($D$2:$D$3451,D3099))</f>
        <v>0</v>
      </c>
      <c r="I3099" s="13" t="n">
        <f aca="false">IFERROR(INDEX('NCO-2015 scores'!$C$2:$C$131,MATCH(E3099,'NCO-2015 scores'!$A$2:$A$131,0)),0)</f>
        <v>0.4367</v>
      </c>
      <c r="J3099" s="13" t="n">
        <f aca="false">IF(ISNUMBER(MATCH(E3099,'NCO-2015 scores'!$A$2:$A$131,0)),IF(ISNUMBER(INDEX('NCO-2015 scores'!$C$2:$C$131,MATCH(E3099,'NCO-2015 scores'!$A$2:$A$131,0))),1,0),0)</f>
        <v>1</v>
      </c>
    </row>
    <row r="3100" customFormat="false" ht="15" hidden="false" customHeight="false" outlineLevel="0" collapsed="false">
      <c r="A3100" s="2" t="n">
        <v>3096</v>
      </c>
      <c r="B3100" s="2" t="s">
        <v>9017</v>
      </c>
      <c r="C3100" s="2" t="s">
        <v>9018</v>
      </c>
      <c r="D3100" s="2"/>
      <c r="E3100" s="2" t="str">
        <f aca="false">LEFT(C3100,3)</f>
        <v>432</v>
      </c>
      <c r="F3100" s="2" t="str">
        <f aca="false">IF(D3100="","",LEFT(D3100,3))</f>
        <v/>
      </c>
      <c r="G3100" s="2" t="str">
        <f aca="false">IF(F3100="","",IF(E3100=F3100,"Yes","No"))</f>
        <v/>
      </c>
      <c r="H3100" s="2" t="n">
        <f aca="false">IF(D3100="",0,1/COUNTIF($D$2:$D$3451,D3100))</f>
        <v>0</v>
      </c>
      <c r="I3100" s="13" t="n">
        <f aca="false">IFERROR(INDEX('NCO-2015 scores'!$C$2:$C$131,MATCH(E3100,'NCO-2015 scores'!$A$2:$A$131,0)),0)</f>
        <v>0.4367</v>
      </c>
      <c r="J3100" s="13" t="n">
        <f aca="false">IF(ISNUMBER(MATCH(E3100,'NCO-2015 scores'!$A$2:$A$131,0)),IF(ISNUMBER(INDEX('NCO-2015 scores'!$C$2:$C$131,MATCH(E3100,'NCO-2015 scores'!$A$2:$A$131,0))),1,0),0)</f>
        <v>1</v>
      </c>
    </row>
    <row r="3101" customFormat="false" ht="15" hidden="false" customHeight="false" outlineLevel="0" collapsed="false">
      <c r="A3101" s="2" t="n">
        <v>3097</v>
      </c>
      <c r="B3101" s="2" t="s">
        <v>9019</v>
      </c>
      <c r="C3101" s="2" t="s">
        <v>9020</v>
      </c>
      <c r="D3101" s="2"/>
      <c r="E3101" s="2" t="str">
        <f aca="false">LEFT(C3101,3)</f>
        <v>432</v>
      </c>
      <c r="F3101" s="2" t="str">
        <f aca="false">IF(D3101="","",LEFT(D3101,3))</f>
        <v/>
      </c>
      <c r="G3101" s="2" t="str">
        <f aca="false">IF(F3101="","",IF(E3101=F3101,"Yes","No"))</f>
        <v/>
      </c>
      <c r="H3101" s="2" t="n">
        <f aca="false">IF(D3101="",0,1/COUNTIF($D$2:$D$3451,D3101))</f>
        <v>0</v>
      </c>
      <c r="I3101" s="13" t="n">
        <f aca="false">IFERROR(INDEX('NCO-2015 scores'!$C$2:$C$131,MATCH(E3101,'NCO-2015 scores'!$A$2:$A$131,0)),0)</f>
        <v>0.4367</v>
      </c>
      <c r="J3101" s="13" t="n">
        <f aca="false">IF(ISNUMBER(MATCH(E3101,'NCO-2015 scores'!$A$2:$A$131,0)),IF(ISNUMBER(INDEX('NCO-2015 scores'!$C$2:$C$131,MATCH(E3101,'NCO-2015 scores'!$A$2:$A$131,0))),1,0),0)</f>
        <v>1</v>
      </c>
    </row>
    <row r="3102" customFormat="false" ht="15" hidden="false" customHeight="false" outlineLevel="0" collapsed="false">
      <c r="A3102" s="2" t="n">
        <v>3098</v>
      </c>
      <c r="B3102" s="2" t="s">
        <v>9021</v>
      </c>
      <c r="C3102" s="2" t="s">
        <v>9022</v>
      </c>
      <c r="D3102" s="2"/>
      <c r="E3102" s="2" t="str">
        <f aca="false">LEFT(C3102,3)</f>
        <v>432</v>
      </c>
      <c r="F3102" s="2" t="str">
        <f aca="false">IF(D3102="","",LEFT(D3102,3))</f>
        <v/>
      </c>
      <c r="G3102" s="2" t="str">
        <f aca="false">IF(F3102="","",IF(E3102=F3102,"Yes","No"))</f>
        <v/>
      </c>
      <c r="H3102" s="2" t="n">
        <f aca="false">IF(D3102="",0,1/COUNTIF($D$2:$D$3451,D3102))</f>
        <v>0</v>
      </c>
      <c r="I3102" s="13" t="n">
        <f aca="false">IFERROR(INDEX('NCO-2015 scores'!$C$2:$C$131,MATCH(E3102,'NCO-2015 scores'!$A$2:$A$131,0)),0)</f>
        <v>0.4367</v>
      </c>
      <c r="J3102" s="13" t="n">
        <f aca="false">IF(ISNUMBER(MATCH(E3102,'NCO-2015 scores'!$A$2:$A$131,0)),IF(ISNUMBER(INDEX('NCO-2015 scores'!$C$2:$C$131,MATCH(E3102,'NCO-2015 scores'!$A$2:$A$131,0))),1,0),0)</f>
        <v>1</v>
      </c>
    </row>
    <row r="3103" customFormat="false" ht="15" hidden="false" customHeight="false" outlineLevel="0" collapsed="false">
      <c r="A3103" s="2" t="n">
        <v>3099</v>
      </c>
      <c r="B3103" s="2" t="s">
        <v>9023</v>
      </c>
      <c r="C3103" s="2" t="s">
        <v>9024</v>
      </c>
      <c r="D3103" s="2" t="s">
        <v>9025</v>
      </c>
      <c r="E3103" s="2" t="str">
        <f aca="false">LEFT(C3103,3)</f>
        <v>432</v>
      </c>
      <c r="F3103" s="2" t="str">
        <f aca="false">IF(D3103="","",LEFT(D3103,3))</f>
        <v>413</v>
      </c>
      <c r="G3103" s="2" t="str">
        <f aca="false">IF(F3103="","",IF(E3103=F3103,"Yes","No"))</f>
        <v>No</v>
      </c>
      <c r="H3103" s="2" t="n">
        <f aca="false">IF(D3103="",0,1/COUNTIF($D$2:$D$3451,D3103))</f>
        <v>1</v>
      </c>
      <c r="I3103" s="13" t="n">
        <f aca="false">IFERROR(INDEX('NCO-2015 scores'!$C$2:$C$131,MATCH(E3103,'NCO-2015 scores'!$A$2:$A$131,0)),0)</f>
        <v>0.4367</v>
      </c>
      <c r="J3103" s="13" t="n">
        <f aca="false">IF(ISNUMBER(MATCH(E3103,'NCO-2015 scores'!$A$2:$A$131,0)),IF(ISNUMBER(INDEX('NCO-2015 scores'!$C$2:$C$131,MATCH(E3103,'NCO-2015 scores'!$A$2:$A$131,0))),1,0),0)</f>
        <v>1</v>
      </c>
    </row>
    <row r="3104" customFormat="false" ht="15" hidden="false" customHeight="false" outlineLevel="0" collapsed="false">
      <c r="A3104" s="2" t="n">
        <v>3100</v>
      </c>
      <c r="B3104" s="2" t="s">
        <v>9026</v>
      </c>
      <c r="C3104" s="2" t="s">
        <v>9027</v>
      </c>
      <c r="D3104" s="2" t="s">
        <v>9028</v>
      </c>
      <c r="E3104" s="2" t="str">
        <f aca="false">LEFT(C3104,3)</f>
        <v>711</v>
      </c>
      <c r="F3104" s="2" t="str">
        <f aca="false">IF(D3104="","",LEFT(D3104,3))</f>
        <v>711</v>
      </c>
      <c r="G3104" s="2" t="str">
        <f aca="false">IF(F3104="","",IF(E3104=F3104,"Yes","No"))</f>
        <v>Yes</v>
      </c>
      <c r="H3104" s="2" t="n">
        <f aca="false">IF(D3104="",0,1/COUNTIF($D$2:$D$3451,D3104))</f>
        <v>1</v>
      </c>
      <c r="I3104" s="13" t="n">
        <f aca="false">IFERROR(INDEX('NCO-2015 scores'!$C$2:$C$131,MATCH(E3104,'NCO-2015 scores'!$A$2:$A$131,0)),0)</f>
        <v>0.11</v>
      </c>
      <c r="J3104" s="13" t="n">
        <f aca="false">IF(ISNUMBER(MATCH(E3104,'NCO-2015 scores'!$A$2:$A$131,0)),IF(ISNUMBER(INDEX('NCO-2015 scores'!$C$2:$C$131,MATCH(E3104,'NCO-2015 scores'!$A$2:$A$131,0))),1,0),0)</f>
        <v>1</v>
      </c>
    </row>
    <row r="3105" customFormat="false" ht="15" hidden="false" customHeight="false" outlineLevel="0" collapsed="false">
      <c r="A3105" s="2" t="n">
        <v>3101</v>
      </c>
      <c r="B3105" s="2" t="s">
        <v>9029</v>
      </c>
      <c r="C3105" s="2" t="s">
        <v>9030</v>
      </c>
      <c r="D3105" s="2" t="s">
        <v>9031</v>
      </c>
      <c r="E3105" s="2" t="str">
        <f aca="false">LEFT(C3105,3)</f>
        <v>711</v>
      </c>
      <c r="F3105" s="2" t="str">
        <f aca="false">IF(D3105="","",LEFT(D3105,3))</f>
        <v>711</v>
      </c>
      <c r="G3105" s="2" t="str">
        <f aca="false">IF(F3105="","",IF(E3105=F3105,"Yes","No"))</f>
        <v>Yes</v>
      </c>
      <c r="H3105" s="2" t="n">
        <f aca="false">IF(D3105="",0,1/COUNTIF($D$2:$D$3451,D3105))</f>
        <v>1</v>
      </c>
      <c r="I3105" s="13" t="n">
        <f aca="false">IFERROR(INDEX('NCO-2015 scores'!$C$2:$C$131,MATCH(E3105,'NCO-2015 scores'!$A$2:$A$131,0)),0)</f>
        <v>0.11</v>
      </c>
      <c r="J3105" s="13" t="n">
        <f aca="false">IF(ISNUMBER(MATCH(E3105,'NCO-2015 scores'!$A$2:$A$131,0)),IF(ISNUMBER(INDEX('NCO-2015 scores'!$C$2:$C$131,MATCH(E3105,'NCO-2015 scores'!$A$2:$A$131,0))),1,0),0)</f>
        <v>1</v>
      </c>
    </row>
    <row r="3106" customFormat="false" ht="15" hidden="false" customHeight="false" outlineLevel="0" collapsed="false">
      <c r="A3106" s="2" t="n">
        <v>3102</v>
      </c>
      <c r="B3106" s="2" t="s">
        <v>9032</v>
      </c>
      <c r="C3106" s="2" t="s">
        <v>9033</v>
      </c>
      <c r="D3106" s="2" t="s">
        <v>9034</v>
      </c>
      <c r="E3106" s="2" t="str">
        <f aca="false">LEFT(C3106,3)</f>
        <v>711</v>
      </c>
      <c r="F3106" s="2" t="str">
        <f aca="false">IF(D3106="","",LEFT(D3106,3))</f>
        <v>711</v>
      </c>
      <c r="G3106" s="2" t="str">
        <f aca="false">IF(F3106="","",IF(E3106=F3106,"Yes","No"))</f>
        <v>Yes</v>
      </c>
      <c r="H3106" s="2" t="n">
        <f aca="false">IF(D3106="",0,1/COUNTIF($D$2:$D$3451,D3106))</f>
        <v>1</v>
      </c>
      <c r="I3106" s="13" t="n">
        <f aca="false">IFERROR(INDEX('NCO-2015 scores'!$C$2:$C$131,MATCH(E3106,'NCO-2015 scores'!$A$2:$A$131,0)),0)</f>
        <v>0.11</v>
      </c>
      <c r="J3106" s="13" t="n">
        <f aca="false">IF(ISNUMBER(MATCH(E3106,'NCO-2015 scores'!$A$2:$A$131,0)),IF(ISNUMBER(INDEX('NCO-2015 scores'!$C$2:$C$131,MATCH(E3106,'NCO-2015 scores'!$A$2:$A$131,0))),1,0),0)</f>
        <v>1</v>
      </c>
    </row>
    <row r="3107" customFormat="false" ht="15" hidden="false" customHeight="false" outlineLevel="0" collapsed="false">
      <c r="A3107" s="2" t="n">
        <v>3103</v>
      </c>
      <c r="B3107" s="2" t="s">
        <v>9035</v>
      </c>
      <c r="C3107" s="2" t="s">
        <v>9036</v>
      </c>
      <c r="D3107" s="2" t="s">
        <v>9037</v>
      </c>
      <c r="E3107" s="2" t="str">
        <f aca="false">LEFT(C3107,3)</f>
        <v>711</v>
      </c>
      <c r="F3107" s="2" t="str">
        <f aca="false">IF(D3107="","",LEFT(D3107,3))</f>
        <v>711</v>
      </c>
      <c r="G3107" s="2" t="str">
        <f aca="false">IF(F3107="","",IF(E3107=F3107,"Yes","No"))</f>
        <v>Yes</v>
      </c>
      <c r="H3107" s="2" t="n">
        <f aca="false">IF(D3107="",0,1/COUNTIF($D$2:$D$3451,D3107))</f>
        <v>1</v>
      </c>
      <c r="I3107" s="13" t="n">
        <f aca="false">IFERROR(INDEX('NCO-2015 scores'!$C$2:$C$131,MATCH(E3107,'NCO-2015 scores'!$A$2:$A$131,0)),0)</f>
        <v>0.11</v>
      </c>
      <c r="J3107" s="13" t="n">
        <f aca="false">IF(ISNUMBER(MATCH(E3107,'NCO-2015 scores'!$A$2:$A$131,0)),IF(ISNUMBER(INDEX('NCO-2015 scores'!$C$2:$C$131,MATCH(E3107,'NCO-2015 scores'!$A$2:$A$131,0))),1,0),0)</f>
        <v>1</v>
      </c>
    </row>
    <row r="3108" customFormat="false" ht="15" hidden="false" customHeight="false" outlineLevel="0" collapsed="false">
      <c r="A3108" s="2" t="n">
        <v>3104</v>
      </c>
      <c r="B3108" s="2" t="s">
        <v>9038</v>
      </c>
      <c r="C3108" s="2" t="s">
        <v>9039</v>
      </c>
      <c r="D3108" s="2" t="s">
        <v>9040</v>
      </c>
      <c r="E3108" s="2" t="str">
        <f aca="false">LEFT(C3108,3)</f>
        <v>711</v>
      </c>
      <c r="F3108" s="2" t="str">
        <f aca="false">IF(D3108="","",LEFT(D3108,3))</f>
        <v>711</v>
      </c>
      <c r="G3108" s="2" t="str">
        <f aca="false">IF(F3108="","",IF(E3108=F3108,"Yes","No"))</f>
        <v>Yes</v>
      </c>
      <c r="H3108" s="2" t="n">
        <f aca="false">IF(D3108="",0,1/COUNTIF($D$2:$D$3451,D3108))</f>
        <v>1</v>
      </c>
      <c r="I3108" s="13" t="n">
        <f aca="false">IFERROR(INDEX('NCO-2015 scores'!$C$2:$C$131,MATCH(E3108,'NCO-2015 scores'!$A$2:$A$131,0)),0)</f>
        <v>0.11</v>
      </c>
      <c r="J3108" s="13" t="n">
        <f aca="false">IF(ISNUMBER(MATCH(E3108,'NCO-2015 scores'!$A$2:$A$131,0)),IF(ISNUMBER(INDEX('NCO-2015 scores'!$C$2:$C$131,MATCH(E3108,'NCO-2015 scores'!$A$2:$A$131,0))),1,0),0)</f>
        <v>1</v>
      </c>
    </row>
    <row r="3109" customFormat="false" ht="15" hidden="false" customHeight="false" outlineLevel="0" collapsed="false">
      <c r="A3109" s="2" t="n">
        <v>3105</v>
      </c>
      <c r="B3109" s="2" t="s">
        <v>9041</v>
      </c>
      <c r="C3109" s="2" t="s">
        <v>9042</v>
      </c>
      <c r="D3109" s="2" t="s">
        <v>9043</v>
      </c>
      <c r="E3109" s="2" t="str">
        <f aca="false">LEFT(C3109,3)</f>
        <v>951</v>
      </c>
      <c r="F3109" s="2" t="str">
        <f aca="false">IF(D3109="","",LEFT(D3109,3))</f>
        <v>912</v>
      </c>
      <c r="G3109" s="2" t="str">
        <f aca="false">IF(F3109="","",IF(E3109=F3109,"Yes","No"))</f>
        <v>No</v>
      </c>
      <c r="H3109" s="2" t="n">
        <f aca="false">IF(D3109="",0,1/COUNTIF($D$2:$D$3451,D3109))</f>
        <v>1</v>
      </c>
      <c r="I3109" s="13" t="n">
        <f aca="false">IFERROR(INDEX('NCO-2015 scores'!$C$2:$C$131,MATCH(E3109,'NCO-2015 scores'!$A$2:$A$131,0)),0)</f>
        <v>0.18</v>
      </c>
      <c r="J3109" s="13" t="n">
        <f aca="false">IF(ISNUMBER(MATCH(E3109,'NCO-2015 scores'!$A$2:$A$131,0)),IF(ISNUMBER(INDEX('NCO-2015 scores'!$C$2:$C$131,MATCH(E3109,'NCO-2015 scores'!$A$2:$A$131,0))),1,0),0)</f>
        <v>1</v>
      </c>
    </row>
    <row r="3110" customFormat="false" ht="15" hidden="false" customHeight="false" outlineLevel="0" collapsed="false">
      <c r="A3110" s="2" t="n">
        <v>3106</v>
      </c>
      <c r="B3110" s="2" t="s">
        <v>9044</v>
      </c>
      <c r="C3110" s="2" t="s">
        <v>9045</v>
      </c>
      <c r="D3110" s="2" t="s">
        <v>9046</v>
      </c>
      <c r="E3110" s="2" t="str">
        <f aca="false">LEFT(C3110,3)</f>
        <v>951</v>
      </c>
      <c r="F3110" s="2" t="str">
        <f aca="false">IF(D3110="","",LEFT(D3110,3))</f>
        <v>912</v>
      </c>
      <c r="G3110" s="2" t="str">
        <f aca="false">IF(F3110="","",IF(E3110=F3110,"Yes","No"))</f>
        <v>No</v>
      </c>
      <c r="H3110" s="2" t="n">
        <f aca="false">IF(D3110="",0,1/COUNTIF($D$2:$D$3451,D3110))</f>
        <v>1</v>
      </c>
      <c r="I3110" s="13" t="n">
        <f aca="false">IFERROR(INDEX('NCO-2015 scores'!$C$2:$C$131,MATCH(E3110,'NCO-2015 scores'!$A$2:$A$131,0)),0)</f>
        <v>0.18</v>
      </c>
      <c r="J3110" s="13" t="n">
        <f aca="false">IF(ISNUMBER(MATCH(E3110,'NCO-2015 scores'!$A$2:$A$131,0)),IF(ISNUMBER(INDEX('NCO-2015 scores'!$C$2:$C$131,MATCH(E3110,'NCO-2015 scores'!$A$2:$A$131,0))),1,0),0)</f>
        <v>1</v>
      </c>
    </row>
    <row r="3111" customFormat="false" ht="15" hidden="false" customHeight="false" outlineLevel="0" collapsed="false">
      <c r="A3111" s="2" t="n">
        <v>3107</v>
      </c>
      <c r="B3111" s="2" t="s">
        <v>9047</v>
      </c>
      <c r="C3111" s="2" t="s">
        <v>9048</v>
      </c>
      <c r="D3111" s="2" t="s">
        <v>9049</v>
      </c>
      <c r="E3111" s="2" t="str">
        <f aca="false">LEFT(C3111,3)</f>
        <v>951</v>
      </c>
      <c r="F3111" s="2" t="str">
        <f aca="false">IF(D3111="","",LEFT(D3111,3))</f>
        <v>912</v>
      </c>
      <c r="G3111" s="2" t="str">
        <f aca="false">IF(F3111="","",IF(E3111=F3111,"Yes","No"))</f>
        <v>No</v>
      </c>
      <c r="H3111" s="2" t="n">
        <f aca="false">IF(D3111="",0,1/COUNTIF($D$2:$D$3451,D3111))</f>
        <v>1</v>
      </c>
      <c r="I3111" s="13" t="n">
        <f aca="false">IFERROR(INDEX('NCO-2015 scores'!$C$2:$C$131,MATCH(E3111,'NCO-2015 scores'!$A$2:$A$131,0)),0)</f>
        <v>0.18</v>
      </c>
      <c r="J3111" s="13" t="n">
        <f aca="false">IF(ISNUMBER(MATCH(E3111,'NCO-2015 scores'!$A$2:$A$131,0)),IF(ISNUMBER(INDEX('NCO-2015 scores'!$C$2:$C$131,MATCH(E3111,'NCO-2015 scores'!$A$2:$A$131,0))),1,0),0)</f>
        <v>1</v>
      </c>
    </row>
    <row r="3112" customFormat="false" ht="15" hidden="false" customHeight="false" outlineLevel="0" collapsed="false">
      <c r="A3112" s="2" t="n">
        <v>3108</v>
      </c>
      <c r="B3112" s="2" t="s">
        <v>9050</v>
      </c>
      <c r="C3112" s="2" t="s">
        <v>9051</v>
      </c>
      <c r="D3112" s="2" t="s">
        <v>9052</v>
      </c>
      <c r="E3112" s="2" t="str">
        <f aca="false">LEFT(C3112,3)</f>
        <v>521</v>
      </c>
      <c r="F3112" s="2" t="str">
        <f aca="false">IF(D3112="","",LEFT(D3112,3))</f>
        <v>911</v>
      </c>
      <c r="G3112" s="2" t="str">
        <f aca="false">IF(F3112="","",IF(E3112=F3112,"Yes","No"))</f>
        <v>No</v>
      </c>
      <c r="H3112" s="2" t="n">
        <f aca="false">IF(D3112="",0,1/COUNTIF($D$2:$D$3451,D3112))</f>
        <v>1</v>
      </c>
      <c r="I3112" s="13" t="n">
        <f aca="false">IFERROR(INDEX('NCO-2015 scores'!$C$2:$C$131,MATCH(E3112,'NCO-2015 scores'!$A$2:$A$131,0)),0)</f>
        <v>0.285</v>
      </c>
      <c r="J3112" s="13" t="n">
        <f aca="false">IF(ISNUMBER(MATCH(E3112,'NCO-2015 scores'!$A$2:$A$131,0)),IF(ISNUMBER(INDEX('NCO-2015 scores'!$C$2:$C$131,MATCH(E3112,'NCO-2015 scores'!$A$2:$A$131,0))),1,0),0)</f>
        <v>1</v>
      </c>
    </row>
    <row r="3113" customFormat="false" ht="15" hidden="false" customHeight="false" outlineLevel="0" collapsed="false">
      <c r="A3113" s="2" t="n">
        <v>3109</v>
      </c>
      <c r="B3113" s="2" t="s">
        <v>9053</v>
      </c>
      <c r="C3113" s="2" t="s">
        <v>9054</v>
      </c>
      <c r="D3113" s="2" t="s">
        <v>9055</v>
      </c>
      <c r="E3113" s="2" t="str">
        <f aca="false">LEFT(C3113,3)</f>
        <v>521</v>
      </c>
      <c r="F3113" s="2" t="str">
        <f aca="false">IF(D3113="","",LEFT(D3113,3))</f>
        <v>911</v>
      </c>
      <c r="G3113" s="2" t="str">
        <f aca="false">IF(F3113="","",IF(E3113=F3113,"Yes","No"))</f>
        <v>No</v>
      </c>
      <c r="H3113" s="2" t="n">
        <f aca="false">IF(D3113="",0,1/COUNTIF($D$2:$D$3451,D3113))</f>
        <v>1</v>
      </c>
      <c r="I3113" s="13" t="n">
        <f aca="false">IFERROR(INDEX('NCO-2015 scores'!$C$2:$C$131,MATCH(E3113,'NCO-2015 scores'!$A$2:$A$131,0)),0)</f>
        <v>0.285</v>
      </c>
      <c r="J3113" s="13" t="n">
        <f aca="false">IF(ISNUMBER(MATCH(E3113,'NCO-2015 scores'!$A$2:$A$131,0)),IF(ISNUMBER(INDEX('NCO-2015 scores'!$C$2:$C$131,MATCH(E3113,'NCO-2015 scores'!$A$2:$A$131,0))),1,0),0)</f>
        <v>1</v>
      </c>
    </row>
    <row r="3114" customFormat="false" ht="15" hidden="false" customHeight="false" outlineLevel="0" collapsed="false">
      <c r="A3114" s="2" t="n">
        <v>3110</v>
      </c>
      <c r="B3114" s="2" t="s">
        <v>9056</v>
      </c>
      <c r="C3114" s="2" t="s">
        <v>9057</v>
      </c>
      <c r="D3114" s="2" t="s">
        <v>9058</v>
      </c>
      <c r="E3114" s="2" t="str">
        <f aca="false">LEFT(C3114,3)</f>
        <v>952</v>
      </c>
      <c r="F3114" s="2" t="str">
        <f aca="false">IF(D3114="","",LEFT(D3114,3))</f>
        <v>911</v>
      </c>
      <c r="G3114" s="2" t="str">
        <f aca="false">IF(F3114="","",IF(E3114=F3114,"Yes","No"))</f>
        <v>No</v>
      </c>
      <c r="H3114" s="2" t="n">
        <f aca="false">IF(D3114="",0,1/COUNTIF($D$2:$D$3451,D3114))</f>
        <v>1</v>
      </c>
      <c r="I3114" s="13" t="n">
        <f aca="false">IFERROR(INDEX('NCO-2015 scores'!$C$2:$C$131,MATCH(E3114,'NCO-2015 scores'!$A$2:$A$131,0)),0)</f>
        <v>0.2</v>
      </c>
      <c r="J3114" s="13" t="n">
        <f aca="false">IF(ISNUMBER(MATCH(E3114,'NCO-2015 scores'!$A$2:$A$131,0)),IF(ISNUMBER(INDEX('NCO-2015 scores'!$C$2:$C$131,MATCH(E3114,'NCO-2015 scores'!$A$2:$A$131,0))),1,0),0)</f>
        <v>1</v>
      </c>
    </row>
    <row r="3115" customFormat="false" ht="15" hidden="false" customHeight="false" outlineLevel="0" collapsed="false">
      <c r="A3115" s="2" t="n">
        <v>3111</v>
      </c>
      <c r="B3115" s="2" t="s">
        <v>9059</v>
      </c>
      <c r="C3115" s="2" t="s">
        <v>9060</v>
      </c>
      <c r="D3115" s="2" t="s">
        <v>9061</v>
      </c>
      <c r="E3115" s="2" t="str">
        <f aca="false">LEFT(C3115,3)</f>
        <v>952</v>
      </c>
      <c r="F3115" s="2" t="str">
        <f aca="false">IF(D3115="","",LEFT(D3115,3))</f>
        <v>911</v>
      </c>
      <c r="G3115" s="2" t="str">
        <f aca="false">IF(F3115="","",IF(E3115=F3115,"Yes","No"))</f>
        <v>No</v>
      </c>
      <c r="H3115" s="2" t="n">
        <f aca="false">IF(D3115="",0,1/COUNTIF($D$2:$D$3451,D3115))</f>
        <v>1</v>
      </c>
      <c r="I3115" s="13" t="n">
        <f aca="false">IFERROR(INDEX('NCO-2015 scores'!$C$2:$C$131,MATCH(E3115,'NCO-2015 scores'!$A$2:$A$131,0)),0)</f>
        <v>0.2</v>
      </c>
      <c r="J3115" s="13" t="n">
        <f aca="false">IF(ISNUMBER(MATCH(E3115,'NCO-2015 scores'!$A$2:$A$131,0)),IF(ISNUMBER(INDEX('NCO-2015 scores'!$C$2:$C$131,MATCH(E3115,'NCO-2015 scores'!$A$2:$A$131,0))),1,0),0)</f>
        <v>1</v>
      </c>
    </row>
    <row r="3116" customFormat="false" ht="15" hidden="false" customHeight="false" outlineLevel="0" collapsed="false">
      <c r="A3116" s="2" t="n">
        <v>3112</v>
      </c>
      <c r="B3116" s="2" t="s">
        <v>9062</v>
      </c>
      <c r="C3116" s="2" t="s">
        <v>9063</v>
      </c>
      <c r="D3116" s="2" t="s">
        <v>9064</v>
      </c>
      <c r="E3116" s="2" t="str">
        <f aca="false">LEFT(C3116,3)</f>
        <v>721</v>
      </c>
      <c r="F3116" s="2" t="str">
        <f aca="false">IF(D3116="","",LEFT(D3116,3))</f>
        <v>721</v>
      </c>
      <c r="G3116" s="2" t="str">
        <f aca="false">IF(F3116="","",IF(E3116=F3116,"Yes","No"))</f>
        <v>Yes</v>
      </c>
      <c r="H3116" s="2" t="n">
        <f aca="false">IF(D3116="",0,1/COUNTIF($D$2:$D$3451,D3116))</f>
        <v>1</v>
      </c>
      <c r="I3116" s="13" t="n">
        <f aca="false">IFERROR(INDEX('NCO-2015 scores'!$C$2:$C$131,MATCH(E3116,'NCO-2015 scores'!$A$2:$A$131,0)),0)</f>
        <v>0.142</v>
      </c>
      <c r="J3116" s="13" t="n">
        <f aca="false">IF(ISNUMBER(MATCH(E3116,'NCO-2015 scores'!$A$2:$A$131,0)),IF(ISNUMBER(INDEX('NCO-2015 scores'!$C$2:$C$131,MATCH(E3116,'NCO-2015 scores'!$A$2:$A$131,0))),1,0),0)</f>
        <v>1</v>
      </c>
    </row>
    <row r="3117" customFormat="false" ht="15" hidden="false" customHeight="false" outlineLevel="0" collapsed="false">
      <c r="A3117" s="2" t="n">
        <v>3113</v>
      </c>
      <c r="B3117" s="2" t="s">
        <v>9065</v>
      </c>
      <c r="C3117" s="2" t="s">
        <v>9066</v>
      </c>
      <c r="D3117" s="2" t="s">
        <v>9067</v>
      </c>
      <c r="E3117" s="2" t="str">
        <f aca="false">LEFT(C3117,3)</f>
        <v>721</v>
      </c>
      <c r="F3117" s="2" t="str">
        <f aca="false">IF(D3117="","",LEFT(D3117,3))</f>
        <v>721</v>
      </c>
      <c r="G3117" s="2" t="str">
        <f aca="false">IF(F3117="","",IF(E3117=F3117,"Yes","No"))</f>
        <v>Yes</v>
      </c>
      <c r="H3117" s="2" t="n">
        <f aca="false">IF(D3117="",0,1/COUNTIF($D$2:$D$3451,D3117))</f>
        <v>1</v>
      </c>
      <c r="I3117" s="13" t="n">
        <f aca="false">IFERROR(INDEX('NCO-2015 scores'!$C$2:$C$131,MATCH(E3117,'NCO-2015 scores'!$A$2:$A$131,0)),0)</f>
        <v>0.142</v>
      </c>
      <c r="J3117" s="13" t="n">
        <f aca="false">IF(ISNUMBER(MATCH(E3117,'NCO-2015 scores'!$A$2:$A$131,0)),IF(ISNUMBER(INDEX('NCO-2015 scores'!$C$2:$C$131,MATCH(E3117,'NCO-2015 scores'!$A$2:$A$131,0))),1,0),0)</f>
        <v>1</v>
      </c>
    </row>
    <row r="3118" customFormat="false" ht="15" hidden="false" customHeight="false" outlineLevel="0" collapsed="false">
      <c r="A3118" s="2" t="n">
        <v>3114</v>
      </c>
      <c r="B3118" s="2" t="s">
        <v>9068</v>
      </c>
      <c r="C3118" s="2" t="s">
        <v>9069</v>
      </c>
      <c r="D3118" s="2" t="s">
        <v>9070</v>
      </c>
      <c r="E3118" s="2" t="str">
        <f aca="false">LEFT(C3118,3)</f>
        <v>721</v>
      </c>
      <c r="F3118" s="2" t="str">
        <f aca="false">IF(D3118="","",LEFT(D3118,3))</f>
        <v>721</v>
      </c>
      <c r="G3118" s="2" t="str">
        <f aca="false">IF(F3118="","",IF(E3118=F3118,"Yes","No"))</f>
        <v>Yes</v>
      </c>
      <c r="H3118" s="2" t="n">
        <f aca="false">IF(D3118="",0,1/COUNTIF($D$2:$D$3451,D3118))</f>
        <v>1</v>
      </c>
      <c r="I3118" s="13" t="n">
        <f aca="false">IFERROR(INDEX('NCO-2015 scores'!$C$2:$C$131,MATCH(E3118,'NCO-2015 scores'!$A$2:$A$131,0)),0)</f>
        <v>0.142</v>
      </c>
      <c r="J3118" s="13" t="n">
        <f aca="false">IF(ISNUMBER(MATCH(E3118,'NCO-2015 scores'!$A$2:$A$131,0)),IF(ISNUMBER(INDEX('NCO-2015 scores'!$C$2:$C$131,MATCH(E3118,'NCO-2015 scores'!$A$2:$A$131,0))),1,0),0)</f>
        <v>1</v>
      </c>
    </row>
    <row r="3119" customFormat="false" ht="15" hidden="false" customHeight="false" outlineLevel="0" collapsed="false">
      <c r="A3119" s="2" t="n">
        <v>3115</v>
      </c>
      <c r="B3119" s="2" t="s">
        <v>9071</v>
      </c>
      <c r="C3119" s="2" t="s">
        <v>9072</v>
      </c>
      <c r="D3119" s="2" t="s">
        <v>9073</v>
      </c>
      <c r="E3119" s="2" t="str">
        <f aca="false">LEFT(C3119,3)</f>
        <v>721</v>
      </c>
      <c r="F3119" s="2" t="str">
        <f aca="false">IF(D3119="","",LEFT(D3119,3))</f>
        <v>721</v>
      </c>
      <c r="G3119" s="2" t="str">
        <f aca="false">IF(F3119="","",IF(E3119=F3119,"Yes","No"))</f>
        <v>Yes</v>
      </c>
      <c r="H3119" s="2" t="n">
        <f aca="false">IF(D3119="",0,1/COUNTIF($D$2:$D$3451,D3119))</f>
        <v>1</v>
      </c>
      <c r="I3119" s="13" t="n">
        <f aca="false">IFERROR(INDEX('NCO-2015 scores'!$C$2:$C$131,MATCH(E3119,'NCO-2015 scores'!$A$2:$A$131,0)),0)</f>
        <v>0.142</v>
      </c>
      <c r="J3119" s="13" t="n">
        <f aca="false">IF(ISNUMBER(MATCH(E3119,'NCO-2015 scores'!$A$2:$A$131,0)),IF(ISNUMBER(INDEX('NCO-2015 scores'!$C$2:$C$131,MATCH(E3119,'NCO-2015 scores'!$A$2:$A$131,0))),1,0),0)</f>
        <v>1</v>
      </c>
    </row>
    <row r="3120" customFormat="false" ht="15" hidden="false" customHeight="false" outlineLevel="0" collapsed="false">
      <c r="A3120" s="2" t="n">
        <v>3116</v>
      </c>
      <c r="B3120" s="2" t="s">
        <v>9074</v>
      </c>
      <c r="C3120" s="2" t="s">
        <v>9075</v>
      </c>
      <c r="D3120" s="2" t="s">
        <v>9076</v>
      </c>
      <c r="E3120" s="2" t="str">
        <f aca="false">LEFT(C3120,3)</f>
        <v>721</v>
      </c>
      <c r="F3120" s="2" t="str">
        <f aca="false">IF(D3120="","",LEFT(D3120,3))</f>
        <v>721</v>
      </c>
      <c r="G3120" s="2" t="str">
        <f aca="false">IF(F3120="","",IF(E3120=F3120,"Yes","No"))</f>
        <v>Yes</v>
      </c>
      <c r="H3120" s="2" t="n">
        <f aca="false">IF(D3120="",0,1/COUNTIF($D$2:$D$3451,D3120))</f>
        <v>1</v>
      </c>
      <c r="I3120" s="13" t="n">
        <f aca="false">IFERROR(INDEX('NCO-2015 scores'!$C$2:$C$131,MATCH(E3120,'NCO-2015 scores'!$A$2:$A$131,0)),0)</f>
        <v>0.142</v>
      </c>
      <c r="J3120" s="13" t="n">
        <f aca="false">IF(ISNUMBER(MATCH(E3120,'NCO-2015 scores'!$A$2:$A$131,0)),IF(ISNUMBER(INDEX('NCO-2015 scores'!$C$2:$C$131,MATCH(E3120,'NCO-2015 scores'!$A$2:$A$131,0))),1,0),0)</f>
        <v>1</v>
      </c>
    </row>
    <row r="3121" customFormat="false" ht="15" hidden="false" customHeight="false" outlineLevel="0" collapsed="false">
      <c r="A3121" s="2" t="n">
        <v>3117</v>
      </c>
      <c r="B3121" s="2" t="s">
        <v>9077</v>
      </c>
      <c r="C3121" s="2" t="s">
        <v>9078</v>
      </c>
      <c r="D3121" s="2" t="s">
        <v>9079</v>
      </c>
      <c r="E3121" s="2" t="str">
        <f aca="false">LEFT(C3121,3)</f>
        <v>721</v>
      </c>
      <c r="F3121" s="2" t="str">
        <f aca="false">IF(D3121="","",LEFT(D3121,3))</f>
        <v>721</v>
      </c>
      <c r="G3121" s="2" t="str">
        <f aca="false">IF(F3121="","",IF(E3121=F3121,"Yes","No"))</f>
        <v>Yes</v>
      </c>
      <c r="H3121" s="2" t="n">
        <f aca="false">IF(D3121="",0,1/COUNTIF($D$2:$D$3451,D3121))</f>
        <v>1</v>
      </c>
      <c r="I3121" s="13" t="n">
        <f aca="false">IFERROR(INDEX('NCO-2015 scores'!$C$2:$C$131,MATCH(E3121,'NCO-2015 scores'!$A$2:$A$131,0)),0)</f>
        <v>0.142</v>
      </c>
      <c r="J3121" s="13" t="n">
        <f aca="false">IF(ISNUMBER(MATCH(E3121,'NCO-2015 scores'!$A$2:$A$131,0)),IF(ISNUMBER(INDEX('NCO-2015 scores'!$C$2:$C$131,MATCH(E3121,'NCO-2015 scores'!$A$2:$A$131,0))),1,0),0)</f>
        <v>1</v>
      </c>
    </row>
    <row r="3122" customFormat="false" ht="15" hidden="false" customHeight="false" outlineLevel="0" collapsed="false">
      <c r="A3122" s="2" t="n">
        <v>3118</v>
      </c>
      <c r="B3122" s="2" t="s">
        <v>9080</v>
      </c>
      <c r="C3122" s="2" t="s">
        <v>9081</v>
      </c>
      <c r="D3122" s="2" t="s">
        <v>9082</v>
      </c>
      <c r="E3122" s="2" t="str">
        <f aca="false">LEFT(C3122,3)</f>
        <v>721</v>
      </c>
      <c r="F3122" s="2" t="str">
        <f aca="false">IF(D3122="","",LEFT(D3122,3))</f>
        <v>721</v>
      </c>
      <c r="G3122" s="2" t="str">
        <f aca="false">IF(F3122="","",IF(E3122=F3122,"Yes","No"))</f>
        <v>Yes</v>
      </c>
      <c r="H3122" s="2" t="n">
        <f aca="false">IF(D3122="",0,1/COUNTIF($D$2:$D$3451,D3122))</f>
        <v>1</v>
      </c>
      <c r="I3122" s="13" t="n">
        <f aca="false">IFERROR(INDEX('NCO-2015 scores'!$C$2:$C$131,MATCH(E3122,'NCO-2015 scores'!$A$2:$A$131,0)),0)</f>
        <v>0.142</v>
      </c>
      <c r="J3122" s="13" t="n">
        <f aca="false">IF(ISNUMBER(MATCH(E3122,'NCO-2015 scores'!$A$2:$A$131,0)),IF(ISNUMBER(INDEX('NCO-2015 scores'!$C$2:$C$131,MATCH(E3122,'NCO-2015 scores'!$A$2:$A$131,0))),1,0),0)</f>
        <v>1</v>
      </c>
    </row>
    <row r="3123" customFormat="false" ht="15" hidden="false" customHeight="false" outlineLevel="0" collapsed="false">
      <c r="A3123" s="2" t="n">
        <v>3119</v>
      </c>
      <c r="B3123" s="2" t="s">
        <v>9083</v>
      </c>
      <c r="C3123" s="2" t="s">
        <v>9084</v>
      </c>
      <c r="D3123" s="2" t="s">
        <v>9085</v>
      </c>
      <c r="E3123" s="2" t="str">
        <f aca="false">LEFT(C3123,3)</f>
        <v>721</v>
      </c>
      <c r="F3123" s="2" t="str">
        <f aca="false">IF(D3123="","",LEFT(D3123,3))</f>
        <v>721</v>
      </c>
      <c r="G3123" s="2" t="str">
        <f aca="false">IF(F3123="","",IF(E3123=F3123,"Yes","No"))</f>
        <v>Yes</v>
      </c>
      <c r="H3123" s="2" t="n">
        <f aca="false">IF(D3123="",0,1/COUNTIF($D$2:$D$3451,D3123))</f>
        <v>1</v>
      </c>
      <c r="I3123" s="13" t="n">
        <f aca="false">IFERROR(INDEX('NCO-2015 scores'!$C$2:$C$131,MATCH(E3123,'NCO-2015 scores'!$A$2:$A$131,0)),0)</f>
        <v>0.142</v>
      </c>
      <c r="J3123" s="13" t="n">
        <f aca="false">IF(ISNUMBER(MATCH(E3123,'NCO-2015 scores'!$A$2:$A$131,0)),IF(ISNUMBER(INDEX('NCO-2015 scores'!$C$2:$C$131,MATCH(E3123,'NCO-2015 scores'!$A$2:$A$131,0))),1,0),0)</f>
        <v>1</v>
      </c>
    </row>
    <row r="3124" customFormat="false" ht="15" hidden="false" customHeight="false" outlineLevel="0" collapsed="false">
      <c r="A3124" s="2" t="n">
        <v>3120</v>
      </c>
      <c r="B3124" s="2" t="s">
        <v>9086</v>
      </c>
      <c r="C3124" s="2" t="s">
        <v>9087</v>
      </c>
      <c r="D3124" s="2"/>
      <c r="E3124" s="2" t="str">
        <f aca="false">LEFT(C3124,3)</f>
        <v>721</v>
      </c>
      <c r="F3124" s="2" t="str">
        <f aca="false">IF(D3124="","",LEFT(D3124,3))</f>
        <v/>
      </c>
      <c r="G3124" s="2" t="str">
        <f aca="false">IF(F3124="","",IF(E3124=F3124,"Yes","No"))</f>
        <v/>
      </c>
      <c r="H3124" s="2" t="n">
        <f aca="false">IF(D3124="",0,1/COUNTIF($D$2:$D$3451,D3124))</f>
        <v>0</v>
      </c>
      <c r="I3124" s="13" t="n">
        <f aca="false">IFERROR(INDEX('NCO-2015 scores'!$C$2:$C$131,MATCH(E3124,'NCO-2015 scores'!$A$2:$A$131,0)),0)</f>
        <v>0.142</v>
      </c>
      <c r="J3124" s="13" t="n">
        <f aca="false">IF(ISNUMBER(MATCH(E3124,'NCO-2015 scores'!$A$2:$A$131,0)),IF(ISNUMBER(INDEX('NCO-2015 scores'!$C$2:$C$131,MATCH(E3124,'NCO-2015 scores'!$A$2:$A$131,0))),1,0),0)</f>
        <v>1</v>
      </c>
    </row>
    <row r="3125" customFormat="false" ht="15" hidden="false" customHeight="false" outlineLevel="0" collapsed="false">
      <c r="A3125" s="2" t="n">
        <v>3121</v>
      </c>
      <c r="B3125" s="2" t="s">
        <v>9088</v>
      </c>
      <c r="C3125" s="2" t="s">
        <v>9089</v>
      </c>
      <c r="D3125" s="2" t="s">
        <v>9090</v>
      </c>
      <c r="E3125" s="2" t="str">
        <f aca="false">LEFT(C3125,3)</f>
        <v>721</v>
      </c>
      <c r="F3125" s="2" t="str">
        <f aca="false">IF(D3125="","",LEFT(D3125,3))</f>
        <v>721</v>
      </c>
      <c r="G3125" s="2" t="str">
        <f aca="false">IF(F3125="","",IF(E3125=F3125,"Yes","No"))</f>
        <v>Yes</v>
      </c>
      <c r="H3125" s="2" t="n">
        <f aca="false">IF(D3125="",0,1/COUNTIF($D$2:$D$3451,D3125))</f>
        <v>1</v>
      </c>
      <c r="I3125" s="13" t="n">
        <f aca="false">IFERROR(INDEX('NCO-2015 scores'!$C$2:$C$131,MATCH(E3125,'NCO-2015 scores'!$A$2:$A$131,0)),0)</f>
        <v>0.142</v>
      </c>
      <c r="J3125" s="13" t="n">
        <f aca="false">IF(ISNUMBER(MATCH(E3125,'NCO-2015 scores'!$A$2:$A$131,0)),IF(ISNUMBER(INDEX('NCO-2015 scores'!$C$2:$C$131,MATCH(E3125,'NCO-2015 scores'!$A$2:$A$131,0))),1,0),0)</f>
        <v>1</v>
      </c>
    </row>
    <row r="3126" customFormat="false" ht="15" hidden="false" customHeight="false" outlineLevel="0" collapsed="false">
      <c r="A3126" s="2" t="n">
        <v>3122</v>
      </c>
      <c r="B3126" s="2" t="s">
        <v>9091</v>
      </c>
      <c r="C3126" s="2" t="s">
        <v>9092</v>
      </c>
      <c r="D3126" s="2" t="s">
        <v>9093</v>
      </c>
      <c r="E3126" s="2" t="str">
        <f aca="false">LEFT(C3126,3)</f>
        <v>631</v>
      </c>
      <c r="F3126" s="2" t="str">
        <f aca="false">IF(D3126="","",LEFT(D3126,3))</f>
        <v>620</v>
      </c>
      <c r="G3126" s="2" t="str">
        <f aca="false">IF(F3126="","",IF(E3126=F3126,"Yes","No"))</f>
        <v>No</v>
      </c>
      <c r="H3126" s="2" t="n">
        <f aca="false">IF(D3126="",0,1/COUNTIF($D$2:$D$3451,D3126))</f>
        <v>1</v>
      </c>
      <c r="I3126" s="13" t="n">
        <f aca="false">IFERROR(INDEX('NCO-2015 scores'!$C$2:$C$131,MATCH(E3126,'NCO-2015 scores'!$A$2:$A$131,0)),0)</f>
        <v>0.13</v>
      </c>
      <c r="J3126" s="13" t="n">
        <f aca="false">IF(ISNUMBER(MATCH(E3126,'NCO-2015 scores'!$A$2:$A$131,0)),IF(ISNUMBER(INDEX('NCO-2015 scores'!$C$2:$C$131,MATCH(E3126,'NCO-2015 scores'!$A$2:$A$131,0))),1,0),0)</f>
        <v>1</v>
      </c>
    </row>
    <row r="3127" customFormat="false" ht="15" hidden="false" customHeight="false" outlineLevel="0" collapsed="false">
      <c r="A3127" s="2" t="n">
        <v>3123</v>
      </c>
      <c r="B3127" s="2" t="s">
        <v>9094</v>
      </c>
      <c r="C3127" s="2" t="s">
        <v>9095</v>
      </c>
      <c r="D3127" s="2" t="s">
        <v>9096</v>
      </c>
      <c r="E3127" s="2" t="str">
        <f aca="false">LEFT(C3127,3)</f>
        <v>631</v>
      </c>
      <c r="F3127" s="2" t="str">
        <f aca="false">IF(D3127="","",LEFT(D3127,3))</f>
        <v>620</v>
      </c>
      <c r="G3127" s="2" t="str">
        <f aca="false">IF(F3127="","",IF(E3127=F3127,"Yes","No"))</f>
        <v>No</v>
      </c>
      <c r="H3127" s="2" t="n">
        <f aca="false">IF(D3127="",0,1/COUNTIF($D$2:$D$3451,D3127))</f>
        <v>1</v>
      </c>
      <c r="I3127" s="13" t="n">
        <f aca="false">IFERROR(INDEX('NCO-2015 scores'!$C$2:$C$131,MATCH(E3127,'NCO-2015 scores'!$A$2:$A$131,0)),0)</f>
        <v>0.13</v>
      </c>
      <c r="J3127" s="13" t="n">
        <f aca="false">IF(ISNUMBER(MATCH(E3127,'NCO-2015 scores'!$A$2:$A$131,0)),IF(ISNUMBER(INDEX('NCO-2015 scores'!$C$2:$C$131,MATCH(E3127,'NCO-2015 scores'!$A$2:$A$131,0))),1,0),0)</f>
        <v>1</v>
      </c>
    </row>
    <row r="3128" customFormat="false" ht="15" hidden="false" customHeight="false" outlineLevel="0" collapsed="false">
      <c r="A3128" s="2" t="n">
        <v>3124</v>
      </c>
      <c r="B3128" s="2" t="s">
        <v>9097</v>
      </c>
      <c r="C3128" s="2" t="s">
        <v>9098</v>
      </c>
      <c r="D3128" s="2" t="s">
        <v>9099</v>
      </c>
      <c r="E3128" s="2" t="str">
        <f aca="false">LEFT(C3128,3)</f>
        <v>132</v>
      </c>
      <c r="F3128" s="2" t="str">
        <f aca="false">IF(D3128="","",LEFT(D3128,3))</f>
        <v>123</v>
      </c>
      <c r="G3128" s="2" t="str">
        <f aca="false">IF(F3128="","",IF(E3128=F3128,"Yes","No"))</f>
        <v>No</v>
      </c>
      <c r="H3128" s="2" t="n">
        <f aca="false">IF(D3128="",0,1/COUNTIF($D$2:$D$3451,D3128))</f>
        <v>1</v>
      </c>
      <c r="I3128" s="13" t="n">
        <f aca="false">IFERROR(INDEX('NCO-2015 scores'!$C$2:$C$131,MATCH(E3128,'NCO-2015 scores'!$A$2:$A$131,0)),0)</f>
        <v>0.3625</v>
      </c>
      <c r="J3128" s="13" t="n">
        <f aca="false">IF(ISNUMBER(MATCH(E3128,'NCO-2015 scores'!$A$2:$A$131,0)),IF(ISNUMBER(INDEX('NCO-2015 scores'!$C$2:$C$131,MATCH(E3128,'NCO-2015 scores'!$A$2:$A$131,0))),1,0),0)</f>
        <v>1</v>
      </c>
    </row>
    <row r="3129" customFormat="false" ht="15" hidden="false" customHeight="false" outlineLevel="0" collapsed="false">
      <c r="A3129" s="2" t="n">
        <v>3125</v>
      </c>
      <c r="B3129" s="2" t="s">
        <v>9100</v>
      </c>
      <c r="C3129" s="2" t="s">
        <v>9101</v>
      </c>
      <c r="D3129" s="2" t="s">
        <v>9102</v>
      </c>
      <c r="E3129" s="2" t="str">
        <f aca="false">LEFT(C3129,3)</f>
        <v>132</v>
      </c>
      <c r="F3129" s="2" t="str">
        <f aca="false">IF(D3129="","",LEFT(D3129,3))</f>
        <v>122</v>
      </c>
      <c r="G3129" s="2" t="str">
        <f aca="false">IF(F3129="","",IF(E3129=F3129,"Yes","No"))</f>
        <v>No</v>
      </c>
      <c r="H3129" s="2" t="n">
        <f aca="false">IF(D3129="",0,1/COUNTIF($D$2:$D$3451,D3129))</f>
        <v>1</v>
      </c>
      <c r="I3129" s="13" t="n">
        <f aca="false">IFERROR(INDEX('NCO-2015 scores'!$C$2:$C$131,MATCH(E3129,'NCO-2015 scores'!$A$2:$A$131,0)),0)</f>
        <v>0.3625</v>
      </c>
      <c r="J3129" s="13" t="n">
        <f aca="false">IF(ISNUMBER(MATCH(E3129,'NCO-2015 scores'!$A$2:$A$131,0)),IF(ISNUMBER(INDEX('NCO-2015 scores'!$C$2:$C$131,MATCH(E3129,'NCO-2015 scores'!$A$2:$A$131,0))),1,0),0)</f>
        <v>1</v>
      </c>
    </row>
    <row r="3130" customFormat="false" ht="15" hidden="false" customHeight="false" outlineLevel="0" collapsed="false">
      <c r="A3130" s="2" t="n">
        <v>3126</v>
      </c>
      <c r="B3130" s="2" t="s">
        <v>9103</v>
      </c>
      <c r="C3130" s="2" t="s">
        <v>9104</v>
      </c>
      <c r="D3130" s="2"/>
      <c r="E3130" s="2" t="str">
        <f aca="false">LEFT(C3130,3)</f>
        <v>132</v>
      </c>
      <c r="F3130" s="2" t="str">
        <f aca="false">IF(D3130="","",LEFT(D3130,3))</f>
        <v/>
      </c>
      <c r="G3130" s="2" t="str">
        <f aca="false">IF(F3130="","",IF(E3130=F3130,"Yes","No"))</f>
        <v/>
      </c>
      <c r="H3130" s="2" t="n">
        <f aca="false">IF(D3130="",0,1/COUNTIF($D$2:$D$3451,D3130))</f>
        <v>0</v>
      </c>
      <c r="I3130" s="13" t="n">
        <f aca="false">IFERROR(INDEX('NCO-2015 scores'!$C$2:$C$131,MATCH(E3130,'NCO-2015 scores'!$A$2:$A$131,0)),0)</f>
        <v>0.3625</v>
      </c>
      <c r="J3130" s="13" t="n">
        <f aca="false">IF(ISNUMBER(MATCH(E3130,'NCO-2015 scores'!$A$2:$A$131,0)),IF(ISNUMBER(INDEX('NCO-2015 scores'!$C$2:$C$131,MATCH(E3130,'NCO-2015 scores'!$A$2:$A$131,0))),1,0),0)</f>
        <v>1</v>
      </c>
    </row>
    <row r="3131" customFormat="false" ht="15" hidden="false" customHeight="false" outlineLevel="0" collapsed="false">
      <c r="A3131" s="2" t="n">
        <v>3127</v>
      </c>
      <c r="B3131" s="2" t="s">
        <v>9105</v>
      </c>
      <c r="C3131" s="2" t="s">
        <v>9106</v>
      </c>
      <c r="D3131" s="2" t="s">
        <v>9107</v>
      </c>
      <c r="E3131" s="2" t="str">
        <f aca="false">LEFT(C3131,3)</f>
        <v>132</v>
      </c>
      <c r="F3131" s="2" t="str">
        <f aca="false">IF(D3131="","",LEFT(D3131,3))</f>
        <v>122</v>
      </c>
      <c r="G3131" s="2" t="str">
        <f aca="false">IF(F3131="","",IF(E3131=F3131,"Yes","No"))</f>
        <v>No</v>
      </c>
      <c r="H3131" s="2" t="n">
        <f aca="false">IF(D3131="",0,1/COUNTIF($D$2:$D$3451,D3131))</f>
        <v>1</v>
      </c>
      <c r="I3131" s="13" t="n">
        <f aca="false">IFERROR(INDEX('NCO-2015 scores'!$C$2:$C$131,MATCH(E3131,'NCO-2015 scores'!$A$2:$A$131,0)),0)</f>
        <v>0.3625</v>
      </c>
      <c r="J3131" s="13" t="n">
        <f aca="false">IF(ISNUMBER(MATCH(E3131,'NCO-2015 scores'!$A$2:$A$131,0)),IF(ISNUMBER(INDEX('NCO-2015 scores'!$C$2:$C$131,MATCH(E3131,'NCO-2015 scores'!$A$2:$A$131,0))),1,0),0)</f>
        <v>1</v>
      </c>
    </row>
    <row r="3132" customFormat="false" ht="15" hidden="false" customHeight="false" outlineLevel="0" collapsed="false">
      <c r="A3132" s="2" t="n">
        <v>3128</v>
      </c>
      <c r="B3132" s="2" t="s">
        <v>9108</v>
      </c>
      <c r="C3132" s="2" t="s">
        <v>9109</v>
      </c>
      <c r="D3132" s="2" t="s">
        <v>9110</v>
      </c>
      <c r="E3132" s="2" t="str">
        <f aca="false">LEFT(C3132,3)</f>
        <v>132</v>
      </c>
      <c r="F3132" s="2" t="str">
        <f aca="false">IF(D3132="","",LEFT(D3132,3))</f>
        <v>122</v>
      </c>
      <c r="G3132" s="2" t="str">
        <f aca="false">IF(F3132="","",IF(E3132=F3132,"Yes","No"))</f>
        <v>No</v>
      </c>
      <c r="H3132" s="2" t="n">
        <f aca="false">IF(D3132="",0,1/COUNTIF($D$2:$D$3451,D3132))</f>
        <v>1</v>
      </c>
      <c r="I3132" s="13" t="n">
        <f aca="false">IFERROR(INDEX('NCO-2015 scores'!$C$2:$C$131,MATCH(E3132,'NCO-2015 scores'!$A$2:$A$131,0)),0)</f>
        <v>0.3625</v>
      </c>
      <c r="J3132" s="13" t="n">
        <f aca="false">IF(ISNUMBER(MATCH(E3132,'NCO-2015 scores'!$A$2:$A$131,0)),IF(ISNUMBER(INDEX('NCO-2015 scores'!$C$2:$C$131,MATCH(E3132,'NCO-2015 scores'!$A$2:$A$131,0))),1,0),0)</f>
        <v>1</v>
      </c>
    </row>
    <row r="3133" customFormat="false" ht="15" hidden="false" customHeight="false" outlineLevel="0" collapsed="false">
      <c r="A3133" s="2" t="n">
        <v>3129</v>
      </c>
      <c r="B3133" s="2" t="s">
        <v>9111</v>
      </c>
      <c r="C3133" s="2" t="s">
        <v>9112</v>
      </c>
      <c r="D3133" s="2" t="s">
        <v>9113</v>
      </c>
      <c r="E3133" s="2" t="str">
        <f aca="false">LEFT(C3133,3)</f>
        <v>132</v>
      </c>
      <c r="F3133" s="2" t="str">
        <f aca="false">IF(D3133="","",LEFT(D3133,3))</f>
        <v>122</v>
      </c>
      <c r="G3133" s="2" t="str">
        <f aca="false">IF(F3133="","",IF(E3133=F3133,"Yes","No"))</f>
        <v>No</v>
      </c>
      <c r="H3133" s="2" t="n">
        <f aca="false">IF(D3133="",0,1/COUNTIF($D$2:$D$3451,D3133))</f>
        <v>1</v>
      </c>
      <c r="I3133" s="13" t="n">
        <f aca="false">IFERROR(INDEX('NCO-2015 scores'!$C$2:$C$131,MATCH(E3133,'NCO-2015 scores'!$A$2:$A$131,0)),0)</f>
        <v>0.3625</v>
      </c>
      <c r="J3133" s="13" t="n">
        <f aca="false">IF(ISNUMBER(MATCH(E3133,'NCO-2015 scores'!$A$2:$A$131,0)),IF(ISNUMBER(INDEX('NCO-2015 scores'!$C$2:$C$131,MATCH(E3133,'NCO-2015 scores'!$A$2:$A$131,0))),1,0),0)</f>
        <v>1</v>
      </c>
    </row>
    <row r="3134" customFormat="false" ht="15" hidden="false" customHeight="false" outlineLevel="0" collapsed="false">
      <c r="A3134" s="2" t="n">
        <v>3130</v>
      </c>
      <c r="B3134" s="2" t="s">
        <v>9114</v>
      </c>
      <c r="C3134" s="2" t="s">
        <v>9115</v>
      </c>
      <c r="D3134" s="2" t="s">
        <v>9116</v>
      </c>
      <c r="E3134" s="2" t="str">
        <f aca="false">LEFT(C3134,3)</f>
        <v>132</v>
      </c>
      <c r="F3134" s="2" t="str">
        <f aca="false">IF(D3134="","",LEFT(D3134,3))</f>
        <v>122</v>
      </c>
      <c r="G3134" s="2" t="str">
        <f aca="false">IF(F3134="","",IF(E3134=F3134,"Yes","No"))</f>
        <v>No</v>
      </c>
      <c r="H3134" s="2" t="n">
        <f aca="false">IF(D3134="",0,1/COUNTIF($D$2:$D$3451,D3134))</f>
        <v>1</v>
      </c>
      <c r="I3134" s="13" t="n">
        <f aca="false">IFERROR(INDEX('NCO-2015 scores'!$C$2:$C$131,MATCH(E3134,'NCO-2015 scores'!$A$2:$A$131,0)),0)</f>
        <v>0.3625</v>
      </c>
      <c r="J3134" s="13" t="n">
        <f aca="false">IF(ISNUMBER(MATCH(E3134,'NCO-2015 scores'!$A$2:$A$131,0)),IF(ISNUMBER(INDEX('NCO-2015 scores'!$C$2:$C$131,MATCH(E3134,'NCO-2015 scores'!$A$2:$A$131,0))),1,0),0)</f>
        <v>1</v>
      </c>
    </row>
    <row r="3135" customFormat="false" ht="15" hidden="false" customHeight="false" outlineLevel="0" collapsed="false">
      <c r="A3135" s="2" t="n">
        <v>3131</v>
      </c>
      <c r="B3135" s="2" t="s">
        <v>9117</v>
      </c>
      <c r="C3135" s="2" t="s">
        <v>9118</v>
      </c>
      <c r="D3135" s="2" t="s">
        <v>9119</v>
      </c>
      <c r="E3135" s="2" t="str">
        <f aca="false">LEFT(C3135,3)</f>
        <v>132</v>
      </c>
      <c r="F3135" s="2" t="str">
        <f aca="false">IF(D3135="","",LEFT(D3135,3))</f>
        <v>122</v>
      </c>
      <c r="G3135" s="2" t="str">
        <f aca="false">IF(F3135="","",IF(E3135=F3135,"Yes","No"))</f>
        <v>No</v>
      </c>
      <c r="H3135" s="2" t="n">
        <f aca="false">IF(D3135="",0,1/COUNTIF($D$2:$D$3451,D3135))</f>
        <v>1</v>
      </c>
      <c r="I3135" s="13" t="n">
        <f aca="false">IFERROR(INDEX('NCO-2015 scores'!$C$2:$C$131,MATCH(E3135,'NCO-2015 scores'!$A$2:$A$131,0)),0)</f>
        <v>0.3625</v>
      </c>
      <c r="J3135" s="13" t="n">
        <f aca="false">IF(ISNUMBER(MATCH(E3135,'NCO-2015 scores'!$A$2:$A$131,0)),IF(ISNUMBER(INDEX('NCO-2015 scores'!$C$2:$C$131,MATCH(E3135,'NCO-2015 scores'!$A$2:$A$131,0))),1,0),0)</f>
        <v>1</v>
      </c>
    </row>
    <row r="3136" customFormat="false" ht="15" hidden="false" customHeight="false" outlineLevel="0" collapsed="false">
      <c r="A3136" s="2" t="n">
        <v>3132</v>
      </c>
      <c r="B3136" s="2" t="s">
        <v>9120</v>
      </c>
      <c r="C3136" s="2" t="s">
        <v>9121</v>
      </c>
      <c r="D3136" s="2" t="s">
        <v>9122</v>
      </c>
      <c r="E3136" s="2" t="str">
        <f aca="false">LEFT(C3136,3)</f>
        <v>132</v>
      </c>
      <c r="F3136" s="2" t="str">
        <f aca="false">IF(D3136="","",LEFT(D3136,3))</f>
        <v>122</v>
      </c>
      <c r="G3136" s="2" t="str">
        <f aca="false">IF(F3136="","",IF(E3136=F3136,"Yes","No"))</f>
        <v>No</v>
      </c>
      <c r="H3136" s="2" t="n">
        <f aca="false">IF(D3136="",0,1/COUNTIF($D$2:$D$3451,D3136))</f>
        <v>1</v>
      </c>
      <c r="I3136" s="13" t="n">
        <f aca="false">IFERROR(INDEX('NCO-2015 scores'!$C$2:$C$131,MATCH(E3136,'NCO-2015 scores'!$A$2:$A$131,0)),0)</f>
        <v>0.3625</v>
      </c>
      <c r="J3136" s="13" t="n">
        <f aca="false">IF(ISNUMBER(MATCH(E3136,'NCO-2015 scores'!$A$2:$A$131,0)),IF(ISNUMBER(INDEX('NCO-2015 scores'!$C$2:$C$131,MATCH(E3136,'NCO-2015 scores'!$A$2:$A$131,0))),1,0),0)</f>
        <v>1</v>
      </c>
    </row>
    <row r="3137" customFormat="false" ht="15" hidden="false" customHeight="false" outlineLevel="0" collapsed="false">
      <c r="A3137" s="2" t="n">
        <v>3133</v>
      </c>
      <c r="B3137" s="2" t="s">
        <v>9123</v>
      </c>
      <c r="C3137" s="2" t="s">
        <v>9124</v>
      </c>
      <c r="D3137" s="2" t="s">
        <v>9125</v>
      </c>
      <c r="E3137" s="2" t="str">
        <f aca="false">LEFT(C3137,3)</f>
        <v>132</v>
      </c>
      <c r="F3137" s="2" t="str">
        <f aca="false">IF(D3137="","",LEFT(D3137,3))</f>
        <v>122</v>
      </c>
      <c r="G3137" s="2" t="str">
        <f aca="false">IF(F3137="","",IF(E3137=F3137,"Yes","No"))</f>
        <v>No</v>
      </c>
      <c r="H3137" s="2" t="n">
        <f aca="false">IF(D3137="",0,1/COUNTIF($D$2:$D$3451,D3137))</f>
        <v>1</v>
      </c>
      <c r="I3137" s="13" t="n">
        <f aca="false">IFERROR(INDEX('NCO-2015 scores'!$C$2:$C$131,MATCH(E3137,'NCO-2015 scores'!$A$2:$A$131,0)),0)</f>
        <v>0.3625</v>
      </c>
      <c r="J3137" s="13" t="n">
        <f aca="false">IF(ISNUMBER(MATCH(E3137,'NCO-2015 scores'!$A$2:$A$131,0)),IF(ISNUMBER(INDEX('NCO-2015 scores'!$C$2:$C$131,MATCH(E3137,'NCO-2015 scores'!$A$2:$A$131,0))),1,0),0)</f>
        <v>1</v>
      </c>
    </row>
    <row r="3138" customFormat="false" ht="15" hidden="false" customHeight="false" outlineLevel="0" collapsed="false">
      <c r="A3138" s="2" t="n">
        <v>3134</v>
      </c>
      <c r="B3138" s="2" t="s">
        <v>9126</v>
      </c>
      <c r="C3138" s="2" t="s">
        <v>9127</v>
      </c>
      <c r="D3138" s="2"/>
      <c r="E3138" s="2" t="str">
        <f aca="false">LEFT(C3138,3)</f>
        <v>132</v>
      </c>
      <c r="F3138" s="2" t="str">
        <f aca="false">IF(D3138="","",LEFT(D3138,3))</f>
        <v/>
      </c>
      <c r="G3138" s="2" t="str">
        <f aca="false">IF(F3138="","",IF(E3138=F3138,"Yes","No"))</f>
        <v/>
      </c>
      <c r="H3138" s="2" t="n">
        <f aca="false">IF(D3138="",0,1/COUNTIF($D$2:$D$3451,D3138))</f>
        <v>0</v>
      </c>
      <c r="I3138" s="13" t="n">
        <f aca="false">IFERROR(INDEX('NCO-2015 scores'!$C$2:$C$131,MATCH(E3138,'NCO-2015 scores'!$A$2:$A$131,0)),0)</f>
        <v>0.3625</v>
      </c>
      <c r="J3138" s="13" t="n">
        <f aca="false">IF(ISNUMBER(MATCH(E3138,'NCO-2015 scores'!$A$2:$A$131,0)),IF(ISNUMBER(INDEX('NCO-2015 scores'!$C$2:$C$131,MATCH(E3138,'NCO-2015 scores'!$A$2:$A$131,0))),1,0),0)</f>
        <v>1</v>
      </c>
    </row>
    <row r="3139" customFormat="false" ht="15" hidden="false" customHeight="false" outlineLevel="0" collapsed="false">
      <c r="A3139" s="2" t="n">
        <v>3135</v>
      </c>
      <c r="B3139" s="2" t="s">
        <v>9128</v>
      </c>
      <c r="C3139" s="2" t="s">
        <v>9129</v>
      </c>
      <c r="D3139" s="2" t="s">
        <v>9130</v>
      </c>
      <c r="E3139" s="2" t="str">
        <f aca="false">LEFT(C3139,3)</f>
        <v>132</v>
      </c>
      <c r="F3139" s="2" t="str">
        <f aca="false">IF(D3139="","",LEFT(D3139,3))</f>
        <v>122</v>
      </c>
      <c r="G3139" s="2" t="str">
        <f aca="false">IF(F3139="","",IF(E3139=F3139,"Yes","No"))</f>
        <v>No</v>
      </c>
      <c r="H3139" s="2" t="n">
        <f aca="false">IF(D3139="",0,1/COUNTIF($D$2:$D$3451,D3139))</f>
        <v>1</v>
      </c>
      <c r="I3139" s="13" t="n">
        <f aca="false">IFERROR(INDEX('NCO-2015 scores'!$C$2:$C$131,MATCH(E3139,'NCO-2015 scores'!$A$2:$A$131,0)),0)</f>
        <v>0.3625</v>
      </c>
      <c r="J3139" s="13" t="n">
        <f aca="false">IF(ISNUMBER(MATCH(E3139,'NCO-2015 scores'!$A$2:$A$131,0)),IF(ISNUMBER(INDEX('NCO-2015 scores'!$C$2:$C$131,MATCH(E3139,'NCO-2015 scores'!$A$2:$A$131,0))),1,0),0)</f>
        <v>1</v>
      </c>
    </row>
    <row r="3140" customFormat="false" ht="15" hidden="false" customHeight="false" outlineLevel="0" collapsed="false">
      <c r="A3140" s="2" t="n">
        <v>3136</v>
      </c>
      <c r="B3140" s="2" t="s">
        <v>9131</v>
      </c>
      <c r="C3140" s="2" t="s">
        <v>9132</v>
      </c>
      <c r="D3140" s="2"/>
      <c r="E3140" s="2" t="str">
        <f aca="false">LEFT(C3140,3)</f>
        <v>132</v>
      </c>
      <c r="F3140" s="2" t="str">
        <f aca="false">IF(D3140="","",LEFT(D3140,3))</f>
        <v/>
      </c>
      <c r="G3140" s="2" t="str">
        <f aca="false">IF(F3140="","",IF(E3140=F3140,"Yes","No"))</f>
        <v/>
      </c>
      <c r="H3140" s="2" t="n">
        <f aca="false">IF(D3140="",0,1/COUNTIF($D$2:$D$3451,D3140))</f>
        <v>0</v>
      </c>
      <c r="I3140" s="13" t="n">
        <f aca="false">IFERROR(INDEX('NCO-2015 scores'!$C$2:$C$131,MATCH(E3140,'NCO-2015 scores'!$A$2:$A$131,0)),0)</f>
        <v>0.3625</v>
      </c>
      <c r="J3140" s="13" t="n">
        <f aca="false">IF(ISNUMBER(MATCH(E3140,'NCO-2015 scores'!$A$2:$A$131,0)),IF(ISNUMBER(INDEX('NCO-2015 scores'!$C$2:$C$131,MATCH(E3140,'NCO-2015 scores'!$A$2:$A$131,0))),1,0),0)</f>
        <v>1</v>
      </c>
    </row>
    <row r="3141" customFormat="false" ht="15" hidden="false" customHeight="false" outlineLevel="0" collapsed="false">
      <c r="A3141" s="2" t="n">
        <v>3137</v>
      </c>
      <c r="B3141" s="2" t="s">
        <v>9133</v>
      </c>
      <c r="C3141" s="2" t="s">
        <v>9134</v>
      </c>
      <c r="D3141" s="2" t="s">
        <v>9135</v>
      </c>
      <c r="E3141" s="2" t="str">
        <f aca="false">LEFT(C3141,3)</f>
        <v>132</v>
      </c>
      <c r="F3141" s="2" t="str">
        <f aca="false">IF(D3141="","",LEFT(D3141,3))</f>
        <v>122</v>
      </c>
      <c r="G3141" s="2" t="str">
        <f aca="false">IF(F3141="","",IF(E3141=F3141,"Yes","No"))</f>
        <v>No</v>
      </c>
      <c r="H3141" s="2" t="n">
        <f aca="false">IF(D3141="",0,1/COUNTIF($D$2:$D$3451,D3141))</f>
        <v>1</v>
      </c>
      <c r="I3141" s="13" t="n">
        <f aca="false">IFERROR(INDEX('NCO-2015 scores'!$C$2:$C$131,MATCH(E3141,'NCO-2015 scores'!$A$2:$A$131,0)),0)</f>
        <v>0.3625</v>
      </c>
      <c r="J3141" s="13" t="n">
        <f aca="false">IF(ISNUMBER(MATCH(E3141,'NCO-2015 scores'!$A$2:$A$131,0)),IF(ISNUMBER(INDEX('NCO-2015 scores'!$C$2:$C$131,MATCH(E3141,'NCO-2015 scores'!$A$2:$A$131,0))),1,0),0)</f>
        <v>1</v>
      </c>
    </row>
    <row r="3142" customFormat="false" ht="15" hidden="false" customHeight="false" outlineLevel="0" collapsed="false">
      <c r="A3142" s="2" t="n">
        <v>3138</v>
      </c>
      <c r="B3142" s="2" t="s">
        <v>9136</v>
      </c>
      <c r="C3142" s="2" t="s">
        <v>9137</v>
      </c>
      <c r="D3142" s="2"/>
      <c r="E3142" s="2" t="str">
        <f aca="false">LEFT(C3142,3)</f>
        <v>132</v>
      </c>
      <c r="F3142" s="2" t="str">
        <f aca="false">IF(D3142="","",LEFT(D3142,3))</f>
        <v/>
      </c>
      <c r="G3142" s="2" t="str">
        <f aca="false">IF(F3142="","",IF(E3142=F3142,"Yes","No"))</f>
        <v/>
      </c>
      <c r="H3142" s="2" t="n">
        <f aca="false">IF(D3142="",0,1/COUNTIF($D$2:$D$3451,D3142))</f>
        <v>0</v>
      </c>
      <c r="I3142" s="13" t="n">
        <f aca="false">IFERROR(INDEX('NCO-2015 scores'!$C$2:$C$131,MATCH(E3142,'NCO-2015 scores'!$A$2:$A$131,0)),0)</f>
        <v>0.3625</v>
      </c>
      <c r="J3142" s="13" t="n">
        <f aca="false">IF(ISNUMBER(MATCH(E3142,'NCO-2015 scores'!$A$2:$A$131,0)),IF(ISNUMBER(INDEX('NCO-2015 scores'!$C$2:$C$131,MATCH(E3142,'NCO-2015 scores'!$A$2:$A$131,0))),1,0),0)</f>
        <v>1</v>
      </c>
    </row>
    <row r="3143" customFormat="false" ht="15" hidden="false" customHeight="false" outlineLevel="0" collapsed="false">
      <c r="A3143" s="2" t="n">
        <v>3139</v>
      </c>
      <c r="B3143" s="2" t="s">
        <v>9138</v>
      </c>
      <c r="C3143" s="2" t="s">
        <v>9139</v>
      </c>
      <c r="D3143" s="2" t="s">
        <v>9140</v>
      </c>
      <c r="E3143" s="2" t="str">
        <f aca="false">LEFT(C3143,3)</f>
        <v>132</v>
      </c>
      <c r="F3143" s="2" t="str">
        <f aca="false">IF(D3143="","",LEFT(D3143,3))</f>
        <v>122</v>
      </c>
      <c r="G3143" s="2" t="str">
        <f aca="false">IF(F3143="","",IF(E3143=F3143,"Yes","No"))</f>
        <v>No</v>
      </c>
      <c r="H3143" s="2" t="n">
        <f aca="false">IF(D3143="",0,1/COUNTIF($D$2:$D$3451,D3143))</f>
        <v>1</v>
      </c>
      <c r="I3143" s="13" t="n">
        <f aca="false">IFERROR(INDEX('NCO-2015 scores'!$C$2:$C$131,MATCH(E3143,'NCO-2015 scores'!$A$2:$A$131,0)),0)</f>
        <v>0.3625</v>
      </c>
      <c r="J3143" s="13" t="n">
        <f aca="false">IF(ISNUMBER(MATCH(E3143,'NCO-2015 scores'!$A$2:$A$131,0)),IF(ISNUMBER(INDEX('NCO-2015 scores'!$C$2:$C$131,MATCH(E3143,'NCO-2015 scores'!$A$2:$A$131,0))),1,0),0)</f>
        <v>1</v>
      </c>
    </row>
    <row r="3144" customFormat="false" ht="15" hidden="false" customHeight="false" outlineLevel="0" collapsed="false">
      <c r="A3144" s="2" t="n">
        <v>3140</v>
      </c>
      <c r="B3144" s="2" t="s">
        <v>9141</v>
      </c>
      <c r="C3144" s="2" t="s">
        <v>9142</v>
      </c>
      <c r="D3144" s="2" t="s">
        <v>9143</v>
      </c>
      <c r="E3144" s="2" t="str">
        <f aca="false">LEFT(C3144,3)</f>
        <v>132</v>
      </c>
      <c r="F3144" s="2" t="str">
        <f aca="false">IF(D3144="","",LEFT(D3144,3))</f>
        <v>130</v>
      </c>
      <c r="G3144" s="2" t="str">
        <f aca="false">IF(F3144="","",IF(E3144=F3144,"Yes","No"))</f>
        <v>No</v>
      </c>
      <c r="H3144" s="2" t="n">
        <f aca="false">IF(D3144="",0,1/COUNTIF($D$2:$D$3451,D3144))</f>
        <v>1</v>
      </c>
      <c r="I3144" s="13" t="n">
        <f aca="false">IFERROR(INDEX('NCO-2015 scores'!$C$2:$C$131,MATCH(E3144,'NCO-2015 scores'!$A$2:$A$131,0)),0)</f>
        <v>0.3625</v>
      </c>
      <c r="J3144" s="13" t="n">
        <f aca="false">IF(ISNUMBER(MATCH(E3144,'NCO-2015 scores'!$A$2:$A$131,0)),IF(ISNUMBER(INDEX('NCO-2015 scores'!$C$2:$C$131,MATCH(E3144,'NCO-2015 scores'!$A$2:$A$131,0))),1,0),0)</f>
        <v>1</v>
      </c>
    </row>
    <row r="3145" customFormat="false" ht="15" hidden="false" customHeight="false" outlineLevel="0" collapsed="false">
      <c r="A3145" s="2" t="n">
        <v>3141</v>
      </c>
      <c r="B3145" s="2" t="s">
        <v>9144</v>
      </c>
      <c r="C3145" s="2" t="s">
        <v>9145</v>
      </c>
      <c r="D3145" s="2" t="s">
        <v>9146</v>
      </c>
      <c r="E3145" s="2" t="str">
        <f aca="false">LEFT(C3145,3)</f>
        <v>132</v>
      </c>
      <c r="F3145" s="2" t="str">
        <f aca="false">IF(D3145="","",LEFT(D3145,3))</f>
        <v>122</v>
      </c>
      <c r="G3145" s="2" t="str">
        <f aca="false">IF(F3145="","",IF(E3145=F3145,"Yes","No"))</f>
        <v>No</v>
      </c>
      <c r="H3145" s="2" t="n">
        <f aca="false">IF(D3145="",0,1/COUNTIF($D$2:$D$3451,D3145))</f>
        <v>1</v>
      </c>
      <c r="I3145" s="13" t="n">
        <f aca="false">IFERROR(INDEX('NCO-2015 scores'!$C$2:$C$131,MATCH(E3145,'NCO-2015 scores'!$A$2:$A$131,0)),0)</f>
        <v>0.3625</v>
      </c>
      <c r="J3145" s="13" t="n">
        <f aca="false">IF(ISNUMBER(MATCH(E3145,'NCO-2015 scores'!$A$2:$A$131,0)),IF(ISNUMBER(INDEX('NCO-2015 scores'!$C$2:$C$131,MATCH(E3145,'NCO-2015 scores'!$A$2:$A$131,0))),1,0),0)</f>
        <v>1</v>
      </c>
    </row>
    <row r="3146" customFormat="false" ht="15" hidden="false" customHeight="false" outlineLevel="0" collapsed="false">
      <c r="A3146" s="2" t="n">
        <v>3142</v>
      </c>
      <c r="B3146" s="2" t="s">
        <v>9147</v>
      </c>
      <c r="C3146" s="2" t="s">
        <v>9148</v>
      </c>
      <c r="D3146" s="2" t="s">
        <v>9149</v>
      </c>
      <c r="E3146" s="2" t="str">
        <f aca="false">LEFT(C3146,3)</f>
        <v>132</v>
      </c>
      <c r="F3146" s="2" t="str">
        <f aca="false">IF(D3146="","",LEFT(D3146,3))</f>
        <v>122</v>
      </c>
      <c r="G3146" s="2" t="str">
        <f aca="false">IF(F3146="","",IF(E3146=F3146,"Yes","No"))</f>
        <v>No</v>
      </c>
      <c r="H3146" s="2" t="n">
        <f aca="false">IF(D3146="",0,1/COUNTIF($D$2:$D$3451,D3146))</f>
        <v>1</v>
      </c>
      <c r="I3146" s="13" t="n">
        <f aca="false">IFERROR(INDEX('NCO-2015 scores'!$C$2:$C$131,MATCH(E3146,'NCO-2015 scores'!$A$2:$A$131,0)),0)</f>
        <v>0.3625</v>
      </c>
      <c r="J3146" s="13" t="n">
        <f aca="false">IF(ISNUMBER(MATCH(E3146,'NCO-2015 scores'!$A$2:$A$131,0)),IF(ISNUMBER(INDEX('NCO-2015 scores'!$C$2:$C$131,MATCH(E3146,'NCO-2015 scores'!$A$2:$A$131,0))),1,0),0)</f>
        <v>1</v>
      </c>
    </row>
    <row r="3147" customFormat="false" ht="15" hidden="false" customHeight="false" outlineLevel="0" collapsed="false">
      <c r="A3147" s="2" t="n">
        <v>3143</v>
      </c>
      <c r="B3147" s="2" t="s">
        <v>9150</v>
      </c>
      <c r="C3147" s="2" t="s">
        <v>9151</v>
      </c>
      <c r="D3147" s="2" t="s">
        <v>9152</v>
      </c>
      <c r="E3147" s="2" t="str">
        <f aca="false">LEFT(C3147,3)</f>
        <v>132</v>
      </c>
      <c r="F3147" s="2" t="str">
        <f aca="false">IF(D3147="","",LEFT(D3147,3))</f>
        <v>122</v>
      </c>
      <c r="G3147" s="2" t="str">
        <f aca="false">IF(F3147="","",IF(E3147=F3147,"Yes","No"))</f>
        <v>No</v>
      </c>
      <c r="H3147" s="2" t="n">
        <f aca="false">IF(D3147="",0,1/COUNTIF($D$2:$D$3451,D3147))</f>
        <v>1</v>
      </c>
      <c r="I3147" s="13" t="n">
        <f aca="false">IFERROR(INDEX('NCO-2015 scores'!$C$2:$C$131,MATCH(E3147,'NCO-2015 scores'!$A$2:$A$131,0)),0)</f>
        <v>0.3625</v>
      </c>
      <c r="J3147" s="13" t="n">
        <f aca="false">IF(ISNUMBER(MATCH(E3147,'NCO-2015 scores'!$A$2:$A$131,0)),IF(ISNUMBER(INDEX('NCO-2015 scores'!$C$2:$C$131,MATCH(E3147,'NCO-2015 scores'!$A$2:$A$131,0))),1,0),0)</f>
        <v>1</v>
      </c>
    </row>
    <row r="3148" customFormat="false" ht="15" hidden="false" customHeight="false" outlineLevel="0" collapsed="false">
      <c r="A3148" s="2" t="n">
        <v>3144</v>
      </c>
      <c r="B3148" s="2" t="s">
        <v>9153</v>
      </c>
      <c r="C3148" s="2" t="s">
        <v>9154</v>
      </c>
      <c r="D3148" s="2" t="s">
        <v>9155</v>
      </c>
      <c r="E3148" s="2" t="str">
        <f aca="false">LEFT(C3148,3)</f>
        <v>132</v>
      </c>
      <c r="F3148" s="2" t="str">
        <f aca="false">IF(D3148="","",LEFT(D3148,3))</f>
        <v>122</v>
      </c>
      <c r="G3148" s="2" t="str">
        <f aca="false">IF(F3148="","",IF(E3148=F3148,"Yes","No"))</f>
        <v>No</v>
      </c>
      <c r="H3148" s="2" t="n">
        <f aca="false">IF(D3148="",0,1/COUNTIF($D$2:$D$3451,D3148))</f>
        <v>1</v>
      </c>
      <c r="I3148" s="13" t="n">
        <f aca="false">IFERROR(INDEX('NCO-2015 scores'!$C$2:$C$131,MATCH(E3148,'NCO-2015 scores'!$A$2:$A$131,0)),0)</f>
        <v>0.3625</v>
      </c>
      <c r="J3148" s="13" t="n">
        <f aca="false">IF(ISNUMBER(MATCH(E3148,'NCO-2015 scores'!$A$2:$A$131,0)),IF(ISNUMBER(INDEX('NCO-2015 scores'!$C$2:$C$131,MATCH(E3148,'NCO-2015 scores'!$A$2:$A$131,0))),1,0),0)</f>
        <v>1</v>
      </c>
    </row>
    <row r="3149" customFormat="false" ht="15" hidden="false" customHeight="false" outlineLevel="0" collapsed="false">
      <c r="A3149" s="2" t="n">
        <v>3145</v>
      </c>
      <c r="B3149" s="2" t="s">
        <v>9156</v>
      </c>
      <c r="C3149" s="2" t="s">
        <v>9157</v>
      </c>
      <c r="D3149" s="2" t="s">
        <v>9158</v>
      </c>
      <c r="E3149" s="2" t="str">
        <f aca="false">LEFT(C3149,3)</f>
        <v>132</v>
      </c>
      <c r="F3149" s="2" t="str">
        <f aca="false">IF(D3149="","",LEFT(D3149,3))</f>
        <v>122</v>
      </c>
      <c r="G3149" s="2" t="str">
        <f aca="false">IF(F3149="","",IF(E3149=F3149,"Yes","No"))</f>
        <v>No</v>
      </c>
      <c r="H3149" s="2" t="n">
        <f aca="false">IF(D3149="",0,1/COUNTIF($D$2:$D$3451,D3149))</f>
        <v>1</v>
      </c>
      <c r="I3149" s="13" t="n">
        <f aca="false">IFERROR(INDEX('NCO-2015 scores'!$C$2:$C$131,MATCH(E3149,'NCO-2015 scores'!$A$2:$A$131,0)),0)</f>
        <v>0.3625</v>
      </c>
      <c r="J3149" s="13" t="n">
        <f aca="false">IF(ISNUMBER(MATCH(E3149,'NCO-2015 scores'!$A$2:$A$131,0)),IF(ISNUMBER(INDEX('NCO-2015 scores'!$C$2:$C$131,MATCH(E3149,'NCO-2015 scores'!$A$2:$A$131,0))),1,0),0)</f>
        <v>1</v>
      </c>
    </row>
    <row r="3150" customFormat="false" ht="15" hidden="false" customHeight="false" outlineLevel="0" collapsed="false">
      <c r="A3150" s="2" t="n">
        <v>3146</v>
      </c>
      <c r="B3150" s="2" t="s">
        <v>9159</v>
      </c>
      <c r="C3150" s="2" t="s">
        <v>9160</v>
      </c>
      <c r="D3150" s="2" t="s">
        <v>9161</v>
      </c>
      <c r="E3150" s="2" t="str">
        <f aca="false">LEFT(C3150,3)</f>
        <v>132</v>
      </c>
      <c r="F3150" s="2" t="str">
        <f aca="false">IF(D3150="","",LEFT(D3150,3))</f>
        <v>122</v>
      </c>
      <c r="G3150" s="2" t="str">
        <f aca="false">IF(F3150="","",IF(E3150=F3150,"Yes","No"))</f>
        <v>No</v>
      </c>
      <c r="H3150" s="2" t="n">
        <f aca="false">IF(D3150="",0,1/COUNTIF($D$2:$D$3451,D3150))</f>
        <v>1</v>
      </c>
      <c r="I3150" s="13" t="n">
        <f aca="false">IFERROR(INDEX('NCO-2015 scores'!$C$2:$C$131,MATCH(E3150,'NCO-2015 scores'!$A$2:$A$131,0)),0)</f>
        <v>0.3625</v>
      </c>
      <c r="J3150" s="13" t="n">
        <f aca="false">IF(ISNUMBER(MATCH(E3150,'NCO-2015 scores'!$A$2:$A$131,0)),IF(ISNUMBER(INDEX('NCO-2015 scores'!$C$2:$C$131,MATCH(E3150,'NCO-2015 scores'!$A$2:$A$131,0))),1,0),0)</f>
        <v>1</v>
      </c>
    </row>
    <row r="3151" customFormat="false" ht="15" hidden="false" customHeight="false" outlineLevel="0" collapsed="false">
      <c r="A3151" s="2" t="n">
        <v>3147</v>
      </c>
      <c r="B3151" s="2" t="s">
        <v>9162</v>
      </c>
      <c r="C3151" s="2" t="s">
        <v>9163</v>
      </c>
      <c r="D3151" s="2" t="s">
        <v>9164</v>
      </c>
      <c r="E3151" s="2" t="str">
        <f aca="false">LEFT(C3151,3)</f>
        <v>132</v>
      </c>
      <c r="F3151" s="2" t="str">
        <f aca="false">IF(D3151="","",LEFT(D3151,3))</f>
        <v>122</v>
      </c>
      <c r="G3151" s="2" t="str">
        <f aca="false">IF(F3151="","",IF(E3151=F3151,"Yes","No"))</f>
        <v>No</v>
      </c>
      <c r="H3151" s="2" t="n">
        <f aca="false">IF(D3151="",0,1/COUNTIF($D$2:$D$3451,D3151))</f>
        <v>1</v>
      </c>
      <c r="I3151" s="13" t="n">
        <f aca="false">IFERROR(INDEX('NCO-2015 scores'!$C$2:$C$131,MATCH(E3151,'NCO-2015 scores'!$A$2:$A$131,0)),0)</f>
        <v>0.3625</v>
      </c>
      <c r="J3151" s="13" t="n">
        <f aca="false">IF(ISNUMBER(MATCH(E3151,'NCO-2015 scores'!$A$2:$A$131,0)),IF(ISNUMBER(INDEX('NCO-2015 scores'!$C$2:$C$131,MATCH(E3151,'NCO-2015 scores'!$A$2:$A$131,0))),1,0),0)</f>
        <v>1</v>
      </c>
    </row>
    <row r="3152" customFormat="false" ht="15" hidden="false" customHeight="false" outlineLevel="0" collapsed="false">
      <c r="A3152" s="2" t="n">
        <v>3148</v>
      </c>
      <c r="B3152" s="2" t="s">
        <v>9165</v>
      </c>
      <c r="C3152" s="2" t="s">
        <v>9166</v>
      </c>
      <c r="D3152" s="2" t="s">
        <v>9167</v>
      </c>
      <c r="E3152" s="2" t="str">
        <f aca="false">LEFT(C3152,3)</f>
        <v>132</v>
      </c>
      <c r="F3152" s="2" t="str">
        <f aca="false">IF(D3152="","",LEFT(D3152,3))</f>
        <v>122</v>
      </c>
      <c r="G3152" s="2" t="str">
        <f aca="false">IF(F3152="","",IF(E3152=F3152,"Yes","No"))</f>
        <v>No</v>
      </c>
      <c r="H3152" s="2" t="n">
        <f aca="false">IF(D3152="",0,1/COUNTIF($D$2:$D$3451,D3152))</f>
        <v>1</v>
      </c>
      <c r="I3152" s="13" t="n">
        <f aca="false">IFERROR(INDEX('NCO-2015 scores'!$C$2:$C$131,MATCH(E3152,'NCO-2015 scores'!$A$2:$A$131,0)),0)</f>
        <v>0.3625</v>
      </c>
      <c r="J3152" s="13" t="n">
        <f aca="false">IF(ISNUMBER(MATCH(E3152,'NCO-2015 scores'!$A$2:$A$131,0)),IF(ISNUMBER(INDEX('NCO-2015 scores'!$C$2:$C$131,MATCH(E3152,'NCO-2015 scores'!$A$2:$A$131,0))),1,0),0)</f>
        <v>1</v>
      </c>
    </row>
    <row r="3153" customFormat="false" ht="15" hidden="false" customHeight="false" outlineLevel="0" collapsed="false">
      <c r="A3153" s="2" t="n">
        <v>3149</v>
      </c>
      <c r="B3153" s="2" t="s">
        <v>9168</v>
      </c>
      <c r="C3153" s="2" t="s">
        <v>9169</v>
      </c>
      <c r="D3153" s="2" t="s">
        <v>9170</v>
      </c>
      <c r="E3153" s="2" t="str">
        <f aca="false">LEFT(C3153,3)</f>
        <v>132</v>
      </c>
      <c r="F3153" s="2" t="str">
        <f aca="false">IF(D3153="","",LEFT(D3153,3))</f>
        <v>122</v>
      </c>
      <c r="G3153" s="2" t="str">
        <f aca="false">IF(F3153="","",IF(E3153=F3153,"Yes","No"))</f>
        <v>No</v>
      </c>
      <c r="H3153" s="2" t="n">
        <f aca="false">IF(D3153="",0,1/COUNTIF($D$2:$D$3451,D3153))</f>
        <v>1</v>
      </c>
      <c r="I3153" s="13" t="n">
        <f aca="false">IFERROR(INDEX('NCO-2015 scores'!$C$2:$C$131,MATCH(E3153,'NCO-2015 scores'!$A$2:$A$131,0)),0)</f>
        <v>0.3625</v>
      </c>
      <c r="J3153" s="13" t="n">
        <f aca="false">IF(ISNUMBER(MATCH(E3153,'NCO-2015 scores'!$A$2:$A$131,0)),IF(ISNUMBER(INDEX('NCO-2015 scores'!$C$2:$C$131,MATCH(E3153,'NCO-2015 scores'!$A$2:$A$131,0))),1,0),0)</f>
        <v>1</v>
      </c>
    </row>
    <row r="3154" customFormat="false" ht="15" hidden="false" customHeight="false" outlineLevel="0" collapsed="false">
      <c r="A3154" s="2" t="n">
        <v>3150</v>
      </c>
      <c r="B3154" s="2" t="s">
        <v>9171</v>
      </c>
      <c r="C3154" s="2" t="s">
        <v>9172</v>
      </c>
      <c r="D3154" s="2" t="s">
        <v>9173</v>
      </c>
      <c r="E3154" s="2" t="str">
        <f aca="false">LEFT(C3154,3)</f>
        <v>132</v>
      </c>
      <c r="F3154" s="2" t="str">
        <f aca="false">IF(D3154="","",LEFT(D3154,3))</f>
        <v>130</v>
      </c>
      <c r="G3154" s="2" t="str">
        <f aca="false">IF(F3154="","",IF(E3154=F3154,"Yes","No"))</f>
        <v>No</v>
      </c>
      <c r="H3154" s="2" t="n">
        <f aca="false">IF(D3154="",0,1/COUNTIF($D$2:$D$3451,D3154))</f>
        <v>1</v>
      </c>
      <c r="I3154" s="13" t="n">
        <f aca="false">IFERROR(INDEX('NCO-2015 scores'!$C$2:$C$131,MATCH(E3154,'NCO-2015 scores'!$A$2:$A$131,0)),0)</f>
        <v>0.3625</v>
      </c>
      <c r="J3154" s="13" t="n">
        <f aca="false">IF(ISNUMBER(MATCH(E3154,'NCO-2015 scores'!$A$2:$A$131,0)),IF(ISNUMBER(INDEX('NCO-2015 scores'!$C$2:$C$131,MATCH(E3154,'NCO-2015 scores'!$A$2:$A$131,0))),1,0),0)</f>
        <v>1</v>
      </c>
    </row>
    <row r="3155" customFormat="false" ht="15" hidden="false" customHeight="false" outlineLevel="0" collapsed="false">
      <c r="A3155" s="2" t="n">
        <v>3151</v>
      </c>
      <c r="B3155" s="2" t="s">
        <v>9174</v>
      </c>
      <c r="C3155" s="2" t="s">
        <v>9175</v>
      </c>
      <c r="D3155" s="2" t="s">
        <v>9176</v>
      </c>
      <c r="E3155" s="2" t="str">
        <f aca="false">LEFT(C3155,3)</f>
        <v>961</v>
      </c>
      <c r="F3155" s="2" t="str">
        <f aca="false">IF(D3155="","",LEFT(D3155,3))</f>
        <v>916</v>
      </c>
      <c r="G3155" s="2" t="str">
        <f aca="false">IF(F3155="","",IF(E3155=F3155,"Yes","No"))</f>
        <v>No</v>
      </c>
      <c r="H3155" s="2" t="n">
        <f aca="false">IF(D3155="",0,1/COUNTIF($D$2:$D$3451,D3155))</f>
        <v>1</v>
      </c>
      <c r="I3155" s="13" t="n">
        <f aca="false">IFERROR(INDEX('NCO-2015 scores'!$C$2:$C$131,MATCH(E3155,'NCO-2015 scores'!$A$2:$A$131,0)),0)</f>
        <v>0.12</v>
      </c>
      <c r="J3155" s="13" t="n">
        <f aca="false">IF(ISNUMBER(MATCH(E3155,'NCO-2015 scores'!$A$2:$A$131,0)),IF(ISNUMBER(INDEX('NCO-2015 scores'!$C$2:$C$131,MATCH(E3155,'NCO-2015 scores'!$A$2:$A$131,0))),1,0),0)</f>
        <v>1</v>
      </c>
    </row>
    <row r="3156" customFormat="false" ht="15" hidden="false" customHeight="false" outlineLevel="0" collapsed="false">
      <c r="A3156" s="2" t="n">
        <v>3152</v>
      </c>
      <c r="B3156" s="2" t="s">
        <v>9177</v>
      </c>
      <c r="C3156" s="2" t="s">
        <v>9178</v>
      </c>
      <c r="D3156" s="2" t="s">
        <v>9179</v>
      </c>
      <c r="E3156" s="2" t="str">
        <f aca="false">LEFT(C3156,3)</f>
        <v>961</v>
      </c>
      <c r="F3156" s="2" t="str">
        <f aca="false">IF(D3156="","",LEFT(D3156,3))</f>
        <v>916</v>
      </c>
      <c r="G3156" s="2" t="str">
        <f aca="false">IF(F3156="","",IF(E3156=F3156,"Yes","No"))</f>
        <v>No</v>
      </c>
      <c r="H3156" s="2" t="n">
        <f aca="false">IF(D3156="",0,1/COUNTIF($D$2:$D$3451,D3156))</f>
        <v>1</v>
      </c>
      <c r="I3156" s="13" t="n">
        <f aca="false">IFERROR(INDEX('NCO-2015 scores'!$C$2:$C$131,MATCH(E3156,'NCO-2015 scores'!$A$2:$A$131,0)),0)</f>
        <v>0.12</v>
      </c>
      <c r="J3156" s="13" t="n">
        <f aca="false">IF(ISNUMBER(MATCH(E3156,'NCO-2015 scores'!$A$2:$A$131,0)),IF(ISNUMBER(INDEX('NCO-2015 scores'!$C$2:$C$131,MATCH(E3156,'NCO-2015 scores'!$A$2:$A$131,0))),1,0),0)</f>
        <v>1</v>
      </c>
    </row>
    <row r="3157" customFormat="false" ht="15" hidden="false" customHeight="false" outlineLevel="0" collapsed="false">
      <c r="A3157" s="2" t="n">
        <v>3153</v>
      </c>
      <c r="B3157" s="2" t="s">
        <v>9180</v>
      </c>
      <c r="C3157" s="2" t="s">
        <v>9181</v>
      </c>
      <c r="D3157" s="2" t="s">
        <v>9182</v>
      </c>
      <c r="E3157" s="2" t="str">
        <f aca="false">LEFT(C3157,3)</f>
        <v>961</v>
      </c>
      <c r="F3157" s="2" t="str">
        <f aca="false">IF(D3157="","",LEFT(D3157,3))</f>
        <v>916</v>
      </c>
      <c r="G3157" s="2" t="str">
        <f aca="false">IF(F3157="","",IF(E3157=F3157,"Yes","No"))</f>
        <v>No</v>
      </c>
      <c r="H3157" s="2" t="n">
        <f aca="false">IF(D3157="",0,1/COUNTIF($D$2:$D$3451,D3157))</f>
        <v>1</v>
      </c>
      <c r="I3157" s="13" t="n">
        <f aca="false">IFERROR(INDEX('NCO-2015 scores'!$C$2:$C$131,MATCH(E3157,'NCO-2015 scores'!$A$2:$A$131,0)),0)</f>
        <v>0.12</v>
      </c>
      <c r="J3157" s="13" t="n">
        <f aca="false">IF(ISNUMBER(MATCH(E3157,'NCO-2015 scores'!$A$2:$A$131,0)),IF(ISNUMBER(INDEX('NCO-2015 scores'!$C$2:$C$131,MATCH(E3157,'NCO-2015 scores'!$A$2:$A$131,0))),1,0),0)</f>
        <v>1</v>
      </c>
    </row>
    <row r="3158" customFormat="false" ht="15" hidden="false" customHeight="false" outlineLevel="0" collapsed="false">
      <c r="A3158" s="2" t="n">
        <v>3154</v>
      </c>
      <c r="B3158" s="2" t="s">
        <v>9183</v>
      </c>
      <c r="C3158" s="2" t="s">
        <v>9184</v>
      </c>
      <c r="D3158" s="2" t="s">
        <v>9185</v>
      </c>
      <c r="E3158" s="2" t="str">
        <f aca="false">LEFT(C3158,3)</f>
        <v>961</v>
      </c>
      <c r="F3158" s="2" t="str">
        <f aca="false">IF(D3158="","",LEFT(D3158,3))</f>
        <v>916</v>
      </c>
      <c r="G3158" s="2" t="str">
        <f aca="false">IF(F3158="","",IF(E3158=F3158,"Yes","No"))</f>
        <v>No</v>
      </c>
      <c r="H3158" s="2" t="n">
        <f aca="false">IF(D3158="",0,1/COUNTIF($D$2:$D$3451,D3158))</f>
        <v>1</v>
      </c>
      <c r="I3158" s="13" t="n">
        <f aca="false">IFERROR(INDEX('NCO-2015 scores'!$C$2:$C$131,MATCH(E3158,'NCO-2015 scores'!$A$2:$A$131,0)),0)</f>
        <v>0.12</v>
      </c>
      <c r="J3158" s="13" t="n">
        <f aca="false">IF(ISNUMBER(MATCH(E3158,'NCO-2015 scores'!$A$2:$A$131,0)),IF(ISNUMBER(INDEX('NCO-2015 scores'!$C$2:$C$131,MATCH(E3158,'NCO-2015 scores'!$A$2:$A$131,0))),1,0),0)</f>
        <v>1</v>
      </c>
    </row>
    <row r="3159" customFormat="false" ht="15" hidden="false" customHeight="false" outlineLevel="0" collapsed="false">
      <c r="A3159" s="2" t="n">
        <v>3155</v>
      </c>
      <c r="B3159" s="2" t="s">
        <v>9186</v>
      </c>
      <c r="C3159" s="2" t="s">
        <v>9187</v>
      </c>
      <c r="D3159" s="2"/>
      <c r="E3159" s="2" t="str">
        <f aca="false">LEFT(C3159,3)</f>
        <v>251</v>
      </c>
      <c r="F3159" s="2" t="str">
        <f aca="false">IF(D3159="","",LEFT(D3159,3))</f>
        <v/>
      </c>
      <c r="G3159" s="2" t="str">
        <f aca="false">IF(F3159="","",IF(E3159=F3159,"Yes","No"))</f>
        <v/>
      </c>
      <c r="H3159" s="2" t="n">
        <f aca="false">IF(D3159="",0,1/COUNTIF($D$2:$D$3451,D3159))</f>
        <v>0</v>
      </c>
      <c r="I3159" s="13" t="n">
        <f aca="false">IFERROR(INDEX('NCO-2015 scores'!$C$2:$C$131,MATCH(E3159,'NCO-2015 scores'!$A$2:$A$131,0)),0)</f>
        <v>0.548</v>
      </c>
      <c r="J3159" s="13" t="n">
        <f aca="false">IF(ISNUMBER(MATCH(E3159,'NCO-2015 scores'!$A$2:$A$131,0)),IF(ISNUMBER(INDEX('NCO-2015 scores'!$C$2:$C$131,MATCH(E3159,'NCO-2015 scores'!$A$2:$A$131,0))),1,0),0)</f>
        <v>1</v>
      </c>
    </row>
    <row r="3160" customFormat="false" ht="15" hidden="false" customHeight="false" outlineLevel="0" collapsed="false">
      <c r="A3160" s="2" t="n">
        <v>3156</v>
      </c>
      <c r="B3160" s="2" t="s">
        <v>9188</v>
      </c>
      <c r="C3160" s="2" t="s">
        <v>9189</v>
      </c>
      <c r="D3160" s="2" t="s">
        <v>9190</v>
      </c>
      <c r="E3160" s="2" t="str">
        <f aca="false">LEFT(C3160,3)</f>
        <v>251</v>
      </c>
      <c r="F3160" s="2" t="str">
        <f aca="false">IF(D3160="","",LEFT(D3160,3))</f>
        <v>213</v>
      </c>
      <c r="G3160" s="2" t="str">
        <f aca="false">IF(F3160="","",IF(E3160=F3160,"Yes","No"))</f>
        <v>No</v>
      </c>
      <c r="H3160" s="2" t="n">
        <f aca="false">IF(D3160="",0,1/COUNTIF($D$2:$D$3451,D3160))</f>
        <v>1</v>
      </c>
      <c r="I3160" s="13" t="n">
        <f aca="false">IFERROR(INDEX('NCO-2015 scores'!$C$2:$C$131,MATCH(E3160,'NCO-2015 scores'!$A$2:$A$131,0)),0)</f>
        <v>0.548</v>
      </c>
      <c r="J3160" s="13" t="n">
        <f aca="false">IF(ISNUMBER(MATCH(E3160,'NCO-2015 scores'!$A$2:$A$131,0)),IF(ISNUMBER(INDEX('NCO-2015 scores'!$C$2:$C$131,MATCH(E3160,'NCO-2015 scores'!$A$2:$A$131,0))),1,0),0)</f>
        <v>1</v>
      </c>
    </row>
    <row r="3161" customFormat="false" ht="15" hidden="false" customHeight="false" outlineLevel="0" collapsed="false">
      <c r="A3161" s="2" t="n">
        <v>3157</v>
      </c>
      <c r="B3161" s="2" t="s">
        <v>9191</v>
      </c>
      <c r="C3161" s="2" t="s">
        <v>9192</v>
      </c>
      <c r="D3161" s="2" t="s">
        <v>9193</v>
      </c>
      <c r="E3161" s="2" t="str">
        <f aca="false">LEFT(C3161,3)</f>
        <v>251</v>
      </c>
      <c r="F3161" s="2" t="str">
        <f aca="false">IF(D3161="","",LEFT(D3161,3))</f>
        <v>213</v>
      </c>
      <c r="G3161" s="2" t="str">
        <f aca="false">IF(F3161="","",IF(E3161=F3161,"Yes","No"))</f>
        <v>No</v>
      </c>
      <c r="H3161" s="2" t="n">
        <f aca="false">IF(D3161="",0,1/COUNTIF($D$2:$D$3451,D3161))</f>
        <v>1</v>
      </c>
      <c r="I3161" s="13" t="n">
        <f aca="false">IFERROR(INDEX('NCO-2015 scores'!$C$2:$C$131,MATCH(E3161,'NCO-2015 scores'!$A$2:$A$131,0)),0)</f>
        <v>0.548</v>
      </c>
      <c r="J3161" s="13" t="n">
        <f aca="false">IF(ISNUMBER(MATCH(E3161,'NCO-2015 scores'!$A$2:$A$131,0)),IF(ISNUMBER(INDEX('NCO-2015 scores'!$C$2:$C$131,MATCH(E3161,'NCO-2015 scores'!$A$2:$A$131,0))),1,0),0)</f>
        <v>1</v>
      </c>
    </row>
    <row r="3162" customFormat="false" ht="15" hidden="false" customHeight="false" outlineLevel="0" collapsed="false">
      <c r="A3162" s="2" t="n">
        <v>3158</v>
      </c>
      <c r="B3162" s="2" t="s">
        <v>9194</v>
      </c>
      <c r="C3162" s="2" t="s">
        <v>9195</v>
      </c>
      <c r="D3162" s="2"/>
      <c r="E3162" s="2" t="str">
        <f aca="false">LEFT(C3162,3)</f>
        <v>251</v>
      </c>
      <c r="F3162" s="2" t="str">
        <f aca="false">IF(D3162="","",LEFT(D3162,3))</f>
        <v/>
      </c>
      <c r="G3162" s="2" t="str">
        <f aca="false">IF(F3162="","",IF(E3162=F3162,"Yes","No"))</f>
        <v/>
      </c>
      <c r="H3162" s="2" t="n">
        <f aca="false">IF(D3162="",0,1/COUNTIF($D$2:$D$3451,D3162))</f>
        <v>0</v>
      </c>
      <c r="I3162" s="13" t="n">
        <f aca="false">IFERROR(INDEX('NCO-2015 scores'!$C$2:$C$131,MATCH(E3162,'NCO-2015 scores'!$A$2:$A$131,0)),0)</f>
        <v>0.548</v>
      </c>
      <c r="J3162" s="13" t="n">
        <f aca="false">IF(ISNUMBER(MATCH(E3162,'NCO-2015 scores'!$A$2:$A$131,0)),IF(ISNUMBER(INDEX('NCO-2015 scores'!$C$2:$C$131,MATCH(E3162,'NCO-2015 scores'!$A$2:$A$131,0))),1,0),0)</f>
        <v>1</v>
      </c>
    </row>
    <row r="3163" customFormat="false" ht="15" hidden="false" customHeight="false" outlineLevel="0" collapsed="false">
      <c r="A3163" s="2" t="n">
        <v>3159</v>
      </c>
      <c r="B3163" s="2" t="s">
        <v>9196</v>
      </c>
      <c r="C3163" s="2" t="s">
        <v>9197</v>
      </c>
      <c r="D3163" s="2"/>
      <c r="E3163" s="2" t="str">
        <f aca="false">LEFT(C3163,3)</f>
        <v>251</v>
      </c>
      <c r="F3163" s="2" t="str">
        <f aca="false">IF(D3163="","",LEFT(D3163,3))</f>
        <v/>
      </c>
      <c r="G3163" s="2" t="str">
        <f aca="false">IF(F3163="","",IF(E3163=F3163,"Yes","No"))</f>
        <v/>
      </c>
      <c r="H3163" s="2" t="n">
        <f aca="false">IF(D3163="",0,1/COUNTIF($D$2:$D$3451,D3163))</f>
        <v>0</v>
      </c>
      <c r="I3163" s="13" t="n">
        <f aca="false">IFERROR(INDEX('NCO-2015 scores'!$C$2:$C$131,MATCH(E3163,'NCO-2015 scores'!$A$2:$A$131,0)),0)</f>
        <v>0.548</v>
      </c>
      <c r="J3163" s="13" t="n">
        <f aca="false">IF(ISNUMBER(MATCH(E3163,'NCO-2015 scores'!$A$2:$A$131,0)),IF(ISNUMBER(INDEX('NCO-2015 scores'!$C$2:$C$131,MATCH(E3163,'NCO-2015 scores'!$A$2:$A$131,0))),1,0),0)</f>
        <v>1</v>
      </c>
    </row>
    <row r="3164" customFormat="false" ht="15" hidden="false" customHeight="false" outlineLevel="0" collapsed="false">
      <c r="A3164" s="2" t="n">
        <v>3160</v>
      </c>
      <c r="B3164" s="2" t="s">
        <v>9198</v>
      </c>
      <c r="C3164" s="2" t="s">
        <v>9199</v>
      </c>
      <c r="D3164" s="2"/>
      <c r="E3164" s="2" t="str">
        <f aca="false">LEFT(C3164,3)</f>
        <v>251</v>
      </c>
      <c r="F3164" s="2" t="str">
        <f aca="false">IF(D3164="","",LEFT(D3164,3))</f>
        <v/>
      </c>
      <c r="G3164" s="2" t="str">
        <f aca="false">IF(F3164="","",IF(E3164=F3164,"Yes","No"))</f>
        <v/>
      </c>
      <c r="H3164" s="2" t="n">
        <f aca="false">IF(D3164="",0,1/COUNTIF($D$2:$D$3451,D3164))</f>
        <v>0</v>
      </c>
      <c r="I3164" s="13" t="n">
        <f aca="false">IFERROR(INDEX('NCO-2015 scores'!$C$2:$C$131,MATCH(E3164,'NCO-2015 scores'!$A$2:$A$131,0)),0)</f>
        <v>0.548</v>
      </c>
      <c r="J3164" s="13" t="n">
        <f aca="false">IF(ISNUMBER(MATCH(E3164,'NCO-2015 scores'!$A$2:$A$131,0)),IF(ISNUMBER(INDEX('NCO-2015 scores'!$C$2:$C$131,MATCH(E3164,'NCO-2015 scores'!$A$2:$A$131,0))),1,0),0)</f>
        <v>1</v>
      </c>
    </row>
    <row r="3165" customFormat="false" ht="15" hidden="false" customHeight="false" outlineLevel="0" collapsed="false">
      <c r="A3165" s="2" t="n">
        <v>3161</v>
      </c>
      <c r="B3165" s="2" t="s">
        <v>9200</v>
      </c>
      <c r="C3165" s="2" t="s">
        <v>9201</v>
      </c>
      <c r="D3165" s="2"/>
      <c r="E3165" s="2" t="str">
        <f aca="false">LEFT(C3165,3)</f>
        <v>251</v>
      </c>
      <c r="F3165" s="2" t="str">
        <f aca="false">IF(D3165="","",LEFT(D3165,3))</f>
        <v/>
      </c>
      <c r="G3165" s="2" t="str">
        <f aca="false">IF(F3165="","",IF(E3165=F3165,"Yes","No"))</f>
        <v/>
      </c>
      <c r="H3165" s="2" t="n">
        <f aca="false">IF(D3165="",0,1/COUNTIF($D$2:$D$3451,D3165))</f>
        <v>0</v>
      </c>
      <c r="I3165" s="13" t="n">
        <f aca="false">IFERROR(INDEX('NCO-2015 scores'!$C$2:$C$131,MATCH(E3165,'NCO-2015 scores'!$A$2:$A$131,0)),0)</f>
        <v>0.548</v>
      </c>
      <c r="J3165" s="13" t="n">
        <f aca="false">IF(ISNUMBER(MATCH(E3165,'NCO-2015 scores'!$A$2:$A$131,0)),IF(ISNUMBER(INDEX('NCO-2015 scores'!$C$2:$C$131,MATCH(E3165,'NCO-2015 scores'!$A$2:$A$131,0))),1,0),0)</f>
        <v>1</v>
      </c>
    </row>
    <row r="3166" customFormat="false" ht="15" hidden="false" customHeight="false" outlineLevel="0" collapsed="false">
      <c r="A3166" s="2" t="n">
        <v>3162</v>
      </c>
      <c r="B3166" s="2" t="s">
        <v>9202</v>
      </c>
      <c r="C3166" s="2" t="s">
        <v>9203</v>
      </c>
      <c r="D3166" s="2"/>
      <c r="E3166" s="2" t="str">
        <f aca="false">LEFT(C3166,3)</f>
        <v>251</v>
      </c>
      <c r="F3166" s="2" t="str">
        <f aca="false">IF(D3166="","",LEFT(D3166,3))</f>
        <v/>
      </c>
      <c r="G3166" s="2" t="str">
        <f aca="false">IF(F3166="","",IF(E3166=F3166,"Yes","No"))</f>
        <v/>
      </c>
      <c r="H3166" s="2" t="n">
        <f aca="false">IF(D3166="",0,1/COUNTIF($D$2:$D$3451,D3166))</f>
        <v>0</v>
      </c>
      <c r="I3166" s="13" t="n">
        <f aca="false">IFERROR(INDEX('NCO-2015 scores'!$C$2:$C$131,MATCH(E3166,'NCO-2015 scores'!$A$2:$A$131,0)),0)</f>
        <v>0.548</v>
      </c>
      <c r="J3166" s="13" t="n">
        <f aca="false">IF(ISNUMBER(MATCH(E3166,'NCO-2015 scores'!$A$2:$A$131,0)),IF(ISNUMBER(INDEX('NCO-2015 scores'!$C$2:$C$131,MATCH(E3166,'NCO-2015 scores'!$A$2:$A$131,0))),1,0),0)</f>
        <v>1</v>
      </c>
    </row>
    <row r="3167" customFormat="false" ht="15" hidden="false" customHeight="false" outlineLevel="0" collapsed="false">
      <c r="A3167" s="2" t="n">
        <v>3163</v>
      </c>
      <c r="B3167" s="2" t="s">
        <v>9204</v>
      </c>
      <c r="C3167" s="2" t="s">
        <v>9205</v>
      </c>
      <c r="D3167" s="2"/>
      <c r="E3167" s="2" t="str">
        <f aca="false">LEFT(C3167,3)</f>
        <v>252</v>
      </c>
      <c r="F3167" s="2" t="str">
        <f aca="false">IF(D3167="","",LEFT(D3167,3))</f>
        <v/>
      </c>
      <c r="G3167" s="2" t="str">
        <f aca="false">IF(F3167="","",IF(E3167=F3167,"Yes","No"))</f>
        <v/>
      </c>
      <c r="H3167" s="2" t="n">
        <f aca="false">IF(D3167="",0,1/COUNTIF($D$2:$D$3451,D3167))</f>
        <v>0</v>
      </c>
      <c r="I3167" s="13" t="n">
        <f aca="false">IFERROR(INDEX('NCO-2015 scores'!$C$2:$C$131,MATCH(E3167,'NCO-2015 scores'!$A$2:$A$131,0)),0)</f>
        <v>0.5375</v>
      </c>
      <c r="J3167" s="13" t="n">
        <f aca="false">IF(ISNUMBER(MATCH(E3167,'NCO-2015 scores'!$A$2:$A$131,0)),IF(ISNUMBER(INDEX('NCO-2015 scores'!$C$2:$C$131,MATCH(E3167,'NCO-2015 scores'!$A$2:$A$131,0))),1,0),0)</f>
        <v>1</v>
      </c>
    </row>
    <row r="3168" customFormat="false" ht="15" hidden="false" customHeight="false" outlineLevel="0" collapsed="false">
      <c r="A3168" s="2" t="n">
        <v>3164</v>
      </c>
      <c r="B3168" s="2" t="s">
        <v>9206</v>
      </c>
      <c r="C3168" s="2" t="s">
        <v>9207</v>
      </c>
      <c r="D3168" s="2" t="s">
        <v>9208</v>
      </c>
      <c r="E3168" s="2" t="str">
        <f aca="false">LEFT(C3168,3)</f>
        <v>252</v>
      </c>
      <c r="F3168" s="2" t="str">
        <f aca="false">IF(D3168="","",LEFT(D3168,3))</f>
        <v>213</v>
      </c>
      <c r="G3168" s="2" t="str">
        <f aca="false">IF(F3168="","",IF(E3168=F3168,"Yes","No"))</f>
        <v>No</v>
      </c>
      <c r="H3168" s="2" t="n">
        <f aca="false">IF(D3168="",0,1/COUNTIF($D$2:$D$3451,D3168))</f>
        <v>1</v>
      </c>
      <c r="I3168" s="13" t="n">
        <f aca="false">IFERROR(INDEX('NCO-2015 scores'!$C$2:$C$131,MATCH(E3168,'NCO-2015 scores'!$A$2:$A$131,0)),0)</f>
        <v>0.5375</v>
      </c>
      <c r="J3168" s="13" t="n">
        <f aca="false">IF(ISNUMBER(MATCH(E3168,'NCO-2015 scores'!$A$2:$A$131,0)),IF(ISNUMBER(INDEX('NCO-2015 scores'!$C$2:$C$131,MATCH(E3168,'NCO-2015 scores'!$A$2:$A$131,0))),1,0),0)</f>
        <v>1</v>
      </c>
    </row>
    <row r="3169" customFormat="false" ht="15" hidden="false" customHeight="false" outlineLevel="0" collapsed="false">
      <c r="A3169" s="2" t="n">
        <v>3165</v>
      </c>
      <c r="B3169" s="2" t="s">
        <v>9209</v>
      </c>
      <c r="C3169" s="2" t="s">
        <v>9210</v>
      </c>
      <c r="D3169" s="2" t="s">
        <v>9211</v>
      </c>
      <c r="E3169" s="2" t="str">
        <f aca="false">LEFT(C3169,3)</f>
        <v>753</v>
      </c>
      <c r="F3169" s="2" t="str">
        <f aca="false">IF(D3169="","",LEFT(D3169,3))</f>
        <v>743</v>
      </c>
      <c r="G3169" s="2" t="str">
        <f aca="false">IF(F3169="","",IF(E3169=F3169,"Yes","No"))</f>
        <v>No</v>
      </c>
      <c r="H3169" s="2" t="n">
        <f aca="false">IF(D3169="",0,1/COUNTIF($D$2:$D$3451,D3169))</f>
        <v>1</v>
      </c>
      <c r="I3169" s="13" t="n">
        <f aca="false">IFERROR(INDEX('NCO-2015 scores'!$C$2:$C$131,MATCH(E3169,'NCO-2015 scores'!$A$2:$A$131,0)),0)</f>
        <v>0.15</v>
      </c>
      <c r="J3169" s="13" t="n">
        <f aca="false">IF(ISNUMBER(MATCH(E3169,'NCO-2015 scores'!$A$2:$A$131,0)),IF(ISNUMBER(INDEX('NCO-2015 scores'!$C$2:$C$131,MATCH(E3169,'NCO-2015 scores'!$A$2:$A$131,0))),1,0),0)</f>
        <v>1</v>
      </c>
    </row>
    <row r="3170" customFormat="false" ht="15" hidden="false" customHeight="false" outlineLevel="0" collapsed="false">
      <c r="A3170" s="2" t="n">
        <v>3166</v>
      </c>
      <c r="B3170" s="2" t="s">
        <v>9212</v>
      </c>
      <c r="C3170" s="2" t="s">
        <v>9213</v>
      </c>
      <c r="D3170" s="2" t="s">
        <v>9214</v>
      </c>
      <c r="E3170" s="2" t="str">
        <f aca="false">LEFT(C3170,3)</f>
        <v>753</v>
      </c>
      <c r="F3170" s="2" t="str">
        <f aca="false">IF(D3170="","",LEFT(D3170,3))</f>
        <v>743</v>
      </c>
      <c r="G3170" s="2" t="str">
        <f aca="false">IF(F3170="","",IF(E3170=F3170,"Yes","No"))</f>
        <v>No</v>
      </c>
      <c r="H3170" s="2" t="n">
        <f aca="false">IF(D3170="",0,1/COUNTIF($D$2:$D$3451,D3170))</f>
        <v>1</v>
      </c>
      <c r="I3170" s="13" t="n">
        <f aca="false">IFERROR(INDEX('NCO-2015 scores'!$C$2:$C$131,MATCH(E3170,'NCO-2015 scores'!$A$2:$A$131,0)),0)</f>
        <v>0.15</v>
      </c>
      <c r="J3170" s="13" t="n">
        <f aca="false">IF(ISNUMBER(MATCH(E3170,'NCO-2015 scores'!$A$2:$A$131,0)),IF(ISNUMBER(INDEX('NCO-2015 scores'!$C$2:$C$131,MATCH(E3170,'NCO-2015 scores'!$A$2:$A$131,0))),1,0),0)</f>
        <v>1</v>
      </c>
    </row>
    <row r="3171" customFormat="false" ht="15" hidden="false" customHeight="false" outlineLevel="0" collapsed="false">
      <c r="A3171" s="2" t="n">
        <v>3167</v>
      </c>
      <c r="B3171" s="2" t="s">
        <v>9215</v>
      </c>
      <c r="C3171" s="2" t="s">
        <v>9216</v>
      </c>
      <c r="D3171" s="2" t="s">
        <v>9217</v>
      </c>
      <c r="E3171" s="2" t="str">
        <f aca="false">LEFT(C3171,3)</f>
        <v>753</v>
      </c>
      <c r="F3171" s="2" t="str">
        <f aca="false">IF(D3171="","",LEFT(D3171,3))</f>
        <v>743</v>
      </c>
      <c r="G3171" s="2" t="str">
        <f aca="false">IF(F3171="","",IF(E3171=F3171,"Yes","No"))</f>
        <v>No</v>
      </c>
      <c r="H3171" s="2" t="n">
        <f aca="false">IF(D3171="",0,1/COUNTIF($D$2:$D$3451,D3171))</f>
        <v>1</v>
      </c>
      <c r="I3171" s="13" t="n">
        <f aca="false">IFERROR(INDEX('NCO-2015 scores'!$C$2:$C$131,MATCH(E3171,'NCO-2015 scores'!$A$2:$A$131,0)),0)</f>
        <v>0.15</v>
      </c>
      <c r="J3171" s="13" t="n">
        <f aca="false">IF(ISNUMBER(MATCH(E3171,'NCO-2015 scores'!$A$2:$A$131,0)),IF(ISNUMBER(INDEX('NCO-2015 scores'!$C$2:$C$131,MATCH(E3171,'NCO-2015 scores'!$A$2:$A$131,0))),1,0),0)</f>
        <v>1</v>
      </c>
    </row>
    <row r="3172" customFormat="false" ht="15" hidden="false" customHeight="false" outlineLevel="0" collapsed="false">
      <c r="A3172" s="2" t="n">
        <v>3168</v>
      </c>
      <c r="B3172" s="2" t="s">
        <v>9218</v>
      </c>
      <c r="C3172" s="2" t="s">
        <v>9219</v>
      </c>
      <c r="D3172" s="2" t="s">
        <v>9220</v>
      </c>
      <c r="E3172" s="2" t="str">
        <f aca="false">LEFT(C3172,3)</f>
        <v>753</v>
      </c>
      <c r="F3172" s="2" t="str">
        <f aca="false">IF(D3172="","",LEFT(D3172,3))</f>
        <v>743</v>
      </c>
      <c r="G3172" s="2" t="str">
        <f aca="false">IF(F3172="","",IF(E3172=F3172,"Yes","No"))</f>
        <v>No</v>
      </c>
      <c r="H3172" s="2" t="n">
        <f aca="false">IF(D3172="",0,1/COUNTIF($D$2:$D$3451,D3172))</f>
        <v>1</v>
      </c>
      <c r="I3172" s="13" t="n">
        <f aca="false">IFERROR(INDEX('NCO-2015 scores'!$C$2:$C$131,MATCH(E3172,'NCO-2015 scores'!$A$2:$A$131,0)),0)</f>
        <v>0.15</v>
      </c>
      <c r="J3172" s="13" t="n">
        <f aca="false">IF(ISNUMBER(MATCH(E3172,'NCO-2015 scores'!$A$2:$A$131,0)),IF(ISNUMBER(INDEX('NCO-2015 scores'!$C$2:$C$131,MATCH(E3172,'NCO-2015 scores'!$A$2:$A$131,0))),1,0),0)</f>
        <v>1</v>
      </c>
    </row>
    <row r="3173" customFormat="false" ht="15" hidden="false" customHeight="false" outlineLevel="0" collapsed="false">
      <c r="A3173" s="2" t="n">
        <v>3169</v>
      </c>
      <c r="B3173" s="2" t="s">
        <v>9221</v>
      </c>
      <c r="C3173" s="2" t="s">
        <v>9222</v>
      </c>
      <c r="D3173" s="2" t="s">
        <v>9223</v>
      </c>
      <c r="E3173" s="2" t="str">
        <f aca="false">LEFT(C3173,3)</f>
        <v>753</v>
      </c>
      <c r="F3173" s="2" t="str">
        <f aca="false">IF(D3173="","",LEFT(D3173,3))</f>
        <v>743</v>
      </c>
      <c r="G3173" s="2" t="str">
        <f aca="false">IF(F3173="","",IF(E3173=F3173,"Yes","No"))</f>
        <v>No</v>
      </c>
      <c r="H3173" s="2" t="n">
        <f aca="false">IF(D3173="",0,1/COUNTIF($D$2:$D$3451,D3173))</f>
        <v>1</v>
      </c>
      <c r="I3173" s="13" t="n">
        <f aca="false">IFERROR(INDEX('NCO-2015 scores'!$C$2:$C$131,MATCH(E3173,'NCO-2015 scores'!$A$2:$A$131,0)),0)</f>
        <v>0.15</v>
      </c>
      <c r="J3173" s="13" t="n">
        <f aca="false">IF(ISNUMBER(MATCH(E3173,'NCO-2015 scores'!$A$2:$A$131,0)),IF(ISNUMBER(INDEX('NCO-2015 scores'!$C$2:$C$131,MATCH(E3173,'NCO-2015 scores'!$A$2:$A$131,0))),1,0),0)</f>
        <v>1</v>
      </c>
    </row>
    <row r="3174" customFormat="false" ht="15" hidden="false" customHeight="false" outlineLevel="0" collapsed="false">
      <c r="A3174" s="2" t="n">
        <v>3170</v>
      </c>
      <c r="B3174" s="2" t="s">
        <v>9224</v>
      </c>
      <c r="C3174" s="2" t="s">
        <v>9225</v>
      </c>
      <c r="D3174" s="2"/>
      <c r="E3174" s="2" t="str">
        <f aca="false">LEFT(C3174,3)</f>
        <v>753</v>
      </c>
      <c r="F3174" s="2" t="str">
        <f aca="false">IF(D3174="","",LEFT(D3174,3))</f>
        <v/>
      </c>
      <c r="G3174" s="2" t="str">
        <f aca="false">IF(F3174="","",IF(E3174=F3174,"Yes","No"))</f>
        <v/>
      </c>
      <c r="H3174" s="2" t="n">
        <f aca="false">IF(D3174="",0,1/COUNTIF($D$2:$D$3451,D3174))</f>
        <v>0</v>
      </c>
      <c r="I3174" s="13" t="n">
        <f aca="false">IFERROR(INDEX('NCO-2015 scores'!$C$2:$C$131,MATCH(E3174,'NCO-2015 scores'!$A$2:$A$131,0)),0)</f>
        <v>0.15</v>
      </c>
      <c r="J3174" s="13" t="n">
        <f aca="false">IF(ISNUMBER(MATCH(E3174,'NCO-2015 scores'!$A$2:$A$131,0)),IF(ISNUMBER(INDEX('NCO-2015 scores'!$C$2:$C$131,MATCH(E3174,'NCO-2015 scores'!$A$2:$A$131,0))),1,0),0)</f>
        <v>1</v>
      </c>
    </row>
    <row r="3175" customFormat="false" ht="15" hidden="false" customHeight="false" outlineLevel="0" collapsed="false">
      <c r="A3175" s="2" t="n">
        <v>3171</v>
      </c>
      <c r="B3175" s="2" t="s">
        <v>9226</v>
      </c>
      <c r="C3175" s="2" t="s">
        <v>9227</v>
      </c>
      <c r="D3175" s="2" t="s">
        <v>9228</v>
      </c>
      <c r="E3175" s="2" t="str">
        <f aca="false">LEFT(C3175,3)</f>
        <v>753</v>
      </c>
      <c r="F3175" s="2" t="str">
        <f aca="false">IF(D3175="","",LEFT(D3175,3))</f>
        <v>743</v>
      </c>
      <c r="G3175" s="2" t="str">
        <f aca="false">IF(F3175="","",IF(E3175=F3175,"Yes","No"))</f>
        <v>No</v>
      </c>
      <c r="H3175" s="2" t="n">
        <f aca="false">IF(D3175="",0,1/COUNTIF($D$2:$D$3451,D3175))</f>
        <v>1</v>
      </c>
      <c r="I3175" s="13" t="n">
        <f aca="false">IFERROR(INDEX('NCO-2015 scores'!$C$2:$C$131,MATCH(E3175,'NCO-2015 scores'!$A$2:$A$131,0)),0)</f>
        <v>0.15</v>
      </c>
      <c r="J3175" s="13" t="n">
        <f aca="false">IF(ISNUMBER(MATCH(E3175,'NCO-2015 scores'!$A$2:$A$131,0)),IF(ISNUMBER(INDEX('NCO-2015 scores'!$C$2:$C$131,MATCH(E3175,'NCO-2015 scores'!$A$2:$A$131,0))),1,0),0)</f>
        <v>1</v>
      </c>
    </row>
    <row r="3176" customFormat="false" ht="15" hidden="false" customHeight="false" outlineLevel="0" collapsed="false">
      <c r="A3176" s="2" t="n">
        <v>3172</v>
      </c>
      <c r="B3176" s="2" t="s">
        <v>9229</v>
      </c>
      <c r="C3176" s="2" t="s">
        <v>9230</v>
      </c>
      <c r="D3176" s="2" t="s">
        <v>9231</v>
      </c>
      <c r="E3176" s="2" t="str">
        <f aca="false">LEFT(C3176,3)</f>
        <v>753</v>
      </c>
      <c r="F3176" s="2" t="str">
        <f aca="false">IF(D3176="","",LEFT(D3176,3))</f>
        <v>743</v>
      </c>
      <c r="G3176" s="2" t="str">
        <f aca="false">IF(F3176="","",IF(E3176=F3176,"Yes","No"))</f>
        <v>No</v>
      </c>
      <c r="H3176" s="2" t="n">
        <f aca="false">IF(D3176="",0,1/COUNTIF($D$2:$D$3451,D3176))</f>
        <v>1</v>
      </c>
      <c r="I3176" s="13" t="n">
        <f aca="false">IFERROR(INDEX('NCO-2015 scores'!$C$2:$C$131,MATCH(E3176,'NCO-2015 scores'!$A$2:$A$131,0)),0)</f>
        <v>0.15</v>
      </c>
      <c r="J3176" s="13" t="n">
        <f aca="false">IF(ISNUMBER(MATCH(E3176,'NCO-2015 scores'!$A$2:$A$131,0)),IF(ISNUMBER(INDEX('NCO-2015 scores'!$C$2:$C$131,MATCH(E3176,'NCO-2015 scores'!$A$2:$A$131,0))),1,0),0)</f>
        <v>1</v>
      </c>
    </row>
    <row r="3177" customFormat="false" ht="15" hidden="false" customHeight="false" outlineLevel="0" collapsed="false">
      <c r="A3177" s="2" t="n">
        <v>3173</v>
      </c>
      <c r="B3177" s="2" t="s">
        <v>9232</v>
      </c>
      <c r="C3177" s="2" t="s">
        <v>9233</v>
      </c>
      <c r="D3177" s="2" t="s">
        <v>9234</v>
      </c>
      <c r="E3177" s="2" t="str">
        <f aca="false">LEFT(C3177,3)</f>
        <v>753</v>
      </c>
      <c r="F3177" s="2" t="str">
        <f aca="false">IF(D3177="","",LEFT(D3177,3))</f>
        <v>743</v>
      </c>
      <c r="G3177" s="2" t="str">
        <f aca="false">IF(F3177="","",IF(E3177=F3177,"Yes","No"))</f>
        <v>No</v>
      </c>
      <c r="H3177" s="2" t="n">
        <f aca="false">IF(D3177="",0,1/COUNTIF($D$2:$D$3451,D3177))</f>
        <v>1</v>
      </c>
      <c r="I3177" s="13" t="n">
        <f aca="false">IFERROR(INDEX('NCO-2015 scores'!$C$2:$C$131,MATCH(E3177,'NCO-2015 scores'!$A$2:$A$131,0)),0)</f>
        <v>0.15</v>
      </c>
      <c r="J3177" s="13" t="n">
        <f aca="false">IF(ISNUMBER(MATCH(E3177,'NCO-2015 scores'!$A$2:$A$131,0)),IF(ISNUMBER(INDEX('NCO-2015 scores'!$C$2:$C$131,MATCH(E3177,'NCO-2015 scores'!$A$2:$A$131,0))),1,0),0)</f>
        <v>1</v>
      </c>
    </row>
    <row r="3178" customFormat="false" ht="15" hidden="false" customHeight="false" outlineLevel="0" collapsed="false">
      <c r="A3178" s="2" t="n">
        <v>3174</v>
      </c>
      <c r="B3178" s="2" t="s">
        <v>9235</v>
      </c>
      <c r="C3178" s="2" t="s">
        <v>9236</v>
      </c>
      <c r="D3178" s="2" t="s">
        <v>9237</v>
      </c>
      <c r="E3178" s="2" t="str">
        <f aca="false">LEFT(C3178,3)</f>
        <v>753</v>
      </c>
      <c r="F3178" s="2" t="str">
        <f aca="false">IF(D3178="","",LEFT(D3178,3))</f>
        <v>743</v>
      </c>
      <c r="G3178" s="2" t="str">
        <f aca="false">IF(F3178="","",IF(E3178=F3178,"Yes","No"))</f>
        <v>No</v>
      </c>
      <c r="H3178" s="2" t="n">
        <f aca="false">IF(D3178="",0,1/COUNTIF($D$2:$D$3451,D3178))</f>
        <v>1</v>
      </c>
      <c r="I3178" s="13" t="n">
        <f aca="false">IFERROR(INDEX('NCO-2015 scores'!$C$2:$C$131,MATCH(E3178,'NCO-2015 scores'!$A$2:$A$131,0)),0)</f>
        <v>0.15</v>
      </c>
      <c r="J3178" s="13" t="n">
        <f aca="false">IF(ISNUMBER(MATCH(E3178,'NCO-2015 scores'!$A$2:$A$131,0)),IF(ISNUMBER(INDEX('NCO-2015 scores'!$C$2:$C$131,MATCH(E3178,'NCO-2015 scores'!$A$2:$A$131,0))),1,0),0)</f>
        <v>1</v>
      </c>
    </row>
    <row r="3179" customFormat="false" ht="15" hidden="false" customHeight="false" outlineLevel="0" collapsed="false">
      <c r="A3179" s="2" t="n">
        <v>3175</v>
      </c>
      <c r="B3179" s="2" t="s">
        <v>9238</v>
      </c>
      <c r="C3179" s="2" t="s">
        <v>9239</v>
      </c>
      <c r="D3179" s="2" t="s">
        <v>9240</v>
      </c>
      <c r="E3179" s="2" t="str">
        <f aca="false">LEFT(C3179,3)</f>
        <v>753</v>
      </c>
      <c r="F3179" s="2" t="str">
        <f aca="false">IF(D3179="","",LEFT(D3179,3))</f>
        <v>743</v>
      </c>
      <c r="G3179" s="2" t="str">
        <f aca="false">IF(F3179="","",IF(E3179=F3179,"Yes","No"))</f>
        <v>No</v>
      </c>
      <c r="H3179" s="2" t="n">
        <f aca="false">IF(D3179="",0,1/COUNTIF($D$2:$D$3451,D3179))</f>
        <v>1</v>
      </c>
      <c r="I3179" s="13" t="n">
        <f aca="false">IFERROR(INDEX('NCO-2015 scores'!$C$2:$C$131,MATCH(E3179,'NCO-2015 scores'!$A$2:$A$131,0)),0)</f>
        <v>0.15</v>
      </c>
      <c r="J3179" s="13" t="n">
        <f aca="false">IF(ISNUMBER(MATCH(E3179,'NCO-2015 scores'!$A$2:$A$131,0)),IF(ISNUMBER(INDEX('NCO-2015 scores'!$C$2:$C$131,MATCH(E3179,'NCO-2015 scores'!$A$2:$A$131,0))),1,0),0)</f>
        <v>1</v>
      </c>
    </row>
    <row r="3180" customFormat="false" ht="15" hidden="false" customHeight="false" outlineLevel="0" collapsed="false">
      <c r="A3180" s="2" t="n">
        <v>3176</v>
      </c>
      <c r="B3180" s="2" t="s">
        <v>9241</v>
      </c>
      <c r="C3180" s="2" t="s">
        <v>9242</v>
      </c>
      <c r="D3180" s="2" t="s">
        <v>9243</v>
      </c>
      <c r="E3180" s="2" t="str">
        <f aca="false">LEFT(C3180,3)</f>
        <v>753</v>
      </c>
      <c r="F3180" s="2" t="str">
        <f aca="false">IF(D3180="","",LEFT(D3180,3))</f>
        <v>743</v>
      </c>
      <c r="G3180" s="2" t="str">
        <f aca="false">IF(F3180="","",IF(E3180=F3180,"Yes","No"))</f>
        <v>No</v>
      </c>
      <c r="H3180" s="2" t="n">
        <f aca="false">IF(D3180="",0,1/COUNTIF($D$2:$D$3451,D3180))</f>
        <v>1</v>
      </c>
      <c r="I3180" s="13" t="n">
        <f aca="false">IFERROR(INDEX('NCO-2015 scores'!$C$2:$C$131,MATCH(E3180,'NCO-2015 scores'!$A$2:$A$131,0)),0)</f>
        <v>0.15</v>
      </c>
      <c r="J3180" s="13" t="n">
        <f aca="false">IF(ISNUMBER(MATCH(E3180,'NCO-2015 scores'!$A$2:$A$131,0)),IF(ISNUMBER(INDEX('NCO-2015 scores'!$C$2:$C$131,MATCH(E3180,'NCO-2015 scores'!$A$2:$A$131,0))),1,0),0)</f>
        <v>1</v>
      </c>
    </row>
    <row r="3181" customFormat="false" ht="15" hidden="false" customHeight="false" outlineLevel="0" collapsed="false">
      <c r="A3181" s="2" t="n">
        <v>3177</v>
      </c>
      <c r="B3181" s="2" t="s">
        <v>9244</v>
      </c>
      <c r="C3181" s="2" t="s">
        <v>9245</v>
      </c>
      <c r="D3181" s="2" t="s">
        <v>9246</v>
      </c>
      <c r="E3181" s="2" t="str">
        <f aca="false">LEFT(C3181,3)</f>
        <v>753</v>
      </c>
      <c r="F3181" s="2" t="str">
        <f aca="false">IF(D3181="","",LEFT(D3181,3))</f>
        <v>743</v>
      </c>
      <c r="G3181" s="2" t="str">
        <f aca="false">IF(F3181="","",IF(E3181=F3181,"Yes","No"))</f>
        <v>No</v>
      </c>
      <c r="H3181" s="2" t="n">
        <f aca="false">IF(D3181="",0,1/COUNTIF($D$2:$D$3451,D3181))</f>
        <v>1</v>
      </c>
      <c r="I3181" s="13" t="n">
        <f aca="false">IFERROR(INDEX('NCO-2015 scores'!$C$2:$C$131,MATCH(E3181,'NCO-2015 scores'!$A$2:$A$131,0)),0)</f>
        <v>0.15</v>
      </c>
      <c r="J3181" s="13" t="n">
        <f aca="false">IF(ISNUMBER(MATCH(E3181,'NCO-2015 scores'!$A$2:$A$131,0)),IF(ISNUMBER(INDEX('NCO-2015 scores'!$C$2:$C$131,MATCH(E3181,'NCO-2015 scores'!$A$2:$A$131,0))),1,0),0)</f>
        <v>1</v>
      </c>
    </row>
    <row r="3182" customFormat="false" ht="15" hidden="false" customHeight="false" outlineLevel="0" collapsed="false">
      <c r="A3182" s="2" t="n">
        <v>3178</v>
      </c>
      <c r="B3182" s="2" t="s">
        <v>9247</v>
      </c>
      <c r="C3182" s="2" t="s">
        <v>9248</v>
      </c>
      <c r="D3182" s="2" t="s">
        <v>9249</v>
      </c>
      <c r="E3182" s="2" t="str">
        <f aca="false">LEFT(C3182,3)</f>
        <v>753</v>
      </c>
      <c r="F3182" s="2" t="str">
        <f aca="false">IF(D3182="","",LEFT(D3182,3))</f>
        <v>743</v>
      </c>
      <c r="G3182" s="2" t="str">
        <f aca="false">IF(F3182="","",IF(E3182=F3182,"Yes","No"))</f>
        <v>No</v>
      </c>
      <c r="H3182" s="2" t="n">
        <f aca="false">IF(D3182="",0,1/COUNTIF($D$2:$D$3451,D3182))</f>
        <v>1</v>
      </c>
      <c r="I3182" s="13" t="n">
        <f aca="false">IFERROR(INDEX('NCO-2015 scores'!$C$2:$C$131,MATCH(E3182,'NCO-2015 scores'!$A$2:$A$131,0)),0)</f>
        <v>0.15</v>
      </c>
      <c r="J3182" s="13" t="n">
        <f aca="false">IF(ISNUMBER(MATCH(E3182,'NCO-2015 scores'!$A$2:$A$131,0)),IF(ISNUMBER(INDEX('NCO-2015 scores'!$C$2:$C$131,MATCH(E3182,'NCO-2015 scores'!$A$2:$A$131,0))),1,0),0)</f>
        <v>1</v>
      </c>
    </row>
    <row r="3183" customFormat="false" ht="15" hidden="false" customHeight="false" outlineLevel="0" collapsed="false">
      <c r="A3183" s="2" t="n">
        <v>3179</v>
      </c>
      <c r="B3183" s="2" t="s">
        <v>9250</v>
      </c>
      <c r="C3183" s="2" t="s">
        <v>9251</v>
      </c>
      <c r="D3183" s="2" t="s">
        <v>9252</v>
      </c>
      <c r="E3183" s="2" t="str">
        <f aca="false">LEFT(C3183,3)</f>
        <v>753</v>
      </c>
      <c r="F3183" s="2" t="str">
        <f aca="false">IF(D3183="","",LEFT(D3183,3))</f>
        <v>743</v>
      </c>
      <c r="G3183" s="2" t="str">
        <f aca="false">IF(F3183="","",IF(E3183=F3183,"Yes","No"))</f>
        <v>No</v>
      </c>
      <c r="H3183" s="2" t="n">
        <f aca="false">IF(D3183="",0,1/COUNTIF($D$2:$D$3451,D3183))</f>
        <v>1</v>
      </c>
      <c r="I3183" s="13" t="n">
        <f aca="false">IFERROR(INDEX('NCO-2015 scores'!$C$2:$C$131,MATCH(E3183,'NCO-2015 scores'!$A$2:$A$131,0)),0)</f>
        <v>0.15</v>
      </c>
      <c r="J3183" s="13" t="n">
        <f aca="false">IF(ISNUMBER(MATCH(E3183,'NCO-2015 scores'!$A$2:$A$131,0)),IF(ISNUMBER(INDEX('NCO-2015 scores'!$C$2:$C$131,MATCH(E3183,'NCO-2015 scores'!$A$2:$A$131,0))),1,0),0)</f>
        <v>1</v>
      </c>
    </row>
    <row r="3184" customFormat="false" ht="15" hidden="false" customHeight="false" outlineLevel="0" collapsed="false">
      <c r="A3184" s="2" t="n">
        <v>3180</v>
      </c>
      <c r="B3184" s="2" t="s">
        <v>9253</v>
      </c>
      <c r="C3184" s="2" t="s">
        <v>9254</v>
      </c>
      <c r="D3184" s="2" t="s">
        <v>9255</v>
      </c>
      <c r="E3184" s="2" t="str">
        <f aca="false">LEFT(C3184,3)</f>
        <v>235</v>
      </c>
      <c r="F3184" s="2" t="str">
        <f aca="false">IF(D3184="","",LEFT(D3184,3))</f>
        <v>334</v>
      </c>
      <c r="G3184" s="2" t="str">
        <f aca="false">IF(F3184="","",IF(E3184=F3184,"Yes","No"))</f>
        <v>No</v>
      </c>
      <c r="H3184" s="2" t="n">
        <f aca="false">IF(D3184="",0,1/COUNTIF($D$2:$D$3451,D3184))</f>
        <v>1</v>
      </c>
      <c r="I3184" s="13" t="n">
        <f aca="false">IFERROR(INDEX('NCO-2015 scores'!$C$2:$C$131,MATCH(E3184,'NCO-2015 scores'!$A$2:$A$131,0)),0)</f>
        <v>0.3586</v>
      </c>
      <c r="J3184" s="13" t="n">
        <f aca="false">IF(ISNUMBER(MATCH(E3184,'NCO-2015 scores'!$A$2:$A$131,0)),IF(ISNUMBER(INDEX('NCO-2015 scores'!$C$2:$C$131,MATCH(E3184,'NCO-2015 scores'!$A$2:$A$131,0))),1,0),0)</f>
        <v>1</v>
      </c>
    </row>
    <row r="3185" customFormat="false" ht="15" hidden="false" customHeight="false" outlineLevel="0" collapsed="false">
      <c r="A3185" s="2" t="n">
        <v>3181</v>
      </c>
      <c r="B3185" s="2" t="s">
        <v>9256</v>
      </c>
      <c r="C3185" s="2" t="s">
        <v>9257</v>
      </c>
      <c r="D3185" s="2"/>
      <c r="E3185" s="2" t="str">
        <f aca="false">LEFT(C3185,3)</f>
        <v>243</v>
      </c>
      <c r="F3185" s="2" t="str">
        <f aca="false">IF(D3185="","",LEFT(D3185,3))</f>
        <v/>
      </c>
      <c r="G3185" s="2" t="str">
        <f aca="false">IF(F3185="","",IF(E3185=F3185,"Yes","No"))</f>
        <v/>
      </c>
      <c r="H3185" s="2" t="n">
        <f aca="false">IF(D3185="",0,1/COUNTIF($D$2:$D$3451,D3185))</f>
        <v>0</v>
      </c>
      <c r="I3185" s="13" t="n">
        <f aca="false">IFERROR(INDEX('NCO-2015 scores'!$C$2:$C$131,MATCH(E3185,'NCO-2015 scores'!$A$2:$A$131,0)),0)</f>
        <v>0.4975</v>
      </c>
      <c r="J3185" s="13" t="n">
        <f aca="false">IF(ISNUMBER(MATCH(E3185,'NCO-2015 scores'!$A$2:$A$131,0)),IF(ISNUMBER(INDEX('NCO-2015 scores'!$C$2:$C$131,MATCH(E3185,'NCO-2015 scores'!$A$2:$A$131,0))),1,0),0)</f>
        <v>1</v>
      </c>
    </row>
    <row r="3186" customFormat="false" ht="15" hidden="false" customHeight="false" outlineLevel="0" collapsed="false">
      <c r="A3186" s="2" t="n">
        <v>3182</v>
      </c>
      <c r="B3186" s="2" t="s">
        <v>9258</v>
      </c>
      <c r="C3186" s="2" t="s">
        <v>9259</v>
      </c>
      <c r="D3186" s="2" t="s">
        <v>9260</v>
      </c>
      <c r="E3186" s="2" t="str">
        <f aca="false">LEFT(C3186,3)</f>
        <v>243</v>
      </c>
      <c r="F3186" s="2" t="str">
        <f aca="false">IF(D3186="","",LEFT(D3186,3))</f>
        <v>341</v>
      </c>
      <c r="G3186" s="2" t="str">
        <f aca="false">IF(F3186="","",IF(E3186=F3186,"Yes","No"))</f>
        <v>No</v>
      </c>
      <c r="H3186" s="2" t="n">
        <f aca="false">IF(D3186="",0,1/COUNTIF($D$2:$D$3451,D3186))</f>
        <v>1</v>
      </c>
      <c r="I3186" s="13" t="n">
        <f aca="false">IFERROR(INDEX('NCO-2015 scores'!$C$2:$C$131,MATCH(E3186,'NCO-2015 scores'!$A$2:$A$131,0)),0)</f>
        <v>0.4975</v>
      </c>
      <c r="J3186" s="13" t="n">
        <f aca="false">IF(ISNUMBER(MATCH(E3186,'NCO-2015 scores'!$A$2:$A$131,0)),IF(ISNUMBER(INDEX('NCO-2015 scores'!$C$2:$C$131,MATCH(E3186,'NCO-2015 scores'!$A$2:$A$131,0))),1,0),0)</f>
        <v>1</v>
      </c>
    </row>
    <row r="3187" customFormat="false" ht="15" hidden="false" customHeight="false" outlineLevel="0" collapsed="false">
      <c r="A3187" s="2" t="n">
        <v>3183</v>
      </c>
      <c r="B3187" s="2" t="s">
        <v>9261</v>
      </c>
      <c r="C3187" s="2" t="s">
        <v>9262</v>
      </c>
      <c r="D3187" s="2"/>
      <c r="E3187" s="2" t="str">
        <f aca="false">LEFT(C3187,3)</f>
        <v>243</v>
      </c>
      <c r="F3187" s="2" t="str">
        <f aca="false">IF(D3187="","",LEFT(D3187,3))</f>
        <v/>
      </c>
      <c r="G3187" s="2" t="str">
        <f aca="false">IF(F3187="","",IF(E3187=F3187,"Yes","No"))</f>
        <v/>
      </c>
      <c r="H3187" s="2" t="n">
        <f aca="false">IF(D3187="",0,1/COUNTIF($D$2:$D$3451,D3187))</f>
        <v>0</v>
      </c>
      <c r="I3187" s="13" t="n">
        <f aca="false">IFERROR(INDEX('NCO-2015 scores'!$C$2:$C$131,MATCH(E3187,'NCO-2015 scores'!$A$2:$A$131,0)),0)</f>
        <v>0.4975</v>
      </c>
      <c r="J3187" s="13" t="n">
        <f aca="false">IF(ISNUMBER(MATCH(E3187,'NCO-2015 scores'!$A$2:$A$131,0)),IF(ISNUMBER(INDEX('NCO-2015 scores'!$C$2:$C$131,MATCH(E3187,'NCO-2015 scores'!$A$2:$A$131,0))),1,0),0)</f>
        <v>1</v>
      </c>
    </row>
    <row r="3188" customFormat="false" ht="15" hidden="false" customHeight="false" outlineLevel="0" collapsed="false">
      <c r="A3188" s="2" t="n">
        <v>3184</v>
      </c>
      <c r="B3188" s="2" t="s">
        <v>9263</v>
      </c>
      <c r="C3188" s="2" t="s">
        <v>9264</v>
      </c>
      <c r="D3188" s="2" t="s">
        <v>9265</v>
      </c>
      <c r="E3188" s="2" t="str">
        <f aca="false">LEFT(C3188,3)</f>
        <v>243</v>
      </c>
      <c r="F3188" s="2" t="str">
        <f aca="false">IF(D3188="","",LEFT(D3188,3))</f>
        <v>341</v>
      </c>
      <c r="G3188" s="2" t="str">
        <f aca="false">IF(F3188="","",IF(E3188=F3188,"Yes","No"))</f>
        <v>No</v>
      </c>
      <c r="H3188" s="2" t="n">
        <f aca="false">IF(D3188="",0,1/COUNTIF($D$2:$D$3451,D3188))</f>
        <v>1</v>
      </c>
      <c r="I3188" s="13" t="n">
        <f aca="false">IFERROR(INDEX('NCO-2015 scores'!$C$2:$C$131,MATCH(E3188,'NCO-2015 scores'!$A$2:$A$131,0)),0)</f>
        <v>0.4975</v>
      </c>
      <c r="J3188" s="13" t="n">
        <f aca="false">IF(ISNUMBER(MATCH(E3188,'NCO-2015 scores'!$A$2:$A$131,0)),IF(ISNUMBER(INDEX('NCO-2015 scores'!$C$2:$C$131,MATCH(E3188,'NCO-2015 scores'!$A$2:$A$131,0))),1,0),0)</f>
        <v>1</v>
      </c>
    </row>
    <row r="3189" customFormat="false" ht="15" hidden="false" customHeight="false" outlineLevel="0" collapsed="false">
      <c r="A3189" s="2" t="n">
        <v>3185</v>
      </c>
      <c r="B3189" s="2" t="s">
        <v>9266</v>
      </c>
      <c r="C3189" s="2" t="s">
        <v>9267</v>
      </c>
      <c r="D3189" s="2"/>
      <c r="E3189" s="2" t="str">
        <f aca="false">LEFT(C3189,3)</f>
        <v>243</v>
      </c>
      <c r="F3189" s="2" t="str">
        <f aca="false">IF(D3189="","",LEFT(D3189,3))</f>
        <v/>
      </c>
      <c r="G3189" s="2" t="str">
        <f aca="false">IF(F3189="","",IF(E3189=F3189,"Yes","No"))</f>
        <v/>
      </c>
      <c r="H3189" s="2" t="n">
        <f aca="false">IF(D3189="",0,1/COUNTIF($D$2:$D$3451,D3189))</f>
        <v>0</v>
      </c>
      <c r="I3189" s="13" t="n">
        <f aca="false">IFERROR(INDEX('NCO-2015 scores'!$C$2:$C$131,MATCH(E3189,'NCO-2015 scores'!$A$2:$A$131,0)),0)</f>
        <v>0.4975</v>
      </c>
      <c r="J3189" s="13" t="n">
        <f aca="false">IF(ISNUMBER(MATCH(E3189,'NCO-2015 scores'!$A$2:$A$131,0)),IF(ISNUMBER(INDEX('NCO-2015 scores'!$C$2:$C$131,MATCH(E3189,'NCO-2015 scores'!$A$2:$A$131,0))),1,0),0)</f>
        <v>1</v>
      </c>
    </row>
    <row r="3190" customFormat="false" ht="15" hidden="false" customHeight="false" outlineLevel="0" collapsed="false">
      <c r="A3190" s="2" t="n">
        <v>3186</v>
      </c>
      <c r="B3190" s="2" t="s">
        <v>9268</v>
      </c>
      <c r="C3190" s="2" t="s">
        <v>9269</v>
      </c>
      <c r="D3190" s="2"/>
      <c r="E3190" s="2" t="str">
        <f aca="false">LEFT(C3190,3)</f>
        <v>243</v>
      </c>
      <c r="F3190" s="2" t="str">
        <f aca="false">IF(D3190="","",LEFT(D3190,3))</f>
        <v/>
      </c>
      <c r="G3190" s="2" t="str">
        <f aca="false">IF(F3190="","",IF(E3190=F3190,"Yes","No"))</f>
        <v/>
      </c>
      <c r="H3190" s="2" t="n">
        <f aca="false">IF(D3190="",0,1/COUNTIF($D$2:$D$3451,D3190))</f>
        <v>0</v>
      </c>
      <c r="I3190" s="13" t="n">
        <f aca="false">IFERROR(INDEX('NCO-2015 scores'!$C$2:$C$131,MATCH(E3190,'NCO-2015 scores'!$A$2:$A$131,0)),0)</f>
        <v>0.4975</v>
      </c>
      <c r="J3190" s="13" t="n">
        <f aca="false">IF(ISNUMBER(MATCH(E3190,'NCO-2015 scores'!$A$2:$A$131,0)),IF(ISNUMBER(INDEX('NCO-2015 scores'!$C$2:$C$131,MATCH(E3190,'NCO-2015 scores'!$A$2:$A$131,0))),1,0),0)</f>
        <v>1</v>
      </c>
    </row>
    <row r="3191" customFormat="false" ht="15" hidden="false" customHeight="false" outlineLevel="0" collapsed="false">
      <c r="A3191" s="2" t="n">
        <v>3187</v>
      </c>
      <c r="B3191" s="2" t="s">
        <v>9270</v>
      </c>
      <c r="C3191" s="2" t="s">
        <v>9271</v>
      </c>
      <c r="D3191" s="2"/>
      <c r="E3191" s="2" t="str">
        <f aca="false">LEFT(C3191,3)</f>
        <v>243</v>
      </c>
      <c r="F3191" s="2" t="str">
        <f aca="false">IF(D3191="","",LEFT(D3191,3))</f>
        <v/>
      </c>
      <c r="G3191" s="2" t="str">
        <f aca="false">IF(F3191="","",IF(E3191=F3191,"Yes","No"))</f>
        <v/>
      </c>
      <c r="H3191" s="2" t="n">
        <f aca="false">IF(D3191="",0,1/COUNTIF($D$2:$D$3451,D3191))</f>
        <v>0</v>
      </c>
      <c r="I3191" s="13" t="n">
        <f aca="false">IFERROR(INDEX('NCO-2015 scores'!$C$2:$C$131,MATCH(E3191,'NCO-2015 scores'!$A$2:$A$131,0)),0)</f>
        <v>0.4975</v>
      </c>
      <c r="J3191" s="13" t="n">
        <f aca="false">IF(ISNUMBER(MATCH(E3191,'NCO-2015 scores'!$A$2:$A$131,0)),IF(ISNUMBER(INDEX('NCO-2015 scores'!$C$2:$C$131,MATCH(E3191,'NCO-2015 scores'!$A$2:$A$131,0))),1,0),0)</f>
        <v>1</v>
      </c>
    </row>
    <row r="3192" customFormat="false" ht="15" hidden="false" customHeight="false" outlineLevel="0" collapsed="false">
      <c r="A3192" s="2" t="n">
        <v>3188</v>
      </c>
      <c r="B3192" s="2" t="s">
        <v>9272</v>
      </c>
      <c r="C3192" s="2" t="s">
        <v>9273</v>
      </c>
      <c r="D3192" s="2" t="s">
        <v>9274</v>
      </c>
      <c r="E3192" s="2" t="str">
        <f aca="false">LEFT(C3192,3)</f>
        <v>352</v>
      </c>
      <c r="F3192" s="2" t="str">
        <f aca="false">IF(D3192="","",LEFT(D3192,3))</f>
        <v>311</v>
      </c>
      <c r="G3192" s="2" t="str">
        <f aca="false">IF(F3192="","",IF(E3192=F3192,"Yes","No"))</f>
        <v>No</v>
      </c>
      <c r="H3192" s="2" t="n">
        <f aca="false">IF(D3192="",0,1/COUNTIF($D$2:$D$3451,D3192))</f>
        <v>1</v>
      </c>
      <c r="I3192" s="13" t="n">
        <f aca="false">IFERROR(INDEX('NCO-2015 scores'!$C$2:$C$131,MATCH(E3192,'NCO-2015 scores'!$A$2:$A$131,0)),0)</f>
        <v>0.4</v>
      </c>
      <c r="J3192" s="13" t="n">
        <f aca="false">IF(ISNUMBER(MATCH(E3192,'NCO-2015 scores'!$A$2:$A$131,0)),IF(ISNUMBER(INDEX('NCO-2015 scores'!$C$2:$C$131,MATCH(E3192,'NCO-2015 scores'!$A$2:$A$131,0))),1,0),0)</f>
        <v>1</v>
      </c>
    </row>
    <row r="3193" customFormat="false" ht="15" hidden="false" customHeight="false" outlineLevel="0" collapsed="false">
      <c r="A3193" s="2" t="n">
        <v>3189</v>
      </c>
      <c r="B3193" s="2" t="s">
        <v>9275</v>
      </c>
      <c r="C3193" s="2" t="s">
        <v>9276</v>
      </c>
      <c r="D3193" s="2" t="s">
        <v>9277</v>
      </c>
      <c r="E3193" s="2" t="str">
        <f aca="false">LEFT(C3193,3)</f>
        <v>352</v>
      </c>
      <c r="F3193" s="2" t="str">
        <f aca="false">IF(D3193="","",LEFT(D3193,3))</f>
        <v>311</v>
      </c>
      <c r="G3193" s="2" t="str">
        <f aca="false">IF(F3193="","",IF(E3193=F3193,"Yes","No"))</f>
        <v>No</v>
      </c>
      <c r="H3193" s="2" t="n">
        <f aca="false">IF(D3193="",0,1/COUNTIF($D$2:$D$3451,D3193))</f>
        <v>1</v>
      </c>
      <c r="I3193" s="13" t="n">
        <f aca="false">IFERROR(INDEX('NCO-2015 scores'!$C$2:$C$131,MATCH(E3193,'NCO-2015 scores'!$A$2:$A$131,0)),0)</f>
        <v>0.4</v>
      </c>
      <c r="J3193" s="13" t="n">
        <f aca="false">IF(ISNUMBER(MATCH(E3193,'NCO-2015 scores'!$A$2:$A$131,0)),IF(ISNUMBER(INDEX('NCO-2015 scores'!$C$2:$C$131,MATCH(E3193,'NCO-2015 scores'!$A$2:$A$131,0))),1,0),0)</f>
        <v>1</v>
      </c>
    </row>
    <row r="3194" customFormat="false" ht="15" hidden="false" customHeight="false" outlineLevel="0" collapsed="false">
      <c r="A3194" s="2" t="n">
        <v>3190</v>
      </c>
      <c r="B3194" s="2" t="s">
        <v>9278</v>
      </c>
      <c r="C3194" s="2" t="s">
        <v>9279</v>
      </c>
      <c r="D3194" s="2"/>
      <c r="E3194" s="2" t="str">
        <f aca="false">LEFT(C3194,3)</f>
        <v>352</v>
      </c>
      <c r="F3194" s="2" t="str">
        <f aca="false">IF(D3194="","",LEFT(D3194,3))</f>
        <v/>
      </c>
      <c r="G3194" s="2" t="str">
        <f aca="false">IF(F3194="","",IF(E3194=F3194,"Yes","No"))</f>
        <v/>
      </c>
      <c r="H3194" s="2" t="n">
        <f aca="false">IF(D3194="",0,1/COUNTIF($D$2:$D$3451,D3194))</f>
        <v>0</v>
      </c>
      <c r="I3194" s="13" t="n">
        <f aca="false">IFERROR(INDEX('NCO-2015 scores'!$C$2:$C$131,MATCH(E3194,'NCO-2015 scores'!$A$2:$A$131,0)),0)</f>
        <v>0.4</v>
      </c>
      <c r="J3194" s="13" t="n">
        <f aca="false">IF(ISNUMBER(MATCH(E3194,'NCO-2015 scores'!$A$2:$A$131,0)),IF(ISNUMBER(INDEX('NCO-2015 scores'!$C$2:$C$131,MATCH(E3194,'NCO-2015 scores'!$A$2:$A$131,0))),1,0),0)</f>
        <v>1</v>
      </c>
    </row>
    <row r="3195" customFormat="false" ht="15" hidden="false" customHeight="false" outlineLevel="0" collapsed="false">
      <c r="A3195" s="2" t="n">
        <v>3191</v>
      </c>
      <c r="B3195" s="2" t="s">
        <v>9280</v>
      </c>
      <c r="C3195" s="2" t="s">
        <v>9281</v>
      </c>
      <c r="D3195" s="2" t="s">
        <v>9282</v>
      </c>
      <c r="E3195" s="2" t="str">
        <f aca="false">LEFT(C3195,3)</f>
        <v>352</v>
      </c>
      <c r="F3195" s="2" t="str">
        <f aca="false">IF(D3195="","",LEFT(D3195,3))</f>
        <v>311</v>
      </c>
      <c r="G3195" s="2" t="str">
        <f aca="false">IF(F3195="","",IF(E3195=F3195,"Yes","No"))</f>
        <v>No</v>
      </c>
      <c r="H3195" s="2" t="n">
        <f aca="false">IF(D3195="",0,1/COUNTIF($D$2:$D$3451,D3195))</f>
        <v>1</v>
      </c>
      <c r="I3195" s="13" t="n">
        <f aca="false">IFERROR(INDEX('NCO-2015 scores'!$C$2:$C$131,MATCH(E3195,'NCO-2015 scores'!$A$2:$A$131,0)),0)</f>
        <v>0.4</v>
      </c>
      <c r="J3195" s="13" t="n">
        <f aca="false">IF(ISNUMBER(MATCH(E3195,'NCO-2015 scores'!$A$2:$A$131,0)),IF(ISNUMBER(INDEX('NCO-2015 scores'!$C$2:$C$131,MATCH(E3195,'NCO-2015 scores'!$A$2:$A$131,0))),1,0),0)</f>
        <v>1</v>
      </c>
    </row>
    <row r="3196" customFormat="false" ht="15" hidden="false" customHeight="false" outlineLevel="0" collapsed="false">
      <c r="A3196" s="2" t="n">
        <v>3192</v>
      </c>
      <c r="B3196" s="2" t="s">
        <v>9283</v>
      </c>
      <c r="C3196" s="2" t="s">
        <v>9284</v>
      </c>
      <c r="D3196" s="2" t="s">
        <v>9285</v>
      </c>
      <c r="E3196" s="2" t="str">
        <f aca="false">LEFT(C3196,3)</f>
        <v>352</v>
      </c>
      <c r="F3196" s="2" t="str">
        <f aca="false">IF(D3196="","",LEFT(D3196,3))</f>
        <v>311</v>
      </c>
      <c r="G3196" s="2" t="str">
        <f aca="false">IF(F3196="","",IF(E3196=F3196,"Yes","No"))</f>
        <v>No</v>
      </c>
      <c r="H3196" s="2" t="n">
        <f aca="false">IF(D3196="",0,1/COUNTIF($D$2:$D$3451,D3196))</f>
        <v>1</v>
      </c>
      <c r="I3196" s="13" t="n">
        <f aca="false">IFERROR(INDEX('NCO-2015 scores'!$C$2:$C$131,MATCH(E3196,'NCO-2015 scores'!$A$2:$A$131,0)),0)</f>
        <v>0.4</v>
      </c>
      <c r="J3196" s="13" t="n">
        <f aca="false">IF(ISNUMBER(MATCH(E3196,'NCO-2015 scores'!$A$2:$A$131,0)),IF(ISNUMBER(INDEX('NCO-2015 scores'!$C$2:$C$131,MATCH(E3196,'NCO-2015 scores'!$A$2:$A$131,0))),1,0),0)</f>
        <v>1</v>
      </c>
    </row>
    <row r="3197" customFormat="false" ht="15" hidden="false" customHeight="false" outlineLevel="0" collapsed="false">
      <c r="A3197" s="2" t="n">
        <v>3193</v>
      </c>
      <c r="B3197" s="2" t="s">
        <v>9286</v>
      </c>
      <c r="C3197" s="2" t="s">
        <v>9287</v>
      </c>
      <c r="D3197" s="2" t="s">
        <v>9288</v>
      </c>
      <c r="E3197" s="2" t="str">
        <f aca="false">LEFT(C3197,3)</f>
        <v>215</v>
      </c>
      <c r="F3197" s="2" t="str">
        <f aca="false">IF(D3197="","",LEFT(D3197,3))</f>
        <v>214</v>
      </c>
      <c r="G3197" s="2" t="str">
        <f aca="false">IF(F3197="","",IF(E3197=F3197,"Yes","No"))</f>
        <v>No</v>
      </c>
      <c r="H3197" s="2" t="n">
        <f aca="false">IF(D3197="",0,1/COUNTIF($D$2:$D$3451,D3197))</f>
        <v>1</v>
      </c>
      <c r="I3197" s="13" t="n">
        <f aca="false">IFERROR(INDEX('NCO-2015 scores'!$C$2:$C$131,MATCH(E3197,'NCO-2015 scores'!$A$2:$A$131,0)),0)</f>
        <v>0.4033</v>
      </c>
      <c r="J3197" s="13" t="n">
        <f aca="false">IF(ISNUMBER(MATCH(E3197,'NCO-2015 scores'!$A$2:$A$131,0)),IF(ISNUMBER(INDEX('NCO-2015 scores'!$C$2:$C$131,MATCH(E3197,'NCO-2015 scores'!$A$2:$A$131,0))),1,0),0)</f>
        <v>1</v>
      </c>
    </row>
    <row r="3198" customFormat="false" ht="15" hidden="false" customHeight="false" outlineLevel="0" collapsed="false">
      <c r="A3198" s="2" t="n">
        <v>3194</v>
      </c>
      <c r="B3198" s="2" t="s">
        <v>9289</v>
      </c>
      <c r="C3198" s="2" t="s">
        <v>9290</v>
      </c>
      <c r="D3198" s="2"/>
      <c r="E3198" s="2" t="str">
        <f aca="false">LEFT(C3198,3)</f>
        <v>215</v>
      </c>
      <c r="F3198" s="2" t="str">
        <f aca="false">IF(D3198="","",LEFT(D3198,3))</f>
        <v/>
      </c>
      <c r="G3198" s="2" t="str">
        <f aca="false">IF(F3198="","",IF(E3198=F3198,"Yes","No"))</f>
        <v/>
      </c>
      <c r="H3198" s="2" t="n">
        <f aca="false">IF(D3198="",0,1/COUNTIF($D$2:$D$3451,D3198))</f>
        <v>0</v>
      </c>
      <c r="I3198" s="13" t="n">
        <f aca="false">IFERROR(INDEX('NCO-2015 scores'!$C$2:$C$131,MATCH(E3198,'NCO-2015 scores'!$A$2:$A$131,0)),0)</f>
        <v>0.4033</v>
      </c>
      <c r="J3198" s="13" t="n">
        <f aca="false">IF(ISNUMBER(MATCH(E3198,'NCO-2015 scores'!$A$2:$A$131,0)),IF(ISNUMBER(INDEX('NCO-2015 scores'!$C$2:$C$131,MATCH(E3198,'NCO-2015 scores'!$A$2:$A$131,0))),1,0),0)</f>
        <v>1</v>
      </c>
    </row>
    <row r="3199" customFormat="false" ht="15" hidden="false" customHeight="false" outlineLevel="0" collapsed="false">
      <c r="A3199" s="2" t="n">
        <v>3195</v>
      </c>
      <c r="B3199" s="2" t="s">
        <v>9291</v>
      </c>
      <c r="C3199" s="2" t="s">
        <v>9292</v>
      </c>
      <c r="D3199" s="2" t="s">
        <v>9293</v>
      </c>
      <c r="E3199" s="2" t="str">
        <f aca="false">LEFT(C3199,3)</f>
        <v>215</v>
      </c>
      <c r="F3199" s="2" t="str">
        <f aca="false">IF(D3199="","",LEFT(D3199,3))</f>
        <v>214</v>
      </c>
      <c r="G3199" s="2" t="str">
        <f aca="false">IF(F3199="","",IF(E3199=F3199,"Yes","No"))</f>
        <v>No</v>
      </c>
      <c r="H3199" s="2" t="n">
        <f aca="false">IF(D3199="",0,1/COUNTIF($D$2:$D$3451,D3199))</f>
        <v>1</v>
      </c>
      <c r="I3199" s="13" t="n">
        <f aca="false">IFERROR(INDEX('NCO-2015 scores'!$C$2:$C$131,MATCH(E3199,'NCO-2015 scores'!$A$2:$A$131,0)),0)</f>
        <v>0.4033</v>
      </c>
      <c r="J3199" s="13" t="n">
        <f aca="false">IF(ISNUMBER(MATCH(E3199,'NCO-2015 scores'!$A$2:$A$131,0)),IF(ISNUMBER(INDEX('NCO-2015 scores'!$C$2:$C$131,MATCH(E3199,'NCO-2015 scores'!$A$2:$A$131,0))),1,0),0)</f>
        <v>1</v>
      </c>
    </row>
    <row r="3200" customFormat="false" ht="15" hidden="false" customHeight="false" outlineLevel="0" collapsed="false">
      <c r="A3200" s="2" t="n">
        <v>3196</v>
      </c>
      <c r="B3200" s="2" t="s">
        <v>9294</v>
      </c>
      <c r="C3200" s="2" t="s">
        <v>9295</v>
      </c>
      <c r="D3200" s="2" t="s">
        <v>9296</v>
      </c>
      <c r="E3200" s="2" t="str">
        <f aca="false">LEFT(C3200,3)</f>
        <v>215</v>
      </c>
      <c r="F3200" s="2" t="str">
        <f aca="false">IF(D3200="","",LEFT(D3200,3))</f>
        <v>214</v>
      </c>
      <c r="G3200" s="2" t="str">
        <f aca="false">IF(F3200="","",IF(E3200=F3200,"Yes","No"))</f>
        <v>No</v>
      </c>
      <c r="H3200" s="2" t="n">
        <f aca="false">IF(D3200="",0,1/COUNTIF($D$2:$D$3451,D3200))</f>
        <v>1</v>
      </c>
      <c r="I3200" s="13" t="n">
        <f aca="false">IFERROR(INDEX('NCO-2015 scores'!$C$2:$C$131,MATCH(E3200,'NCO-2015 scores'!$A$2:$A$131,0)),0)</f>
        <v>0.4033</v>
      </c>
      <c r="J3200" s="13" t="n">
        <f aca="false">IF(ISNUMBER(MATCH(E3200,'NCO-2015 scores'!$A$2:$A$131,0)),IF(ISNUMBER(INDEX('NCO-2015 scores'!$C$2:$C$131,MATCH(E3200,'NCO-2015 scores'!$A$2:$A$131,0))),1,0),0)</f>
        <v>1</v>
      </c>
    </row>
    <row r="3201" customFormat="false" ht="15" hidden="false" customHeight="false" outlineLevel="0" collapsed="false">
      <c r="A3201" s="2" t="n">
        <v>3197</v>
      </c>
      <c r="B3201" s="2" t="s">
        <v>9297</v>
      </c>
      <c r="C3201" s="2" t="s">
        <v>9298</v>
      </c>
      <c r="D3201" s="2" t="s">
        <v>9299</v>
      </c>
      <c r="E3201" s="2" t="str">
        <f aca="false">LEFT(C3201,3)</f>
        <v>215</v>
      </c>
      <c r="F3201" s="2" t="str">
        <f aca="false">IF(D3201="","",LEFT(D3201,3))</f>
        <v>214</v>
      </c>
      <c r="G3201" s="2" t="str">
        <f aca="false">IF(F3201="","",IF(E3201=F3201,"Yes","No"))</f>
        <v>No</v>
      </c>
      <c r="H3201" s="2" t="n">
        <f aca="false">IF(D3201="",0,1/COUNTIF($D$2:$D$3451,D3201))</f>
        <v>1</v>
      </c>
      <c r="I3201" s="13" t="n">
        <f aca="false">IFERROR(INDEX('NCO-2015 scores'!$C$2:$C$131,MATCH(E3201,'NCO-2015 scores'!$A$2:$A$131,0)),0)</f>
        <v>0.4033</v>
      </c>
      <c r="J3201" s="13" t="n">
        <f aca="false">IF(ISNUMBER(MATCH(E3201,'NCO-2015 scores'!$A$2:$A$131,0)),IF(ISNUMBER(INDEX('NCO-2015 scores'!$C$2:$C$131,MATCH(E3201,'NCO-2015 scores'!$A$2:$A$131,0))),1,0),0)</f>
        <v>1</v>
      </c>
    </row>
    <row r="3202" customFormat="false" ht="15" hidden="false" customHeight="false" outlineLevel="0" collapsed="false">
      <c r="A3202" s="2" t="n">
        <v>3198</v>
      </c>
      <c r="B3202" s="2" t="s">
        <v>9300</v>
      </c>
      <c r="C3202" s="2" t="s">
        <v>9301</v>
      </c>
      <c r="D3202" s="2"/>
      <c r="E3202" s="2" t="str">
        <f aca="false">LEFT(C3202,3)</f>
        <v>215</v>
      </c>
      <c r="F3202" s="2" t="str">
        <f aca="false">IF(D3202="","",LEFT(D3202,3))</f>
        <v/>
      </c>
      <c r="G3202" s="2" t="str">
        <f aca="false">IF(F3202="","",IF(E3202=F3202,"Yes","No"))</f>
        <v/>
      </c>
      <c r="H3202" s="2" t="n">
        <f aca="false">IF(D3202="",0,1/COUNTIF($D$2:$D$3451,D3202))</f>
        <v>0</v>
      </c>
      <c r="I3202" s="13" t="n">
        <f aca="false">IFERROR(INDEX('NCO-2015 scores'!$C$2:$C$131,MATCH(E3202,'NCO-2015 scores'!$A$2:$A$131,0)),0)</f>
        <v>0.4033</v>
      </c>
      <c r="J3202" s="13" t="n">
        <f aca="false">IF(ISNUMBER(MATCH(E3202,'NCO-2015 scores'!$A$2:$A$131,0)),IF(ISNUMBER(INDEX('NCO-2015 scores'!$C$2:$C$131,MATCH(E3202,'NCO-2015 scores'!$A$2:$A$131,0))),1,0),0)</f>
        <v>1</v>
      </c>
    </row>
    <row r="3203" customFormat="false" ht="15" hidden="false" customHeight="false" outlineLevel="0" collapsed="false">
      <c r="A3203" s="2" t="n">
        <v>3199</v>
      </c>
      <c r="B3203" s="2" t="s">
        <v>9302</v>
      </c>
      <c r="C3203" s="2" t="s">
        <v>9303</v>
      </c>
      <c r="D3203" s="2"/>
      <c r="E3203" s="2" t="str">
        <f aca="false">LEFT(C3203,3)</f>
        <v>215</v>
      </c>
      <c r="F3203" s="2" t="str">
        <f aca="false">IF(D3203="","",LEFT(D3203,3))</f>
        <v/>
      </c>
      <c r="G3203" s="2" t="str">
        <f aca="false">IF(F3203="","",IF(E3203=F3203,"Yes","No"))</f>
        <v/>
      </c>
      <c r="H3203" s="2" t="n">
        <f aca="false">IF(D3203="",0,1/COUNTIF($D$2:$D$3451,D3203))</f>
        <v>0</v>
      </c>
      <c r="I3203" s="13" t="n">
        <f aca="false">IFERROR(INDEX('NCO-2015 scores'!$C$2:$C$131,MATCH(E3203,'NCO-2015 scores'!$A$2:$A$131,0)),0)</f>
        <v>0.4033</v>
      </c>
      <c r="J3203" s="13" t="n">
        <f aca="false">IF(ISNUMBER(MATCH(E3203,'NCO-2015 scores'!$A$2:$A$131,0)),IF(ISNUMBER(INDEX('NCO-2015 scores'!$C$2:$C$131,MATCH(E3203,'NCO-2015 scores'!$A$2:$A$131,0))),1,0),0)</f>
        <v>1</v>
      </c>
    </row>
    <row r="3204" customFormat="false" ht="15" hidden="false" customHeight="false" outlineLevel="0" collapsed="false">
      <c r="A3204" s="2" t="n">
        <v>3200</v>
      </c>
      <c r="B3204" s="2" t="s">
        <v>9304</v>
      </c>
      <c r="C3204" s="2" t="s">
        <v>9305</v>
      </c>
      <c r="D3204" s="2"/>
      <c r="E3204" s="2" t="str">
        <f aca="false">LEFT(C3204,3)</f>
        <v>215</v>
      </c>
      <c r="F3204" s="2" t="str">
        <f aca="false">IF(D3204="","",LEFT(D3204,3))</f>
        <v/>
      </c>
      <c r="G3204" s="2" t="str">
        <f aca="false">IF(F3204="","",IF(E3204=F3204,"Yes","No"))</f>
        <v/>
      </c>
      <c r="H3204" s="2" t="n">
        <f aca="false">IF(D3204="",0,1/COUNTIF($D$2:$D$3451,D3204))</f>
        <v>0</v>
      </c>
      <c r="I3204" s="13" t="n">
        <f aca="false">IFERROR(INDEX('NCO-2015 scores'!$C$2:$C$131,MATCH(E3204,'NCO-2015 scores'!$A$2:$A$131,0)),0)</f>
        <v>0.4033</v>
      </c>
      <c r="J3204" s="13" t="n">
        <f aca="false">IF(ISNUMBER(MATCH(E3204,'NCO-2015 scores'!$A$2:$A$131,0)),IF(ISNUMBER(INDEX('NCO-2015 scores'!$C$2:$C$131,MATCH(E3204,'NCO-2015 scores'!$A$2:$A$131,0))),1,0),0)</f>
        <v>1</v>
      </c>
    </row>
    <row r="3205" customFormat="false" ht="15" hidden="false" customHeight="false" outlineLevel="0" collapsed="false">
      <c r="A3205" s="2" t="n">
        <v>3201</v>
      </c>
      <c r="B3205" s="2" t="s">
        <v>9306</v>
      </c>
      <c r="C3205" s="2" t="s">
        <v>9307</v>
      </c>
      <c r="D3205" s="2"/>
      <c r="E3205" s="2" t="str">
        <f aca="false">LEFT(C3205,3)</f>
        <v>215</v>
      </c>
      <c r="F3205" s="2" t="str">
        <f aca="false">IF(D3205="","",LEFT(D3205,3))</f>
        <v/>
      </c>
      <c r="G3205" s="2" t="str">
        <f aca="false">IF(F3205="","",IF(E3205=F3205,"Yes","No"))</f>
        <v/>
      </c>
      <c r="H3205" s="2" t="n">
        <f aca="false">IF(D3205="",0,1/COUNTIF($D$2:$D$3451,D3205))</f>
        <v>0</v>
      </c>
      <c r="I3205" s="13" t="n">
        <f aca="false">IFERROR(INDEX('NCO-2015 scores'!$C$2:$C$131,MATCH(E3205,'NCO-2015 scores'!$A$2:$A$131,0)),0)</f>
        <v>0.4033</v>
      </c>
      <c r="J3205" s="13" t="n">
        <f aca="false">IF(ISNUMBER(MATCH(E3205,'NCO-2015 scores'!$A$2:$A$131,0)),IF(ISNUMBER(INDEX('NCO-2015 scores'!$C$2:$C$131,MATCH(E3205,'NCO-2015 scores'!$A$2:$A$131,0))),1,0),0)</f>
        <v>1</v>
      </c>
    </row>
    <row r="3206" customFormat="false" ht="15" hidden="false" customHeight="false" outlineLevel="0" collapsed="false">
      <c r="A3206" s="2" t="n">
        <v>3202</v>
      </c>
      <c r="B3206" s="2" t="s">
        <v>9308</v>
      </c>
      <c r="C3206" s="2" t="s">
        <v>9309</v>
      </c>
      <c r="D3206" s="2"/>
      <c r="E3206" s="2" t="str">
        <f aca="false">LEFT(C3206,3)</f>
        <v>215</v>
      </c>
      <c r="F3206" s="2" t="str">
        <f aca="false">IF(D3206="","",LEFT(D3206,3))</f>
        <v/>
      </c>
      <c r="G3206" s="2" t="str">
        <f aca="false">IF(F3206="","",IF(E3206=F3206,"Yes","No"))</f>
        <v/>
      </c>
      <c r="H3206" s="2" t="n">
        <f aca="false">IF(D3206="",0,1/COUNTIF($D$2:$D$3451,D3206))</f>
        <v>0</v>
      </c>
      <c r="I3206" s="13" t="n">
        <f aca="false">IFERROR(INDEX('NCO-2015 scores'!$C$2:$C$131,MATCH(E3206,'NCO-2015 scores'!$A$2:$A$131,0)),0)</f>
        <v>0.4033</v>
      </c>
      <c r="J3206" s="13" t="n">
        <f aca="false">IF(ISNUMBER(MATCH(E3206,'NCO-2015 scores'!$A$2:$A$131,0)),IF(ISNUMBER(INDEX('NCO-2015 scores'!$C$2:$C$131,MATCH(E3206,'NCO-2015 scores'!$A$2:$A$131,0))),1,0),0)</f>
        <v>1</v>
      </c>
    </row>
    <row r="3207" customFormat="false" ht="15" hidden="false" customHeight="false" outlineLevel="0" collapsed="false">
      <c r="A3207" s="2" t="n">
        <v>3203</v>
      </c>
      <c r="B3207" s="2" t="s">
        <v>9310</v>
      </c>
      <c r="C3207" s="2" t="s">
        <v>9311</v>
      </c>
      <c r="D3207" s="2" t="s">
        <v>9312</v>
      </c>
      <c r="E3207" s="2" t="str">
        <f aca="false">LEFT(C3207,3)</f>
        <v>215</v>
      </c>
      <c r="F3207" s="2" t="str">
        <f aca="false">IF(D3207="","",LEFT(D3207,3))</f>
        <v>214</v>
      </c>
      <c r="G3207" s="2" t="str">
        <f aca="false">IF(F3207="","",IF(E3207=F3207,"Yes","No"))</f>
        <v>No</v>
      </c>
      <c r="H3207" s="2" t="n">
        <f aca="false">IF(D3207="",0,1/COUNTIF($D$2:$D$3451,D3207))</f>
        <v>1</v>
      </c>
      <c r="I3207" s="13" t="n">
        <f aca="false">IFERROR(INDEX('NCO-2015 scores'!$C$2:$C$131,MATCH(E3207,'NCO-2015 scores'!$A$2:$A$131,0)),0)</f>
        <v>0.4033</v>
      </c>
      <c r="J3207" s="13" t="n">
        <f aca="false">IF(ISNUMBER(MATCH(E3207,'NCO-2015 scores'!$A$2:$A$131,0)),IF(ISNUMBER(INDEX('NCO-2015 scores'!$C$2:$C$131,MATCH(E3207,'NCO-2015 scores'!$A$2:$A$131,0))),1,0),0)</f>
        <v>1</v>
      </c>
    </row>
    <row r="3208" customFormat="false" ht="15" hidden="false" customHeight="false" outlineLevel="0" collapsed="false">
      <c r="A3208" s="2" t="n">
        <v>3204</v>
      </c>
      <c r="B3208" s="2" t="s">
        <v>9313</v>
      </c>
      <c r="C3208" s="2" t="s">
        <v>9314</v>
      </c>
      <c r="D3208" s="2" t="s">
        <v>9315</v>
      </c>
      <c r="E3208" s="2" t="str">
        <f aca="false">LEFT(C3208,3)</f>
        <v>422</v>
      </c>
      <c r="F3208" s="2" t="str">
        <f aca="false">IF(D3208="","",LEFT(D3208,3))</f>
        <v>422</v>
      </c>
      <c r="G3208" s="2" t="str">
        <f aca="false">IF(F3208="","",IF(E3208=F3208,"Yes","No"))</f>
        <v>Yes</v>
      </c>
      <c r="H3208" s="2" t="n">
        <f aca="false">IF(D3208="",0,1/COUNTIF($D$2:$D$3451,D3208))</f>
        <v>1</v>
      </c>
      <c r="I3208" s="13" t="n">
        <f aca="false">IFERROR(INDEX('NCO-2015 scores'!$C$2:$C$131,MATCH(E3208,'NCO-2015 scores'!$A$2:$A$131,0)),0)</f>
        <v>0.5375</v>
      </c>
      <c r="J3208" s="13" t="n">
        <f aca="false">IF(ISNUMBER(MATCH(E3208,'NCO-2015 scores'!$A$2:$A$131,0)),IF(ISNUMBER(INDEX('NCO-2015 scores'!$C$2:$C$131,MATCH(E3208,'NCO-2015 scores'!$A$2:$A$131,0))),1,0),0)</f>
        <v>1</v>
      </c>
    </row>
    <row r="3209" customFormat="false" ht="15" hidden="false" customHeight="false" outlineLevel="0" collapsed="false">
      <c r="A3209" s="2" t="n">
        <v>3205</v>
      </c>
      <c r="B3209" s="2" t="s">
        <v>9316</v>
      </c>
      <c r="C3209" s="2" t="s">
        <v>9317</v>
      </c>
      <c r="D3209" s="2" t="s">
        <v>9318</v>
      </c>
      <c r="E3209" s="2" t="str">
        <f aca="false">LEFT(C3209,3)</f>
        <v>422</v>
      </c>
      <c r="F3209" s="2" t="str">
        <f aca="false">IF(D3209="","",LEFT(D3209,3))</f>
        <v>422</v>
      </c>
      <c r="G3209" s="2" t="str">
        <f aca="false">IF(F3209="","",IF(E3209=F3209,"Yes","No"))</f>
        <v>Yes</v>
      </c>
      <c r="H3209" s="2" t="n">
        <f aca="false">IF(D3209="",0,1/COUNTIF($D$2:$D$3451,D3209))</f>
        <v>1</v>
      </c>
      <c r="I3209" s="13" t="n">
        <f aca="false">IFERROR(INDEX('NCO-2015 scores'!$C$2:$C$131,MATCH(E3209,'NCO-2015 scores'!$A$2:$A$131,0)),0)</f>
        <v>0.5375</v>
      </c>
      <c r="J3209" s="13" t="n">
        <f aca="false">IF(ISNUMBER(MATCH(E3209,'NCO-2015 scores'!$A$2:$A$131,0)),IF(ISNUMBER(INDEX('NCO-2015 scores'!$C$2:$C$131,MATCH(E3209,'NCO-2015 scores'!$A$2:$A$131,0))),1,0),0)</f>
        <v>1</v>
      </c>
    </row>
    <row r="3210" customFormat="false" ht="15" hidden="false" customHeight="false" outlineLevel="0" collapsed="false">
      <c r="A3210" s="2" t="n">
        <v>3206</v>
      </c>
      <c r="B3210" s="2" t="s">
        <v>9319</v>
      </c>
      <c r="C3210" s="2" t="s">
        <v>9320</v>
      </c>
      <c r="D3210" s="2" t="s">
        <v>9321</v>
      </c>
      <c r="E3210" s="2" t="str">
        <f aca="false">LEFT(C3210,3)</f>
        <v>422</v>
      </c>
      <c r="F3210" s="2" t="str">
        <f aca="false">IF(D3210="","",LEFT(D3210,3))</f>
        <v>422</v>
      </c>
      <c r="G3210" s="2" t="str">
        <f aca="false">IF(F3210="","",IF(E3210=F3210,"Yes","No"))</f>
        <v>Yes</v>
      </c>
      <c r="H3210" s="2" t="n">
        <f aca="false">IF(D3210="",0,1/COUNTIF($D$2:$D$3451,D3210))</f>
        <v>1</v>
      </c>
      <c r="I3210" s="13" t="n">
        <f aca="false">IFERROR(INDEX('NCO-2015 scores'!$C$2:$C$131,MATCH(E3210,'NCO-2015 scores'!$A$2:$A$131,0)),0)</f>
        <v>0.5375</v>
      </c>
      <c r="J3210" s="13" t="n">
        <f aca="false">IF(ISNUMBER(MATCH(E3210,'NCO-2015 scores'!$A$2:$A$131,0)),IF(ISNUMBER(INDEX('NCO-2015 scores'!$C$2:$C$131,MATCH(E3210,'NCO-2015 scores'!$A$2:$A$131,0))),1,0),0)</f>
        <v>1</v>
      </c>
    </row>
    <row r="3211" customFormat="false" ht="15" hidden="false" customHeight="false" outlineLevel="0" collapsed="false">
      <c r="A3211" s="2" t="n">
        <v>3207</v>
      </c>
      <c r="B3211" s="2" t="s">
        <v>9322</v>
      </c>
      <c r="C3211" s="2" t="s">
        <v>9323</v>
      </c>
      <c r="D3211" s="2" t="s">
        <v>9324</v>
      </c>
      <c r="E3211" s="2" t="str">
        <f aca="false">LEFT(C3211,3)</f>
        <v>422</v>
      </c>
      <c r="F3211" s="2" t="str">
        <f aca="false">IF(D3211="","",LEFT(D3211,3))</f>
        <v>422</v>
      </c>
      <c r="G3211" s="2" t="str">
        <f aca="false">IF(F3211="","",IF(E3211=F3211,"Yes","No"))</f>
        <v>Yes</v>
      </c>
      <c r="H3211" s="2" t="n">
        <f aca="false">IF(D3211="",0,1/COUNTIF($D$2:$D$3451,D3211))</f>
        <v>1</v>
      </c>
      <c r="I3211" s="13" t="n">
        <f aca="false">IFERROR(INDEX('NCO-2015 scores'!$C$2:$C$131,MATCH(E3211,'NCO-2015 scores'!$A$2:$A$131,0)),0)</f>
        <v>0.5375</v>
      </c>
      <c r="J3211" s="13" t="n">
        <f aca="false">IF(ISNUMBER(MATCH(E3211,'NCO-2015 scores'!$A$2:$A$131,0)),IF(ISNUMBER(INDEX('NCO-2015 scores'!$C$2:$C$131,MATCH(E3211,'NCO-2015 scores'!$A$2:$A$131,0))),1,0),0)</f>
        <v>1</v>
      </c>
    </row>
    <row r="3212" customFormat="false" ht="15" hidden="false" customHeight="false" outlineLevel="0" collapsed="false">
      <c r="A3212" s="2" t="n">
        <v>3208</v>
      </c>
      <c r="B3212" s="2" t="s">
        <v>9325</v>
      </c>
      <c r="C3212" s="2" t="s">
        <v>9326</v>
      </c>
      <c r="D3212" s="2" t="s">
        <v>9327</v>
      </c>
      <c r="E3212" s="2" t="str">
        <f aca="false">LEFT(C3212,3)</f>
        <v>815</v>
      </c>
      <c r="F3212" s="2" t="str">
        <f aca="false">IF(D3212="","",LEFT(D3212,3))</f>
        <v>826</v>
      </c>
      <c r="G3212" s="2" t="str">
        <f aca="false">IF(F3212="","",IF(E3212=F3212,"Yes","No"))</f>
        <v>No</v>
      </c>
      <c r="H3212" s="2" t="n">
        <f aca="false">IF(D3212="",0,1/COUNTIF($D$2:$D$3451,D3212))</f>
        <v>1</v>
      </c>
      <c r="I3212" s="13" t="n">
        <f aca="false">IFERROR(INDEX('NCO-2015 scores'!$C$2:$C$131,MATCH(E3212,'NCO-2015 scores'!$A$2:$A$131,0)),0)</f>
        <v>0.1625</v>
      </c>
      <c r="J3212" s="13" t="n">
        <f aca="false">IF(ISNUMBER(MATCH(E3212,'NCO-2015 scores'!$A$2:$A$131,0)),IF(ISNUMBER(INDEX('NCO-2015 scores'!$C$2:$C$131,MATCH(E3212,'NCO-2015 scores'!$A$2:$A$131,0))),1,0),0)</f>
        <v>1</v>
      </c>
    </row>
    <row r="3213" customFormat="false" ht="15" hidden="false" customHeight="false" outlineLevel="0" collapsed="false">
      <c r="A3213" s="2" t="n">
        <v>3209</v>
      </c>
      <c r="B3213" s="2" t="s">
        <v>9328</v>
      </c>
      <c r="C3213" s="2" t="s">
        <v>9329</v>
      </c>
      <c r="D3213" s="2" t="s">
        <v>9330</v>
      </c>
      <c r="E3213" s="2" t="str">
        <f aca="false">LEFT(C3213,3)</f>
        <v>815</v>
      </c>
      <c r="F3213" s="2" t="str">
        <f aca="false">IF(D3213="","",LEFT(D3213,3))</f>
        <v>826</v>
      </c>
      <c r="G3213" s="2" t="str">
        <f aca="false">IF(F3213="","",IF(E3213=F3213,"Yes","No"))</f>
        <v>No</v>
      </c>
      <c r="H3213" s="2" t="n">
        <f aca="false">IF(D3213="",0,1/COUNTIF($D$2:$D$3451,D3213))</f>
        <v>1</v>
      </c>
      <c r="I3213" s="13" t="n">
        <f aca="false">IFERROR(INDEX('NCO-2015 scores'!$C$2:$C$131,MATCH(E3213,'NCO-2015 scores'!$A$2:$A$131,0)),0)</f>
        <v>0.1625</v>
      </c>
      <c r="J3213" s="13" t="n">
        <f aca="false">IF(ISNUMBER(MATCH(E3213,'NCO-2015 scores'!$A$2:$A$131,0)),IF(ISNUMBER(INDEX('NCO-2015 scores'!$C$2:$C$131,MATCH(E3213,'NCO-2015 scores'!$A$2:$A$131,0))),1,0),0)</f>
        <v>1</v>
      </c>
    </row>
    <row r="3214" customFormat="false" ht="15" hidden="false" customHeight="false" outlineLevel="0" collapsed="false">
      <c r="A3214" s="2" t="n">
        <v>3210</v>
      </c>
      <c r="B3214" s="2" t="s">
        <v>9331</v>
      </c>
      <c r="C3214" s="2" t="s">
        <v>9332</v>
      </c>
      <c r="D3214" s="2" t="s">
        <v>9333</v>
      </c>
      <c r="E3214" s="2" t="str">
        <f aca="false">LEFT(C3214,3)</f>
        <v>815</v>
      </c>
      <c r="F3214" s="2" t="str">
        <f aca="false">IF(D3214="","",LEFT(D3214,3))</f>
        <v>826</v>
      </c>
      <c r="G3214" s="2" t="str">
        <f aca="false">IF(F3214="","",IF(E3214=F3214,"Yes","No"))</f>
        <v>No</v>
      </c>
      <c r="H3214" s="2" t="n">
        <f aca="false">IF(D3214="",0,1/COUNTIF($D$2:$D$3451,D3214))</f>
        <v>1</v>
      </c>
      <c r="I3214" s="13" t="n">
        <f aca="false">IFERROR(INDEX('NCO-2015 scores'!$C$2:$C$131,MATCH(E3214,'NCO-2015 scores'!$A$2:$A$131,0)),0)</f>
        <v>0.1625</v>
      </c>
      <c r="J3214" s="13" t="n">
        <f aca="false">IF(ISNUMBER(MATCH(E3214,'NCO-2015 scores'!$A$2:$A$131,0)),IF(ISNUMBER(INDEX('NCO-2015 scores'!$C$2:$C$131,MATCH(E3214,'NCO-2015 scores'!$A$2:$A$131,0))),1,0),0)</f>
        <v>1</v>
      </c>
    </row>
    <row r="3215" customFormat="false" ht="15" hidden="false" customHeight="false" outlineLevel="0" collapsed="false">
      <c r="A3215" s="2" t="n">
        <v>3211</v>
      </c>
      <c r="B3215" s="2" t="s">
        <v>9334</v>
      </c>
      <c r="C3215" s="2" t="s">
        <v>9335</v>
      </c>
      <c r="D3215" s="2" t="s">
        <v>9336</v>
      </c>
      <c r="E3215" s="2" t="str">
        <f aca="false">LEFT(C3215,3)</f>
        <v>815</v>
      </c>
      <c r="F3215" s="2" t="str">
        <f aca="false">IF(D3215="","",LEFT(D3215,3))</f>
        <v>826</v>
      </c>
      <c r="G3215" s="2" t="str">
        <f aca="false">IF(F3215="","",IF(E3215=F3215,"Yes","No"))</f>
        <v>No</v>
      </c>
      <c r="H3215" s="2" t="n">
        <f aca="false">IF(D3215="",0,1/COUNTIF($D$2:$D$3451,D3215))</f>
        <v>1</v>
      </c>
      <c r="I3215" s="13" t="n">
        <f aca="false">IFERROR(INDEX('NCO-2015 scores'!$C$2:$C$131,MATCH(E3215,'NCO-2015 scores'!$A$2:$A$131,0)),0)</f>
        <v>0.1625</v>
      </c>
      <c r="J3215" s="13" t="n">
        <f aca="false">IF(ISNUMBER(MATCH(E3215,'NCO-2015 scores'!$A$2:$A$131,0)),IF(ISNUMBER(INDEX('NCO-2015 scores'!$C$2:$C$131,MATCH(E3215,'NCO-2015 scores'!$A$2:$A$131,0))),1,0),0)</f>
        <v>1</v>
      </c>
    </row>
    <row r="3216" customFormat="false" ht="15" hidden="false" customHeight="false" outlineLevel="0" collapsed="false">
      <c r="A3216" s="2" t="n">
        <v>3212</v>
      </c>
      <c r="B3216" s="2" t="s">
        <v>9337</v>
      </c>
      <c r="C3216" s="2" t="s">
        <v>9338</v>
      </c>
      <c r="D3216" s="2" t="s">
        <v>9339</v>
      </c>
      <c r="E3216" s="2" t="str">
        <f aca="false">LEFT(C3216,3)</f>
        <v>815</v>
      </c>
      <c r="F3216" s="2" t="str">
        <f aca="false">IF(D3216="","",LEFT(D3216,3))</f>
        <v>826</v>
      </c>
      <c r="G3216" s="2" t="str">
        <f aca="false">IF(F3216="","",IF(E3216=F3216,"Yes","No"))</f>
        <v>No</v>
      </c>
      <c r="H3216" s="2" t="n">
        <f aca="false">IF(D3216="",0,1/COUNTIF($D$2:$D$3451,D3216))</f>
        <v>1</v>
      </c>
      <c r="I3216" s="13" t="n">
        <f aca="false">IFERROR(INDEX('NCO-2015 scores'!$C$2:$C$131,MATCH(E3216,'NCO-2015 scores'!$A$2:$A$131,0)),0)</f>
        <v>0.1625</v>
      </c>
      <c r="J3216" s="13" t="n">
        <f aca="false">IF(ISNUMBER(MATCH(E3216,'NCO-2015 scores'!$A$2:$A$131,0)),IF(ISNUMBER(INDEX('NCO-2015 scores'!$C$2:$C$131,MATCH(E3216,'NCO-2015 scores'!$A$2:$A$131,0))),1,0),0)</f>
        <v>1</v>
      </c>
    </row>
    <row r="3217" customFormat="false" ht="15" hidden="false" customHeight="false" outlineLevel="0" collapsed="false">
      <c r="A3217" s="2" t="n">
        <v>3213</v>
      </c>
      <c r="B3217" s="2" t="s">
        <v>9340</v>
      </c>
      <c r="C3217" s="2" t="s">
        <v>9341</v>
      </c>
      <c r="D3217" s="2" t="s">
        <v>9342</v>
      </c>
      <c r="E3217" s="2" t="str">
        <f aca="false">LEFT(C3217,3)</f>
        <v>751</v>
      </c>
      <c r="F3217" s="2" t="str">
        <f aca="false">IF(D3217="","",LEFT(D3217,3))</f>
        <v>741</v>
      </c>
      <c r="G3217" s="2" t="str">
        <f aca="false">IF(F3217="","",IF(E3217=F3217,"Yes","No"))</f>
        <v>No</v>
      </c>
      <c r="H3217" s="2" t="n">
        <f aca="false">IF(D3217="",0,1/COUNTIF($D$2:$D$3451,D3217))</f>
        <v>1</v>
      </c>
      <c r="I3217" s="13" t="n">
        <f aca="false">IFERROR(INDEX('NCO-2015 scores'!$C$2:$C$131,MATCH(E3217,'NCO-2015 scores'!$A$2:$A$131,0)),0)</f>
        <v>0.1867</v>
      </c>
      <c r="J3217" s="13" t="n">
        <f aca="false">IF(ISNUMBER(MATCH(E3217,'NCO-2015 scores'!$A$2:$A$131,0)),IF(ISNUMBER(INDEX('NCO-2015 scores'!$C$2:$C$131,MATCH(E3217,'NCO-2015 scores'!$A$2:$A$131,0))),1,0),0)</f>
        <v>1</v>
      </c>
    </row>
    <row r="3218" customFormat="false" ht="15" hidden="false" customHeight="false" outlineLevel="0" collapsed="false">
      <c r="A3218" s="2" t="n">
        <v>3214</v>
      </c>
      <c r="B3218" s="2" t="s">
        <v>9343</v>
      </c>
      <c r="C3218" s="2" t="s">
        <v>9344</v>
      </c>
      <c r="D3218" s="2" t="s">
        <v>9345</v>
      </c>
      <c r="E3218" s="2" t="str">
        <f aca="false">LEFT(C3218,3)</f>
        <v>751</v>
      </c>
      <c r="F3218" s="2" t="str">
        <f aca="false">IF(D3218="","",LEFT(D3218,3))</f>
        <v>741</v>
      </c>
      <c r="G3218" s="2" t="str">
        <f aca="false">IF(F3218="","",IF(E3218=F3218,"Yes","No"))</f>
        <v>No</v>
      </c>
      <c r="H3218" s="2" t="n">
        <f aca="false">IF(D3218="",0,1/COUNTIF($D$2:$D$3451,D3218))</f>
        <v>1</v>
      </c>
      <c r="I3218" s="13" t="n">
        <f aca="false">IFERROR(INDEX('NCO-2015 scores'!$C$2:$C$131,MATCH(E3218,'NCO-2015 scores'!$A$2:$A$131,0)),0)</f>
        <v>0.1867</v>
      </c>
      <c r="J3218" s="13" t="n">
        <f aca="false">IF(ISNUMBER(MATCH(E3218,'NCO-2015 scores'!$A$2:$A$131,0)),IF(ISNUMBER(INDEX('NCO-2015 scores'!$C$2:$C$131,MATCH(E3218,'NCO-2015 scores'!$A$2:$A$131,0))),1,0),0)</f>
        <v>1</v>
      </c>
    </row>
    <row r="3219" customFormat="false" ht="15" hidden="false" customHeight="false" outlineLevel="0" collapsed="false">
      <c r="A3219" s="2" t="n">
        <v>3215</v>
      </c>
      <c r="B3219" s="2" t="s">
        <v>9346</v>
      </c>
      <c r="C3219" s="2" t="s">
        <v>9347</v>
      </c>
      <c r="D3219" s="2" t="s">
        <v>9348</v>
      </c>
      <c r="E3219" s="2" t="str">
        <f aca="false">LEFT(C3219,3)</f>
        <v>751</v>
      </c>
      <c r="F3219" s="2" t="str">
        <f aca="false">IF(D3219="","",LEFT(D3219,3))</f>
        <v>741</v>
      </c>
      <c r="G3219" s="2" t="str">
        <f aca="false">IF(F3219="","",IF(E3219=F3219,"Yes","No"))</f>
        <v>No</v>
      </c>
      <c r="H3219" s="2" t="n">
        <f aca="false">IF(D3219="",0,1/COUNTIF($D$2:$D$3451,D3219))</f>
        <v>1</v>
      </c>
      <c r="I3219" s="13" t="n">
        <f aca="false">IFERROR(INDEX('NCO-2015 scores'!$C$2:$C$131,MATCH(E3219,'NCO-2015 scores'!$A$2:$A$131,0)),0)</f>
        <v>0.1867</v>
      </c>
      <c r="J3219" s="13" t="n">
        <f aca="false">IF(ISNUMBER(MATCH(E3219,'NCO-2015 scores'!$A$2:$A$131,0)),IF(ISNUMBER(INDEX('NCO-2015 scores'!$C$2:$C$131,MATCH(E3219,'NCO-2015 scores'!$A$2:$A$131,0))),1,0),0)</f>
        <v>1</v>
      </c>
    </row>
    <row r="3220" customFormat="false" ht="15" hidden="false" customHeight="false" outlineLevel="0" collapsed="false">
      <c r="A3220" s="2" t="n">
        <v>3216</v>
      </c>
      <c r="B3220" s="2" t="s">
        <v>9349</v>
      </c>
      <c r="C3220" s="2" t="s">
        <v>9350</v>
      </c>
      <c r="D3220" s="2" t="s">
        <v>9351</v>
      </c>
      <c r="E3220" s="2" t="str">
        <f aca="false">LEFT(C3220,3)</f>
        <v>751</v>
      </c>
      <c r="F3220" s="2" t="str">
        <f aca="false">IF(D3220="","",LEFT(D3220,3))</f>
        <v>741</v>
      </c>
      <c r="G3220" s="2" t="str">
        <f aca="false">IF(F3220="","",IF(E3220=F3220,"Yes","No"))</f>
        <v>No</v>
      </c>
      <c r="H3220" s="2" t="n">
        <f aca="false">IF(D3220="",0,1/COUNTIF($D$2:$D$3451,D3220))</f>
        <v>1</v>
      </c>
      <c r="I3220" s="13" t="n">
        <f aca="false">IFERROR(INDEX('NCO-2015 scores'!$C$2:$C$131,MATCH(E3220,'NCO-2015 scores'!$A$2:$A$131,0)),0)</f>
        <v>0.1867</v>
      </c>
      <c r="J3220" s="13" t="n">
        <f aca="false">IF(ISNUMBER(MATCH(E3220,'NCO-2015 scores'!$A$2:$A$131,0)),IF(ISNUMBER(INDEX('NCO-2015 scores'!$C$2:$C$131,MATCH(E3220,'NCO-2015 scores'!$A$2:$A$131,0))),1,0),0)</f>
        <v>1</v>
      </c>
    </row>
    <row r="3221" customFormat="false" ht="15" hidden="false" customHeight="false" outlineLevel="0" collapsed="false">
      <c r="A3221" s="2" t="n">
        <v>3217</v>
      </c>
      <c r="B3221" s="2" t="s">
        <v>9352</v>
      </c>
      <c r="C3221" s="2" t="s">
        <v>9353</v>
      </c>
      <c r="D3221" s="2" t="s">
        <v>9354</v>
      </c>
      <c r="E3221" s="2" t="str">
        <f aca="false">LEFT(C3221,3)</f>
        <v>751</v>
      </c>
      <c r="F3221" s="2" t="str">
        <f aca="false">IF(D3221="","",LEFT(D3221,3))</f>
        <v>741</v>
      </c>
      <c r="G3221" s="2" t="str">
        <f aca="false">IF(F3221="","",IF(E3221=F3221,"Yes","No"))</f>
        <v>No</v>
      </c>
      <c r="H3221" s="2" t="n">
        <f aca="false">IF(D3221="",0,1/COUNTIF($D$2:$D$3451,D3221))</f>
        <v>1</v>
      </c>
      <c r="I3221" s="13" t="n">
        <f aca="false">IFERROR(INDEX('NCO-2015 scores'!$C$2:$C$131,MATCH(E3221,'NCO-2015 scores'!$A$2:$A$131,0)),0)</f>
        <v>0.1867</v>
      </c>
      <c r="J3221" s="13" t="n">
        <f aca="false">IF(ISNUMBER(MATCH(E3221,'NCO-2015 scores'!$A$2:$A$131,0)),IF(ISNUMBER(INDEX('NCO-2015 scores'!$C$2:$C$131,MATCH(E3221,'NCO-2015 scores'!$A$2:$A$131,0))),1,0),0)</f>
        <v>1</v>
      </c>
    </row>
    <row r="3222" customFormat="false" ht="15" hidden="false" customHeight="false" outlineLevel="0" collapsed="false">
      <c r="A3222" s="2" t="n">
        <v>3218</v>
      </c>
      <c r="B3222" s="2" t="s">
        <v>9355</v>
      </c>
      <c r="C3222" s="2" t="s">
        <v>9356</v>
      </c>
      <c r="D3222" s="2" t="s">
        <v>9357</v>
      </c>
      <c r="E3222" s="2" t="str">
        <f aca="false">LEFT(C3222,3)</f>
        <v>751</v>
      </c>
      <c r="F3222" s="2" t="str">
        <f aca="false">IF(D3222="","",LEFT(D3222,3))</f>
        <v>741</v>
      </c>
      <c r="G3222" s="2" t="str">
        <f aca="false">IF(F3222="","",IF(E3222=F3222,"Yes","No"))</f>
        <v>No</v>
      </c>
      <c r="H3222" s="2" t="n">
        <f aca="false">IF(D3222="",0,1/COUNTIF($D$2:$D$3451,D3222))</f>
        <v>1</v>
      </c>
      <c r="I3222" s="13" t="n">
        <f aca="false">IFERROR(INDEX('NCO-2015 scores'!$C$2:$C$131,MATCH(E3222,'NCO-2015 scores'!$A$2:$A$131,0)),0)</f>
        <v>0.1867</v>
      </c>
      <c r="J3222" s="13" t="n">
        <f aca="false">IF(ISNUMBER(MATCH(E3222,'NCO-2015 scores'!$A$2:$A$131,0)),IF(ISNUMBER(INDEX('NCO-2015 scores'!$C$2:$C$131,MATCH(E3222,'NCO-2015 scores'!$A$2:$A$131,0))),1,0),0)</f>
        <v>1</v>
      </c>
    </row>
    <row r="3223" customFormat="false" ht="15" hidden="false" customHeight="false" outlineLevel="0" collapsed="false">
      <c r="A3223" s="2" t="n">
        <v>3219</v>
      </c>
      <c r="B3223" s="2" t="s">
        <v>9358</v>
      </c>
      <c r="C3223" s="2" t="s">
        <v>9359</v>
      </c>
      <c r="D3223" s="2" t="s">
        <v>9360</v>
      </c>
      <c r="E3223" s="2" t="str">
        <f aca="false">LEFT(C3223,3)</f>
        <v>751</v>
      </c>
      <c r="F3223" s="2" t="str">
        <f aca="false">IF(D3223="","",LEFT(D3223,3))</f>
        <v>741</v>
      </c>
      <c r="G3223" s="2" t="str">
        <f aca="false">IF(F3223="","",IF(E3223=F3223,"Yes","No"))</f>
        <v>No</v>
      </c>
      <c r="H3223" s="2" t="n">
        <f aca="false">IF(D3223="",0,1/COUNTIF($D$2:$D$3451,D3223))</f>
        <v>1</v>
      </c>
      <c r="I3223" s="13" t="n">
        <f aca="false">IFERROR(INDEX('NCO-2015 scores'!$C$2:$C$131,MATCH(E3223,'NCO-2015 scores'!$A$2:$A$131,0)),0)</f>
        <v>0.1867</v>
      </c>
      <c r="J3223" s="13" t="n">
        <f aca="false">IF(ISNUMBER(MATCH(E3223,'NCO-2015 scores'!$A$2:$A$131,0)),IF(ISNUMBER(INDEX('NCO-2015 scores'!$C$2:$C$131,MATCH(E3223,'NCO-2015 scores'!$A$2:$A$131,0))),1,0),0)</f>
        <v>1</v>
      </c>
    </row>
    <row r="3224" customFormat="false" ht="15" hidden="false" customHeight="false" outlineLevel="0" collapsed="false">
      <c r="A3224" s="2" t="n">
        <v>3220</v>
      </c>
      <c r="B3224" s="2" t="s">
        <v>9361</v>
      </c>
      <c r="C3224" s="2" t="s">
        <v>9362</v>
      </c>
      <c r="D3224" s="2" t="s">
        <v>9363</v>
      </c>
      <c r="E3224" s="2" t="str">
        <f aca="false">LEFT(C3224,3)</f>
        <v>751</v>
      </c>
      <c r="F3224" s="2" t="str">
        <f aca="false">IF(D3224="","",LEFT(D3224,3))</f>
        <v>741</v>
      </c>
      <c r="G3224" s="2" t="str">
        <f aca="false">IF(F3224="","",IF(E3224=F3224,"Yes","No"))</f>
        <v>No</v>
      </c>
      <c r="H3224" s="2" t="n">
        <f aca="false">IF(D3224="",0,1/COUNTIF($D$2:$D$3451,D3224))</f>
        <v>1</v>
      </c>
      <c r="I3224" s="13" t="n">
        <f aca="false">IFERROR(INDEX('NCO-2015 scores'!$C$2:$C$131,MATCH(E3224,'NCO-2015 scores'!$A$2:$A$131,0)),0)</f>
        <v>0.1867</v>
      </c>
      <c r="J3224" s="13" t="n">
        <f aca="false">IF(ISNUMBER(MATCH(E3224,'NCO-2015 scores'!$A$2:$A$131,0)),IF(ISNUMBER(INDEX('NCO-2015 scores'!$C$2:$C$131,MATCH(E3224,'NCO-2015 scores'!$A$2:$A$131,0))),1,0),0)</f>
        <v>1</v>
      </c>
    </row>
    <row r="3225" customFormat="false" ht="15" hidden="false" customHeight="false" outlineLevel="0" collapsed="false">
      <c r="A3225" s="2" t="n">
        <v>3221</v>
      </c>
      <c r="B3225" s="2" t="s">
        <v>9364</v>
      </c>
      <c r="C3225" s="2" t="s">
        <v>9365</v>
      </c>
      <c r="D3225" s="2" t="s">
        <v>9366</v>
      </c>
      <c r="E3225" s="2" t="str">
        <f aca="false">LEFT(C3225,3)</f>
        <v>751</v>
      </c>
      <c r="F3225" s="2" t="str">
        <f aca="false">IF(D3225="","",LEFT(D3225,3))</f>
        <v>741</v>
      </c>
      <c r="G3225" s="2" t="str">
        <f aca="false">IF(F3225="","",IF(E3225=F3225,"Yes","No"))</f>
        <v>No</v>
      </c>
      <c r="H3225" s="2" t="n">
        <f aca="false">IF(D3225="",0,1/COUNTIF($D$2:$D$3451,D3225))</f>
        <v>1</v>
      </c>
      <c r="I3225" s="13" t="n">
        <f aca="false">IFERROR(INDEX('NCO-2015 scores'!$C$2:$C$131,MATCH(E3225,'NCO-2015 scores'!$A$2:$A$131,0)),0)</f>
        <v>0.1867</v>
      </c>
      <c r="J3225" s="13" t="n">
        <f aca="false">IF(ISNUMBER(MATCH(E3225,'NCO-2015 scores'!$A$2:$A$131,0)),IF(ISNUMBER(INDEX('NCO-2015 scores'!$C$2:$C$131,MATCH(E3225,'NCO-2015 scores'!$A$2:$A$131,0))),1,0),0)</f>
        <v>1</v>
      </c>
    </row>
    <row r="3226" customFormat="false" ht="15" hidden="false" customHeight="false" outlineLevel="0" collapsed="false">
      <c r="A3226" s="2" t="n">
        <v>3222</v>
      </c>
      <c r="B3226" s="2" t="s">
        <v>9367</v>
      </c>
      <c r="C3226" s="2" t="s">
        <v>9368</v>
      </c>
      <c r="D3226" s="2" t="s">
        <v>9369</v>
      </c>
      <c r="E3226" s="2" t="str">
        <f aca="false">LEFT(C3226,3)</f>
        <v>751</v>
      </c>
      <c r="F3226" s="2" t="str">
        <f aca="false">IF(D3226="","",LEFT(D3226,3))</f>
        <v>741</v>
      </c>
      <c r="G3226" s="2" t="str">
        <f aca="false">IF(F3226="","",IF(E3226=F3226,"Yes","No"))</f>
        <v>No</v>
      </c>
      <c r="H3226" s="2" t="n">
        <f aca="false">IF(D3226="",0,1/COUNTIF($D$2:$D$3451,D3226))</f>
        <v>1</v>
      </c>
      <c r="I3226" s="13" t="n">
        <f aca="false">IFERROR(INDEX('NCO-2015 scores'!$C$2:$C$131,MATCH(E3226,'NCO-2015 scores'!$A$2:$A$131,0)),0)</f>
        <v>0.1867</v>
      </c>
      <c r="J3226" s="13" t="n">
        <f aca="false">IF(ISNUMBER(MATCH(E3226,'NCO-2015 scores'!$A$2:$A$131,0)),IF(ISNUMBER(INDEX('NCO-2015 scores'!$C$2:$C$131,MATCH(E3226,'NCO-2015 scores'!$A$2:$A$131,0))),1,0),0)</f>
        <v>1</v>
      </c>
    </row>
    <row r="3227" customFormat="false" ht="15" hidden="false" customHeight="false" outlineLevel="0" collapsed="false">
      <c r="A3227" s="2" t="n">
        <v>3223</v>
      </c>
      <c r="B3227" s="2" t="s">
        <v>9370</v>
      </c>
      <c r="C3227" s="2" t="s">
        <v>9371</v>
      </c>
      <c r="D3227" s="2" t="s">
        <v>9372</v>
      </c>
      <c r="E3227" s="2" t="str">
        <f aca="false">LEFT(C3227,3)</f>
        <v>751</v>
      </c>
      <c r="F3227" s="2" t="str">
        <f aca="false">IF(D3227="","",LEFT(D3227,3))</f>
        <v>741</v>
      </c>
      <c r="G3227" s="2" t="str">
        <f aca="false">IF(F3227="","",IF(E3227=F3227,"Yes","No"))</f>
        <v>No</v>
      </c>
      <c r="H3227" s="2" t="n">
        <f aca="false">IF(D3227="",0,1/COUNTIF($D$2:$D$3451,D3227))</f>
        <v>1</v>
      </c>
      <c r="I3227" s="13" t="n">
        <f aca="false">IFERROR(INDEX('NCO-2015 scores'!$C$2:$C$131,MATCH(E3227,'NCO-2015 scores'!$A$2:$A$131,0)),0)</f>
        <v>0.1867</v>
      </c>
      <c r="J3227" s="13" t="n">
        <f aca="false">IF(ISNUMBER(MATCH(E3227,'NCO-2015 scores'!$A$2:$A$131,0)),IF(ISNUMBER(INDEX('NCO-2015 scores'!$C$2:$C$131,MATCH(E3227,'NCO-2015 scores'!$A$2:$A$131,0))),1,0),0)</f>
        <v>1</v>
      </c>
    </row>
    <row r="3228" customFormat="false" ht="15" hidden="false" customHeight="false" outlineLevel="0" collapsed="false">
      <c r="A3228" s="2" t="n">
        <v>3224</v>
      </c>
      <c r="B3228" s="2" t="s">
        <v>9373</v>
      </c>
      <c r="C3228" s="2" t="s">
        <v>9374</v>
      </c>
      <c r="D3228" s="2" t="s">
        <v>9375</v>
      </c>
      <c r="E3228" s="2" t="str">
        <f aca="false">LEFT(C3228,3)</f>
        <v>751</v>
      </c>
      <c r="F3228" s="2" t="str">
        <f aca="false">IF(D3228="","",LEFT(D3228,3))</f>
        <v>741</v>
      </c>
      <c r="G3228" s="2" t="str">
        <f aca="false">IF(F3228="","",IF(E3228=F3228,"Yes","No"))</f>
        <v>No</v>
      </c>
      <c r="H3228" s="2" t="n">
        <f aca="false">IF(D3228="",0,1/COUNTIF($D$2:$D$3451,D3228))</f>
        <v>1</v>
      </c>
      <c r="I3228" s="13" t="n">
        <f aca="false">IFERROR(INDEX('NCO-2015 scores'!$C$2:$C$131,MATCH(E3228,'NCO-2015 scores'!$A$2:$A$131,0)),0)</f>
        <v>0.1867</v>
      </c>
      <c r="J3228" s="13" t="n">
        <f aca="false">IF(ISNUMBER(MATCH(E3228,'NCO-2015 scores'!$A$2:$A$131,0)),IF(ISNUMBER(INDEX('NCO-2015 scores'!$C$2:$C$131,MATCH(E3228,'NCO-2015 scores'!$A$2:$A$131,0))),1,0),0)</f>
        <v>1</v>
      </c>
    </row>
    <row r="3229" customFormat="false" ht="15" hidden="false" customHeight="false" outlineLevel="0" collapsed="false">
      <c r="A3229" s="2" t="n">
        <v>3225</v>
      </c>
      <c r="B3229" s="2" t="s">
        <v>9376</v>
      </c>
      <c r="C3229" s="2" t="s">
        <v>9377</v>
      </c>
      <c r="D3229" s="2" t="s">
        <v>9378</v>
      </c>
      <c r="E3229" s="2" t="str">
        <f aca="false">LEFT(C3229,3)</f>
        <v>216</v>
      </c>
      <c r="F3229" s="2" t="str">
        <f aca="false">IF(D3229="","",LEFT(D3229,3))</f>
        <v>214</v>
      </c>
      <c r="G3229" s="2" t="str">
        <f aca="false">IF(F3229="","",IF(E3229=F3229,"Yes","No"))</f>
        <v>No</v>
      </c>
      <c r="H3229" s="2" t="n">
        <f aca="false">IF(D3229="",0,1/COUNTIF($D$2:$D$3451,D3229))</f>
        <v>1</v>
      </c>
      <c r="I3229" s="13" t="n">
        <f aca="false">IFERROR(INDEX('NCO-2015 scores'!$C$2:$C$131,MATCH(E3229,'NCO-2015 scores'!$A$2:$A$131,0)),0)</f>
        <v>0.405</v>
      </c>
      <c r="J3229" s="13" t="n">
        <f aca="false">IF(ISNUMBER(MATCH(E3229,'NCO-2015 scores'!$A$2:$A$131,0)),IF(ISNUMBER(INDEX('NCO-2015 scores'!$C$2:$C$131,MATCH(E3229,'NCO-2015 scores'!$A$2:$A$131,0))),1,0),0)</f>
        <v>1</v>
      </c>
    </row>
    <row r="3230" customFormat="false" ht="15" hidden="false" customHeight="false" outlineLevel="0" collapsed="false">
      <c r="A3230" s="2" t="n">
        <v>3226</v>
      </c>
      <c r="B3230" s="2" t="s">
        <v>9379</v>
      </c>
      <c r="C3230" s="2" t="s">
        <v>9380</v>
      </c>
      <c r="D3230" s="2" t="s">
        <v>9381</v>
      </c>
      <c r="E3230" s="2" t="str">
        <f aca="false">LEFT(C3230,3)</f>
        <v>216</v>
      </c>
      <c r="F3230" s="2" t="str">
        <f aca="false">IF(D3230="","",LEFT(D3230,3))</f>
        <v>214</v>
      </c>
      <c r="G3230" s="2" t="str">
        <f aca="false">IF(F3230="","",IF(E3230=F3230,"Yes","No"))</f>
        <v>No</v>
      </c>
      <c r="H3230" s="2" t="n">
        <f aca="false">IF(D3230="",0,1/COUNTIF($D$2:$D$3451,D3230))</f>
        <v>1</v>
      </c>
      <c r="I3230" s="13" t="n">
        <f aca="false">IFERROR(INDEX('NCO-2015 scores'!$C$2:$C$131,MATCH(E3230,'NCO-2015 scores'!$A$2:$A$131,0)),0)</f>
        <v>0.405</v>
      </c>
      <c r="J3230" s="13" t="n">
        <f aca="false">IF(ISNUMBER(MATCH(E3230,'NCO-2015 scores'!$A$2:$A$131,0)),IF(ISNUMBER(INDEX('NCO-2015 scores'!$C$2:$C$131,MATCH(E3230,'NCO-2015 scores'!$A$2:$A$131,0))),1,0),0)</f>
        <v>1</v>
      </c>
    </row>
    <row r="3231" customFormat="false" ht="15" hidden="false" customHeight="false" outlineLevel="0" collapsed="false">
      <c r="A3231" s="2" t="n">
        <v>3227</v>
      </c>
      <c r="B3231" s="2" t="s">
        <v>9382</v>
      </c>
      <c r="C3231" s="2" t="s">
        <v>9383</v>
      </c>
      <c r="D3231" s="2" t="s">
        <v>9384</v>
      </c>
      <c r="E3231" s="2" t="str">
        <f aca="false">LEFT(C3231,3)</f>
        <v>223</v>
      </c>
      <c r="F3231" s="2" t="str">
        <f aca="false">IF(D3231="","",LEFT(D3231,3))</f>
        <v>222</v>
      </c>
      <c r="G3231" s="2" t="str">
        <f aca="false">IF(F3231="","",IF(E3231=F3231,"Yes","No"))</f>
        <v>No</v>
      </c>
      <c r="H3231" s="2" t="n">
        <f aca="false">IF(D3231="",0,1/COUNTIF($D$2:$D$3451,D3231))</f>
        <v>1</v>
      </c>
      <c r="I3231" s="13" t="n">
        <f aca="false">IFERROR(INDEX('NCO-2015 scores'!$C$2:$C$131,MATCH(E3231,'NCO-2015 scores'!$A$2:$A$131,0)),0)</f>
        <v>0.32</v>
      </c>
      <c r="J3231" s="13" t="n">
        <f aca="false">IF(ISNUMBER(MATCH(E3231,'NCO-2015 scores'!$A$2:$A$131,0)),IF(ISNUMBER(INDEX('NCO-2015 scores'!$C$2:$C$131,MATCH(E3231,'NCO-2015 scores'!$A$2:$A$131,0))),1,0),0)</f>
        <v>1</v>
      </c>
    </row>
    <row r="3232" customFormat="false" ht="15" hidden="false" customHeight="false" outlineLevel="0" collapsed="false">
      <c r="A3232" s="2" t="n">
        <v>3228</v>
      </c>
      <c r="B3232" s="2" t="s">
        <v>9385</v>
      </c>
      <c r="C3232" s="2" t="s">
        <v>9386</v>
      </c>
      <c r="D3232" s="2" t="s">
        <v>9387</v>
      </c>
      <c r="E3232" s="2" t="str">
        <f aca="false">LEFT(C3232,3)</f>
        <v>223</v>
      </c>
      <c r="F3232" s="2" t="str">
        <f aca="false">IF(D3232="","",LEFT(D3232,3))</f>
        <v>222</v>
      </c>
      <c r="G3232" s="2" t="str">
        <f aca="false">IF(F3232="","",IF(E3232=F3232,"Yes","No"))</f>
        <v>No</v>
      </c>
      <c r="H3232" s="2" t="n">
        <f aca="false">IF(D3232="",0,1/COUNTIF($D$2:$D$3451,D3232))</f>
        <v>1</v>
      </c>
      <c r="I3232" s="13" t="n">
        <f aca="false">IFERROR(INDEX('NCO-2015 scores'!$C$2:$C$131,MATCH(E3232,'NCO-2015 scores'!$A$2:$A$131,0)),0)</f>
        <v>0.32</v>
      </c>
      <c r="J3232" s="13" t="n">
        <f aca="false">IF(ISNUMBER(MATCH(E3232,'NCO-2015 scores'!$A$2:$A$131,0)),IF(ISNUMBER(INDEX('NCO-2015 scores'!$C$2:$C$131,MATCH(E3232,'NCO-2015 scores'!$A$2:$A$131,0))),1,0),0)</f>
        <v>1</v>
      </c>
    </row>
    <row r="3233" customFormat="false" ht="15" hidden="false" customHeight="false" outlineLevel="0" collapsed="false">
      <c r="A3233" s="2" t="n">
        <v>3229</v>
      </c>
      <c r="B3233" s="2" t="s">
        <v>9388</v>
      </c>
      <c r="C3233" s="2" t="s">
        <v>9389</v>
      </c>
      <c r="D3233" s="2" t="s">
        <v>9390</v>
      </c>
      <c r="E3233" s="2" t="str">
        <f aca="false">LEFT(C3233,3)</f>
        <v>223</v>
      </c>
      <c r="F3233" s="2" t="str">
        <f aca="false">IF(D3233="","",LEFT(D3233,3))</f>
        <v>222</v>
      </c>
      <c r="G3233" s="2" t="str">
        <f aca="false">IF(F3233="","",IF(E3233=F3233,"Yes","No"))</f>
        <v>No</v>
      </c>
      <c r="H3233" s="2" t="n">
        <f aca="false">IF(D3233="",0,1/COUNTIF($D$2:$D$3451,D3233))</f>
        <v>1</v>
      </c>
      <c r="I3233" s="13" t="n">
        <f aca="false">IFERROR(INDEX('NCO-2015 scores'!$C$2:$C$131,MATCH(E3233,'NCO-2015 scores'!$A$2:$A$131,0)),0)</f>
        <v>0.32</v>
      </c>
      <c r="J3233" s="13" t="n">
        <f aca="false">IF(ISNUMBER(MATCH(E3233,'NCO-2015 scores'!$A$2:$A$131,0)),IF(ISNUMBER(INDEX('NCO-2015 scores'!$C$2:$C$131,MATCH(E3233,'NCO-2015 scores'!$A$2:$A$131,0))),1,0),0)</f>
        <v>1</v>
      </c>
    </row>
    <row r="3234" customFormat="false" ht="15" hidden="false" customHeight="false" outlineLevel="0" collapsed="false">
      <c r="A3234" s="2" t="n">
        <v>3230</v>
      </c>
      <c r="B3234" s="2" t="s">
        <v>9391</v>
      </c>
      <c r="C3234" s="2" t="s">
        <v>9392</v>
      </c>
      <c r="D3234" s="2" t="s">
        <v>9393</v>
      </c>
      <c r="E3234" s="2" t="str">
        <f aca="false">LEFT(C3234,3)</f>
        <v>223</v>
      </c>
      <c r="F3234" s="2" t="str">
        <f aca="false">IF(D3234="","",LEFT(D3234,3))</f>
        <v>222</v>
      </c>
      <c r="G3234" s="2" t="str">
        <f aca="false">IF(F3234="","",IF(E3234=F3234,"Yes","No"))</f>
        <v>No</v>
      </c>
      <c r="H3234" s="2" t="n">
        <f aca="false">IF(D3234="",0,1/COUNTIF($D$2:$D$3451,D3234))</f>
        <v>1</v>
      </c>
      <c r="I3234" s="13" t="n">
        <f aca="false">IFERROR(INDEX('NCO-2015 scores'!$C$2:$C$131,MATCH(E3234,'NCO-2015 scores'!$A$2:$A$131,0)),0)</f>
        <v>0.32</v>
      </c>
      <c r="J3234" s="13" t="n">
        <f aca="false">IF(ISNUMBER(MATCH(E3234,'NCO-2015 scores'!$A$2:$A$131,0)),IF(ISNUMBER(INDEX('NCO-2015 scores'!$C$2:$C$131,MATCH(E3234,'NCO-2015 scores'!$A$2:$A$131,0))),1,0),0)</f>
        <v>1</v>
      </c>
    </row>
    <row r="3235" customFormat="false" ht="15" hidden="false" customHeight="false" outlineLevel="0" collapsed="false">
      <c r="A3235" s="2" t="n">
        <v>3231</v>
      </c>
      <c r="B3235" s="2" t="s">
        <v>9394</v>
      </c>
      <c r="C3235" s="2" t="s">
        <v>9395</v>
      </c>
      <c r="D3235" s="2" t="s">
        <v>9396</v>
      </c>
      <c r="E3235" s="2" t="str">
        <f aca="false">LEFT(C3235,3)</f>
        <v>223</v>
      </c>
      <c r="F3235" s="2" t="str">
        <f aca="false">IF(D3235="","",LEFT(D3235,3))</f>
        <v>324</v>
      </c>
      <c r="G3235" s="2" t="str">
        <f aca="false">IF(F3235="","",IF(E3235=F3235,"Yes","No"))</f>
        <v>No</v>
      </c>
      <c r="H3235" s="2" t="n">
        <f aca="false">IF(D3235="",0,1/COUNTIF($D$2:$D$3451,D3235))</f>
        <v>1</v>
      </c>
      <c r="I3235" s="13" t="n">
        <f aca="false">IFERROR(INDEX('NCO-2015 scores'!$C$2:$C$131,MATCH(E3235,'NCO-2015 scores'!$A$2:$A$131,0)),0)</f>
        <v>0.32</v>
      </c>
      <c r="J3235" s="13" t="n">
        <f aca="false">IF(ISNUMBER(MATCH(E3235,'NCO-2015 scores'!$A$2:$A$131,0)),IF(ISNUMBER(INDEX('NCO-2015 scores'!$C$2:$C$131,MATCH(E3235,'NCO-2015 scores'!$A$2:$A$131,0))),1,0),0)</f>
        <v>1</v>
      </c>
    </row>
    <row r="3236" customFormat="false" ht="15" hidden="false" customHeight="false" outlineLevel="0" collapsed="false">
      <c r="A3236" s="2" t="n">
        <v>3232</v>
      </c>
      <c r="B3236" s="2" t="s">
        <v>9397</v>
      </c>
      <c r="C3236" s="2" t="s">
        <v>9398</v>
      </c>
      <c r="D3236" s="2" t="s">
        <v>9399</v>
      </c>
      <c r="E3236" s="2" t="str">
        <f aca="false">LEFT(C3236,3)</f>
        <v>242</v>
      </c>
      <c r="F3236" s="2" t="str">
        <f aca="false">IF(D3236="","",LEFT(D3236,3))</f>
        <v>241</v>
      </c>
      <c r="G3236" s="2" t="str">
        <f aca="false">IF(F3236="","",IF(E3236=F3236,"Yes","No"))</f>
        <v>No</v>
      </c>
      <c r="H3236" s="2" t="n">
        <f aca="false">IF(D3236="",0,1/COUNTIF($D$2:$D$3451,D3236))</f>
        <v>1</v>
      </c>
      <c r="I3236" s="13" t="n">
        <f aca="false">IFERROR(INDEX('NCO-2015 scores'!$C$2:$C$131,MATCH(E3236,'NCO-2015 scores'!$A$2:$A$131,0)),0)</f>
        <v>0.435</v>
      </c>
      <c r="J3236" s="13" t="n">
        <f aca="false">IF(ISNUMBER(MATCH(E3236,'NCO-2015 scores'!$A$2:$A$131,0)),IF(ISNUMBER(INDEX('NCO-2015 scores'!$C$2:$C$131,MATCH(E3236,'NCO-2015 scores'!$A$2:$A$131,0))),1,0),0)</f>
        <v>1</v>
      </c>
    </row>
    <row r="3237" customFormat="false" ht="15" hidden="false" customHeight="false" outlineLevel="0" collapsed="false">
      <c r="A3237" s="2" t="n">
        <v>3233</v>
      </c>
      <c r="B3237" s="2" t="s">
        <v>9400</v>
      </c>
      <c r="C3237" s="2" t="s">
        <v>9401</v>
      </c>
      <c r="D3237" s="2" t="s">
        <v>9402</v>
      </c>
      <c r="E3237" s="2" t="str">
        <f aca="false">LEFT(C3237,3)</f>
        <v>242</v>
      </c>
      <c r="F3237" s="2" t="str">
        <f aca="false">IF(D3237="","",LEFT(D3237,3))</f>
        <v>241</v>
      </c>
      <c r="G3237" s="2" t="str">
        <f aca="false">IF(F3237="","",IF(E3237=F3237,"Yes","No"))</f>
        <v>No</v>
      </c>
      <c r="H3237" s="2" t="n">
        <f aca="false">IF(D3237="",0,1/COUNTIF($D$2:$D$3451,D3237))</f>
        <v>1</v>
      </c>
      <c r="I3237" s="13" t="n">
        <f aca="false">IFERROR(INDEX('NCO-2015 scores'!$C$2:$C$131,MATCH(E3237,'NCO-2015 scores'!$A$2:$A$131,0)),0)</f>
        <v>0.435</v>
      </c>
      <c r="J3237" s="13" t="n">
        <f aca="false">IF(ISNUMBER(MATCH(E3237,'NCO-2015 scores'!$A$2:$A$131,0)),IF(ISNUMBER(INDEX('NCO-2015 scores'!$C$2:$C$131,MATCH(E3237,'NCO-2015 scores'!$A$2:$A$131,0))),1,0),0)</f>
        <v>1</v>
      </c>
    </row>
    <row r="3238" customFormat="false" ht="15" hidden="false" customHeight="false" outlineLevel="0" collapsed="false">
      <c r="A3238" s="2" t="n">
        <v>3234</v>
      </c>
      <c r="B3238" s="2" t="s">
        <v>9403</v>
      </c>
      <c r="C3238" s="2" t="s">
        <v>9404</v>
      </c>
      <c r="D3238" s="2" t="s">
        <v>9405</v>
      </c>
      <c r="E3238" s="2" t="str">
        <f aca="false">LEFT(C3238,3)</f>
        <v>242</v>
      </c>
      <c r="F3238" s="2" t="str">
        <f aca="false">IF(D3238="","",LEFT(D3238,3))</f>
        <v>241</v>
      </c>
      <c r="G3238" s="2" t="str">
        <f aca="false">IF(F3238="","",IF(E3238=F3238,"Yes","No"))</f>
        <v>No</v>
      </c>
      <c r="H3238" s="2" t="n">
        <f aca="false">IF(D3238="",0,1/COUNTIF($D$2:$D$3451,D3238))</f>
        <v>1</v>
      </c>
      <c r="I3238" s="13" t="n">
        <f aca="false">IFERROR(INDEX('NCO-2015 scores'!$C$2:$C$131,MATCH(E3238,'NCO-2015 scores'!$A$2:$A$131,0)),0)</f>
        <v>0.435</v>
      </c>
      <c r="J3238" s="13" t="n">
        <f aca="false">IF(ISNUMBER(MATCH(E3238,'NCO-2015 scores'!$A$2:$A$131,0)),IF(ISNUMBER(INDEX('NCO-2015 scores'!$C$2:$C$131,MATCH(E3238,'NCO-2015 scores'!$A$2:$A$131,0))),1,0),0)</f>
        <v>1</v>
      </c>
    </row>
    <row r="3239" customFormat="false" ht="15" hidden="false" customHeight="false" outlineLevel="0" collapsed="false">
      <c r="A3239" s="2" t="n">
        <v>3235</v>
      </c>
      <c r="B3239" s="2" t="s">
        <v>9406</v>
      </c>
      <c r="C3239" s="2" t="s">
        <v>9407</v>
      </c>
      <c r="D3239" s="2"/>
      <c r="E3239" s="2" t="str">
        <f aca="false">LEFT(C3239,3)</f>
        <v>242</v>
      </c>
      <c r="F3239" s="2" t="str">
        <f aca="false">IF(D3239="","",LEFT(D3239,3))</f>
        <v/>
      </c>
      <c r="G3239" s="2" t="str">
        <f aca="false">IF(F3239="","",IF(E3239=F3239,"Yes","No"))</f>
        <v/>
      </c>
      <c r="H3239" s="2" t="n">
        <f aca="false">IF(D3239="",0,1/COUNTIF($D$2:$D$3451,D3239))</f>
        <v>0</v>
      </c>
      <c r="I3239" s="13" t="n">
        <f aca="false">IFERROR(INDEX('NCO-2015 scores'!$C$2:$C$131,MATCH(E3239,'NCO-2015 scores'!$A$2:$A$131,0)),0)</f>
        <v>0.435</v>
      </c>
      <c r="J3239" s="13" t="n">
        <f aca="false">IF(ISNUMBER(MATCH(E3239,'NCO-2015 scores'!$A$2:$A$131,0)),IF(ISNUMBER(INDEX('NCO-2015 scores'!$C$2:$C$131,MATCH(E3239,'NCO-2015 scores'!$A$2:$A$131,0))),1,0),0)</f>
        <v>1</v>
      </c>
    </row>
    <row r="3240" customFormat="false" ht="15" hidden="false" customHeight="false" outlineLevel="0" collapsed="false">
      <c r="A3240" s="2" t="n">
        <v>3236</v>
      </c>
      <c r="B3240" s="2" t="s">
        <v>9408</v>
      </c>
      <c r="C3240" s="2" t="s">
        <v>9409</v>
      </c>
      <c r="D3240" s="2"/>
      <c r="E3240" s="2" t="str">
        <f aca="false">LEFT(C3240,3)</f>
        <v>242</v>
      </c>
      <c r="F3240" s="2" t="str">
        <f aca="false">IF(D3240="","",LEFT(D3240,3))</f>
        <v/>
      </c>
      <c r="G3240" s="2" t="str">
        <f aca="false">IF(F3240="","",IF(E3240=F3240,"Yes","No"))</f>
        <v/>
      </c>
      <c r="H3240" s="2" t="n">
        <f aca="false">IF(D3240="",0,1/COUNTIF($D$2:$D$3451,D3240))</f>
        <v>0</v>
      </c>
      <c r="I3240" s="13" t="n">
        <f aca="false">IFERROR(INDEX('NCO-2015 scores'!$C$2:$C$131,MATCH(E3240,'NCO-2015 scores'!$A$2:$A$131,0)),0)</f>
        <v>0.435</v>
      </c>
      <c r="J3240" s="13" t="n">
        <f aca="false">IF(ISNUMBER(MATCH(E3240,'NCO-2015 scores'!$A$2:$A$131,0)),IF(ISNUMBER(INDEX('NCO-2015 scores'!$C$2:$C$131,MATCH(E3240,'NCO-2015 scores'!$A$2:$A$131,0))),1,0),0)</f>
        <v>1</v>
      </c>
    </row>
    <row r="3241" customFormat="false" ht="15" hidden="false" customHeight="false" outlineLevel="0" collapsed="false">
      <c r="A3241" s="2" t="n">
        <v>3237</v>
      </c>
      <c r="B3241" s="2" t="s">
        <v>9410</v>
      </c>
      <c r="C3241" s="2" t="s">
        <v>9411</v>
      </c>
      <c r="D3241" s="2"/>
      <c r="E3241" s="2" t="str">
        <f aca="false">LEFT(C3241,3)</f>
        <v>242</v>
      </c>
      <c r="F3241" s="2" t="str">
        <f aca="false">IF(D3241="","",LEFT(D3241,3))</f>
        <v/>
      </c>
      <c r="G3241" s="2" t="str">
        <f aca="false">IF(F3241="","",IF(E3241=F3241,"Yes","No"))</f>
        <v/>
      </c>
      <c r="H3241" s="2" t="n">
        <f aca="false">IF(D3241="",0,1/COUNTIF($D$2:$D$3451,D3241))</f>
        <v>0</v>
      </c>
      <c r="I3241" s="13" t="n">
        <f aca="false">IFERROR(INDEX('NCO-2015 scores'!$C$2:$C$131,MATCH(E3241,'NCO-2015 scores'!$A$2:$A$131,0)),0)</f>
        <v>0.435</v>
      </c>
      <c r="J3241" s="13" t="n">
        <f aca="false">IF(ISNUMBER(MATCH(E3241,'NCO-2015 scores'!$A$2:$A$131,0)),IF(ISNUMBER(INDEX('NCO-2015 scores'!$C$2:$C$131,MATCH(E3241,'NCO-2015 scores'!$A$2:$A$131,0))),1,0),0)</f>
        <v>1</v>
      </c>
    </row>
    <row r="3242" customFormat="false" ht="15" hidden="false" customHeight="false" outlineLevel="0" collapsed="false">
      <c r="A3242" s="2" t="n">
        <v>3238</v>
      </c>
      <c r="B3242" s="2" t="s">
        <v>9412</v>
      </c>
      <c r="C3242" s="2" t="s">
        <v>9413</v>
      </c>
      <c r="D3242" s="2"/>
      <c r="E3242" s="2" t="str">
        <f aca="false">LEFT(C3242,3)</f>
        <v>242</v>
      </c>
      <c r="F3242" s="2" t="str">
        <f aca="false">IF(D3242="","",LEFT(D3242,3))</f>
        <v/>
      </c>
      <c r="G3242" s="2" t="str">
        <f aca="false">IF(F3242="","",IF(E3242=F3242,"Yes","No"))</f>
        <v/>
      </c>
      <c r="H3242" s="2" t="n">
        <f aca="false">IF(D3242="",0,1/COUNTIF($D$2:$D$3451,D3242))</f>
        <v>0</v>
      </c>
      <c r="I3242" s="13" t="n">
        <f aca="false">IFERROR(INDEX('NCO-2015 scores'!$C$2:$C$131,MATCH(E3242,'NCO-2015 scores'!$A$2:$A$131,0)),0)</f>
        <v>0.435</v>
      </c>
      <c r="J3242" s="13" t="n">
        <f aca="false">IF(ISNUMBER(MATCH(E3242,'NCO-2015 scores'!$A$2:$A$131,0)),IF(ISNUMBER(INDEX('NCO-2015 scores'!$C$2:$C$131,MATCH(E3242,'NCO-2015 scores'!$A$2:$A$131,0))),1,0),0)</f>
        <v>1</v>
      </c>
    </row>
    <row r="3243" customFormat="false" ht="15" hidden="false" customHeight="false" outlineLevel="0" collapsed="false">
      <c r="A3243" s="2" t="n">
        <v>3239</v>
      </c>
      <c r="B3243" s="2" t="s">
        <v>9414</v>
      </c>
      <c r="C3243" s="2" t="s">
        <v>9415</v>
      </c>
      <c r="D3243" s="2"/>
      <c r="E3243" s="2" t="str">
        <f aca="false">LEFT(C3243,3)</f>
        <v>242</v>
      </c>
      <c r="F3243" s="2" t="str">
        <f aca="false">IF(D3243="","",LEFT(D3243,3))</f>
        <v/>
      </c>
      <c r="G3243" s="2" t="str">
        <f aca="false">IF(F3243="","",IF(E3243=F3243,"Yes","No"))</f>
        <v/>
      </c>
      <c r="H3243" s="2" t="n">
        <f aca="false">IF(D3243="",0,1/COUNTIF($D$2:$D$3451,D3243))</f>
        <v>0</v>
      </c>
      <c r="I3243" s="13" t="n">
        <f aca="false">IFERROR(INDEX('NCO-2015 scores'!$C$2:$C$131,MATCH(E3243,'NCO-2015 scores'!$A$2:$A$131,0)),0)</f>
        <v>0.435</v>
      </c>
      <c r="J3243" s="13" t="n">
        <f aca="false">IF(ISNUMBER(MATCH(E3243,'NCO-2015 scores'!$A$2:$A$131,0)),IF(ISNUMBER(INDEX('NCO-2015 scores'!$C$2:$C$131,MATCH(E3243,'NCO-2015 scores'!$A$2:$A$131,0))),1,0),0)</f>
        <v>1</v>
      </c>
    </row>
    <row r="3244" customFormat="false" ht="15" hidden="false" customHeight="false" outlineLevel="0" collapsed="false">
      <c r="A3244" s="2" t="n">
        <v>3240</v>
      </c>
      <c r="B3244" s="2" t="s">
        <v>9416</v>
      </c>
      <c r="C3244" s="2" t="s">
        <v>9417</v>
      </c>
      <c r="D3244" s="2" t="s">
        <v>9418</v>
      </c>
      <c r="E3244" s="2" t="str">
        <f aca="false">LEFT(C3244,3)</f>
        <v>264</v>
      </c>
      <c r="F3244" s="2" t="str">
        <f aca="false">IF(D3244="","",LEFT(D3244,3))</f>
        <v>244</v>
      </c>
      <c r="G3244" s="2" t="str">
        <f aca="false">IF(F3244="","",IF(E3244=F3244,"Yes","No"))</f>
        <v>No</v>
      </c>
      <c r="H3244" s="2" t="n">
        <f aca="false">IF(D3244="",0,1/COUNTIF($D$2:$D$3451,D3244))</f>
        <v>1</v>
      </c>
      <c r="I3244" s="13" t="n">
        <f aca="false">IFERROR(INDEX('NCO-2015 scores'!$C$2:$C$131,MATCH(E3244,'NCO-2015 scores'!$A$2:$A$131,0)),0)</f>
        <v>0.56</v>
      </c>
      <c r="J3244" s="13" t="n">
        <f aca="false">IF(ISNUMBER(MATCH(E3244,'NCO-2015 scores'!$A$2:$A$131,0)),IF(ISNUMBER(INDEX('NCO-2015 scores'!$C$2:$C$131,MATCH(E3244,'NCO-2015 scores'!$A$2:$A$131,0))),1,0),0)</f>
        <v>1</v>
      </c>
    </row>
    <row r="3245" customFormat="false" ht="15" hidden="false" customHeight="false" outlineLevel="0" collapsed="false">
      <c r="A3245" s="2" t="n">
        <v>3241</v>
      </c>
      <c r="B3245" s="2" t="s">
        <v>9419</v>
      </c>
      <c r="C3245" s="2" t="s">
        <v>9420</v>
      </c>
      <c r="D3245" s="2" t="s">
        <v>9421</v>
      </c>
      <c r="E3245" s="2" t="str">
        <f aca="false">LEFT(C3245,3)</f>
        <v>264</v>
      </c>
      <c r="F3245" s="2" t="str">
        <f aca="false">IF(D3245="","",LEFT(D3245,3))</f>
        <v>244</v>
      </c>
      <c r="G3245" s="2" t="str">
        <f aca="false">IF(F3245="","",IF(E3245=F3245,"Yes","No"))</f>
        <v>No</v>
      </c>
      <c r="H3245" s="2" t="n">
        <f aca="false">IF(D3245="",0,1/COUNTIF($D$2:$D$3451,D3245))</f>
        <v>1</v>
      </c>
      <c r="I3245" s="13" t="n">
        <f aca="false">IFERROR(INDEX('NCO-2015 scores'!$C$2:$C$131,MATCH(E3245,'NCO-2015 scores'!$A$2:$A$131,0)),0)</f>
        <v>0.56</v>
      </c>
      <c r="J3245" s="13" t="n">
        <f aca="false">IF(ISNUMBER(MATCH(E3245,'NCO-2015 scores'!$A$2:$A$131,0)),IF(ISNUMBER(INDEX('NCO-2015 scores'!$C$2:$C$131,MATCH(E3245,'NCO-2015 scores'!$A$2:$A$131,0))),1,0),0)</f>
        <v>1</v>
      </c>
    </row>
    <row r="3246" customFormat="false" ht="15" hidden="false" customHeight="false" outlineLevel="0" collapsed="false">
      <c r="A3246" s="2" t="n">
        <v>3242</v>
      </c>
      <c r="B3246" s="2" t="s">
        <v>9422</v>
      </c>
      <c r="C3246" s="2" t="s">
        <v>9423</v>
      </c>
      <c r="D3246" s="2" t="s">
        <v>9424</v>
      </c>
      <c r="E3246" s="2" t="str">
        <f aca="false">LEFT(C3246,3)</f>
        <v>264</v>
      </c>
      <c r="F3246" s="2" t="str">
        <f aca="false">IF(D3246="","",LEFT(D3246,3))</f>
        <v>244</v>
      </c>
      <c r="G3246" s="2" t="str">
        <f aca="false">IF(F3246="","",IF(E3246=F3246,"Yes","No"))</f>
        <v>No</v>
      </c>
      <c r="H3246" s="2" t="n">
        <f aca="false">IF(D3246="",0,1/COUNTIF($D$2:$D$3451,D3246))</f>
        <v>1</v>
      </c>
      <c r="I3246" s="13" t="n">
        <f aca="false">IFERROR(INDEX('NCO-2015 scores'!$C$2:$C$131,MATCH(E3246,'NCO-2015 scores'!$A$2:$A$131,0)),0)</f>
        <v>0.56</v>
      </c>
      <c r="J3246" s="13" t="n">
        <f aca="false">IF(ISNUMBER(MATCH(E3246,'NCO-2015 scores'!$A$2:$A$131,0)),IF(ISNUMBER(INDEX('NCO-2015 scores'!$C$2:$C$131,MATCH(E3246,'NCO-2015 scores'!$A$2:$A$131,0))),1,0),0)</f>
        <v>1</v>
      </c>
    </row>
    <row r="3247" customFormat="false" ht="15" hidden="false" customHeight="false" outlineLevel="0" collapsed="false">
      <c r="A3247" s="2" t="n">
        <v>3243</v>
      </c>
      <c r="B3247" s="2" t="s">
        <v>9425</v>
      </c>
      <c r="C3247" s="2" t="s">
        <v>9426</v>
      </c>
      <c r="D3247" s="2" t="s">
        <v>9427</v>
      </c>
      <c r="E3247" s="2" t="str">
        <f aca="false">LEFT(C3247,3)</f>
        <v>264</v>
      </c>
      <c r="F3247" s="2" t="str">
        <f aca="false">IF(D3247="","",LEFT(D3247,3))</f>
        <v>244</v>
      </c>
      <c r="G3247" s="2" t="str">
        <f aca="false">IF(F3247="","",IF(E3247=F3247,"Yes","No"))</f>
        <v>No</v>
      </c>
      <c r="H3247" s="2" t="n">
        <f aca="false">IF(D3247="",0,1/COUNTIF($D$2:$D$3451,D3247))</f>
        <v>1</v>
      </c>
      <c r="I3247" s="13" t="n">
        <f aca="false">IFERROR(INDEX('NCO-2015 scores'!$C$2:$C$131,MATCH(E3247,'NCO-2015 scores'!$A$2:$A$131,0)),0)</f>
        <v>0.56</v>
      </c>
      <c r="J3247" s="13" t="n">
        <f aca="false">IF(ISNUMBER(MATCH(E3247,'NCO-2015 scores'!$A$2:$A$131,0)),IF(ISNUMBER(INDEX('NCO-2015 scores'!$C$2:$C$131,MATCH(E3247,'NCO-2015 scores'!$A$2:$A$131,0))),1,0),0)</f>
        <v>1</v>
      </c>
    </row>
    <row r="3248" customFormat="false" ht="15" hidden="false" customHeight="false" outlineLevel="0" collapsed="false">
      <c r="A3248" s="2" t="n">
        <v>3244</v>
      </c>
      <c r="B3248" s="2" t="s">
        <v>9428</v>
      </c>
      <c r="C3248" s="2" t="s">
        <v>9429</v>
      </c>
      <c r="D3248" s="2"/>
      <c r="E3248" s="2" t="str">
        <f aca="false">LEFT(C3248,3)</f>
        <v>264</v>
      </c>
      <c r="F3248" s="2" t="str">
        <f aca="false">IF(D3248="","",LEFT(D3248,3))</f>
        <v/>
      </c>
      <c r="G3248" s="2" t="str">
        <f aca="false">IF(F3248="","",IF(E3248=F3248,"Yes","No"))</f>
        <v/>
      </c>
      <c r="H3248" s="2" t="n">
        <f aca="false">IF(D3248="",0,1/COUNTIF($D$2:$D$3451,D3248))</f>
        <v>0</v>
      </c>
      <c r="I3248" s="13" t="n">
        <f aca="false">IFERROR(INDEX('NCO-2015 scores'!$C$2:$C$131,MATCH(E3248,'NCO-2015 scores'!$A$2:$A$131,0)),0)</f>
        <v>0.56</v>
      </c>
      <c r="J3248" s="13" t="n">
        <f aca="false">IF(ISNUMBER(MATCH(E3248,'NCO-2015 scores'!$A$2:$A$131,0)),IF(ISNUMBER(INDEX('NCO-2015 scores'!$C$2:$C$131,MATCH(E3248,'NCO-2015 scores'!$A$2:$A$131,0))),1,0),0)</f>
        <v>1</v>
      </c>
    </row>
    <row r="3249" customFormat="false" ht="15" hidden="false" customHeight="false" outlineLevel="0" collapsed="false">
      <c r="A3249" s="2" t="n">
        <v>3245</v>
      </c>
      <c r="B3249" s="2" t="s">
        <v>9430</v>
      </c>
      <c r="C3249" s="2" t="s">
        <v>9431</v>
      </c>
      <c r="D3249" s="2"/>
      <c r="E3249" s="2" t="str">
        <f aca="false">LEFT(C3249,3)</f>
        <v>264</v>
      </c>
      <c r="F3249" s="2" t="str">
        <f aca="false">IF(D3249="","",LEFT(D3249,3))</f>
        <v/>
      </c>
      <c r="G3249" s="2" t="str">
        <f aca="false">IF(F3249="","",IF(E3249=F3249,"Yes","No"))</f>
        <v/>
      </c>
      <c r="H3249" s="2" t="n">
        <f aca="false">IF(D3249="",0,1/COUNTIF($D$2:$D$3451,D3249))</f>
        <v>0</v>
      </c>
      <c r="I3249" s="13" t="n">
        <f aca="false">IFERROR(INDEX('NCO-2015 scores'!$C$2:$C$131,MATCH(E3249,'NCO-2015 scores'!$A$2:$A$131,0)),0)</f>
        <v>0.56</v>
      </c>
      <c r="J3249" s="13" t="n">
        <f aca="false">IF(ISNUMBER(MATCH(E3249,'NCO-2015 scores'!$A$2:$A$131,0)),IF(ISNUMBER(INDEX('NCO-2015 scores'!$C$2:$C$131,MATCH(E3249,'NCO-2015 scores'!$A$2:$A$131,0))),1,0),0)</f>
        <v>1</v>
      </c>
    </row>
    <row r="3250" customFormat="false" ht="15" hidden="false" customHeight="false" outlineLevel="0" collapsed="false">
      <c r="A3250" s="2" t="n">
        <v>3246</v>
      </c>
      <c r="B3250" s="2" t="s">
        <v>9432</v>
      </c>
      <c r="C3250" s="2" t="s">
        <v>9433</v>
      </c>
      <c r="D3250" s="2" t="s">
        <v>9434</v>
      </c>
      <c r="E3250" s="2" t="str">
        <f aca="false">LEFT(C3250,3)</f>
        <v>432</v>
      </c>
      <c r="F3250" s="2" t="str">
        <f aca="false">IF(D3250="","",LEFT(D3250,3))</f>
        <v>413</v>
      </c>
      <c r="G3250" s="2" t="str">
        <f aca="false">IF(F3250="","",IF(E3250=F3250,"Yes","No"))</f>
        <v>No</v>
      </c>
      <c r="H3250" s="2" t="n">
        <f aca="false">IF(D3250="",0,1/COUNTIF($D$2:$D$3451,D3250))</f>
        <v>1</v>
      </c>
      <c r="I3250" s="13" t="n">
        <f aca="false">IFERROR(INDEX('NCO-2015 scores'!$C$2:$C$131,MATCH(E3250,'NCO-2015 scores'!$A$2:$A$131,0)),0)</f>
        <v>0.4367</v>
      </c>
      <c r="J3250" s="13" t="n">
        <f aca="false">IF(ISNUMBER(MATCH(E3250,'NCO-2015 scores'!$A$2:$A$131,0)),IF(ISNUMBER(INDEX('NCO-2015 scores'!$C$2:$C$131,MATCH(E3250,'NCO-2015 scores'!$A$2:$A$131,0))),1,0),0)</f>
        <v>1</v>
      </c>
    </row>
    <row r="3251" customFormat="false" ht="15" hidden="false" customHeight="false" outlineLevel="0" collapsed="false">
      <c r="A3251" s="2" t="n">
        <v>3247</v>
      </c>
      <c r="B3251" s="2" t="s">
        <v>9435</v>
      </c>
      <c r="C3251" s="2" t="s">
        <v>9436</v>
      </c>
      <c r="D3251" s="2" t="s">
        <v>9437</v>
      </c>
      <c r="E3251" s="2" t="str">
        <f aca="false">LEFT(C3251,3)</f>
        <v>432</v>
      </c>
      <c r="F3251" s="2" t="str">
        <f aca="false">IF(D3251="","",LEFT(D3251,3))</f>
        <v>413</v>
      </c>
      <c r="G3251" s="2" t="str">
        <f aca="false">IF(F3251="","",IF(E3251=F3251,"Yes","No"))</f>
        <v>No</v>
      </c>
      <c r="H3251" s="2" t="n">
        <f aca="false">IF(D3251="",0,1/COUNTIF($D$2:$D$3451,D3251))</f>
        <v>1</v>
      </c>
      <c r="I3251" s="13" t="n">
        <f aca="false">IFERROR(INDEX('NCO-2015 scores'!$C$2:$C$131,MATCH(E3251,'NCO-2015 scores'!$A$2:$A$131,0)),0)</f>
        <v>0.4367</v>
      </c>
      <c r="J3251" s="13" t="n">
        <f aca="false">IF(ISNUMBER(MATCH(E3251,'NCO-2015 scores'!$A$2:$A$131,0)),IF(ISNUMBER(INDEX('NCO-2015 scores'!$C$2:$C$131,MATCH(E3251,'NCO-2015 scores'!$A$2:$A$131,0))),1,0),0)</f>
        <v>1</v>
      </c>
    </row>
    <row r="3252" customFormat="false" ht="15" hidden="false" customHeight="false" outlineLevel="0" collapsed="false">
      <c r="A3252" s="2" t="n">
        <v>3248</v>
      </c>
      <c r="B3252" s="2" t="s">
        <v>9438</v>
      </c>
      <c r="C3252" s="2" t="s">
        <v>9439</v>
      </c>
      <c r="D3252" s="2" t="s">
        <v>9440</v>
      </c>
      <c r="E3252" s="2" t="str">
        <f aca="false">LEFT(C3252,3)</f>
        <v>432</v>
      </c>
      <c r="F3252" s="2" t="str">
        <f aca="false">IF(D3252="","",LEFT(D3252,3))</f>
        <v>413</v>
      </c>
      <c r="G3252" s="2" t="str">
        <f aca="false">IF(F3252="","",IF(E3252=F3252,"Yes","No"))</f>
        <v>No</v>
      </c>
      <c r="H3252" s="2" t="n">
        <f aca="false">IF(D3252="",0,1/COUNTIF($D$2:$D$3451,D3252))</f>
        <v>1</v>
      </c>
      <c r="I3252" s="13" t="n">
        <f aca="false">IFERROR(INDEX('NCO-2015 scores'!$C$2:$C$131,MATCH(E3252,'NCO-2015 scores'!$A$2:$A$131,0)),0)</f>
        <v>0.4367</v>
      </c>
      <c r="J3252" s="13" t="n">
        <f aca="false">IF(ISNUMBER(MATCH(E3252,'NCO-2015 scores'!$A$2:$A$131,0)),IF(ISNUMBER(INDEX('NCO-2015 scores'!$C$2:$C$131,MATCH(E3252,'NCO-2015 scores'!$A$2:$A$131,0))),1,0),0)</f>
        <v>1</v>
      </c>
    </row>
    <row r="3253" customFormat="false" ht="15" hidden="false" customHeight="false" outlineLevel="0" collapsed="false">
      <c r="A3253" s="2" t="n">
        <v>3249</v>
      </c>
      <c r="B3253" s="2" t="s">
        <v>9441</v>
      </c>
      <c r="C3253" s="2" t="s">
        <v>9442</v>
      </c>
      <c r="D3253" s="2" t="s">
        <v>9443</v>
      </c>
      <c r="E3253" s="2" t="str">
        <f aca="false">LEFT(C3253,3)</f>
        <v>432</v>
      </c>
      <c r="F3253" s="2" t="str">
        <f aca="false">IF(D3253="","",LEFT(D3253,3))</f>
        <v>413</v>
      </c>
      <c r="G3253" s="2" t="str">
        <f aca="false">IF(F3253="","",IF(E3253=F3253,"Yes","No"))</f>
        <v>No</v>
      </c>
      <c r="H3253" s="2" t="n">
        <f aca="false">IF(D3253="",0,1/COUNTIF($D$2:$D$3451,D3253))</f>
        <v>1</v>
      </c>
      <c r="I3253" s="13" t="n">
        <f aca="false">IFERROR(INDEX('NCO-2015 scores'!$C$2:$C$131,MATCH(E3253,'NCO-2015 scores'!$A$2:$A$131,0)),0)</f>
        <v>0.4367</v>
      </c>
      <c r="J3253" s="13" t="n">
        <f aca="false">IF(ISNUMBER(MATCH(E3253,'NCO-2015 scores'!$A$2:$A$131,0)),IF(ISNUMBER(INDEX('NCO-2015 scores'!$C$2:$C$131,MATCH(E3253,'NCO-2015 scores'!$A$2:$A$131,0))),1,0),0)</f>
        <v>1</v>
      </c>
    </row>
    <row r="3254" customFormat="false" ht="15" hidden="false" customHeight="false" outlineLevel="0" collapsed="false">
      <c r="A3254" s="2" t="n">
        <v>3250</v>
      </c>
      <c r="B3254" s="2" t="s">
        <v>9444</v>
      </c>
      <c r="C3254" s="2" t="s">
        <v>9445</v>
      </c>
      <c r="D3254" s="2" t="s">
        <v>9446</v>
      </c>
      <c r="E3254" s="2" t="str">
        <f aca="false">LEFT(C3254,3)</f>
        <v>432</v>
      </c>
      <c r="F3254" s="2" t="str">
        <f aca="false">IF(D3254="","",LEFT(D3254,3))</f>
        <v>413</v>
      </c>
      <c r="G3254" s="2" t="str">
        <f aca="false">IF(F3254="","",IF(E3254=F3254,"Yes","No"))</f>
        <v>No</v>
      </c>
      <c r="H3254" s="2" t="n">
        <f aca="false">IF(D3254="",0,1/COUNTIF($D$2:$D$3451,D3254))</f>
        <v>1</v>
      </c>
      <c r="I3254" s="13" t="n">
        <f aca="false">IFERROR(INDEX('NCO-2015 scores'!$C$2:$C$131,MATCH(E3254,'NCO-2015 scores'!$A$2:$A$131,0)),0)</f>
        <v>0.4367</v>
      </c>
      <c r="J3254" s="13" t="n">
        <f aca="false">IF(ISNUMBER(MATCH(E3254,'NCO-2015 scores'!$A$2:$A$131,0)),IF(ISNUMBER(INDEX('NCO-2015 scores'!$C$2:$C$131,MATCH(E3254,'NCO-2015 scores'!$A$2:$A$131,0))),1,0),0)</f>
        <v>1</v>
      </c>
    </row>
    <row r="3255" customFormat="false" ht="15" hidden="false" customHeight="false" outlineLevel="0" collapsed="false">
      <c r="A3255" s="2" t="n">
        <v>3251</v>
      </c>
      <c r="B3255" s="2" t="s">
        <v>9447</v>
      </c>
      <c r="C3255" s="2" t="s">
        <v>9448</v>
      </c>
      <c r="D3255" s="2" t="s">
        <v>9449</v>
      </c>
      <c r="E3255" s="2" t="str">
        <f aca="false">LEFT(C3255,3)</f>
        <v>432</v>
      </c>
      <c r="F3255" s="2" t="str">
        <f aca="false">IF(D3255="","",LEFT(D3255,3))</f>
        <v>413</v>
      </c>
      <c r="G3255" s="2" t="str">
        <f aca="false">IF(F3255="","",IF(E3255=F3255,"Yes","No"))</f>
        <v>No</v>
      </c>
      <c r="H3255" s="2" t="n">
        <f aca="false">IF(D3255="",0,1/COUNTIF($D$2:$D$3451,D3255))</f>
        <v>1</v>
      </c>
      <c r="I3255" s="13" t="n">
        <f aca="false">IFERROR(INDEX('NCO-2015 scores'!$C$2:$C$131,MATCH(E3255,'NCO-2015 scores'!$A$2:$A$131,0)),0)</f>
        <v>0.4367</v>
      </c>
      <c r="J3255" s="13" t="n">
        <f aca="false">IF(ISNUMBER(MATCH(E3255,'NCO-2015 scores'!$A$2:$A$131,0)),IF(ISNUMBER(INDEX('NCO-2015 scores'!$C$2:$C$131,MATCH(E3255,'NCO-2015 scores'!$A$2:$A$131,0))),1,0),0)</f>
        <v>1</v>
      </c>
    </row>
    <row r="3256" customFormat="false" ht="15" hidden="false" customHeight="false" outlineLevel="0" collapsed="false">
      <c r="A3256" s="2" t="n">
        <v>3252</v>
      </c>
      <c r="B3256" s="2" t="s">
        <v>9450</v>
      </c>
      <c r="C3256" s="2" t="s">
        <v>9451</v>
      </c>
      <c r="D3256" s="2" t="s">
        <v>9452</v>
      </c>
      <c r="E3256" s="2" t="str">
        <f aca="false">LEFT(C3256,3)</f>
        <v>511</v>
      </c>
      <c r="F3256" s="2" t="str">
        <f aca="false">IF(D3256="","",LEFT(D3256,3))</f>
        <v>511</v>
      </c>
      <c r="G3256" s="2" t="str">
        <f aca="false">IF(F3256="","",IF(E3256=F3256,"Yes","No"))</f>
        <v>Yes</v>
      </c>
      <c r="H3256" s="2" t="n">
        <f aca="false">IF(D3256="",0,1/COUNTIF($D$2:$D$3451,D3256))</f>
        <v>1</v>
      </c>
      <c r="I3256" s="13" t="n">
        <f aca="false">IFERROR(INDEX('NCO-2015 scores'!$C$2:$C$131,MATCH(E3256,'NCO-2015 scores'!$A$2:$A$131,0)),0)</f>
        <v>0.2633</v>
      </c>
      <c r="J3256" s="13" t="n">
        <f aca="false">IF(ISNUMBER(MATCH(E3256,'NCO-2015 scores'!$A$2:$A$131,0)),IF(ISNUMBER(INDEX('NCO-2015 scores'!$C$2:$C$131,MATCH(E3256,'NCO-2015 scores'!$A$2:$A$131,0))),1,0),0)</f>
        <v>1</v>
      </c>
    </row>
    <row r="3257" customFormat="false" ht="15" hidden="false" customHeight="false" outlineLevel="0" collapsed="false">
      <c r="A3257" s="2" t="n">
        <v>3253</v>
      </c>
      <c r="B3257" s="2" t="s">
        <v>9453</v>
      </c>
      <c r="C3257" s="2" t="s">
        <v>9454</v>
      </c>
      <c r="D3257" s="2" t="s">
        <v>9455</v>
      </c>
      <c r="E3257" s="2" t="str">
        <f aca="false">LEFT(C3257,3)</f>
        <v>511</v>
      </c>
      <c r="F3257" s="2" t="str">
        <f aca="false">IF(D3257="","",LEFT(D3257,3))</f>
        <v>511</v>
      </c>
      <c r="G3257" s="2" t="str">
        <f aca="false">IF(F3257="","",IF(E3257=F3257,"Yes","No"))</f>
        <v>Yes</v>
      </c>
      <c r="H3257" s="2" t="n">
        <f aca="false">IF(D3257="",0,1/COUNTIF($D$2:$D$3451,D3257))</f>
        <v>1</v>
      </c>
      <c r="I3257" s="13" t="n">
        <f aca="false">IFERROR(INDEX('NCO-2015 scores'!$C$2:$C$131,MATCH(E3257,'NCO-2015 scores'!$A$2:$A$131,0)),0)</f>
        <v>0.2633</v>
      </c>
      <c r="J3257" s="13" t="n">
        <f aca="false">IF(ISNUMBER(MATCH(E3257,'NCO-2015 scores'!$A$2:$A$131,0)),IF(ISNUMBER(INDEX('NCO-2015 scores'!$C$2:$C$131,MATCH(E3257,'NCO-2015 scores'!$A$2:$A$131,0))),1,0),0)</f>
        <v>1</v>
      </c>
    </row>
    <row r="3258" customFormat="false" ht="15" hidden="false" customHeight="false" outlineLevel="0" collapsed="false">
      <c r="A3258" s="2" t="n">
        <v>3254</v>
      </c>
      <c r="B3258" s="2" t="s">
        <v>9456</v>
      </c>
      <c r="C3258" s="2" t="s">
        <v>9457</v>
      </c>
      <c r="D3258" s="2" t="s">
        <v>9458</v>
      </c>
      <c r="E3258" s="2" t="str">
        <f aca="false">LEFT(C3258,3)</f>
        <v>511</v>
      </c>
      <c r="F3258" s="2" t="str">
        <f aca="false">IF(D3258="","",LEFT(D3258,3))</f>
        <v>511</v>
      </c>
      <c r="G3258" s="2" t="str">
        <f aca="false">IF(F3258="","",IF(E3258=F3258,"Yes","No"))</f>
        <v>Yes</v>
      </c>
      <c r="H3258" s="2" t="n">
        <f aca="false">IF(D3258="",0,1/COUNTIF($D$2:$D$3451,D3258))</f>
        <v>1</v>
      </c>
      <c r="I3258" s="13" t="n">
        <f aca="false">IFERROR(INDEX('NCO-2015 scores'!$C$2:$C$131,MATCH(E3258,'NCO-2015 scores'!$A$2:$A$131,0)),0)</f>
        <v>0.2633</v>
      </c>
      <c r="J3258" s="13" t="n">
        <f aca="false">IF(ISNUMBER(MATCH(E3258,'NCO-2015 scores'!$A$2:$A$131,0)),IF(ISNUMBER(INDEX('NCO-2015 scores'!$C$2:$C$131,MATCH(E3258,'NCO-2015 scores'!$A$2:$A$131,0))),1,0),0)</f>
        <v>1</v>
      </c>
    </row>
    <row r="3259" customFormat="false" ht="15" hidden="false" customHeight="false" outlineLevel="0" collapsed="false">
      <c r="A3259" s="2" t="n">
        <v>3255</v>
      </c>
      <c r="B3259" s="2" t="s">
        <v>9459</v>
      </c>
      <c r="C3259" s="2" t="s">
        <v>9460</v>
      </c>
      <c r="D3259" s="2" t="s">
        <v>9461</v>
      </c>
      <c r="E3259" s="2" t="str">
        <f aca="false">LEFT(C3259,3)</f>
        <v>511</v>
      </c>
      <c r="F3259" s="2" t="str">
        <f aca="false">IF(D3259="","",LEFT(D3259,3))</f>
        <v>511</v>
      </c>
      <c r="G3259" s="2" t="str">
        <f aca="false">IF(F3259="","",IF(E3259=F3259,"Yes","No"))</f>
        <v>Yes</v>
      </c>
      <c r="H3259" s="2" t="n">
        <f aca="false">IF(D3259="",0,1/COUNTIF($D$2:$D$3451,D3259))</f>
        <v>1</v>
      </c>
      <c r="I3259" s="13" t="n">
        <f aca="false">IFERROR(INDEX('NCO-2015 scores'!$C$2:$C$131,MATCH(E3259,'NCO-2015 scores'!$A$2:$A$131,0)),0)</f>
        <v>0.2633</v>
      </c>
      <c r="J3259" s="13" t="n">
        <f aca="false">IF(ISNUMBER(MATCH(E3259,'NCO-2015 scores'!$A$2:$A$131,0)),IF(ISNUMBER(INDEX('NCO-2015 scores'!$C$2:$C$131,MATCH(E3259,'NCO-2015 scores'!$A$2:$A$131,0))),1,0),0)</f>
        <v>1</v>
      </c>
    </row>
    <row r="3260" customFormat="false" ht="15" hidden="false" customHeight="false" outlineLevel="0" collapsed="false">
      <c r="A3260" s="2" t="n">
        <v>3256</v>
      </c>
      <c r="B3260" s="2" t="s">
        <v>9462</v>
      </c>
      <c r="C3260" s="2" t="s">
        <v>9463</v>
      </c>
      <c r="D3260" s="2" t="s">
        <v>9464</v>
      </c>
      <c r="E3260" s="2" t="str">
        <f aca="false">LEFT(C3260,3)</f>
        <v>511</v>
      </c>
      <c r="F3260" s="2" t="str">
        <f aca="false">IF(D3260="","",LEFT(D3260,3))</f>
        <v>511</v>
      </c>
      <c r="G3260" s="2" t="str">
        <f aca="false">IF(F3260="","",IF(E3260=F3260,"Yes","No"))</f>
        <v>Yes</v>
      </c>
      <c r="H3260" s="2" t="n">
        <f aca="false">IF(D3260="",0,1/COUNTIF($D$2:$D$3451,D3260))</f>
        <v>1</v>
      </c>
      <c r="I3260" s="13" t="n">
        <f aca="false">IFERROR(INDEX('NCO-2015 scores'!$C$2:$C$131,MATCH(E3260,'NCO-2015 scores'!$A$2:$A$131,0)),0)</f>
        <v>0.2633</v>
      </c>
      <c r="J3260" s="13" t="n">
        <f aca="false">IF(ISNUMBER(MATCH(E3260,'NCO-2015 scores'!$A$2:$A$131,0)),IF(ISNUMBER(INDEX('NCO-2015 scores'!$C$2:$C$131,MATCH(E3260,'NCO-2015 scores'!$A$2:$A$131,0))),1,0),0)</f>
        <v>1</v>
      </c>
    </row>
    <row r="3261" customFormat="false" ht="15" hidden="false" customHeight="false" outlineLevel="0" collapsed="false">
      <c r="A3261" s="2" t="n">
        <v>3257</v>
      </c>
      <c r="B3261" s="2" t="s">
        <v>9465</v>
      </c>
      <c r="C3261" s="2" t="s">
        <v>9466</v>
      </c>
      <c r="D3261" s="2" t="s">
        <v>9467</v>
      </c>
      <c r="E3261" s="2" t="str">
        <f aca="false">LEFT(C3261,3)</f>
        <v>511</v>
      </c>
      <c r="F3261" s="2" t="str">
        <f aca="false">IF(D3261="","",LEFT(D3261,3))</f>
        <v>511</v>
      </c>
      <c r="G3261" s="2" t="str">
        <f aca="false">IF(F3261="","",IF(E3261=F3261,"Yes","No"))</f>
        <v>Yes</v>
      </c>
      <c r="H3261" s="2" t="n">
        <f aca="false">IF(D3261="",0,1/COUNTIF($D$2:$D$3451,D3261))</f>
        <v>1</v>
      </c>
      <c r="I3261" s="13" t="n">
        <f aca="false">IFERROR(INDEX('NCO-2015 scores'!$C$2:$C$131,MATCH(E3261,'NCO-2015 scores'!$A$2:$A$131,0)),0)</f>
        <v>0.2633</v>
      </c>
      <c r="J3261" s="13" t="n">
        <f aca="false">IF(ISNUMBER(MATCH(E3261,'NCO-2015 scores'!$A$2:$A$131,0)),IF(ISNUMBER(INDEX('NCO-2015 scores'!$C$2:$C$131,MATCH(E3261,'NCO-2015 scores'!$A$2:$A$131,0))),1,0),0)</f>
        <v>1</v>
      </c>
    </row>
    <row r="3262" customFormat="false" ht="15" hidden="false" customHeight="false" outlineLevel="0" collapsed="false">
      <c r="A3262" s="2" t="n">
        <v>3258</v>
      </c>
      <c r="B3262" s="2" t="s">
        <v>9468</v>
      </c>
      <c r="C3262" s="2" t="s">
        <v>9469</v>
      </c>
      <c r="D3262" s="2" t="s">
        <v>9470</v>
      </c>
      <c r="E3262" s="2" t="str">
        <f aca="false">LEFT(C3262,3)</f>
        <v>511</v>
      </c>
      <c r="F3262" s="2" t="str">
        <f aca="false">IF(D3262="","",LEFT(D3262,3))</f>
        <v>511</v>
      </c>
      <c r="G3262" s="2" t="str">
        <f aca="false">IF(F3262="","",IF(E3262=F3262,"Yes","No"))</f>
        <v>Yes</v>
      </c>
      <c r="H3262" s="2" t="n">
        <f aca="false">IF(D3262="",0,1/COUNTIF($D$2:$D$3451,D3262))</f>
        <v>1</v>
      </c>
      <c r="I3262" s="13" t="n">
        <f aca="false">IFERROR(INDEX('NCO-2015 scores'!$C$2:$C$131,MATCH(E3262,'NCO-2015 scores'!$A$2:$A$131,0)),0)</f>
        <v>0.2633</v>
      </c>
      <c r="J3262" s="13" t="n">
        <f aca="false">IF(ISNUMBER(MATCH(E3262,'NCO-2015 scores'!$A$2:$A$131,0)),IF(ISNUMBER(INDEX('NCO-2015 scores'!$C$2:$C$131,MATCH(E3262,'NCO-2015 scores'!$A$2:$A$131,0))),1,0),0)</f>
        <v>1</v>
      </c>
    </row>
    <row r="3263" customFormat="false" ht="15" hidden="false" customHeight="false" outlineLevel="0" collapsed="false">
      <c r="A3263" s="2" t="n">
        <v>3259</v>
      </c>
      <c r="B3263" s="2" t="s">
        <v>9471</v>
      </c>
      <c r="C3263" s="2" t="s">
        <v>9472</v>
      </c>
      <c r="D3263" s="2" t="s">
        <v>9473</v>
      </c>
      <c r="E3263" s="2" t="str">
        <f aca="false">LEFT(C3263,3)</f>
        <v>511</v>
      </c>
      <c r="F3263" s="2" t="str">
        <f aca="false">IF(D3263="","",LEFT(D3263,3))</f>
        <v>511</v>
      </c>
      <c r="G3263" s="2" t="str">
        <f aca="false">IF(F3263="","",IF(E3263=F3263,"Yes","No"))</f>
        <v>Yes</v>
      </c>
      <c r="H3263" s="2" t="n">
        <f aca="false">IF(D3263="",0,1/COUNTIF($D$2:$D$3451,D3263))</f>
        <v>1</v>
      </c>
      <c r="I3263" s="13" t="n">
        <f aca="false">IFERROR(INDEX('NCO-2015 scores'!$C$2:$C$131,MATCH(E3263,'NCO-2015 scores'!$A$2:$A$131,0)),0)</f>
        <v>0.2633</v>
      </c>
      <c r="J3263" s="13" t="n">
        <f aca="false">IF(ISNUMBER(MATCH(E3263,'NCO-2015 scores'!$A$2:$A$131,0)),IF(ISNUMBER(INDEX('NCO-2015 scores'!$C$2:$C$131,MATCH(E3263,'NCO-2015 scores'!$A$2:$A$131,0))),1,0),0)</f>
        <v>1</v>
      </c>
    </row>
    <row r="3264" customFormat="false" ht="15" hidden="false" customHeight="false" outlineLevel="0" collapsed="false">
      <c r="A3264" s="2" t="n">
        <v>3260</v>
      </c>
      <c r="B3264" s="2" t="s">
        <v>9474</v>
      </c>
      <c r="C3264" s="2" t="s">
        <v>9475</v>
      </c>
      <c r="D3264" s="2" t="s">
        <v>9476</v>
      </c>
      <c r="E3264" s="2" t="str">
        <f aca="false">LEFT(C3264,3)</f>
        <v>511</v>
      </c>
      <c r="F3264" s="2" t="str">
        <f aca="false">IF(D3264="","",LEFT(D3264,3))</f>
        <v>511</v>
      </c>
      <c r="G3264" s="2" t="str">
        <f aca="false">IF(F3264="","",IF(E3264=F3264,"Yes","No"))</f>
        <v>Yes</v>
      </c>
      <c r="H3264" s="2" t="n">
        <f aca="false">IF(D3264="",0,1/COUNTIF($D$2:$D$3451,D3264))</f>
        <v>1</v>
      </c>
      <c r="I3264" s="13" t="n">
        <f aca="false">IFERROR(INDEX('NCO-2015 scores'!$C$2:$C$131,MATCH(E3264,'NCO-2015 scores'!$A$2:$A$131,0)),0)</f>
        <v>0.2633</v>
      </c>
      <c r="J3264" s="13" t="n">
        <f aca="false">IF(ISNUMBER(MATCH(E3264,'NCO-2015 scores'!$A$2:$A$131,0)),IF(ISNUMBER(INDEX('NCO-2015 scores'!$C$2:$C$131,MATCH(E3264,'NCO-2015 scores'!$A$2:$A$131,0))),1,0),0)</f>
        <v>1</v>
      </c>
    </row>
    <row r="3265" customFormat="false" ht="15" hidden="false" customHeight="false" outlineLevel="0" collapsed="false">
      <c r="A3265" s="2" t="n">
        <v>3261</v>
      </c>
      <c r="B3265" s="2" t="s">
        <v>9477</v>
      </c>
      <c r="C3265" s="2" t="s">
        <v>9478</v>
      </c>
      <c r="D3265" s="2" t="s">
        <v>9479</v>
      </c>
      <c r="E3265" s="2" t="str">
        <f aca="false">LEFT(C3265,3)</f>
        <v>511</v>
      </c>
      <c r="F3265" s="2" t="str">
        <f aca="false">IF(D3265="","",LEFT(D3265,3))</f>
        <v>511</v>
      </c>
      <c r="G3265" s="2" t="str">
        <f aca="false">IF(F3265="","",IF(E3265=F3265,"Yes","No"))</f>
        <v>Yes</v>
      </c>
      <c r="H3265" s="2" t="n">
        <f aca="false">IF(D3265="",0,1/COUNTIF($D$2:$D$3451,D3265))</f>
        <v>1</v>
      </c>
      <c r="I3265" s="13" t="n">
        <f aca="false">IFERROR(INDEX('NCO-2015 scores'!$C$2:$C$131,MATCH(E3265,'NCO-2015 scores'!$A$2:$A$131,0)),0)</f>
        <v>0.2633</v>
      </c>
      <c r="J3265" s="13" t="n">
        <f aca="false">IF(ISNUMBER(MATCH(E3265,'NCO-2015 scores'!$A$2:$A$131,0)),IF(ISNUMBER(INDEX('NCO-2015 scores'!$C$2:$C$131,MATCH(E3265,'NCO-2015 scores'!$A$2:$A$131,0))),1,0),0)</f>
        <v>1</v>
      </c>
    </row>
    <row r="3266" customFormat="false" ht="15" hidden="false" customHeight="false" outlineLevel="0" collapsed="false">
      <c r="A3266" s="2" t="n">
        <v>3262</v>
      </c>
      <c r="B3266" s="2" t="s">
        <v>9480</v>
      </c>
      <c r="C3266" s="2" t="s">
        <v>9481</v>
      </c>
      <c r="D3266" s="2" t="s">
        <v>9482</v>
      </c>
      <c r="E3266" s="2" t="str">
        <f aca="false">LEFT(C3266,3)</f>
        <v>511</v>
      </c>
      <c r="F3266" s="2" t="str">
        <f aca="false">IF(D3266="","",LEFT(D3266,3))</f>
        <v>511</v>
      </c>
      <c r="G3266" s="2" t="str">
        <f aca="false">IF(F3266="","",IF(E3266=F3266,"Yes","No"))</f>
        <v>Yes</v>
      </c>
      <c r="H3266" s="2" t="n">
        <f aca="false">IF(D3266="",0,1/COUNTIF($D$2:$D$3451,D3266))</f>
        <v>1</v>
      </c>
      <c r="I3266" s="13" t="n">
        <f aca="false">IFERROR(INDEX('NCO-2015 scores'!$C$2:$C$131,MATCH(E3266,'NCO-2015 scores'!$A$2:$A$131,0)),0)</f>
        <v>0.2633</v>
      </c>
      <c r="J3266" s="13" t="n">
        <f aca="false">IF(ISNUMBER(MATCH(E3266,'NCO-2015 scores'!$A$2:$A$131,0)),IF(ISNUMBER(INDEX('NCO-2015 scores'!$C$2:$C$131,MATCH(E3266,'NCO-2015 scores'!$A$2:$A$131,0))),1,0),0)</f>
        <v>1</v>
      </c>
    </row>
    <row r="3267" customFormat="false" ht="15" hidden="false" customHeight="false" outlineLevel="0" collapsed="false">
      <c r="A3267" s="2" t="n">
        <v>3263</v>
      </c>
      <c r="B3267" s="2" t="s">
        <v>9483</v>
      </c>
      <c r="C3267" s="2" t="s">
        <v>9484</v>
      </c>
      <c r="D3267" s="2" t="s">
        <v>9485</v>
      </c>
      <c r="E3267" s="2" t="str">
        <f aca="false">LEFT(C3267,3)</f>
        <v>511</v>
      </c>
      <c r="F3267" s="2" t="str">
        <f aca="false">IF(D3267="","",LEFT(D3267,3))</f>
        <v>511</v>
      </c>
      <c r="G3267" s="2" t="str">
        <f aca="false">IF(F3267="","",IF(E3267=F3267,"Yes","No"))</f>
        <v>Yes</v>
      </c>
      <c r="H3267" s="2" t="n">
        <f aca="false">IF(D3267="",0,1/COUNTIF($D$2:$D$3451,D3267))</f>
        <v>1</v>
      </c>
      <c r="I3267" s="13" t="n">
        <f aca="false">IFERROR(INDEX('NCO-2015 scores'!$C$2:$C$131,MATCH(E3267,'NCO-2015 scores'!$A$2:$A$131,0)),0)</f>
        <v>0.2633</v>
      </c>
      <c r="J3267" s="13" t="n">
        <f aca="false">IF(ISNUMBER(MATCH(E3267,'NCO-2015 scores'!$A$2:$A$131,0)),IF(ISNUMBER(INDEX('NCO-2015 scores'!$C$2:$C$131,MATCH(E3267,'NCO-2015 scores'!$A$2:$A$131,0))),1,0),0)</f>
        <v>1</v>
      </c>
    </row>
    <row r="3268" customFormat="false" ht="15" hidden="false" customHeight="false" outlineLevel="0" collapsed="false">
      <c r="A3268" s="2" t="n">
        <v>3264</v>
      </c>
      <c r="B3268" s="2" t="s">
        <v>9486</v>
      </c>
      <c r="C3268" s="2" t="s">
        <v>9487</v>
      </c>
      <c r="D3268" s="2" t="s">
        <v>9488</v>
      </c>
      <c r="E3268" s="2" t="str">
        <f aca="false">LEFT(C3268,3)</f>
        <v>511</v>
      </c>
      <c r="F3268" s="2" t="str">
        <f aca="false">IF(D3268="","",LEFT(D3268,3))</f>
        <v>511</v>
      </c>
      <c r="G3268" s="2" t="str">
        <f aca="false">IF(F3268="","",IF(E3268=F3268,"Yes","No"))</f>
        <v>Yes</v>
      </c>
      <c r="H3268" s="2" t="n">
        <f aca="false">IF(D3268="",0,1/COUNTIF($D$2:$D$3451,D3268))</f>
        <v>1</v>
      </c>
      <c r="I3268" s="13" t="n">
        <f aca="false">IFERROR(INDEX('NCO-2015 scores'!$C$2:$C$131,MATCH(E3268,'NCO-2015 scores'!$A$2:$A$131,0)),0)</f>
        <v>0.2633</v>
      </c>
      <c r="J3268" s="13" t="n">
        <f aca="false">IF(ISNUMBER(MATCH(E3268,'NCO-2015 scores'!$A$2:$A$131,0)),IF(ISNUMBER(INDEX('NCO-2015 scores'!$C$2:$C$131,MATCH(E3268,'NCO-2015 scores'!$A$2:$A$131,0))),1,0),0)</f>
        <v>1</v>
      </c>
    </row>
    <row r="3269" customFormat="false" ht="15" hidden="false" customHeight="false" outlineLevel="0" collapsed="false">
      <c r="A3269" s="2" t="n">
        <v>3265</v>
      </c>
      <c r="B3269" s="2" t="s">
        <v>9489</v>
      </c>
      <c r="C3269" s="2" t="s">
        <v>9490</v>
      </c>
      <c r="D3269" s="2" t="s">
        <v>9491</v>
      </c>
      <c r="E3269" s="2" t="str">
        <f aca="false">LEFT(C3269,3)</f>
        <v>511</v>
      </c>
      <c r="F3269" s="2" t="str">
        <f aca="false">IF(D3269="","",LEFT(D3269,3))</f>
        <v>511</v>
      </c>
      <c r="G3269" s="2" t="str">
        <f aca="false">IF(F3269="","",IF(E3269=F3269,"Yes","No"))</f>
        <v>Yes</v>
      </c>
      <c r="H3269" s="2" t="n">
        <f aca="false">IF(D3269="",0,1/COUNTIF($D$2:$D$3451,D3269))</f>
        <v>1</v>
      </c>
      <c r="I3269" s="13" t="n">
        <f aca="false">IFERROR(INDEX('NCO-2015 scores'!$C$2:$C$131,MATCH(E3269,'NCO-2015 scores'!$A$2:$A$131,0)),0)</f>
        <v>0.2633</v>
      </c>
      <c r="J3269" s="13" t="n">
        <f aca="false">IF(ISNUMBER(MATCH(E3269,'NCO-2015 scores'!$A$2:$A$131,0)),IF(ISNUMBER(INDEX('NCO-2015 scores'!$C$2:$C$131,MATCH(E3269,'NCO-2015 scores'!$A$2:$A$131,0))),1,0),0)</f>
        <v>1</v>
      </c>
    </row>
    <row r="3270" customFormat="false" ht="15" hidden="false" customHeight="false" outlineLevel="0" collapsed="false">
      <c r="A3270" s="2" t="n">
        <v>3266</v>
      </c>
      <c r="B3270" s="2" t="s">
        <v>9492</v>
      </c>
      <c r="C3270" s="2" t="s">
        <v>9493</v>
      </c>
      <c r="D3270" s="2" t="s">
        <v>9494</v>
      </c>
      <c r="E3270" s="2" t="str">
        <f aca="false">LEFT(C3270,3)</f>
        <v>511</v>
      </c>
      <c r="F3270" s="2" t="str">
        <f aca="false">IF(D3270="","",LEFT(D3270,3))</f>
        <v>511</v>
      </c>
      <c r="G3270" s="2" t="str">
        <f aca="false">IF(F3270="","",IF(E3270=F3270,"Yes","No"))</f>
        <v>Yes</v>
      </c>
      <c r="H3270" s="2" t="n">
        <f aca="false">IF(D3270="",0,1/COUNTIF($D$2:$D$3451,D3270))</f>
        <v>1</v>
      </c>
      <c r="I3270" s="13" t="n">
        <f aca="false">IFERROR(INDEX('NCO-2015 scores'!$C$2:$C$131,MATCH(E3270,'NCO-2015 scores'!$A$2:$A$131,0)),0)</f>
        <v>0.2633</v>
      </c>
      <c r="J3270" s="13" t="n">
        <f aca="false">IF(ISNUMBER(MATCH(E3270,'NCO-2015 scores'!$A$2:$A$131,0)),IF(ISNUMBER(INDEX('NCO-2015 scores'!$C$2:$C$131,MATCH(E3270,'NCO-2015 scores'!$A$2:$A$131,0))),1,0),0)</f>
        <v>1</v>
      </c>
    </row>
    <row r="3271" customFormat="false" ht="15" hidden="false" customHeight="false" outlineLevel="0" collapsed="false">
      <c r="A3271" s="2" t="n">
        <v>3267</v>
      </c>
      <c r="B3271" s="2" t="s">
        <v>9495</v>
      </c>
      <c r="C3271" s="2" t="s">
        <v>9496</v>
      </c>
      <c r="D3271" s="2" t="s">
        <v>9497</v>
      </c>
      <c r="E3271" s="2" t="str">
        <f aca="false">LEFT(C3271,3)</f>
        <v>511</v>
      </c>
      <c r="F3271" s="2" t="str">
        <f aca="false">IF(D3271="","",LEFT(D3271,3))</f>
        <v>511</v>
      </c>
      <c r="G3271" s="2" t="str">
        <f aca="false">IF(F3271="","",IF(E3271=F3271,"Yes","No"))</f>
        <v>Yes</v>
      </c>
      <c r="H3271" s="2" t="n">
        <f aca="false">IF(D3271="",0,1/COUNTIF($D$2:$D$3451,D3271))</f>
        <v>1</v>
      </c>
      <c r="I3271" s="13" t="n">
        <f aca="false">IFERROR(INDEX('NCO-2015 scores'!$C$2:$C$131,MATCH(E3271,'NCO-2015 scores'!$A$2:$A$131,0)),0)</f>
        <v>0.2633</v>
      </c>
      <c r="J3271" s="13" t="n">
        <f aca="false">IF(ISNUMBER(MATCH(E3271,'NCO-2015 scores'!$A$2:$A$131,0)),IF(ISNUMBER(INDEX('NCO-2015 scores'!$C$2:$C$131,MATCH(E3271,'NCO-2015 scores'!$A$2:$A$131,0))),1,0),0)</f>
        <v>1</v>
      </c>
    </row>
    <row r="3272" customFormat="false" ht="15" hidden="false" customHeight="false" outlineLevel="0" collapsed="false">
      <c r="A3272" s="2" t="n">
        <v>3268</v>
      </c>
      <c r="B3272" s="2" t="s">
        <v>9498</v>
      </c>
      <c r="C3272" s="2" t="s">
        <v>9499</v>
      </c>
      <c r="D3272" s="2" t="s">
        <v>9500</v>
      </c>
      <c r="E3272" s="2" t="str">
        <f aca="false">LEFT(C3272,3)</f>
        <v>511</v>
      </c>
      <c r="F3272" s="2" t="str">
        <f aca="false">IF(D3272="","",LEFT(D3272,3))</f>
        <v>511</v>
      </c>
      <c r="G3272" s="2" t="str">
        <f aca="false">IF(F3272="","",IF(E3272=F3272,"Yes","No"))</f>
        <v>Yes</v>
      </c>
      <c r="H3272" s="2" t="n">
        <f aca="false">IF(D3272="",0,1/COUNTIF($D$2:$D$3451,D3272))</f>
        <v>1</v>
      </c>
      <c r="I3272" s="13" t="n">
        <f aca="false">IFERROR(INDEX('NCO-2015 scores'!$C$2:$C$131,MATCH(E3272,'NCO-2015 scores'!$A$2:$A$131,0)),0)</f>
        <v>0.2633</v>
      </c>
      <c r="J3272" s="13" t="n">
        <f aca="false">IF(ISNUMBER(MATCH(E3272,'NCO-2015 scores'!$A$2:$A$131,0)),IF(ISNUMBER(INDEX('NCO-2015 scores'!$C$2:$C$131,MATCH(E3272,'NCO-2015 scores'!$A$2:$A$131,0))),1,0),0)</f>
        <v>1</v>
      </c>
    </row>
    <row r="3273" customFormat="false" ht="15" hidden="false" customHeight="false" outlineLevel="0" collapsed="false">
      <c r="A3273" s="2" t="n">
        <v>3269</v>
      </c>
      <c r="B3273" s="2" t="s">
        <v>9501</v>
      </c>
      <c r="C3273" s="2" t="s">
        <v>9502</v>
      </c>
      <c r="D3273" s="2" t="s">
        <v>9503</v>
      </c>
      <c r="E3273" s="2" t="str">
        <f aca="false">LEFT(C3273,3)</f>
        <v>511</v>
      </c>
      <c r="F3273" s="2" t="str">
        <f aca="false">IF(D3273="","",LEFT(D3273,3))</f>
        <v>511</v>
      </c>
      <c r="G3273" s="2" t="str">
        <f aca="false">IF(F3273="","",IF(E3273=F3273,"Yes","No"))</f>
        <v>Yes</v>
      </c>
      <c r="H3273" s="2" t="n">
        <f aca="false">IF(D3273="",0,1/COUNTIF($D$2:$D$3451,D3273))</f>
        <v>1</v>
      </c>
      <c r="I3273" s="13" t="n">
        <f aca="false">IFERROR(INDEX('NCO-2015 scores'!$C$2:$C$131,MATCH(E3273,'NCO-2015 scores'!$A$2:$A$131,0)),0)</f>
        <v>0.2633</v>
      </c>
      <c r="J3273" s="13" t="n">
        <f aca="false">IF(ISNUMBER(MATCH(E3273,'NCO-2015 scores'!$A$2:$A$131,0)),IF(ISNUMBER(INDEX('NCO-2015 scores'!$C$2:$C$131,MATCH(E3273,'NCO-2015 scores'!$A$2:$A$131,0))),1,0),0)</f>
        <v>1</v>
      </c>
    </row>
    <row r="3274" customFormat="false" ht="15" hidden="false" customHeight="false" outlineLevel="0" collapsed="false">
      <c r="A3274" s="2" t="n">
        <v>3270</v>
      </c>
      <c r="B3274" s="2" t="s">
        <v>9504</v>
      </c>
      <c r="C3274" s="2" t="s">
        <v>9505</v>
      </c>
      <c r="D3274" s="2" t="s">
        <v>9506</v>
      </c>
      <c r="E3274" s="2" t="str">
        <f aca="false">LEFT(C3274,3)</f>
        <v>422</v>
      </c>
      <c r="F3274" s="2" t="str">
        <f aca="false">IF(D3274="","",LEFT(D3274,3))</f>
        <v>421</v>
      </c>
      <c r="G3274" s="2" t="str">
        <f aca="false">IF(F3274="","",IF(E3274=F3274,"Yes","No"))</f>
        <v>No</v>
      </c>
      <c r="H3274" s="2" t="n">
        <f aca="false">IF(D3274="",0,1/COUNTIF($D$2:$D$3451,D3274))</f>
        <v>1</v>
      </c>
      <c r="I3274" s="13" t="n">
        <f aca="false">IFERROR(INDEX('NCO-2015 scores'!$C$2:$C$131,MATCH(E3274,'NCO-2015 scores'!$A$2:$A$131,0)),0)</f>
        <v>0.5375</v>
      </c>
      <c r="J3274" s="13" t="n">
        <f aca="false">IF(ISNUMBER(MATCH(E3274,'NCO-2015 scores'!$A$2:$A$131,0)),IF(ISNUMBER(INDEX('NCO-2015 scores'!$C$2:$C$131,MATCH(E3274,'NCO-2015 scores'!$A$2:$A$131,0))),1,0),0)</f>
        <v>1</v>
      </c>
    </row>
    <row r="3275" customFormat="false" ht="15" hidden="false" customHeight="false" outlineLevel="0" collapsed="false">
      <c r="A3275" s="2" t="n">
        <v>3271</v>
      </c>
      <c r="B3275" s="2" t="s">
        <v>9507</v>
      </c>
      <c r="C3275" s="2" t="s">
        <v>9508</v>
      </c>
      <c r="D3275" s="2"/>
      <c r="E3275" s="2" t="str">
        <f aca="false">LEFT(C3275,3)</f>
        <v>422</v>
      </c>
      <c r="F3275" s="2" t="str">
        <f aca="false">IF(D3275="","",LEFT(D3275,3))</f>
        <v/>
      </c>
      <c r="G3275" s="2" t="str">
        <f aca="false">IF(F3275="","",IF(E3275=F3275,"Yes","No"))</f>
        <v/>
      </c>
      <c r="H3275" s="2" t="n">
        <f aca="false">IF(D3275="",0,1/COUNTIF($D$2:$D$3451,D3275))</f>
        <v>0</v>
      </c>
      <c r="I3275" s="13" t="n">
        <f aca="false">IFERROR(INDEX('NCO-2015 scores'!$C$2:$C$131,MATCH(E3275,'NCO-2015 scores'!$A$2:$A$131,0)),0)</f>
        <v>0.5375</v>
      </c>
      <c r="J3275" s="13" t="n">
        <f aca="false">IF(ISNUMBER(MATCH(E3275,'NCO-2015 scores'!$A$2:$A$131,0)),IF(ISNUMBER(INDEX('NCO-2015 scores'!$C$2:$C$131,MATCH(E3275,'NCO-2015 scores'!$A$2:$A$131,0))),1,0),0)</f>
        <v>1</v>
      </c>
    </row>
    <row r="3276" customFormat="false" ht="15" hidden="false" customHeight="false" outlineLevel="0" collapsed="false">
      <c r="A3276" s="2" t="n">
        <v>3272</v>
      </c>
      <c r="B3276" s="2" t="s">
        <v>9509</v>
      </c>
      <c r="C3276" s="2" t="s">
        <v>9510</v>
      </c>
      <c r="D3276" s="2"/>
      <c r="E3276" s="2" t="str">
        <f aca="false">LEFT(C3276,3)</f>
        <v>422</v>
      </c>
      <c r="F3276" s="2" t="str">
        <f aca="false">IF(D3276="","",LEFT(D3276,3))</f>
        <v/>
      </c>
      <c r="G3276" s="2" t="str">
        <f aca="false">IF(F3276="","",IF(E3276=F3276,"Yes","No"))</f>
        <v/>
      </c>
      <c r="H3276" s="2" t="n">
        <f aca="false">IF(D3276="",0,1/COUNTIF($D$2:$D$3451,D3276))</f>
        <v>0</v>
      </c>
      <c r="I3276" s="13" t="n">
        <f aca="false">IFERROR(INDEX('NCO-2015 scores'!$C$2:$C$131,MATCH(E3276,'NCO-2015 scores'!$A$2:$A$131,0)),0)</f>
        <v>0.5375</v>
      </c>
      <c r="J3276" s="13" t="n">
        <f aca="false">IF(ISNUMBER(MATCH(E3276,'NCO-2015 scores'!$A$2:$A$131,0)),IF(ISNUMBER(INDEX('NCO-2015 scores'!$C$2:$C$131,MATCH(E3276,'NCO-2015 scores'!$A$2:$A$131,0))),1,0),0)</f>
        <v>1</v>
      </c>
    </row>
    <row r="3277" customFormat="false" ht="15" hidden="false" customHeight="false" outlineLevel="0" collapsed="false">
      <c r="A3277" s="2" t="n">
        <v>3273</v>
      </c>
      <c r="B3277" s="2" t="s">
        <v>9511</v>
      </c>
      <c r="C3277" s="2" t="s">
        <v>9512</v>
      </c>
      <c r="D3277" s="2" t="s">
        <v>9513</v>
      </c>
      <c r="E3277" s="2" t="str">
        <f aca="false">LEFT(C3277,3)</f>
        <v>422</v>
      </c>
      <c r="F3277" s="2" t="str">
        <f aca="false">IF(D3277="","",LEFT(D3277,3))</f>
        <v>421</v>
      </c>
      <c r="G3277" s="2" t="str">
        <f aca="false">IF(F3277="","",IF(E3277=F3277,"Yes","No"))</f>
        <v>No</v>
      </c>
      <c r="H3277" s="2" t="n">
        <f aca="false">IF(D3277="",0,1/COUNTIF($D$2:$D$3451,D3277))</f>
        <v>1</v>
      </c>
      <c r="I3277" s="13" t="n">
        <f aca="false">IFERROR(INDEX('NCO-2015 scores'!$C$2:$C$131,MATCH(E3277,'NCO-2015 scores'!$A$2:$A$131,0)),0)</f>
        <v>0.5375</v>
      </c>
      <c r="J3277" s="13" t="n">
        <f aca="false">IF(ISNUMBER(MATCH(E3277,'NCO-2015 scores'!$A$2:$A$131,0)),IF(ISNUMBER(INDEX('NCO-2015 scores'!$C$2:$C$131,MATCH(E3277,'NCO-2015 scores'!$A$2:$A$131,0))),1,0),0)</f>
        <v>1</v>
      </c>
    </row>
    <row r="3278" customFormat="false" ht="15" hidden="false" customHeight="false" outlineLevel="0" collapsed="false">
      <c r="A3278" s="2" t="n">
        <v>3274</v>
      </c>
      <c r="B3278" s="2" t="s">
        <v>9514</v>
      </c>
      <c r="C3278" s="2" t="s">
        <v>9515</v>
      </c>
      <c r="D3278" s="2" t="s">
        <v>9516</v>
      </c>
      <c r="E3278" s="2" t="str">
        <f aca="false">LEFT(C3278,3)</f>
        <v>422</v>
      </c>
      <c r="F3278" s="2" t="str">
        <f aca="false">IF(D3278="","",LEFT(D3278,3))</f>
        <v>421</v>
      </c>
      <c r="G3278" s="2" t="str">
        <f aca="false">IF(F3278="","",IF(E3278=F3278,"Yes","No"))</f>
        <v>No</v>
      </c>
      <c r="H3278" s="2" t="n">
        <f aca="false">IF(D3278="",0,1/COUNTIF($D$2:$D$3451,D3278))</f>
        <v>1</v>
      </c>
      <c r="I3278" s="13" t="n">
        <f aca="false">IFERROR(INDEX('NCO-2015 scores'!$C$2:$C$131,MATCH(E3278,'NCO-2015 scores'!$A$2:$A$131,0)),0)</f>
        <v>0.5375</v>
      </c>
      <c r="J3278" s="13" t="n">
        <f aca="false">IF(ISNUMBER(MATCH(E3278,'NCO-2015 scores'!$A$2:$A$131,0)),IF(ISNUMBER(INDEX('NCO-2015 scores'!$C$2:$C$131,MATCH(E3278,'NCO-2015 scores'!$A$2:$A$131,0))),1,0),0)</f>
        <v>1</v>
      </c>
    </row>
    <row r="3279" customFormat="false" ht="15" hidden="false" customHeight="false" outlineLevel="0" collapsed="false">
      <c r="A3279" s="2" t="n">
        <v>3275</v>
      </c>
      <c r="B3279" s="2" t="s">
        <v>9517</v>
      </c>
      <c r="C3279" s="2" t="s">
        <v>9518</v>
      </c>
      <c r="D3279" s="2" t="s">
        <v>9519</v>
      </c>
      <c r="E3279" s="2" t="str">
        <f aca="false">LEFT(C3279,3)</f>
        <v>511</v>
      </c>
      <c r="F3279" s="2" t="str">
        <f aca="false">IF(D3279="","",LEFT(D3279,3))</f>
        <v>511</v>
      </c>
      <c r="G3279" s="2" t="str">
        <f aca="false">IF(F3279="","",IF(E3279=F3279,"Yes","No"))</f>
        <v>Yes</v>
      </c>
      <c r="H3279" s="2" t="n">
        <f aca="false">IF(D3279="",0,1/COUNTIF($D$2:$D$3451,D3279))</f>
        <v>1</v>
      </c>
      <c r="I3279" s="13" t="n">
        <f aca="false">IFERROR(INDEX('NCO-2015 scores'!$C$2:$C$131,MATCH(E3279,'NCO-2015 scores'!$A$2:$A$131,0)),0)</f>
        <v>0.2633</v>
      </c>
      <c r="J3279" s="13" t="n">
        <f aca="false">IF(ISNUMBER(MATCH(E3279,'NCO-2015 scores'!$A$2:$A$131,0)),IF(ISNUMBER(INDEX('NCO-2015 scores'!$C$2:$C$131,MATCH(E3279,'NCO-2015 scores'!$A$2:$A$131,0))),1,0),0)</f>
        <v>1</v>
      </c>
    </row>
    <row r="3280" customFormat="false" ht="15" hidden="false" customHeight="false" outlineLevel="0" collapsed="false">
      <c r="A3280" s="2" t="n">
        <v>3276</v>
      </c>
      <c r="B3280" s="2" t="s">
        <v>9520</v>
      </c>
      <c r="C3280" s="2" t="s">
        <v>9521</v>
      </c>
      <c r="D3280" s="2" t="s">
        <v>9522</v>
      </c>
      <c r="E3280" s="2" t="str">
        <f aca="false">LEFT(C3280,3)</f>
        <v>511</v>
      </c>
      <c r="F3280" s="2" t="str">
        <f aca="false">IF(D3280="","",LEFT(D3280,3))</f>
        <v>511</v>
      </c>
      <c r="G3280" s="2" t="str">
        <f aca="false">IF(F3280="","",IF(E3280=F3280,"Yes","No"))</f>
        <v>Yes</v>
      </c>
      <c r="H3280" s="2" t="n">
        <f aca="false">IF(D3280="",0,1/COUNTIF($D$2:$D$3451,D3280))</f>
        <v>1</v>
      </c>
      <c r="I3280" s="13" t="n">
        <f aca="false">IFERROR(INDEX('NCO-2015 scores'!$C$2:$C$131,MATCH(E3280,'NCO-2015 scores'!$A$2:$A$131,0)),0)</f>
        <v>0.2633</v>
      </c>
      <c r="J3280" s="13" t="n">
        <f aca="false">IF(ISNUMBER(MATCH(E3280,'NCO-2015 scores'!$A$2:$A$131,0)),IF(ISNUMBER(INDEX('NCO-2015 scores'!$C$2:$C$131,MATCH(E3280,'NCO-2015 scores'!$A$2:$A$131,0))),1,0),0)</f>
        <v>1</v>
      </c>
    </row>
    <row r="3281" customFormat="false" ht="15" hidden="false" customHeight="false" outlineLevel="0" collapsed="false">
      <c r="A3281" s="2" t="n">
        <v>3277</v>
      </c>
      <c r="B3281" s="2" t="s">
        <v>9523</v>
      </c>
      <c r="C3281" s="2" t="s">
        <v>9524</v>
      </c>
      <c r="D3281" s="2" t="s">
        <v>9525</v>
      </c>
      <c r="E3281" s="2" t="str">
        <f aca="false">LEFT(C3281,3)</f>
        <v>511</v>
      </c>
      <c r="F3281" s="2" t="str">
        <f aca="false">IF(D3281="","",LEFT(D3281,3))</f>
        <v>511</v>
      </c>
      <c r="G3281" s="2" t="str">
        <f aca="false">IF(F3281="","",IF(E3281=F3281,"Yes","No"))</f>
        <v>Yes</v>
      </c>
      <c r="H3281" s="2" t="n">
        <f aca="false">IF(D3281="",0,1/COUNTIF($D$2:$D$3451,D3281))</f>
        <v>1</v>
      </c>
      <c r="I3281" s="13" t="n">
        <f aca="false">IFERROR(INDEX('NCO-2015 scores'!$C$2:$C$131,MATCH(E3281,'NCO-2015 scores'!$A$2:$A$131,0)),0)</f>
        <v>0.2633</v>
      </c>
      <c r="J3281" s="13" t="n">
        <f aca="false">IF(ISNUMBER(MATCH(E3281,'NCO-2015 scores'!$A$2:$A$131,0)),IF(ISNUMBER(INDEX('NCO-2015 scores'!$C$2:$C$131,MATCH(E3281,'NCO-2015 scores'!$A$2:$A$131,0))),1,0),0)</f>
        <v>1</v>
      </c>
    </row>
    <row r="3282" customFormat="false" ht="15" hidden="false" customHeight="false" outlineLevel="0" collapsed="false">
      <c r="A3282" s="2" t="n">
        <v>3278</v>
      </c>
      <c r="B3282" s="2" t="s">
        <v>9526</v>
      </c>
      <c r="C3282" s="2" t="s">
        <v>9527</v>
      </c>
      <c r="D3282" s="2" t="s">
        <v>9528</v>
      </c>
      <c r="E3282" s="2" t="str">
        <f aca="false">LEFT(C3282,3)</f>
        <v>611</v>
      </c>
      <c r="F3282" s="2" t="str">
        <f aca="false">IF(D3282="","",LEFT(D3282,3))</f>
        <v>611</v>
      </c>
      <c r="G3282" s="2" t="str">
        <f aca="false">IF(F3282="","",IF(E3282=F3282,"Yes","No"))</f>
        <v>Yes</v>
      </c>
      <c r="H3282" s="2" t="n">
        <f aca="false">IF(D3282="",0,1/COUNTIF($D$2:$D$3451,D3282))</f>
        <v>1</v>
      </c>
      <c r="I3282" s="13" t="n">
        <f aca="false">IFERROR(INDEX('NCO-2015 scores'!$C$2:$C$131,MATCH(E3282,'NCO-2015 scores'!$A$2:$A$131,0)),0)</f>
        <v>0.175</v>
      </c>
      <c r="J3282" s="13" t="n">
        <f aca="false">IF(ISNUMBER(MATCH(E3282,'NCO-2015 scores'!$A$2:$A$131,0)),IF(ISNUMBER(INDEX('NCO-2015 scores'!$C$2:$C$131,MATCH(E3282,'NCO-2015 scores'!$A$2:$A$131,0))),1,0),0)</f>
        <v>1</v>
      </c>
    </row>
    <row r="3283" customFormat="false" ht="15" hidden="false" customHeight="false" outlineLevel="0" collapsed="false">
      <c r="A3283" s="2" t="n">
        <v>3279</v>
      </c>
      <c r="B3283" s="2" t="s">
        <v>9529</v>
      </c>
      <c r="C3283" s="2" t="s">
        <v>9530</v>
      </c>
      <c r="D3283" s="2"/>
      <c r="E3283" s="2" t="str">
        <f aca="false">LEFT(C3283,3)</f>
        <v>611</v>
      </c>
      <c r="F3283" s="2" t="str">
        <f aca="false">IF(D3283="","",LEFT(D3283,3))</f>
        <v/>
      </c>
      <c r="G3283" s="2" t="str">
        <f aca="false">IF(F3283="","",IF(E3283=F3283,"Yes","No"))</f>
        <v/>
      </c>
      <c r="H3283" s="2" t="n">
        <f aca="false">IF(D3283="",0,1/COUNTIF($D$2:$D$3451,D3283))</f>
        <v>0</v>
      </c>
      <c r="I3283" s="13" t="n">
        <f aca="false">IFERROR(INDEX('NCO-2015 scores'!$C$2:$C$131,MATCH(E3283,'NCO-2015 scores'!$A$2:$A$131,0)),0)</f>
        <v>0.175</v>
      </c>
      <c r="J3283" s="13" t="n">
        <f aca="false">IF(ISNUMBER(MATCH(E3283,'NCO-2015 scores'!$A$2:$A$131,0)),IF(ISNUMBER(INDEX('NCO-2015 scores'!$C$2:$C$131,MATCH(E3283,'NCO-2015 scores'!$A$2:$A$131,0))),1,0),0)</f>
        <v>1</v>
      </c>
    </row>
    <row r="3284" customFormat="false" ht="15" hidden="false" customHeight="false" outlineLevel="0" collapsed="false">
      <c r="A3284" s="2" t="n">
        <v>3280</v>
      </c>
      <c r="B3284" s="2" t="s">
        <v>9531</v>
      </c>
      <c r="C3284" s="2" t="s">
        <v>9532</v>
      </c>
      <c r="D3284" s="2"/>
      <c r="E3284" s="2" t="str">
        <f aca="false">LEFT(C3284,3)</f>
        <v>611</v>
      </c>
      <c r="F3284" s="2" t="str">
        <f aca="false">IF(D3284="","",LEFT(D3284,3))</f>
        <v/>
      </c>
      <c r="G3284" s="2" t="str">
        <f aca="false">IF(F3284="","",IF(E3284=F3284,"Yes","No"))</f>
        <v/>
      </c>
      <c r="H3284" s="2" t="n">
        <f aca="false">IF(D3284="",0,1/COUNTIF($D$2:$D$3451,D3284))</f>
        <v>0</v>
      </c>
      <c r="I3284" s="13" t="n">
        <f aca="false">IFERROR(INDEX('NCO-2015 scores'!$C$2:$C$131,MATCH(E3284,'NCO-2015 scores'!$A$2:$A$131,0)),0)</f>
        <v>0.175</v>
      </c>
      <c r="J3284" s="13" t="n">
        <f aca="false">IF(ISNUMBER(MATCH(E3284,'NCO-2015 scores'!$A$2:$A$131,0)),IF(ISNUMBER(INDEX('NCO-2015 scores'!$C$2:$C$131,MATCH(E3284,'NCO-2015 scores'!$A$2:$A$131,0))),1,0),0)</f>
        <v>1</v>
      </c>
    </row>
    <row r="3285" customFormat="false" ht="15" hidden="false" customHeight="false" outlineLevel="0" collapsed="false">
      <c r="A3285" s="2" t="n">
        <v>3281</v>
      </c>
      <c r="B3285" s="2" t="s">
        <v>9533</v>
      </c>
      <c r="C3285" s="2" t="s">
        <v>9534</v>
      </c>
      <c r="D3285" s="2" t="s">
        <v>9535</v>
      </c>
      <c r="E3285" s="2" t="str">
        <f aca="false">LEFT(C3285,3)</f>
        <v>611</v>
      </c>
      <c r="F3285" s="2" t="str">
        <f aca="false">IF(D3285="","",LEFT(D3285,3))</f>
        <v>611</v>
      </c>
      <c r="G3285" s="2" t="str">
        <f aca="false">IF(F3285="","",IF(E3285=F3285,"Yes","No"))</f>
        <v>Yes</v>
      </c>
      <c r="H3285" s="2" t="n">
        <f aca="false">IF(D3285="",0,1/COUNTIF($D$2:$D$3451,D3285))</f>
        <v>1</v>
      </c>
      <c r="I3285" s="13" t="n">
        <f aca="false">IFERROR(INDEX('NCO-2015 scores'!$C$2:$C$131,MATCH(E3285,'NCO-2015 scores'!$A$2:$A$131,0)),0)</f>
        <v>0.175</v>
      </c>
      <c r="J3285" s="13" t="n">
        <f aca="false">IF(ISNUMBER(MATCH(E3285,'NCO-2015 scores'!$A$2:$A$131,0)),IF(ISNUMBER(INDEX('NCO-2015 scores'!$C$2:$C$131,MATCH(E3285,'NCO-2015 scores'!$A$2:$A$131,0))),1,0),0)</f>
        <v>1</v>
      </c>
    </row>
    <row r="3286" customFormat="false" ht="15" hidden="false" customHeight="false" outlineLevel="0" collapsed="false">
      <c r="A3286" s="2" t="n">
        <v>3282</v>
      </c>
      <c r="B3286" s="2" t="s">
        <v>9536</v>
      </c>
      <c r="C3286" s="2" t="s">
        <v>9537</v>
      </c>
      <c r="D3286" s="2" t="s">
        <v>9538</v>
      </c>
      <c r="E3286" s="2" t="str">
        <f aca="false">LEFT(C3286,3)</f>
        <v>611</v>
      </c>
      <c r="F3286" s="2" t="str">
        <f aca="false">IF(D3286="","",LEFT(D3286,3))</f>
        <v>611</v>
      </c>
      <c r="G3286" s="2" t="str">
        <f aca="false">IF(F3286="","",IF(E3286=F3286,"Yes","No"))</f>
        <v>Yes</v>
      </c>
      <c r="H3286" s="2" t="n">
        <f aca="false">IF(D3286="",0,1/COUNTIF($D$2:$D$3451,D3286))</f>
        <v>1</v>
      </c>
      <c r="I3286" s="13" t="n">
        <f aca="false">IFERROR(INDEX('NCO-2015 scores'!$C$2:$C$131,MATCH(E3286,'NCO-2015 scores'!$A$2:$A$131,0)),0)</f>
        <v>0.175</v>
      </c>
      <c r="J3286" s="13" t="n">
        <f aca="false">IF(ISNUMBER(MATCH(E3286,'NCO-2015 scores'!$A$2:$A$131,0)),IF(ISNUMBER(INDEX('NCO-2015 scores'!$C$2:$C$131,MATCH(E3286,'NCO-2015 scores'!$A$2:$A$131,0))),1,0),0)</f>
        <v>1</v>
      </c>
    </row>
    <row r="3287" customFormat="false" ht="15" hidden="false" customHeight="false" outlineLevel="0" collapsed="false">
      <c r="A3287" s="2" t="n">
        <v>3283</v>
      </c>
      <c r="B3287" s="2" t="s">
        <v>9539</v>
      </c>
      <c r="C3287" s="2" t="s">
        <v>9540</v>
      </c>
      <c r="D3287" s="2"/>
      <c r="E3287" s="2" t="str">
        <f aca="false">LEFT(C3287,3)</f>
        <v>611</v>
      </c>
      <c r="F3287" s="2" t="str">
        <f aca="false">IF(D3287="","",LEFT(D3287,3))</f>
        <v/>
      </c>
      <c r="G3287" s="2" t="str">
        <f aca="false">IF(F3287="","",IF(E3287=F3287,"Yes","No"))</f>
        <v/>
      </c>
      <c r="H3287" s="2" t="n">
        <f aca="false">IF(D3287="",0,1/COUNTIF($D$2:$D$3451,D3287))</f>
        <v>0</v>
      </c>
      <c r="I3287" s="13" t="n">
        <f aca="false">IFERROR(INDEX('NCO-2015 scores'!$C$2:$C$131,MATCH(E3287,'NCO-2015 scores'!$A$2:$A$131,0)),0)</f>
        <v>0.175</v>
      </c>
      <c r="J3287" s="13" t="n">
        <f aca="false">IF(ISNUMBER(MATCH(E3287,'NCO-2015 scores'!$A$2:$A$131,0)),IF(ISNUMBER(INDEX('NCO-2015 scores'!$C$2:$C$131,MATCH(E3287,'NCO-2015 scores'!$A$2:$A$131,0))),1,0),0)</f>
        <v>1</v>
      </c>
    </row>
    <row r="3288" customFormat="false" ht="15" hidden="false" customHeight="false" outlineLevel="0" collapsed="false">
      <c r="A3288" s="2" t="n">
        <v>3284</v>
      </c>
      <c r="B3288" s="2" t="s">
        <v>9541</v>
      </c>
      <c r="C3288" s="2" t="s">
        <v>9542</v>
      </c>
      <c r="D3288" s="2" t="s">
        <v>9543</v>
      </c>
      <c r="E3288" s="2" t="str">
        <f aca="false">LEFT(C3288,3)</f>
        <v>611</v>
      </c>
      <c r="F3288" s="2" t="str">
        <f aca="false">IF(D3288="","",LEFT(D3288,3))</f>
        <v>611</v>
      </c>
      <c r="G3288" s="2" t="str">
        <f aca="false">IF(F3288="","",IF(E3288=F3288,"Yes","No"))</f>
        <v>Yes</v>
      </c>
      <c r="H3288" s="2" t="n">
        <f aca="false">IF(D3288="",0,1/COUNTIF($D$2:$D$3451,D3288))</f>
        <v>1</v>
      </c>
      <c r="I3288" s="13" t="n">
        <f aca="false">IFERROR(INDEX('NCO-2015 scores'!$C$2:$C$131,MATCH(E3288,'NCO-2015 scores'!$A$2:$A$131,0)),0)</f>
        <v>0.175</v>
      </c>
      <c r="J3288" s="13" t="n">
        <f aca="false">IF(ISNUMBER(MATCH(E3288,'NCO-2015 scores'!$A$2:$A$131,0)),IF(ISNUMBER(INDEX('NCO-2015 scores'!$C$2:$C$131,MATCH(E3288,'NCO-2015 scores'!$A$2:$A$131,0))),1,0),0)</f>
        <v>1</v>
      </c>
    </row>
    <row r="3289" customFormat="false" ht="15" hidden="false" customHeight="false" outlineLevel="0" collapsed="false">
      <c r="A3289" s="2" t="n">
        <v>3285</v>
      </c>
      <c r="B3289" s="2" t="s">
        <v>9544</v>
      </c>
      <c r="C3289" s="2" t="s">
        <v>9545</v>
      </c>
      <c r="D3289" s="2"/>
      <c r="E3289" s="2" t="str">
        <f aca="false">LEFT(C3289,3)</f>
        <v>611</v>
      </c>
      <c r="F3289" s="2" t="str">
        <f aca="false">IF(D3289="","",LEFT(D3289,3))</f>
        <v/>
      </c>
      <c r="G3289" s="2" t="str">
        <f aca="false">IF(F3289="","",IF(E3289=F3289,"Yes","No"))</f>
        <v/>
      </c>
      <c r="H3289" s="2" t="n">
        <f aca="false">IF(D3289="",0,1/COUNTIF($D$2:$D$3451,D3289))</f>
        <v>0</v>
      </c>
      <c r="I3289" s="13" t="n">
        <f aca="false">IFERROR(INDEX('NCO-2015 scores'!$C$2:$C$131,MATCH(E3289,'NCO-2015 scores'!$A$2:$A$131,0)),0)</f>
        <v>0.175</v>
      </c>
      <c r="J3289" s="13" t="n">
        <f aca="false">IF(ISNUMBER(MATCH(E3289,'NCO-2015 scores'!$A$2:$A$131,0)),IF(ISNUMBER(INDEX('NCO-2015 scores'!$C$2:$C$131,MATCH(E3289,'NCO-2015 scores'!$A$2:$A$131,0))),1,0),0)</f>
        <v>1</v>
      </c>
    </row>
    <row r="3290" customFormat="false" ht="15" hidden="false" customHeight="false" outlineLevel="0" collapsed="false">
      <c r="A3290" s="2" t="n">
        <v>3286</v>
      </c>
      <c r="B3290" s="2" t="s">
        <v>9546</v>
      </c>
      <c r="C3290" s="2" t="s">
        <v>9547</v>
      </c>
      <c r="D3290" s="2" t="s">
        <v>9548</v>
      </c>
      <c r="E3290" s="2" t="str">
        <f aca="false">LEFT(C3290,3)</f>
        <v>611</v>
      </c>
      <c r="F3290" s="2" t="str">
        <f aca="false">IF(D3290="","",LEFT(D3290,3))</f>
        <v>611</v>
      </c>
      <c r="G3290" s="2" t="str">
        <f aca="false">IF(F3290="","",IF(E3290=F3290,"Yes","No"))</f>
        <v>Yes</v>
      </c>
      <c r="H3290" s="2" t="n">
        <f aca="false">IF(D3290="",0,1/COUNTIF($D$2:$D$3451,D3290))</f>
        <v>1</v>
      </c>
      <c r="I3290" s="13" t="n">
        <f aca="false">IFERROR(INDEX('NCO-2015 scores'!$C$2:$C$131,MATCH(E3290,'NCO-2015 scores'!$A$2:$A$131,0)),0)</f>
        <v>0.175</v>
      </c>
      <c r="J3290" s="13" t="n">
        <f aca="false">IF(ISNUMBER(MATCH(E3290,'NCO-2015 scores'!$A$2:$A$131,0)),IF(ISNUMBER(INDEX('NCO-2015 scores'!$C$2:$C$131,MATCH(E3290,'NCO-2015 scores'!$A$2:$A$131,0))),1,0),0)</f>
        <v>1</v>
      </c>
    </row>
    <row r="3291" customFormat="false" ht="15" hidden="false" customHeight="false" outlineLevel="0" collapsed="false">
      <c r="A3291" s="2" t="n">
        <v>3287</v>
      </c>
      <c r="B3291" s="2" t="s">
        <v>9549</v>
      </c>
      <c r="C3291" s="2" t="s">
        <v>9550</v>
      </c>
      <c r="D3291" s="2"/>
      <c r="E3291" s="2" t="str">
        <f aca="false">LEFT(C3291,3)</f>
        <v>611</v>
      </c>
      <c r="F3291" s="2" t="str">
        <f aca="false">IF(D3291="","",LEFT(D3291,3))</f>
        <v/>
      </c>
      <c r="G3291" s="2" t="str">
        <f aca="false">IF(F3291="","",IF(E3291=F3291,"Yes","No"))</f>
        <v/>
      </c>
      <c r="H3291" s="2" t="n">
        <f aca="false">IF(D3291="",0,1/COUNTIF($D$2:$D$3451,D3291))</f>
        <v>0</v>
      </c>
      <c r="I3291" s="13" t="n">
        <f aca="false">IFERROR(INDEX('NCO-2015 scores'!$C$2:$C$131,MATCH(E3291,'NCO-2015 scores'!$A$2:$A$131,0)),0)</f>
        <v>0.175</v>
      </c>
      <c r="J3291" s="13" t="n">
        <f aca="false">IF(ISNUMBER(MATCH(E3291,'NCO-2015 scores'!$A$2:$A$131,0)),IF(ISNUMBER(INDEX('NCO-2015 scores'!$C$2:$C$131,MATCH(E3291,'NCO-2015 scores'!$A$2:$A$131,0))),1,0),0)</f>
        <v>1</v>
      </c>
    </row>
    <row r="3292" customFormat="false" ht="15" hidden="false" customHeight="false" outlineLevel="0" collapsed="false">
      <c r="A3292" s="2" t="n">
        <v>3288</v>
      </c>
      <c r="B3292" s="2" t="s">
        <v>9551</v>
      </c>
      <c r="C3292" s="2" t="s">
        <v>9552</v>
      </c>
      <c r="D3292" s="2"/>
      <c r="E3292" s="2" t="str">
        <f aca="false">LEFT(C3292,3)</f>
        <v>611</v>
      </c>
      <c r="F3292" s="2" t="str">
        <f aca="false">IF(D3292="","",LEFT(D3292,3))</f>
        <v/>
      </c>
      <c r="G3292" s="2" t="str">
        <f aca="false">IF(F3292="","",IF(E3292=F3292,"Yes","No"))</f>
        <v/>
      </c>
      <c r="H3292" s="2" t="n">
        <f aca="false">IF(D3292="",0,1/COUNTIF($D$2:$D$3451,D3292))</f>
        <v>0</v>
      </c>
      <c r="I3292" s="13" t="n">
        <f aca="false">IFERROR(INDEX('NCO-2015 scores'!$C$2:$C$131,MATCH(E3292,'NCO-2015 scores'!$A$2:$A$131,0)),0)</f>
        <v>0.175</v>
      </c>
      <c r="J3292" s="13" t="n">
        <f aca="false">IF(ISNUMBER(MATCH(E3292,'NCO-2015 scores'!$A$2:$A$131,0)),IF(ISNUMBER(INDEX('NCO-2015 scores'!$C$2:$C$131,MATCH(E3292,'NCO-2015 scores'!$A$2:$A$131,0))),1,0),0)</f>
        <v>1</v>
      </c>
    </row>
    <row r="3293" customFormat="false" ht="15" hidden="false" customHeight="false" outlineLevel="0" collapsed="false">
      <c r="A3293" s="2" t="n">
        <v>3289</v>
      </c>
      <c r="B3293" s="2" t="s">
        <v>9553</v>
      </c>
      <c r="C3293" s="2" t="s">
        <v>9554</v>
      </c>
      <c r="D3293" s="2" t="s">
        <v>9555</v>
      </c>
      <c r="E3293" s="2" t="str">
        <f aca="false">LEFT(C3293,3)</f>
        <v>413</v>
      </c>
      <c r="F3293" s="2" t="str">
        <f aca="false">IF(D3293="","",LEFT(D3293,3))</f>
        <v>411</v>
      </c>
      <c r="G3293" s="2" t="str">
        <f aca="false">IF(F3293="","",IF(E3293=F3293,"Yes","No"))</f>
        <v>No</v>
      </c>
      <c r="H3293" s="2" t="n">
        <f aca="false">IF(D3293="",0,1/COUNTIF($D$2:$D$3451,D3293))</f>
        <v>1</v>
      </c>
      <c r="I3293" s="13" t="n">
        <f aca="false">IFERROR(INDEX('NCO-2015 scores'!$C$2:$C$131,MATCH(E3293,'NCO-2015 scores'!$A$2:$A$131,0)),0)</f>
        <v>0.675</v>
      </c>
      <c r="J3293" s="13" t="n">
        <f aca="false">IF(ISNUMBER(MATCH(E3293,'NCO-2015 scores'!$A$2:$A$131,0)),IF(ISNUMBER(INDEX('NCO-2015 scores'!$C$2:$C$131,MATCH(E3293,'NCO-2015 scores'!$A$2:$A$131,0))),1,0),0)</f>
        <v>1</v>
      </c>
    </row>
    <row r="3294" customFormat="false" ht="15" hidden="false" customHeight="false" outlineLevel="0" collapsed="false">
      <c r="A3294" s="2" t="n">
        <v>3290</v>
      </c>
      <c r="B3294" s="2" t="s">
        <v>9556</v>
      </c>
      <c r="C3294" s="2" t="s">
        <v>9557</v>
      </c>
      <c r="D3294" s="2" t="s">
        <v>9558</v>
      </c>
      <c r="E3294" s="2" t="str">
        <f aca="false">LEFT(C3294,3)</f>
        <v>413</v>
      </c>
      <c r="F3294" s="2" t="str">
        <f aca="false">IF(D3294="","",LEFT(D3294,3))</f>
        <v>411</v>
      </c>
      <c r="G3294" s="2" t="str">
        <f aca="false">IF(F3294="","",IF(E3294=F3294,"Yes","No"))</f>
        <v>No</v>
      </c>
      <c r="H3294" s="2" t="n">
        <f aca="false">IF(D3294="",0,1/COUNTIF($D$2:$D$3451,D3294))</f>
        <v>1</v>
      </c>
      <c r="I3294" s="13" t="n">
        <f aca="false">IFERROR(INDEX('NCO-2015 scores'!$C$2:$C$131,MATCH(E3294,'NCO-2015 scores'!$A$2:$A$131,0)),0)</f>
        <v>0.675</v>
      </c>
      <c r="J3294" s="13" t="n">
        <f aca="false">IF(ISNUMBER(MATCH(E3294,'NCO-2015 scores'!$A$2:$A$131,0)),IF(ISNUMBER(INDEX('NCO-2015 scores'!$C$2:$C$131,MATCH(E3294,'NCO-2015 scores'!$A$2:$A$131,0))),1,0),0)</f>
        <v>1</v>
      </c>
    </row>
    <row r="3295" customFormat="false" ht="15" hidden="false" customHeight="false" outlineLevel="0" collapsed="false">
      <c r="A3295" s="2" t="n">
        <v>3291</v>
      </c>
      <c r="B3295" s="2" t="s">
        <v>9559</v>
      </c>
      <c r="C3295" s="2" t="s">
        <v>9560</v>
      </c>
      <c r="D3295" s="2" t="s">
        <v>9561</v>
      </c>
      <c r="E3295" s="2" t="str">
        <f aca="false">LEFT(C3295,3)</f>
        <v>413</v>
      </c>
      <c r="F3295" s="2" t="str">
        <f aca="false">IF(D3295="","",LEFT(D3295,3))</f>
        <v>411</v>
      </c>
      <c r="G3295" s="2" t="str">
        <f aca="false">IF(F3295="","",IF(E3295=F3295,"Yes","No"))</f>
        <v>No</v>
      </c>
      <c r="H3295" s="2" t="n">
        <f aca="false">IF(D3295="",0,1/COUNTIF($D$2:$D$3451,D3295))</f>
        <v>1</v>
      </c>
      <c r="I3295" s="13" t="n">
        <f aca="false">IFERROR(INDEX('NCO-2015 scores'!$C$2:$C$131,MATCH(E3295,'NCO-2015 scores'!$A$2:$A$131,0)),0)</f>
        <v>0.675</v>
      </c>
      <c r="J3295" s="13" t="n">
        <f aca="false">IF(ISNUMBER(MATCH(E3295,'NCO-2015 scores'!$A$2:$A$131,0)),IF(ISNUMBER(INDEX('NCO-2015 scores'!$C$2:$C$131,MATCH(E3295,'NCO-2015 scores'!$A$2:$A$131,0))),1,0),0)</f>
        <v>1</v>
      </c>
    </row>
    <row r="3296" customFormat="false" ht="15" hidden="false" customHeight="false" outlineLevel="0" collapsed="false">
      <c r="A3296" s="2" t="n">
        <v>3292</v>
      </c>
      <c r="B3296" s="2" t="s">
        <v>9562</v>
      </c>
      <c r="C3296" s="2" t="s">
        <v>9563</v>
      </c>
      <c r="D3296" s="2" t="s">
        <v>9564</v>
      </c>
      <c r="E3296" s="2" t="str">
        <f aca="false">LEFT(C3296,3)</f>
        <v>413</v>
      </c>
      <c r="F3296" s="2" t="str">
        <f aca="false">IF(D3296="","",LEFT(D3296,3))</f>
        <v>411</v>
      </c>
      <c r="G3296" s="2" t="str">
        <f aca="false">IF(F3296="","",IF(E3296=F3296,"Yes","No"))</f>
        <v>No</v>
      </c>
      <c r="H3296" s="2" t="n">
        <f aca="false">IF(D3296="",0,1/COUNTIF($D$2:$D$3451,D3296))</f>
        <v>1</v>
      </c>
      <c r="I3296" s="13" t="n">
        <f aca="false">IFERROR(INDEX('NCO-2015 scores'!$C$2:$C$131,MATCH(E3296,'NCO-2015 scores'!$A$2:$A$131,0)),0)</f>
        <v>0.675</v>
      </c>
      <c r="J3296" s="13" t="n">
        <f aca="false">IF(ISNUMBER(MATCH(E3296,'NCO-2015 scores'!$A$2:$A$131,0)),IF(ISNUMBER(INDEX('NCO-2015 scores'!$C$2:$C$131,MATCH(E3296,'NCO-2015 scores'!$A$2:$A$131,0))),1,0),0)</f>
        <v>1</v>
      </c>
    </row>
    <row r="3297" customFormat="false" ht="15" hidden="false" customHeight="false" outlineLevel="0" collapsed="false">
      <c r="A3297" s="2" t="n">
        <v>3293</v>
      </c>
      <c r="B3297" s="2" t="s">
        <v>9565</v>
      </c>
      <c r="C3297" s="2" t="s">
        <v>9566</v>
      </c>
      <c r="D3297" s="2" t="s">
        <v>9567</v>
      </c>
      <c r="E3297" s="2" t="str">
        <f aca="false">LEFT(C3297,3)</f>
        <v>413</v>
      </c>
      <c r="F3297" s="2" t="str">
        <f aca="false">IF(D3297="","",LEFT(D3297,3))</f>
        <v>411</v>
      </c>
      <c r="G3297" s="2" t="str">
        <f aca="false">IF(F3297="","",IF(E3297=F3297,"Yes","No"))</f>
        <v>No</v>
      </c>
      <c r="H3297" s="2" t="n">
        <f aca="false">IF(D3297="",0,1/COUNTIF($D$2:$D$3451,D3297))</f>
        <v>1</v>
      </c>
      <c r="I3297" s="13" t="n">
        <f aca="false">IFERROR(INDEX('NCO-2015 scores'!$C$2:$C$131,MATCH(E3297,'NCO-2015 scores'!$A$2:$A$131,0)),0)</f>
        <v>0.675</v>
      </c>
      <c r="J3297" s="13" t="n">
        <f aca="false">IF(ISNUMBER(MATCH(E3297,'NCO-2015 scores'!$A$2:$A$131,0)),IF(ISNUMBER(INDEX('NCO-2015 scores'!$C$2:$C$131,MATCH(E3297,'NCO-2015 scores'!$A$2:$A$131,0))),1,0),0)</f>
        <v>1</v>
      </c>
    </row>
    <row r="3298" customFormat="false" ht="15" hidden="false" customHeight="false" outlineLevel="0" collapsed="false">
      <c r="A3298" s="2" t="n">
        <v>3294</v>
      </c>
      <c r="B3298" s="2" t="s">
        <v>9568</v>
      </c>
      <c r="C3298" s="2" t="s">
        <v>9569</v>
      </c>
      <c r="D3298" s="2" t="s">
        <v>9570</v>
      </c>
      <c r="E3298" s="2" t="str">
        <f aca="false">LEFT(C3298,3)</f>
        <v>413</v>
      </c>
      <c r="F3298" s="2" t="str">
        <f aca="false">IF(D3298="","",LEFT(D3298,3))</f>
        <v>411</v>
      </c>
      <c r="G3298" s="2" t="str">
        <f aca="false">IF(F3298="","",IF(E3298=F3298,"Yes","No"))</f>
        <v>No</v>
      </c>
      <c r="H3298" s="2" t="n">
        <f aca="false">IF(D3298="",0,1/COUNTIF($D$2:$D$3451,D3298))</f>
        <v>1</v>
      </c>
      <c r="I3298" s="13" t="n">
        <f aca="false">IFERROR(INDEX('NCO-2015 scores'!$C$2:$C$131,MATCH(E3298,'NCO-2015 scores'!$A$2:$A$131,0)),0)</f>
        <v>0.675</v>
      </c>
      <c r="J3298" s="13" t="n">
        <f aca="false">IF(ISNUMBER(MATCH(E3298,'NCO-2015 scores'!$A$2:$A$131,0)),IF(ISNUMBER(INDEX('NCO-2015 scores'!$C$2:$C$131,MATCH(E3298,'NCO-2015 scores'!$A$2:$A$131,0))),1,0),0)</f>
        <v>1</v>
      </c>
    </row>
    <row r="3299" customFormat="false" ht="15" hidden="false" customHeight="false" outlineLevel="0" collapsed="false">
      <c r="A3299" s="2" t="n">
        <v>3295</v>
      </c>
      <c r="B3299" s="2" t="s">
        <v>9571</v>
      </c>
      <c r="C3299" s="2" t="s">
        <v>9572</v>
      </c>
      <c r="D3299" s="2" t="s">
        <v>9573</v>
      </c>
      <c r="E3299" s="2" t="str">
        <f aca="false">LEFT(C3299,3)</f>
        <v>516</v>
      </c>
      <c r="F3299" s="2" t="str">
        <f aca="false">IF(D3299="","",LEFT(D3299,3))</f>
        <v>514</v>
      </c>
      <c r="G3299" s="2" t="str">
        <f aca="false">IF(F3299="","",IF(E3299=F3299,"Yes","No"))</f>
        <v>No</v>
      </c>
      <c r="H3299" s="2" t="n">
        <f aca="false">IF(D3299="",0,1/COUNTIF($D$2:$D$3451,D3299))</f>
        <v>1</v>
      </c>
      <c r="I3299" s="13" t="n">
        <f aca="false">IFERROR(INDEX('NCO-2015 scores'!$C$2:$C$131,MATCH(E3299,'NCO-2015 scores'!$A$2:$A$131,0)),0)</f>
        <v>0.2067</v>
      </c>
      <c r="J3299" s="13" t="n">
        <f aca="false">IF(ISNUMBER(MATCH(E3299,'NCO-2015 scores'!$A$2:$A$131,0)),IF(ISNUMBER(INDEX('NCO-2015 scores'!$C$2:$C$131,MATCH(E3299,'NCO-2015 scores'!$A$2:$A$131,0))),1,0),0)</f>
        <v>1</v>
      </c>
    </row>
    <row r="3300" customFormat="false" ht="15" hidden="false" customHeight="false" outlineLevel="0" collapsed="false">
      <c r="A3300" s="2" t="n">
        <v>3296</v>
      </c>
      <c r="B3300" s="2" t="s">
        <v>9574</v>
      </c>
      <c r="C3300" s="2" t="s">
        <v>9575</v>
      </c>
      <c r="D3300" s="2" t="s">
        <v>9576</v>
      </c>
      <c r="E3300" s="2" t="str">
        <f aca="false">LEFT(C3300,3)</f>
        <v>516</v>
      </c>
      <c r="F3300" s="2" t="str">
        <f aca="false">IF(D3300="","",LEFT(D3300,3))</f>
        <v>514</v>
      </c>
      <c r="G3300" s="2" t="str">
        <f aca="false">IF(F3300="","",IF(E3300=F3300,"Yes","No"))</f>
        <v>No</v>
      </c>
      <c r="H3300" s="2" t="n">
        <f aca="false">IF(D3300="",0,1/COUNTIF($D$2:$D$3451,D3300))</f>
        <v>1</v>
      </c>
      <c r="I3300" s="13" t="n">
        <f aca="false">IFERROR(INDEX('NCO-2015 scores'!$C$2:$C$131,MATCH(E3300,'NCO-2015 scores'!$A$2:$A$131,0)),0)</f>
        <v>0.2067</v>
      </c>
      <c r="J3300" s="13" t="n">
        <f aca="false">IF(ISNUMBER(MATCH(E3300,'NCO-2015 scores'!$A$2:$A$131,0)),IF(ISNUMBER(INDEX('NCO-2015 scores'!$C$2:$C$131,MATCH(E3300,'NCO-2015 scores'!$A$2:$A$131,0))),1,0),0)</f>
        <v>1</v>
      </c>
    </row>
    <row r="3301" customFormat="false" ht="15" hidden="false" customHeight="false" outlineLevel="0" collapsed="false">
      <c r="A3301" s="2" t="n">
        <v>3297</v>
      </c>
      <c r="B3301" s="2" t="s">
        <v>9577</v>
      </c>
      <c r="C3301" s="2" t="s">
        <v>9578</v>
      </c>
      <c r="D3301" s="2" t="s">
        <v>9579</v>
      </c>
      <c r="E3301" s="2" t="str">
        <f aca="false">LEFT(C3301,3)</f>
        <v>516</v>
      </c>
      <c r="F3301" s="2" t="str">
        <f aca="false">IF(D3301="","",LEFT(D3301,3))</f>
        <v>514</v>
      </c>
      <c r="G3301" s="2" t="str">
        <f aca="false">IF(F3301="","",IF(E3301=F3301,"Yes","No"))</f>
        <v>No</v>
      </c>
      <c r="H3301" s="2" t="n">
        <f aca="false">IF(D3301="",0,1/COUNTIF($D$2:$D$3451,D3301))</f>
        <v>1</v>
      </c>
      <c r="I3301" s="13" t="n">
        <f aca="false">IFERROR(INDEX('NCO-2015 scores'!$C$2:$C$131,MATCH(E3301,'NCO-2015 scores'!$A$2:$A$131,0)),0)</f>
        <v>0.2067</v>
      </c>
      <c r="J3301" s="13" t="n">
        <f aca="false">IF(ISNUMBER(MATCH(E3301,'NCO-2015 scores'!$A$2:$A$131,0)),IF(ISNUMBER(INDEX('NCO-2015 scores'!$C$2:$C$131,MATCH(E3301,'NCO-2015 scores'!$A$2:$A$131,0))),1,0),0)</f>
        <v>1</v>
      </c>
    </row>
    <row r="3302" customFormat="false" ht="15" hidden="false" customHeight="false" outlineLevel="0" collapsed="false">
      <c r="A3302" s="2" t="n">
        <v>3298</v>
      </c>
      <c r="B3302" s="2" t="s">
        <v>9580</v>
      </c>
      <c r="C3302" s="2" t="s">
        <v>9581</v>
      </c>
      <c r="D3302" s="2" t="s">
        <v>9582</v>
      </c>
      <c r="E3302" s="2" t="str">
        <f aca="false">LEFT(C3302,3)</f>
        <v>516</v>
      </c>
      <c r="F3302" s="2" t="str">
        <f aca="false">IF(D3302="","",LEFT(D3302,3))</f>
        <v>514</v>
      </c>
      <c r="G3302" s="2" t="str">
        <f aca="false">IF(F3302="","",IF(E3302=F3302,"Yes","No"))</f>
        <v>No</v>
      </c>
      <c r="H3302" s="2" t="n">
        <f aca="false">IF(D3302="",0,1/COUNTIF($D$2:$D$3451,D3302))</f>
        <v>1</v>
      </c>
      <c r="I3302" s="13" t="n">
        <f aca="false">IFERROR(INDEX('NCO-2015 scores'!$C$2:$C$131,MATCH(E3302,'NCO-2015 scores'!$A$2:$A$131,0)),0)</f>
        <v>0.2067</v>
      </c>
      <c r="J3302" s="13" t="n">
        <f aca="false">IF(ISNUMBER(MATCH(E3302,'NCO-2015 scores'!$A$2:$A$131,0)),IF(ISNUMBER(INDEX('NCO-2015 scores'!$C$2:$C$131,MATCH(E3302,'NCO-2015 scores'!$A$2:$A$131,0))),1,0),0)</f>
        <v>1</v>
      </c>
    </row>
    <row r="3303" customFormat="false" ht="15" hidden="false" customHeight="false" outlineLevel="0" collapsed="false">
      <c r="A3303" s="2" t="n">
        <v>3299</v>
      </c>
      <c r="B3303" s="2" t="s">
        <v>9583</v>
      </c>
      <c r="C3303" s="2" t="s">
        <v>9584</v>
      </c>
      <c r="D3303" s="2" t="s">
        <v>9585</v>
      </c>
      <c r="E3303" s="2" t="str">
        <f aca="false">LEFT(C3303,3)</f>
        <v>754</v>
      </c>
      <c r="F3303" s="2" t="str">
        <f aca="false">IF(D3303="","",LEFT(D3303,3))</f>
        <v>615</v>
      </c>
      <c r="G3303" s="2" t="str">
        <f aca="false">IF(F3303="","",IF(E3303=F3303,"Yes","No"))</f>
        <v>No</v>
      </c>
      <c r="H3303" s="2" t="n">
        <f aca="false">IF(D3303="",0,1/COUNTIF($D$2:$D$3451,D3303))</f>
        <v>1</v>
      </c>
      <c r="I3303" s="13" t="n">
        <f aca="false">IFERROR(INDEX('NCO-2015 scores'!$C$2:$C$131,MATCH(E3303,'NCO-2015 scores'!$A$2:$A$131,0)),0)</f>
        <v>0.172</v>
      </c>
      <c r="J3303" s="13" t="n">
        <f aca="false">IF(ISNUMBER(MATCH(E3303,'NCO-2015 scores'!$A$2:$A$131,0)),IF(ISNUMBER(INDEX('NCO-2015 scores'!$C$2:$C$131,MATCH(E3303,'NCO-2015 scores'!$A$2:$A$131,0))),1,0),0)</f>
        <v>1</v>
      </c>
    </row>
    <row r="3304" customFormat="false" ht="15" hidden="false" customHeight="false" outlineLevel="0" collapsed="false">
      <c r="A3304" s="2" t="n">
        <v>3300</v>
      </c>
      <c r="B3304" s="2" t="s">
        <v>9586</v>
      </c>
      <c r="C3304" s="2" t="s">
        <v>9587</v>
      </c>
      <c r="D3304" s="2" t="s">
        <v>9588</v>
      </c>
      <c r="E3304" s="2" t="str">
        <f aca="false">LEFT(C3304,3)</f>
        <v>754</v>
      </c>
      <c r="F3304" s="2" t="str">
        <f aca="false">IF(D3304="","",LEFT(D3304,3))</f>
        <v>615</v>
      </c>
      <c r="G3304" s="2" t="str">
        <f aca="false">IF(F3304="","",IF(E3304=F3304,"Yes","No"))</f>
        <v>No</v>
      </c>
      <c r="H3304" s="2" t="n">
        <f aca="false">IF(D3304="",0,1/COUNTIF($D$2:$D$3451,D3304))</f>
        <v>1</v>
      </c>
      <c r="I3304" s="13" t="n">
        <f aca="false">IFERROR(INDEX('NCO-2015 scores'!$C$2:$C$131,MATCH(E3304,'NCO-2015 scores'!$A$2:$A$131,0)),0)</f>
        <v>0.172</v>
      </c>
      <c r="J3304" s="13" t="n">
        <f aca="false">IF(ISNUMBER(MATCH(E3304,'NCO-2015 scores'!$A$2:$A$131,0)),IF(ISNUMBER(INDEX('NCO-2015 scores'!$C$2:$C$131,MATCH(E3304,'NCO-2015 scores'!$A$2:$A$131,0))),1,0),0)</f>
        <v>1</v>
      </c>
    </row>
    <row r="3305" customFormat="false" ht="15" hidden="false" customHeight="false" outlineLevel="0" collapsed="false">
      <c r="A3305" s="2" t="n">
        <v>3301</v>
      </c>
      <c r="B3305" s="2" t="s">
        <v>9589</v>
      </c>
      <c r="C3305" s="2" t="s">
        <v>9590</v>
      </c>
      <c r="D3305" s="2" t="s">
        <v>9591</v>
      </c>
      <c r="E3305" s="2" t="str">
        <f aca="false">LEFT(C3305,3)</f>
        <v>754</v>
      </c>
      <c r="F3305" s="2" t="str">
        <f aca="false">IF(D3305="","",LEFT(D3305,3))</f>
        <v>615</v>
      </c>
      <c r="G3305" s="2" t="str">
        <f aca="false">IF(F3305="","",IF(E3305=F3305,"Yes","No"))</f>
        <v>No</v>
      </c>
      <c r="H3305" s="2" t="n">
        <f aca="false">IF(D3305="",0,1/COUNTIF($D$2:$D$3451,D3305))</f>
        <v>1</v>
      </c>
      <c r="I3305" s="13" t="n">
        <f aca="false">IFERROR(INDEX('NCO-2015 scores'!$C$2:$C$131,MATCH(E3305,'NCO-2015 scores'!$A$2:$A$131,0)),0)</f>
        <v>0.172</v>
      </c>
      <c r="J3305" s="13" t="n">
        <f aca="false">IF(ISNUMBER(MATCH(E3305,'NCO-2015 scores'!$A$2:$A$131,0)),IF(ISNUMBER(INDEX('NCO-2015 scores'!$C$2:$C$131,MATCH(E3305,'NCO-2015 scores'!$A$2:$A$131,0))),1,0),0)</f>
        <v>1</v>
      </c>
    </row>
    <row r="3306" customFormat="false" ht="15" hidden="false" customHeight="false" outlineLevel="0" collapsed="false">
      <c r="A3306" s="2" t="n">
        <v>3302</v>
      </c>
      <c r="B3306" s="2" t="s">
        <v>9592</v>
      </c>
      <c r="C3306" s="2" t="s">
        <v>9593</v>
      </c>
      <c r="D3306" s="2" t="s">
        <v>9594</v>
      </c>
      <c r="E3306" s="2" t="str">
        <f aca="false">LEFT(C3306,3)</f>
        <v>754</v>
      </c>
      <c r="F3306" s="2" t="str">
        <f aca="false">IF(D3306="","",LEFT(D3306,3))</f>
        <v>721</v>
      </c>
      <c r="G3306" s="2" t="str">
        <f aca="false">IF(F3306="","",IF(E3306=F3306,"Yes","No"))</f>
        <v>No</v>
      </c>
      <c r="H3306" s="2" t="n">
        <f aca="false">IF(D3306="",0,1/COUNTIF($D$2:$D$3451,D3306))</f>
        <v>1</v>
      </c>
      <c r="I3306" s="13" t="n">
        <f aca="false">IFERROR(INDEX('NCO-2015 scores'!$C$2:$C$131,MATCH(E3306,'NCO-2015 scores'!$A$2:$A$131,0)),0)</f>
        <v>0.172</v>
      </c>
      <c r="J3306" s="13" t="n">
        <f aca="false">IF(ISNUMBER(MATCH(E3306,'NCO-2015 scores'!$A$2:$A$131,0)),IF(ISNUMBER(INDEX('NCO-2015 scores'!$C$2:$C$131,MATCH(E3306,'NCO-2015 scores'!$A$2:$A$131,0))),1,0),0)</f>
        <v>1</v>
      </c>
    </row>
    <row r="3307" customFormat="false" ht="15" hidden="false" customHeight="false" outlineLevel="0" collapsed="false">
      <c r="A3307" s="2" t="n">
        <v>3303</v>
      </c>
      <c r="B3307" s="2" t="s">
        <v>9595</v>
      </c>
      <c r="C3307" s="2" t="s">
        <v>9596</v>
      </c>
      <c r="D3307" s="2" t="s">
        <v>9597</v>
      </c>
      <c r="E3307" s="2" t="str">
        <f aca="false">LEFT(C3307,3)</f>
        <v>754</v>
      </c>
      <c r="F3307" s="2" t="str">
        <f aca="false">IF(D3307="","",LEFT(D3307,3))</f>
        <v>721</v>
      </c>
      <c r="G3307" s="2" t="str">
        <f aca="false">IF(F3307="","",IF(E3307=F3307,"Yes","No"))</f>
        <v>No</v>
      </c>
      <c r="H3307" s="2" t="n">
        <f aca="false">IF(D3307="",0,1/COUNTIF($D$2:$D$3451,D3307))</f>
        <v>1</v>
      </c>
      <c r="I3307" s="13" t="n">
        <f aca="false">IFERROR(INDEX('NCO-2015 scores'!$C$2:$C$131,MATCH(E3307,'NCO-2015 scores'!$A$2:$A$131,0)),0)</f>
        <v>0.172</v>
      </c>
      <c r="J3307" s="13" t="n">
        <f aca="false">IF(ISNUMBER(MATCH(E3307,'NCO-2015 scores'!$A$2:$A$131,0)),IF(ISNUMBER(INDEX('NCO-2015 scores'!$C$2:$C$131,MATCH(E3307,'NCO-2015 scores'!$A$2:$A$131,0))),1,0),0)</f>
        <v>1</v>
      </c>
    </row>
    <row r="3308" customFormat="false" ht="15" hidden="false" customHeight="false" outlineLevel="0" collapsed="false">
      <c r="A3308" s="2" t="n">
        <v>3304</v>
      </c>
      <c r="B3308" s="2" t="s">
        <v>9598</v>
      </c>
      <c r="C3308" s="2" t="s">
        <v>9599</v>
      </c>
      <c r="D3308" s="2" t="s">
        <v>9600</v>
      </c>
      <c r="E3308" s="2" t="str">
        <f aca="false">LEFT(C3308,3)</f>
        <v>754</v>
      </c>
      <c r="F3308" s="2" t="str">
        <f aca="false">IF(D3308="","",LEFT(D3308,3))</f>
        <v>721</v>
      </c>
      <c r="G3308" s="2" t="str">
        <f aca="false">IF(F3308="","",IF(E3308=F3308,"Yes","No"))</f>
        <v>No</v>
      </c>
      <c r="H3308" s="2" t="n">
        <f aca="false">IF(D3308="",0,1/COUNTIF($D$2:$D$3451,D3308))</f>
        <v>1</v>
      </c>
      <c r="I3308" s="13" t="n">
        <f aca="false">IFERROR(INDEX('NCO-2015 scores'!$C$2:$C$131,MATCH(E3308,'NCO-2015 scores'!$A$2:$A$131,0)),0)</f>
        <v>0.172</v>
      </c>
      <c r="J3308" s="13" t="n">
        <f aca="false">IF(ISNUMBER(MATCH(E3308,'NCO-2015 scores'!$A$2:$A$131,0)),IF(ISNUMBER(INDEX('NCO-2015 scores'!$C$2:$C$131,MATCH(E3308,'NCO-2015 scores'!$A$2:$A$131,0))),1,0),0)</f>
        <v>1</v>
      </c>
    </row>
    <row r="3309" customFormat="false" ht="15" hidden="false" customHeight="false" outlineLevel="0" collapsed="false">
      <c r="A3309" s="2" t="n">
        <v>3305</v>
      </c>
      <c r="B3309" s="2" t="s">
        <v>9601</v>
      </c>
      <c r="C3309" s="2" t="s">
        <v>9602</v>
      </c>
      <c r="D3309" s="2" t="s">
        <v>9603</v>
      </c>
      <c r="E3309" s="2" t="str">
        <f aca="false">LEFT(C3309,3)</f>
        <v>754</v>
      </c>
      <c r="F3309" s="2" t="str">
        <f aca="false">IF(D3309="","",LEFT(D3309,3))</f>
        <v>615</v>
      </c>
      <c r="G3309" s="2" t="str">
        <f aca="false">IF(F3309="","",IF(E3309=F3309,"Yes","No"))</f>
        <v>No</v>
      </c>
      <c r="H3309" s="2" t="n">
        <f aca="false">IF(D3309="",0,1/COUNTIF($D$2:$D$3451,D3309))</f>
        <v>1</v>
      </c>
      <c r="I3309" s="13" t="n">
        <f aca="false">IFERROR(INDEX('NCO-2015 scores'!$C$2:$C$131,MATCH(E3309,'NCO-2015 scores'!$A$2:$A$131,0)),0)</f>
        <v>0.172</v>
      </c>
      <c r="J3309" s="13" t="n">
        <f aca="false">IF(ISNUMBER(MATCH(E3309,'NCO-2015 scores'!$A$2:$A$131,0)),IF(ISNUMBER(INDEX('NCO-2015 scores'!$C$2:$C$131,MATCH(E3309,'NCO-2015 scores'!$A$2:$A$131,0))),1,0),0)</f>
        <v>1</v>
      </c>
    </row>
    <row r="3310" customFormat="false" ht="15" hidden="false" customHeight="false" outlineLevel="0" collapsed="false">
      <c r="A3310" s="2" t="n">
        <v>3306</v>
      </c>
      <c r="B3310" s="2" t="s">
        <v>9604</v>
      </c>
      <c r="C3310" s="2" t="s">
        <v>9605</v>
      </c>
      <c r="D3310" s="2" t="s">
        <v>9606</v>
      </c>
      <c r="E3310" s="2" t="str">
        <f aca="false">LEFT(C3310,3)</f>
        <v>754</v>
      </c>
      <c r="F3310" s="2" t="str">
        <f aca="false">IF(D3310="","",LEFT(D3310,3))</f>
        <v>615</v>
      </c>
      <c r="G3310" s="2" t="str">
        <f aca="false">IF(F3310="","",IF(E3310=F3310,"Yes","No"))</f>
        <v>No</v>
      </c>
      <c r="H3310" s="2" t="n">
        <f aca="false">IF(D3310="",0,1/COUNTIF($D$2:$D$3451,D3310))</f>
        <v>1</v>
      </c>
      <c r="I3310" s="13" t="n">
        <f aca="false">IFERROR(INDEX('NCO-2015 scores'!$C$2:$C$131,MATCH(E3310,'NCO-2015 scores'!$A$2:$A$131,0)),0)</f>
        <v>0.172</v>
      </c>
      <c r="J3310" s="13" t="n">
        <f aca="false">IF(ISNUMBER(MATCH(E3310,'NCO-2015 scores'!$A$2:$A$131,0)),IF(ISNUMBER(INDEX('NCO-2015 scores'!$C$2:$C$131,MATCH(E3310,'NCO-2015 scores'!$A$2:$A$131,0))),1,0),0)</f>
        <v>1</v>
      </c>
    </row>
    <row r="3311" customFormat="false" ht="15" hidden="false" customHeight="false" outlineLevel="0" collapsed="false">
      <c r="A3311" s="2" t="n">
        <v>3307</v>
      </c>
      <c r="B3311" s="2" t="s">
        <v>9607</v>
      </c>
      <c r="C3311" s="2" t="s">
        <v>9608</v>
      </c>
      <c r="D3311" s="2" t="s">
        <v>9609</v>
      </c>
      <c r="E3311" s="2" t="str">
        <f aca="false">LEFT(C3311,3)</f>
        <v>231</v>
      </c>
      <c r="F3311" s="2" t="str">
        <f aca="false">IF(D3311="","",LEFT(D3311,3))</f>
        <v>231</v>
      </c>
      <c r="G3311" s="2" t="str">
        <f aca="false">IF(F3311="","",IF(E3311=F3311,"Yes","No"))</f>
        <v>Yes</v>
      </c>
      <c r="H3311" s="2" t="n">
        <f aca="false">IF(D3311="",0,1/COUNTIF($D$2:$D$3451,D3311))</f>
        <v>1</v>
      </c>
      <c r="I3311" s="13" t="n">
        <f aca="false">IFERROR(INDEX('NCO-2015 scores'!$C$2:$C$131,MATCH(E3311,'NCO-2015 scores'!$A$2:$A$131,0)),0)</f>
        <v>0.37</v>
      </c>
      <c r="J3311" s="13" t="n">
        <f aca="false">IF(ISNUMBER(MATCH(E3311,'NCO-2015 scores'!$A$2:$A$131,0)),IF(ISNUMBER(INDEX('NCO-2015 scores'!$C$2:$C$131,MATCH(E3311,'NCO-2015 scores'!$A$2:$A$131,0))),1,0),0)</f>
        <v>1</v>
      </c>
    </row>
    <row r="3312" customFormat="false" ht="15" hidden="false" customHeight="false" outlineLevel="0" collapsed="false">
      <c r="A3312" s="2" t="n">
        <v>3308</v>
      </c>
      <c r="B3312" s="2" t="s">
        <v>9610</v>
      </c>
      <c r="C3312" s="2" t="s">
        <v>9611</v>
      </c>
      <c r="D3312" s="2" t="s">
        <v>9612</v>
      </c>
      <c r="E3312" s="2" t="str">
        <f aca="false">LEFT(C3312,3)</f>
        <v>231</v>
      </c>
      <c r="F3312" s="2" t="str">
        <f aca="false">IF(D3312="","",LEFT(D3312,3))</f>
        <v>231</v>
      </c>
      <c r="G3312" s="2" t="str">
        <f aca="false">IF(F3312="","",IF(E3312=F3312,"Yes","No"))</f>
        <v>Yes</v>
      </c>
      <c r="H3312" s="2" t="n">
        <f aca="false">IF(D3312="",0,1/COUNTIF($D$2:$D$3451,D3312))</f>
        <v>1</v>
      </c>
      <c r="I3312" s="13" t="n">
        <f aca="false">IFERROR(INDEX('NCO-2015 scores'!$C$2:$C$131,MATCH(E3312,'NCO-2015 scores'!$A$2:$A$131,0)),0)</f>
        <v>0.37</v>
      </c>
      <c r="J3312" s="13" t="n">
        <f aca="false">IF(ISNUMBER(MATCH(E3312,'NCO-2015 scores'!$A$2:$A$131,0)),IF(ISNUMBER(INDEX('NCO-2015 scores'!$C$2:$C$131,MATCH(E3312,'NCO-2015 scores'!$A$2:$A$131,0))),1,0),0)</f>
        <v>1</v>
      </c>
    </row>
    <row r="3313" customFormat="false" ht="15" hidden="false" customHeight="false" outlineLevel="0" collapsed="false">
      <c r="A3313" s="2" t="n">
        <v>3309</v>
      </c>
      <c r="B3313" s="2" t="s">
        <v>9613</v>
      </c>
      <c r="C3313" s="2" t="s">
        <v>9614</v>
      </c>
      <c r="D3313" s="2" t="s">
        <v>9615</v>
      </c>
      <c r="E3313" s="2" t="str">
        <f aca="false">LEFT(C3313,3)</f>
        <v>231</v>
      </c>
      <c r="F3313" s="2" t="str">
        <f aca="false">IF(D3313="","",LEFT(D3313,3))</f>
        <v>231</v>
      </c>
      <c r="G3313" s="2" t="str">
        <f aca="false">IF(F3313="","",IF(E3313=F3313,"Yes","No"))</f>
        <v>Yes</v>
      </c>
      <c r="H3313" s="2" t="n">
        <f aca="false">IF(D3313="",0,1/COUNTIF($D$2:$D$3451,D3313))</f>
        <v>1</v>
      </c>
      <c r="I3313" s="13" t="n">
        <f aca="false">IFERROR(INDEX('NCO-2015 scores'!$C$2:$C$131,MATCH(E3313,'NCO-2015 scores'!$A$2:$A$131,0)),0)</f>
        <v>0.37</v>
      </c>
      <c r="J3313" s="13" t="n">
        <f aca="false">IF(ISNUMBER(MATCH(E3313,'NCO-2015 scores'!$A$2:$A$131,0)),IF(ISNUMBER(INDEX('NCO-2015 scores'!$C$2:$C$131,MATCH(E3313,'NCO-2015 scores'!$A$2:$A$131,0))),1,0),0)</f>
        <v>1</v>
      </c>
    </row>
    <row r="3314" customFormat="false" ht="15" hidden="false" customHeight="false" outlineLevel="0" collapsed="false">
      <c r="A3314" s="2" t="n">
        <v>3310</v>
      </c>
      <c r="B3314" s="2" t="s">
        <v>9616</v>
      </c>
      <c r="C3314" s="2" t="s">
        <v>9617</v>
      </c>
      <c r="D3314" s="2" t="s">
        <v>9618</v>
      </c>
      <c r="E3314" s="2" t="str">
        <f aca="false">LEFT(C3314,3)</f>
        <v>231</v>
      </c>
      <c r="F3314" s="2" t="str">
        <f aca="false">IF(D3314="","",LEFT(D3314,3))</f>
        <v>231</v>
      </c>
      <c r="G3314" s="2" t="str">
        <f aca="false">IF(F3314="","",IF(E3314=F3314,"Yes","No"))</f>
        <v>Yes</v>
      </c>
      <c r="H3314" s="2" t="n">
        <f aca="false">IF(D3314="",0,1/COUNTIF($D$2:$D$3451,D3314))</f>
        <v>1</v>
      </c>
      <c r="I3314" s="13" t="n">
        <f aca="false">IFERROR(INDEX('NCO-2015 scores'!$C$2:$C$131,MATCH(E3314,'NCO-2015 scores'!$A$2:$A$131,0)),0)</f>
        <v>0.37</v>
      </c>
      <c r="J3314" s="13" t="n">
        <f aca="false">IF(ISNUMBER(MATCH(E3314,'NCO-2015 scores'!$A$2:$A$131,0)),IF(ISNUMBER(INDEX('NCO-2015 scores'!$C$2:$C$131,MATCH(E3314,'NCO-2015 scores'!$A$2:$A$131,0))),1,0),0)</f>
        <v>1</v>
      </c>
    </row>
    <row r="3315" customFormat="false" ht="15" hidden="false" customHeight="false" outlineLevel="0" collapsed="false">
      <c r="A3315" s="2" t="n">
        <v>3311</v>
      </c>
      <c r="B3315" s="2" t="s">
        <v>9619</v>
      </c>
      <c r="C3315" s="2" t="s">
        <v>9620</v>
      </c>
      <c r="D3315" s="2" t="s">
        <v>9621</v>
      </c>
      <c r="E3315" s="2" t="str">
        <f aca="false">LEFT(C3315,3)</f>
        <v>231</v>
      </c>
      <c r="F3315" s="2" t="str">
        <f aca="false">IF(D3315="","",LEFT(D3315,3))</f>
        <v>231</v>
      </c>
      <c r="G3315" s="2" t="str">
        <f aca="false">IF(F3315="","",IF(E3315=F3315,"Yes","No"))</f>
        <v>Yes</v>
      </c>
      <c r="H3315" s="2" t="n">
        <f aca="false">IF(D3315="",0,1/COUNTIF($D$2:$D$3451,D3315))</f>
        <v>1</v>
      </c>
      <c r="I3315" s="13" t="n">
        <f aca="false">IFERROR(INDEX('NCO-2015 scores'!$C$2:$C$131,MATCH(E3315,'NCO-2015 scores'!$A$2:$A$131,0)),0)</f>
        <v>0.37</v>
      </c>
      <c r="J3315" s="13" t="n">
        <f aca="false">IF(ISNUMBER(MATCH(E3315,'NCO-2015 scores'!$A$2:$A$131,0)),IF(ISNUMBER(INDEX('NCO-2015 scores'!$C$2:$C$131,MATCH(E3315,'NCO-2015 scores'!$A$2:$A$131,0))),1,0),0)</f>
        <v>1</v>
      </c>
    </row>
    <row r="3316" customFormat="false" ht="15" hidden="false" customHeight="false" outlineLevel="0" collapsed="false">
      <c r="A3316" s="2" t="n">
        <v>3312</v>
      </c>
      <c r="B3316" s="2" t="s">
        <v>9622</v>
      </c>
      <c r="C3316" s="2" t="s">
        <v>9623</v>
      </c>
      <c r="D3316" s="2" t="s">
        <v>9624</v>
      </c>
      <c r="E3316" s="2" t="str">
        <f aca="false">LEFT(C3316,3)</f>
        <v>231</v>
      </c>
      <c r="F3316" s="2" t="str">
        <f aca="false">IF(D3316="","",LEFT(D3316,3))</f>
        <v>231</v>
      </c>
      <c r="G3316" s="2" t="str">
        <f aca="false">IF(F3316="","",IF(E3316=F3316,"Yes","No"))</f>
        <v>Yes</v>
      </c>
      <c r="H3316" s="2" t="n">
        <f aca="false">IF(D3316="",0,1/COUNTIF($D$2:$D$3451,D3316))</f>
        <v>1</v>
      </c>
      <c r="I3316" s="13" t="n">
        <f aca="false">IFERROR(INDEX('NCO-2015 scores'!$C$2:$C$131,MATCH(E3316,'NCO-2015 scores'!$A$2:$A$131,0)),0)</f>
        <v>0.37</v>
      </c>
      <c r="J3316" s="13" t="n">
        <f aca="false">IF(ISNUMBER(MATCH(E3316,'NCO-2015 scores'!$A$2:$A$131,0)),IF(ISNUMBER(INDEX('NCO-2015 scores'!$C$2:$C$131,MATCH(E3316,'NCO-2015 scores'!$A$2:$A$131,0))),1,0),0)</f>
        <v>1</v>
      </c>
    </row>
    <row r="3317" customFormat="false" ht="15" hidden="false" customHeight="false" outlineLevel="0" collapsed="false">
      <c r="A3317" s="2" t="n">
        <v>3313</v>
      </c>
      <c r="B3317" s="2" t="s">
        <v>9625</v>
      </c>
      <c r="C3317" s="2" t="s">
        <v>9626</v>
      </c>
      <c r="D3317" s="2" t="s">
        <v>9627</v>
      </c>
      <c r="E3317" s="2" t="str">
        <f aca="false">LEFT(C3317,3)</f>
        <v>231</v>
      </c>
      <c r="F3317" s="2" t="str">
        <f aca="false">IF(D3317="","",LEFT(D3317,3))</f>
        <v>231</v>
      </c>
      <c r="G3317" s="2" t="str">
        <f aca="false">IF(F3317="","",IF(E3317=F3317,"Yes","No"))</f>
        <v>Yes</v>
      </c>
      <c r="H3317" s="2" t="n">
        <f aca="false">IF(D3317="",0,1/COUNTIF($D$2:$D$3451,D3317))</f>
        <v>1</v>
      </c>
      <c r="I3317" s="13" t="n">
        <f aca="false">IFERROR(INDEX('NCO-2015 scores'!$C$2:$C$131,MATCH(E3317,'NCO-2015 scores'!$A$2:$A$131,0)),0)</f>
        <v>0.37</v>
      </c>
      <c r="J3317" s="13" t="n">
        <f aca="false">IF(ISNUMBER(MATCH(E3317,'NCO-2015 scores'!$A$2:$A$131,0)),IF(ISNUMBER(INDEX('NCO-2015 scores'!$C$2:$C$131,MATCH(E3317,'NCO-2015 scores'!$A$2:$A$131,0))),1,0),0)</f>
        <v>1</v>
      </c>
    </row>
    <row r="3318" customFormat="false" ht="15" hidden="false" customHeight="false" outlineLevel="0" collapsed="false">
      <c r="A3318" s="2" t="n">
        <v>3314</v>
      </c>
      <c r="B3318" s="2" t="s">
        <v>9628</v>
      </c>
      <c r="C3318" s="2" t="s">
        <v>9629</v>
      </c>
      <c r="D3318" s="2" t="s">
        <v>9630</v>
      </c>
      <c r="E3318" s="2" t="str">
        <f aca="false">LEFT(C3318,3)</f>
        <v>231</v>
      </c>
      <c r="F3318" s="2" t="str">
        <f aca="false">IF(D3318="","",LEFT(D3318,3))</f>
        <v>231</v>
      </c>
      <c r="G3318" s="2" t="str">
        <f aca="false">IF(F3318="","",IF(E3318=F3318,"Yes","No"))</f>
        <v>Yes</v>
      </c>
      <c r="H3318" s="2" t="n">
        <f aca="false">IF(D3318="",0,1/COUNTIF($D$2:$D$3451,D3318))</f>
        <v>1</v>
      </c>
      <c r="I3318" s="13" t="n">
        <f aca="false">IFERROR(INDEX('NCO-2015 scores'!$C$2:$C$131,MATCH(E3318,'NCO-2015 scores'!$A$2:$A$131,0)),0)</f>
        <v>0.37</v>
      </c>
      <c r="J3318" s="13" t="n">
        <f aca="false">IF(ISNUMBER(MATCH(E3318,'NCO-2015 scores'!$A$2:$A$131,0)),IF(ISNUMBER(INDEX('NCO-2015 scores'!$C$2:$C$131,MATCH(E3318,'NCO-2015 scores'!$A$2:$A$131,0))),1,0),0)</f>
        <v>1</v>
      </c>
    </row>
    <row r="3319" customFormat="false" ht="15" hidden="false" customHeight="false" outlineLevel="0" collapsed="false">
      <c r="A3319" s="2" t="n">
        <v>3315</v>
      </c>
      <c r="B3319" s="2" t="s">
        <v>9631</v>
      </c>
      <c r="C3319" s="2" t="s">
        <v>9632</v>
      </c>
      <c r="D3319" s="2" t="s">
        <v>9633</v>
      </c>
      <c r="E3319" s="2" t="str">
        <f aca="false">LEFT(C3319,3)</f>
        <v>231</v>
      </c>
      <c r="F3319" s="2" t="str">
        <f aca="false">IF(D3319="","",LEFT(D3319,3))</f>
        <v>231</v>
      </c>
      <c r="G3319" s="2" t="str">
        <f aca="false">IF(F3319="","",IF(E3319=F3319,"Yes","No"))</f>
        <v>Yes</v>
      </c>
      <c r="H3319" s="2" t="n">
        <f aca="false">IF(D3319="",0,1/COUNTIF($D$2:$D$3451,D3319))</f>
        <v>1</v>
      </c>
      <c r="I3319" s="13" t="n">
        <f aca="false">IFERROR(INDEX('NCO-2015 scores'!$C$2:$C$131,MATCH(E3319,'NCO-2015 scores'!$A$2:$A$131,0)),0)</f>
        <v>0.37</v>
      </c>
      <c r="J3319" s="13" t="n">
        <f aca="false">IF(ISNUMBER(MATCH(E3319,'NCO-2015 scores'!$A$2:$A$131,0)),IF(ISNUMBER(INDEX('NCO-2015 scores'!$C$2:$C$131,MATCH(E3319,'NCO-2015 scores'!$A$2:$A$131,0))),1,0),0)</f>
        <v>1</v>
      </c>
    </row>
    <row r="3320" customFormat="false" ht="15" hidden="false" customHeight="false" outlineLevel="0" collapsed="false">
      <c r="A3320" s="2" t="n">
        <v>3316</v>
      </c>
      <c r="B3320" s="2" t="s">
        <v>9634</v>
      </c>
      <c r="C3320" s="2" t="s">
        <v>9635</v>
      </c>
      <c r="D3320" s="2" t="s">
        <v>9636</v>
      </c>
      <c r="E3320" s="2" t="str">
        <f aca="false">LEFT(C3320,3)</f>
        <v>231</v>
      </c>
      <c r="F3320" s="2" t="str">
        <f aca="false">IF(D3320="","",LEFT(D3320,3))</f>
        <v>231</v>
      </c>
      <c r="G3320" s="2" t="str">
        <f aca="false">IF(F3320="","",IF(E3320=F3320,"Yes","No"))</f>
        <v>Yes</v>
      </c>
      <c r="H3320" s="2" t="n">
        <f aca="false">IF(D3320="",0,1/COUNTIF($D$2:$D$3451,D3320))</f>
        <v>1</v>
      </c>
      <c r="I3320" s="13" t="n">
        <f aca="false">IFERROR(INDEX('NCO-2015 scores'!$C$2:$C$131,MATCH(E3320,'NCO-2015 scores'!$A$2:$A$131,0)),0)</f>
        <v>0.37</v>
      </c>
      <c r="J3320" s="13" t="n">
        <f aca="false">IF(ISNUMBER(MATCH(E3320,'NCO-2015 scores'!$A$2:$A$131,0)),IF(ISNUMBER(INDEX('NCO-2015 scores'!$C$2:$C$131,MATCH(E3320,'NCO-2015 scores'!$A$2:$A$131,0))),1,0),0)</f>
        <v>1</v>
      </c>
    </row>
    <row r="3321" customFormat="false" ht="15" hidden="false" customHeight="false" outlineLevel="0" collapsed="false">
      <c r="A3321" s="2" t="n">
        <v>3317</v>
      </c>
      <c r="B3321" s="2" t="s">
        <v>9637</v>
      </c>
      <c r="C3321" s="2" t="s">
        <v>9638</v>
      </c>
      <c r="D3321" s="2" t="s">
        <v>9639</v>
      </c>
      <c r="E3321" s="2" t="str">
        <f aca="false">LEFT(C3321,3)</f>
        <v>231</v>
      </c>
      <c r="F3321" s="2" t="str">
        <f aca="false">IF(D3321="","",LEFT(D3321,3))</f>
        <v>231</v>
      </c>
      <c r="G3321" s="2" t="str">
        <f aca="false">IF(F3321="","",IF(E3321=F3321,"Yes","No"))</f>
        <v>Yes</v>
      </c>
      <c r="H3321" s="2" t="n">
        <f aca="false">IF(D3321="",0,1/COUNTIF($D$2:$D$3451,D3321))</f>
        <v>1</v>
      </c>
      <c r="I3321" s="13" t="n">
        <f aca="false">IFERROR(INDEX('NCO-2015 scores'!$C$2:$C$131,MATCH(E3321,'NCO-2015 scores'!$A$2:$A$131,0)),0)</f>
        <v>0.37</v>
      </c>
      <c r="J3321" s="13" t="n">
        <f aca="false">IF(ISNUMBER(MATCH(E3321,'NCO-2015 scores'!$A$2:$A$131,0)),IF(ISNUMBER(INDEX('NCO-2015 scores'!$C$2:$C$131,MATCH(E3321,'NCO-2015 scores'!$A$2:$A$131,0))),1,0),0)</f>
        <v>1</v>
      </c>
    </row>
    <row r="3322" customFormat="false" ht="15" hidden="false" customHeight="false" outlineLevel="0" collapsed="false">
      <c r="A3322" s="2" t="n">
        <v>3318</v>
      </c>
      <c r="B3322" s="2" t="s">
        <v>9640</v>
      </c>
      <c r="C3322" s="2" t="s">
        <v>9641</v>
      </c>
      <c r="D3322" s="2" t="s">
        <v>9642</v>
      </c>
      <c r="E3322" s="2" t="str">
        <f aca="false">LEFT(C3322,3)</f>
        <v>231</v>
      </c>
      <c r="F3322" s="2" t="str">
        <f aca="false">IF(D3322="","",LEFT(D3322,3))</f>
        <v>231</v>
      </c>
      <c r="G3322" s="2" t="str">
        <f aca="false">IF(F3322="","",IF(E3322=F3322,"Yes","No"))</f>
        <v>Yes</v>
      </c>
      <c r="H3322" s="2" t="n">
        <f aca="false">IF(D3322="",0,1/COUNTIF($D$2:$D$3451,D3322))</f>
        <v>1</v>
      </c>
      <c r="I3322" s="13" t="n">
        <f aca="false">IFERROR(INDEX('NCO-2015 scores'!$C$2:$C$131,MATCH(E3322,'NCO-2015 scores'!$A$2:$A$131,0)),0)</f>
        <v>0.37</v>
      </c>
      <c r="J3322" s="13" t="n">
        <f aca="false">IF(ISNUMBER(MATCH(E3322,'NCO-2015 scores'!$A$2:$A$131,0)),IF(ISNUMBER(INDEX('NCO-2015 scores'!$C$2:$C$131,MATCH(E3322,'NCO-2015 scores'!$A$2:$A$131,0))),1,0),0)</f>
        <v>1</v>
      </c>
    </row>
    <row r="3323" customFormat="false" ht="15" hidden="false" customHeight="false" outlineLevel="0" collapsed="false">
      <c r="A3323" s="2" t="n">
        <v>3319</v>
      </c>
      <c r="B3323" s="2" t="s">
        <v>9643</v>
      </c>
      <c r="C3323" s="2" t="s">
        <v>9644</v>
      </c>
      <c r="D3323" s="2" t="s">
        <v>9645</v>
      </c>
      <c r="E3323" s="2" t="str">
        <f aca="false">LEFT(C3323,3)</f>
        <v>231</v>
      </c>
      <c r="F3323" s="2" t="str">
        <f aca="false">IF(D3323="","",LEFT(D3323,3))</f>
        <v>231</v>
      </c>
      <c r="G3323" s="2" t="str">
        <f aca="false">IF(F3323="","",IF(E3323=F3323,"Yes","No"))</f>
        <v>Yes</v>
      </c>
      <c r="H3323" s="2" t="n">
        <f aca="false">IF(D3323="",0,1/COUNTIF($D$2:$D$3451,D3323))</f>
        <v>1</v>
      </c>
      <c r="I3323" s="13" t="n">
        <f aca="false">IFERROR(INDEX('NCO-2015 scores'!$C$2:$C$131,MATCH(E3323,'NCO-2015 scores'!$A$2:$A$131,0)),0)</f>
        <v>0.37</v>
      </c>
      <c r="J3323" s="13" t="n">
        <f aca="false">IF(ISNUMBER(MATCH(E3323,'NCO-2015 scores'!$A$2:$A$131,0)),IF(ISNUMBER(INDEX('NCO-2015 scores'!$C$2:$C$131,MATCH(E3323,'NCO-2015 scores'!$A$2:$A$131,0))),1,0),0)</f>
        <v>1</v>
      </c>
    </row>
    <row r="3324" customFormat="false" ht="15" hidden="false" customHeight="false" outlineLevel="0" collapsed="false">
      <c r="A3324" s="2" t="n">
        <v>3320</v>
      </c>
      <c r="B3324" s="2" t="s">
        <v>9646</v>
      </c>
      <c r="C3324" s="2" t="s">
        <v>9647</v>
      </c>
      <c r="D3324" s="2" t="s">
        <v>9648</v>
      </c>
      <c r="E3324" s="2" t="str">
        <f aca="false">LEFT(C3324,3)</f>
        <v>753</v>
      </c>
      <c r="F3324" s="2" t="str">
        <f aca="false">IF(D3324="","",LEFT(D3324,3))</f>
        <v>743</v>
      </c>
      <c r="G3324" s="2" t="str">
        <f aca="false">IF(F3324="","",IF(E3324=F3324,"Yes","No"))</f>
        <v>No</v>
      </c>
      <c r="H3324" s="2" t="n">
        <f aca="false">IF(D3324="",0,1/COUNTIF($D$2:$D$3451,D3324))</f>
        <v>1</v>
      </c>
      <c r="I3324" s="13" t="n">
        <f aca="false">IFERROR(INDEX('NCO-2015 scores'!$C$2:$C$131,MATCH(E3324,'NCO-2015 scores'!$A$2:$A$131,0)),0)</f>
        <v>0.15</v>
      </c>
      <c r="J3324" s="13" t="n">
        <f aca="false">IF(ISNUMBER(MATCH(E3324,'NCO-2015 scores'!$A$2:$A$131,0)),IF(ISNUMBER(INDEX('NCO-2015 scores'!$C$2:$C$131,MATCH(E3324,'NCO-2015 scores'!$A$2:$A$131,0))),1,0),0)</f>
        <v>1</v>
      </c>
    </row>
    <row r="3325" customFormat="false" ht="15" hidden="false" customHeight="false" outlineLevel="0" collapsed="false">
      <c r="A3325" s="2" t="n">
        <v>3321</v>
      </c>
      <c r="B3325" s="2" t="s">
        <v>9649</v>
      </c>
      <c r="C3325" s="2" t="s">
        <v>9650</v>
      </c>
      <c r="D3325" s="2" t="s">
        <v>9651</v>
      </c>
      <c r="E3325" s="2" t="str">
        <f aca="false">LEFT(C3325,3)</f>
        <v>753</v>
      </c>
      <c r="F3325" s="2" t="str">
        <f aca="false">IF(D3325="","",LEFT(D3325,3))</f>
        <v>743</v>
      </c>
      <c r="G3325" s="2" t="str">
        <f aca="false">IF(F3325="","",IF(E3325=F3325,"Yes","No"))</f>
        <v>No</v>
      </c>
      <c r="H3325" s="2" t="n">
        <f aca="false">IF(D3325="",0,1/COUNTIF($D$2:$D$3451,D3325))</f>
        <v>1</v>
      </c>
      <c r="I3325" s="13" t="n">
        <f aca="false">IFERROR(INDEX('NCO-2015 scores'!$C$2:$C$131,MATCH(E3325,'NCO-2015 scores'!$A$2:$A$131,0)),0)</f>
        <v>0.15</v>
      </c>
      <c r="J3325" s="13" t="n">
        <f aca="false">IF(ISNUMBER(MATCH(E3325,'NCO-2015 scores'!$A$2:$A$131,0)),IF(ISNUMBER(INDEX('NCO-2015 scores'!$C$2:$C$131,MATCH(E3325,'NCO-2015 scores'!$A$2:$A$131,0))),1,0),0)</f>
        <v>1</v>
      </c>
    </row>
    <row r="3326" customFormat="false" ht="15" hidden="false" customHeight="false" outlineLevel="0" collapsed="false">
      <c r="A3326" s="2" t="n">
        <v>3322</v>
      </c>
      <c r="B3326" s="2" t="s">
        <v>9652</v>
      </c>
      <c r="C3326" s="2" t="s">
        <v>9653</v>
      </c>
      <c r="D3326" s="2" t="s">
        <v>9654</v>
      </c>
      <c r="E3326" s="2" t="str">
        <f aca="false">LEFT(C3326,3)</f>
        <v>753</v>
      </c>
      <c r="F3326" s="2" t="str">
        <f aca="false">IF(D3326="","",LEFT(D3326,3))</f>
        <v>743</v>
      </c>
      <c r="G3326" s="2" t="str">
        <f aca="false">IF(F3326="","",IF(E3326=F3326,"Yes","No"))</f>
        <v>No</v>
      </c>
      <c r="H3326" s="2" t="n">
        <f aca="false">IF(D3326="",0,1/COUNTIF($D$2:$D$3451,D3326))</f>
        <v>1</v>
      </c>
      <c r="I3326" s="13" t="n">
        <f aca="false">IFERROR(INDEX('NCO-2015 scores'!$C$2:$C$131,MATCH(E3326,'NCO-2015 scores'!$A$2:$A$131,0)),0)</f>
        <v>0.15</v>
      </c>
      <c r="J3326" s="13" t="n">
        <f aca="false">IF(ISNUMBER(MATCH(E3326,'NCO-2015 scores'!$A$2:$A$131,0)),IF(ISNUMBER(INDEX('NCO-2015 scores'!$C$2:$C$131,MATCH(E3326,'NCO-2015 scores'!$A$2:$A$131,0))),1,0),0)</f>
        <v>1</v>
      </c>
    </row>
    <row r="3327" customFormat="false" ht="15" hidden="false" customHeight="false" outlineLevel="0" collapsed="false">
      <c r="A3327" s="2" t="n">
        <v>3323</v>
      </c>
      <c r="B3327" s="2" t="s">
        <v>9655</v>
      </c>
      <c r="C3327" s="2" t="s">
        <v>9656</v>
      </c>
      <c r="D3327" s="2" t="s">
        <v>9657</v>
      </c>
      <c r="E3327" s="2" t="str">
        <f aca="false">LEFT(C3327,3)</f>
        <v>753</v>
      </c>
      <c r="F3327" s="2" t="str">
        <f aca="false">IF(D3327="","",LEFT(D3327,3))</f>
        <v>743</v>
      </c>
      <c r="G3327" s="2" t="str">
        <f aca="false">IF(F3327="","",IF(E3327=F3327,"Yes","No"))</f>
        <v>No</v>
      </c>
      <c r="H3327" s="2" t="n">
        <f aca="false">IF(D3327="",0,1/COUNTIF($D$2:$D$3451,D3327))</f>
        <v>1</v>
      </c>
      <c r="I3327" s="13" t="n">
        <f aca="false">IFERROR(INDEX('NCO-2015 scores'!$C$2:$C$131,MATCH(E3327,'NCO-2015 scores'!$A$2:$A$131,0)),0)</f>
        <v>0.15</v>
      </c>
      <c r="J3327" s="13" t="n">
        <f aca="false">IF(ISNUMBER(MATCH(E3327,'NCO-2015 scores'!$A$2:$A$131,0)),IF(ISNUMBER(INDEX('NCO-2015 scores'!$C$2:$C$131,MATCH(E3327,'NCO-2015 scores'!$A$2:$A$131,0))),1,0),0)</f>
        <v>1</v>
      </c>
    </row>
    <row r="3328" customFormat="false" ht="15" hidden="false" customHeight="false" outlineLevel="0" collapsed="false">
      <c r="A3328" s="2" t="n">
        <v>3324</v>
      </c>
      <c r="B3328" s="2" t="s">
        <v>9658</v>
      </c>
      <c r="C3328" s="2" t="s">
        <v>9659</v>
      </c>
      <c r="D3328" s="2" t="s">
        <v>9660</v>
      </c>
      <c r="E3328" s="2" t="str">
        <f aca="false">LEFT(C3328,3)</f>
        <v>753</v>
      </c>
      <c r="F3328" s="2" t="str">
        <f aca="false">IF(D3328="","",LEFT(D3328,3))</f>
        <v>743</v>
      </c>
      <c r="G3328" s="2" t="str">
        <f aca="false">IF(F3328="","",IF(E3328=F3328,"Yes","No"))</f>
        <v>No</v>
      </c>
      <c r="H3328" s="2" t="n">
        <f aca="false">IF(D3328="",0,1/COUNTIF($D$2:$D$3451,D3328))</f>
        <v>1</v>
      </c>
      <c r="I3328" s="13" t="n">
        <f aca="false">IFERROR(INDEX('NCO-2015 scores'!$C$2:$C$131,MATCH(E3328,'NCO-2015 scores'!$A$2:$A$131,0)),0)</f>
        <v>0.15</v>
      </c>
      <c r="J3328" s="13" t="n">
        <f aca="false">IF(ISNUMBER(MATCH(E3328,'NCO-2015 scores'!$A$2:$A$131,0)),IF(ISNUMBER(INDEX('NCO-2015 scores'!$C$2:$C$131,MATCH(E3328,'NCO-2015 scores'!$A$2:$A$131,0))),1,0),0)</f>
        <v>1</v>
      </c>
    </row>
    <row r="3329" customFormat="false" ht="15" hidden="false" customHeight="false" outlineLevel="0" collapsed="false">
      <c r="A3329" s="2" t="n">
        <v>3325</v>
      </c>
      <c r="B3329" s="2" t="s">
        <v>9661</v>
      </c>
      <c r="C3329" s="2" t="s">
        <v>9662</v>
      </c>
      <c r="D3329" s="2" t="s">
        <v>9663</v>
      </c>
      <c r="E3329" s="2" t="str">
        <f aca="false">LEFT(C3329,3)</f>
        <v>753</v>
      </c>
      <c r="F3329" s="2" t="str">
        <f aca="false">IF(D3329="","",LEFT(D3329,3))</f>
        <v>743</v>
      </c>
      <c r="G3329" s="2" t="str">
        <f aca="false">IF(F3329="","",IF(E3329=F3329,"Yes","No"))</f>
        <v>No</v>
      </c>
      <c r="H3329" s="2" t="n">
        <f aca="false">IF(D3329="",0,1/COUNTIF($D$2:$D$3451,D3329))</f>
        <v>1</v>
      </c>
      <c r="I3329" s="13" t="n">
        <f aca="false">IFERROR(INDEX('NCO-2015 scores'!$C$2:$C$131,MATCH(E3329,'NCO-2015 scores'!$A$2:$A$131,0)),0)</f>
        <v>0.15</v>
      </c>
      <c r="J3329" s="13" t="n">
        <f aca="false">IF(ISNUMBER(MATCH(E3329,'NCO-2015 scores'!$A$2:$A$131,0)),IF(ISNUMBER(INDEX('NCO-2015 scores'!$C$2:$C$131,MATCH(E3329,'NCO-2015 scores'!$A$2:$A$131,0))),1,0),0)</f>
        <v>1</v>
      </c>
    </row>
    <row r="3330" customFormat="false" ht="15" hidden="false" customHeight="false" outlineLevel="0" collapsed="false">
      <c r="A3330" s="2" t="n">
        <v>3326</v>
      </c>
      <c r="B3330" s="2" t="s">
        <v>9664</v>
      </c>
      <c r="C3330" s="2" t="s">
        <v>9665</v>
      </c>
      <c r="D3330" s="2" t="s">
        <v>9666</v>
      </c>
      <c r="E3330" s="2" t="str">
        <f aca="false">LEFT(C3330,3)</f>
        <v>331</v>
      </c>
      <c r="F3330" s="2" t="str">
        <f aca="false">IF(D3330="","",LEFT(D3330,3))</f>
        <v>341</v>
      </c>
      <c r="G3330" s="2" t="str">
        <f aca="false">IF(F3330="","",IF(E3330=F3330,"Yes","No"))</f>
        <v>No</v>
      </c>
      <c r="H3330" s="2" t="n">
        <f aca="false">IF(D3330="",0,1/COUNTIF($D$2:$D$3451,D3330))</f>
        <v>1</v>
      </c>
      <c r="I3330" s="13" t="n">
        <f aca="false">IFERROR(INDEX('NCO-2015 scores'!$C$2:$C$131,MATCH(E3330,'NCO-2015 scores'!$A$2:$A$131,0)),0)</f>
        <v>0.548</v>
      </c>
      <c r="J3330" s="13" t="n">
        <f aca="false">IF(ISNUMBER(MATCH(E3330,'NCO-2015 scores'!$A$2:$A$131,0)),IF(ISNUMBER(INDEX('NCO-2015 scores'!$C$2:$C$131,MATCH(E3330,'NCO-2015 scores'!$A$2:$A$131,0))),1,0),0)</f>
        <v>1</v>
      </c>
    </row>
    <row r="3331" customFormat="false" ht="15" hidden="false" customHeight="false" outlineLevel="0" collapsed="false">
      <c r="A3331" s="2" t="n">
        <v>3327</v>
      </c>
      <c r="B3331" s="2" t="s">
        <v>9667</v>
      </c>
      <c r="C3331" s="2" t="s">
        <v>9668</v>
      </c>
      <c r="D3331" s="2" t="s">
        <v>9669</v>
      </c>
      <c r="E3331" s="2" t="str">
        <f aca="false">LEFT(C3331,3)</f>
        <v>331</v>
      </c>
      <c r="F3331" s="2" t="str">
        <f aca="false">IF(D3331="","",LEFT(D3331,3))</f>
        <v>341</v>
      </c>
      <c r="G3331" s="2" t="str">
        <f aca="false">IF(F3331="","",IF(E3331=F3331,"Yes","No"))</f>
        <v>No</v>
      </c>
      <c r="H3331" s="2" t="n">
        <f aca="false">IF(D3331="",0,1/COUNTIF($D$2:$D$3451,D3331))</f>
        <v>1</v>
      </c>
      <c r="I3331" s="13" t="n">
        <f aca="false">IFERROR(INDEX('NCO-2015 scores'!$C$2:$C$131,MATCH(E3331,'NCO-2015 scores'!$A$2:$A$131,0)),0)</f>
        <v>0.548</v>
      </c>
      <c r="J3331" s="13" t="n">
        <f aca="false">IF(ISNUMBER(MATCH(E3331,'NCO-2015 scores'!$A$2:$A$131,0)),IF(ISNUMBER(INDEX('NCO-2015 scores'!$C$2:$C$131,MATCH(E3331,'NCO-2015 scores'!$A$2:$A$131,0))),1,0),0)</f>
        <v>1</v>
      </c>
    </row>
    <row r="3332" customFormat="false" ht="15" hidden="false" customHeight="false" outlineLevel="0" collapsed="false">
      <c r="A3332" s="2" t="n">
        <v>3328</v>
      </c>
      <c r="B3332" s="2" t="s">
        <v>9670</v>
      </c>
      <c r="C3332" s="2" t="s">
        <v>9671</v>
      </c>
      <c r="D3332" s="2" t="s">
        <v>9672</v>
      </c>
      <c r="E3332" s="2" t="str">
        <f aca="false">LEFT(C3332,3)</f>
        <v>331</v>
      </c>
      <c r="F3332" s="2" t="str">
        <f aca="false">IF(D3332="","",LEFT(D3332,3))</f>
        <v>341</v>
      </c>
      <c r="G3332" s="2" t="str">
        <f aca="false">IF(F3332="","",IF(E3332=F3332,"Yes","No"))</f>
        <v>No</v>
      </c>
      <c r="H3332" s="2" t="n">
        <f aca="false">IF(D3332="",0,1/COUNTIF($D$2:$D$3451,D3332))</f>
        <v>1</v>
      </c>
      <c r="I3332" s="13" t="n">
        <f aca="false">IFERROR(INDEX('NCO-2015 scores'!$C$2:$C$131,MATCH(E3332,'NCO-2015 scores'!$A$2:$A$131,0)),0)</f>
        <v>0.548</v>
      </c>
      <c r="J3332" s="13" t="n">
        <f aca="false">IF(ISNUMBER(MATCH(E3332,'NCO-2015 scores'!$A$2:$A$131,0)),IF(ISNUMBER(INDEX('NCO-2015 scores'!$C$2:$C$131,MATCH(E3332,'NCO-2015 scores'!$A$2:$A$131,0))),1,0),0)</f>
        <v>1</v>
      </c>
    </row>
    <row r="3333" customFormat="false" ht="15" hidden="false" customHeight="false" outlineLevel="0" collapsed="false">
      <c r="A3333" s="2" t="n">
        <v>3329</v>
      </c>
      <c r="B3333" s="2" t="s">
        <v>9673</v>
      </c>
      <c r="C3333" s="2" t="s">
        <v>9674</v>
      </c>
      <c r="D3333" s="2"/>
      <c r="E3333" s="2" t="str">
        <f aca="false">LEFT(C3333,3)</f>
        <v>331</v>
      </c>
      <c r="F3333" s="2" t="str">
        <f aca="false">IF(D3333="","",LEFT(D3333,3))</f>
        <v/>
      </c>
      <c r="G3333" s="2" t="str">
        <f aca="false">IF(F3333="","",IF(E3333=F3333,"Yes","No"))</f>
        <v/>
      </c>
      <c r="H3333" s="2" t="n">
        <f aca="false">IF(D3333="",0,1/COUNTIF($D$2:$D$3451,D3333))</f>
        <v>0</v>
      </c>
      <c r="I3333" s="13" t="n">
        <f aca="false">IFERROR(INDEX('NCO-2015 scores'!$C$2:$C$131,MATCH(E3333,'NCO-2015 scores'!$A$2:$A$131,0)),0)</f>
        <v>0.548</v>
      </c>
      <c r="J3333" s="13" t="n">
        <f aca="false">IF(ISNUMBER(MATCH(E3333,'NCO-2015 scores'!$A$2:$A$131,0)),IF(ISNUMBER(INDEX('NCO-2015 scores'!$C$2:$C$131,MATCH(E3333,'NCO-2015 scores'!$A$2:$A$131,0))),1,0),0)</f>
        <v>1</v>
      </c>
    </row>
    <row r="3334" customFormat="false" ht="15" hidden="false" customHeight="false" outlineLevel="0" collapsed="false">
      <c r="A3334" s="2" t="n">
        <v>3330</v>
      </c>
      <c r="B3334" s="2" t="s">
        <v>9675</v>
      </c>
      <c r="C3334" s="2" t="s">
        <v>9676</v>
      </c>
      <c r="D3334" s="2" t="s">
        <v>9677</v>
      </c>
      <c r="E3334" s="2" t="str">
        <f aca="false">LEFT(C3334,3)</f>
        <v>331</v>
      </c>
      <c r="F3334" s="2" t="str">
        <f aca="false">IF(D3334="","",LEFT(D3334,3))</f>
        <v>341</v>
      </c>
      <c r="G3334" s="2" t="str">
        <f aca="false">IF(F3334="","",IF(E3334=F3334,"Yes","No"))</f>
        <v>No</v>
      </c>
      <c r="H3334" s="2" t="n">
        <f aca="false">IF(D3334="",0,1/COUNTIF($D$2:$D$3451,D3334))</f>
        <v>1</v>
      </c>
      <c r="I3334" s="13" t="n">
        <f aca="false">IFERROR(INDEX('NCO-2015 scores'!$C$2:$C$131,MATCH(E3334,'NCO-2015 scores'!$A$2:$A$131,0)),0)</f>
        <v>0.548</v>
      </c>
      <c r="J3334" s="13" t="n">
        <f aca="false">IF(ISNUMBER(MATCH(E3334,'NCO-2015 scores'!$A$2:$A$131,0)),IF(ISNUMBER(INDEX('NCO-2015 scores'!$C$2:$C$131,MATCH(E3334,'NCO-2015 scores'!$A$2:$A$131,0))),1,0),0)</f>
        <v>1</v>
      </c>
    </row>
    <row r="3335" customFormat="false" ht="15" hidden="false" customHeight="false" outlineLevel="0" collapsed="false">
      <c r="A3335" s="2" t="n">
        <v>3331</v>
      </c>
      <c r="B3335" s="2" t="s">
        <v>9678</v>
      </c>
      <c r="C3335" s="2" t="s">
        <v>9679</v>
      </c>
      <c r="D3335" s="2" t="s">
        <v>9680</v>
      </c>
      <c r="E3335" s="2" t="str">
        <f aca="false">LEFT(C3335,3)</f>
        <v>912</v>
      </c>
      <c r="F3335" s="2" t="str">
        <f aca="false">IF(D3335="","",LEFT(D3335,3))</f>
        <v>914</v>
      </c>
      <c r="G3335" s="2" t="str">
        <f aca="false">IF(F3335="","",IF(E3335=F3335,"Yes","No"))</f>
        <v>No</v>
      </c>
      <c r="H3335" s="2" t="n">
        <f aca="false">IF(D3335="",0,1/COUNTIF($D$2:$D$3451,D3335))</f>
        <v>1</v>
      </c>
      <c r="I3335" s="13" t="n">
        <f aca="false">IFERROR(INDEX('NCO-2015 scores'!$C$2:$C$131,MATCH(E3335,'NCO-2015 scores'!$A$2:$A$131,0)),0)</f>
        <v>0.11</v>
      </c>
      <c r="J3335" s="13" t="n">
        <f aca="false">IF(ISNUMBER(MATCH(E3335,'NCO-2015 scores'!$A$2:$A$131,0)),IF(ISNUMBER(INDEX('NCO-2015 scores'!$C$2:$C$131,MATCH(E3335,'NCO-2015 scores'!$A$2:$A$131,0))),1,0),0)</f>
        <v>1</v>
      </c>
    </row>
    <row r="3336" customFormat="false" ht="15" hidden="false" customHeight="false" outlineLevel="0" collapsed="false">
      <c r="A3336" s="2" t="n">
        <v>3332</v>
      </c>
      <c r="B3336" s="2" t="s">
        <v>9681</v>
      </c>
      <c r="C3336" s="2" t="s">
        <v>9682</v>
      </c>
      <c r="D3336" s="2"/>
      <c r="E3336" s="2" t="str">
        <f aca="false">LEFT(C3336,3)</f>
        <v>912</v>
      </c>
      <c r="F3336" s="2" t="str">
        <f aca="false">IF(D3336="","",LEFT(D3336,3))</f>
        <v/>
      </c>
      <c r="G3336" s="2" t="str">
        <f aca="false">IF(F3336="","",IF(E3336=F3336,"Yes","No"))</f>
        <v/>
      </c>
      <c r="H3336" s="2" t="n">
        <f aca="false">IF(D3336="",0,1/COUNTIF($D$2:$D$3451,D3336))</f>
        <v>0</v>
      </c>
      <c r="I3336" s="13" t="n">
        <f aca="false">IFERROR(INDEX('NCO-2015 scores'!$C$2:$C$131,MATCH(E3336,'NCO-2015 scores'!$A$2:$A$131,0)),0)</f>
        <v>0.11</v>
      </c>
      <c r="J3336" s="13" t="n">
        <f aca="false">IF(ISNUMBER(MATCH(E3336,'NCO-2015 scores'!$A$2:$A$131,0)),IF(ISNUMBER(INDEX('NCO-2015 scores'!$C$2:$C$131,MATCH(E3336,'NCO-2015 scores'!$A$2:$A$131,0))),1,0),0)</f>
        <v>1</v>
      </c>
    </row>
    <row r="3337" customFormat="false" ht="15" hidden="false" customHeight="false" outlineLevel="0" collapsed="false">
      <c r="A3337" s="2" t="n">
        <v>3333</v>
      </c>
      <c r="B3337" s="2" t="s">
        <v>9683</v>
      </c>
      <c r="C3337" s="2" t="s">
        <v>9684</v>
      </c>
      <c r="D3337" s="2"/>
      <c r="E3337" s="2" t="str">
        <f aca="false">LEFT(C3337,3)</f>
        <v>912</v>
      </c>
      <c r="F3337" s="2" t="str">
        <f aca="false">IF(D3337="","",LEFT(D3337,3))</f>
        <v/>
      </c>
      <c r="G3337" s="2" t="str">
        <f aca="false">IF(F3337="","",IF(E3337=F3337,"Yes","No"))</f>
        <v/>
      </c>
      <c r="H3337" s="2" t="n">
        <f aca="false">IF(D3337="",0,1/COUNTIF($D$2:$D$3451,D3337))</f>
        <v>0</v>
      </c>
      <c r="I3337" s="13" t="n">
        <f aca="false">IFERROR(INDEX('NCO-2015 scores'!$C$2:$C$131,MATCH(E3337,'NCO-2015 scores'!$A$2:$A$131,0)),0)</f>
        <v>0.11</v>
      </c>
      <c r="J3337" s="13" t="n">
        <f aca="false">IF(ISNUMBER(MATCH(E3337,'NCO-2015 scores'!$A$2:$A$131,0)),IF(ISNUMBER(INDEX('NCO-2015 scores'!$C$2:$C$131,MATCH(E3337,'NCO-2015 scores'!$A$2:$A$131,0))),1,0),0)</f>
        <v>1</v>
      </c>
    </row>
    <row r="3338" customFormat="false" ht="15" hidden="false" customHeight="false" outlineLevel="0" collapsed="false">
      <c r="A3338" s="2" t="n">
        <v>3334</v>
      </c>
      <c r="B3338" s="2" t="s">
        <v>9685</v>
      </c>
      <c r="C3338" s="2" t="s">
        <v>9686</v>
      </c>
      <c r="D3338" s="2" t="s">
        <v>9687</v>
      </c>
      <c r="E3338" s="2" t="str">
        <f aca="false">LEFT(C3338,3)</f>
        <v>912</v>
      </c>
      <c r="F3338" s="2" t="str">
        <f aca="false">IF(D3338="","",LEFT(D3338,3))</f>
        <v>914</v>
      </c>
      <c r="G3338" s="2" t="str">
        <f aca="false">IF(F3338="","",IF(E3338=F3338,"Yes","No"))</f>
        <v>No</v>
      </c>
      <c r="H3338" s="2" t="n">
        <f aca="false">IF(D3338="",0,1/COUNTIF($D$2:$D$3451,D3338))</f>
        <v>1</v>
      </c>
      <c r="I3338" s="13" t="n">
        <f aca="false">IFERROR(INDEX('NCO-2015 scores'!$C$2:$C$131,MATCH(E3338,'NCO-2015 scores'!$A$2:$A$131,0)),0)</f>
        <v>0.11</v>
      </c>
      <c r="J3338" s="13" t="n">
        <f aca="false">IF(ISNUMBER(MATCH(E3338,'NCO-2015 scores'!$A$2:$A$131,0)),IF(ISNUMBER(INDEX('NCO-2015 scores'!$C$2:$C$131,MATCH(E3338,'NCO-2015 scores'!$A$2:$A$131,0))),1,0),0)</f>
        <v>1</v>
      </c>
    </row>
    <row r="3339" customFormat="false" ht="15" hidden="false" customHeight="false" outlineLevel="0" collapsed="false">
      <c r="A3339" s="2" t="n">
        <v>3335</v>
      </c>
      <c r="B3339" s="2" t="s">
        <v>9688</v>
      </c>
      <c r="C3339" s="2" t="s">
        <v>9689</v>
      </c>
      <c r="D3339" s="2" t="s">
        <v>9690</v>
      </c>
      <c r="E3339" s="2" t="str">
        <f aca="false">LEFT(C3339,3)</f>
        <v>225</v>
      </c>
      <c r="F3339" s="2" t="str">
        <f aca="false">IF(D3339="","",LEFT(D3339,3))</f>
        <v>221</v>
      </c>
      <c r="G3339" s="2" t="str">
        <f aca="false">IF(F3339="","",IF(E3339=F3339,"Yes","No"))</f>
        <v>No</v>
      </c>
      <c r="H3339" s="2" t="n">
        <f aca="false">IF(D3339="",0,1/COUNTIF($D$2:$D$3451,D3339))</f>
        <v>1</v>
      </c>
      <c r="I3339" s="13" t="n">
        <f aca="false">IFERROR(INDEX('NCO-2015 scores'!$C$2:$C$131,MATCH(E3339,'NCO-2015 scores'!$A$2:$A$131,0)),0)</f>
        <v>0.14</v>
      </c>
      <c r="J3339" s="13" t="n">
        <f aca="false">IF(ISNUMBER(MATCH(E3339,'NCO-2015 scores'!$A$2:$A$131,0)),IF(ISNUMBER(INDEX('NCO-2015 scores'!$C$2:$C$131,MATCH(E3339,'NCO-2015 scores'!$A$2:$A$131,0))),1,0),0)</f>
        <v>1</v>
      </c>
    </row>
    <row r="3340" customFormat="false" ht="15" hidden="false" customHeight="false" outlineLevel="0" collapsed="false">
      <c r="A3340" s="2" t="n">
        <v>3336</v>
      </c>
      <c r="B3340" s="2" t="s">
        <v>9691</v>
      </c>
      <c r="C3340" s="2" t="s">
        <v>9692</v>
      </c>
      <c r="D3340" s="2" t="s">
        <v>9693</v>
      </c>
      <c r="E3340" s="2" t="str">
        <f aca="false">LEFT(C3340,3)</f>
        <v>225</v>
      </c>
      <c r="F3340" s="2" t="str">
        <f aca="false">IF(D3340="","",LEFT(D3340,3))</f>
        <v>222</v>
      </c>
      <c r="G3340" s="2" t="str">
        <f aca="false">IF(F3340="","",IF(E3340=F3340,"Yes","No"))</f>
        <v>No</v>
      </c>
      <c r="H3340" s="2" t="n">
        <f aca="false">IF(D3340="",0,1/COUNTIF($D$2:$D$3451,D3340))</f>
        <v>1</v>
      </c>
      <c r="I3340" s="13" t="n">
        <f aca="false">IFERROR(INDEX('NCO-2015 scores'!$C$2:$C$131,MATCH(E3340,'NCO-2015 scores'!$A$2:$A$131,0)),0)</f>
        <v>0.14</v>
      </c>
      <c r="J3340" s="13" t="n">
        <f aca="false">IF(ISNUMBER(MATCH(E3340,'NCO-2015 scores'!$A$2:$A$131,0)),IF(ISNUMBER(INDEX('NCO-2015 scores'!$C$2:$C$131,MATCH(E3340,'NCO-2015 scores'!$A$2:$A$131,0))),1,0),0)</f>
        <v>1</v>
      </c>
    </row>
    <row r="3341" customFormat="false" ht="15" hidden="false" customHeight="false" outlineLevel="0" collapsed="false">
      <c r="A3341" s="2" t="n">
        <v>3337</v>
      </c>
      <c r="B3341" s="2" t="s">
        <v>9694</v>
      </c>
      <c r="C3341" s="2" t="s">
        <v>9695</v>
      </c>
      <c r="D3341" s="2" t="s">
        <v>9696</v>
      </c>
      <c r="E3341" s="2" t="str">
        <f aca="false">LEFT(C3341,3)</f>
        <v>225</v>
      </c>
      <c r="F3341" s="2" t="str">
        <f aca="false">IF(D3341="","",LEFT(D3341,3))</f>
        <v>222</v>
      </c>
      <c r="G3341" s="2" t="str">
        <f aca="false">IF(F3341="","",IF(E3341=F3341,"Yes","No"))</f>
        <v>No</v>
      </c>
      <c r="H3341" s="2" t="n">
        <f aca="false">IF(D3341="",0,1/COUNTIF($D$2:$D$3451,D3341))</f>
        <v>1</v>
      </c>
      <c r="I3341" s="13" t="n">
        <f aca="false">IFERROR(INDEX('NCO-2015 scores'!$C$2:$C$131,MATCH(E3341,'NCO-2015 scores'!$A$2:$A$131,0)),0)</f>
        <v>0.14</v>
      </c>
      <c r="J3341" s="13" t="n">
        <f aca="false">IF(ISNUMBER(MATCH(E3341,'NCO-2015 scores'!$A$2:$A$131,0)),IF(ISNUMBER(INDEX('NCO-2015 scores'!$C$2:$C$131,MATCH(E3341,'NCO-2015 scores'!$A$2:$A$131,0))),1,0),0)</f>
        <v>1</v>
      </c>
    </row>
    <row r="3342" customFormat="false" ht="15" hidden="false" customHeight="false" outlineLevel="0" collapsed="false">
      <c r="A3342" s="2" t="n">
        <v>3338</v>
      </c>
      <c r="B3342" s="2" t="s">
        <v>9697</v>
      </c>
      <c r="C3342" s="2" t="s">
        <v>9698</v>
      </c>
      <c r="D3342" s="2" t="s">
        <v>9699</v>
      </c>
      <c r="E3342" s="2" t="str">
        <f aca="false">LEFT(C3342,3)</f>
        <v>225</v>
      </c>
      <c r="F3342" s="2" t="str">
        <f aca="false">IF(D3342="","",LEFT(D3342,3))</f>
        <v>222</v>
      </c>
      <c r="G3342" s="2" t="str">
        <f aca="false">IF(F3342="","",IF(E3342=F3342,"Yes","No"))</f>
        <v>No</v>
      </c>
      <c r="H3342" s="2" t="n">
        <f aca="false">IF(D3342="",0,1/COUNTIF($D$2:$D$3451,D3342))</f>
        <v>1</v>
      </c>
      <c r="I3342" s="13" t="n">
        <f aca="false">IFERROR(INDEX('NCO-2015 scores'!$C$2:$C$131,MATCH(E3342,'NCO-2015 scores'!$A$2:$A$131,0)),0)</f>
        <v>0.14</v>
      </c>
      <c r="J3342" s="13" t="n">
        <f aca="false">IF(ISNUMBER(MATCH(E3342,'NCO-2015 scores'!$A$2:$A$131,0)),IF(ISNUMBER(INDEX('NCO-2015 scores'!$C$2:$C$131,MATCH(E3342,'NCO-2015 scores'!$A$2:$A$131,0))),1,0),0)</f>
        <v>1</v>
      </c>
    </row>
    <row r="3343" customFormat="false" ht="15" hidden="false" customHeight="false" outlineLevel="0" collapsed="false">
      <c r="A3343" s="2" t="n">
        <v>3339</v>
      </c>
      <c r="B3343" s="2" t="s">
        <v>9700</v>
      </c>
      <c r="C3343" s="2" t="s">
        <v>9701</v>
      </c>
      <c r="D3343" s="2" t="s">
        <v>9702</v>
      </c>
      <c r="E3343" s="2" t="str">
        <f aca="false">LEFT(C3343,3)</f>
        <v>225</v>
      </c>
      <c r="F3343" s="2" t="str">
        <f aca="false">IF(D3343="","",LEFT(D3343,3))</f>
        <v>222</v>
      </c>
      <c r="G3343" s="2" t="str">
        <f aca="false">IF(F3343="","",IF(E3343=F3343,"Yes","No"))</f>
        <v>No</v>
      </c>
      <c r="H3343" s="2" t="n">
        <f aca="false">IF(D3343="",0,1/COUNTIF($D$2:$D$3451,D3343))</f>
        <v>1</v>
      </c>
      <c r="I3343" s="13" t="n">
        <f aca="false">IFERROR(INDEX('NCO-2015 scores'!$C$2:$C$131,MATCH(E3343,'NCO-2015 scores'!$A$2:$A$131,0)),0)</f>
        <v>0.14</v>
      </c>
      <c r="J3343" s="13" t="n">
        <f aca="false">IF(ISNUMBER(MATCH(E3343,'NCO-2015 scores'!$A$2:$A$131,0)),IF(ISNUMBER(INDEX('NCO-2015 scores'!$C$2:$C$131,MATCH(E3343,'NCO-2015 scores'!$A$2:$A$131,0))),1,0),0)</f>
        <v>1</v>
      </c>
    </row>
    <row r="3344" customFormat="false" ht="15" hidden="false" customHeight="false" outlineLevel="0" collapsed="false">
      <c r="A3344" s="2" t="n">
        <v>3340</v>
      </c>
      <c r="B3344" s="2" t="s">
        <v>9703</v>
      </c>
      <c r="C3344" s="2" t="s">
        <v>9704</v>
      </c>
      <c r="D3344" s="2" t="s">
        <v>9705</v>
      </c>
      <c r="E3344" s="2" t="str">
        <f aca="false">LEFT(C3344,3)</f>
        <v>225</v>
      </c>
      <c r="F3344" s="2" t="str">
        <f aca="false">IF(D3344="","",LEFT(D3344,3))</f>
        <v>222</v>
      </c>
      <c r="G3344" s="2" t="str">
        <f aca="false">IF(F3344="","",IF(E3344=F3344,"Yes","No"))</f>
        <v>No</v>
      </c>
      <c r="H3344" s="2" t="n">
        <f aca="false">IF(D3344="",0,1/COUNTIF($D$2:$D$3451,D3344))</f>
        <v>1</v>
      </c>
      <c r="I3344" s="13" t="n">
        <f aca="false">IFERROR(INDEX('NCO-2015 scores'!$C$2:$C$131,MATCH(E3344,'NCO-2015 scores'!$A$2:$A$131,0)),0)</f>
        <v>0.14</v>
      </c>
      <c r="J3344" s="13" t="n">
        <f aca="false">IF(ISNUMBER(MATCH(E3344,'NCO-2015 scores'!$A$2:$A$131,0)),IF(ISNUMBER(INDEX('NCO-2015 scores'!$C$2:$C$131,MATCH(E3344,'NCO-2015 scores'!$A$2:$A$131,0))),1,0),0)</f>
        <v>1</v>
      </c>
    </row>
    <row r="3345" customFormat="false" ht="15" hidden="false" customHeight="false" outlineLevel="0" collapsed="false">
      <c r="A3345" s="2" t="n">
        <v>3341</v>
      </c>
      <c r="B3345" s="2" t="s">
        <v>9706</v>
      </c>
      <c r="C3345" s="2" t="s">
        <v>9707</v>
      </c>
      <c r="D3345" s="2" t="s">
        <v>9708</v>
      </c>
      <c r="E3345" s="2" t="str">
        <f aca="false">LEFT(C3345,3)</f>
        <v>225</v>
      </c>
      <c r="F3345" s="2" t="str">
        <f aca="false">IF(D3345="","",LEFT(D3345,3))</f>
        <v>222</v>
      </c>
      <c r="G3345" s="2" t="str">
        <f aca="false">IF(F3345="","",IF(E3345=F3345,"Yes","No"))</f>
        <v>No</v>
      </c>
      <c r="H3345" s="2" t="n">
        <f aca="false">IF(D3345="",0,1/COUNTIF($D$2:$D$3451,D3345))</f>
        <v>1</v>
      </c>
      <c r="I3345" s="13" t="n">
        <f aca="false">IFERROR(INDEX('NCO-2015 scores'!$C$2:$C$131,MATCH(E3345,'NCO-2015 scores'!$A$2:$A$131,0)),0)</f>
        <v>0.14</v>
      </c>
      <c r="J3345" s="13" t="n">
        <f aca="false">IF(ISNUMBER(MATCH(E3345,'NCO-2015 scores'!$A$2:$A$131,0)),IF(ISNUMBER(INDEX('NCO-2015 scores'!$C$2:$C$131,MATCH(E3345,'NCO-2015 scores'!$A$2:$A$131,0))),1,0),0)</f>
        <v>1</v>
      </c>
    </row>
    <row r="3346" customFormat="false" ht="15" hidden="false" customHeight="false" outlineLevel="0" collapsed="false">
      <c r="A3346" s="2" t="n">
        <v>3342</v>
      </c>
      <c r="B3346" s="2" t="s">
        <v>9709</v>
      </c>
      <c r="C3346" s="2" t="s">
        <v>9710</v>
      </c>
      <c r="D3346" s="2" t="s">
        <v>9711</v>
      </c>
      <c r="E3346" s="2" t="str">
        <f aca="false">LEFT(C3346,3)</f>
        <v>324</v>
      </c>
      <c r="F3346" s="2" t="str">
        <f aca="false">IF(D3346="","",LEFT(D3346,3))</f>
        <v>322</v>
      </c>
      <c r="G3346" s="2" t="str">
        <f aca="false">IF(F3346="","",IF(E3346=F3346,"Yes","No"))</f>
        <v>No</v>
      </c>
      <c r="H3346" s="2" t="n">
        <f aca="false">IF(D3346="",0,1/COUNTIF($D$2:$D$3451,D3346))</f>
        <v>1</v>
      </c>
      <c r="I3346" s="13" t="n">
        <f aca="false">IFERROR(INDEX('NCO-2015 scores'!$C$2:$C$131,MATCH(E3346,'NCO-2015 scores'!$A$2:$A$131,0)),0)</f>
        <v>0.14</v>
      </c>
      <c r="J3346" s="13" t="n">
        <f aca="false">IF(ISNUMBER(MATCH(E3346,'NCO-2015 scores'!$A$2:$A$131,0)),IF(ISNUMBER(INDEX('NCO-2015 scores'!$C$2:$C$131,MATCH(E3346,'NCO-2015 scores'!$A$2:$A$131,0))),1,0),0)</f>
        <v>1</v>
      </c>
    </row>
    <row r="3347" customFormat="false" ht="15" hidden="false" customHeight="false" outlineLevel="0" collapsed="false">
      <c r="A3347" s="2" t="n">
        <v>3343</v>
      </c>
      <c r="B3347" s="2" t="s">
        <v>9712</v>
      </c>
      <c r="C3347" s="2" t="s">
        <v>9713</v>
      </c>
      <c r="D3347" s="2" t="s">
        <v>9714</v>
      </c>
      <c r="E3347" s="2" t="str">
        <f aca="false">LEFT(C3347,3)</f>
        <v>324</v>
      </c>
      <c r="F3347" s="2" t="str">
        <f aca="false">IF(D3347="","",LEFT(D3347,3))</f>
        <v>322</v>
      </c>
      <c r="G3347" s="2" t="str">
        <f aca="false">IF(F3347="","",IF(E3347=F3347,"Yes","No"))</f>
        <v>No</v>
      </c>
      <c r="H3347" s="2" t="n">
        <f aca="false">IF(D3347="",0,1/COUNTIF($D$2:$D$3451,D3347))</f>
        <v>1</v>
      </c>
      <c r="I3347" s="13" t="n">
        <f aca="false">IFERROR(INDEX('NCO-2015 scores'!$C$2:$C$131,MATCH(E3347,'NCO-2015 scores'!$A$2:$A$131,0)),0)</f>
        <v>0.14</v>
      </c>
      <c r="J3347" s="13" t="n">
        <f aca="false">IF(ISNUMBER(MATCH(E3347,'NCO-2015 scores'!$A$2:$A$131,0)),IF(ISNUMBER(INDEX('NCO-2015 scores'!$C$2:$C$131,MATCH(E3347,'NCO-2015 scores'!$A$2:$A$131,0))),1,0),0)</f>
        <v>1</v>
      </c>
    </row>
    <row r="3348" customFormat="false" ht="15" hidden="false" customHeight="false" outlineLevel="0" collapsed="false">
      <c r="A3348" s="2" t="n">
        <v>3344</v>
      </c>
      <c r="B3348" s="2" t="s">
        <v>9715</v>
      </c>
      <c r="C3348" s="2" t="s">
        <v>9716</v>
      </c>
      <c r="D3348" s="2" t="s">
        <v>9717</v>
      </c>
      <c r="E3348" s="2" t="str">
        <f aca="false">LEFT(C3348,3)</f>
        <v>324</v>
      </c>
      <c r="F3348" s="2" t="str">
        <f aca="false">IF(D3348="","",LEFT(D3348,3))</f>
        <v>322</v>
      </c>
      <c r="G3348" s="2" t="str">
        <f aca="false">IF(F3348="","",IF(E3348=F3348,"Yes","No"))</f>
        <v>No</v>
      </c>
      <c r="H3348" s="2" t="n">
        <f aca="false">IF(D3348="",0,1/COUNTIF($D$2:$D$3451,D3348))</f>
        <v>1</v>
      </c>
      <c r="I3348" s="13" t="n">
        <f aca="false">IFERROR(INDEX('NCO-2015 scores'!$C$2:$C$131,MATCH(E3348,'NCO-2015 scores'!$A$2:$A$131,0)),0)</f>
        <v>0.14</v>
      </c>
      <c r="J3348" s="13" t="n">
        <f aca="false">IF(ISNUMBER(MATCH(E3348,'NCO-2015 scores'!$A$2:$A$131,0)),IF(ISNUMBER(INDEX('NCO-2015 scores'!$C$2:$C$131,MATCH(E3348,'NCO-2015 scores'!$A$2:$A$131,0))),1,0),0)</f>
        <v>1</v>
      </c>
    </row>
    <row r="3349" customFormat="false" ht="15" hidden="false" customHeight="false" outlineLevel="0" collapsed="false">
      <c r="A3349" s="2" t="n">
        <v>3345</v>
      </c>
      <c r="B3349" s="2" t="s">
        <v>9718</v>
      </c>
      <c r="C3349" s="2" t="s">
        <v>9719</v>
      </c>
      <c r="D3349" s="2" t="s">
        <v>9720</v>
      </c>
      <c r="E3349" s="2" t="str">
        <f aca="false">LEFT(C3349,3)</f>
        <v>324</v>
      </c>
      <c r="F3349" s="2" t="str">
        <f aca="false">IF(D3349="","",LEFT(D3349,3))</f>
        <v>322</v>
      </c>
      <c r="G3349" s="2" t="str">
        <f aca="false">IF(F3349="","",IF(E3349=F3349,"Yes","No"))</f>
        <v>No</v>
      </c>
      <c r="H3349" s="2" t="n">
        <f aca="false">IF(D3349="",0,1/COUNTIF($D$2:$D$3451,D3349))</f>
        <v>1</v>
      </c>
      <c r="I3349" s="13" t="n">
        <f aca="false">IFERROR(INDEX('NCO-2015 scores'!$C$2:$C$131,MATCH(E3349,'NCO-2015 scores'!$A$2:$A$131,0)),0)</f>
        <v>0.14</v>
      </c>
      <c r="J3349" s="13" t="n">
        <f aca="false">IF(ISNUMBER(MATCH(E3349,'NCO-2015 scores'!$A$2:$A$131,0)),IF(ISNUMBER(INDEX('NCO-2015 scores'!$C$2:$C$131,MATCH(E3349,'NCO-2015 scores'!$A$2:$A$131,0))),1,0),0)</f>
        <v>1</v>
      </c>
    </row>
    <row r="3350" customFormat="false" ht="15" hidden="false" customHeight="false" outlineLevel="0" collapsed="false">
      <c r="A3350" s="2" t="n">
        <v>3346</v>
      </c>
      <c r="B3350" s="2" t="s">
        <v>9721</v>
      </c>
      <c r="C3350" s="2" t="s">
        <v>9722</v>
      </c>
      <c r="D3350" s="2" t="s">
        <v>9723</v>
      </c>
      <c r="E3350" s="2" t="str">
        <f aca="false">LEFT(C3350,3)</f>
        <v>324</v>
      </c>
      <c r="F3350" s="2" t="str">
        <f aca="false">IF(D3350="","",LEFT(D3350,3))</f>
        <v>322</v>
      </c>
      <c r="G3350" s="2" t="str">
        <f aca="false">IF(F3350="","",IF(E3350=F3350,"Yes","No"))</f>
        <v>No</v>
      </c>
      <c r="H3350" s="2" t="n">
        <f aca="false">IF(D3350="",0,1/COUNTIF($D$2:$D$3451,D3350))</f>
        <v>1</v>
      </c>
      <c r="I3350" s="13" t="n">
        <f aca="false">IFERROR(INDEX('NCO-2015 scores'!$C$2:$C$131,MATCH(E3350,'NCO-2015 scores'!$A$2:$A$131,0)),0)</f>
        <v>0.14</v>
      </c>
      <c r="J3350" s="13" t="n">
        <f aca="false">IF(ISNUMBER(MATCH(E3350,'NCO-2015 scores'!$A$2:$A$131,0)),IF(ISNUMBER(INDEX('NCO-2015 scores'!$C$2:$C$131,MATCH(E3350,'NCO-2015 scores'!$A$2:$A$131,0))),1,0),0)</f>
        <v>1</v>
      </c>
    </row>
    <row r="3351" customFormat="false" ht="15" hidden="false" customHeight="false" outlineLevel="0" collapsed="false">
      <c r="A3351" s="2" t="n">
        <v>3347</v>
      </c>
      <c r="B3351" s="2" t="s">
        <v>9724</v>
      </c>
      <c r="C3351" s="2" t="s">
        <v>9725</v>
      </c>
      <c r="D3351" s="2" t="s">
        <v>9726</v>
      </c>
      <c r="E3351" s="2" t="str">
        <f aca="false">LEFT(C3351,3)</f>
        <v>265</v>
      </c>
      <c r="F3351" s="2" t="str">
        <f aca="false">IF(D3351="","",LEFT(D3351,3))</f>
        <v>245</v>
      </c>
      <c r="G3351" s="2" t="str">
        <f aca="false">IF(F3351="","",IF(E3351=F3351,"Yes","No"))</f>
        <v>No</v>
      </c>
      <c r="H3351" s="2" t="n">
        <f aca="false">IF(D3351="",0,1/COUNTIF($D$2:$D$3451,D3351))</f>
        <v>1</v>
      </c>
      <c r="I3351" s="13" t="n">
        <f aca="false">IFERROR(INDEX('NCO-2015 scores'!$C$2:$C$131,MATCH(E3351,'NCO-2015 scores'!$A$2:$A$131,0)),0)</f>
        <v>0.28</v>
      </c>
      <c r="J3351" s="13" t="n">
        <f aca="false">IF(ISNUMBER(MATCH(E3351,'NCO-2015 scores'!$A$2:$A$131,0)),IF(ISNUMBER(INDEX('NCO-2015 scores'!$C$2:$C$131,MATCH(E3351,'NCO-2015 scores'!$A$2:$A$131,0))),1,0),0)</f>
        <v>1</v>
      </c>
    </row>
    <row r="3352" customFormat="false" ht="15" hidden="false" customHeight="false" outlineLevel="0" collapsed="false">
      <c r="A3352" s="2" t="n">
        <v>3348</v>
      </c>
      <c r="B3352" s="2" t="s">
        <v>9727</v>
      </c>
      <c r="C3352" s="2" t="s">
        <v>9728</v>
      </c>
      <c r="D3352" s="2" t="s">
        <v>9729</v>
      </c>
      <c r="E3352" s="2" t="str">
        <f aca="false">LEFT(C3352,3)</f>
        <v>265</v>
      </c>
      <c r="F3352" s="2" t="str">
        <f aca="false">IF(D3352="","",LEFT(D3352,3))</f>
        <v>245</v>
      </c>
      <c r="G3352" s="2" t="str">
        <f aca="false">IF(F3352="","",IF(E3352=F3352,"Yes","No"))</f>
        <v>No</v>
      </c>
      <c r="H3352" s="2" t="n">
        <f aca="false">IF(D3352="",0,1/COUNTIF($D$2:$D$3451,D3352))</f>
        <v>1</v>
      </c>
      <c r="I3352" s="13" t="n">
        <f aca="false">IFERROR(INDEX('NCO-2015 scores'!$C$2:$C$131,MATCH(E3352,'NCO-2015 scores'!$A$2:$A$131,0)),0)</f>
        <v>0.28</v>
      </c>
      <c r="J3352" s="13" t="n">
        <f aca="false">IF(ISNUMBER(MATCH(E3352,'NCO-2015 scores'!$A$2:$A$131,0)),IF(ISNUMBER(INDEX('NCO-2015 scores'!$C$2:$C$131,MATCH(E3352,'NCO-2015 scores'!$A$2:$A$131,0))),1,0),0)</f>
        <v>1</v>
      </c>
    </row>
    <row r="3353" customFormat="false" ht="15" hidden="false" customHeight="false" outlineLevel="0" collapsed="false">
      <c r="A3353" s="2" t="n">
        <v>3349</v>
      </c>
      <c r="B3353" s="2" t="s">
        <v>9730</v>
      </c>
      <c r="C3353" s="2" t="s">
        <v>9731</v>
      </c>
      <c r="D3353" s="2" t="s">
        <v>9732</v>
      </c>
      <c r="E3353" s="2" t="str">
        <f aca="false">LEFT(C3353,3)</f>
        <v>265</v>
      </c>
      <c r="F3353" s="2" t="str">
        <f aca="false">IF(D3353="","",LEFT(D3353,3))</f>
        <v>245</v>
      </c>
      <c r="G3353" s="2" t="str">
        <f aca="false">IF(F3353="","",IF(E3353=F3353,"Yes","No"))</f>
        <v>No</v>
      </c>
      <c r="H3353" s="2" t="n">
        <f aca="false">IF(D3353="",0,1/COUNTIF($D$2:$D$3451,D3353))</f>
        <v>1</v>
      </c>
      <c r="I3353" s="13" t="n">
        <f aca="false">IFERROR(INDEX('NCO-2015 scores'!$C$2:$C$131,MATCH(E3353,'NCO-2015 scores'!$A$2:$A$131,0)),0)</f>
        <v>0.28</v>
      </c>
      <c r="J3353" s="13" t="n">
        <f aca="false">IF(ISNUMBER(MATCH(E3353,'NCO-2015 scores'!$A$2:$A$131,0)),IF(ISNUMBER(INDEX('NCO-2015 scores'!$C$2:$C$131,MATCH(E3353,'NCO-2015 scores'!$A$2:$A$131,0))),1,0),0)</f>
        <v>1</v>
      </c>
    </row>
    <row r="3354" customFormat="false" ht="15" hidden="false" customHeight="false" outlineLevel="0" collapsed="false">
      <c r="A3354" s="2" t="n">
        <v>3350</v>
      </c>
      <c r="B3354" s="2" t="s">
        <v>9733</v>
      </c>
      <c r="C3354" s="2" t="s">
        <v>9734</v>
      </c>
      <c r="D3354" s="2" t="s">
        <v>9735</v>
      </c>
      <c r="E3354" s="2" t="str">
        <f aca="false">LEFT(C3354,3)</f>
        <v>265</v>
      </c>
      <c r="F3354" s="2" t="str">
        <f aca="false">IF(D3354="","",LEFT(D3354,3))</f>
        <v>245</v>
      </c>
      <c r="G3354" s="2" t="str">
        <f aca="false">IF(F3354="","",IF(E3354=F3354,"Yes","No"))</f>
        <v>No</v>
      </c>
      <c r="H3354" s="2" t="n">
        <f aca="false">IF(D3354="",0,1/COUNTIF($D$2:$D$3451,D3354))</f>
        <v>1</v>
      </c>
      <c r="I3354" s="13" t="n">
        <f aca="false">IFERROR(INDEX('NCO-2015 scores'!$C$2:$C$131,MATCH(E3354,'NCO-2015 scores'!$A$2:$A$131,0)),0)</f>
        <v>0.28</v>
      </c>
      <c r="J3354" s="13" t="n">
        <f aca="false">IF(ISNUMBER(MATCH(E3354,'NCO-2015 scores'!$A$2:$A$131,0)),IF(ISNUMBER(INDEX('NCO-2015 scores'!$C$2:$C$131,MATCH(E3354,'NCO-2015 scores'!$A$2:$A$131,0))),1,0),0)</f>
        <v>1</v>
      </c>
    </row>
    <row r="3355" customFormat="false" ht="15" hidden="false" customHeight="false" outlineLevel="0" collapsed="false">
      <c r="A3355" s="2" t="n">
        <v>3351</v>
      </c>
      <c r="B3355" s="2" t="s">
        <v>9736</v>
      </c>
      <c r="C3355" s="2" t="s">
        <v>9737</v>
      </c>
      <c r="D3355" s="2" t="s">
        <v>9738</v>
      </c>
      <c r="E3355" s="2" t="str">
        <f aca="false">LEFT(C3355,3)</f>
        <v>265</v>
      </c>
      <c r="F3355" s="2" t="str">
        <f aca="false">IF(D3355="","",LEFT(D3355,3))</f>
        <v>245</v>
      </c>
      <c r="G3355" s="2" t="str">
        <f aca="false">IF(F3355="","",IF(E3355=F3355,"Yes","No"))</f>
        <v>No</v>
      </c>
      <c r="H3355" s="2" t="n">
        <f aca="false">IF(D3355="",0,1/COUNTIF($D$2:$D$3451,D3355))</f>
        <v>1</v>
      </c>
      <c r="I3355" s="13" t="n">
        <f aca="false">IFERROR(INDEX('NCO-2015 scores'!$C$2:$C$131,MATCH(E3355,'NCO-2015 scores'!$A$2:$A$131,0)),0)</f>
        <v>0.28</v>
      </c>
      <c r="J3355" s="13" t="n">
        <f aca="false">IF(ISNUMBER(MATCH(E3355,'NCO-2015 scores'!$A$2:$A$131,0)),IF(ISNUMBER(INDEX('NCO-2015 scores'!$C$2:$C$131,MATCH(E3355,'NCO-2015 scores'!$A$2:$A$131,0))),1,0),0)</f>
        <v>1</v>
      </c>
    </row>
    <row r="3356" customFormat="false" ht="15" hidden="false" customHeight="false" outlineLevel="0" collapsed="false">
      <c r="A3356" s="2" t="n">
        <v>3352</v>
      </c>
      <c r="B3356" s="2" t="s">
        <v>9739</v>
      </c>
      <c r="C3356" s="2" t="s">
        <v>9740</v>
      </c>
      <c r="D3356" s="2" t="s">
        <v>9741</v>
      </c>
      <c r="E3356" s="2" t="str">
        <f aca="false">LEFT(C3356,3)</f>
        <v>265</v>
      </c>
      <c r="F3356" s="2" t="str">
        <f aca="false">IF(D3356="","",LEFT(D3356,3))</f>
        <v>245</v>
      </c>
      <c r="G3356" s="2" t="str">
        <f aca="false">IF(F3356="","",IF(E3356=F3356,"Yes","No"))</f>
        <v>No</v>
      </c>
      <c r="H3356" s="2" t="n">
        <f aca="false">IF(D3356="",0,1/COUNTIF($D$2:$D$3451,D3356))</f>
        <v>1</v>
      </c>
      <c r="I3356" s="13" t="n">
        <f aca="false">IFERROR(INDEX('NCO-2015 scores'!$C$2:$C$131,MATCH(E3356,'NCO-2015 scores'!$A$2:$A$131,0)),0)</f>
        <v>0.28</v>
      </c>
      <c r="J3356" s="13" t="n">
        <f aca="false">IF(ISNUMBER(MATCH(E3356,'NCO-2015 scores'!$A$2:$A$131,0)),IF(ISNUMBER(INDEX('NCO-2015 scores'!$C$2:$C$131,MATCH(E3356,'NCO-2015 scores'!$A$2:$A$131,0))),1,0),0)</f>
        <v>1</v>
      </c>
    </row>
    <row r="3357" customFormat="false" ht="15" hidden="false" customHeight="false" outlineLevel="0" collapsed="false">
      <c r="A3357" s="2" t="n">
        <v>3353</v>
      </c>
      <c r="B3357" s="2" t="s">
        <v>9742</v>
      </c>
      <c r="C3357" s="2" t="s">
        <v>9743</v>
      </c>
      <c r="D3357" s="2" t="s">
        <v>9744</v>
      </c>
      <c r="E3357" s="2" t="str">
        <f aca="false">LEFT(C3357,3)</f>
        <v>265</v>
      </c>
      <c r="F3357" s="2" t="str">
        <f aca="false">IF(D3357="","",LEFT(D3357,3))</f>
        <v>245</v>
      </c>
      <c r="G3357" s="2" t="str">
        <f aca="false">IF(F3357="","",IF(E3357=F3357,"Yes","No"))</f>
        <v>No</v>
      </c>
      <c r="H3357" s="2" t="n">
        <f aca="false">IF(D3357="",0,1/COUNTIF($D$2:$D$3451,D3357))</f>
        <v>1</v>
      </c>
      <c r="I3357" s="13" t="n">
        <f aca="false">IFERROR(INDEX('NCO-2015 scores'!$C$2:$C$131,MATCH(E3357,'NCO-2015 scores'!$A$2:$A$131,0)),0)</f>
        <v>0.28</v>
      </c>
      <c r="J3357" s="13" t="n">
        <f aca="false">IF(ISNUMBER(MATCH(E3357,'NCO-2015 scores'!$A$2:$A$131,0)),IF(ISNUMBER(INDEX('NCO-2015 scores'!$C$2:$C$131,MATCH(E3357,'NCO-2015 scores'!$A$2:$A$131,0))),1,0),0)</f>
        <v>1</v>
      </c>
    </row>
    <row r="3358" customFormat="false" ht="15" hidden="false" customHeight="false" outlineLevel="0" collapsed="false">
      <c r="A3358" s="2" t="n">
        <v>3354</v>
      </c>
      <c r="B3358" s="2" t="s">
        <v>9745</v>
      </c>
      <c r="C3358" s="2" t="s">
        <v>9746</v>
      </c>
      <c r="D3358" s="2"/>
      <c r="E3358" s="2" t="str">
        <f aca="false">LEFT(C3358,3)</f>
        <v>232</v>
      </c>
      <c r="F3358" s="2" t="str">
        <f aca="false">IF(D3358="","",LEFT(D3358,3))</f>
        <v/>
      </c>
      <c r="G3358" s="2" t="str">
        <f aca="false">IF(F3358="","",IF(E3358=F3358,"Yes","No"))</f>
        <v/>
      </c>
      <c r="H3358" s="2" t="n">
        <f aca="false">IF(D3358="",0,1/COUNTIF($D$2:$D$3451,D3358))</f>
        <v>0</v>
      </c>
      <c r="I3358" s="13" t="n">
        <f aca="false">IFERROR(INDEX('NCO-2015 scores'!$C$2:$C$131,MATCH(E3358,'NCO-2015 scores'!$A$2:$A$131,0)),0)</f>
        <v>0.35</v>
      </c>
      <c r="J3358" s="13" t="n">
        <f aca="false">IF(ISNUMBER(MATCH(E3358,'NCO-2015 scores'!$A$2:$A$131,0)),IF(ISNUMBER(INDEX('NCO-2015 scores'!$C$2:$C$131,MATCH(E3358,'NCO-2015 scores'!$A$2:$A$131,0))),1,0),0)</f>
        <v>1</v>
      </c>
    </row>
    <row r="3359" customFormat="false" ht="15" hidden="false" customHeight="false" outlineLevel="0" collapsed="false">
      <c r="A3359" s="2" t="n">
        <v>3355</v>
      </c>
      <c r="B3359" s="2" t="s">
        <v>9747</v>
      </c>
      <c r="C3359" s="2" t="s">
        <v>9748</v>
      </c>
      <c r="D3359" s="2"/>
      <c r="E3359" s="2" t="str">
        <f aca="false">LEFT(C3359,3)</f>
        <v>232</v>
      </c>
      <c r="F3359" s="2" t="str">
        <f aca="false">IF(D3359="","",LEFT(D3359,3))</f>
        <v/>
      </c>
      <c r="G3359" s="2" t="str">
        <f aca="false">IF(F3359="","",IF(E3359=F3359,"Yes","No"))</f>
        <v/>
      </c>
      <c r="H3359" s="2" t="n">
        <f aca="false">IF(D3359="",0,1/COUNTIF($D$2:$D$3451,D3359))</f>
        <v>0</v>
      </c>
      <c r="I3359" s="13" t="n">
        <f aca="false">IFERROR(INDEX('NCO-2015 scores'!$C$2:$C$131,MATCH(E3359,'NCO-2015 scores'!$A$2:$A$131,0)),0)</f>
        <v>0.35</v>
      </c>
      <c r="J3359" s="13" t="n">
        <f aca="false">IF(ISNUMBER(MATCH(E3359,'NCO-2015 scores'!$A$2:$A$131,0)),IF(ISNUMBER(INDEX('NCO-2015 scores'!$C$2:$C$131,MATCH(E3359,'NCO-2015 scores'!$A$2:$A$131,0))),1,0),0)</f>
        <v>1</v>
      </c>
    </row>
    <row r="3360" customFormat="false" ht="15" hidden="false" customHeight="false" outlineLevel="0" collapsed="false">
      <c r="A3360" s="2" t="n">
        <v>3356</v>
      </c>
      <c r="B3360" s="2" t="s">
        <v>9749</v>
      </c>
      <c r="C3360" s="2" t="s">
        <v>9750</v>
      </c>
      <c r="D3360" s="2" t="s">
        <v>9751</v>
      </c>
      <c r="E3360" s="2" t="str">
        <f aca="false">LEFT(C3360,3)</f>
        <v>513</v>
      </c>
      <c r="F3360" s="2" t="str">
        <f aca="false">IF(D3360="","",LEFT(D3360,3))</f>
        <v>512</v>
      </c>
      <c r="G3360" s="2" t="str">
        <f aca="false">IF(F3360="","",IF(E3360=F3360,"Yes","No"))</f>
        <v>No</v>
      </c>
      <c r="H3360" s="2" t="n">
        <f aca="false">IF(D3360="",0,1/COUNTIF($D$2:$D$3451,D3360))</f>
        <v>1</v>
      </c>
      <c r="I3360" s="13" t="n">
        <f aca="false">IFERROR(INDEX('NCO-2015 scores'!$C$2:$C$131,MATCH(E3360,'NCO-2015 scores'!$A$2:$A$131,0)),0)</f>
        <v>0.27</v>
      </c>
      <c r="J3360" s="13" t="n">
        <f aca="false">IF(ISNUMBER(MATCH(E3360,'NCO-2015 scores'!$A$2:$A$131,0)),IF(ISNUMBER(INDEX('NCO-2015 scores'!$C$2:$C$131,MATCH(E3360,'NCO-2015 scores'!$A$2:$A$131,0))),1,0),0)</f>
        <v>1</v>
      </c>
    </row>
    <row r="3361" customFormat="false" ht="15" hidden="false" customHeight="false" outlineLevel="0" collapsed="false">
      <c r="A3361" s="2" t="n">
        <v>3357</v>
      </c>
      <c r="B3361" s="2" t="s">
        <v>9752</v>
      </c>
      <c r="C3361" s="2" t="s">
        <v>9753</v>
      </c>
      <c r="D3361" s="2" t="s">
        <v>9754</v>
      </c>
      <c r="E3361" s="2" t="str">
        <f aca="false">LEFT(C3361,3)</f>
        <v>513</v>
      </c>
      <c r="F3361" s="2" t="str">
        <f aca="false">IF(D3361="","",LEFT(D3361,3))</f>
        <v>512</v>
      </c>
      <c r="G3361" s="2" t="str">
        <f aca="false">IF(F3361="","",IF(E3361=F3361,"Yes","No"))</f>
        <v>No</v>
      </c>
      <c r="H3361" s="2" t="n">
        <f aca="false">IF(D3361="",0,1/COUNTIF($D$2:$D$3451,D3361))</f>
        <v>1</v>
      </c>
      <c r="I3361" s="13" t="n">
        <f aca="false">IFERROR(INDEX('NCO-2015 scores'!$C$2:$C$131,MATCH(E3361,'NCO-2015 scores'!$A$2:$A$131,0)),0)</f>
        <v>0.27</v>
      </c>
      <c r="J3361" s="13" t="n">
        <f aca="false">IF(ISNUMBER(MATCH(E3361,'NCO-2015 scores'!$A$2:$A$131,0)),IF(ISNUMBER(INDEX('NCO-2015 scores'!$C$2:$C$131,MATCH(E3361,'NCO-2015 scores'!$A$2:$A$131,0))),1,0),0)</f>
        <v>1</v>
      </c>
    </row>
    <row r="3362" customFormat="false" ht="15" hidden="false" customHeight="false" outlineLevel="0" collapsed="false">
      <c r="A3362" s="2" t="n">
        <v>3358</v>
      </c>
      <c r="B3362" s="2" t="s">
        <v>9755</v>
      </c>
      <c r="C3362" s="2" t="s">
        <v>9756</v>
      </c>
      <c r="D3362" s="2" t="s">
        <v>9757</v>
      </c>
      <c r="E3362" s="2" t="str">
        <f aca="false">LEFT(C3362,3)</f>
        <v>513</v>
      </c>
      <c r="F3362" s="2" t="str">
        <f aca="false">IF(D3362="","",LEFT(D3362,3))</f>
        <v>512</v>
      </c>
      <c r="G3362" s="2" t="str">
        <f aca="false">IF(F3362="","",IF(E3362=F3362,"Yes","No"))</f>
        <v>No</v>
      </c>
      <c r="H3362" s="2" t="n">
        <f aca="false">IF(D3362="",0,1/COUNTIF($D$2:$D$3451,D3362))</f>
        <v>1</v>
      </c>
      <c r="I3362" s="13" t="n">
        <f aca="false">IFERROR(INDEX('NCO-2015 scores'!$C$2:$C$131,MATCH(E3362,'NCO-2015 scores'!$A$2:$A$131,0)),0)</f>
        <v>0.27</v>
      </c>
      <c r="J3362" s="13" t="n">
        <f aca="false">IF(ISNUMBER(MATCH(E3362,'NCO-2015 scores'!$A$2:$A$131,0)),IF(ISNUMBER(INDEX('NCO-2015 scores'!$C$2:$C$131,MATCH(E3362,'NCO-2015 scores'!$A$2:$A$131,0))),1,0),0)</f>
        <v>1</v>
      </c>
    </row>
    <row r="3363" customFormat="false" ht="15" hidden="false" customHeight="false" outlineLevel="0" collapsed="false">
      <c r="A3363" s="2" t="n">
        <v>3359</v>
      </c>
      <c r="B3363" s="2" t="s">
        <v>9758</v>
      </c>
      <c r="C3363" s="2" t="s">
        <v>9759</v>
      </c>
      <c r="D3363" s="2" t="s">
        <v>9760</v>
      </c>
      <c r="E3363" s="2" t="str">
        <f aca="false">LEFT(C3363,3)</f>
        <v>513</v>
      </c>
      <c r="F3363" s="2" t="str">
        <f aca="false">IF(D3363="","",LEFT(D3363,3))</f>
        <v>512</v>
      </c>
      <c r="G3363" s="2" t="str">
        <f aca="false">IF(F3363="","",IF(E3363=F3363,"Yes","No"))</f>
        <v>No</v>
      </c>
      <c r="H3363" s="2" t="n">
        <f aca="false">IF(D3363="",0,1/COUNTIF($D$2:$D$3451,D3363))</f>
        <v>1</v>
      </c>
      <c r="I3363" s="13" t="n">
        <f aca="false">IFERROR(INDEX('NCO-2015 scores'!$C$2:$C$131,MATCH(E3363,'NCO-2015 scores'!$A$2:$A$131,0)),0)</f>
        <v>0.27</v>
      </c>
      <c r="J3363" s="13" t="n">
        <f aca="false">IF(ISNUMBER(MATCH(E3363,'NCO-2015 scores'!$A$2:$A$131,0)),IF(ISNUMBER(INDEX('NCO-2015 scores'!$C$2:$C$131,MATCH(E3363,'NCO-2015 scores'!$A$2:$A$131,0))),1,0),0)</f>
        <v>1</v>
      </c>
    </row>
    <row r="3364" customFormat="false" ht="15" hidden="false" customHeight="false" outlineLevel="0" collapsed="false">
      <c r="A3364" s="2" t="n">
        <v>3360</v>
      </c>
      <c r="B3364" s="2" t="s">
        <v>9761</v>
      </c>
      <c r="C3364" s="2" t="s">
        <v>9762</v>
      </c>
      <c r="D3364" s="2" t="s">
        <v>9763</v>
      </c>
      <c r="E3364" s="2" t="str">
        <f aca="false">LEFT(C3364,3)</f>
        <v>513</v>
      </c>
      <c r="F3364" s="2" t="str">
        <f aca="false">IF(D3364="","",LEFT(D3364,3))</f>
        <v>512</v>
      </c>
      <c r="G3364" s="2" t="str">
        <f aca="false">IF(F3364="","",IF(E3364=F3364,"Yes","No"))</f>
        <v>No</v>
      </c>
      <c r="H3364" s="2" t="n">
        <f aca="false">IF(D3364="",0,1/COUNTIF($D$2:$D$3451,D3364))</f>
        <v>1</v>
      </c>
      <c r="I3364" s="13" t="n">
        <f aca="false">IFERROR(INDEX('NCO-2015 scores'!$C$2:$C$131,MATCH(E3364,'NCO-2015 scores'!$A$2:$A$131,0)),0)</f>
        <v>0.27</v>
      </c>
      <c r="J3364" s="13" t="n">
        <f aca="false">IF(ISNUMBER(MATCH(E3364,'NCO-2015 scores'!$A$2:$A$131,0)),IF(ISNUMBER(INDEX('NCO-2015 scores'!$C$2:$C$131,MATCH(E3364,'NCO-2015 scores'!$A$2:$A$131,0))),1,0),0)</f>
        <v>1</v>
      </c>
    </row>
    <row r="3365" customFormat="false" ht="15" hidden="false" customHeight="false" outlineLevel="0" collapsed="false">
      <c r="A3365" s="2" t="n">
        <v>3361</v>
      </c>
      <c r="B3365" s="2" t="s">
        <v>9764</v>
      </c>
      <c r="C3365" s="2" t="s">
        <v>9765</v>
      </c>
      <c r="D3365" s="2" t="s">
        <v>9766</v>
      </c>
      <c r="E3365" s="2" t="str">
        <f aca="false">LEFT(C3365,3)</f>
        <v>513</v>
      </c>
      <c r="F3365" s="2" t="str">
        <f aca="false">IF(D3365="","",LEFT(D3365,3))</f>
        <v>512</v>
      </c>
      <c r="G3365" s="2" t="str">
        <f aca="false">IF(F3365="","",IF(E3365=F3365,"Yes","No"))</f>
        <v>No</v>
      </c>
      <c r="H3365" s="2" t="n">
        <f aca="false">IF(D3365="",0,1/COUNTIF($D$2:$D$3451,D3365))</f>
        <v>1</v>
      </c>
      <c r="I3365" s="13" t="n">
        <f aca="false">IFERROR(INDEX('NCO-2015 scores'!$C$2:$C$131,MATCH(E3365,'NCO-2015 scores'!$A$2:$A$131,0)),0)</f>
        <v>0.27</v>
      </c>
      <c r="J3365" s="13" t="n">
        <f aca="false">IF(ISNUMBER(MATCH(E3365,'NCO-2015 scores'!$A$2:$A$131,0)),IF(ISNUMBER(INDEX('NCO-2015 scores'!$C$2:$C$131,MATCH(E3365,'NCO-2015 scores'!$A$2:$A$131,0))),1,0),0)</f>
        <v>1</v>
      </c>
    </row>
    <row r="3366" customFormat="false" ht="15" hidden="false" customHeight="false" outlineLevel="0" collapsed="false">
      <c r="A3366" s="2" t="n">
        <v>3362</v>
      </c>
      <c r="B3366" s="2" t="s">
        <v>9767</v>
      </c>
      <c r="C3366" s="2" t="s">
        <v>9768</v>
      </c>
      <c r="D3366" s="2" t="s">
        <v>9769</v>
      </c>
      <c r="E3366" s="2" t="str">
        <f aca="false">LEFT(C3366,3)</f>
        <v>815</v>
      </c>
      <c r="F3366" s="2" t="str">
        <f aca="false">IF(D3366="","",LEFT(D3366,3))</f>
        <v>743</v>
      </c>
      <c r="G3366" s="2" t="str">
        <f aca="false">IF(F3366="","",IF(E3366=F3366,"Yes","No"))</f>
        <v>No</v>
      </c>
      <c r="H3366" s="2" t="n">
        <f aca="false">IF(D3366="",0,1/COUNTIF($D$2:$D$3451,D3366))</f>
        <v>1</v>
      </c>
      <c r="I3366" s="13" t="n">
        <f aca="false">IFERROR(INDEX('NCO-2015 scores'!$C$2:$C$131,MATCH(E3366,'NCO-2015 scores'!$A$2:$A$131,0)),0)</f>
        <v>0.1625</v>
      </c>
      <c r="J3366" s="13" t="n">
        <f aca="false">IF(ISNUMBER(MATCH(E3366,'NCO-2015 scores'!$A$2:$A$131,0)),IF(ISNUMBER(INDEX('NCO-2015 scores'!$C$2:$C$131,MATCH(E3366,'NCO-2015 scores'!$A$2:$A$131,0))),1,0),0)</f>
        <v>1</v>
      </c>
    </row>
    <row r="3367" customFormat="false" ht="15" hidden="false" customHeight="false" outlineLevel="0" collapsed="false">
      <c r="A3367" s="2" t="n">
        <v>3363</v>
      </c>
      <c r="B3367" s="2" t="s">
        <v>9770</v>
      </c>
      <c r="C3367" s="2" t="s">
        <v>9771</v>
      </c>
      <c r="D3367" s="2" t="s">
        <v>9772</v>
      </c>
      <c r="E3367" s="2" t="str">
        <f aca="false">LEFT(C3367,3)</f>
        <v>815</v>
      </c>
      <c r="F3367" s="2" t="str">
        <f aca="false">IF(D3367="","",LEFT(D3367,3))</f>
        <v>743</v>
      </c>
      <c r="G3367" s="2" t="str">
        <f aca="false">IF(F3367="","",IF(E3367=F3367,"Yes","No"))</f>
        <v>No</v>
      </c>
      <c r="H3367" s="2" t="n">
        <f aca="false">IF(D3367="",0,1/COUNTIF($D$2:$D$3451,D3367))</f>
        <v>1</v>
      </c>
      <c r="I3367" s="13" t="n">
        <f aca="false">IFERROR(INDEX('NCO-2015 scores'!$C$2:$C$131,MATCH(E3367,'NCO-2015 scores'!$A$2:$A$131,0)),0)</f>
        <v>0.1625</v>
      </c>
      <c r="J3367" s="13" t="n">
        <f aca="false">IF(ISNUMBER(MATCH(E3367,'NCO-2015 scores'!$A$2:$A$131,0)),IF(ISNUMBER(INDEX('NCO-2015 scores'!$C$2:$C$131,MATCH(E3367,'NCO-2015 scores'!$A$2:$A$131,0))),1,0),0)</f>
        <v>1</v>
      </c>
    </row>
    <row r="3368" customFormat="false" ht="15" hidden="false" customHeight="false" outlineLevel="0" collapsed="false">
      <c r="A3368" s="2" t="n">
        <v>3364</v>
      </c>
      <c r="B3368" s="2" t="s">
        <v>9773</v>
      </c>
      <c r="C3368" s="2" t="s">
        <v>9774</v>
      </c>
      <c r="D3368" s="2" t="s">
        <v>9775</v>
      </c>
      <c r="E3368" s="2" t="str">
        <f aca="false">LEFT(C3368,3)</f>
        <v>815</v>
      </c>
      <c r="F3368" s="2" t="str">
        <f aca="false">IF(D3368="","",LEFT(D3368,3))</f>
        <v>826</v>
      </c>
      <c r="G3368" s="2" t="str">
        <f aca="false">IF(F3368="","",IF(E3368=F3368,"Yes","No"))</f>
        <v>No</v>
      </c>
      <c r="H3368" s="2" t="n">
        <f aca="false">IF(D3368="",0,1/COUNTIF($D$2:$D$3451,D3368))</f>
        <v>1</v>
      </c>
      <c r="I3368" s="13" t="n">
        <f aca="false">IFERROR(INDEX('NCO-2015 scores'!$C$2:$C$131,MATCH(E3368,'NCO-2015 scores'!$A$2:$A$131,0)),0)</f>
        <v>0.1625</v>
      </c>
      <c r="J3368" s="13" t="n">
        <f aca="false">IF(ISNUMBER(MATCH(E3368,'NCO-2015 scores'!$A$2:$A$131,0)),IF(ISNUMBER(INDEX('NCO-2015 scores'!$C$2:$C$131,MATCH(E3368,'NCO-2015 scores'!$A$2:$A$131,0))),1,0),0)</f>
        <v>1</v>
      </c>
    </row>
    <row r="3369" customFormat="false" ht="15" hidden="false" customHeight="false" outlineLevel="0" collapsed="false">
      <c r="A3369" s="2" t="n">
        <v>3365</v>
      </c>
      <c r="B3369" s="2" t="s">
        <v>9776</v>
      </c>
      <c r="C3369" s="2" t="s">
        <v>9777</v>
      </c>
      <c r="D3369" s="2" t="s">
        <v>9778</v>
      </c>
      <c r="E3369" s="2" t="str">
        <f aca="false">LEFT(C3369,3)</f>
        <v>815</v>
      </c>
      <c r="F3369" s="2" t="str">
        <f aca="false">IF(D3369="","",LEFT(D3369,3))</f>
        <v>826</v>
      </c>
      <c r="G3369" s="2" t="str">
        <f aca="false">IF(F3369="","",IF(E3369=F3369,"Yes","No"))</f>
        <v>No</v>
      </c>
      <c r="H3369" s="2" t="n">
        <f aca="false">IF(D3369="",0,1/COUNTIF($D$2:$D$3451,D3369))</f>
        <v>1</v>
      </c>
      <c r="I3369" s="13" t="n">
        <f aca="false">IFERROR(INDEX('NCO-2015 scores'!$C$2:$C$131,MATCH(E3369,'NCO-2015 scores'!$A$2:$A$131,0)),0)</f>
        <v>0.1625</v>
      </c>
      <c r="J3369" s="13" t="n">
        <f aca="false">IF(ISNUMBER(MATCH(E3369,'NCO-2015 scores'!$A$2:$A$131,0)),IF(ISNUMBER(INDEX('NCO-2015 scores'!$C$2:$C$131,MATCH(E3369,'NCO-2015 scores'!$A$2:$A$131,0))),1,0),0)</f>
        <v>1</v>
      </c>
    </row>
    <row r="3370" customFormat="false" ht="15" hidden="false" customHeight="false" outlineLevel="0" collapsed="false">
      <c r="A3370" s="2" t="n">
        <v>3366</v>
      </c>
      <c r="B3370" s="2" t="s">
        <v>9779</v>
      </c>
      <c r="C3370" s="2" t="s">
        <v>9780</v>
      </c>
      <c r="D3370" s="2" t="s">
        <v>9781</v>
      </c>
      <c r="E3370" s="2" t="str">
        <f aca="false">LEFT(C3370,3)</f>
        <v>815</v>
      </c>
      <c r="F3370" s="2" t="str">
        <f aca="false">IF(D3370="","",LEFT(D3370,3))</f>
        <v>826</v>
      </c>
      <c r="G3370" s="2" t="str">
        <f aca="false">IF(F3370="","",IF(E3370=F3370,"Yes","No"))</f>
        <v>No</v>
      </c>
      <c r="H3370" s="2" t="n">
        <f aca="false">IF(D3370="",0,1/COUNTIF($D$2:$D$3451,D3370))</f>
        <v>1</v>
      </c>
      <c r="I3370" s="13" t="n">
        <f aca="false">IFERROR(INDEX('NCO-2015 scores'!$C$2:$C$131,MATCH(E3370,'NCO-2015 scores'!$A$2:$A$131,0)),0)</f>
        <v>0.1625</v>
      </c>
      <c r="J3370" s="13" t="n">
        <f aca="false">IF(ISNUMBER(MATCH(E3370,'NCO-2015 scores'!$A$2:$A$131,0)),IF(ISNUMBER(INDEX('NCO-2015 scores'!$C$2:$C$131,MATCH(E3370,'NCO-2015 scores'!$A$2:$A$131,0))),1,0),0)</f>
        <v>1</v>
      </c>
    </row>
    <row r="3371" customFormat="false" ht="15" hidden="false" customHeight="false" outlineLevel="0" collapsed="false">
      <c r="A3371" s="2" t="n">
        <v>3367</v>
      </c>
      <c r="B3371" s="2" t="s">
        <v>9782</v>
      </c>
      <c r="C3371" s="2" t="s">
        <v>9783</v>
      </c>
      <c r="D3371" s="2" t="s">
        <v>9784</v>
      </c>
      <c r="E3371" s="2" t="str">
        <f aca="false">LEFT(C3371,3)</f>
        <v>815</v>
      </c>
      <c r="F3371" s="2" t="str">
        <f aca="false">IF(D3371="","",LEFT(D3371,3))</f>
        <v>826</v>
      </c>
      <c r="G3371" s="2" t="str">
        <f aca="false">IF(F3371="","",IF(E3371=F3371,"Yes","No"))</f>
        <v>No</v>
      </c>
      <c r="H3371" s="2" t="n">
        <f aca="false">IF(D3371="",0,1/COUNTIF($D$2:$D$3451,D3371))</f>
        <v>1</v>
      </c>
      <c r="I3371" s="13" t="n">
        <f aca="false">IFERROR(INDEX('NCO-2015 scores'!$C$2:$C$131,MATCH(E3371,'NCO-2015 scores'!$A$2:$A$131,0)),0)</f>
        <v>0.1625</v>
      </c>
      <c r="J3371" s="13" t="n">
        <f aca="false">IF(ISNUMBER(MATCH(E3371,'NCO-2015 scores'!$A$2:$A$131,0)),IF(ISNUMBER(INDEX('NCO-2015 scores'!$C$2:$C$131,MATCH(E3371,'NCO-2015 scores'!$A$2:$A$131,0))),1,0),0)</f>
        <v>1</v>
      </c>
    </row>
    <row r="3372" customFormat="false" ht="15" hidden="false" customHeight="false" outlineLevel="0" collapsed="false">
      <c r="A3372" s="2" t="n">
        <v>3368</v>
      </c>
      <c r="B3372" s="2" t="s">
        <v>9785</v>
      </c>
      <c r="C3372" s="2" t="s">
        <v>9786</v>
      </c>
      <c r="D3372" s="2" t="s">
        <v>9787</v>
      </c>
      <c r="E3372" s="2" t="str">
        <f aca="false">LEFT(C3372,3)</f>
        <v>815</v>
      </c>
      <c r="F3372" s="2" t="str">
        <f aca="false">IF(D3372="","",LEFT(D3372,3))</f>
        <v>826</v>
      </c>
      <c r="G3372" s="2" t="str">
        <f aca="false">IF(F3372="","",IF(E3372=F3372,"Yes","No"))</f>
        <v>No</v>
      </c>
      <c r="H3372" s="2" t="n">
        <f aca="false">IF(D3372="",0,1/COUNTIF($D$2:$D$3451,D3372))</f>
        <v>1</v>
      </c>
      <c r="I3372" s="13" t="n">
        <f aca="false">IFERROR(INDEX('NCO-2015 scores'!$C$2:$C$131,MATCH(E3372,'NCO-2015 scores'!$A$2:$A$131,0)),0)</f>
        <v>0.1625</v>
      </c>
      <c r="J3372" s="13" t="n">
        <f aca="false">IF(ISNUMBER(MATCH(E3372,'NCO-2015 scores'!$A$2:$A$131,0)),IF(ISNUMBER(INDEX('NCO-2015 scores'!$C$2:$C$131,MATCH(E3372,'NCO-2015 scores'!$A$2:$A$131,0))),1,0),0)</f>
        <v>1</v>
      </c>
    </row>
    <row r="3373" customFormat="false" ht="15" hidden="false" customHeight="false" outlineLevel="0" collapsed="false">
      <c r="A3373" s="2" t="n">
        <v>3369</v>
      </c>
      <c r="B3373" s="2" t="s">
        <v>9788</v>
      </c>
      <c r="C3373" s="2" t="s">
        <v>9789</v>
      </c>
      <c r="D3373" s="2" t="s">
        <v>9790</v>
      </c>
      <c r="E3373" s="2" t="str">
        <f aca="false">LEFT(C3373,3)</f>
        <v>815</v>
      </c>
      <c r="F3373" s="2" t="str">
        <f aca="false">IF(D3373="","",LEFT(D3373,3))</f>
        <v>826</v>
      </c>
      <c r="G3373" s="2" t="str">
        <f aca="false">IF(F3373="","",IF(E3373=F3373,"Yes","No"))</f>
        <v>No</v>
      </c>
      <c r="H3373" s="2" t="n">
        <f aca="false">IF(D3373="",0,1/COUNTIF($D$2:$D$3451,D3373))</f>
        <v>1</v>
      </c>
      <c r="I3373" s="13" t="n">
        <f aca="false">IFERROR(INDEX('NCO-2015 scores'!$C$2:$C$131,MATCH(E3373,'NCO-2015 scores'!$A$2:$A$131,0)),0)</f>
        <v>0.1625</v>
      </c>
      <c r="J3373" s="13" t="n">
        <f aca="false">IF(ISNUMBER(MATCH(E3373,'NCO-2015 scores'!$A$2:$A$131,0)),IF(ISNUMBER(INDEX('NCO-2015 scores'!$C$2:$C$131,MATCH(E3373,'NCO-2015 scores'!$A$2:$A$131,0))),1,0),0)</f>
        <v>1</v>
      </c>
    </row>
    <row r="3374" customFormat="false" ht="15" hidden="false" customHeight="false" outlineLevel="0" collapsed="false">
      <c r="A3374" s="2" t="n">
        <v>3370</v>
      </c>
      <c r="B3374" s="2" t="s">
        <v>9791</v>
      </c>
      <c r="C3374" s="2" t="s">
        <v>9792</v>
      </c>
      <c r="D3374" s="2" t="s">
        <v>9793</v>
      </c>
      <c r="E3374" s="2" t="str">
        <f aca="false">LEFT(C3374,3)</f>
        <v>815</v>
      </c>
      <c r="F3374" s="2" t="str">
        <f aca="false">IF(D3374="","",LEFT(D3374,3))</f>
        <v>826</v>
      </c>
      <c r="G3374" s="2" t="str">
        <f aca="false">IF(F3374="","",IF(E3374=F3374,"Yes","No"))</f>
        <v>No</v>
      </c>
      <c r="H3374" s="2" t="n">
        <f aca="false">IF(D3374="",0,1/COUNTIF($D$2:$D$3451,D3374))</f>
        <v>1</v>
      </c>
      <c r="I3374" s="13" t="n">
        <f aca="false">IFERROR(INDEX('NCO-2015 scores'!$C$2:$C$131,MATCH(E3374,'NCO-2015 scores'!$A$2:$A$131,0)),0)</f>
        <v>0.1625</v>
      </c>
      <c r="J3374" s="13" t="n">
        <f aca="false">IF(ISNUMBER(MATCH(E3374,'NCO-2015 scores'!$A$2:$A$131,0)),IF(ISNUMBER(INDEX('NCO-2015 scores'!$C$2:$C$131,MATCH(E3374,'NCO-2015 scores'!$A$2:$A$131,0))),1,0),0)</f>
        <v>1</v>
      </c>
    </row>
    <row r="3375" customFormat="false" ht="15" hidden="false" customHeight="false" outlineLevel="0" collapsed="false">
      <c r="A3375" s="2" t="n">
        <v>3371</v>
      </c>
      <c r="B3375" s="2" t="s">
        <v>9794</v>
      </c>
      <c r="C3375" s="2" t="s">
        <v>9795</v>
      </c>
      <c r="D3375" s="2" t="s">
        <v>9796</v>
      </c>
      <c r="E3375" s="2" t="str">
        <f aca="false">LEFT(C3375,3)</f>
        <v>815</v>
      </c>
      <c r="F3375" s="2" t="str">
        <f aca="false">IF(D3375="","",LEFT(D3375,3))</f>
        <v>826</v>
      </c>
      <c r="G3375" s="2" t="str">
        <f aca="false">IF(F3375="","",IF(E3375=F3375,"Yes","No"))</f>
        <v>No</v>
      </c>
      <c r="H3375" s="2" t="n">
        <f aca="false">IF(D3375="",0,1/COUNTIF($D$2:$D$3451,D3375))</f>
        <v>1</v>
      </c>
      <c r="I3375" s="13" t="n">
        <f aca="false">IFERROR(INDEX('NCO-2015 scores'!$C$2:$C$131,MATCH(E3375,'NCO-2015 scores'!$A$2:$A$131,0)),0)</f>
        <v>0.1625</v>
      </c>
      <c r="J3375" s="13" t="n">
        <f aca="false">IF(ISNUMBER(MATCH(E3375,'NCO-2015 scores'!$A$2:$A$131,0)),IF(ISNUMBER(INDEX('NCO-2015 scores'!$C$2:$C$131,MATCH(E3375,'NCO-2015 scores'!$A$2:$A$131,0))),1,0),0)</f>
        <v>1</v>
      </c>
    </row>
    <row r="3376" customFormat="false" ht="15" hidden="false" customHeight="false" outlineLevel="0" collapsed="false">
      <c r="A3376" s="2" t="n">
        <v>3372</v>
      </c>
      <c r="B3376" s="2" t="s">
        <v>9797</v>
      </c>
      <c r="C3376" s="2" t="s">
        <v>9798</v>
      </c>
      <c r="D3376" s="2" t="s">
        <v>9799</v>
      </c>
      <c r="E3376" s="2" t="str">
        <f aca="false">LEFT(C3376,3)</f>
        <v>815</v>
      </c>
      <c r="F3376" s="2" t="str">
        <f aca="false">IF(D3376="","",LEFT(D3376,3))</f>
        <v>826</v>
      </c>
      <c r="G3376" s="2" t="str">
        <f aca="false">IF(F3376="","",IF(E3376=F3376,"Yes","No"))</f>
        <v>No</v>
      </c>
      <c r="H3376" s="2" t="n">
        <f aca="false">IF(D3376="",0,1/COUNTIF($D$2:$D$3451,D3376))</f>
        <v>1</v>
      </c>
      <c r="I3376" s="13" t="n">
        <f aca="false">IFERROR(INDEX('NCO-2015 scores'!$C$2:$C$131,MATCH(E3376,'NCO-2015 scores'!$A$2:$A$131,0)),0)</f>
        <v>0.1625</v>
      </c>
      <c r="J3376" s="13" t="n">
        <f aca="false">IF(ISNUMBER(MATCH(E3376,'NCO-2015 scores'!$A$2:$A$131,0)),IF(ISNUMBER(INDEX('NCO-2015 scores'!$C$2:$C$131,MATCH(E3376,'NCO-2015 scores'!$A$2:$A$131,0))),1,0),0)</f>
        <v>1</v>
      </c>
    </row>
    <row r="3377" customFormat="false" ht="15" hidden="false" customHeight="false" outlineLevel="0" collapsed="false">
      <c r="A3377" s="2" t="n">
        <v>3373</v>
      </c>
      <c r="B3377" s="2" t="s">
        <v>9800</v>
      </c>
      <c r="C3377" s="2" t="s">
        <v>9801</v>
      </c>
      <c r="D3377" s="2" t="s">
        <v>9802</v>
      </c>
      <c r="E3377" s="2" t="str">
        <f aca="false">LEFT(C3377,3)</f>
        <v>815</v>
      </c>
      <c r="F3377" s="2" t="str">
        <f aca="false">IF(D3377="","",LEFT(D3377,3))</f>
        <v>826</v>
      </c>
      <c r="G3377" s="2" t="str">
        <f aca="false">IF(F3377="","",IF(E3377=F3377,"Yes","No"))</f>
        <v>No</v>
      </c>
      <c r="H3377" s="2" t="n">
        <f aca="false">IF(D3377="",0,1/COUNTIF($D$2:$D$3451,D3377))</f>
        <v>1</v>
      </c>
      <c r="I3377" s="13" t="n">
        <f aca="false">IFERROR(INDEX('NCO-2015 scores'!$C$2:$C$131,MATCH(E3377,'NCO-2015 scores'!$A$2:$A$131,0)),0)</f>
        <v>0.1625</v>
      </c>
      <c r="J3377" s="13" t="n">
        <f aca="false">IF(ISNUMBER(MATCH(E3377,'NCO-2015 scores'!$A$2:$A$131,0)),IF(ISNUMBER(INDEX('NCO-2015 scores'!$C$2:$C$131,MATCH(E3377,'NCO-2015 scores'!$A$2:$A$131,0))),1,0),0)</f>
        <v>1</v>
      </c>
    </row>
    <row r="3378" customFormat="false" ht="15" hidden="false" customHeight="false" outlineLevel="0" collapsed="false">
      <c r="A3378" s="2" t="n">
        <v>3374</v>
      </c>
      <c r="B3378" s="2" t="s">
        <v>9803</v>
      </c>
      <c r="C3378" s="2" t="s">
        <v>9804</v>
      </c>
      <c r="D3378" s="2" t="s">
        <v>9805</v>
      </c>
      <c r="E3378" s="2" t="str">
        <f aca="false">LEFT(C3378,3)</f>
        <v>815</v>
      </c>
      <c r="F3378" s="2" t="str">
        <f aca="false">IF(D3378="","",LEFT(D3378,3))</f>
        <v>826</v>
      </c>
      <c r="G3378" s="2" t="str">
        <f aca="false">IF(F3378="","",IF(E3378=F3378,"Yes","No"))</f>
        <v>No</v>
      </c>
      <c r="H3378" s="2" t="n">
        <f aca="false">IF(D3378="",0,1/COUNTIF($D$2:$D$3451,D3378))</f>
        <v>1</v>
      </c>
      <c r="I3378" s="13" t="n">
        <f aca="false">IFERROR(INDEX('NCO-2015 scores'!$C$2:$C$131,MATCH(E3378,'NCO-2015 scores'!$A$2:$A$131,0)),0)</f>
        <v>0.1625</v>
      </c>
      <c r="J3378" s="13" t="n">
        <f aca="false">IF(ISNUMBER(MATCH(E3378,'NCO-2015 scores'!$A$2:$A$131,0)),IF(ISNUMBER(INDEX('NCO-2015 scores'!$C$2:$C$131,MATCH(E3378,'NCO-2015 scores'!$A$2:$A$131,0))),1,0),0)</f>
        <v>1</v>
      </c>
    </row>
    <row r="3379" customFormat="false" ht="15" hidden="false" customHeight="false" outlineLevel="0" collapsed="false">
      <c r="A3379" s="2" t="n">
        <v>3375</v>
      </c>
      <c r="B3379" s="2" t="s">
        <v>9806</v>
      </c>
      <c r="C3379" s="2" t="s">
        <v>9807</v>
      </c>
      <c r="D3379" s="2" t="s">
        <v>9808</v>
      </c>
      <c r="E3379" s="2" t="str">
        <f aca="false">LEFT(C3379,3)</f>
        <v>815</v>
      </c>
      <c r="F3379" s="2" t="str">
        <f aca="false">IF(D3379="","",LEFT(D3379,3))</f>
        <v>826</v>
      </c>
      <c r="G3379" s="2" t="str">
        <f aca="false">IF(F3379="","",IF(E3379=F3379,"Yes","No"))</f>
        <v>No</v>
      </c>
      <c r="H3379" s="2" t="n">
        <f aca="false">IF(D3379="",0,1/COUNTIF($D$2:$D$3451,D3379))</f>
        <v>1</v>
      </c>
      <c r="I3379" s="13" t="n">
        <f aca="false">IFERROR(INDEX('NCO-2015 scores'!$C$2:$C$131,MATCH(E3379,'NCO-2015 scores'!$A$2:$A$131,0)),0)</f>
        <v>0.1625</v>
      </c>
      <c r="J3379" s="13" t="n">
        <f aca="false">IF(ISNUMBER(MATCH(E3379,'NCO-2015 scores'!$A$2:$A$131,0)),IF(ISNUMBER(INDEX('NCO-2015 scores'!$C$2:$C$131,MATCH(E3379,'NCO-2015 scores'!$A$2:$A$131,0))),1,0),0)</f>
        <v>1</v>
      </c>
    </row>
    <row r="3380" customFormat="false" ht="15" hidden="false" customHeight="false" outlineLevel="0" collapsed="false">
      <c r="A3380" s="2" t="n">
        <v>3376</v>
      </c>
      <c r="B3380" s="2" t="s">
        <v>9809</v>
      </c>
      <c r="C3380" s="2" t="s">
        <v>9810</v>
      </c>
      <c r="D3380" s="2" t="s">
        <v>9811</v>
      </c>
      <c r="E3380" s="2" t="str">
        <f aca="false">LEFT(C3380,3)</f>
        <v>815</v>
      </c>
      <c r="F3380" s="2" t="str">
        <f aca="false">IF(D3380="","",LEFT(D3380,3))</f>
        <v>826</v>
      </c>
      <c r="G3380" s="2" t="str">
        <f aca="false">IF(F3380="","",IF(E3380=F3380,"Yes","No"))</f>
        <v>No</v>
      </c>
      <c r="H3380" s="2" t="n">
        <f aca="false">IF(D3380="",0,1/COUNTIF($D$2:$D$3451,D3380))</f>
        <v>1</v>
      </c>
      <c r="I3380" s="13" t="n">
        <f aca="false">IFERROR(INDEX('NCO-2015 scores'!$C$2:$C$131,MATCH(E3380,'NCO-2015 scores'!$A$2:$A$131,0)),0)</f>
        <v>0.1625</v>
      </c>
      <c r="J3380" s="13" t="n">
        <f aca="false">IF(ISNUMBER(MATCH(E3380,'NCO-2015 scores'!$A$2:$A$131,0)),IF(ISNUMBER(INDEX('NCO-2015 scores'!$C$2:$C$131,MATCH(E3380,'NCO-2015 scores'!$A$2:$A$131,0))),1,0),0)</f>
        <v>1</v>
      </c>
    </row>
    <row r="3381" customFormat="false" ht="15" hidden="false" customHeight="false" outlineLevel="0" collapsed="false">
      <c r="A3381" s="2" t="n">
        <v>3377</v>
      </c>
      <c r="B3381" s="2" t="s">
        <v>9812</v>
      </c>
      <c r="C3381" s="2" t="s">
        <v>9813</v>
      </c>
      <c r="D3381" s="2" t="s">
        <v>9814</v>
      </c>
      <c r="E3381" s="2" t="str">
        <f aca="false">LEFT(C3381,3)</f>
        <v>815</v>
      </c>
      <c r="F3381" s="2" t="str">
        <f aca="false">IF(D3381="","",LEFT(D3381,3))</f>
        <v>826</v>
      </c>
      <c r="G3381" s="2" t="str">
        <f aca="false">IF(F3381="","",IF(E3381=F3381,"Yes","No"))</f>
        <v>No</v>
      </c>
      <c r="H3381" s="2" t="n">
        <f aca="false">IF(D3381="",0,1/COUNTIF($D$2:$D$3451,D3381))</f>
        <v>1</v>
      </c>
      <c r="I3381" s="13" t="n">
        <f aca="false">IFERROR(INDEX('NCO-2015 scores'!$C$2:$C$131,MATCH(E3381,'NCO-2015 scores'!$A$2:$A$131,0)),0)</f>
        <v>0.1625</v>
      </c>
      <c r="J3381" s="13" t="n">
        <f aca="false">IF(ISNUMBER(MATCH(E3381,'NCO-2015 scores'!$A$2:$A$131,0)),IF(ISNUMBER(INDEX('NCO-2015 scores'!$C$2:$C$131,MATCH(E3381,'NCO-2015 scores'!$A$2:$A$131,0))),1,0),0)</f>
        <v>1</v>
      </c>
    </row>
    <row r="3382" customFormat="false" ht="15" hidden="false" customHeight="false" outlineLevel="0" collapsed="false">
      <c r="A3382" s="2" t="n">
        <v>3378</v>
      </c>
      <c r="B3382" s="2" t="s">
        <v>9815</v>
      </c>
      <c r="C3382" s="2" t="s">
        <v>9816</v>
      </c>
      <c r="D3382" s="2" t="s">
        <v>9817</v>
      </c>
      <c r="E3382" s="2" t="str">
        <f aca="false">LEFT(C3382,3)</f>
        <v>815</v>
      </c>
      <c r="F3382" s="2" t="str">
        <f aca="false">IF(D3382="","",LEFT(D3382,3))</f>
        <v>826</v>
      </c>
      <c r="G3382" s="2" t="str">
        <f aca="false">IF(F3382="","",IF(E3382=F3382,"Yes","No"))</f>
        <v>No</v>
      </c>
      <c r="H3382" s="2" t="n">
        <f aca="false">IF(D3382="",0,1/COUNTIF($D$2:$D$3451,D3382))</f>
        <v>1</v>
      </c>
      <c r="I3382" s="13" t="n">
        <f aca="false">IFERROR(INDEX('NCO-2015 scores'!$C$2:$C$131,MATCH(E3382,'NCO-2015 scores'!$A$2:$A$131,0)),0)</f>
        <v>0.1625</v>
      </c>
      <c r="J3382" s="13" t="n">
        <f aca="false">IF(ISNUMBER(MATCH(E3382,'NCO-2015 scores'!$A$2:$A$131,0)),IF(ISNUMBER(INDEX('NCO-2015 scores'!$C$2:$C$131,MATCH(E3382,'NCO-2015 scores'!$A$2:$A$131,0))),1,0),0)</f>
        <v>1</v>
      </c>
    </row>
    <row r="3383" customFormat="false" ht="15" hidden="false" customHeight="false" outlineLevel="0" collapsed="false">
      <c r="A3383" s="2" t="n">
        <v>3379</v>
      </c>
      <c r="B3383" s="2" t="s">
        <v>9818</v>
      </c>
      <c r="C3383" s="2" t="s">
        <v>9819</v>
      </c>
      <c r="D3383" s="2" t="s">
        <v>9820</v>
      </c>
      <c r="E3383" s="2" t="str">
        <f aca="false">LEFT(C3383,3)</f>
        <v>815</v>
      </c>
      <c r="F3383" s="2" t="str">
        <f aca="false">IF(D3383="","",LEFT(D3383,3))</f>
        <v>826</v>
      </c>
      <c r="G3383" s="2" t="str">
        <f aca="false">IF(F3383="","",IF(E3383=F3383,"Yes","No"))</f>
        <v>No</v>
      </c>
      <c r="H3383" s="2" t="n">
        <f aca="false">IF(D3383="",0,1/COUNTIF($D$2:$D$3451,D3383))</f>
        <v>1</v>
      </c>
      <c r="I3383" s="13" t="n">
        <f aca="false">IFERROR(INDEX('NCO-2015 scores'!$C$2:$C$131,MATCH(E3383,'NCO-2015 scores'!$A$2:$A$131,0)),0)</f>
        <v>0.1625</v>
      </c>
      <c r="J3383" s="13" t="n">
        <f aca="false">IF(ISNUMBER(MATCH(E3383,'NCO-2015 scores'!$A$2:$A$131,0)),IF(ISNUMBER(INDEX('NCO-2015 scores'!$C$2:$C$131,MATCH(E3383,'NCO-2015 scores'!$A$2:$A$131,0))),1,0),0)</f>
        <v>1</v>
      </c>
    </row>
    <row r="3384" customFormat="false" ht="15" hidden="false" customHeight="false" outlineLevel="0" collapsed="false">
      <c r="A3384" s="2" t="n">
        <v>3380</v>
      </c>
      <c r="B3384" s="2" t="s">
        <v>9821</v>
      </c>
      <c r="C3384" s="2" t="s">
        <v>9822</v>
      </c>
      <c r="D3384" s="2" t="s">
        <v>9823</v>
      </c>
      <c r="E3384" s="2" t="str">
        <f aca="false">LEFT(C3384,3)</f>
        <v>815</v>
      </c>
      <c r="F3384" s="2" t="str">
        <f aca="false">IF(D3384="","",LEFT(D3384,3))</f>
        <v>826</v>
      </c>
      <c r="G3384" s="2" t="str">
        <f aca="false">IF(F3384="","",IF(E3384=F3384,"Yes","No"))</f>
        <v>No</v>
      </c>
      <c r="H3384" s="2" t="n">
        <f aca="false">IF(D3384="",0,1/COUNTIF($D$2:$D$3451,D3384))</f>
        <v>1</v>
      </c>
      <c r="I3384" s="13" t="n">
        <f aca="false">IFERROR(INDEX('NCO-2015 scores'!$C$2:$C$131,MATCH(E3384,'NCO-2015 scores'!$A$2:$A$131,0)),0)</f>
        <v>0.1625</v>
      </c>
      <c r="J3384" s="13" t="n">
        <f aca="false">IF(ISNUMBER(MATCH(E3384,'NCO-2015 scores'!$A$2:$A$131,0)),IF(ISNUMBER(INDEX('NCO-2015 scores'!$C$2:$C$131,MATCH(E3384,'NCO-2015 scores'!$A$2:$A$131,0))),1,0),0)</f>
        <v>1</v>
      </c>
    </row>
    <row r="3385" customFormat="false" ht="15" hidden="false" customHeight="false" outlineLevel="0" collapsed="false">
      <c r="A3385" s="2" t="n">
        <v>3381</v>
      </c>
      <c r="B3385" s="2" t="s">
        <v>9824</v>
      </c>
      <c r="C3385" s="2" t="s">
        <v>9825</v>
      </c>
      <c r="D3385" s="2"/>
      <c r="E3385" s="2" t="str">
        <f aca="false">LEFT(C3385,3)</f>
        <v>251</v>
      </c>
      <c r="F3385" s="2" t="str">
        <f aca="false">IF(D3385="","",LEFT(D3385,3))</f>
        <v/>
      </c>
      <c r="G3385" s="2" t="str">
        <f aca="false">IF(F3385="","",IF(E3385=F3385,"Yes","No"))</f>
        <v/>
      </c>
      <c r="H3385" s="2" t="n">
        <f aca="false">IF(D3385="",0,1/COUNTIF($D$2:$D$3451,D3385))</f>
        <v>0</v>
      </c>
      <c r="I3385" s="13" t="n">
        <f aca="false">IFERROR(INDEX('NCO-2015 scores'!$C$2:$C$131,MATCH(E3385,'NCO-2015 scores'!$A$2:$A$131,0)),0)</f>
        <v>0.548</v>
      </c>
      <c r="J3385" s="13" t="n">
        <f aca="false">IF(ISNUMBER(MATCH(E3385,'NCO-2015 scores'!$A$2:$A$131,0)),IF(ISNUMBER(INDEX('NCO-2015 scores'!$C$2:$C$131,MATCH(E3385,'NCO-2015 scores'!$A$2:$A$131,0))),1,0),0)</f>
        <v>1</v>
      </c>
    </row>
    <row r="3386" customFormat="false" ht="15" hidden="false" customHeight="false" outlineLevel="0" collapsed="false">
      <c r="A3386" s="2" t="n">
        <v>3382</v>
      </c>
      <c r="B3386" s="2" t="s">
        <v>9826</v>
      </c>
      <c r="C3386" s="2" t="s">
        <v>9827</v>
      </c>
      <c r="D3386" s="2"/>
      <c r="E3386" s="2" t="str">
        <f aca="false">LEFT(C3386,3)</f>
        <v>251</v>
      </c>
      <c r="F3386" s="2" t="str">
        <f aca="false">IF(D3386="","",LEFT(D3386,3))</f>
        <v/>
      </c>
      <c r="G3386" s="2" t="str">
        <f aca="false">IF(F3386="","",IF(E3386=F3386,"Yes","No"))</f>
        <v/>
      </c>
      <c r="H3386" s="2" t="n">
        <f aca="false">IF(D3386="",0,1/COUNTIF($D$2:$D$3451,D3386))</f>
        <v>0</v>
      </c>
      <c r="I3386" s="13" t="n">
        <f aca="false">IFERROR(INDEX('NCO-2015 scores'!$C$2:$C$131,MATCH(E3386,'NCO-2015 scores'!$A$2:$A$131,0)),0)</f>
        <v>0.548</v>
      </c>
      <c r="J3386" s="13" t="n">
        <f aca="false">IF(ISNUMBER(MATCH(E3386,'NCO-2015 scores'!$A$2:$A$131,0)),IF(ISNUMBER(INDEX('NCO-2015 scores'!$C$2:$C$131,MATCH(E3386,'NCO-2015 scores'!$A$2:$A$131,0))),1,0),0)</f>
        <v>1</v>
      </c>
    </row>
    <row r="3387" customFormat="false" ht="15" hidden="false" customHeight="false" outlineLevel="0" collapsed="false">
      <c r="A3387" s="2" t="n">
        <v>3383</v>
      </c>
      <c r="B3387" s="2" t="s">
        <v>9828</v>
      </c>
      <c r="C3387" s="2" t="s">
        <v>9829</v>
      </c>
      <c r="D3387" s="2"/>
      <c r="E3387" s="2" t="str">
        <f aca="false">LEFT(C3387,3)</f>
        <v>251</v>
      </c>
      <c r="F3387" s="2" t="str">
        <f aca="false">IF(D3387="","",LEFT(D3387,3))</f>
        <v/>
      </c>
      <c r="G3387" s="2" t="str">
        <f aca="false">IF(F3387="","",IF(E3387=F3387,"Yes","No"))</f>
        <v/>
      </c>
      <c r="H3387" s="2" t="n">
        <f aca="false">IF(D3387="",0,1/COUNTIF($D$2:$D$3451,D3387))</f>
        <v>0</v>
      </c>
      <c r="I3387" s="13" t="n">
        <f aca="false">IFERROR(INDEX('NCO-2015 scores'!$C$2:$C$131,MATCH(E3387,'NCO-2015 scores'!$A$2:$A$131,0)),0)</f>
        <v>0.548</v>
      </c>
      <c r="J3387" s="13" t="n">
        <f aca="false">IF(ISNUMBER(MATCH(E3387,'NCO-2015 scores'!$A$2:$A$131,0)),IF(ISNUMBER(INDEX('NCO-2015 scores'!$C$2:$C$131,MATCH(E3387,'NCO-2015 scores'!$A$2:$A$131,0))),1,0),0)</f>
        <v>1</v>
      </c>
    </row>
    <row r="3388" customFormat="false" ht="15" hidden="false" customHeight="false" outlineLevel="0" collapsed="false">
      <c r="A3388" s="2" t="n">
        <v>3384</v>
      </c>
      <c r="B3388" s="2" t="s">
        <v>9830</v>
      </c>
      <c r="C3388" s="2" t="s">
        <v>9831</v>
      </c>
      <c r="D3388" s="2"/>
      <c r="E3388" s="2" t="str">
        <f aca="false">LEFT(C3388,3)</f>
        <v>251</v>
      </c>
      <c r="F3388" s="2" t="str">
        <f aca="false">IF(D3388="","",LEFT(D3388,3))</f>
        <v/>
      </c>
      <c r="G3388" s="2" t="str">
        <f aca="false">IF(F3388="","",IF(E3388=F3388,"Yes","No"))</f>
        <v/>
      </c>
      <c r="H3388" s="2" t="n">
        <f aca="false">IF(D3388="",0,1/COUNTIF($D$2:$D$3451,D3388))</f>
        <v>0</v>
      </c>
      <c r="I3388" s="13" t="n">
        <f aca="false">IFERROR(INDEX('NCO-2015 scores'!$C$2:$C$131,MATCH(E3388,'NCO-2015 scores'!$A$2:$A$131,0)),0)</f>
        <v>0.548</v>
      </c>
      <c r="J3388" s="13" t="n">
        <f aca="false">IF(ISNUMBER(MATCH(E3388,'NCO-2015 scores'!$A$2:$A$131,0)),IF(ISNUMBER(INDEX('NCO-2015 scores'!$C$2:$C$131,MATCH(E3388,'NCO-2015 scores'!$A$2:$A$131,0))),1,0),0)</f>
        <v>1</v>
      </c>
    </row>
    <row r="3389" customFormat="false" ht="15" hidden="false" customHeight="false" outlineLevel="0" collapsed="false">
      <c r="A3389" s="2" t="n">
        <v>3385</v>
      </c>
      <c r="B3389" s="2" t="s">
        <v>9832</v>
      </c>
      <c r="C3389" s="2" t="s">
        <v>9833</v>
      </c>
      <c r="D3389" s="2" t="s">
        <v>9834</v>
      </c>
      <c r="E3389" s="2" t="str">
        <f aca="false">LEFT(C3389,3)</f>
        <v>721</v>
      </c>
      <c r="F3389" s="2" t="str">
        <f aca="false">IF(D3389="","",LEFT(D3389,3))</f>
        <v>721</v>
      </c>
      <c r="G3389" s="2" t="str">
        <f aca="false">IF(F3389="","",IF(E3389=F3389,"Yes","No"))</f>
        <v>Yes</v>
      </c>
      <c r="H3389" s="2" t="n">
        <f aca="false">IF(D3389="",0,1/COUNTIF($D$2:$D$3451,D3389))</f>
        <v>1</v>
      </c>
      <c r="I3389" s="13" t="n">
        <f aca="false">IFERROR(INDEX('NCO-2015 scores'!$C$2:$C$131,MATCH(E3389,'NCO-2015 scores'!$A$2:$A$131,0)),0)</f>
        <v>0.142</v>
      </c>
      <c r="J3389" s="13" t="n">
        <f aca="false">IF(ISNUMBER(MATCH(E3389,'NCO-2015 scores'!$A$2:$A$131,0)),IF(ISNUMBER(INDEX('NCO-2015 scores'!$C$2:$C$131,MATCH(E3389,'NCO-2015 scores'!$A$2:$A$131,0))),1,0),0)</f>
        <v>1</v>
      </c>
    </row>
    <row r="3390" customFormat="false" ht="15" hidden="false" customHeight="false" outlineLevel="0" collapsed="false">
      <c r="A3390" s="2" t="n">
        <v>3386</v>
      </c>
      <c r="B3390" s="2" t="s">
        <v>9835</v>
      </c>
      <c r="C3390" s="2" t="s">
        <v>9836</v>
      </c>
      <c r="D3390" s="2" t="s">
        <v>9837</v>
      </c>
      <c r="E3390" s="2" t="str">
        <f aca="false">LEFT(C3390,3)</f>
        <v>721</v>
      </c>
      <c r="F3390" s="2" t="str">
        <f aca="false">IF(D3390="","",LEFT(D3390,3))</f>
        <v>721</v>
      </c>
      <c r="G3390" s="2" t="str">
        <f aca="false">IF(F3390="","",IF(E3390=F3390,"Yes","No"))</f>
        <v>Yes</v>
      </c>
      <c r="H3390" s="2" t="n">
        <f aca="false">IF(D3390="",0,1/COUNTIF($D$2:$D$3451,D3390))</f>
        <v>1</v>
      </c>
      <c r="I3390" s="13" t="n">
        <f aca="false">IFERROR(INDEX('NCO-2015 scores'!$C$2:$C$131,MATCH(E3390,'NCO-2015 scores'!$A$2:$A$131,0)),0)</f>
        <v>0.142</v>
      </c>
      <c r="J3390" s="13" t="n">
        <f aca="false">IF(ISNUMBER(MATCH(E3390,'NCO-2015 scores'!$A$2:$A$131,0)),IF(ISNUMBER(INDEX('NCO-2015 scores'!$C$2:$C$131,MATCH(E3390,'NCO-2015 scores'!$A$2:$A$131,0))),1,0),0)</f>
        <v>1</v>
      </c>
    </row>
    <row r="3391" customFormat="false" ht="15" hidden="false" customHeight="false" outlineLevel="0" collapsed="false">
      <c r="A3391" s="2" t="n">
        <v>3387</v>
      </c>
      <c r="B3391" s="2" t="s">
        <v>9838</v>
      </c>
      <c r="C3391" s="2" t="s">
        <v>9839</v>
      </c>
      <c r="D3391" s="2"/>
      <c r="E3391" s="2" t="str">
        <f aca="false">LEFT(C3391,3)</f>
        <v>721</v>
      </c>
      <c r="F3391" s="2" t="str">
        <f aca="false">IF(D3391="","",LEFT(D3391,3))</f>
        <v/>
      </c>
      <c r="G3391" s="2" t="str">
        <f aca="false">IF(F3391="","",IF(E3391=F3391,"Yes","No"))</f>
        <v/>
      </c>
      <c r="H3391" s="2" t="n">
        <f aca="false">IF(D3391="",0,1/COUNTIF($D$2:$D$3451,D3391))</f>
        <v>0</v>
      </c>
      <c r="I3391" s="13" t="n">
        <f aca="false">IFERROR(INDEX('NCO-2015 scores'!$C$2:$C$131,MATCH(E3391,'NCO-2015 scores'!$A$2:$A$131,0)),0)</f>
        <v>0.142</v>
      </c>
      <c r="J3391" s="13" t="n">
        <f aca="false">IF(ISNUMBER(MATCH(E3391,'NCO-2015 scores'!$A$2:$A$131,0)),IF(ISNUMBER(INDEX('NCO-2015 scores'!$C$2:$C$131,MATCH(E3391,'NCO-2015 scores'!$A$2:$A$131,0))),1,0),0)</f>
        <v>1</v>
      </c>
    </row>
    <row r="3392" customFormat="false" ht="15" hidden="false" customHeight="false" outlineLevel="0" collapsed="false">
      <c r="A3392" s="2" t="n">
        <v>3388</v>
      </c>
      <c r="B3392" s="2" t="s">
        <v>9840</v>
      </c>
      <c r="C3392" s="2" t="s">
        <v>9841</v>
      </c>
      <c r="D3392" s="2" t="s">
        <v>9842</v>
      </c>
      <c r="E3392" s="2" t="str">
        <f aca="false">LEFT(C3392,3)</f>
        <v>721</v>
      </c>
      <c r="F3392" s="2" t="str">
        <f aca="false">IF(D3392="","",LEFT(D3392,3))</f>
        <v>721</v>
      </c>
      <c r="G3392" s="2" t="str">
        <f aca="false">IF(F3392="","",IF(E3392=F3392,"Yes","No"))</f>
        <v>Yes</v>
      </c>
      <c r="H3392" s="2" t="n">
        <f aca="false">IF(D3392="",0,1/COUNTIF($D$2:$D$3451,D3392))</f>
        <v>1</v>
      </c>
      <c r="I3392" s="13" t="n">
        <f aca="false">IFERROR(INDEX('NCO-2015 scores'!$C$2:$C$131,MATCH(E3392,'NCO-2015 scores'!$A$2:$A$131,0)),0)</f>
        <v>0.142</v>
      </c>
      <c r="J3392" s="13" t="n">
        <f aca="false">IF(ISNUMBER(MATCH(E3392,'NCO-2015 scores'!$A$2:$A$131,0)),IF(ISNUMBER(INDEX('NCO-2015 scores'!$C$2:$C$131,MATCH(E3392,'NCO-2015 scores'!$A$2:$A$131,0))),1,0),0)</f>
        <v>1</v>
      </c>
    </row>
    <row r="3393" customFormat="false" ht="15" hidden="false" customHeight="false" outlineLevel="0" collapsed="false">
      <c r="A3393" s="2" t="n">
        <v>3389</v>
      </c>
      <c r="B3393" s="2" t="s">
        <v>9843</v>
      </c>
      <c r="C3393" s="2" t="s">
        <v>9844</v>
      </c>
      <c r="D3393" s="2"/>
      <c r="E3393" s="2" t="str">
        <f aca="false">LEFT(C3393,3)</f>
        <v>721</v>
      </c>
      <c r="F3393" s="2" t="str">
        <f aca="false">IF(D3393="","",LEFT(D3393,3))</f>
        <v/>
      </c>
      <c r="G3393" s="2" t="str">
        <f aca="false">IF(F3393="","",IF(E3393=F3393,"Yes","No"))</f>
        <v/>
      </c>
      <c r="H3393" s="2" t="n">
        <f aca="false">IF(D3393="",0,1/COUNTIF($D$2:$D$3451,D3393))</f>
        <v>0</v>
      </c>
      <c r="I3393" s="13" t="n">
        <f aca="false">IFERROR(INDEX('NCO-2015 scores'!$C$2:$C$131,MATCH(E3393,'NCO-2015 scores'!$A$2:$A$131,0)),0)</f>
        <v>0.142</v>
      </c>
      <c r="J3393" s="13" t="n">
        <f aca="false">IF(ISNUMBER(MATCH(E3393,'NCO-2015 scores'!$A$2:$A$131,0)),IF(ISNUMBER(INDEX('NCO-2015 scores'!$C$2:$C$131,MATCH(E3393,'NCO-2015 scores'!$A$2:$A$131,0))),1,0),0)</f>
        <v>1</v>
      </c>
    </row>
    <row r="3394" customFormat="false" ht="15" hidden="false" customHeight="false" outlineLevel="0" collapsed="false">
      <c r="A3394" s="2" t="n">
        <v>3390</v>
      </c>
      <c r="B3394" s="2" t="s">
        <v>9845</v>
      </c>
      <c r="C3394" s="2" t="s">
        <v>9846</v>
      </c>
      <c r="D3394" s="2"/>
      <c r="E3394" s="2" t="str">
        <f aca="false">LEFT(C3394,3)</f>
        <v>721</v>
      </c>
      <c r="F3394" s="2" t="str">
        <f aca="false">IF(D3394="","",LEFT(D3394,3))</f>
        <v/>
      </c>
      <c r="G3394" s="2" t="str">
        <f aca="false">IF(F3394="","",IF(E3394=F3394,"Yes","No"))</f>
        <v/>
      </c>
      <c r="H3394" s="2" t="n">
        <f aca="false">IF(D3394="",0,1/COUNTIF($D$2:$D$3451,D3394))</f>
        <v>0</v>
      </c>
      <c r="I3394" s="13" t="n">
        <f aca="false">IFERROR(INDEX('NCO-2015 scores'!$C$2:$C$131,MATCH(E3394,'NCO-2015 scores'!$A$2:$A$131,0)),0)</f>
        <v>0.142</v>
      </c>
      <c r="J3394" s="13" t="n">
        <f aca="false">IF(ISNUMBER(MATCH(E3394,'NCO-2015 scores'!$A$2:$A$131,0)),IF(ISNUMBER(INDEX('NCO-2015 scores'!$C$2:$C$131,MATCH(E3394,'NCO-2015 scores'!$A$2:$A$131,0))),1,0),0)</f>
        <v>1</v>
      </c>
    </row>
    <row r="3395" customFormat="false" ht="15" hidden="false" customHeight="false" outlineLevel="0" collapsed="false">
      <c r="A3395" s="2" t="n">
        <v>3391</v>
      </c>
      <c r="B3395" s="2" t="s">
        <v>9847</v>
      </c>
      <c r="C3395" s="2" t="s">
        <v>9848</v>
      </c>
      <c r="D3395" s="2"/>
      <c r="E3395" s="2" t="str">
        <f aca="false">LEFT(C3395,3)</f>
        <v>721</v>
      </c>
      <c r="F3395" s="2" t="str">
        <f aca="false">IF(D3395="","",LEFT(D3395,3))</f>
        <v/>
      </c>
      <c r="G3395" s="2" t="str">
        <f aca="false">IF(F3395="","",IF(E3395=F3395,"Yes","No"))</f>
        <v/>
      </c>
      <c r="H3395" s="2" t="n">
        <f aca="false">IF(D3395="",0,1/COUNTIF($D$2:$D$3451,D3395))</f>
        <v>0</v>
      </c>
      <c r="I3395" s="13" t="n">
        <f aca="false">IFERROR(INDEX('NCO-2015 scores'!$C$2:$C$131,MATCH(E3395,'NCO-2015 scores'!$A$2:$A$131,0)),0)</f>
        <v>0.142</v>
      </c>
      <c r="J3395" s="13" t="n">
        <f aca="false">IF(ISNUMBER(MATCH(E3395,'NCO-2015 scores'!$A$2:$A$131,0)),IF(ISNUMBER(INDEX('NCO-2015 scores'!$C$2:$C$131,MATCH(E3395,'NCO-2015 scores'!$A$2:$A$131,0))),1,0),0)</f>
        <v>1</v>
      </c>
    </row>
    <row r="3396" customFormat="false" ht="15" hidden="false" customHeight="false" outlineLevel="0" collapsed="false">
      <c r="A3396" s="2" t="n">
        <v>3392</v>
      </c>
      <c r="B3396" s="2" t="s">
        <v>9849</v>
      </c>
      <c r="C3396" s="2" t="s">
        <v>9850</v>
      </c>
      <c r="D3396" s="2"/>
      <c r="E3396" s="2" t="str">
        <f aca="false">LEFT(C3396,3)</f>
        <v>721</v>
      </c>
      <c r="F3396" s="2" t="str">
        <f aca="false">IF(D3396="","",LEFT(D3396,3))</f>
        <v/>
      </c>
      <c r="G3396" s="2" t="str">
        <f aca="false">IF(F3396="","",IF(E3396=F3396,"Yes","No"))</f>
        <v/>
      </c>
      <c r="H3396" s="2" t="n">
        <f aca="false">IF(D3396="",0,1/COUNTIF($D$2:$D$3451,D3396))</f>
        <v>0</v>
      </c>
      <c r="I3396" s="13" t="n">
        <f aca="false">IFERROR(INDEX('NCO-2015 scores'!$C$2:$C$131,MATCH(E3396,'NCO-2015 scores'!$A$2:$A$131,0)),0)</f>
        <v>0.142</v>
      </c>
      <c r="J3396" s="13" t="n">
        <f aca="false">IF(ISNUMBER(MATCH(E3396,'NCO-2015 scores'!$A$2:$A$131,0)),IF(ISNUMBER(INDEX('NCO-2015 scores'!$C$2:$C$131,MATCH(E3396,'NCO-2015 scores'!$A$2:$A$131,0))),1,0),0)</f>
        <v>1</v>
      </c>
    </row>
    <row r="3397" customFormat="false" ht="15" hidden="false" customHeight="false" outlineLevel="0" collapsed="false">
      <c r="A3397" s="2" t="n">
        <v>3393</v>
      </c>
      <c r="B3397" s="2" t="s">
        <v>9851</v>
      </c>
      <c r="C3397" s="2" t="s">
        <v>9852</v>
      </c>
      <c r="D3397" s="2" t="s">
        <v>9853</v>
      </c>
      <c r="E3397" s="2" t="str">
        <f aca="false">LEFT(C3397,3)</f>
        <v>721</v>
      </c>
      <c r="F3397" s="2" t="str">
        <f aca="false">IF(D3397="","",LEFT(D3397,3))</f>
        <v>721</v>
      </c>
      <c r="G3397" s="2" t="str">
        <f aca="false">IF(F3397="","",IF(E3397=F3397,"Yes","No"))</f>
        <v>Yes</v>
      </c>
      <c r="H3397" s="2" t="n">
        <f aca="false">IF(D3397="",0,1/COUNTIF($D$2:$D$3451,D3397))</f>
        <v>1</v>
      </c>
      <c r="I3397" s="13" t="n">
        <f aca="false">IFERROR(INDEX('NCO-2015 scores'!$C$2:$C$131,MATCH(E3397,'NCO-2015 scores'!$A$2:$A$131,0)),0)</f>
        <v>0.142</v>
      </c>
      <c r="J3397" s="13" t="n">
        <f aca="false">IF(ISNUMBER(MATCH(E3397,'NCO-2015 scores'!$A$2:$A$131,0)),IF(ISNUMBER(INDEX('NCO-2015 scores'!$C$2:$C$131,MATCH(E3397,'NCO-2015 scores'!$A$2:$A$131,0))),1,0),0)</f>
        <v>1</v>
      </c>
    </row>
    <row r="3398" customFormat="false" ht="15" hidden="false" customHeight="false" outlineLevel="0" collapsed="false">
      <c r="A3398" s="2" t="n">
        <v>3394</v>
      </c>
      <c r="B3398" s="2" t="s">
        <v>9854</v>
      </c>
      <c r="C3398" s="2" t="s">
        <v>9855</v>
      </c>
      <c r="D3398" s="2"/>
      <c r="E3398" s="2" t="str">
        <f aca="false">LEFT(C3398,3)</f>
        <v>721</v>
      </c>
      <c r="F3398" s="2" t="str">
        <f aca="false">IF(D3398="","",LEFT(D3398,3))</f>
        <v/>
      </c>
      <c r="G3398" s="2" t="str">
        <f aca="false">IF(F3398="","",IF(E3398=F3398,"Yes","No"))</f>
        <v/>
      </c>
      <c r="H3398" s="2" t="n">
        <f aca="false">IF(D3398="",0,1/COUNTIF($D$2:$D$3451,D3398))</f>
        <v>0</v>
      </c>
      <c r="I3398" s="13" t="n">
        <f aca="false">IFERROR(INDEX('NCO-2015 scores'!$C$2:$C$131,MATCH(E3398,'NCO-2015 scores'!$A$2:$A$131,0)),0)</f>
        <v>0.142</v>
      </c>
      <c r="J3398" s="13" t="n">
        <f aca="false">IF(ISNUMBER(MATCH(E3398,'NCO-2015 scores'!$A$2:$A$131,0)),IF(ISNUMBER(INDEX('NCO-2015 scores'!$C$2:$C$131,MATCH(E3398,'NCO-2015 scores'!$A$2:$A$131,0))),1,0),0)</f>
        <v>1</v>
      </c>
    </row>
    <row r="3399" customFormat="false" ht="15" hidden="false" customHeight="false" outlineLevel="0" collapsed="false">
      <c r="A3399" s="2" t="n">
        <v>3395</v>
      </c>
      <c r="B3399" s="2" t="s">
        <v>9856</v>
      </c>
      <c r="C3399" s="2" t="s">
        <v>9857</v>
      </c>
      <c r="D3399" s="2"/>
      <c r="E3399" s="2" t="str">
        <f aca="false">LEFT(C3399,3)</f>
        <v>721</v>
      </c>
      <c r="F3399" s="2" t="str">
        <f aca="false">IF(D3399="","",LEFT(D3399,3))</f>
        <v/>
      </c>
      <c r="G3399" s="2" t="str">
        <f aca="false">IF(F3399="","",IF(E3399=F3399,"Yes","No"))</f>
        <v/>
      </c>
      <c r="H3399" s="2" t="n">
        <f aca="false">IF(D3399="",0,1/COUNTIF($D$2:$D$3451,D3399))</f>
        <v>0</v>
      </c>
      <c r="I3399" s="13" t="n">
        <f aca="false">IFERROR(INDEX('NCO-2015 scores'!$C$2:$C$131,MATCH(E3399,'NCO-2015 scores'!$A$2:$A$131,0)),0)</f>
        <v>0.142</v>
      </c>
      <c r="J3399" s="13" t="n">
        <f aca="false">IF(ISNUMBER(MATCH(E3399,'NCO-2015 scores'!$A$2:$A$131,0)),IF(ISNUMBER(INDEX('NCO-2015 scores'!$C$2:$C$131,MATCH(E3399,'NCO-2015 scores'!$A$2:$A$131,0))),1,0),0)</f>
        <v>1</v>
      </c>
    </row>
    <row r="3400" customFormat="false" ht="15" hidden="false" customHeight="false" outlineLevel="0" collapsed="false">
      <c r="A3400" s="2" t="n">
        <v>3396</v>
      </c>
      <c r="B3400" s="2" t="s">
        <v>9858</v>
      </c>
      <c r="C3400" s="2" t="s">
        <v>9859</v>
      </c>
      <c r="D3400" s="2" t="s">
        <v>9860</v>
      </c>
      <c r="E3400" s="2" t="str">
        <f aca="false">LEFT(C3400,3)</f>
        <v>721</v>
      </c>
      <c r="F3400" s="2" t="str">
        <f aca="false">IF(D3400="","",LEFT(D3400,3))</f>
        <v>721</v>
      </c>
      <c r="G3400" s="2" t="str">
        <f aca="false">IF(F3400="","",IF(E3400=F3400,"Yes","No"))</f>
        <v>Yes</v>
      </c>
      <c r="H3400" s="2" t="n">
        <f aca="false">IF(D3400="",0,1/COUNTIF($D$2:$D$3451,D3400))</f>
        <v>1</v>
      </c>
      <c r="I3400" s="13" t="n">
        <f aca="false">IFERROR(INDEX('NCO-2015 scores'!$C$2:$C$131,MATCH(E3400,'NCO-2015 scores'!$A$2:$A$131,0)),0)</f>
        <v>0.142</v>
      </c>
      <c r="J3400" s="13" t="n">
        <f aca="false">IF(ISNUMBER(MATCH(E3400,'NCO-2015 scores'!$A$2:$A$131,0)),IF(ISNUMBER(INDEX('NCO-2015 scores'!$C$2:$C$131,MATCH(E3400,'NCO-2015 scores'!$A$2:$A$131,0))),1,0),0)</f>
        <v>1</v>
      </c>
    </row>
    <row r="3401" customFormat="false" ht="15" hidden="false" customHeight="false" outlineLevel="0" collapsed="false">
      <c r="A3401" s="2" t="n">
        <v>3397</v>
      </c>
      <c r="B3401" s="2" t="s">
        <v>9861</v>
      </c>
      <c r="C3401" s="2" t="s">
        <v>9862</v>
      </c>
      <c r="D3401" s="2" t="s">
        <v>9863</v>
      </c>
      <c r="E3401" s="2" t="str">
        <f aca="false">LEFT(C3401,3)</f>
        <v>721</v>
      </c>
      <c r="F3401" s="2" t="str">
        <f aca="false">IF(D3401="","",LEFT(D3401,3))</f>
        <v>721</v>
      </c>
      <c r="G3401" s="2" t="str">
        <f aca="false">IF(F3401="","",IF(E3401=F3401,"Yes","No"))</f>
        <v>Yes</v>
      </c>
      <c r="H3401" s="2" t="n">
        <f aca="false">IF(D3401="",0,1/COUNTIF($D$2:$D$3451,D3401))</f>
        <v>1</v>
      </c>
      <c r="I3401" s="13" t="n">
        <f aca="false">IFERROR(INDEX('NCO-2015 scores'!$C$2:$C$131,MATCH(E3401,'NCO-2015 scores'!$A$2:$A$131,0)),0)</f>
        <v>0.142</v>
      </c>
      <c r="J3401" s="13" t="n">
        <f aca="false">IF(ISNUMBER(MATCH(E3401,'NCO-2015 scores'!$A$2:$A$131,0)),IF(ISNUMBER(INDEX('NCO-2015 scores'!$C$2:$C$131,MATCH(E3401,'NCO-2015 scores'!$A$2:$A$131,0))),1,0),0)</f>
        <v>1</v>
      </c>
    </row>
    <row r="3402" customFormat="false" ht="15" hidden="false" customHeight="false" outlineLevel="0" collapsed="false">
      <c r="A3402" s="2" t="n">
        <v>3398</v>
      </c>
      <c r="B3402" s="2" t="s">
        <v>9864</v>
      </c>
      <c r="C3402" s="2" t="s">
        <v>9865</v>
      </c>
      <c r="D3402" s="2"/>
      <c r="E3402" s="2" t="str">
        <f aca="false">LEFT(C3402,3)</f>
        <v>721</v>
      </c>
      <c r="F3402" s="2" t="str">
        <f aca="false">IF(D3402="","",LEFT(D3402,3))</f>
        <v/>
      </c>
      <c r="G3402" s="2" t="str">
        <f aca="false">IF(F3402="","",IF(E3402=F3402,"Yes","No"))</f>
        <v/>
      </c>
      <c r="H3402" s="2" t="n">
        <f aca="false">IF(D3402="",0,1/COUNTIF($D$2:$D$3451,D3402))</f>
        <v>0</v>
      </c>
      <c r="I3402" s="13" t="n">
        <f aca="false">IFERROR(INDEX('NCO-2015 scores'!$C$2:$C$131,MATCH(E3402,'NCO-2015 scores'!$A$2:$A$131,0)),0)</f>
        <v>0.142</v>
      </c>
      <c r="J3402" s="13" t="n">
        <f aca="false">IF(ISNUMBER(MATCH(E3402,'NCO-2015 scores'!$A$2:$A$131,0)),IF(ISNUMBER(INDEX('NCO-2015 scores'!$C$2:$C$131,MATCH(E3402,'NCO-2015 scores'!$A$2:$A$131,0))),1,0),0)</f>
        <v>1</v>
      </c>
    </row>
    <row r="3403" customFormat="false" ht="15" hidden="false" customHeight="false" outlineLevel="0" collapsed="false">
      <c r="A3403" s="2" t="n">
        <v>3399</v>
      </c>
      <c r="B3403" s="2" t="s">
        <v>9866</v>
      </c>
      <c r="C3403" s="2" t="s">
        <v>9867</v>
      </c>
      <c r="D3403" s="2" t="s">
        <v>9868</v>
      </c>
      <c r="E3403" s="2" t="str">
        <f aca="false">LEFT(C3403,3)</f>
        <v>721</v>
      </c>
      <c r="F3403" s="2" t="str">
        <f aca="false">IF(D3403="","",LEFT(D3403,3))</f>
        <v>721</v>
      </c>
      <c r="G3403" s="2" t="str">
        <f aca="false">IF(F3403="","",IF(E3403=F3403,"Yes","No"))</f>
        <v>Yes</v>
      </c>
      <c r="H3403" s="2" t="n">
        <f aca="false">IF(D3403="",0,1/COUNTIF($D$2:$D$3451,D3403))</f>
        <v>1</v>
      </c>
      <c r="I3403" s="13" t="n">
        <f aca="false">IFERROR(INDEX('NCO-2015 scores'!$C$2:$C$131,MATCH(E3403,'NCO-2015 scores'!$A$2:$A$131,0)),0)</f>
        <v>0.142</v>
      </c>
      <c r="J3403" s="13" t="n">
        <f aca="false">IF(ISNUMBER(MATCH(E3403,'NCO-2015 scores'!$A$2:$A$131,0)),IF(ISNUMBER(INDEX('NCO-2015 scores'!$C$2:$C$131,MATCH(E3403,'NCO-2015 scores'!$A$2:$A$131,0))),1,0),0)</f>
        <v>1</v>
      </c>
    </row>
    <row r="3404" customFormat="false" ht="15" hidden="false" customHeight="false" outlineLevel="0" collapsed="false">
      <c r="A3404" s="2" t="n">
        <v>3400</v>
      </c>
      <c r="B3404" s="2" t="s">
        <v>9869</v>
      </c>
      <c r="C3404" s="2" t="s">
        <v>9870</v>
      </c>
      <c r="D3404" s="2" t="s">
        <v>9871</v>
      </c>
      <c r="E3404" s="2" t="str">
        <f aca="false">LEFT(C3404,3)</f>
        <v>721</v>
      </c>
      <c r="F3404" s="2" t="str">
        <f aca="false">IF(D3404="","",LEFT(D3404,3))</f>
        <v>721</v>
      </c>
      <c r="G3404" s="2" t="str">
        <f aca="false">IF(F3404="","",IF(E3404=F3404,"Yes","No"))</f>
        <v>Yes</v>
      </c>
      <c r="H3404" s="2" t="n">
        <f aca="false">IF(D3404="",0,1/COUNTIF($D$2:$D$3451,D3404))</f>
        <v>1</v>
      </c>
      <c r="I3404" s="13" t="n">
        <f aca="false">IFERROR(INDEX('NCO-2015 scores'!$C$2:$C$131,MATCH(E3404,'NCO-2015 scores'!$A$2:$A$131,0)),0)</f>
        <v>0.142</v>
      </c>
      <c r="J3404" s="13" t="n">
        <f aca="false">IF(ISNUMBER(MATCH(E3404,'NCO-2015 scores'!$A$2:$A$131,0)),IF(ISNUMBER(INDEX('NCO-2015 scores'!$C$2:$C$131,MATCH(E3404,'NCO-2015 scores'!$A$2:$A$131,0))),1,0),0)</f>
        <v>1</v>
      </c>
    </row>
    <row r="3405" customFormat="false" ht="15" hidden="false" customHeight="false" outlineLevel="0" collapsed="false">
      <c r="A3405" s="2" t="n">
        <v>3401</v>
      </c>
      <c r="B3405" s="2" t="s">
        <v>9872</v>
      </c>
      <c r="C3405" s="2" t="s">
        <v>9873</v>
      </c>
      <c r="D3405" s="2"/>
      <c r="E3405" s="2" t="str">
        <f aca="false">LEFT(C3405,3)</f>
        <v>721</v>
      </c>
      <c r="F3405" s="2" t="str">
        <f aca="false">IF(D3405="","",LEFT(D3405,3))</f>
        <v/>
      </c>
      <c r="G3405" s="2" t="str">
        <f aca="false">IF(F3405="","",IF(E3405=F3405,"Yes","No"))</f>
        <v/>
      </c>
      <c r="H3405" s="2" t="n">
        <f aca="false">IF(D3405="",0,1/COUNTIF($D$2:$D$3451,D3405))</f>
        <v>0</v>
      </c>
      <c r="I3405" s="13" t="n">
        <f aca="false">IFERROR(INDEX('NCO-2015 scores'!$C$2:$C$131,MATCH(E3405,'NCO-2015 scores'!$A$2:$A$131,0)),0)</f>
        <v>0.142</v>
      </c>
      <c r="J3405" s="13" t="n">
        <f aca="false">IF(ISNUMBER(MATCH(E3405,'NCO-2015 scores'!$A$2:$A$131,0)),IF(ISNUMBER(INDEX('NCO-2015 scores'!$C$2:$C$131,MATCH(E3405,'NCO-2015 scores'!$A$2:$A$131,0))),1,0),0)</f>
        <v>1</v>
      </c>
    </row>
    <row r="3406" customFormat="false" ht="15" hidden="false" customHeight="false" outlineLevel="0" collapsed="false">
      <c r="A3406" s="2" t="n">
        <v>3402</v>
      </c>
      <c r="B3406" s="2" t="s">
        <v>9874</v>
      </c>
      <c r="C3406" s="2" t="s">
        <v>9875</v>
      </c>
      <c r="D3406" s="2"/>
      <c r="E3406" s="2" t="str">
        <f aca="false">LEFT(C3406,3)</f>
        <v>721</v>
      </c>
      <c r="F3406" s="2" t="str">
        <f aca="false">IF(D3406="","",LEFT(D3406,3))</f>
        <v/>
      </c>
      <c r="G3406" s="2" t="str">
        <f aca="false">IF(F3406="","",IF(E3406=F3406,"Yes","No"))</f>
        <v/>
      </c>
      <c r="H3406" s="2" t="n">
        <f aca="false">IF(D3406="",0,1/COUNTIF($D$2:$D$3451,D3406))</f>
        <v>0</v>
      </c>
      <c r="I3406" s="13" t="n">
        <f aca="false">IFERROR(INDEX('NCO-2015 scores'!$C$2:$C$131,MATCH(E3406,'NCO-2015 scores'!$A$2:$A$131,0)),0)</f>
        <v>0.142</v>
      </c>
      <c r="J3406" s="13" t="n">
        <f aca="false">IF(ISNUMBER(MATCH(E3406,'NCO-2015 scores'!$A$2:$A$131,0)),IF(ISNUMBER(INDEX('NCO-2015 scores'!$C$2:$C$131,MATCH(E3406,'NCO-2015 scores'!$A$2:$A$131,0))),1,0),0)</f>
        <v>1</v>
      </c>
    </row>
    <row r="3407" customFormat="false" ht="15" hidden="false" customHeight="false" outlineLevel="0" collapsed="false">
      <c r="A3407" s="2" t="n">
        <v>3403</v>
      </c>
      <c r="B3407" s="2" t="s">
        <v>9876</v>
      </c>
      <c r="C3407" s="2" t="s">
        <v>9877</v>
      </c>
      <c r="D3407" s="2" t="s">
        <v>9878</v>
      </c>
      <c r="E3407" s="2" t="str">
        <f aca="false">LEFT(C3407,3)</f>
        <v>811</v>
      </c>
      <c r="F3407" s="2" t="str">
        <f aca="false">IF(D3407="","",LEFT(D3407,3))</f>
        <v>811</v>
      </c>
      <c r="G3407" s="2" t="str">
        <f aca="false">IF(F3407="","",IF(E3407=F3407,"Yes","No"))</f>
        <v>Yes</v>
      </c>
      <c r="H3407" s="2" t="n">
        <f aca="false">IF(D3407="",0,1/COUNTIF($D$2:$D$3451,D3407))</f>
        <v>1</v>
      </c>
      <c r="I3407" s="13" t="n">
        <f aca="false">IFERROR(INDEX('NCO-2015 scores'!$C$2:$C$131,MATCH(E3407,'NCO-2015 scores'!$A$2:$A$131,0)),0)</f>
        <v>0.2</v>
      </c>
      <c r="J3407" s="13" t="n">
        <f aca="false">IF(ISNUMBER(MATCH(E3407,'NCO-2015 scores'!$A$2:$A$131,0)),IF(ISNUMBER(INDEX('NCO-2015 scores'!$C$2:$C$131,MATCH(E3407,'NCO-2015 scores'!$A$2:$A$131,0))),1,0),0)</f>
        <v>1</v>
      </c>
    </row>
    <row r="3408" customFormat="false" ht="15" hidden="false" customHeight="false" outlineLevel="0" collapsed="false">
      <c r="A3408" s="2" t="n">
        <v>3404</v>
      </c>
      <c r="B3408" s="2" t="s">
        <v>9879</v>
      </c>
      <c r="C3408" s="2" t="s">
        <v>9880</v>
      </c>
      <c r="D3408" s="2" t="s">
        <v>9881</v>
      </c>
      <c r="E3408" s="2" t="str">
        <f aca="false">LEFT(C3408,3)</f>
        <v>811</v>
      </c>
      <c r="F3408" s="2" t="str">
        <f aca="false">IF(D3408="","",LEFT(D3408,3))</f>
        <v>811</v>
      </c>
      <c r="G3408" s="2" t="str">
        <f aca="false">IF(F3408="","",IF(E3408=F3408,"Yes","No"))</f>
        <v>Yes</v>
      </c>
      <c r="H3408" s="2" t="n">
        <f aca="false">IF(D3408="",0,1/COUNTIF($D$2:$D$3451,D3408))</f>
        <v>1</v>
      </c>
      <c r="I3408" s="13" t="n">
        <f aca="false">IFERROR(INDEX('NCO-2015 scores'!$C$2:$C$131,MATCH(E3408,'NCO-2015 scores'!$A$2:$A$131,0)),0)</f>
        <v>0.2</v>
      </c>
      <c r="J3408" s="13" t="n">
        <f aca="false">IF(ISNUMBER(MATCH(E3408,'NCO-2015 scores'!$A$2:$A$131,0)),IF(ISNUMBER(INDEX('NCO-2015 scores'!$C$2:$C$131,MATCH(E3408,'NCO-2015 scores'!$A$2:$A$131,0))),1,0),0)</f>
        <v>1</v>
      </c>
    </row>
    <row r="3409" customFormat="false" ht="15" hidden="false" customHeight="false" outlineLevel="0" collapsed="false">
      <c r="A3409" s="2" t="n">
        <v>3405</v>
      </c>
      <c r="B3409" s="2" t="s">
        <v>9882</v>
      </c>
      <c r="C3409" s="2" t="s">
        <v>9883</v>
      </c>
      <c r="D3409" s="2" t="s">
        <v>9884</v>
      </c>
      <c r="E3409" s="2" t="str">
        <f aca="false">LEFT(C3409,3)</f>
        <v>811</v>
      </c>
      <c r="F3409" s="2" t="str">
        <f aca="false">IF(D3409="","",LEFT(D3409,3))</f>
        <v>811</v>
      </c>
      <c r="G3409" s="2" t="str">
        <f aca="false">IF(F3409="","",IF(E3409=F3409,"Yes","No"))</f>
        <v>Yes</v>
      </c>
      <c r="H3409" s="2" t="n">
        <f aca="false">IF(D3409="",0,1/COUNTIF($D$2:$D$3451,D3409))</f>
        <v>1</v>
      </c>
      <c r="I3409" s="13" t="n">
        <f aca="false">IFERROR(INDEX('NCO-2015 scores'!$C$2:$C$131,MATCH(E3409,'NCO-2015 scores'!$A$2:$A$131,0)),0)</f>
        <v>0.2</v>
      </c>
      <c r="J3409" s="13" t="n">
        <f aca="false">IF(ISNUMBER(MATCH(E3409,'NCO-2015 scores'!$A$2:$A$131,0)),IF(ISNUMBER(INDEX('NCO-2015 scores'!$C$2:$C$131,MATCH(E3409,'NCO-2015 scores'!$A$2:$A$131,0))),1,0),0)</f>
        <v>1</v>
      </c>
    </row>
    <row r="3410" customFormat="false" ht="15" hidden="false" customHeight="false" outlineLevel="0" collapsed="false">
      <c r="A3410" s="2" t="n">
        <v>3406</v>
      </c>
      <c r="B3410" s="2" t="s">
        <v>9885</v>
      </c>
      <c r="C3410" s="2" t="s">
        <v>9886</v>
      </c>
      <c r="D3410" s="2" t="s">
        <v>9887</v>
      </c>
      <c r="E3410" s="2" t="str">
        <f aca="false">LEFT(C3410,3)</f>
        <v>811</v>
      </c>
      <c r="F3410" s="2" t="str">
        <f aca="false">IF(D3410="","",LEFT(D3410,3))</f>
        <v>811</v>
      </c>
      <c r="G3410" s="2" t="str">
        <f aca="false">IF(F3410="","",IF(E3410=F3410,"Yes","No"))</f>
        <v>Yes</v>
      </c>
      <c r="H3410" s="2" t="n">
        <f aca="false">IF(D3410="",0,1/COUNTIF($D$2:$D$3451,D3410))</f>
        <v>1</v>
      </c>
      <c r="I3410" s="13" t="n">
        <f aca="false">IFERROR(INDEX('NCO-2015 scores'!$C$2:$C$131,MATCH(E3410,'NCO-2015 scores'!$A$2:$A$131,0)),0)</f>
        <v>0.2</v>
      </c>
      <c r="J3410" s="13" t="n">
        <f aca="false">IF(ISNUMBER(MATCH(E3410,'NCO-2015 scores'!$A$2:$A$131,0)),IF(ISNUMBER(INDEX('NCO-2015 scores'!$C$2:$C$131,MATCH(E3410,'NCO-2015 scores'!$A$2:$A$131,0))),1,0),0)</f>
        <v>1</v>
      </c>
    </row>
    <row r="3411" customFormat="false" ht="15" hidden="false" customHeight="false" outlineLevel="0" collapsed="false">
      <c r="A3411" s="2" t="n">
        <v>3407</v>
      </c>
      <c r="B3411" s="2" t="s">
        <v>9888</v>
      </c>
      <c r="C3411" s="2" t="s">
        <v>9889</v>
      </c>
      <c r="D3411" s="2" t="s">
        <v>9890</v>
      </c>
      <c r="E3411" s="2" t="str">
        <f aca="false">LEFT(C3411,3)</f>
        <v>811</v>
      </c>
      <c r="F3411" s="2" t="str">
        <f aca="false">IF(D3411="","",LEFT(D3411,3))</f>
        <v>811</v>
      </c>
      <c r="G3411" s="2" t="str">
        <f aca="false">IF(F3411="","",IF(E3411=F3411,"Yes","No"))</f>
        <v>Yes</v>
      </c>
      <c r="H3411" s="2" t="n">
        <f aca="false">IF(D3411="",0,1/COUNTIF($D$2:$D$3451,D3411))</f>
        <v>1</v>
      </c>
      <c r="I3411" s="13" t="n">
        <f aca="false">IFERROR(INDEX('NCO-2015 scores'!$C$2:$C$131,MATCH(E3411,'NCO-2015 scores'!$A$2:$A$131,0)),0)</f>
        <v>0.2</v>
      </c>
      <c r="J3411" s="13" t="n">
        <f aca="false">IF(ISNUMBER(MATCH(E3411,'NCO-2015 scores'!$A$2:$A$131,0)),IF(ISNUMBER(INDEX('NCO-2015 scores'!$C$2:$C$131,MATCH(E3411,'NCO-2015 scores'!$A$2:$A$131,0))),1,0),0)</f>
        <v>1</v>
      </c>
    </row>
    <row r="3412" customFormat="false" ht="15" hidden="false" customHeight="false" outlineLevel="0" collapsed="false">
      <c r="A3412" s="2" t="n">
        <v>3408</v>
      </c>
      <c r="B3412" s="2" t="s">
        <v>9891</v>
      </c>
      <c r="C3412" s="2" t="s">
        <v>9892</v>
      </c>
      <c r="D3412" s="2" t="s">
        <v>9893</v>
      </c>
      <c r="E3412" s="2" t="str">
        <f aca="false">LEFT(C3412,3)</f>
        <v>811</v>
      </c>
      <c r="F3412" s="2" t="str">
        <f aca="false">IF(D3412="","",LEFT(D3412,3))</f>
        <v>811</v>
      </c>
      <c r="G3412" s="2" t="str">
        <f aca="false">IF(F3412="","",IF(E3412=F3412,"Yes","No"))</f>
        <v>Yes</v>
      </c>
      <c r="H3412" s="2" t="n">
        <f aca="false">IF(D3412="",0,1/COUNTIF($D$2:$D$3451,D3412))</f>
        <v>1</v>
      </c>
      <c r="I3412" s="13" t="n">
        <f aca="false">IFERROR(INDEX('NCO-2015 scores'!$C$2:$C$131,MATCH(E3412,'NCO-2015 scores'!$A$2:$A$131,0)),0)</f>
        <v>0.2</v>
      </c>
      <c r="J3412" s="13" t="n">
        <f aca="false">IF(ISNUMBER(MATCH(E3412,'NCO-2015 scores'!$A$2:$A$131,0)),IF(ISNUMBER(INDEX('NCO-2015 scores'!$C$2:$C$131,MATCH(E3412,'NCO-2015 scores'!$A$2:$A$131,0))),1,0),0)</f>
        <v>1</v>
      </c>
    </row>
    <row r="3413" customFormat="false" ht="15" hidden="false" customHeight="false" outlineLevel="0" collapsed="false">
      <c r="A3413" s="2" t="n">
        <v>3409</v>
      </c>
      <c r="B3413" s="2" t="s">
        <v>9894</v>
      </c>
      <c r="C3413" s="2" t="s">
        <v>9895</v>
      </c>
      <c r="D3413" s="2" t="s">
        <v>9896</v>
      </c>
      <c r="E3413" s="2" t="str">
        <f aca="false">LEFT(C3413,3)</f>
        <v>811</v>
      </c>
      <c r="F3413" s="2" t="str">
        <f aca="false">IF(D3413="","",LEFT(D3413,3))</f>
        <v>811</v>
      </c>
      <c r="G3413" s="2" t="str">
        <f aca="false">IF(F3413="","",IF(E3413=F3413,"Yes","No"))</f>
        <v>Yes</v>
      </c>
      <c r="H3413" s="2" t="n">
        <f aca="false">IF(D3413="",0,1/COUNTIF($D$2:$D$3451,D3413))</f>
        <v>1</v>
      </c>
      <c r="I3413" s="13" t="n">
        <f aca="false">IFERROR(INDEX('NCO-2015 scores'!$C$2:$C$131,MATCH(E3413,'NCO-2015 scores'!$A$2:$A$131,0)),0)</f>
        <v>0.2</v>
      </c>
      <c r="J3413" s="13" t="n">
        <f aca="false">IF(ISNUMBER(MATCH(E3413,'NCO-2015 scores'!$A$2:$A$131,0)),IF(ISNUMBER(INDEX('NCO-2015 scores'!$C$2:$C$131,MATCH(E3413,'NCO-2015 scores'!$A$2:$A$131,0))),1,0),0)</f>
        <v>1</v>
      </c>
    </row>
    <row r="3414" customFormat="false" ht="15" hidden="false" customHeight="false" outlineLevel="0" collapsed="false">
      <c r="A3414" s="2" t="n">
        <v>3410</v>
      </c>
      <c r="B3414" s="2" t="s">
        <v>9897</v>
      </c>
      <c r="C3414" s="2" t="s">
        <v>9898</v>
      </c>
      <c r="D3414" s="2" t="s">
        <v>9899</v>
      </c>
      <c r="E3414" s="2" t="str">
        <f aca="false">LEFT(C3414,3)</f>
        <v>811</v>
      </c>
      <c r="F3414" s="2" t="str">
        <f aca="false">IF(D3414="","",LEFT(D3414,3))</f>
        <v>811</v>
      </c>
      <c r="G3414" s="2" t="str">
        <f aca="false">IF(F3414="","",IF(E3414=F3414,"Yes","No"))</f>
        <v>Yes</v>
      </c>
      <c r="H3414" s="2" t="n">
        <f aca="false">IF(D3414="",0,1/COUNTIF($D$2:$D$3451,D3414))</f>
        <v>1</v>
      </c>
      <c r="I3414" s="13" t="n">
        <f aca="false">IFERROR(INDEX('NCO-2015 scores'!$C$2:$C$131,MATCH(E3414,'NCO-2015 scores'!$A$2:$A$131,0)),0)</f>
        <v>0.2</v>
      </c>
      <c r="J3414" s="13" t="n">
        <f aca="false">IF(ISNUMBER(MATCH(E3414,'NCO-2015 scores'!$A$2:$A$131,0)),IF(ISNUMBER(INDEX('NCO-2015 scores'!$C$2:$C$131,MATCH(E3414,'NCO-2015 scores'!$A$2:$A$131,0))),1,0),0)</f>
        <v>1</v>
      </c>
    </row>
    <row r="3415" customFormat="false" ht="15" hidden="false" customHeight="false" outlineLevel="0" collapsed="false">
      <c r="A3415" s="2" t="n">
        <v>3411</v>
      </c>
      <c r="B3415" s="2" t="s">
        <v>9900</v>
      </c>
      <c r="C3415" s="2" t="s">
        <v>9901</v>
      </c>
      <c r="D3415" s="2" t="s">
        <v>9902</v>
      </c>
      <c r="E3415" s="2" t="str">
        <f aca="false">LEFT(C3415,3)</f>
        <v>811</v>
      </c>
      <c r="F3415" s="2" t="str">
        <f aca="false">IF(D3415="","",LEFT(D3415,3))</f>
        <v>811</v>
      </c>
      <c r="G3415" s="2" t="str">
        <f aca="false">IF(F3415="","",IF(E3415=F3415,"Yes","No"))</f>
        <v>Yes</v>
      </c>
      <c r="H3415" s="2" t="n">
        <f aca="false">IF(D3415="",0,1/COUNTIF($D$2:$D$3451,D3415))</f>
        <v>1</v>
      </c>
      <c r="I3415" s="13" t="n">
        <f aca="false">IFERROR(INDEX('NCO-2015 scores'!$C$2:$C$131,MATCH(E3415,'NCO-2015 scores'!$A$2:$A$131,0)),0)</f>
        <v>0.2</v>
      </c>
      <c r="J3415" s="13" t="n">
        <f aca="false">IF(ISNUMBER(MATCH(E3415,'NCO-2015 scores'!$A$2:$A$131,0)),IF(ISNUMBER(INDEX('NCO-2015 scores'!$C$2:$C$131,MATCH(E3415,'NCO-2015 scores'!$A$2:$A$131,0))),1,0),0)</f>
        <v>1</v>
      </c>
    </row>
    <row r="3416" customFormat="false" ht="15" hidden="false" customHeight="false" outlineLevel="0" collapsed="false">
      <c r="A3416" s="2" t="n">
        <v>3412</v>
      </c>
      <c r="B3416" s="2" t="s">
        <v>9903</v>
      </c>
      <c r="C3416" s="2" t="s">
        <v>9904</v>
      </c>
      <c r="D3416" s="2" t="s">
        <v>9905</v>
      </c>
      <c r="E3416" s="2" t="str">
        <f aca="false">LEFT(C3416,3)</f>
        <v>817</v>
      </c>
      <c r="F3416" s="2" t="str">
        <f aca="false">IF(D3416="","",LEFT(D3416,3))</f>
        <v>814</v>
      </c>
      <c r="G3416" s="2" t="str">
        <f aca="false">IF(F3416="","",IF(E3416=F3416,"Yes","No"))</f>
        <v>No</v>
      </c>
      <c r="H3416" s="2" t="n">
        <f aca="false">IF(D3416="",0,1/COUNTIF($D$2:$D$3451,D3416))</f>
        <v>1</v>
      </c>
      <c r="I3416" s="13" t="n">
        <f aca="false">IFERROR(INDEX('NCO-2015 scores'!$C$2:$C$131,MATCH(E3416,'NCO-2015 scores'!$A$2:$A$131,0)),0)</f>
        <v>0.21</v>
      </c>
      <c r="J3416" s="13" t="n">
        <f aca="false">IF(ISNUMBER(MATCH(E3416,'NCO-2015 scores'!$A$2:$A$131,0)),IF(ISNUMBER(INDEX('NCO-2015 scores'!$C$2:$C$131,MATCH(E3416,'NCO-2015 scores'!$A$2:$A$131,0))),1,0),0)</f>
        <v>1</v>
      </c>
    </row>
    <row r="3417" customFormat="false" ht="15" hidden="false" customHeight="false" outlineLevel="0" collapsed="false">
      <c r="A3417" s="2" t="n">
        <v>3413</v>
      </c>
      <c r="B3417" s="2" t="s">
        <v>9906</v>
      </c>
      <c r="C3417" s="2" t="s">
        <v>9907</v>
      </c>
      <c r="D3417" s="2" t="s">
        <v>9908</v>
      </c>
      <c r="E3417" s="2" t="str">
        <f aca="false">LEFT(C3417,3)</f>
        <v>817</v>
      </c>
      <c r="F3417" s="2" t="str">
        <f aca="false">IF(D3417="","",LEFT(D3417,3))</f>
        <v>814</v>
      </c>
      <c r="G3417" s="2" t="str">
        <f aca="false">IF(F3417="","",IF(E3417=F3417,"Yes","No"))</f>
        <v>No</v>
      </c>
      <c r="H3417" s="2" t="n">
        <f aca="false">IF(D3417="",0,1/COUNTIF($D$2:$D$3451,D3417))</f>
        <v>1</v>
      </c>
      <c r="I3417" s="13" t="n">
        <f aca="false">IFERROR(INDEX('NCO-2015 scores'!$C$2:$C$131,MATCH(E3417,'NCO-2015 scores'!$A$2:$A$131,0)),0)</f>
        <v>0.21</v>
      </c>
      <c r="J3417" s="13" t="n">
        <f aca="false">IF(ISNUMBER(MATCH(E3417,'NCO-2015 scores'!$A$2:$A$131,0)),IF(ISNUMBER(INDEX('NCO-2015 scores'!$C$2:$C$131,MATCH(E3417,'NCO-2015 scores'!$A$2:$A$131,0))),1,0),0)</f>
        <v>1</v>
      </c>
    </row>
    <row r="3418" customFormat="false" ht="15" hidden="false" customHeight="false" outlineLevel="0" collapsed="false">
      <c r="A3418" s="2" t="n">
        <v>3414</v>
      </c>
      <c r="B3418" s="2" t="s">
        <v>9909</v>
      </c>
      <c r="C3418" s="2" t="s">
        <v>9910</v>
      </c>
      <c r="D3418" s="2" t="s">
        <v>9911</v>
      </c>
      <c r="E3418" s="2" t="str">
        <f aca="false">LEFT(C3418,3)</f>
        <v>817</v>
      </c>
      <c r="F3418" s="2" t="str">
        <f aca="false">IF(D3418="","",LEFT(D3418,3))</f>
        <v>814</v>
      </c>
      <c r="G3418" s="2" t="str">
        <f aca="false">IF(F3418="","",IF(E3418=F3418,"Yes","No"))</f>
        <v>No</v>
      </c>
      <c r="H3418" s="2" t="n">
        <f aca="false">IF(D3418="",0,1/COUNTIF($D$2:$D$3451,D3418))</f>
        <v>1</v>
      </c>
      <c r="I3418" s="13" t="n">
        <f aca="false">IFERROR(INDEX('NCO-2015 scores'!$C$2:$C$131,MATCH(E3418,'NCO-2015 scores'!$A$2:$A$131,0)),0)</f>
        <v>0.21</v>
      </c>
      <c r="J3418" s="13" t="n">
        <f aca="false">IF(ISNUMBER(MATCH(E3418,'NCO-2015 scores'!$A$2:$A$131,0)),IF(ISNUMBER(INDEX('NCO-2015 scores'!$C$2:$C$131,MATCH(E3418,'NCO-2015 scores'!$A$2:$A$131,0))),1,0),0)</f>
        <v>1</v>
      </c>
    </row>
    <row r="3419" customFormat="false" ht="15" hidden="false" customHeight="false" outlineLevel="0" collapsed="false">
      <c r="A3419" s="2" t="n">
        <v>3415</v>
      </c>
      <c r="B3419" s="2" t="s">
        <v>9912</v>
      </c>
      <c r="C3419" s="2" t="s">
        <v>9913</v>
      </c>
      <c r="D3419" s="2" t="s">
        <v>9914</v>
      </c>
      <c r="E3419" s="2" t="str">
        <f aca="false">LEFT(C3419,3)</f>
        <v>817</v>
      </c>
      <c r="F3419" s="2" t="str">
        <f aca="false">IF(D3419="","",LEFT(D3419,3))</f>
        <v>814</v>
      </c>
      <c r="G3419" s="2" t="str">
        <f aca="false">IF(F3419="","",IF(E3419=F3419,"Yes","No"))</f>
        <v>No</v>
      </c>
      <c r="H3419" s="2" t="n">
        <f aca="false">IF(D3419="",0,1/COUNTIF($D$2:$D$3451,D3419))</f>
        <v>1</v>
      </c>
      <c r="I3419" s="13" t="n">
        <f aca="false">IFERROR(INDEX('NCO-2015 scores'!$C$2:$C$131,MATCH(E3419,'NCO-2015 scores'!$A$2:$A$131,0)),0)</f>
        <v>0.21</v>
      </c>
      <c r="J3419" s="13" t="n">
        <f aca="false">IF(ISNUMBER(MATCH(E3419,'NCO-2015 scores'!$A$2:$A$131,0)),IF(ISNUMBER(INDEX('NCO-2015 scores'!$C$2:$C$131,MATCH(E3419,'NCO-2015 scores'!$A$2:$A$131,0))),1,0),0)</f>
        <v>1</v>
      </c>
    </row>
    <row r="3420" customFormat="false" ht="15" hidden="false" customHeight="false" outlineLevel="0" collapsed="false">
      <c r="A3420" s="2" t="n">
        <v>3416</v>
      </c>
      <c r="B3420" s="2" t="s">
        <v>9915</v>
      </c>
      <c r="C3420" s="2" t="s">
        <v>9916</v>
      </c>
      <c r="D3420" s="2" t="s">
        <v>9917</v>
      </c>
      <c r="E3420" s="2" t="str">
        <f aca="false">LEFT(C3420,3)</f>
        <v>817</v>
      </c>
      <c r="F3420" s="2" t="str">
        <f aca="false">IF(D3420="","",LEFT(D3420,3))</f>
        <v>814</v>
      </c>
      <c r="G3420" s="2" t="str">
        <f aca="false">IF(F3420="","",IF(E3420=F3420,"Yes","No"))</f>
        <v>No</v>
      </c>
      <c r="H3420" s="2" t="n">
        <f aca="false">IF(D3420="",0,1/COUNTIF($D$2:$D$3451,D3420))</f>
        <v>1</v>
      </c>
      <c r="I3420" s="13" t="n">
        <f aca="false">IFERROR(INDEX('NCO-2015 scores'!$C$2:$C$131,MATCH(E3420,'NCO-2015 scores'!$A$2:$A$131,0)),0)</f>
        <v>0.21</v>
      </c>
      <c r="J3420" s="13" t="n">
        <f aca="false">IF(ISNUMBER(MATCH(E3420,'NCO-2015 scores'!$A$2:$A$131,0)),IF(ISNUMBER(INDEX('NCO-2015 scores'!$C$2:$C$131,MATCH(E3420,'NCO-2015 scores'!$A$2:$A$131,0))),1,0),0)</f>
        <v>1</v>
      </c>
    </row>
    <row r="3421" customFormat="false" ht="15" hidden="false" customHeight="false" outlineLevel="0" collapsed="false">
      <c r="A3421" s="2" t="n">
        <v>3417</v>
      </c>
      <c r="B3421" s="2" t="s">
        <v>9918</v>
      </c>
      <c r="C3421" s="2" t="s">
        <v>9919</v>
      </c>
      <c r="D3421" s="2" t="s">
        <v>9920</v>
      </c>
      <c r="E3421" s="2" t="str">
        <f aca="false">LEFT(C3421,3)</f>
        <v>817</v>
      </c>
      <c r="F3421" s="2" t="str">
        <f aca="false">IF(D3421="","",LEFT(D3421,3))</f>
        <v>814</v>
      </c>
      <c r="G3421" s="2" t="str">
        <f aca="false">IF(F3421="","",IF(E3421=F3421,"Yes","No"))</f>
        <v>No</v>
      </c>
      <c r="H3421" s="2" t="n">
        <f aca="false">IF(D3421="",0,1/COUNTIF($D$2:$D$3451,D3421))</f>
        <v>1</v>
      </c>
      <c r="I3421" s="13" t="n">
        <f aca="false">IFERROR(INDEX('NCO-2015 scores'!$C$2:$C$131,MATCH(E3421,'NCO-2015 scores'!$A$2:$A$131,0)),0)</f>
        <v>0.21</v>
      </c>
      <c r="J3421" s="13" t="n">
        <f aca="false">IF(ISNUMBER(MATCH(E3421,'NCO-2015 scores'!$A$2:$A$131,0)),IF(ISNUMBER(INDEX('NCO-2015 scores'!$C$2:$C$131,MATCH(E3421,'NCO-2015 scores'!$A$2:$A$131,0))),1,0),0)</f>
        <v>1</v>
      </c>
    </row>
    <row r="3422" customFormat="false" ht="15" hidden="false" customHeight="false" outlineLevel="0" collapsed="false">
      <c r="A3422" s="2" t="n">
        <v>3418</v>
      </c>
      <c r="B3422" s="2" t="s">
        <v>9921</v>
      </c>
      <c r="C3422" s="2" t="s">
        <v>9922</v>
      </c>
      <c r="D3422" s="2" t="s">
        <v>9923</v>
      </c>
      <c r="E3422" s="2" t="str">
        <f aca="false">LEFT(C3422,3)</f>
        <v>817</v>
      </c>
      <c r="F3422" s="2" t="str">
        <f aca="false">IF(D3422="","",LEFT(D3422,3))</f>
        <v>814</v>
      </c>
      <c r="G3422" s="2" t="str">
        <f aca="false">IF(F3422="","",IF(E3422=F3422,"Yes","No"))</f>
        <v>No</v>
      </c>
      <c r="H3422" s="2" t="n">
        <f aca="false">IF(D3422="",0,1/COUNTIF($D$2:$D$3451,D3422))</f>
        <v>1</v>
      </c>
      <c r="I3422" s="13" t="n">
        <f aca="false">IFERROR(INDEX('NCO-2015 scores'!$C$2:$C$131,MATCH(E3422,'NCO-2015 scores'!$A$2:$A$131,0)),0)</f>
        <v>0.21</v>
      </c>
      <c r="J3422" s="13" t="n">
        <f aca="false">IF(ISNUMBER(MATCH(E3422,'NCO-2015 scores'!$A$2:$A$131,0)),IF(ISNUMBER(INDEX('NCO-2015 scores'!$C$2:$C$131,MATCH(E3422,'NCO-2015 scores'!$A$2:$A$131,0))),1,0),0)</f>
        <v>1</v>
      </c>
    </row>
    <row r="3423" customFormat="false" ht="15" hidden="false" customHeight="false" outlineLevel="0" collapsed="false">
      <c r="A3423" s="2" t="n">
        <v>3419</v>
      </c>
      <c r="B3423" s="2" t="s">
        <v>9924</v>
      </c>
      <c r="C3423" s="2" t="s">
        <v>9925</v>
      </c>
      <c r="D3423" s="2" t="s">
        <v>9926</v>
      </c>
      <c r="E3423" s="2" t="str">
        <f aca="false">LEFT(C3423,3)</f>
        <v>817</v>
      </c>
      <c r="F3423" s="2" t="str">
        <f aca="false">IF(D3423="","",LEFT(D3423,3))</f>
        <v>814</v>
      </c>
      <c r="G3423" s="2" t="str">
        <f aca="false">IF(F3423="","",IF(E3423=F3423,"Yes","No"))</f>
        <v>No</v>
      </c>
      <c r="H3423" s="2" t="n">
        <f aca="false">IF(D3423="",0,1/COUNTIF($D$2:$D$3451,D3423))</f>
        <v>1</v>
      </c>
      <c r="I3423" s="13" t="n">
        <f aca="false">IFERROR(INDEX('NCO-2015 scores'!$C$2:$C$131,MATCH(E3423,'NCO-2015 scores'!$A$2:$A$131,0)),0)</f>
        <v>0.21</v>
      </c>
      <c r="J3423" s="13" t="n">
        <f aca="false">IF(ISNUMBER(MATCH(E3423,'NCO-2015 scores'!$A$2:$A$131,0)),IF(ISNUMBER(INDEX('NCO-2015 scores'!$C$2:$C$131,MATCH(E3423,'NCO-2015 scores'!$A$2:$A$131,0))),1,0),0)</f>
        <v>1</v>
      </c>
    </row>
    <row r="3424" customFormat="false" ht="15" hidden="false" customHeight="false" outlineLevel="0" collapsed="false">
      <c r="A3424" s="2" t="n">
        <v>3420</v>
      </c>
      <c r="B3424" s="2" t="s">
        <v>9927</v>
      </c>
      <c r="C3424" s="2" t="s">
        <v>9928</v>
      </c>
      <c r="D3424" s="2" t="s">
        <v>9929</v>
      </c>
      <c r="E3424" s="2" t="str">
        <f aca="false">LEFT(C3424,3)</f>
        <v>817</v>
      </c>
      <c r="F3424" s="2" t="str">
        <f aca="false">IF(D3424="","",LEFT(D3424,3))</f>
        <v>814</v>
      </c>
      <c r="G3424" s="2" t="str">
        <f aca="false">IF(F3424="","",IF(E3424=F3424,"Yes","No"))</f>
        <v>No</v>
      </c>
      <c r="H3424" s="2" t="n">
        <f aca="false">IF(D3424="",0,1/COUNTIF($D$2:$D$3451,D3424))</f>
        <v>1</v>
      </c>
      <c r="I3424" s="13" t="n">
        <f aca="false">IFERROR(INDEX('NCO-2015 scores'!$C$2:$C$131,MATCH(E3424,'NCO-2015 scores'!$A$2:$A$131,0)),0)</f>
        <v>0.21</v>
      </c>
      <c r="J3424" s="13" t="n">
        <f aca="false">IF(ISNUMBER(MATCH(E3424,'NCO-2015 scores'!$A$2:$A$131,0)),IF(ISNUMBER(INDEX('NCO-2015 scores'!$C$2:$C$131,MATCH(E3424,'NCO-2015 scores'!$A$2:$A$131,0))),1,0),0)</f>
        <v>1</v>
      </c>
    </row>
    <row r="3425" customFormat="false" ht="15" hidden="false" customHeight="false" outlineLevel="0" collapsed="false">
      <c r="A3425" s="2" t="n">
        <v>3421</v>
      </c>
      <c r="B3425" s="2" t="s">
        <v>9930</v>
      </c>
      <c r="C3425" s="2" t="s">
        <v>9931</v>
      </c>
      <c r="D3425" s="2" t="s">
        <v>9932</v>
      </c>
      <c r="E3425" s="2" t="str">
        <f aca="false">LEFT(C3425,3)</f>
        <v>817</v>
      </c>
      <c r="F3425" s="2" t="str">
        <f aca="false">IF(D3425="","",LEFT(D3425,3))</f>
        <v>814</v>
      </c>
      <c r="G3425" s="2" t="str">
        <f aca="false">IF(F3425="","",IF(E3425=F3425,"Yes","No"))</f>
        <v>No</v>
      </c>
      <c r="H3425" s="2" t="n">
        <f aca="false">IF(D3425="",0,1/COUNTIF($D$2:$D$3451,D3425))</f>
        <v>1</v>
      </c>
      <c r="I3425" s="13" t="n">
        <f aca="false">IFERROR(INDEX('NCO-2015 scores'!$C$2:$C$131,MATCH(E3425,'NCO-2015 scores'!$A$2:$A$131,0)),0)</f>
        <v>0.21</v>
      </c>
      <c r="J3425" s="13" t="n">
        <f aca="false">IF(ISNUMBER(MATCH(E3425,'NCO-2015 scores'!$A$2:$A$131,0)),IF(ISNUMBER(INDEX('NCO-2015 scores'!$C$2:$C$131,MATCH(E3425,'NCO-2015 scores'!$A$2:$A$131,0))),1,0),0)</f>
        <v>1</v>
      </c>
    </row>
    <row r="3426" customFormat="false" ht="15" hidden="false" customHeight="false" outlineLevel="0" collapsed="false">
      <c r="A3426" s="2" t="n">
        <v>3422</v>
      </c>
      <c r="B3426" s="2" t="s">
        <v>9933</v>
      </c>
      <c r="C3426" s="2" t="s">
        <v>9934</v>
      </c>
      <c r="D3426" s="2" t="s">
        <v>9935</v>
      </c>
      <c r="E3426" s="2" t="str">
        <f aca="false">LEFT(C3426,3)</f>
        <v>817</v>
      </c>
      <c r="F3426" s="2" t="str">
        <f aca="false">IF(D3426="","",LEFT(D3426,3))</f>
        <v>814</v>
      </c>
      <c r="G3426" s="2" t="str">
        <f aca="false">IF(F3426="","",IF(E3426=F3426,"Yes","No"))</f>
        <v>No</v>
      </c>
      <c r="H3426" s="2" t="n">
        <f aca="false">IF(D3426="",0,1/COUNTIF($D$2:$D$3451,D3426))</f>
        <v>1</v>
      </c>
      <c r="I3426" s="13" t="n">
        <f aca="false">IFERROR(INDEX('NCO-2015 scores'!$C$2:$C$131,MATCH(E3426,'NCO-2015 scores'!$A$2:$A$131,0)),0)</f>
        <v>0.21</v>
      </c>
      <c r="J3426" s="13" t="n">
        <f aca="false">IF(ISNUMBER(MATCH(E3426,'NCO-2015 scores'!$A$2:$A$131,0)),IF(ISNUMBER(INDEX('NCO-2015 scores'!$C$2:$C$131,MATCH(E3426,'NCO-2015 scores'!$A$2:$A$131,0))),1,0),0)</f>
        <v>1</v>
      </c>
    </row>
    <row r="3427" customFormat="false" ht="15" hidden="false" customHeight="false" outlineLevel="0" collapsed="false">
      <c r="A3427" s="2" t="n">
        <v>3423</v>
      </c>
      <c r="B3427" s="2" t="s">
        <v>9936</v>
      </c>
      <c r="C3427" s="2" t="s">
        <v>9937</v>
      </c>
      <c r="D3427" s="2" t="s">
        <v>9938</v>
      </c>
      <c r="E3427" s="2" t="str">
        <f aca="false">LEFT(C3427,3)</f>
        <v>752</v>
      </c>
      <c r="F3427" s="2" t="str">
        <f aca="false">IF(D3427="","",LEFT(D3427,3))</f>
        <v>742</v>
      </c>
      <c r="G3427" s="2" t="str">
        <f aca="false">IF(F3427="","",IF(E3427=F3427,"Yes","No"))</f>
        <v>No</v>
      </c>
      <c r="H3427" s="2" t="n">
        <f aca="false">IF(D3427="",0,1/COUNTIF($D$2:$D$3451,D3427))</f>
        <v>1</v>
      </c>
      <c r="I3427" s="13" t="n">
        <f aca="false">IFERROR(INDEX('NCO-2015 scores'!$C$2:$C$131,MATCH(E3427,'NCO-2015 scores'!$A$2:$A$131,0)),0)</f>
        <v>0.2</v>
      </c>
      <c r="J3427" s="13" t="n">
        <f aca="false">IF(ISNUMBER(MATCH(E3427,'NCO-2015 scores'!$A$2:$A$131,0)),IF(ISNUMBER(INDEX('NCO-2015 scores'!$C$2:$C$131,MATCH(E3427,'NCO-2015 scores'!$A$2:$A$131,0))),1,0),0)</f>
        <v>1</v>
      </c>
    </row>
    <row r="3428" customFormat="false" ht="15" hidden="false" customHeight="false" outlineLevel="0" collapsed="false">
      <c r="A3428" s="2" t="n">
        <v>3424</v>
      </c>
      <c r="B3428" s="2" t="s">
        <v>9939</v>
      </c>
      <c r="C3428" s="2" t="s">
        <v>9940</v>
      </c>
      <c r="D3428" s="2" t="s">
        <v>9941</v>
      </c>
      <c r="E3428" s="2" t="str">
        <f aca="false">LEFT(C3428,3)</f>
        <v>752</v>
      </c>
      <c r="F3428" s="2" t="str">
        <f aca="false">IF(D3428="","",LEFT(D3428,3))</f>
        <v>742</v>
      </c>
      <c r="G3428" s="2" t="str">
        <f aca="false">IF(F3428="","",IF(E3428=F3428,"Yes","No"))</f>
        <v>No</v>
      </c>
      <c r="H3428" s="2" t="n">
        <f aca="false">IF(D3428="",0,1/COUNTIF($D$2:$D$3451,D3428))</f>
        <v>1</v>
      </c>
      <c r="I3428" s="13" t="n">
        <f aca="false">IFERROR(INDEX('NCO-2015 scores'!$C$2:$C$131,MATCH(E3428,'NCO-2015 scores'!$A$2:$A$131,0)),0)</f>
        <v>0.2</v>
      </c>
      <c r="J3428" s="13" t="n">
        <f aca="false">IF(ISNUMBER(MATCH(E3428,'NCO-2015 scores'!$A$2:$A$131,0)),IF(ISNUMBER(INDEX('NCO-2015 scores'!$C$2:$C$131,MATCH(E3428,'NCO-2015 scores'!$A$2:$A$131,0))),1,0),0)</f>
        <v>1</v>
      </c>
    </row>
    <row r="3429" customFormat="false" ht="15" hidden="false" customHeight="false" outlineLevel="0" collapsed="false">
      <c r="A3429" s="2" t="n">
        <v>3425</v>
      </c>
      <c r="B3429" s="2" t="s">
        <v>9942</v>
      </c>
      <c r="C3429" s="2" t="s">
        <v>9943</v>
      </c>
      <c r="D3429" s="2" t="s">
        <v>9944</v>
      </c>
      <c r="E3429" s="2" t="str">
        <f aca="false">LEFT(C3429,3)</f>
        <v>752</v>
      </c>
      <c r="F3429" s="2" t="str">
        <f aca="false">IF(D3429="","",LEFT(D3429,3))</f>
        <v>742</v>
      </c>
      <c r="G3429" s="2" t="str">
        <f aca="false">IF(F3429="","",IF(E3429=F3429,"Yes","No"))</f>
        <v>No</v>
      </c>
      <c r="H3429" s="2" t="n">
        <f aca="false">IF(D3429="",0,1/COUNTIF($D$2:$D$3451,D3429))</f>
        <v>1</v>
      </c>
      <c r="I3429" s="13" t="n">
        <f aca="false">IFERROR(INDEX('NCO-2015 scores'!$C$2:$C$131,MATCH(E3429,'NCO-2015 scores'!$A$2:$A$131,0)),0)</f>
        <v>0.2</v>
      </c>
      <c r="J3429" s="13" t="n">
        <f aca="false">IF(ISNUMBER(MATCH(E3429,'NCO-2015 scores'!$A$2:$A$131,0)),IF(ISNUMBER(INDEX('NCO-2015 scores'!$C$2:$C$131,MATCH(E3429,'NCO-2015 scores'!$A$2:$A$131,0))),1,0),0)</f>
        <v>1</v>
      </c>
    </row>
    <row r="3430" customFormat="false" ht="15" hidden="false" customHeight="false" outlineLevel="0" collapsed="false">
      <c r="A3430" s="2" t="n">
        <v>3426</v>
      </c>
      <c r="B3430" s="2" t="s">
        <v>9945</v>
      </c>
      <c r="C3430" s="2" t="s">
        <v>9946</v>
      </c>
      <c r="D3430" s="2" t="s">
        <v>9947</v>
      </c>
      <c r="E3430" s="2" t="str">
        <f aca="false">LEFT(C3430,3)</f>
        <v>752</v>
      </c>
      <c r="F3430" s="2" t="str">
        <f aca="false">IF(D3430="","",LEFT(D3430,3))</f>
        <v>742</v>
      </c>
      <c r="G3430" s="2" t="str">
        <f aca="false">IF(F3430="","",IF(E3430=F3430,"Yes","No"))</f>
        <v>No</v>
      </c>
      <c r="H3430" s="2" t="n">
        <f aca="false">IF(D3430="",0,1/COUNTIF($D$2:$D$3451,D3430))</f>
        <v>1</v>
      </c>
      <c r="I3430" s="13" t="n">
        <f aca="false">IFERROR(INDEX('NCO-2015 scores'!$C$2:$C$131,MATCH(E3430,'NCO-2015 scores'!$A$2:$A$131,0)),0)</f>
        <v>0.2</v>
      </c>
      <c r="J3430" s="13" t="n">
        <f aca="false">IF(ISNUMBER(MATCH(E3430,'NCO-2015 scores'!$A$2:$A$131,0)),IF(ISNUMBER(INDEX('NCO-2015 scores'!$C$2:$C$131,MATCH(E3430,'NCO-2015 scores'!$A$2:$A$131,0))),1,0),0)</f>
        <v>1</v>
      </c>
    </row>
    <row r="3431" customFormat="false" ht="15" hidden="false" customHeight="false" outlineLevel="0" collapsed="false">
      <c r="A3431" s="2" t="n">
        <v>3427</v>
      </c>
      <c r="B3431" s="2" t="s">
        <v>9948</v>
      </c>
      <c r="C3431" s="2" t="s">
        <v>9949</v>
      </c>
      <c r="D3431" s="2" t="s">
        <v>9950</v>
      </c>
      <c r="E3431" s="2" t="str">
        <f aca="false">LEFT(C3431,3)</f>
        <v>752</v>
      </c>
      <c r="F3431" s="2" t="str">
        <f aca="false">IF(D3431="","",LEFT(D3431,3))</f>
        <v>742</v>
      </c>
      <c r="G3431" s="2" t="str">
        <f aca="false">IF(F3431="","",IF(E3431=F3431,"Yes","No"))</f>
        <v>No</v>
      </c>
      <c r="H3431" s="2" t="n">
        <f aca="false">IF(D3431="",0,1/COUNTIF($D$2:$D$3451,D3431))</f>
        <v>1</v>
      </c>
      <c r="I3431" s="13" t="n">
        <f aca="false">IFERROR(INDEX('NCO-2015 scores'!$C$2:$C$131,MATCH(E3431,'NCO-2015 scores'!$A$2:$A$131,0)),0)</f>
        <v>0.2</v>
      </c>
      <c r="J3431" s="13" t="n">
        <f aca="false">IF(ISNUMBER(MATCH(E3431,'NCO-2015 scores'!$A$2:$A$131,0)),IF(ISNUMBER(INDEX('NCO-2015 scores'!$C$2:$C$131,MATCH(E3431,'NCO-2015 scores'!$A$2:$A$131,0))),1,0),0)</f>
        <v>1</v>
      </c>
    </row>
    <row r="3432" customFormat="false" ht="15" hidden="false" customHeight="false" outlineLevel="0" collapsed="false">
      <c r="A3432" s="2" t="n">
        <v>3428</v>
      </c>
      <c r="B3432" s="2" t="s">
        <v>9951</v>
      </c>
      <c r="C3432" s="2" t="s">
        <v>9952</v>
      </c>
      <c r="D3432" s="2" t="s">
        <v>9953</v>
      </c>
      <c r="E3432" s="2" t="str">
        <f aca="false">LEFT(C3432,3)</f>
        <v>752</v>
      </c>
      <c r="F3432" s="2" t="str">
        <f aca="false">IF(D3432="","",LEFT(D3432,3))</f>
        <v>742</v>
      </c>
      <c r="G3432" s="2" t="str">
        <f aca="false">IF(F3432="","",IF(E3432=F3432,"Yes","No"))</f>
        <v>No</v>
      </c>
      <c r="H3432" s="2" t="n">
        <f aca="false">IF(D3432="",0,1/COUNTIF($D$2:$D$3451,D3432))</f>
        <v>1</v>
      </c>
      <c r="I3432" s="13" t="n">
        <f aca="false">IFERROR(INDEX('NCO-2015 scores'!$C$2:$C$131,MATCH(E3432,'NCO-2015 scores'!$A$2:$A$131,0)),0)</f>
        <v>0.2</v>
      </c>
      <c r="J3432" s="13" t="n">
        <f aca="false">IF(ISNUMBER(MATCH(E3432,'NCO-2015 scores'!$A$2:$A$131,0)),IF(ISNUMBER(INDEX('NCO-2015 scores'!$C$2:$C$131,MATCH(E3432,'NCO-2015 scores'!$A$2:$A$131,0))),1,0),0)</f>
        <v>1</v>
      </c>
    </row>
    <row r="3433" customFormat="false" ht="15" hidden="false" customHeight="false" outlineLevel="0" collapsed="false">
      <c r="A3433" s="2" t="n">
        <v>3429</v>
      </c>
      <c r="B3433" s="2" t="s">
        <v>9954</v>
      </c>
      <c r="C3433" s="2" t="s">
        <v>9955</v>
      </c>
      <c r="D3433" s="2" t="s">
        <v>9956</v>
      </c>
      <c r="E3433" s="2" t="str">
        <f aca="false">LEFT(C3433,3)</f>
        <v>752</v>
      </c>
      <c r="F3433" s="2" t="str">
        <f aca="false">IF(D3433="","",LEFT(D3433,3))</f>
        <v>742</v>
      </c>
      <c r="G3433" s="2" t="str">
        <f aca="false">IF(F3433="","",IF(E3433=F3433,"Yes","No"))</f>
        <v>No</v>
      </c>
      <c r="H3433" s="2" t="n">
        <f aca="false">IF(D3433="",0,1/COUNTIF($D$2:$D$3451,D3433))</f>
        <v>1</v>
      </c>
      <c r="I3433" s="13" t="n">
        <f aca="false">IFERROR(INDEX('NCO-2015 scores'!$C$2:$C$131,MATCH(E3433,'NCO-2015 scores'!$A$2:$A$131,0)),0)</f>
        <v>0.2</v>
      </c>
      <c r="J3433" s="13" t="n">
        <f aca="false">IF(ISNUMBER(MATCH(E3433,'NCO-2015 scores'!$A$2:$A$131,0)),IF(ISNUMBER(INDEX('NCO-2015 scores'!$C$2:$C$131,MATCH(E3433,'NCO-2015 scores'!$A$2:$A$131,0))),1,0),0)</f>
        <v>1</v>
      </c>
    </row>
    <row r="3434" customFormat="false" ht="15" hidden="false" customHeight="false" outlineLevel="0" collapsed="false">
      <c r="A3434" s="2" t="n">
        <v>3430</v>
      </c>
      <c r="B3434" s="2" t="s">
        <v>9957</v>
      </c>
      <c r="C3434" s="2" t="s">
        <v>9958</v>
      </c>
      <c r="D3434" s="2" t="s">
        <v>9959</v>
      </c>
      <c r="E3434" s="2" t="str">
        <f aca="false">LEFT(C3434,3)</f>
        <v>752</v>
      </c>
      <c r="F3434" s="2" t="str">
        <f aca="false">IF(D3434="","",LEFT(D3434,3))</f>
        <v>742</v>
      </c>
      <c r="G3434" s="2" t="str">
        <f aca="false">IF(F3434="","",IF(E3434=F3434,"Yes","No"))</f>
        <v>No</v>
      </c>
      <c r="H3434" s="2" t="n">
        <f aca="false">IF(D3434="",0,1/COUNTIF($D$2:$D$3451,D3434))</f>
        <v>1</v>
      </c>
      <c r="I3434" s="13" t="n">
        <f aca="false">IFERROR(INDEX('NCO-2015 scores'!$C$2:$C$131,MATCH(E3434,'NCO-2015 scores'!$A$2:$A$131,0)),0)</f>
        <v>0.2</v>
      </c>
      <c r="J3434" s="13" t="n">
        <f aca="false">IF(ISNUMBER(MATCH(E3434,'NCO-2015 scores'!$A$2:$A$131,0)),IF(ISNUMBER(INDEX('NCO-2015 scores'!$C$2:$C$131,MATCH(E3434,'NCO-2015 scores'!$A$2:$A$131,0))),1,0),0)</f>
        <v>1</v>
      </c>
    </row>
    <row r="3435" customFormat="false" ht="15" hidden="false" customHeight="false" outlineLevel="0" collapsed="false">
      <c r="A3435" s="2" t="n">
        <v>3431</v>
      </c>
      <c r="B3435" s="2" t="s">
        <v>9960</v>
      </c>
      <c r="C3435" s="2" t="s">
        <v>9961</v>
      </c>
      <c r="D3435" s="2" t="s">
        <v>9962</v>
      </c>
      <c r="E3435" s="2" t="str">
        <f aca="false">LEFT(C3435,3)</f>
        <v>752</v>
      </c>
      <c r="F3435" s="2" t="str">
        <f aca="false">IF(D3435="","",LEFT(D3435,3))</f>
        <v>742</v>
      </c>
      <c r="G3435" s="2" t="str">
        <f aca="false">IF(F3435="","",IF(E3435=F3435,"Yes","No"))</f>
        <v>No</v>
      </c>
      <c r="H3435" s="2" t="n">
        <f aca="false">IF(D3435="",0,1/COUNTIF($D$2:$D$3451,D3435))</f>
        <v>1</v>
      </c>
      <c r="I3435" s="13" t="n">
        <f aca="false">IFERROR(INDEX('NCO-2015 scores'!$C$2:$C$131,MATCH(E3435,'NCO-2015 scores'!$A$2:$A$131,0)),0)</f>
        <v>0.2</v>
      </c>
      <c r="J3435" s="13" t="n">
        <f aca="false">IF(ISNUMBER(MATCH(E3435,'NCO-2015 scores'!$A$2:$A$131,0)),IF(ISNUMBER(INDEX('NCO-2015 scores'!$C$2:$C$131,MATCH(E3435,'NCO-2015 scores'!$A$2:$A$131,0))),1,0),0)</f>
        <v>1</v>
      </c>
    </row>
    <row r="3436" customFormat="false" ht="15" hidden="false" customHeight="false" outlineLevel="0" collapsed="false">
      <c r="A3436" s="2" t="n">
        <v>3432</v>
      </c>
      <c r="B3436" s="2" t="s">
        <v>9963</v>
      </c>
      <c r="C3436" s="2" t="s">
        <v>9964</v>
      </c>
      <c r="D3436" s="2" t="s">
        <v>9965</v>
      </c>
      <c r="E3436" s="2" t="str">
        <f aca="false">LEFT(C3436,3)</f>
        <v>752</v>
      </c>
      <c r="F3436" s="2" t="str">
        <f aca="false">IF(D3436="","",LEFT(D3436,3))</f>
        <v>742</v>
      </c>
      <c r="G3436" s="2" t="str">
        <f aca="false">IF(F3436="","",IF(E3436=F3436,"Yes","No"))</f>
        <v>No</v>
      </c>
      <c r="H3436" s="2" t="n">
        <f aca="false">IF(D3436="",0,1/COUNTIF($D$2:$D$3451,D3436))</f>
        <v>1</v>
      </c>
      <c r="I3436" s="13" t="n">
        <f aca="false">IFERROR(INDEX('NCO-2015 scores'!$C$2:$C$131,MATCH(E3436,'NCO-2015 scores'!$A$2:$A$131,0)),0)</f>
        <v>0.2</v>
      </c>
      <c r="J3436" s="13" t="n">
        <f aca="false">IF(ISNUMBER(MATCH(E3436,'NCO-2015 scores'!$A$2:$A$131,0)),IF(ISNUMBER(INDEX('NCO-2015 scores'!$C$2:$C$131,MATCH(E3436,'NCO-2015 scores'!$A$2:$A$131,0))),1,0),0)</f>
        <v>1</v>
      </c>
    </row>
    <row r="3437" customFormat="false" ht="15" hidden="false" customHeight="false" outlineLevel="0" collapsed="false">
      <c r="A3437" s="2" t="n">
        <v>3433</v>
      </c>
      <c r="B3437" s="2" t="s">
        <v>9966</v>
      </c>
      <c r="C3437" s="2" t="s">
        <v>9967</v>
      </c>
      <c r="D3437" s="2" t="s">
        <v>9968</v>
      </c>
      <c r="E3437" s="2" t="str">
        <f aca="false">LEFT(C3437,3)</f>
        <v>752</v>
      </c>
      <c r="F3437" s="2" t="str">
        <f aca="false">IF(D3437="","",LEFT(D3437,3))</f>
        <v>742</v>
      </c>
      <c r="G3437" s="2" t="str">
        <f aca="false">IF(F3437="","",IF(E3437=F3437,"Yes","No"))</f>
        <v>No</v>
      </c>
      <c r="H3437" s="2" t="n">
        <f aca="false">IF(D3437="",0,1/COUNTIF($D$2:$D$3451,D3437))</f>
        <v>1</v>
      </c>
      <c r="I3437" s="13" t="n">
        <f aca="false">IFERROR(INDEX('NCO-2015 scores'!$C$2:$C$131,MATCH(E3437,'NCO-2015 scores'!$A$2:$A$131,0)),0)</f>
        <v>0.2</v>
      </c>
      <c r="J3437" s="13" t="n">
        <f aca="false">IF(ISNUMBER(MATCH(E3437,'NCO-2015 scores'!$A$2:$A$131,0)),IF(ISNUMBER(INDEX('NCO-2015 scores'!$C$2:$C$131,MATCH(E3437,'NCO-2015 scores'!$A$2:$A$131,0))),1,0),0)</f>
        <v>1</v>
      </c>
    </row>
    <row r="3438" customFormat="false" ht="15" hidden="false" customHeight="false" outlineLevel="0" collapsed="false">
      <c r="A3438" s="2" t="n">
        <v>3434</v>
      </c>
      <c r="B3438" s="2" t="s">
        <v>9969</v>
      </c>
      <c r="C3438" s="2" t="s">
        <v>9970</v>
      </c>
      <c r="D3438" s="2" t="s">
        <v>9971</v>
      </c>
      <c r="E3438" s="2" t="str">
        <f aca="false">LEFT(C3438,3)</f>
        <v>752</v>
      </c>
      <c r="F3438" s="2" t="str">
        <f aca="false">IF(D3438="","",LEFT(D3438,3))</f>
        <v>742</v>
      </c>
      <c r="G3438" s="2" t="str">
        <f aca="false">IF(F3438="","",IF(E3438=F3438,"Yes","No"))</f>
        <v>No</v>
      </c>
      <c r="H3438" s="2" t="n">
        <f aca="false">IF(D3438="",0,1/COUNTIF($D$2:$D$3451,D3438))</f>
        <v>1</v>
      </c>
      <c r="I3438" s="13" t="n">
        <f aca="false">IFERROR(INDEX('NCO-2015 scores'!$C$2:$C$131,MATCH(E3438,'NCO-2015 scores'!$A$2:$A$131,0)),0)</f>
        <v>0.2</v>
      </c>
      <c r="J3438" s="13" t="n">
        <f aca="false">IF(ISNUMBER(MATCH(E3438,'NCO-2015 scores'!$A$2:$A$131,0)),IF(ISNUMBER(INDEX('NCO-2015 scores'!$C$2:$C$131,MATCH(E3438,'NCO-2015 scores'!$A$2:$A$131,0))),1,0),0)</f>
        <v>1</v>
      </c>
    </row>
    <row r="3439" customFormat="false" ht="15" hidden="false" customHeight="false" outlineLevel="0" collapsed="false">
      <c r="A3439" s="2" t="n">
        <v>3435</v>
      </c>
      <c r="B3439" s="2" t="s">
        <v>9972</v>
      </c>
      <c r="C3439" s="2" t="s">
        <v>9973</v>
      </c>
      <c r="D3439" s="2" t="s">
        <v>9974</v>
      </c>
      <c r="E3439" s="2" t="str">
        <f aca="false">LEFT(C3439,3)</f>
        <v>752</v>
      </c>
      <c r="F3439" s="2" t="str">
        <f aca="false">IF(D3439="","",LEFT(D3439,3))</f>
        <v>742</v>
      </c>
      <c r="G3439" s="2" t="str">
        <f aca="false">IF(F3439="","",IF(E3439=F3439,"Yes","No"))</f>
        <v>No</v>
      </c>
      <c r="H3439" s="2" t="n">
        <f aca="false">IF(D3439="",0,1/COUNTIF($D$2:$D$3451,D3439))</f>
        <v>1</v>
      </c>
      <c r="I3439" s="13" t="n">
        <f aca="false">IFERROR(INDEX('NCO-2015 scores'!$C$2:$C$131,MATCH(E3439,'NCO-2015 scores'!$A$2:$A$131,0)),0)</f>
        <v>0.2</v>
      </c>
      <c r="J3439" s="13" t="n">
        <f aca="false">IF(ISNUMBER(MATCH(E3439,'NCO-2015 scores'!$A$2:$A$131,0)),IF(ISNUMBER(INDEX('NCO-2015 scores'!$C$2:$C$131,MATCH(E3439,'NCO-2015 scores'!$A$2:$A$131,0))),1,0),0)</f>
        <v>1</v>
      </c>
    </row>
    <row r="3440" customFormat="false" ht="15" hidden="false" customHeight="false" outlineLevel="0" collapsed="false">
      <c r="A3440" s="2" t="n">
        <v>3436</v>
      </c>
      <c r="B3440" s="2" t="s">
        <v>9975</v>
      </c>
      <c r="C3440" s="2" t="s">
        <v>9976</v>
      </c>
      <c r="D3440" s="2" t="s">
        <v>9977</v>
      </c>
      <c r="E3440" s="2" t="str">
        <f aca="false">LEFT(C3440,3)</f>
        <v>752</v>
      </c>
      <c r="F3440" s="2" t="str">
        <f aca="false">IF(D3440="","",LEFT(D3440,3))</f>
        <v>742</v>
      </c>
      <c r="G3440" s="2" t="str">
        <f aca="false">IF(F3440="","",IF(E3440=F3440,"Yes","No"))</f>
        <v>No</v>
      </c>
      <c r="H3440" s="2" t="n">
        <f aca="false">IF(D3440="",0,1/COUNTIF($D$2:$D$3451,D3440))</f>
        <v>1</v>
      </c>
      <c r="I3440" s="13" t="n">
        <f aca="false">IFERROR(INDEX('NCO-2015 scores'!$C$2:$C$131,MATCH(E3440,'NCO-2015 scores'!$A$2:$A$131,0)),0)</f>
        <v>0.2</v>
      </c>
      <c r="J3440" s="13" t="n">
        <f aca="false">IF(ISNUMBER(MATCH(E3440,'NCO-2015 scores'!$A$2:$A$131,0)),IF(ISNUMBER(INDEX('NCO-2015 scores'!$C$2:$C$131,MATCH(E3440,'NCO-2015 scores'!$A$2:$A$131,0))),1,0),0)</f>
        <v>1</v>
      </c>
    </row>
    <row r="3441" customFormat="false" ht="15" hidden="false" customHeight="false" outlineLevel="0" collapsed="false">
      <c r="A3441" s="2" t="n">
        <v>3437</v>
      </c>
      <c r="B3441" s="2" t="s">
        <v>9978</v>
      </c>
      <c r="C3441" s="2" t="s">
        <v>9979</v>
      </c>
      <c r="D3441" s="2" t="s">
        <v>9980</v>
      </c>
      <c r="E3441" s="2" t="str">
        <f aca="false">LEFT(C3441,3)</f>
        <v>752</v>
      </c>
      <c r="F3441" s="2" t="str">
        <f aca="false">IF(D3441="","",LEFT(D3441,3))</f>
        <v>742</v>
      </c>
      <c r="G3441" s="2" t="str">
        <f aca="false">IF(F3441="","",IF(E3441=F3441,"Yes","No"))</f>
        <v>No</v>
      </c>
      <c r="H3441" s="2" t="n">
        <f aca="false">IF(D3441="",0,1/COUNTIF($D$2:$D$3451,D3441))</f>
        <v>1</v>
      </c>
      <c r="I3441" s="13" t="n">
        <f aca="false">IFERROR(INDEX('NCO-2015 scores'!$C$2:$C$131,MATCH(E3441,'NCO-2015 scores'!$A$2:$A$131,0)),0)</f>
        <v>0.2</v>
      </c>
      <c r="J3441" s="13" t="n">
        <f aca="false">IF(ISNUMBER(MATCH(E3441,'NCO-2015 scores'!$A$2:$A$131,0)),IF(ISNUMBER(INDEX('NCO-2015 scores'!$C$2:$C$131,MATCH(E3441,'NCO-2015 scores'!$A$2:$A$131,0))),1,0),0)</f>
        <v>1</v>
      </c>
    </row>
    <row r="3442" customFormat="false" ht="15" hidden="false" customHeight="false" outlineLevel="0" collapsed="false">
      <c r="A3442" s="2" t="n">
        <v>3438</v>
      </c>
      <c r="B3442" s="2" t="s">
        <v>9981</v>
      </c>
      <c r="C3442" s="2" t="s">
        <v>9982</v>
      </c>
      <c r="D3442" s="2" t="s">
        <v>9983</v>
      </c>
      <c r="E3442" s="2" t="str">
        <f aca="false">LEFT(C3442,3)</f>
        <v>752</v>
      </c>
      <c r="F3442" s="2" t="str">
        <f aca="false">IF(D3442="","",LEFT(D3442,3))</f>
        <v>742</v>
      </c>
      <c r="G3442" s="2" t="str">
        <f aca="false">IF(F3442="","",IF(E3442=F3442,"Yes","No"))</f>
        <v>No</v>
      </c>
      <c r="H3442" s="2" t="n">
        <f aca="false">IF(D3442="",0,1/COUNTIF($D$2:$D$3451,D3442))</f>
        <v>1</v>
      </c>
      <c r="I3442" s="13" t="n">
        <f aca="false">IFERROR(INDEX('NCO-2015 scores'!$C$2:$C$131,MATCH(E3442,'NCO-2015 scores'!$A$2:$A$131,0)),0)</f>
        <v>0.2</v>
      </c>
      <c r="J3442" s="13" t="n">
        <f aca="false">IF(ISNUMBER(MATCH(E3442,'NCO-2015 scores'!$A$2:$A$131,0)),IF(ISNUMBER(INDEX('NCO-2015 scores'!$C$2:$C$131,MATCH(E3442,'NCO-2015 scores'!$A$2:$A$131,0))),1,0),0)</f>
        <v>1</v>
      </c>
    </row>
    <row r="3443" customFormat="false" ht="15" hidden="false" customHeight="false" outlineLevel="0" collapsed="false">
      <c r="A3443" s="2" t="n">
        <v>3439</v>
      </c>
      <c r="B3443" s="2" t="s">
        <v>9984</v>
      </c>
      <c r="C3443" s="2" t="s">
        <v>9985</v>
      </c>
      <c r="D3443" s="2" t="s">
        <v>9986</v>
      </c>
      <c r="E3443" s="2" t="str">
        <f aca="false">LEFT(C3443,3)</f>
        <v>752</v>
      </c>
      <c r="F3443" s="2" t="str">
        <f aca="false">IF(D3443="","",LEFT(D3443,3))</f>
        <v>742</v>
      </c>
      <c r="G3443" s="2" t="str">
        <f aca="false">IF(F3443="","",IF(E3443=F3443,"Yes","No"))</f>
        <v>No</v>
      </c>
      <c r="H3443" s="2" t="n">
        <f aca="false">IF(D3443="",0,1/COUNTIF($D$2:$D$3451,D3443))</f>
        <v>1</v>
      </c>
      <c r="I3443" s="13" t="n">
        <f aca="false">IFERROR(INDEX('NCO-2015 scores'!$C$2:$C$131,MATCH(E3443,'NCO-2015 scores'!$A$2:$A$131,0)),0)</f>
        <v>0.2</v>
      </c>
      <c r="J3443" s="13" t="n">
        <f aca="false">IF(ISNUMBER(MATCH(E3443,'NCO-2015 scores'!$A$2:$A$131,0)),IF(ISNUMBER(INDEX('NCO-2015 scores'!$C$2:$C$131,MATCH(E3443,'NCO-2015 scores'!$A$2:$A$131,0))),1,0),0)</f>
        <v>1</v>
      </c>
    </row>
    <row r="3444" customFormat="false" ht="15" hidden="false" customHeight="false" outlineLevel="0" collapsed="false">
      <c r="A3444" s="2" t="n">
        <v>3440</v>
      </c>
      <c r="B3444" s="2" t="s">
        <v>9987</v>
      </c>
      <c r="C3444" s="2" t="s">
        <v>9988</v>
      </c>
      <c r="D3444" s="2" t="s">
        <v>9989</v>
      </c>
      <c r="E3444" s="2" t="str">
        <f aca="false">LEFT(C3444,3)</f>
        <v>752</v>
      </c>
      <c r="F3444" s="2" t="str">
        <f aca="false">IF(D3444="","",LEFT(D3444,3))</f>
        <v>742</v>
      </c>
      <c r="G3444" s="2" t="str">
        <f aca="false">IF(F3444="","",IF(E3444=F3444,"Yes","No"))</f>
        <v>No</v>
      </c>
      <c r="H3444" s="2" t="n">
        <f aca="false">IF(D3444="",0,1/COUNTIF($D$2:$D$3451,D3444))</f>
        <v>1</v>
      </c>
      <c r="I3444" s="13" t="n">
        <f aca="false">IFERROR(INDEX('NCO-2015 scores'!$C$2:$C$131,MATCH(E3444,'NCO-2015 scores'!$A$2:$A$131,0)),0)</f>
        <v>0.2</v>
      </c>
      <c r="J3444" s="13" t="n">
        <f aca="false">IF(ISNUMBER(MATCH(E3444,'NCO-2015 scores'!$A$2:$A$131,0)),IF(ISNUMBER(INDEX('NCO-2015 scores'!$C$2:$C$131,MATCH(E3444,'NCO-2015 scores'!$A$2:$A$131,0))),1,0),0)</f>
        <v>1</v>
      </c>
    </row>
    <row r="3445" customFormat="false" ht="15" hidden="false" customHeight="false" outlineLevel="0" collapsed="false">
      <c r="A3445" s="2" t="n">
        <v>3441</v>
      </c>
      <c r="B3445" s="2" t="s">
        <v>9990</v>
      </c>
      <c r="C3445" s="2" t="s">
        <v>9991</v>
      </c>
      <c r="D3445" s="2" t="s">
        <v>9992</v>
      </c>
      <c r="E3445" s="2" t="str">
        <f aca="false">LEFT(C3445,3)</f>
        <v>752</v>
      </c>
      <c r="F3445" s="2" t="str">
        <f aca="false">IF(D3445="","",LEFT(D3445,3))</f>
        <v>742</v>
      </c>
      <c r="G3445" s="2" t="str">
        <f aca="false">IF(F3445="","",IF(E3445=F3445,"Yes","No"))</f>
        <v>No</v>
      </c>
      <c r="H3445" s="2" t="n">
        <f aca="false">IF(D3445="",0,1/COUNTIF($D$2:$D$3451,D3445))</f>
        <v>1</v>
      </c>
      <c r="I3445" s="13" t="n">
        <f aca="false">IFERROR(INDEX('NCO-2015 scores'!$C$2:$C$131,MATCH(E3445,'NCO-2015 scores'!$A$2:$A$131,0)),0)</f>
        <v>0.2</v>
      </c>
      <c r="J3445" s="13" t="n">
        <f aca="false">IF(ISNUMBER(MATCH(E3445,'NCO-2015 scores'!$A$2:$A$131,0)),IF(ISNUMBER(INDEX('NCO-2015 scores'!$C$2:$C$131,MATCH(E3445,'NCO-2015 scores'!$A$2:$A$131,0))),1,0),0)</f>
        <v>1</v>
      </c>
    </row>
    <row r="3446" customFormat="false" ht="15" hidden="false" customHeight="false" outlineLevel="0" collapsed="false">
      <c r="A3446" s="2" t="n">
        <v>3442</v>
      </c>
      <c r="B3446" s="2" t="s">
        <v>9993</v>
      </c>
      <c r="C3446" s="2" t="s">
        <v>9994</v>
      </c>
      <c r="D3446" s="2" t="s">
        <v>9995</v>
      </c>
      <c r="E3446" s="2" t="str">
        <f aca="false">LEFT(C3446,3)</f>
        <v>752</v>
      </c>
      <c r="F3446" s="2" t="str">
        <f aca="false">IF(D3446="","",LEFT(D3446,3))</f>
        <v>742</v>
      </c>
      <c r="G3446" s="2" t="str">
        <f aca="false">IF(F3446="","",IF(E3446=F3446,"Yes","No"))</f>
        <v>No</v>
      </c>
      <c r="H3446" s="2" t="n">
        <f aca="false">IF(D3446="",0,1/COUNTIF($D$2:$D$3451,D3446))</f>
        <v>1</v>
      </c>
      <c r="I3446" s="13" t="n">
        <f aca="false">IFERROR(INDEX('NCO-2015 scores'!$C$2:$C$131,MATCH(E3446,'NCO-2015 scores'!$A$2:$A$131,0)),0)</f>
        <v>0.2</v>
      </c>
      <c r="J3446" s="13" t="n">
        <f aca="false">IF(ISNUMBER(MATCH(E3446,'NCO-2015 scores'!$A$2:$A$131,0)),IF(ISNUMBER(INDEX('NCO-2015 scores'!$C$2:$C$131,MATCH(E3446,'NCO-2015 scores'!$A$2:$A$131,0))),1,0),0)</f>
        <v>1</v>
      </c>
    </row>
    <row r="3447" customFormat="false" ht="15" hidden="false" customHeight="false" outlineLevel="0" collapsed="false">
      <c r="A3447" s="2" t="n">
        <v>3443</v>
      </c>
      <c r="B3447" s="2" t="s">
        <v>9996</v>
      </c>
      <c r="C3447" s="2" t="s">
        <v>9997</v>
      </c>
      <c r="D3447" s="2" t="s">
        <v>9998</v>
      </c>
      <c r="E3447" s="2" t="str">
        <f aca="false">LEFT(C3447,3)</f>
        <v>752</v>
      </c>
      <c r="F3447" s="2" t="str">
        <f aca="false">IF(D3447="","",LEFT(D3447,3))</f>
        <v>742</v>
      </c>
      <c r="G3447" s="2" t="str">
        <f aca="false">IF(F3447="","",IF(E3447=F3447,"Yes","No"))</f>
        <v>No</v>
      </c>
      <c r="H3447" s="2" t="n">
        <f aca="false">IF(D3447="",0,1/COUNTIF($D$2:$D$3451,D3447))</f>
        <v>1</v>
      </c>
      <c r="I3447" s="13" t="n">
        <f aca="false">IFERROR(INDEX('NCO-2015 scores'!$C$2:$C$131,MATCH(E3447,'NCO-2015 scores'!$A$2:$A$131,0)),0)</f>
        <v>0.2</v>
      </c>
      <c r="J3447" s="13" t="n">
        <f aca="false">IF(ISNUMBER(MATCH(E3447,'NCO-2015 scores'!$A$2:$A$131,0)),IF(ISNUMBER(INDEX('NCO-2015 scores'!$C$2:$C$131,MATCH(E3447,'NCO-2015 scores'!$A$2:$A$131,0))),1,0),0)</f>
        <v>1</v>
      </c>
    </row>
    <row r="3448" customFormat="false" ht="15" hidden="false" customHeight="false" outlineLevel="0" collapsed="false">
      <c r="A3448" s="2" t="n">
        <v>3444</v>
      </c>
      <c r="B3448" s="2" t="s">
        <v>9999</v>
      </c>
      <c r="C3448" s="2" t="s">
        <v>10000</v>
      </c>
      <c r="D3448" s="2" t="s">
        <v>10001</v>
      </c>
      <c r="E3448" s="2" t="str">
        <f aca="false">LEFT(C3448,3)</f>
        <v>752</v>
      </c>
      <c r="F3448" s="2" t="str">
        <f aca="false">IF(D3448="","",LEFT(D3448,3))</f>
        <v>824</v>
      </c>
      <c r="G3448" s="2" t="str">
        <f aca="false">IF(F3448="","",IF(E3448=F3448,"Yes","No"))</f>
        <v>No</v>
      </c>
      <c r="H3448" s="2" t="n">
        <f aca="false">IF(D3448="",0,1/COUNTIF($D$2:$D$3451,D3448))</f>
        <v>1</v>
      </c>
      <c r="I3448" s="13" t="n">
        <f aca="false">IFERROR(INDEX('NCO-2015 scores'!$C$2:$C$131,MATCH(E3448,'NCO-2015 scores'!$A$2:$A$131,0)),0)</f>
        <v>0.2</v>
      </c>
      <c r="J3448" s="13" t="n">
        <f aca="false">IF(ISNUMBER(MATCH(E3448,'NCO-2015 scores'!$A$2:$A$131,0)),IF(ISNUMBER(INDEX('NCO-2015 scores'!$C$2:$C$131,MATCH(E3448,'NCO-2015 scores'!$A$2:$A$131,0))),1,0),0)</f>
        <v>1</v>
      </c>
    </row>
    <row r="3449" customFormat="false" ht="15" hidden="false" customHeight="false" outlineLevel="0" collapsed="false">
      <c r="A3449" s="2" t="n">
        <v>3445</v>
      </c>
      <c r="B3449" s="2" t="s">
        <v>10002</v>
      </c>
      <c r="C3449" s="2" t="s">
        <v>10003</v>
      </c>
      <c r="D3449" s="2" t="s">
        <v>10004</v>
      </c>
      <c r="E3449" s="2" t="str">
        <f aca="false">LEFT(C3449,3)</f>
        <v>752</v>
      </c>
      <c r="F3449" s="2" t="str">
        <f aca="false">IF(D3449="","",LEFT(D3449,3))</f>
        <v>824</v>
      </c>
      <c r="G3449" s="2" t="str">
        <f aca="false">IF(F3449="","",IF(E3449=F3449,"Yes","No"))</f>
        <v>No</v>
      </c>
      <c r="H3449" s="2" t="n">
        <f aca="false">IF(D3449="",0,1/COUNTIF($D$2:$D$3451,D3449))</f>
        <v>1</v>
      </c>
      <c r="I3449" s="13" t="n">
        <f aca="false">IFERROR(INDEX('NCO-2015 scores'!$C$2:$C$131,MATCH(E3449,'NCO-2015 scores'!$A$2:$A$131,0)),0)</f>
        <v>0.2</v>
      </c>
      <c r="J3449" s="13" t="n">
        <f aca="false">IF(ISNUMBER(MATCH(E3449,'NCO-2015 scores'!$A$2:$A$131,0)),IF(ISNUMBER(INDEX('NCO-2015 scores'!$C$2:$C$131,MATCH(E3449,'NCO-2015 scores'!$A$2:$A$131,0))),1,0),0)</f>
        <v>1</v>
      </c>
    </row>
    <row r="3450" customFormat="false" ht="15" hidden="false" customHeight="false" outlineLevel="0" collapsed="false">
      <c r="A3450" s="2" t="n">
        <v>3446</v>
      </c>
      <c r="B3450" s="2" t="s">
        <v>10005</v>
      </c>
      <c r="C3450" s="2" t="s">
        <v>10006</v>
      </c>
      <c r="D3450" s="2" t="s">
        <v>10007</v>
      </c>
      <c r="E3450" s="2" t="str">
        <f aca="false">LEFT(C3450,3)</f>
        <v>752</v>
      </c>
      <c r="F3450" s="2" t="str">
        <f aca="false">IF(D3450="","",LEFT(D3450,3))</f>
        <v>824</v>
      </c>
      <c r="G3450" s="2" t="str">
        <f aca="false">IF(F3450="","",IF(E3450=F3450,"Yes","No"))</f>
        <v>No</v>
      </c>
      <c r="H3450" s="2" t="n">
        <f aca="false">IF(D3450="",0,1/COUNTIF($D$2:$D$3451,D3450))</f>
        <v>1</v>
      </c>
      <c r="I3450" s="13" t="n">
        <f aca="false">IFERROR(INDEX('NCO-2015 scores'!$C$2:$C$131,MATCH(E3450,'NCO-2015 scores'!$A$2:$A$131,0)),0)</f>
        <v>0.2</v>
      </c>
      <c r="J3450" s="13" t="n">
        <f aca="false">IF(ISNUMBER(MATCH(E3450,'NCO-2015 scores'!$A$2:$A$131,0)),IF(ISNUMBER(INDEX('NCO-2015 scores'!$C$2:$C$131,MATCH(E3450,'NCO-2015 scores'!$A$2:$A$131,0))),1,0),0)</f>
        <v>1</v>
      </c>
    </row>
    <row r="3451" customFormat="false" ht="15" hidden="false" customHeight="false" outlineLevel="0" collapsed="false">
      <c r="A3451" s="2" t="n">
        <v>3447</v>
      </c>
      <c r="B3451" s="2" t="s">
        <v>10008</v>
      </c>
      <c r="C3451" s="2" t="s">
        <v>10009</v>
      </c>
      <c r="D3451" s="2" t="s">
        <v>10010</v>
      </c>
      <c r="E3451" s="2" t="str">
        <f aca="false">LEFT(C3451,3)</f>
        <v>752</v>
      </c>
      <c r="F3451" s="2" t="str">
        <f aca="false">IF(D3451="","",LEFT(D3451,3))</f>
        <v>824</v>
      </c>
      <c r="G3451" s="2" t="str">
        <f aca="false">IF(F3451="","",IF(E3451=F3451,"Yes","No"))</f>
        <v>No</v>
      </c>
      <c r="H3451" s="2" t="n">
        <f aca="false">IF(D3451="",0,1/COUNTIF($D$2:$D$3451,D3451))</f>
        <v>1</v>
      </c>
      <c r="I3451" s="13" t="n">
        <f aca="false">IFERROR(INDEX('NCO-2015 scores'!$C$2:$C$131,MATCH(E3451,'NCO-2015 scores'!$A$2:$A$131,0)),0)</f>
        <v>0.2</v>
      </c>
      <c r="J3451" s="13" t="n">
        <f aca="false">IF(ISNUMBER(MATCH(E3451,'NCO-2015 scores'!$A$2:$A$131,0)),IF(ISNUMBER(INDEX('NCO-2015 scores'!$C$2:$C$131,MATCH(E3451,'NCO-2015 scores'!$A$2:$A$131,0))),1,0),0)</f>
        <v>1</v>
      </c>
    </row>
    <row r="3452" customFormat="false" ht="15" hidden="false" customHeight="false" outlineLevel="0" collapsed="false">
      <c r="A3452" s="2"/>
      <c r="B3452" s="2"/>
      <c r="C3452" s="2"/>
      <c r="D3452" s="2"/>
      <c r="E3452" s="2"/>
      <c r="F3452" s="2"/>
      <c r="G3452" s="2"/>
      <c r="H3452" s="2"/>
      <c r="I3452" s="2"/>
      <c r="J3452" s="2"/>
    </row>
    <row r="3453" customFormat="false" ht="15" hidden="false" customHeight="false" outlineLevel="0" collapsed="false">
      <c r="A3453" s="15" t="s">
        <v>10011</v>
      </c>
      <c r="B3453" s="2"/>
      <c r="C3453" s="2"/>
      <c r="D3453" s="2"/>
      <c r="E3453" s="2"/>
      <c r="F3453" s="2"/>
      <c r="G3453" s="2"/>
      <c r="H3453" s="2"/>
      <c r="I3453" s="2"/>
      <c r="J3453" s="2"/>
    </row>
  </sheetData>
  <autoFilter ref="A1:J34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45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42" hidden="false" customHeight="true" outlineLevel="0" collapsed="false">
      <c r="A1" s="11" t="s">
        <v>10012</v>
      </c>
      <c r="B1" s="11" t="s">
        <v>10013</v>
      </c>
      <c r="C1" s="11" t="s">
        <v>10014</v>
      </c>
      <c r="D1" s="11" t="s">
        <v>10015</v>
      </c>
      <c r="E1" s="11" t="s">
        <v>10016</v>
      </c>
      <c r="F1" s="11" t="s">
        <v>10017</v>
      </c>
      <c r="G1" s="11" t="s">
        <v>10018</v>
      </c>
      <c r="H1" s="11" t="s">
        <v>10019</v>
      </c>
      <c r="I1" s="11" t="s">
        <v>10020</v>
      </c>
      <c r="J1" s="11" t="s">
        <v>10021</v>
      </c>
    </row>
    <row r="2" customFormat="false" ht="15" hidden="false" customHeight="false" outlineLevel="0" collapsed="false">
      <c r="A2" s="2" t="s">
        <v>10022</v>
      </c>
      <c r="B2" s="2" t="s">
        <v>10023</v>
      </c>
      <c r="C2" s="2" t="s">
        <v>10024</v>
      </c>
      <c r="D2" s="2" t="s">
        <v>10023</v>
      </c>
      <c r="E2" s="2"/>
      <c r="F2" s="2"/>
      <c r="G2" s="2" t="str">
        <f aca="false">LEFT(C2,3)</f>
        <v>111</v>
      </c>
      <c r="H2" s="16" t="n">
        <v>0.31</v>
      </c>
      <c r="I2" s="2" t="s">
        <v>10025</v>
      </c>
      <c r="J2" s="2" t="n">
        <f aca="false">IF(COUNTIFS($G$2:G2,G2,$A$2:A2,A2)=1,1,0)</f>
        <v>1</v>
      </c>
    </row>
    <row r="3" customFormat="false" ht="15" hidden="false" customHeight="false" outlineLevel="0" collapsed="false">
      <c r="A3" s="2" t="s">
        <v>10026</v>
      </c>
      <c r="B3" s="2" t="s">
        <v>10027</v>
      </c>
      <c r="C3" s="2" t="s">
        <v>10028</v>
      </c>
      <c r="D3" s="2" t="s">
        <v>10029</v>
      </c>
      <c r="E3" s="2"/>
      <c r="F3" s="2"/>
      <c r="G3" s="2" t="str">
        <f aca="false">LEFT(C3,3)</f>
        <v>112</v>
      </c>
      <c r="H3" s="16" t="n">
        <v>0.38</v>
      </c>
      <c r="I3" s="2" t="s">
        <v>10030</v>
      </c>
      <c r="J3" s="2" t="n">
        <f aca="false">IF(COUNTIFS($G$2:G3,G3,$A$2:A3,A3)=1,1,0)</f>
        <v>1</v>
      </c>
    </row>
    <row r="4" customFormat="false" ht="15" hidden="false" customHeight="false" outlineLevel="0" collapsed="false">
      <c r="A4" s="2" t="s">
        <v>10031</v>
      </c>
      <c r="B4" s="2" t="s">
        <v>10032</v>
      </c>
      <c r="C4" s="2" t="s">
        <v>10033</v>
      </c>
      <c r="D4" s="2" t="s">
        <v>10034</v>
      </c>
      <c r="E4" s="2"/>
      <c r="F4" s="2"/>
      <c r="G4" s="2" t="str">
        <f aca="false">LEFT(C4,3)</f>
        <v>113</v>
      </c>
      <c r="H4" s="16" t="n">
        <v>0.23</v>
      </c>
      <c r="I4" s="2" t="s">
        <v>10025</v>
      </c>
      <c r="J4" s="2" t="n">
        <f aca="false">IF(COUNTIFS($G$2:G4,G4,$A$2:A4,A4)=1,1,0)</f>
        <v>1</v>
      </c>
    </row>
    <row r="5" customFormat="false" ht="15" hidden="false" customHeight="false" outlineLevel="0" collapsed="false">
      <c r="A5" s="2" t="s">
        <v>10035</v>
      </c>
      <c r="B5" s="2" t="s">
        <v>10036</v>
      </c>
      <c r="C5" s="2" t="s">
        <v>10037</v>
      </c>
      <c r="D5" s="2" t="s">
        <v>10038</v>
      </c>
      <c r="E5" s="2"/>
      <c r="F5" s="2"/>
      <c r="G5" s="2" t="str">
        <f aca="false">LEFT(C5,3)</f>
        <v>114</v>
      </c>
      <c r="H5" s="16" t="n">
        <v>0.37</v>
      </c>
      <c r="I5" s="2" t="s">
        <v>10030</v>
      </c>
      <c r="J5" s="2" t="n">
        <f aca="false">IF(COUNTIFS($G$2:G5,G5,$A$2:A5,A5)=1,1,0)</f>
        <v>1</v>
      </c>
    </row>
    <row r="6" customFormat="false" ht="15" hidden="false" customHeight="false" outlineLevel="0" collapsed="false">
      <c r="A6" s="2" t="s">
        <v>10035</v>
      </c>
      <c r="B6" s="2" t="s">
        <v>10036</v>
      </c>
      <c r="C6" s="2" t="s">
        <v>10039</v>
      </c>
      <c r="D6" s="2" t="s">
        <v>10040</v>
      </c>
      <c r="E6" s="2"/>
      <c r="F6" s="2"/>
      <c r="G6" s="2" t="str">
        <f aca="false">LEFT(C6,3)</f>
        <v>114</v>
      </c>
      <c r="H6" s="16" t="n">
        <v>0.37</v>
      </c>
      <c r="I6" s="2" t="s">
        <v>10030</v>
      </c>
      <c r="J6" s="2" t="n">
        <f aca="false">IF(COUNTIFS($G$2:G6,G6,$A$2:A6,A6)=1,1,0)</f>
        <v>0</v>
      </c>
    </row>
    <row r="7" customFormat="false" ht="15" hidden="false" customHeight="false" outlineLevel="0" collapsed="false">
      <c r="A7" s="2" t="s">
        <v>10035</v>
      </c>
      <c r="B7" s="2" t="s">
        <v>10036</v>
      </c>
      <c r="C7" s="2" t="s">
        <v>10041</v>
      </c>
      <c r="D7" s="2" t="s">
        <v>10042</v>
      </c>
      <c r="E7" s="2"/>
      <c r="F7" s="2"/>
      <c r="G7" s="2" t="str">
        <f aca="false">LEFT(C7,3)</f>
        <v>114</v>
      </c>
      <c r="H7" s="16" t="n">
        <v>0.37</v>
      </c>
      <c r="I7" s="2" t="s">
        <v>10030</v>
      </c>
      <c r="J7" s="2" t="n">
        <f aca="false">IF(COUNTIFS($G$2:G7,G7,$A$2:A7,A7)=1,1,0)</f>
        <v>0</v>
      </c>
    </row>
    <row r="8" customFormat="false" ht="15" hidden="false" customHeight="false" outlineLevel="0" collapsed="false">
      <c r="A8" s="2" t="s">
        <v>10028</v>
      </c>
      <c r="B8" s="2" t="s">
        <v>10043</v>
      </c>
      <c r="C8" s="2" t="s">
        <v>10044</v>
      </c>
      <c r="D8" s="2" t="s">
        <v>10045</v>
      </c>
      <c r="E8" s="2"/>
      <c r="F8" s="2"/>
      <c r="G8" s="2" t="str">
        <f aca="false">LEFT(C8,3)</f>
        <v>121</v>
      </c>
      <c r="H8" s="16" t="n">
        <v>0.38</v>
      </c>
      <c r="I8" s="2" t="s">
        <v>10030</v>
      </c>
      <c r="J8" s="2" t="n">
        <f aca="false">IF(COUNTIFS($G$2:G8,G8,$A$2:A8,A8)=1,1,0)</f>
        <v>1</v>
      </c>
    </row>
    <row r="9" customFormat="false" ht="15" hidden="false" customHeight="false" outlineLevel="0" collapsed="false">
      <c r="A9" s="2" t="s">
        <v>10046</v>
      </c>
      <c r="B9" s="2" t="s">
        <v>10047</v>
      </c>
      <c r="C9" s="2" t="s">
        <v>10048</v>
      </c>
      <c r="D9" s="2" t="s">
        <v>10049</v>
      </c>
      <c r="E9" s="2" t="s">
        <v>10050</v>
      </c>
      <c r="F9" s="2"/>
      <c r="G9" s="2" t="str">
        <f aca="false">LEFT(C9,3)</f>
        <v>123</v>
      </c>
      <c r="H9" s="16" t="n">
        <v>0.37</v>
      </c>
      <c r="I9" s="2" t="s">
        <v>10030</v>
      </c>
      <c r="J9" s="2" t="n">
        <f aca="false">IF(COUNTIFS($G$2:G9,G9,$A$2:A9,A9)=1,1,0)</f>
        <v>1</v>
      </c>
    </row>
    <row r="10" customFormat="false" ht="15" hidden="false" customHeight="false" outlineLevel="0" collapsed="false">
      <c r="A10" s="2" t="s">
        <v>10046</v>
      </c>
      <c r="B10" s="2" t="s">
        <v>10047</v>
      </c>
      <c r="C10" s="2" t="s">
        <v>10051</v>
      </c>
      <c r="D10" s="2" t="s">
        <v>10052</v>
      </c>
      <c r="E10" s="2" t="s">
        <v>10050</v>
      </c>
      <c r="F10" s="2" t="s">
        <v>10053</v>
      </c>
      <c r="G10" s="2" t="str">
        <f aca="false">LEFT(C10,3)</f>
        <v>131</v>
      </c>
      <c r="H10" s="16" t="n">
        <v>0.37</v>
      </c>
      <c r="I10" s="2" t="s">
        <v>10030</v>
      </c>
      <c r="J10" s="2" t="n">
        <f aca="false">IF(COUNTIFS($G$2:G10,G10,$A$2:A10,A10)=1,1,0)</f>
        <v>1</v>
      </c>
    </row>
    <row r="11" customFormat="false" ht="15" hidden="false" customHeight="false" outlineLevel="0" collapsed="false">
      <c r="A11" s="2" t="s">
        <v>10054</v>
      </c>
      <c r="B11" s="2" t="s">
        <v>10055</v>
      </c>
      <c r="C11" s="2" t="s">
        <v>10056</v>
      </c>
      <c r="D11" s="2" t="s">
        <v>10057</v>
      </c>
      <c r="E11" s="2"/>
      <c r="F11" s="2" t="s">
        <v>10053</v>
      </c>
      <c r="G11" s="2" t="str">
        <f aca="false">LEFT(C11,3)</f>
        <v>123</v>
      </c>
      <c r="H11" s="16" t="n">
        <v>0.36</v>
      </c>
      <c r="I11" s="2" t="s">
        <v>10030</v>
      </c>
      <c r="J11" s="2" t="n">
        <f aca="false">IF(COUNTIFS($G$2:G11,G11,$A$2:A11,A11)=1,1,0)</f>
        <v>1</v>
      </c>
    </row>
    <row r="12" customFormat="false" ht="15" hidden="false" customHeight="false" outlineLevel="0" collapsed="false">
      <c r="A12" s="2" t="s">
        <v>10054</v>
      </c>
      <c r="B12" s="2" t="s">
        <v>10055</v>
      </c>
      <c r="C12" s="2" t="s">
        <v>10051</v>
      </c>
      <c r="D12" s="2" t="s">
        <v>10052</v>
      </c>
      <c r="E12" s="2" t="s">
        <v>10050</v>
      </c>
      <c r="F12" s="2" t="s">
        <v>10058</v>
      </c>
      <c r="G12" s="2" t="str">
        <f aca="false">LEFT(C12,3)</f>
        <v>131</v>
      </c>
      <c r="H12" s="16" t="n">
        <v>0.36</v>
      </c>
      <c r="I12" s="2" t="s">
        <v>10030</v>
      </c>
      <c r="J12" s="2" t="n">
        <f aca="false">IF(COUNTIFS($G$2:G12,G12,$A$2:A12,A12)=1,1,0)</f>
        <v>1</v>
      </c>
    </row>
    <row r="13" customFormat="false" ht="15" hidden="false" customHeight="false" outlineLevel="0" collapsed="false">
      <c r="A13" s="2" t="s">
        <v>10059</v>
      </c>
      <c r="B13" s="2" t="s">
        <v>10060</v>
      </c>
      <c r="C13" s="2" t="s">
        <v>10061</v>
      </c>
      <c r="D13" s="2" t="s">
        <v>10062</v>
      </c>
      <c r="E13" s="2" t="s">
        <v>10050</v>
      </c>
      <c r="F13" s="2"/>
      <c r="G13" s="2" t="str">
        <f aca="false">LEFT(C13,3)</f>
        <v>122</v>
      </c>
      <c r="H13" s="16" t="n">
        <v>0.36</v>
      </c>
      <c r="I13" s="2" t="s">
        <v>10025</v>
      </c>
      <c r="J13" s="2" t="n">
        <f aca="false">IF(COUNTIFS($G$2:G13,G13,$A$2:A13,A13)=1,1,0)</f>
        <v>1</v>
      </c>
    </row>
    <row r="14" customFormat="false" ht="15" hidden="false" customHeight="false" outlineLevel="0" collapsed="false">
      <c r="A14" s="2" t="s">
        <v>10059</v>
      </c>
      <c r="B14" s="2" t="s">
        <v>10060</v>
      </c>
      <c r="C14" s="2" t="s">
        <v>10063</v>
      </c>
      <c r="D14" s="2" t="s">
        <v>10064</v>
      </c>
      <c r="E14" s="2"/>
      <c r="F14" s="2" t="s">
        <v>10065</v>
      </c>
      <c r="G14" s="2" t="str">
        <f aca="false">LEFT(C14,3)</f>
        <v>123</v>
      </c>
      <c r="H14" s="16" t="n">
        <v>0.36</v>
      </c>
      <c r="I14" s="2" t="s">
        <v>10025</v>
      </c>
      <c r="J14" s="2" t="n">
        <f aca="false">IF(COUNTIFS($G$2:G14,G14,$A$2:A14,A14)=1,1,0)</f>
        <v>1</v>
      </c>
    </row>
    <row r="15" customFormat="false" ht="15" hidden="false" customHeight="false" outlineLevel="0" collapsed="false">
      <c r="A15" s="2" t="s">
        <v>10066</v>
      </c>
      <c r="B15" s="2" t="s">
        <v>10067</v>
      </c>
      <c r="C15" s="2" t="s">
        <v>10068</v>
      </c>
      <c r="D15" s="2" t="s">
        <v>10069</v>
      </c>
      <c r="E15" s="2"/>
      <c r="F15" s="2" t="s">
        <v>10070</v>
      </c>
      <c r="G15" s="2" t="str">
        <f aca="false">LEFT(C15,3)</f>
        <v>122</v>
      </c>
      <c r="H15" s="16" t="n">
        <v>0.42</v>
      </c>
      <c r="I15" s="2" t="s">
        <v>10071</v>
      </c>
      <c r="J15" s="2" t="n">
        <f aca="false">IF(COUNTIFS($G$2:G15,G15,$A$2:A15,A15)=1,1,0)</f>
        <v>1</v>
      </c>
    </row>
    <row r="16" customFormat="false" ht="15" hidden="false" customHeight="false" outlineLevel="0" collapsed="false">
      <c r="A16" s="2" t="s">
        <v>10066</v>
      </c>
      <c r="B16" s="2" t="s">
        <v>10067</v>
      </c>
      <c r="C16" s="2" t="s">
        <v>10072</v>
      </c>
      <c r="D16" s="2" t="s">
        <v>10073</v>
      </c>
      <c r="E16" s="2"/>
      <c r="F16" s="2" t="s">
        <v>10074</v>
      </c>
      <c r="G16" s="2" t="str">
        <f aca="false">LEFT(C16,3)</f>
        <v>122</v>
      </c>
      <c r="H16" s="16" t="n">
        <v>0.42</v>
      </c>
      <c r="I16" s="2" t="s">
        <v>10071</v>
      </c>
      <c r="J16" s="2" t="n">
        <f aca="false">IF(COUNTIFS($G$2:G16,G16,$A$2:A16,A16)=1,1,0)</f>
        <v>0</v>
      </c>
    </row>
    <row r="17" customFormat="false" ht="15" hidden="false" customHeight="false" outlineLevel="0" collapsed="false">
      <c r="A17" s="2" t="s">
        <v>10066</v>
      </c>
      <c r="B17" s="2" t="s">
        <v>10067</v>
      </c>
      <c r="C17" s="2" t="s">
        <v>10061</v>
      </c>
      <c r="D17" s="2" t="s">
        <v>10062</v>
      </c>
      <c r="E17" s="2" t="s">
        <v>10050</v>
      </c>
      <c r="F17" s="2" t="s">
        <v>10075</v>
      </c>
      <c r="G17" s="2" t="str">
        <f aca="false">LEFT(C17,3)</f>
        <v>122</v>
      </c>
      <c r="H17" s="16" t="n">
        <v>0.42</v>
      </c>
      <c r="I17" s="2" t="s">
        <v>10071</v>
      </c>
      <c r="J17" s="2" t="n">
        <f aca="false">IF(COUNTIFS($G$2:G17,G17,$A$2:A17,A17)=1,1,0)</f>
        <v>0</v>
      </c>
    </row>
    <row r="18" customFormat="false" ht="15" hidden="false" customHeight="false" outlineLevel="0" collapsed="false">
      <c r="A18" s="2" t="s">
        <v>10066</v>
      </c>
      <c r="B18" s="2" t="s">
        <v>10067</v>
      </c>
      <c r="C18" s="2" t="s">
        <v>10048</v>
      </c>
      <c r="D18" s="2" t="s">
        <v>10049</v>
      </c>
      <c r="E18" s="2" t="s">
        <v>10050</v>
      </c>
      <c r="F18" s="2" t="s">
        <v>10076</v>
      </c>
      <c r="G18" s="2" t="str">
        <f aca="false">LEFT(C18,3)</f>
        <v>123</v>
      </c>
      <c r="H18" s="16" t="n">
        <v>0.42</v>
      </c>
      <c r="I18" s="2" t="s">
        <v>10071</v>
      </c>
      <c r="J18" s="2" t="n">
        <f aca="false">IF(COUNTIFS($G$2:G18,G18,$A$2:A18,A18)=1,1,0)</f>
        <v>1</v>
      </c>
    </row>
    <row r="19" customFormat="false" ht="15" hidden="false" customHeight="false" outlineLevel="0" collapsed="false">
      <c r="A19" s="2" t="s">
        <v>10066</v>
      </c>
      <c r="B19" s="2" t="s">
        <v>10067</v>
      </c>
      <c r="C19" s="2" t="s">
        <v>10051</v>
      </c>
      <c r="D19" s="2" t="s">
        <v>10052</v>
      </c>
      <c r="E19" s="2" t="s">
        <v>10050</v>
      </c>
      <c r="F19" s="2" t="s">
        <v>10077</v>
      </c>
      <c r="G19" s="2" t="str">
        <f aca="false">LEFT(C19,3)</f>
        <v>131</v>
      </c>
      <c r="H19" s="16" t="n">
        <v>0.42</v>
      </c>
      <c r="I19" s="2" t="s">
        <v>10071</v>
      </c>
      <c r="J19" s="2" t="n">
        <f aca="false">IF(COUNTIFS($G$2:G19,G19,$A$2:A19,A19)=1,1,0)</f>
        <v>1</v>
      </c>
    </row>
    <row r="20" customFormat="false" ht="15" hidden="false" customHeight="false" outlineLevel="0" collapsed="false">
      <c r="A20" s="2" t="s">
        <v>10066</v>
      </c>
      <c r="B20" s="2" t="s">
        <v>10067</v>
      </c>
      <c r="C20" s="2" t="s">
        <v>10078</v>
      </c>
      <c r="D20" s="2" t="s">
        <v>10079</v>
      </c>
      <c r="E20" s="2"/>
      <c r="F20" s="2" t="s">
        <v>10080</v>
      </c>
      <c r="G20" s="2" t="str">
        <f aca="false">LEFT(C20,3)</f>
        <v>131</v>
      </c>
      <c r="H20" s="16" t="n">
        <v>0.42</v>
      </c>
      <c r="I20" s="2" t="s">
        <v>10071</v>
      </c>
      <c r="J20" s="2" t="n">
        <f aca="false">IF(COUNTIFS($G$2:G20,G20,$A$2:A20,A20)=1,1,0)</f>
        <v>0</v>
      </c>
    </row>
    <row r="21" customFormat="false" ht="15" hidden="false" customHeight="false" outlineLevel="0" collapsed="false">
      <c r="A21" s="2" t="s">
        <v>10081</v>
      </c>
      <c r="B21" s="2" t="s">
        <v>10082</v>
      </c>
      <c r="C21" s="2" t="s">
        <v>10083</v>
      </c>
      <c r="D21" s="2" t="s">
        <v>10084</v>
      </c>
      <c r="E21" s="2"/>
      <c r="F21" s="2"/>
      <c r="G21" s="2" t="str">
        <f aca="false">LEFT(C21,3)</f>
        <v>123</v>
      </c>
      <c r="H21" s="16" t="n">
        <v>0.41</v>
      </c>
      <c r="I21" s="2" t="s">
        <v>10071</v>
      </c>
      <c r="J21" s="2" t="n">
        <f aca="false">IF(COUNTIFS($G$2:G21,G21,$A$2:A21,A21)=1,1,0)</f>
        <v>1</v>
      </c>
    </row>
    <row r="22" customFormat="false" ht="15" hidden="false" customHeight="false" outlineLevel="0" collapsed="false">
      <c r="A22" s="2" t="s">
        <v>10081</v>
      </c>
      <c r="B22" s="2" t="s">
        <v>10082</v>
      </c>
      <c r="C22" s="2" t="s">
        <v>10051</v>
      </c>
      <c r="D22" s="2" t="s">
        <v>10052</v>
      </c>
      <c r="E22" s="2" t="s">
        <v>10050</v>
      </c>
      <c r="F22" s="2" t="s">
        <v>10085</v>
      </c>
      <c r="G22" s="2" t="str">
        <f aca="false">LEFT(C22,3)</f>
        <v>131</v>
      </c>
      <c r="H22" s="16" t="n">
        <v>0.41</v>
      </c>
      <c r="I22" s="2" t="s">
        <v>10071</v>
      </c>
      <c r="J22" s="2" t="n">
        <f aca="false">IF(COUNTIFS($G$2:G22,G22,$A$2:A22,A22)=1,1,0)</f>
        <v>1</v>
      </c>
    </row>
    <row r="23" customFormat="false" ht="15" hidden="false" customHeight="false" outlineLevel="0" collapsed="false">
      <c r="A23" s="2" t="s">
        <v>10086</v>
      </c>
      <c r="B23" s="2" t="s">
        <v>10087</v>
      </c>
      <c r="C23" s="2" t="s">
        <v>10088</v>
      </c>
      <c r="D23" s="2" t="s">
        <v>10089</v>
      </c>
      <c r="E23" s="2"/>
      <c r="F23" s="2"/>
      <c r="G23" s="2" t="str">
        <f aca="false">LEFT(C23,3)</f>
        <v>123</v>
      </c>
      <c r="H23" s="16" t="n">
        <v>0.39</v>
      </c>
      <c r="I23" s="2" t="s">
        <v>10030</v>
      </c>
      <c r="J23" s="2" t="n">
        <f aca="false">IF(COUNTIFS($G$2:G23,G23,$A$2:A23,A23)=1,1,0)</f>
        <v>1</v>
      </c>
    </row>
    <row r="24" customFormat="false" ht="15" hidden="false" customHeight="false" outlineLevel="0" collapsed="false">
      <c r="A24" s="2" t="s">
        <v>10086</v>
      </c>
      <c r="B24" s="2" t="s">
        <v>10087</v>
      </c>
      <c r="C24" s="2" t="s">
        <v>10051</v>
      </c>
      <c r="D24" s="2" t="s">
        <v>10052</v>
      </c>
      <c r="E24" s="2" t="s">
        <v>10050</v>
      </c>
      <c r="F24" s="2" t="s">
        <v>10090</v>
      </c>
      <c r="G24" s="2" t="str">
        <f aca="false">LEFT(C24,3)</f>
        <v>131</v>
      </c>
      <c r="H24" s="16" t="n">
        <v>0.39</v>
      </c>
      <c r="I24" s="2" t="s">
        <v>10030</v>
      </c>
      <c r="J24" s="2" t="n">
        <f aca="false">IF(COUNTIFS($G$2:G24,G24,$A$2:A24,A24)=1,1,0)</f>
        <v>1</v>
      </c>
    </row>
    <row r="25" customFormat="false" ht="15" hidden="false" customHeight="false" outlineLevel="0" collapsed="false">
      <c r="A25" s="2" t="s">
        <v>10091</v>
      </c>
      <c r="B25" s="2" t="s">
        <v>10092</v>
      </c>
      <c r="C25" s="2" t="s">
        <v>10093</v>
      </c>
      <c r="D25" s="2" t="s">
        <v>10094</v>
      </c>
      <c r="E25" s="2"/>
      <c r="F25" s="2"/>
      <c r="G25" s="2" t="str">
        <f aca="false">LEFT(C25,3)</f>
        <v>123</v>
      </c>
      <c r="H25" s="16" t="n">
        <v>0.4</v>
      </c>
      <c r="I25" s="2" t="s">
        <v>10030</v>
      </c>
      <c r="J25" s="2" t="n">
        <f aca="false">IF(COUNTIFS($G$2:G25,G25,$A$2:A25,A25)=1,1,0)</f>
        <v>1</v>
      </c>
    </row>
    <row r="26" customFormat="false" ht="15" hidden="false" customHeight="false" outlineLevel="0" collapsed="false">
      <c r="A26" s="2" t="s">
        <v>10091</v>
      </c>
      <c r="B26" s="2" t="s">
        <v>10092</v>
      </c>
      <c r="C26" s="2" t="s">
        <v>10095</v>
      </c>
      <c r="D26" s="2" t="s">
        <v>10096</v>
      </c>
      <c r="E26" s="2" t="s">
        <v>10050</v>
      </c>
      <c r="F26" s="2" t="s">
        <v>10097</v>
      </c>
      <c r="G26" s="2" t="str">
        <f aca="false">LEFT(C26,3)</f>
        <v>131</v>
      </c>
      <c r="H26" s="16" t="n">
        <v>0.4</v>
      </c>
      <c r="I26" s="2" t="s">
        <v>10030</v>
      </c>
      <c r="J26" s="2" t="n">
        <f aca="false">IF(COUNTIFS($G$2:G26,G26,$A$2:A26,A26)=1,1,0)</f>
        <v>1</v>
      </c>
    </row>
    <row r="27" customFormat="false" ht="15" hidden="false" customHeight="false" outlineLevel="0" collapsed="false">
      <c r="A27" s="2" t="s">
        <v>10098</v>
      </c>
      <c r="B27" s="2" t="s">
        <v>10099</v>
      </c>
      <c r="C27" s="2" t="s">
        <v>10081</v>
      </c>
      <c r="D27" s="2" t="s">
        <v>10100</v>
      </c>
      <c r="E27" s="2" t="s">
        <v>10050</v>
      </c>
      <c r="F27" s="2"/>
      <c r="G27" s="2" t="str">
        <f aca="false">LEFT(C27,3)</f>
        <v>122</v>
      </c>
      <c r="H27" s="16" t="n">
        <v>0.27</v>
      </c>
      <c r="I27" s="2" t="s">
        <v>10030</v>
      </c>
      <c r="J27" s="2" t="n">
        <f aca="false">IF(COUNTIFS($G$2:G27,G27,$A$2:A27,A27)=1,1,0)</f>
        <v>1</v>
      </c>
    </row>
    <row r="28" customFormat="false" ht="15" hidden="false" customHeight="false" outlineLevel="0" collapsed="false">
      <c r="A28" s="2" t="s">
        <v>10101</v>
      </c>
      <c r="B28" s="2" t="s">
        <v>10102</v>
      </c>
      <c r="C28" s="2" t="s">
        <v>10081</v>
      </c>
      <c r="D28" s="2" t="s">
        <v>10100</v>
      </c>
      <c r="E28" s="2" t="s">
        <v>10050</v>
      </c>
      <c r="F28" s="2"/>
      <c r="G28" s="2" t="str">
        <f aca="false">LEFT(C28,3)</f>
        <v>122</v>
      </c>
      <c r="H28" s="16" t="n">
        <v>0.22</v>
      </c>
      <c r="I28" s="2" t="s">
        <v>10025</v>
      </c>
      <c r="J28" s="2" t="n">
        <f aca="false">IF(COUNTIFS($G$2:G28,G28,$A$2:A28,A28)=1,1,0)</f>
        <v>1</v>
      </c>
    </row>
    <row r="29" customFormat="false" ht="15" hidden="false" customHeight="false" outlineLevel="0" collapsed="false">
      <c r="A29" s="2" t="s">
        <v>10103</v>
      </c>
      <c r="B29" s="2" t="s">
        <v>10104</v>
      </c>
      <c r="C29" s="2" t="s">
        <v>10086</v>
      </c>
      <c r="D29" s="2" t="s">
        <v>10105</v>
      </c>
      <c r="E29" s="2" t="s">
        <v>10050</v>
      </c>
      <c r="F29" s="2"/>
      <c r="G29" s="2" t="str">
        <f aca="false">LEFT(C29,3)</f>
        <v>122</v>
      </c>
      <c r="H29" s="16" t="n">
        <v>0.38</v>
      </c>
      <c r="I29" s="2" t="s">
        <v>10030</v>
      </c>
      <c r="J29" s="2" t="n">
        <f aca="false">IF(COUNTIFS($G$2:G29,G29,$A$2:A29,A29)=1,1,0)</f>
        <v>1</v>
      </c>
    </row>
    <row r="30" customFormat="false" ht="15" hidden="false" customHeight="false" outlineLevel="0" collapsed="false">
      <c r="A30" s="2" t="s">
        <v>10103</v>
      </c>
      <c r="B30" s="2" t="s">
        <v>10104</v>
      </c>
      <c r="C30" s="2" t="s">
        <v>10101</v>
      </c>
      <c r="D30" s="2" t="s">
        <v>10106</v>
      </c>
      <c r="E30" s="2" t="s">
        <v>10050</v>
      </c>
      <c r="F30" s="2"/>
      <c r="G30" s="2" t="str">
        <f aca="false">LEFT(C30,3)</f>
        <v>131</v>
      </c>
      <c r="H30" s="16" t="n">
        <v>0.38</v>
      </c>
      <c r="I30" s="2" t="s">
        <v>10030</v>
      </c>
      <c r="J30" s="2" t="n">
        <f aca="false">IF(COUNTIFS($G$2:G30,G30,$A$2:A30,A30)=1,1,0)</f>
        <v>1</v>
      </c>
    </row>
    <row r="31" customFormat="false" ht="15" hidden="false" customHeight="false" outlineLevel="0" collapsed="false">
      <c r="A31" s="2" t="s">
        <v>10107</v>
      </c>
      <c r="B31" s="2" t="s">
        <v>10108</v>
      </c>
      <c r="C31" s="2" t="s">
        <v>10086</v>
      </c>
      <c r="D31" s="2" t="s">
        <v>10105</v>
      </c>
      <c r="E31" s="2" t="s">
        <v>10050</v>
      </c>
      <c r="F31" s="2"/>
      <c r="G31" s="2" t="str">
        <f aca="false">LEFT(C31,3)</f>
        <v>122</v>
      </c>
      <c r="H31" s="16" t="n">
        <v>0.35</v>
      </c>
      <c r="I31" s="2" t="s">
        <v>10030</v>
      </c>
      <c r="J31" s="2" t="n">
        <f aca="false">IF(COUNTIFS($G$2:G31,G31,$A$2:A31,A31)=1,1,0)</f>
        <v>1</v>
      </c>
    </row>
    <row r="32" customFormat="false" ht="15" hidden="false" customHeight="false" outlineLevel="0" collapsed="false">
      <c r="A32" s="2" t="s">
        <v>10107</v>
      </c>
      <c r="B32" s="2" t="s">
        <v>10108</v>
      </c>
      <c r="C32" s="2" t="s">
        <v>10101</v>
      </c>
      <c r="D32" s="2" t="s">
        <v>10106</v>
      </c>
      <c r="E32" s="2" t="s">
        <v>10050</v>
      </c>
      <c r="F32" s="2" t="s">
        <v>10109</v>
      </c>
      <c r="G32" s="2" t="str">
        <f aca="false">LEFT(C32,3)</f>
        <v>131</v>
      </c>
      <c r="H32" s="16" t="n">
        <v>0.35</v>
      </c>
      <c r="I32" s="2" t="s">
        <v>10030</v>
      </c>
      <c r="J32" s="2" t="n">
        <f aca="false">IF(COUNTIFS($G$2:G32,G32,$A$2:A32,A32)=1,1,0)</f>
        <v>1</v>
      </c>
    </row>
    <row r="33" customFormat="false" ht="15" hidden="false" customHeight="false" outlineLevel="0" collapsed="false">
      <c r="A33" s="2" t="s">
        <v>10110</v>
      </c>
      <c r="B33" s="2" t="s">
        <v>10111</v>
      </c>
      <c r="C33" s="2" t="s">
        <v>10091</v>
      </c>
      <c r="D33" s="2" t="s">
        <v>10112</v>
      </c>
      <c r="E33" s="2" t="s">
        <v>10050</v>
      </c>
      <c r="F33" s="2"/>
      <c r="G33" s="2" t="str">
        <f aca="false">LEFT(C33,3)</f>
        <v>122</v>
      </c>
      <c r="H33" s="16" t="n">
        <v>0.34</v>
      </c>
      <c r="I33" s="2" t="s">
        <v>10030</v>
      </c>
      <c r="J33" s="2" t="n">
        <f aca="false">IF(COUNTIFS($G$2:G33,G33,$A$2:A33,A33)=1,1,0)</f>
        <v>1</v>
      </c>
    </row>
    <row r="34" customFormat="false" ht="15" hidden="false" customHeight="false" outlineLevel="0" collapsed="false">
      <c r="A34" s="2" t="s">
        <v>10110</v>
      </c>
      <c r="B34" s="2" t="s">
        <v>10111</v>
      </c>
      <c r="C34" s="2" t="s">
        <v>10113</v>
      </c>
      <c r="D34" s="2" t="s">
        <v>10114</v>
      </c>
      <c r="E34" s="2"/>
      <c r="F34" s="2"/>
      <c r="G34" s="2" t="str">
        <f aca="false">LEFT(C34,3)</f>
        <v>131</v>
      </c>
      <c r="H34" s="16" t="n">
        <v>0.34</v>
      </c>
      <c r="I34" s="2" t="s">
        <v>10030</v>
      </c>
      <c r="J34" s="2" t="n">
        <f aca="false">IF(COUNTIFS($G$2:G34,G34,$A$2:A34,A34)=1,1,0)</f>
        <v>1</v>
      </c>
    </row>
    <row r="35" customFormat="false" ht="15" hidden="false" customHeight="false" outlineLevel="0" collapsed="false">
      <c r="A35" s="2" t="s">
        <v>10115</v>
      </c>
      <c r="B35" s="2" t="s">
        <v>10116</v>
      </c>
      <c r="C35" s="2" t="s">
        <v>10117</v>
      </c>
      <c r="D35" s="2" t="s">
        <v>10118</v>
      </c>
      <c r="E35" s="2" t="s">
        <v>10050</v>
      </c>
      <c r="F35" s="2" t="s">
        <v>10119</v>
      </c>
      <c r="G35" s="2" t="str">
        <f aca="false">LEFT(C35,3)</f>
        <v>122</v>
      </c>
      <c r="H35" s="16" t="n">
        <v>0.38</v>
      </c>
      <c r="I35" s="2" t="s">
        <v>10030</v>
      </c>
      <c r="J35" s="2" t="n">
        <f aca="false">IF(COUNTIFS($G$2:G35,G35,$A$2:A35,A35)=1,1,0)</f>
        <v>1</v>
      </c>
    </row>
    <row r="36" customFormat="false" ht="15" hidden="false" customHeight="false" outlineLevel="0" collapsed="false">
      <c r="A36" s="2" t="s">
        <v>10115</v>
      </c>
      <c r="B36" s="2" t="s">
        <v>10116</v>
      </c>
      <c r="C36" s="2" t="s">
        <v>10120</v>
      </c>
      <c r="D36" s="2" t="s">
        <v>10121</v>
      </c>
      <c r="E36" s="2"/>
      <c r="F36" s="2"/>
      <c r="G36" s="2" t="str">
        <f aca="false">LEFT(C36,3)</f>
        <v>123</v>
      </c>
      <c r="H36" s="16" t="n">
        <v>0.38</v>
      </c>
      <c r="I36" s="2" t="s">
        <v>10030</v>
      </c>
      <c r="J36" s="2" t="n">
        <f aca="false">IF(COUNTIFS($G$2:G36,G36,$A$2:A36,A36)=1,1,0)</f>
        <v>1</v>
      </c>
    </row>
    <row r="37" customFormat="false" ht="15" hidden="false" customHeight="false" outlineLevel="0" collapsed="false">
      <c r="A37" s="2" t="s">
        <v>10115</v>
      </c>
      <c r="B37" s="2" t="s">
        <v>10116</v>
      </c>
      <c r="C37" s="2" t="s">
        <v>10122</v>
      </c>
      <c r="D37" s="2" t="s">
        <v>10123</v>
      </c>
      <c r="E37" s="2" t="s">
        <v>10050</v>
      </c>
      <c r="F37" s="2"/>
      <c r="G37" s="2" t="str">
        <f aca="false">LEFT(C37,3)</f>
        <v>131</v>
      </c>
      <c r="H37" s="16" t="n">
        <v>0.38</v>
      </c>
      <c r="I37" s="2" t="s">
        <v>10030</v>
      </c>
      <c r="J37" s="2" t="n">
        <f aca="false">IF(COUNTIFS($G$2:G37,G37,$A$2:A37,A37)=1,1,0)</f>
        <v>1</v>
      </c>
    </row>
    <row r="38" customFormat="false" ht="15" hidden="false" customHeight="false" outlineLevel="0" collapsed="false">
      <c r="A38" s="2" t="s">
        <v>10124</v>
      </c>
      <c r="B38" s="2" t="s">
        <v>10125</v>
      </c>
      <c r="C38" s="2" t="s">
        <v>10117</v>
      </c>
      <c r="D38" s="2" t="s">
        <v>10118</v>
      </c>
      <c r="E38" s="2" t="s">
        <v>10050</v>
      </c>
      <c r="F38" s="2" t="s">
        <v>10126</v>
      </c>
      <c r="G38" s="2" t="str">
        <f aca="false">LEFT(C38,3)</f>
        <v>122</v>
      </c>
      <c r="H38" s="16" t="n">
        <v>0.44</v>
      </c>
      <c r="I38" s="2" t="s">
        <v>10071</v>
      </c>
      <c r="J38" s="2" t="n">
        <f aca="false">IF(COUNTIFS($G$2:G38,G38,$A$2:A38,A38)=1,1,0)</f>
        <v>1</v>
      </c>
    </row>
    <row r="39" customFormat="false" ht="15" hidden="false" customHeight="false" outlineLevel="0" collapsed="false">
      <c r="A39" s="2" t="s">
        <v>10124</v>
      </c>
      <c r="B39" s="2" t="s">
        <v>10125</v>
      </c>
      <c r="C39" s="2" t="s">
        <v>10127</v>
      </c>
      <c r="D39" s="2" t="s">
        <v>10128</v>
      </c>
      <c r="E39" s="2"/>
      <c r="F39" s="2"/>
      <c r="G39" s="2" t="str">
        <f aca="false">LEFT(C39,3)</f>
        <v>123</v>
      </c>
      <c r="H39" s="16" t="n">
        <v>0.44</v>
      </c>
      <c r="I39" s="2" t="s">
        <v>10071</v>
      </c>
      <c r="J39" s="2" t="n">
        <f aca="false">IF(COUNTIFS($G$2:G39,G39,$A$2:A39,A39)=1,1,0)</f>
        <v>1</v>
      </c>
    </row>
    <row r="40" customFormat="false" ht="15" hidden="false" customHeight="false" outlineLevel="0" collapsed="false">
      <c r="A40" s="2" t="s">
        <v>10124</v>
      </c>
      <c r="B40" s="2" t="s">
        <v>10125</v>
      </c>
      <c r="C40" s="2" t="s">
        <v>10122</v>
      </c>
      <c r="D40" s="2" t="s">
        <v>10123</v>
      </c>
      <c r="E40" s="2" t="s">
        <v>10050</v>
      </c>
      <c r="F40" s="2" t="s">
        <v>10129</v>
      </c>
      <c r="G40" s="2" t="str">
        <f aca="false">LEFT(C40,3)</f>
        <v>131</v>
      </c>
      <c r="H40" s="16" t="n">
        <v>0.44</v>
      </c>
      <c r="I40" s="2" t="s">
        <v>10071</v>
      </c>
      <c r="J40" s="2" t="n">
        <f aca="false">IF(COUNTIFS($G$2:G40,G40,$A$2:A40,A40)=1,1,0)</f>
        <v>1</v>
      </c>
    </row>
    <row r="41" customFormat="false" ht="15" hidden="false" customHeight="false" outlineLevel="0" collapsed="false">
      <c r="A41" s="2" t="s">
        <v>10124</v>
      </c>
      <c r="B41" s="2" t="s">
        <v>10125</v>
      </c>
      <c r="C41" s="2" t="s">
        <v>10051</v>
      </c>
      <c r="D41" s="2" t="s">
        <v>10052</v>
      </c>
      <c r="E41" s="2" t="s">
        <v>10050</v>
      </c>
      <c r="F41" s="2" t="s">
        <v>10130</v>
      </c>
      <c r="G41" s="2" t="str">
        <f aca="false">LEFT(C41,3)</f>
        <v>131</v>
      </c>
      <c r="H41" s="16" t="n">
        <v>0.44</v>
      </c>
      <c r="I41" s="2" t="s">
        <v>10071</v>
      </c>
      <c r="J41" s="2" t="n">
        <f aca="false">IF(COUNTIFS($G$2:G41,G41,$A$2:A41,A41)=1,1,0)</f>
        <v>0</v>
      </c>
    </row>
    <row r="42" customFormat="false" ht="15" hidden="false" customHeight="false" outlineLevel="0" collapsed="false">
      <c r="A42" s="2" t="s">
        <v>10131</v>
      </c>
      <c r="B42" s="2" t="s">
        <v>10132</v>
      </c>
      <c r="C42" s="2" t="s">
        <v>10061</v>
      </c>
      <c r="D42" s="2" t="s">
        <v>10062</v>
      </c>
      <c r="E42" s="2" t="s">
        <v>10050</v>
      </c>
      <c r="F42" s="2"/>
      <c r="G42" s="2" t="str">
        <f aca="false">LEFT(C42,3)</f>
        <v>122</v>
      </c>
      <c r="H42" s="16" t="n">
        <v>0.3</v>
      </c>
      <c r="I42" s="2" t="s">
        <v>10030</v>
      </c>
      <c r="J42" s="2" t="n">
        <f aca="false">IF(COUNTIFS($G$2:G42,G42,$A$2:A42,A42)=1,1,0)</f>
        <v>1</v>
      </c>
    </row>
    <row r="43" customFormat="false" ht="15" hidden="false" customHeight="false" outlineLevel="0" collapsed="false">
      <c r="A43" s="2" t="s">
        <v>10131</v>
      </c>
      <c r="B43" s="2" t="s">
        <v>10132</v>
      </c>
      <c r="C43" s="2" t="s">
        <v>10095</v>
      </c>
      <c r="D43" s="2" t="s">
        <v>10096</v>
      </c>
      <c r="E43" s="2" t="s">
        <v>10050</v>
      </c>
      <c r="F43" s="2"/>
      <c r="G43" s="2" t="str">
        <f aca="false">LEFT(C43,3)</f>
        <v>131</v>
      </c>
      <c r="H43" s="16" t="n">
        <v>0.3</v>
      </c>
      <c r="I43" s="2" t="s">
        <v>10030</v>
      </c>
      <c r="J43" s="2" t="n">
        <f aca="false">IF(COUNTIFS($G$2:G43,G43,$A$2:A43,A43)=1,1,0)</f>
        <v>1</v>
      </c>
    </row>
    <row r="44" customFormat="false" ht="15" hidden="false" customHeight="false" outlineLevel="0" collapsed="false">
      <c r="A44" s="2" t="s">
        <v>10133</v>
      </c>
      <c r="B44" s="2" t="s">
        <v>10134</v>
      </c>
      <c r="C44" s="2" t="s">
        <v>10061</v>
      </c>
      <c r="D44" s="2" t="s">
        <v>10062</v>
      </c>
      <c r="E44" s="2" t="s">
        <v>10050</v>
      </c>
      <c r="F44" s="2"/>
      <c r="G44" s="2" t="str">
        <f aca="false">LEFT(C44,3)</f>
        <v>122</v>
      </c>
      <c r="H44" s="16" t="n">
        <v>0.36</v>
      </c>
      <c r="I44" s="2" t="s">
        <v>10030</v>
      </c>
      <c r="J44" s="2" t="n">
        <f aca="false">IF(COUNTIFS($G$2:G44,G44,$A$2:A44,A44)=1,1,0)</f>
        <v>1</v>
      </c>
    </row>
    <row r="45" customFormat="false" ht="15" hidden="false" customHeight="false" outlineLevel="0" collapsed="false">
      <c r="A45" s="2" t="s">
        <v>10133</v>
      </c>
      <c r="B45" s="2" t="s">
        <v>10134</v>
      </c>
      <c r="C45" s="2" t="s">
        <v>10095</v>
      </c>
      <c r="D45" s="2" t="s">
        <v>10096</v>
      </c>
      <c r="E45" s="2" t="s">
        <v>10050</v>
      </c>
      <c r="F45" s="2"/>
      <c r="G45" s="2" t="str">
        <f aca="false">LEFT(C45,3)</f>
        <v>131</v>
      </c>
      <c r="H45" s="16" t="n">
        <v>0.36</v>
      </c>
      <c r="I45" s="2" t="s">
        <v>10030</v>
      </c>
      <c r="J45" s="2" t="n">
        <f aca="false">IF(COUNTIFS($G$2:G45,G45,$A$2:A45,A45)=1,1,0)</f>
        <v>1</v>
      </c>
    </row>
    <row r="46" customFormat="false" ht="15" hidden="false" customHeight="false" outlineLevel="0" collapsed="false">
      <c r="A46" s="2" t="s">
        <v>10133</v>
      </c>
      <c r="B46" s="2" t="s">
        <v>10134</v>
      </c>
      <c r="C46" s="2" t="s">
        <v>10135</v>
      </c>
      <c r="D46" s="2" t="s">
        <v>86</v>
      </c>
      <c r="E46" s="2" t="s">
        <v>10050</v>
      </c>
      <c r="F46" s="2" t="s">
        <v>10136</v>
      </c>
      <c r="G46" s="2" t="str">
        <f aca="false">LEFT(C46,3)</f>
        <v>223</v>
      </c>
      <c r="H46" s="16" t="n">
        <v>0.36</v>
      </c>
      <c r="I46" s="2" t="s">
        <v>10030</v>
      </c>
      <c r="J46" s="2" t="n">
        <f aca="false">IF(COUNTIFS($G$2:G46,G46,$A$2:A46,A46)=1,1,0)</f>
        <v>1</v>
      </c>
    </row>
    <row r="47" customFormat="false" ht="15" hidden="false" customHeight="false" outlineLevel="0" collapsed="false">
      <c r="A47" s="2" t="s">
        <v>10137</v>
      </c>
      <c r="B47" s="2" t="s">
        <v>10138</v>
      </c>
      <c r="C47" s="2" t="s">
        <v>10061</v>
      </c>
      <c r="D47" s="2" t="s">
        <v>10062</v>
      </c>
      <c r="E47" s="2" t="s">
        <v>10050</v>
      </c>
      <c r="F47" s="2"/>
      <c r="G47" s="2" t="str">
        <f aca="false">LEFT(C47,3)</f>
        <v>122</v>
      </c>
      <c r="H47" s="16" t="n">
        <v>0.34</v>
      </c>
      <c r="I47" s="2" t="s">
        <v>10030</v>
      </c>
      <c r="J47" s="2" t="n">
        <f aca="false">IF(COUNTIFS($G$2:G47,G47,$A$2:A47,A47)=1,1,0)</f>
        <v>1</v>
      </c>
    </row>
    <row r="48" customFormat="false" ht="15" hidden="false" customHeight="false" outlineLevel="0" collapsed="false">
      <c r="A48" s="2" t="s">
        <v>10137</v>
      </c>
      <c r="B48" s="2" t="s">
        <v>10138</v>
      </c>
      <c r="C48" s="2" t="s">
        <v>10095</v>
      </c>
      <c r="D48" s="2" t="s">
        <v>10096</v>
      </c>
      <c r="E48" s="2" t="s">
        <v>10050</v>
      </c>
      <c r="F48" s="2"/>
      <c r="G48" s="2" t="str">
        <f aca="false">LEFT(C48,3)</f>
        <v>131</v>
      </c>
      <c r="H48" s="16" t="n">
        <v>0.34</v>
      </c>
      <c r="I48" s="2" t="s">
        <v>10030</v>
      </c>
      <c r="J48" s="2" t="n">
        <f aca="false">IF(COUNTIFS($G$2:G48,G48,$A$2:A48,A48)=1,1,0)</f>
        <v>1</v>
      </c>
    </row>
    <row r="49" customFormat="false" ht="15" hidden="false" customHeight="false" outlineLevel="0" collapsed="false">
      <c r="A49" s="2" t="s">
        <v>10137</v>
      </c>
      <c r="B49" s="2" t="s">
        <v>10138</v>
      </c>
      <c r="C49" s="2" t="s">
        <v>10135</v>
      </c>
      <c r="D49" s="2" t="s">
        <v>86</v>
      </c>
      <c r="E49" s="2" t="s">
        <v>10050</v>
      </c>
      <c r="F49" s="2" t="s">
        <v>10139</v>
      </c>
      <c r="G49" s="2" t="str">
        <f aca="false">LEFT(C49,3)</f>
        <v>223</v>
      </c>
      <c r="H49" s="16" t="n">
        <v>0.34</v>
      </c>
      <c r="I49" s="2" t="s">
        <v>10030</v>
      </c>
      <c r="J49" s="2" t="n">
        <f aca="false">IF(COUNTIFS($G$2:G49,G49,$A$2:A49,A49)=1,1,0)</f>
        <v>1</v>
      </c>
    </row>
    <row r="50" customFormat="false" ht="15" hidden="false" customHeight="false" outlineLevel="0" collapsed="false">
      <c r="A50" s="2" t="s">
        <v>10140</v>
      </c>
      <c r="B50" s="2" t="s">
        <v>10141</v>
      </c>
      <c r="C50" s="2" t="s">
        <v>10061</v>
      </c>
      <c r="D50" s="2" t="s">
        <v>10062</v>
      </c>
      <c r="E50" s="2" t="s">
        <v>10050</v>
      </c>
      <c r="F50" s="2"/>
      <c r="G50" s="2" t="str">
        <f aca="false">LEFT(C50,3)</f>
        <v>122</v>
      </c>
      <c r="H50" s="16" t="n">
        <v>0.37</v>
      </c>
      <c r="I50" s="2" t="s">
        <v>10030</v>
      </c>
      <c r="J50" s="2" t="n">
        <f aca="false">IF(COUNTIFS($G$2:G50,G50,$A$2:A50,A50)=1,1,0)</f>
        <v>1</v>
      </c>
    </row>
    <row r="51" customFormat="false" ht="15" hidden="false" customHeight="false" outlineLevel="0" collapsed="false">
      <c r="A51" s="2" t="s">
        <v>10140</v>
      </c>
      <c r="B51" s="2" t="s">
        <v>10141</v>
      </c>
      <c r="C51" s="2" t="s">
        <v>10095</v>
      </c>
      <c r="D51" s="2" t="s">
        <v>10096</v>
      </c>
      <c r="E51" s="2" t="s">
        <v>10050</v>
      </c>
      <c r="F51" s="2"/>
      <c r="G51" s="2" t="str">
        <f aca="false">LEFT(C51,3)</f>
        <v>131</v>
      </c>
      <c r="H51" s="16" t="n">
        <v>0.37</v>
      </c>
      <c r="I51" s="2" t="s">
        <v>10030</v>
      </c>
      <c r="J51" s="2" t="n">
        <f aca="false">IF(COUNTIFS($G$2:G51,G51,$A$2:A51,A51)=1,1,0)</f>
        <v>1</v>
      </c>
    </row>
    <row r="52" customFormat="false" ht="15" hidden="false" customHeight="false" outlineLevel="0" collapsed="false">
      <c r="A52" s="2" t="s">
        <v>10142</v>
      </c>
      <c r="B52" s="2" t="s">
        <v>10143</v>
      </c>
      <c r="C52" s="2" t="s">
        <v>10061</v>
      </c>
      <c r="D52" s="2" t="s">
        <v>10062</v>
      </c>
      <c r="E52" s="2" t="s">
        <v>10050</v>
      </c>
      <c r="F52" s="2"/>
      <c r="G52" s="2" t="str">
        <f aca="false">LEFT(C52,3)</f>
        <v>122</v>
      </c>
      <c r="H52" s="16" t="n">
        <v>0.36</v>
      </c>
      <c r="I52" s="2" t="s">
        <v>10030</v>
      </c>
      <c r="J52" s="2" t="n">
        <f aca="false">IF(COUNTIFS($G$2:G52,G52,$A$2:A52,A52)=1,1,0)</f>
        <v>1</v>
      </c>
    </row>
    <row r="53" customFormat="false" ht="15" hidden="false" customHeight="false" outlineLevel="0" collapsed="false">
      <c r="A53" s="2" t="s">
        <v>10142</v>
      </c>
      <c r="B53" s="2" t="s">
        <v>10143</v>
      </c>
      <c r="C53" s="2" t="s">
        <v>10095</v>
      </c>
      <c r="D53" s="2" t="s">
        <v>10096</v>
      </c>
      <c r="E53" s="2" t="s">
        <v>10050</v>
      </c>
      <c r="F53" s="2"/>
      <c r="G53" s="2" t="str">
        <f aca="false">LEFT(C53,3)</f>
        <v>131</v>
      </c>
      <c r="H53" s="16" t="n">
        <v>0.36</v>
      </c>
      <c r="I53" s="2" t="s">
        <v>10030</v>
      </c>
      <c r="J53" s="2" t="n">
        <f aca="false">IF(COUNTIFS($G$2:G53,G53,$A$2:A53,A53)=1,1,0)</f>
        <v>1</v>
      </c>
    </row>
    <row r="54" customFormat="false" ht="15" hidden="false" customHeight="false" outlineLevel="0" collapsed="false">
      <c r="A54" s="2" t="s">
        <v>10144</v>
      </c>
      <c r="B54" s="2" t="s">
        <v>10145</v>
      </c>
      <c r="C54" s="2" t="s">
        <v>10068</v>
      </c>
      <c r="D54" s="2" t="s">
        <v>10069</v>
      </c>
      <c r="E54" s="2"/>
      <c r="F54" s="2"/>
      <c r="G54" s="2" t="str">
        <f aca="false">LEFT(C54,3)</f>
        <v>122</v>
      </c>
      <c r="H54" s="16" t="n">
        <v>0.47</v>
      </c>
      <c r="I54" s="2" t="s">
        <v>10071</v>
      </c>
      <c r="J54" s="2" t="n">
        <f aca="false">IF(COUNTIFS($G$2:G54,G54,$A$2:A54,A54)=1,1,0)</f>
        <v>1</v>
      </c>
    </row>
    <row r="55" customFormat="false" ht="15" hidden="false" customHeight="false" outlineLevel="0" collapsed="false">
      <c r="A55" s="2" t="s">
        <v>10144</v>
      </c>
      <c r="B55" s="2" t="s">
        <v>10145</v>
      </c>
      <c r="C55" s="2" t="s">
        <v>10051</v>
      </c>
      <c r="D55" s="2" t="s">
        <v>10052</v>
      </c>
      <c r="E55" s="2" t="s">
        <v>10050</v>
      </c>
      <c r="F55" s="2"/>
      <c r="G55" s="2" t="str">
        <f aca="false">LEFT(C55,3)</f>
        <v>131</v>
      </c>
      <c r="H55" s="16" t="n">
        <v>0.47</v>
      </c>
      <c r="I55" s="2" t="s">
        <v>10071</v>
      </c>
      <c r="J55" s="2" t="n">
        <f aca="false">IF(COUNTIFS($G$2:G55,G55,$A$2:A55,A55)=1,1,0)</f>
        <v>1</v>
      </c>
    </row>
    <row r="56" customFormat="false" ht="15" hidden="false" customHeight="false" outlineLevel="0" collapsed="false">
      <c r="A56" s="2" t="s">
        <v>10146</v>
      </c>
      <c r="B56" s="2" t="s">
        <v>10147</v>
      </c>
      <c r="C56" s="2" t="s">
        <v>10061</v>
      </c>
      <c r="D56" s="2" t="s">
        <v>10062</v>
      </c>
      <c r="E56" s="2" t="s">
        <v>10050</v>
      </c>
      <c r="F56" s="2"/>
      <c r="G56" s="2" t="str">
        <f aca="false">LEFT(C56,3)</f>
        <v>122</v>
      </c>
      <c r="H56" s="16" t="n">
        <v>0.38</v>
      </c>
      <c r="I56" s="2" t="s">
        <v>10030</v>
      </c>
      <c r="J56" s="2" t="n">
        <f aca="false">IF(COUNTIFS($G$2:G56,G56,$A$2:A56,A56)=1,1,0)</f>
        <v>1</v>
      </c>
    </row>
    <row r="57" customFormat="false" ht="15" hidden="false" customHeight="false" outlineLevel="0" collapsed="false">
      <c r="A57" s="2" t="s">
        <v>10146</v>
      </c>
      <c r="B57" s="2" t="s">
        <v>10147</v>
      </c>
      <c r="C57" s="2" t="s">
        <v>10095</v>
      </c>
      <c r="D57" s="2" t="s">
        <v>10096</v>
      </c>
      <c r="E57" s="2" t="s">
        <v>10050</v>
      </c>
      <c r="F57" s="2"/>
      <c r="G57" s="2" t="str">
        <f aca="false">LEFT(C57,3)</f>
        <v>131</v>
      </c>
      <c r="H57" s="16" t="n">
        <v>0.38</v>
      </c>
      <c r="I57" s="2" t="s">
        <v>10030</v>
      </c>
      <c r="J57" s="2" t="n">
        <f aca="false">IF(COUNTIFS($G$2:G57,G57,$A$2:A57,A57)=1,1,0)</f>
        <v>1</v>
      </c>
    </row>
    <row r="58" customFormat="false" ht="15" hidden="false" customHeight="false" outlineLevel="0" collapsed="false">
      <c r="A58" s="2" t="s">
        <v>10148</v>
      </c>
      <c r="B58" s="2" t="s">
        <v>10149</v>
      </c>
      <c r="C58" s="2" t="s">
        <v>10150</v>
      </c>
      <c r="D58" s="2" t="s">
        <v>10151</v>
      </c>
      <c r="E58" s="2" t="s">
        <v>10050</v>
      </c>
      <c r="F58" s="2"/>
      <c r="G58" s="2" t="str">
        <f aca="false">LEFT(C58,3)</f>
        <v>122</v>
      </c>
      <c r="H58" s="16" t="n">
        <v>0.37</v>
      </c>
      <c r="I58" s="2" t="s">
        <v>10152</v>
      </c>
      <c r="J58" s="2" t="n">
        <f aca="false">IF(COUNTIFS($G$2:G58,G58,$A$2:A58,A58)=1,1,0)</f>
        <v>1</v>
      </c>
    </row>
    <row r="59" customFormat="false" ht="15" hidden="false" customHeight="false" outlineLevel="0" collapsed="false">
      <c r="A59" s="2" t="s">
        <v>10148</v>
      </c>
      <c r="B59" s="2" t="s">
        <v>10149</v>
      </c>
      <c r="C59" s="2" t="s">
        <v>10153</v>
      </c>
      <c r="D59" s="2" t="s">
        <v>10154</v>
      </c>
      <c r="E59" s="2" t="s">
        <v>10050</v>
      </c>
      <c r="F59" s="2" t="s">
        <v>10155</v>
      </c>
      <c r="G59" s="2" t="str">
        <f aca="false">LEFT(C59,3)</f>
        <v>131</v>
      </c>
      <c r="H59" s="16" t="n">
        <v>0.37</v>
      </c>
      <c r="I59" s="2" t="s">
        <v>10152</v>
      </c>
      <c r="J59" s="2" t="n">
        <f aca="false">IF(COUNTIFS($G$2:G59,G59,$A$2:A59,A59)=1,1,0)</f>
        <v>1</v>
      </c>
    </row>
    <row r="60" customFormat="false" ht="15" hidden="false" customHeight="false" outlineLevel="0" collapsed="false">
      <c r="A60" s="2" t="s">
        <v>10156</v>
      </c>
      <c r="B60" s="2" t="s">
        <v>10157</v>
      </c>
      <c r="C60" s="2" t="s">
        <v>10150</v>
      </c>
      <c r="D60" s="2" t="s">
        <v>10151</v>
      </c>
      <c r="E60" s="2" t="s">
        <v>10050</v>
      </c>
      <c r="F60" s="2" t="s">
        <v>10158</v>
      </c>
      <c r="G60" s="2" t="str">
        <f aca="false">LEFT(C60,3)</f>
        <v>122</v>
      </c>
      <c r="H60" s="16" t="n">
        <v>0.36</v>
      </c>
      <c r="I60" s="2" t="s">
        <v>10030</v>
      </c>
      <c r="J60" s="2" t="n">
        <f aca="false">IF(COUNTIFS($G$2:G60,G60,$A$2:A60,A60)=1,1,0)</f>
        <v>1</v>
      </c>
    </row>
    <row r="61" customFormat="false" ht="15" hidden="false" customHeight="false" outlineLevel="0" collapsed="false">
      <c r="A61" s="2" t="s">
        <v>10156</v>
      </c>
      <c r="B61" s="2" t="s">
        <v>10157</v>
      </c>
      <c r="C61" s="2" t="s">
        <v>10153</v>
      </c>
      <c r="D61" s="2" t="s">
        <v>10154</v>
      </c>
      <c r="E61" s="2" t="s">
        <v>10050</v>
      </c>
      <c r="F61" s="2"/>
      <c r="G61" s="2" t="str">
        <f aca="false">LEFT(C61,3)</f>
        <v>131</v>
      </c>
      <c r="H61" s="16" t="n">
        <v>0.36</v>
      </c>
      <c r="I61" s="2" t="s">
        <v>10030</v>
      </c>
      <c r="J61" s="2" t="n">
        <f aca="false">IF(COUNTIFS($G$2:G61,G61,$A$2:A61,A61)=1,1,0)</f>
        <v>1</v>
      </c>
    </row>
    <row r="62" customFormat="false" ht="15" hidden="false" customHeight="false" outlineLevel="0" collapsed="false">
      <c r="A62" s="2" t="s">
        <v>10159</v>
      </c>
      <c r="B62" s="2" t="s">
        <v>10160</v>
      </c>
      <c r="C62" s="2" t="s">
        <v>10161</v>
      </c>
      <c r="D62" s="2" t="s">
        <v>10162</v>
      </c>
      <c r="E62" s="2"/>
      <c r="F62" s="2"/>
      <c r="G62" s="2" t="str">
        <f aca="false">LEFT(C62,3)</f>
        <v>122</v>
      </c>
      <c r="H62" s="16" t="n">
        <v>0.44</v>
      </c>
      <c r="I62" s="2" t="s">
        <v>10071</v>
      </c>
      <c r="J62" s="2" t="n">
        <f aca="false">IF(COUNTIFS($G$2:G62,G62,$A$2:A62,A62)=1,1,0)</f>
        <v>1</v>
      </c>
    </row>
    <row r="63" customFormat="false" ht="15" hidden="false" customHeight="false" outlineLevel="0" collapsed="false">
      <c r="A63" s="2" t="s">
        <v>10159</v>
      </c>
      <c r="B63" s="2" t="s">
        <v>10160</v>
      </c>
      <c r="C63" s="2" t="s">
        <v>10163</v>
      </c>
      <c r="D63" s="2" t="s">
        <v>10164</v>
      </c>
      <c r="E63" s="2" t="s">
        <v>10050</v>
      </c>
      <c r="F63" s="2"/>
      <c r="G63" s="2" t="str">
        <f aca="false">LEFT(C63,3)</f>
        <v>131</v>
      </c>
      <c r="H63" s="16" t="n">
        <v>0.44</v>
      </c>
      <c r="I63" s="2" t="s">
        <v>10071</v>
      </c>
      <c r="J63" s="2" t="n">
        <f aca="false">IF(COUNTIFS($G$2:G63,G63,$A$2:A63,A63)=1,1,0)</f>
        <v>1</v>
      </c>
    </row>
    <row r="64" customFormat="false" ht="15" hidden="false" customHeight="false" outlineLevel="0" collapsed="false">
      <c r="A64" s="2" t="s">
        <v>10165</v>
      </c>
      <c r="B64" s="2" t="s">
        <v>10166</v>
      </c>
      <c r="C64" s="2" t="s">
        <v>10095</v>
      </c>
      <c r="D64" s="2" t="s">
        <v>10096</v>
      </c>
      <c r="E64" s="2" t="s">
        <v>10050</v>
      </c>
      <c r="F64" s="2"/>
      <c r="G64" s="2" t="str">
        <f aca="false">LEFT(C64,3)</f>
        <v>131</v>
      </c>
      <c r="H64" s="16" t="n">
        <v>0.32</v>
      </c>
      <c r="I64" s="2" t="s">
        <v>10030</v>
      </c>
      <c r="J64" s="2" t="n">
        <f aca="false">IF(COUNTIFS($G$2:G64,G64,$A$2:A64,A64)=1,1,0)</f>
        <v>1</v>
      </c>
    </row>
    <row r="65" customFormat="false" ht="15" hidden="false" customHeight="false" outlineLevel="0" collapsed="false">
      <c r="A65" s="2" t="s">
        <v>10167</v>
      </c>
      <c r="B65" s="2" t="s">
        <v>10168</v>
      </c>
      <c r="C65" s="2" t="s">
        <v>10061</v>
      </c>
      <c r="D65" s="2" t="s">
        <v>10062</v>
      </c>
      <c r="E65" s="2" t="s">
        <v>10050</v>
      </c>
      <c r="F65" s="2"/>
      <c r="G65" s="2" t="str">
        <f aca="false">LEFT(C65,3)</f>
        <v>122</v>
      </c>
      <c r="H65" s="16"/>
      <c r="I65" s="2" t="s">
        <v>10169</v>
      </c>
      <c r="J65" s="2" t="n">
        <f aca="false">IF(COUNTIFS($G$2:G65,G65,$A$2:A65,A65)=1,1,0)</f>
        <v>1</v>
      </c>
    </row>
    <row r="66" customFormat="false" ht="15" hidden="false" customHeight="false" outlineLevel="0" collapsed="false">
      <c r="A66" s="2" t="s">
        <v>10167</v>
      </c>
      <c r="B66" s="2" t="s">
        <v>10170</v>
      </c>
      <c r="C66" s="2" t="s">
        <v>10095</v>
      </c>
      <c r="D66" s="2" t="s">
        <v>10096</v>
      </c>
      <c r="E66" s="2" t="s">
        <v>10050</v>
      </c>
      <c r="F66" s="2"/>
      <c r="G66" s="2" t="str">
        <f aca="false">LEFT(C66,3)</f>
        <v>131</v>
      </c>
      <c r="H66" s="16"/>
      <c r="I66" s="2" t="s">
        <v>10169</v>
      </c>
      <c r="J66" s="2" t="n">
        <f aca="false">IF(COUNTIFS($G$2:G66,G66,$A$2:A66,A66)=1,1,0)</f>
        <v>1</v>
      </c>
    </row>
    <row r="67" customFormat="false" ht="15" hidden="false" customHeight="false" outlineLevel="0" collapsed="false">
      <c r="A67" s="2" t="s">
        <v>10171</v>
      </c>
      <c r="B67" s="2" t="s">
        <v>10172</v>
      </c>
      <c r="C67" s="2" t="s">
        <v>10171</v>
      </c>
      <c r="D67" s="2" t="s">
        <v>10173</v>
      </c>
      <c r="E67" s="2"/>
      <c r="F67" s="2"/>
      <c r="G67" s="2" t="str">
        <f aca="false">LEFT(C67,3)</f>
        <v>211</v>
      </c>
      <c r="H67" s="16" t="n">
        <v>0.38</v>
      </c>
      <c r="I67" s="2" t="s">
        <v>10152</v>
      </c>
      <c r="J67" s="2" t="n">
        <f aca="false">IF(COUNTIFS($G$2:G67,G67,$A$2:A67,A67)=1,1,0)</f>
        <v>1</v>
      </c>
    </row>
    <row r="68" customFormat="false" ht="15" hidden="false" customHeight="false" outlineLevel="0" collapsed="false">
      <c r="A68" s="2" t="s">
        <v>10174</v>
      </c>
      <c r="B68" s="2" t="s">
        <v>10175</v>
      </c>
      <c r="C68" s="2" t="s">
        <v>10174</v>
      </c>
      <c r="D68" s="2" t="s">
        <v>10175</v>
      </c>
      <c r="E68" s="2"/>
      <c r="F68" s="2"/>
      <c r="G68" s="2" t="str">
        <f aca="false">LEFT(C68,3)</f>
        <v>211</v>
      </c>
      <c r="H68" s="16" t="n">
        <v>0.54</v>
      </c>
      <c r="I68" s="2" t="s">
        <v>10176</v>
      </c>
      <c r="J68" s="2" t="n">
        <f aca="false">IF(COUNTIFS($G$2:G68,G68,$A$2:A68,A68)=1,1,0)</f>
        <v>1</v>
      </c>
    </row>
    <row r="69" customFormat="false" ht="15" hidden="false" customHeight="false" outlineLevel="0" collapsed="false">
      <c r="A69" s="2" t="s">
        <v>10177</v>
      </c>
      <c r="B69" s="2" t="s">
        <v>10178</v>
      </c>
      <c r="C69" s="2" t="s">
        <v>10177</v>
      </c>
      <c r="D69" s="2" t="s">
        <v>10178</v>
      </c>
      <c r="E69" s="2" t="s">
        <v>10050</v>
      </c>
      <c r="F69" s="2"/>
      <c r="G69" s="2" t="str">
        <f aca="false">LEFT(C69,3)</f>
        <v>211</v>
      </c>
      <c r="H69" s="16" t="n">
        <v>0.39</v>
      </c>
      <c r="I69" s="2" t="s">
        <v>10030</v>
      </c>
      <c r="J69" s="2" t="n">
        <f aca="false">IF(COUNTIFS($G$2:G69,G69,$A$2:A69,A69)=1,1,0)</f>
        <v>1</v>
      </c>
    </row>
    <row r="70" customFormat="false" ht="15" hidden="false" customHeight="false" outlineLevel="0" collapsed="false">
      <c r="A70" s="2" t="s">
        <v>10179</v>
      </c>
      <c r="B70" s="2" t="s">
        <v>10180</v>
      </c>
      <c r="C70" s="2" t="s">
        <v>10179</v>
      </c>
      <c r="D70" s="2" t="s">
        <v>10180</v>
      </c>
      <c r="E70" s="2"/>
      <c r="F70" s="2"/>
      <c r="G70" s="2" t="str">
        <f aca="false">LEFT(C70,3)</f>
        <v>211</v>
      </c>
      <c r="H70" s="16" t="n">
        <v>0.36</v>
      </c>
      <c r="I70" s="2" t="s">
        <v>10030</v>
      </c>
      <c r="J70" s="2" t="n">
        <f aca="false">IF(COUNTIFS($G$2:G70,G70,$A$2:A70,A70)=1,1,0)</f>
        <v>1</v>
      </c>
    </row>
    <row r="71" customFormat="false" ht="15" hidden="false" customHeight="false" outlineLevel="0" collapsed="false">
      <c r="A71" s="2" t="s">
        <v>10181</v>
      </c>
      <c r="B71" s="2" t="s">
        <v>10182</v>
      </c>
      <c r="C71" s="2" t="s">
        <v>10183</v>
      </c>
      <c r="D71" s="2" t="s">
        <v>10184</v>
      </c>
      <c r="E71" s="2"/>
      <c r="F71" s="2"/>
      <c r="G71" s="2" t="str">
        <f aca="false">LEFT(C71,3)</f>
        <v>212</v>
      </c>
      <c r="H71" s="16" t="n">
        <v>0.56</v>
      </c>
      <c r="I71" s="2" t="s">
        <v>10176</v>
      </c>
      <c r="J71" s="2" t="n">
        <f aca="false">IF(COUNTIFS($G$2:G71,G71,$A$2:A71,A71)=1,1,0)</f>
        <v>1</v>
      </c>
    </row>
    <row r="72" customFormat="false" ht="15" hidden="false" customHeight="false" outlineLevel="0" collapsed="false">
      <c r="A72" s="2" t="s">
        <v>10181</v>
      </c>
      <c r="B72" s="2" t="s">
        <v>10182</v>
      </c>
      <c r="C72" s="2" t="s">
        <v>10185</v>
      </c>
      <c r="D72" s="2" t="s">
        <v>10186</v>
      </c>
      <c r="E72" s="2"/>
      <c r="F72" s="2"/>
      <c r="G72" s="2" t="str">
        <f aca="false">LEFT(C72,3)</f>
        <v>212</v>
      </c>
      <c r="H72" s="16" t="n">
        <v>0.56</v>
      </c>
      <c r="I72" s="2" t="s">
        <v>10176</v>
      </c>
      <c r="J72" s="2" t="n">
        <f aca="false">IF(COUNTIFS($G$2:G72,G72,$A$2:A72,A72)=1,1,0)</f>
        <v>0</v>
      </c>
    </row>
    <row r="73" customFormat="false" ht="15" hidden="false" customHeight="false" outlineLevel="0" collapsed="false">
      <c r="A73" s="2" t="s">
        <v>10187</v>
      </c>
      <c r="B73" s="2" t="s">
        <v>10188</v>
      </c>
      <c r="C73" s="2" t="s">
        <v>10189</v>
      </c>
      <c r="D73" s="2" t="s">
        <v>10190</v>
      </c>
      <c r="E73" s="2" t="s">
        <v>10050</v>
      </c>
      <c r="F73" s="2"/>
      <c r="G73" s="2" t="str">
        <f aca="false">LEFT(C73,3)</f>
        <v>221</v>
      </c>
      <c r="H73" s="16" t="n">
        <v>0.4</v>
      </c>
      <c r="I73" s="2" t="s">
        <v>10071</v>
      </c>
      <c r="J73" s="2" t="n">
        <f aca="false">IF(COUNTIFS($G$2:G73,G73,$A$2:A73,A73)=1,1,0)</f>
        <v>1</v>
      </c>
    </row>
    <row r="74" customFormat="false" ht="15" hidden="false" customHeight="false" outlineLevel="0" collapsed="false">
      <c r="A74" s="2" t="s">
        <v>10187</v>
      </c>
      <c r="B74" s="2" t="s">
        <v>10188</v>
      </c>
      <c r="C74" s="2" t="s">
        <v>10191</v>
      </c>
      <c r="D74" s="2" t="s">
        <v>10192</v>
      </c>
      <c r="E74" s="2" t="s">
        <v>10050</v>
      </c>
      <c r="F74" s="2" t="s">
        <v>10193</v>
      </c>
      <c r="G74" s="2" t="str">
        <f aca="false">LEFT(C74,3)</f>
        <v>221</v>
      </c>
      <c r="H74" s="16" t="n">
        <v>0.4</v>
      </c>
      <c r="I74" s="2" t="s">
        <v>10071</v>
      </c>
      <c r="J74" s="2" t="n">
        <f aca="false">IF(COUNTIFS($G$2:G74,G74,$A$2:A74,A74)=1,1,0)</f>
        <v>0</v>
      </c>
    </row>
    <row r="75" customFormat="false" ht="15" hidden="false" customHeight="false" outlineLevel="0" collapsed="false">
      <c r="A75" s="2" t="s">
        <v>10194</v>
      </c>
      <c r="B75" s="2" t="s">
        <v>10195</v>
      </c>
      <c r="C75" s="2" t="s">
        <v>10196</v>
      </c>
      <c r="D75" s="2" t="s">
        <v>10197</v>
      </c>
      <c r="E75" s="2"/>
      <c r="F75" s="2"/>
      <c r="G75" s="2" t="str">
        <f aca="false">LEFT(C75,3)</f>
        <v>221</v>
      </c>
      <c r="H75" s="16" t="n">
        <v>0.29</v>
      </c>
      <c r="I75" s="2" t="s">
        <v>10025</v>
      </c>
      <c r="J75" s="2" t="n">
        <f aca="false">IF(COUNTIFS($G$2:G75,G75,$A$2:A75,A75)=1,1,0)</f>
        <v>1</v>
      </c>
    </row>
    <row r="76" customFormat="false" ht="15" hidden="false" customHeight="false" outlineLevel="0" collapsed="false">
      <c r="A76" s="2" t="s">
        <v>10194</v>
      </c>
      <c r="B76" s="2" t="s">
        <v>10195</v>
      </c>
      <c r="C76" s="2" t="s">
        <v>10198</v>
      </c>
      <c r="D76" s="2" t="s">
        <v>10199</v>
      </c>
      <c r="E76" s="2"/>
      <c r="F76" s="2"/>
      <c r="G76" s="2" t="str">
        <f aca="false">LEFT(C76,3)</f>
        <v>321</v>
      </c>
      <c r="H76" s="16" t="n">
        <v>0.29</v>
      </c>
      <c r="I76" s="2" t="s">
        <v>10025</v>
      </c>
      <c r="J76" s="2" t="n">
        <f aca="false">IF(COUNTIFS($G$2:G76,G76,$A$2:A76,A76)=1,1,0)</f>
        <v>1</v>
      </c>
    </row>
    <row r="77" customFormat="false" ht="15" hidden="false" customHeight="false" outlineLevel="0" collapsed="false">
      <c r="A77" s="2" t="s">
        <v>10200</v>
      </c>
      <c r="B77" s="2" t="s">
        <v>10201</v>
      </c>
      <c r="C77" s="2" t="s">
        <v>10189</v>
      </c>
      <c r="D77" s="2" t="s">
        <v>10190</v>
      </c>
      <c r="E77" s="2" t="s">
        <v>10050</v>
      </c>
      <c r="F77" s="2"/>
      <c r="G77" s="2" t="str">
        <f aca="false">LEFT(C77,3)</f>
        <v>221</v>
      </c>
      <c r="H77" s="16" t="n">
        <v>0.38</v>
      </c>
      <c r="I77" s="2" t="s">
        <v>10030</v>
      </c>
      <c r="J77" s="2" t="n">
        <f aca="false">IF(COUNTIFS($G$2:G77,G77,$A$2:A77,A77)=1,1,0)</f>
        <v>1</v>
      </c>
    </row>
    <row r="78" customFormat="false" ht="15" hidden="false" customHeight="false" outlineLevel="0" collapsed="false">
      <c r="A78" s="2" t="s">
        <v>10202</v>
      </c>
      <c r="B78" s="2" t="s">
        <v>10203</v>
      </c>
      <c r="C78" s="2" t="s">
        <v>10204</v>
      </c>
      <c r="D78" s="2" t="s">
        <v>10205</v>
      </c>
      <c r="E78" s="2" t="s">
        <v>10050</v>
      </c>
      <c r="F78" s="2"/>
      <c r="G78" s="2" t="str">
        <f aca="false">LEFT(C78,3)</f>
        <v>214</v>
      </c>
      <c r="H78" s="16" t="n">
        <v>0.37</v>
      </c>
      <c r="I78" s="2" t="s">
        <v>10030</v>
      </c>
      <c r="J78" s="2" t="n">
        <f aca="false">IF(COUNTIFS($G$2:G78,G78,$A$2:A78,A78)=1,1,0)</f>
        <v>1</v>
      </c>
    </row>
    <row r="79" customFormat="false" ht="15" hidden="false" customHeight="false" outlineLevel="0" collapsed="false">
      <c r="A79" s="2" t="s">
        <v>10206</v>
      </c>
      <c r="B79" s="2" t="s">
        <v>10207</v>
      </c>
      <c r="C79" s="2" t="s">
        <v>10206</v>
      </c>
      <c r="D79" s="2" t="s">
        <v>10208</v>
      </c>
      <c r="E79" s="2"/>
      <c r="F79" s="2"/>
      <c r="G79" s="2" t="str">
        <f aca="false">LEFT(C79,3)</f>
        <v>214</v>
      </c>
      <c r="H79" s="16" t="n">
        <v>0.3</v>
      </c>
      <c r="I79" s="2" t="s">
        <v>10025</v>
      </c>
      <c r="J79" s="2" t="n">
        <f aca="false">IF(COUNTIFS($G$2:G79,G79,$A$2:A79,A79)=1,1,0)</f>
        <v>1</v>
      </c>
    </row>
    <row r="80" customFormat="false" ht="15" hidden="false" customHeight="false" outlineLevel="0" collapsed="false">
      <c r="A80" s="2" t="s">
        <v>10209</v>
      </c>
      <c r="B80" s="2" t="s">
        <v>10210</v>
      </c>
      <c r="C80" s="2" t="s">
        <v>10204</v>
      </c>
      <c r="D80" s="2" t="s">
        <v>10205</v>
      </c>
      <c r="E80" s="2" t="s">
        <v>10050</v>
      </c>
      <c r="F80" s="2"/>
      <c r="G80" s="2" t="str">
        <f aca="false">LEFT(C80,3)</f>
        <v>214</v>
      </c>
      <c r="H80" s="16" t="n">
        <v>0.38</v>
      </c>
      <c r="I80" s="2" t="s">
        <v>10030</v>
      </c>
      <c r="J80" s="2" t="n">
        <f aca="false">IF(COUNTIFS($G$2:G80,G80,$A$2:A80,A80)=1,1,0)</f>
        <v>1</v>
      </c>
    </row>
    <row r="81" customFormat="false" ht="15" hidden="false" customHeight="false" outlineLevel="0" collapsed="false">
      <c r="A81" s="2" t="s">
        <v>10211</v>
      </c>
      <c r="B81" s="2" t="s">
        <v>10212</v>
      </c>
      <c r="C81" s="2" t="s">
        <v>10213</v>
      </c>
      <c r="D81" s="2" t="s">
        <v>10214</v>
      </c>
      <c r="E81" s="2"/>
      <c r="F81" s="2"/>
      <c r="G81" s="2" t="str">
        <f aca="false">LEFT(C81,3)</f>
        <v>214</v>
      </c>
      <c r="H81" s="16" t="n">
        <v>0.32</v>
      </c>
      <c r="I81" s="2" t="s">
        <v>10025</v>
      </c>
      <c r="J81" s="2" t="n">
        <f aca="false">IF(COUNTIFS($G$2:G81,G81,$A$2:A81,A81)=1,1,0)</f>
        <v>1</v>
      </c>
    </row>
    <row r="82" customFormat="false" ht="15" hidden="false" customHeight="false" outlineLevel="0" collapsed="false">
      <c r="A82" s="2" t="s">
        <v>10213</v>
      </c>
      <c r="B82" s="2" t="s">
        <v>10215</v>
      </c>
      <c r="C82" s="2" t="s">
        <v>10216</v>
      </c>
      <c r="D82" s="2" t="s">
        <v>10217</v>
      </c>
      <c r="E82" s="2"/>
      <c r="F82" s="2"/>
      <c r="G82" s="2" t="str">
        <f aca="false">LEFT(C82,3)</f>
        <v>214</v>
      </c>
      <c r="H82" s="16" t="n">
        <v>0.35</v>
      </c>
      <c r="I82" s="2" t="s">
        <v>10030</v>
      </c>
      <c r="J82" s="2" t="n">
        <f aca="false">IF(COUNTIFS($G$2:G82,G82,$A$2:A82,A82)=1,1,0)</f>
        <v>1</v>
      </c>
    </row>
    <row r="83" customFormat="false" ht="15" hidden="false" customHeight="false" outlineLevel="0" collapsed="false">
      <c r="A83" s="2" t="s">
        <v>10216</v>
      </c>
      <c r="B83" s="2" t="s">
        <v>10218</v>
      </c>
      <c r="C83" s="2" t="s">
        <v>10219</v>
      </c>
      <c r="D83" s="2" t="s">
        <v>10220</v>
      </c>
      <c r="E83" s="2"/>
      <c r="F83" s="2"/>
      <c r="G83" s="2" t="str">
        <f aca="false">LEFT(C83,3)</f>
        <v>214</v>
      </c>
      <c r="H83" s="16" t="n">
        <v>0.29</v>
      </c>
      <c r="I83" s="2" t="s">
        <v>10025</v>
      </c>
      <c r="J83" s="2" t="n">
        <f aca="false">IF(COUNTIFS($G$2:G83,G83,$A$2:A83,A83)=1,1,0)</f>
        <v>1</v>
      </c>
    </row>
    <row r="84" customFormat="false" ht="15" hidden="false" customHeight="false" outlineLevel="0" collapsed="false">
      <c r="A84" s="2" t="s">
        <v>10204</v>
      </c>
      <c r="B84" s="2" t="s">
        <v>10221</v>
      </c>
      <c r="C84" s="2" t="s">
        <v>10204</v>
      </c>
      <c r="D84" s="2" t="s">
        <v>10205</v>
      </c>
      <c r="E84" s="2" t="s">
        <v>10050</v>
      </c>
      <c r="F84" s="2"/>
      <c r="G84" s="2" t="str">
        <f aca="false">LEFT(C84,3)</f>
        <v>214</v>
      </c>
      <c r="H84" s="16" t="n">
        <v>0.3</v>
      </c>
      <c r="I84" s="2" t="s">
        <v>10025</v>
      </c>
      <c r="J84" s="2" t="n">
        <f aca="false">IF(COUNTIFS($G$2:G84,G84,$A$2:A84,A84)=1,1,0)</f>
        <v>1</v>
      </c>
    </row>
    <row r="85" customFormat="false" ht="15" hidden="false" customHeight="false" outlineLevel="0" collapsed="false">
      <c r="A85" s="2" t="s">
        <v>10222</v>
      </c>
      <c r="B85" s="2" t="s">
        <v>10223</v>
      </c>
      <c r="C85" s="2" t="s">
        <v>10209</v>
      </c>
      <c r="D85" s="2" t="s">
        <v>10224</v>
      </c>
      <c r="E85" s="2"/>
      <c r="F85" s="2"/>
      <c r="G85" s="2" t="str">
        <f aca="false">LEFT(C85,3)</f>
        <v>214</v>
      </c>
      <c r="H85" s="16" t="n">
        <v>0.31</v>
      </c>
      <c r="I85" s="2" t="s">
        <v>10025</v>
      </c>
      <c r="J85" s="2" t="n">
        <f aca="false">IF(COUNTIFS($G$2:G85,G85,$A$2:A85,A85)=1,1,0)</f>
        <v>1</v>
      </c>
    </row>
    <row r="86" customFormat="false" ht="15" hidden="false" customHeight="false" outlineLevel="0" collapsed="false">
      <c r="A86" s="2" t="s">
        <v>10225</v>
      </c>
      <c r="B86" s="2" t="s">
        <v>10226</v>
      </c>
      <c r="C86" s="2" t="s">
        <v>10211</v>
      </c>
      <c r="D86" s="2" t="s">
        <v>10227</v>
      </c>
      <c r="E86" s="2" t="s">
        <v>10050</v>
      </c>
      <c r="F86" s="2"/>
      <c r="G86" s="2" t="str">
        <f aca="false">LEFT(C86,3)</f>
        <v>214</v>
      </c>
      <c r="H86" s="16" t="n">
        <v>0.42</v>
      </c>
      <c r="I86" s="2" t="s">
        <v>10071</v>
      </c>
      <c r="J86" s="2" t="n">
        <f aca="false">IF(COUNTIFS($G$2:G86,G86,$A$2:A86,A86)=1,1,0)</f>
        <v>1</v>
      </c>
    </row>
    <row r="87" customFormat="false" ht="15" hidden="false" customHeight="false" outlineLevel="0" collapsed="false">
      <c r="A87" s="2" t="s">
        <v>10228</v>
      </c>
      <c r="B87" s="2" t="s">
        <v>10229</v>
      </c>
      <c r="C87" s="2" t="s">
        <v>10211</v>
      </c>
      <c r="D87" s="2" t="s">
        <v>10227</v>
      </c>
      <c r="E87" s="2" t="s">
        <v>10050</v>
      </c>
      <c r="F87" s="2"/>
      <c r="G87" s="2" t="str">
        <f aca="false">LEFT(C87,3)</f>
        <v>214</v>
      </c>
      <c r="H87" s="16" t="n">
        <v>0.48</v>
      </c>
      <c r="I87" s="2" t="s">
        <v>10071</v>
      </c>
      <c r="J87" s="2" t="n">
        <f aca="false">IF(COUNTIFS($G$2:G87,G87,$A$2:A87,A87)=1,1,0)</f>
        <v>1</v>
      </c>
    </row>
    <row r="88" customFormat="false" ht="15" hidden="false" customHeight="false" outlineLevel="0" collapsed="false">
      <c r="A88" s="2" t="s">
        <v>10230</v>
      </c>
      <c r="B88" s="2" t="s">
        <v>10231</v>
      </c>
      <c r="C88" s="2" t="s">
        <v>10202</v>
      </c>
      <c r="D88" s="2" t="s">
        <v>10232</v>
      </c>
      <c r="E88" s="2" t="s">
        <v>10050</v>
      </c>
      <c r="F88" s="2"/>
      <c r="G88" s="2" t="str">
        <f aca="false">LEFT(C88,3)</f>
        <v>214</v>
      </c>
      <c r="H88" s="16" t="n">
        <v>0.37</v>
      </c>
      <c r="I88" s="2" t="s">
        <v>10030</v>
      </c>
      <c r="J88" s="2" t="n">
        <f aca="false">IF(COUNTIFS($G$2:G88,G88,$A$2:A88,A88)=1,1,0)</f>
        <v>1</v>
      </c>
    </row>
    <row r="89" customFormat="false" ht="15" hidden="false" customHeight="false" outlineLevel="0" collapsed="false">
      <c r="A89" s="2" t="s">
        <v>10233</v>
      </c>
      <c r="B89" s="2" t="s">
        <v>10234</v>
      </c>
      <c r="C89" s="2" t="s">
        <v>10202</v>
      </c>
      <c r="D89" s="2" t="s">
        <v>10232</v>
      </c>
      <c r="E89" s="2" t="s">
        <v>10050</v>
      </c>
      <c r="F89" s="2"/>
      <c r="G89" s="2" t="str">
        <f aca="false">LEFT(C89,3)</f>
        <v>214</v>
      </c>
      <c r="H89" s="16" t="n">
        <v>0.37</v>
      </c>
      <c r="I89" s="2" t="s">
        <v>10030</v>
      </c>
      <c r="J89" s="2" t="n">
        <f aca="false">IF(COUNTIFS($G$2:G89,G89,$A$2:A89,A89)=1,1,0)</f>
        <v>1</v>
      </c>
    </row>
    <row r="90" customFormat="false" ht="15" hidden="false" customHeight="false" outlineLevel="0" collapsed="false">
      <c r="A90" s="2" t="s">
        <v>10235</v>
      </c>
      <c r="B90" s="2" t="s">
        <v>10236</v>
      </c>
      <c r="C90" s="2" t="s">
        <v>10237</v>
      </c>
      <c r="D90" s="2" t="s">
        <v>10238</v>
      </c>
      <c r="E90" s="2" t="s">
        <v>10050</v>
      </c>
      <c r="F90" s="2"/>
      <c r="G90" s="2" t="str">
        <f aca="false">LEFT(C90,3)</f>
        <v>347</v>
      </c>
      <c r="H90" s="16" t="n">
        <v>0.35</v>
      </c>
      <c r="I90" s="2" t="s">
        <v>10030</v>
      </c>
      <c r="J90" s="2" t="n">
        <f aca="false">IF(COUNTIFS($G$2:G90,G90,$A$2:A90,A90)=1,1,0)</f>
        <v>1</v>
      </c>
    </row>
    <row r="91" customFormat="false" ht="15" hidden="false" customHeight="false" outlineLevel="0" collapsed="false">
      <c r="A91" s="2" t="s">
        <v>10239</v>
      </c>
      <c r="B91" s="2" t="s">
        <v>10240</v>
      </c>
      <c r="C91" s="2" t="s">
        <v>10202</v>
      </c>
      <c r="D91" s="2" t="s">
        <v>10232</v>
      </c>
      <c r="E91" s="2" t="s">
        <v>10050</v>
      </c>
      <c r="F91" s="2"/>
      <c r="G91" s="2" t="str">
        <f aca="false">LEFT(C91,3)</f>
        <v>214</v>
      </c>
      <c r="H91" s="16" t="n">
        <v>0.41</v>
      </c>
      <c r="I91" s="2" t="s">
        <v>10030</v>
      </c>
      <c r="J91" s="2" t="n">
        <f aca="false">IF(COUNTIFS($G$2:G91,G91,$A$2:A91,A91)=1,1,0)</f>
        <v>1</v>
      </c>
    </row>
    <row r="92" customFormat="false" ht="15" hidden="false" customHeight="false" outlineLevel="0" collapsed="false">
      <c r="A92" s="2" t="s">
        <v>10241</v>
      </c>
      <c r="B92" s="2" t="s">
        <v>10242</v>
      </c>
      <c r="C92" s="2" t="s">
        <v>10243</v>
      </c>
      <c r="D92" s="2" t="s">
        <v>10244</v>
      </c>
      <c r="E92" s="2"/>
      <c r="F92" s="2"/>
      <c r="G92" s="2" t="str">
        <f aca="false">LEFT(C92,3)</f>
        <v>214</v>
      </c>
      <c r="H92" s="16" t="n">
        <v>0.44</v>
      </c>
      <c r="I92" s="2" t="s">
        <v>10071</v>
      </c>
      <c r="J92" s="2" t="n">
        <f aca="false">IF(COUNTIFS($G$2:G92,G92,$A$2:A92,A92)=1,1,0)</f>
        <v>1</v>
      </c>
    </row>
    <row r="93" customFormat="false" ht="15" hidden="false" customHeight="false" outlineLevel="0" collapsed="false">
      <c r="A93" s="2" t="s">
        <v>10245</v>
      </c>
      <c r="B93" s="2" t="s">
        <v>10246</v>
      </c>
      <c r="C93" s="2" t="s">
        <v>10237</v>
      </c>
      <c r="D93" s="2" t="s">
        <v>10238</v>
      </c>
      <c r="E93" s="2" t="s">
        <v>10050</v>
      </c>
      <c r="F93" s="2"/>
      <c r="G93" s="2" t="str">
        <f aca="false">LEFT(C93,3)</f>
        <v>347</v>
      </c>
      <c r="H93" s="16" t="n">
        <v>0.49</v>
      </c>
      <c r="I93" s="2" t="s">
        <v>10071</v>
      </c>
      <c r="J93" s="2" t="n">
        <f aca="false">IF(COUNTIFS($G$2:G93,G93,$A$2:A93,A93)=1,1,0)</f>
        <v>1</v>
      </c>
    </row>
    <row r="94" customFormat="false" ht="15" hidden="false" customHeight="false" outlineLevel="0" collapsed="false">
      <c r="A94" s="2" t="s">
        <v>10189</v>
      </c>
      <c r="B94" s="2" t="s">
        <v>10247</v>
      </c>
      <c r="C94" s="2" t="s">
        <v>10248</v>
      </c>
      <c r="D94" s="2" t="s">
        <v>10249</v>
      </c>
      <c r="E94" s="2" t="s">
        <v>10050</v>
      </c>
      <c r="F94" s="2" t="s">
        <v>10250</v>
      </c>
      <c r="G94" s="2" t="str">
        <f aca="false">LEFT(C94,3)</f>
        <v>222</v>
      </c>
      <c r="H94" s="16" t="n">
        <v>0.29</v>
      </c>
      <c r="I94" s="2" t="s">
        <v>10025</v>
      </c>
      <c r="J94" s="2" t="n">
        <f aca="false">IF(COUNTIFS($G$2:G94,G94,$A$2:A94,A94)=1,1,0)</f>
        <v>1</v>
      </c>
    </row>
    <row r="95" customFormat="false" ht="15" hidden="false" customHeight="false" outlineLevel="0" collapsed="false">
      <c r="A95" s="2" t="s">
        <v>10191</v>
      </c>
      <c r="B95" s="2" t="s">
        <v>10251</v>
      </c>
      <c r="C95" s="2" t="s">
        <v>10191</v>
      </c>
      <c r="D95" s="2" t="s">
        <v>10192</v>
      </c>
      <c r="E95" s="2" t="s">
        <v>10050</v>
      </c>
      <c r="F95" s="2" t="s">
        <v>10252</v>
      </c>
      <c r="G95" s="2" t="str">
        <f aca="false">LEFT(C95,3)</f>
        <v>221</v>
      </c>
      <c r="H95" s="16" t="n">
        <v>0.27</v>
      </c>
      <c r="I95" s="2" t="s">
        <v>10025</v>
      </c>
      <c r="J95" s="2" t="n">
        <f aca="false">IF(COUNTIFS($G$2:G95,G95,$A$2:A95,A95)=1,1,0)</f>
        <v>1</v>
      </c>
    </row>
    <row r="96" customFormat="false" ht="15" hidden="false" customHeight="false" outlineLevel="0" collapsed="false">
      <c r="A96" s="2" t="s">
        <v>10191</v>
      </c>
      <c r="B96" s="2" t="s">
        <v>10251</v>
      </c>
      <c r="C96" s="2" t="s">
        <v>10248</v>
      </c>
      <c r="D96" s="2" t="s">
        <v>10249</v>
      </c>
      <c r="E96" s="2" t="s">
        <v>10050</v>
      </c>
      <c r="F96" s="2"/>
      <c r="G96" s="2" t="str">
        <f aca="false">LEFT(C96,3)</f>
        <v>222</v>
      </c>
      <c r="H96" s="16" t="n">
        <v>0.27</v>
      </c>
      <c r="I96" s="2" t="s">
        <v>10025</v>
      </c>
      <c r="J96" s="2" t="n">
        <f aca="false">IF(COUNTIFS($G$2:G96,G96,$A$2:A96,A96)=1,1,0)</f>
        <v>1</v>
      </c>
    </row>
    <row r="97" customFormat="false" ht="15" hidden="false" customHeight="false" outlineLevel="0" collapsed="false">
      <c r="A97" s="2" t="s">
        <v>10248</v>
      </c>
      <c r="B97" s="2" t="s">
        <v>10253</v>
      </c>
      <c r="C97" s="2" t="s">
        <v>10135</v>
      </c>
      <c r="D97" s="2" t="s">
        <v>86</v>
      </c>
      <c r="E97" s="2" t="s">
        <v>10050</v>
      </c>
      <c r="F97" s="2"/>
      <c r="G97" s="2" t="str">
        <f aca="false">LEFT(C97,3)</f>
        <v>223</v>
      </c>
      <c r="H97" s="16" t="n">
        <v>0.25</v>
      </c>
      <c r="I97" s="2" t="s">
        <v>10025</v>
      </c>
      <c r="J97" s="2" t="n">
        <f aca="false">IF(COUNTIFS($G$2:G97,G97,$A$2:A97,A97)=1,1,0)</f>
        <v>1</v>
      </c>
    </row>
    <row r="98" customFormat="false" ht="15" hidden="false" customHeight="false" outlineLevel="0" collapsed="false">
      <c r="A98" s="2" t="s">
        <v>10254</v>
      </c>
      <c r="B98" s="2" t="s">
        <v>10255</v>
      </c>
      <c r="C98" s="2" t="s">
        <v>10135</v>
      </c>
      <c r="D98" s="2" t="s">
        <v>86</v>
      </c>
      <c r="E98" s="2" t="s">
        <v>10050</v>
      </c>
      <c r="F98" s="2"/>
      <c r="G98" s="2" t="str">
        <f aca="false">LEFT(C98,3)</f>
        <v>223</v>
      </c>
      <c r="H98" s="16" t="n">
        <v>0.3</v>
      </c>
      <c r="I98" s="2" t="s">
        <v>10030</v>
      </c>
      <c r="J98" s="2" t="n">
        <f aca="false">IF(COUNTIFS($G$2:G98,G98,$A$2:A98,A98)=1,1,0)</f>
        <v>1</v>
      </c>
    </row>
    <row r="99" customFormat="false" ht="15" hidden="false" customHeight="false" outlineLevel="0" collapsed="false">
      <c r="A99" s="2" t="s">
        <v>10135</v>
      </c>
      <c r="B99" s="2" t="s">
        <v>10256</v>
      </c>
      <c r="C99" s="2" t="s">
        <v>10257</v>
      </c>
      <c r="D99" s="2" t="s">
        <v>10258</v>
      </c>
      <c r="E99" s="2" t="s">
        <v>10050</v>
      </c>
      <c r="F99" s="2" t="s">
        <v>10259</v>
      </c>
      <c r="G99" s="2" t="str">
        <f aca="false">LEFT(C99,3)</f>
        <v>322</v>
      </c>
      <c r="H99" s="16" t="n">
        <v>0.32</v>
      </c>
      <c r="I99" s="2" t="s">
        <v>10030</v>
      </c>
      <c r="J99" s="2" t="n">
        <f aca="false">IF(COUNTIFS($G$2:G99,G99,$A$2:A99,A99)=1,1,0)</f>
        <v>1</v>
      </c>
    </row>
    <row r="100" customFormat="false" ht="15" hidden="false" customHeight="false" outlineLevel="0" collapsed="false">
      <c r="A100" s="2" t="s">
        <v>10135</v>
      </c>
      <c r="B100" s="2" t="s">
        <v>10256</v>
      </c>
      <c r="C100" s="2" t="s">
        <v>10260</v>
      </c>
      <c r="D100" s="2" t="s">
        <v>10261</v>
      </c>
      <c r="E100" s="2" t="s">
        <v>10050</v>
      </c>
      <c r="F100" s="2"/>
      <c r="G100" s="2" t="str">
        <f aca="false">LEFT(C100,3)</f>
        <v>324</v>
      </c>
      <c r="H100" s="16" t="n">
        <v>0.32</v>
      </c>
      <c r="I100" s="2" t="s">
        <v>10030</v>
      </c>
      <c r="J100" s="2" t="n">
        <f aca="false">IF(COUNTIFS($G$2:G100,G100,$A$2:A100,A100)=1,1,0)</f>
        <v>1</v>
      </c>
    </row>
    <row r="101" customFormat="false" ht="15" hidden="false" customHeight="false" outlineLevel="0" collapsed="false">
      <c r="A101" s="2" t="s">
        <v>10262</v>
      </c>
      <c r="B101" s="2" t="s">
        <v>10263</v>
      </c>
      <c r="C101" s="2" t="s">
        <v>10264</v>
      </c>
      <c r="D101" s="2" t="s">
        <v>10265</v>
      </c>
      <c r="E101" s="2" t="s">
        <v>10050</v>
      </c>
      <c r="F101" s="2"/>
      <c r="G101" s="2" t="str">
        <f aca="false">LEFT(C101,3)</f>
        <v>322</v>
      </c>
      <c r="H101" s="16" t="n">
        <v>0.23</v>
      </c>
      <c r="I101" s="2" t="s">
        <v>10025</v>
      </c>
      <c r="J101" s="2" t="n">
        <f aca="false">IF(COUNTIFS($G$2:G101,G101,$A$2:A101,A101)=1,1,0)</f>
        <v>1</v>
      </c>
    </row>
    <row r="102" customFormat="false" ht="15" hidden="false" customHeight="false" outlineLevel="0" collapsed="false">
      <c r="A102" s="2" t="s">
        <v>10266</v>
      </c>
      <c r="B102" s="2" t="s">
        <v>426</v>
      </c>
      <c r="C102" s="2" t="s">
        <v>10191</v>
      </c>
      <c r="D102" s="2" t="s">
        <v>10192</v>
      </c>
      <c r="E102" s="2" t="s">
        <v>10050</v>
      </c>
      <c r="F102" s="2" t="s">
        <v>10267</v>
      </c>
      <c r="G102" s="2" t="str">
        <f aca="false">LEFT(C102,3)</f>
        <v>221</v>
      </c>
      <c r="H102" s="16" t="n">
        <v>0.14</v>
      </c>
      <c r="I102" s="2" t="s">
        <v>10025</v>
      </c>
      <c r="J102" s="2" t="n">
        <f aca="false">IF(COUNTIFS($G$2:G102,G102,$A$2:A102,A102)=1,1,0)</f>
        <v>1</v>
      </c>
    </row>
    <row r="103" customFormat="false" ht="15" hidden="false" customHeight="false" outlineLevel="0" collapsed="false">
      <c r="A103" s="2" t="s">
        <v>10266</v>
      </c>
      <c r="B103" s="2" t="s">
        <v>426</v>
      </c>
      <c r="C103" s="2" t="s">
        <v>10268</v>
      </c>
      <c r="D103" s="2" t="s">
        <v>426</v>
      </c>
      <c r="E103" s="2"/>
      <c r="F103" s="2"/>
      <c r="G103" s="2" t="str">
        <f aca="false">LEFT(C103,3)</f>
        <v>222</v>
      </c>
      <c r="H103" s="16" t="n">
        <v>0.14</v>
      </c>
      <c r="I103" s="2" t="s">
        <v>10025</v>
      </c>
      <c r="J103" s="2" t="n">
        <f aca="false">IF(COUNTIFS($G$2:G103,G103,$A$2:A103,A103)=1,1,0)</f>
        <v>1</v>
      </c>
    </row>
    <row r="104" customFormat="false" ht="15" hidden="false" customHeight="false" outlineLevel="0" collapsed="false">
      <c r="A104" s="2" t="s">
        <v>10269</v>
      </c>
      <c r="B104" s="2" t="s">
        <v>10270</v>
      </c>
      <c r="C104" s="2" t="s">
        <v>10254</v>
      </c>
      <c r="D104" s="2" t="s">
        <v>10270</v>
      </c>
      <c r="E104" s="2"/>
      <c r="F104" s="2"/>
      <c r="G104" s="2" t="str">
        <f aca="false">LEFT(C104,3)</f>
        <v>222</v>
      </c>
      <c r="H104" s="16" t="n">
        <v>0.15</v>
      </c>
      <c r="I104" s="2" t="s">
        <v>10025</v>
      </c>
      <c r="J104" s="2" t="n">
        <f aca="false">IF(COUNTIFS($G$2:G104,G104,$A$2:A104,A104)=1,1,0)</f>
        <v>1</v>
      </c>
    </row>
    <row r="105" customFormat="false" ht="15" hidden="false" customHeight="false" outlineLevel="0" collapsed="false">
      <c r="A105" s="2" t="s">
        <v>10271</v>
      </c>
      <c r="B105" s="2" t="s">
        <v>10272</v>
      </c>
      <c r="C105" s="2" t="s">
        <v>10177</v>
      </c>
      <c r="D105" s="2" t="s">
        <v>10178</v>
      </c>
      <c r="E105" s="2" t="s">
        <v>10050</v>
      </c>
      <c r="F105" s="2" t="s">
        <v>10273</v>
      </c>
      <c r="G105" s="2" t="str">
        <f aca="false">LEFT(C105,3)</f>
        <v>211</v>
      </c>
      <c r="H105" s="16" t="n">
        <v>0.33</v>
      </c>
      <c r="I105" s="2" t="s">
        <v>10030</v>
      </c>
      <c r="J105" s="2" t="n">
        <f aca="false">IF(COUNTIFS($G$2:G105,G105,$A$2:A105,A105)=1,1,0)</f>
        <v>1</v>
      </c>
    </row>
    <row r="106" customFormat="false" ht="15" hidden="false" customHeight="false" outlineLevel="0" collapsed="false">
      <c r="A106" s="2" t="s">
        <v>10271</v>
      </c>
      <c r="B106" s="2" t="s">
        <v>10272</v>
      </c>
      <c r="C106" s="2" t="s">
        <v>10274</v>
      </c>
      <c r="D106" s="2" t="s">
        <v>10272</v>
      </c>
      <c r="E106" s="2"/>
      <c r="F106" s="2"/>
      <c r="G106" s="2" t="str">
        <f aca="false">LEFT(C106,3)</f>
        <v>222</v>
      </c>
      <c r="H106" s="16" t="n">
        <v>0.33</v>
      </c>
      <c r="I106" s="2" t="s">
        <v>10030</v>
      </c>
      <c r="J106" s="2" t="n">
        <f aca="false">IF(COUNTIFS($G$2:G106,G106,$A$2:A106,A106)=1,1,0)</f>
        <v>1</v>
      </c>
    </row>
    <row r="107" customFormat="false" ht="15" hidden="false" customHeight="false" outlineLevel="0" collapsed="false">
      <c r="A107" s="2" t="s">
        <v>10275</v>
      </c>
      <c r="B107" s="2" t="s">
        <v>10276</v>
      </c>
      <c r="C107" s="2" t="s">
        <v>10277</v>
      </c>
      <c r="D107" s="2" t="s">
        <v>10278</v>
      </c>
      <c r="E107" s="2" t="s">
        <v>10050</v>
      </c>
      <c r="F107" s="2"/>
      <c r="G107" s="2" t="str">
        <f aca="false">LEFT(C107,3)</f>
        <v>222</v>
      </c>
      <c r="H107" s="16" t="n">
        <v>0.28</v>
      </c>
      <c r="I107" s="2" t="s">
        <v>10025</v>
      </c>
      <c r="J107" s="2" t="n">
        <f aca="false">IF(COUNTIFS($G$2:G107,G107,$A$2:A107,A107)=1,1,0)</f>
        <v>1</v>
      </c>
    </row>
    <row r="108" customFormat="false" ht="15" hidden="false" customHeight="false" outlineLevel="0" collapsed="false">
      <c r="A108" s="2" t="s">
        <v>10275</v>
      </c>
      <c r="B108" s="2" t="s">
        <v>10276</v>
      </c>
      <c r="C108" s="2" t="s">
        <v>10279</v>
      </c>
      <c r="D108" s="2" t="s">
        <v>10280</v>
      </c>
      <c r="E108" s="2" t="s">
        <v>10050</v>
      </c>
      <c r="F108" s="2"/>
      <c r="G108" s="2" t="str">
        <f aca="false">LEFT(C108,3)</f>
        <v>241</v>
      </c>
      <c r="H108" s="16" t="n">
        <v>0.28</v>
      </c>
      <c r="I108" s="2" t="s">
        <v>10025</v>
      </c>
      <c r="J108" s="2" t="n">
        <f aca="false">IF(COUNTIFS($G$2:G108,G108,$A$2:A108,A108)=1,1,0)</f>
        <v>1</v>
      </c>
    </row>
    <row r="109" customFormat="false" ht="15" hidden="false" customHeight="false" outlineLevel="0" collapsed="false">
      <c r="A109" s="2" t="s">
        <v>10275</v>
      </c>
      <c r="B109" s="2" t="s">
        <v>10276</v>
      </c>
      <c r="C109" s="2" t="s">
        <v>10281</v>
      </c>
      <c r="D109" s="2" t="s">
        <v>10282</v>
      </c>
      <c r="E109" s="2" t="s">
        <v>10050</v>
      </c>
      <c r="F109" s="2"/>
      <c r="G109" s="2" t="str">
        <f aca="false">LEFT(C109,3)</f>
        <v>315</v>
      </c>
      <c r="H109" s="16" t="n">
        <v>0.28</v>
      </c>
      <c r="I109" s="2" t="s">
        <v>10025</v>
      </c>
      <c r="J109" s="2" t="n">
        <f aca="false">IF(COUNTIFS($G$2:G109,G109,$A$2:A109,A109)=1,1,0)</f>
        <v>1</v>
      </c>
    </row>
    <row r="110" customFormat="false" ht="15" hidden="false" customHeight="false" outlineLevel="0" collapsed="false">
      <c r="A110" s="2" t="s">
        <v>10275</v>
      </c>
      <c r="B110" s="2" t="s">
        <v>10276</v>
      </c>
      <c r="C110" s="2" t="s">
        <v>10283</v>
      </c>
      <c r="D110" s="2" t="s">
        <v>10284</v>
      </c>
      <c r="E110" s="2" t="s">
        <v>10050</v>
      </c>
      <c r="F110" s="2"/>
      <c r="G110" s="2" t="str">
        <f aca="false">LEFT(C110,3)</f>
        <v>322</v>
      </c>
      <c r="H110" s="16" t="n">
        <v>0.28</v>
      </c>
      <c r="I110" s="2" t="s">
        <v>10025</v>
      </c>
      <c r="J110" s="2" t="n">
        <f aca="false">IF(COUNTIFS($G$2:G110,G110,$A$2:A110,A110)=1,1,0)</f>
        <v>1</v>
      </c>
    </row>
    <row r="111" customFormat="false" ht="15" hidden="false" customHeight="false" outlineLevel="0" collapsed="false">
      <c r="A111" s="2" t="s">
        <v>10285</v>
      </c>
      <c r="B111" s="2" t="s">
        <v>10286</v>
      </c>
      <c r="C111" s="2" t="s">
        <v>10287</v>
      </c>
      <c r="D111" s="2" t="s">
        <v>10288</v>
      </c>
      <c r="E111" s="2" t="s">
        <v>10050</v>
      </c>
      <c r="F111" s="2"/>
      <c r="G111" s="2" t="str">
        <f aca="false">LEFT(C111,3)</f>
        <v>322</v>
      </c>
      <c r="H111" s="16" t="n">
        <v>0.28</v>
      </c>
      <c r="I111" s="2" t="s">
        <v>10030</v>
      </c>
      <c r="J111" s="2" t="n">
        <f aca="false">IF(COUNTIFS($G$2:G111,G111,$A$2:A111,A111)=1,1,0)</f>
        <v>1</v>
      </c>
    </row>
    <row r="112" customFormat="false" ht="15" hidden="false" customHeight="false" outlineLevel="0" collapsed="false">
      <c r="A112" s="2" t="s">
        <v>10289</v>
      </c>
      <c r="B112" s="2" t="s">
        <v>10290</v>
      </c>
      <c r="C112" s="2" t="s">
        <v>10291</v>
      </c>
      <c r="D112" s="2" t="s">
        <v>10292</v>
      </c>
      <c r="E112" s="2"/>
      <c r="F112" s="2"/>
      <c r="G112" s="2" t="str">
        <f aca="false">LEFT(C112,3)</f>
        <v>322</v>
      </c>
      <c r="H112" s="16" t="n">
        <v>0.41</v>
      </c>
      <c r="I112" s="2" t="s">
        <v>10030</v>
      </c>
      <c r="J112" s="2" t="n">
        <f aca="false">IF(COUNTIFS($G$2:G112,G112,$A$2:A112,A112)=1,1,0)</f>
        <v>1</v>
      </c>
    </row>
    <row r="113" customFormat="false" ht="15" hidden="false" customHeight="false" outlineLevel="0" collapsed="false">
      <c r="A113" s="2" t="s">
        <v>10293</v>
      </c>
      <c r="B113" s="2" t="s">
        <v>10294</v>
      </c>
      <c r="C113" s="2" t="s">
        <v>10257</v>
      </c>
      <c r="D113" s="2" t="s">
        <v>10258</v>
      </c>
      <c r="E113" s="2" t="s">
        <v>10050</v>
      </c>
      <c r="F113" s="2"/>
      <c r="G113" s="2" t="str">
        <f aca="false">LEFT(C113,3)</f>
        <v>322</v>
      </c>
      <c r="H113" s="16" t="n">
        <v>0.24</v>
      </c>
      <c r="I113" s="2" t="s">
        <v>10025</v>
      </c>
      <c r="J113" s="2" t="n">
        <f aca="false">IF(COUNTIFS($G$2:G113,G113,$A$2:A113,A113)=1,1,0)</f>
        <v>1</v>
      </c>
    </row>
    <row r="114" customFormat="false" ht="15" hidden="false" customHeight="false" outlineLevel="0" collapsed="false">
      <c r="A114" s="2" t="s">
        <v>10295</v>
      </c>
      <c r="B114" s="2" t="s">
        <v>10296</v>
      </c>
      <c r="C114" s="2" t="s">
        <v>10297</v>
      </c>
      <c r="D114" s="2" t="s">
        <v>10298</v>
      </c>
      <c r="E114" s="2" t="s">
        <v>10050</v>
      </c>
      <c r="F114" s="2"/>
      <c r="G114" s="2" t="str">
        <f aca="false">LEFT(C114,3)</f>
        <v>322</v>
      </c>
      <c r="H114" s="16" t="n">
        <v>0.24</v>
      </c>
      <c r="I114" s="2" t="s">
        <v>10025</v>
      </c>
      <c r="J114" s="2" t="n">
        <f aca="false">IF(COUNTIFS($G$2:G114,G114,$A$2:A114,A114)=1,1,0)</f>
        <v>1</v>
      </c>
    </row>
    <row r="115" customFormat="false" ht="15" hidden="false" customHeight="false" outlineLevel="0" collapsed="false">
      <c r="A115" s="2" t="s">
        <v>10295</v>
      </c>
      <c r="B115" s="2" t="s">
        <v>10296</v>
      </c>
      <c r="C115" s="2" t="s">
        <v>10257</v>
      </c>
      <c r="D115" s="2" t="s">
        <v>10258</v>
      </c>
      <c r="E115" s="2" t="s">
        <v>10050</v>
      </c>
      <c r="F115" s="2" t="s">
        <v>10299</v>
      </c>
      <c r="G115" s="2" t="str">
        <f aca="false">LEFT(C115,3)</f>
        <v>322</v>
      </c>
      <c r="H115" s="16" t="n">
        <v>0.24</v>
      </c>
      <c r="I115" s="2" t="s">
        <v>10025</v>
      </c>
      <c r="J115" s="2" t="n">
        <f aca="false">IF(COUNTIFS($G$2:G115,G115,$A$2:A115,A115)=1,1,0)</f>
        <v>0</v>
      </c>
    </row>
    <row r="116" customFormat="false" ht="15" hidden="false" customHeight="false" outlineLevel="0" collapsed="false">
      <c r="A116" s="2" t="s">
        <v>10300</v>
      </c>
      <c r="B116" s="2" t="s">
        <v>10301</v>
      </c>
      <c r="C116" s="2" t="s">
        <v>10277</v>
      </c>
      <c r="D116" s="2" t="s">
        <v>10278</v>
      </c>
      <c r="E116" s="2" t="s">
        <v>10050</v>
      </c>
      <c r="F116" s="2"/>
      <c r="G116" s="2" t="str">
        <f aca="false">LEFT(C116,3)</f>
        <v>222</v>
      </c>
      <c r="H116" s="16" t="n">
        <v>0.2</v>
      </c>
      <c r="I116" s="2" t="s">
        <v>10025</v>
      </c>
      <c r="J116" s="2" t="n">
        <f aca="false">IF(COUNTIFS($G$2:G116,G116,$A$2:A116,A116)=1,1,0)</f>
        <v>1</v>
      </c>
    </row>
    <row r="117" customFormat="false" ht="15" hidden="false" customHeight="false" outlineLevel="0" collapsed="false">
      <c r="A117" s="2" t="s">
        <v>10300</v>
      </c>
      <c r="B117" s="2" t="s">
        <v>10301</v>
      </c>
      <c r="C117" s="2" t="s">
        <v>10287</v>
      </c>
      <c r="D117" s="2" t="s">
        <v>10288</v>
      </c>
      <c r="E117" s="2" t="s">
        <v>10050</v>
      </c>
      <c r="F117" s="2" t="s">
        <v>10302</v>
      </c>
      <c r="G117" s="2" t="str">
        <f aca="false">LEFT(C117,3)</f>
        <v>322</v>
      </c>
      <c r="H117" s="16" t="n">
        <v>0.2</v>
      </c>
      <c r="I117" s="2" t="s">
        <v>10025</v>
      </c>
      <c r="J117" s="2" t="n">
        <f aca="false">IF(COUNTIFS($G$2:G117,G117,$A$2:A117,A117)=1,1,0)</f>
        <v>1</v>
      </c>
    </row>
    <row r="118" customFormat="false" ht="15" hidden="false" customHeight="false" outlineLevel="0" collapsed="false">
      <c r="A118" s="2" t="s">
        <v>10300</v>
      </c>
      <c r="B118" s="2" t="s">
        <v>10301</v>
      </c>
      <c r="C118" s="2" t="s">
        <v>10257</v>
      </c>
      <c r="D118" s="2" t="s">
        <v>10258</v>
      </c>
      <c r="E118" s="2" t="s">
        <v>10050</v>
      </c>
      <c r="F118" s="2"/>
      <c r="G118" s="2" t="str">
        <f aca="false">LEFT(C118,3)</f>
        <v>322</v>
      </c>
      <c r="H118" s="16" t="n">
        <v>0.2</v>
      </c>
      <c r="I118" s="2" t="s">
        <v>10025</v>
      </c>
      <c r="J118" s="2" t="n">
        <f aca="false">IF(COUNTIFS($G$2:G118,G118,$A$2:A118,A118)=1,1,0)</f>
        <v>0</v>
      </c>
    </row>
    <row r="119" customFormat="false" ht="15" hidden="false" customHeight="false" outlineLevel="0" collapsed="false">
      <c r="A119" s="2" t="s">
        <v>10303</v>
      </c>
      <c r="B119" s="2" t="s">
        <v>10304</v>
      </c>
      <c r="C119" s="2" t="s">
        <v>10303</v>
      </c>
      <c r="D119" s="2" t="s">
        <v>10305</v>
      </c>
      <c r="E119" s="2" t="s">
        <v>10050</v>
      </c>
      <c r="F119" s="2"/>
      <c r="G119" s="2" t="str">
        <f aca="false">LEFT(C119,3)</f>
        <v>231</v>
      </c>
      <c r="H119" s="16" t="n">
        <v>0.37</v>
      </c>
      <c r="I119" s="2" t="s">
        <v>10030</v>
      </c>
      <c r="J119" s="2" t="n">
        <f aca="false">IF(COUNTIFS($G$2:G119,G119,$A$2:A119,A119)=1,1,0)</f>
        <v>1</v>
      </c>
    </row>
    <row r="120" customFormat="false" ht="15" hidden="false" customHeight="false" outlineLevel="0" collapsed="false">
      <c r="A120" s="2" t="s">
        <v>10306</v>
      </c>
      <c r="B120" s="2" t="s">
        <v>10307</v>
      </c>
      <c r="C120" s="2" t="s">
        <v>10303</v>
      </c>
      <c r="D120" s="2" t="s">
        <v>10305</v>
      </c>
      <c r="E120" s="2" t="s">
        <v>10050</v>
      </c>
      <c r="F120" s="2"/>
      <c r="G120" s="2" t="str">
        <f aca="false">LEFT(C120,3)</f>
        <v>231</v>
      </c>
      <c r="H120" s="16" t="n">
        <v>0.35</v>
      </c>
      <c r="I120" s="2" t="s">
        <v>10030</v>
      </c>
      <c r="J120" s="2" t="n">
        <f aca="false">IF(COUNTIFS($G$2:G120,G120,$A$2:A120,A120)=1,1,0)</f>
        <v>1</v>
      </c>
    </row>
    <row r="121" customFormat="false" ht="15" hidden="false" customHeight="false" outlineLevel="0" collapsed="false">
      <c r="A121" s="2" t="s">
        <v>10306</v>
      </c>
      <c r="B121" s="2" t="s">
        <v>10307</v>
      </c>
      <c r="C121" s="2" t="s">
        <v>10306</v>
      </c>
      <c r="D121" s="2" t="s">
        <v>10308</v>
      </c>
      <c r="E121" s="2" t="s">
        <v>10050</v>
      </c>
      <c r="F121" s="2"/>
      <c r="G121" s="2" t="str">
        <f aca="false">LEFT(C121,3)</f>
        <v>232</v>
      </c>
      <c r="H121" s="16" t="n">
        <v>0.35</v>
      </c>
      <c r="I121" s="2" t="s">
        <v>10030</v>
      </c>
      <c r="J121" s="2" t="n">
        <f aca="false">IF(COUNTIFS($G$2:G121,G121,$A$2:A121,A121)=1,1,0)</f>
        <v>1</v>
      </c>
    </row>
    <row r="122" customFormat="false" ht="15" hidden="false" customHeight="false" outlineLevel="0" collapsed="false">
      <c r="A122" s="2" t="s">
        <v>10309</v>
      </c>
      <c r="B122" s="2" t="s">
        <v>10310</v>
      </c>
      <c r="C122" s="2" t="s">
        <v>10306</v>
      </c>
      <c r="D122" s="2" t="s">
        <v>10308</v>
      </c>
      <c r="E122" s="2" t="s">
        <v>10050</v>
      </c>
      <c r="F122" s="2"/>
      <c r="G122" s="2" t="str">
        <f aca="false">LEFT(C122,3)</f>
        <v>232</v>
      </c>
      <c r="H122" s="16" t="n">
        <v>0.3</v>
      </c>
      <c r="I122" s="2" t="s">
        <v>10025</v>
      </c>
      <c r="J122" s="2" t="n">
        <f aca="false">IF(COUNTIFS($G$2:G122,G122,$A$2:A122,A122)=1,1,0)</f>
        <v>1</v>
      </c>
    </row>
    <row r="123" customFormat="false" ht="15" hidden="false" customHeight="false" outlineLevel="0" collapsed="false">
      <c r="A123" s="2" t="s">
        <v>10311</v>
      </c>
      <c r="B123" s="2" t="s">
        <v>10312</v>
      </c>
      <c r="C123" s="2" t="s">
        <v>10313</v>
      </c>
      <c r="D123" s="2" t="s">
        <v>10314</v>
      </c>
      <c r="E123" s="2"/>
      <c r="F123" s="2"/>
      <c r="G123" s="2" t="str">
        <f aca="false">LEFT(C123,3)</f>
        <v>233</v>
      </c>
      <c r="H123" s="16" t="n">
        <v>0.26</v>
      </c>
      <c r="I123" s="2" t="s">
        <v>10025</v>
      </c>
      <c r="J123" s="2" t="n">
        <f aca="false">IF(COUNTIFS($G$2:G123,G123,$A$2:A123,A123)=1,1,0)</f>
        <v>1</v>
      </c>
    </row>
    <row r="124" customFormat="false" ht="15" hidden="false" customHeight="false" outlineLevel="0" collapsed="false">
      <c r="A124" s="2" t="s">
        <v>10311</v>
      </c>
      <c r="B124" s="2" t="s">
        <v>10312</v>
      </c>
      <c r="C124" s="2" t="s">
        <v>10315</v>
      </c>
      <c r="D124" s="2" t="s">
        <v>10316</v>
      </c>
      <c r="E124" s="2"/>
      <c r="F124" s="2"/>
      <c r="G124" s="2" t="str">
        <f aca="false">LEFT(C124,3)</f>
        <v>331</v>
      </c>
      <c r="H124" s="16" t="n">
        <v>0.26</v>
      </c>
      <c r="I124" s="2" t="s">
        <v>10025</v>
      </c>
      <c r="J124" s="2" t="n">
        <f aca="false">IF(COUNTIFS($G$2:G124,G124,$A$2:A124,A124)=1,1,0)</f>
        <v>1</v>
      </c>
    </row>
    <row r="125" customFormat="false" ht="15" hidden="false" customHeight="false" outlineLevel="0" collapsed="false">
      <c r="A125" s="2" t="s">
        <v>10317</v>
      </c>
      <c r="B125" s="2" t="s">
        <v>10318</v>
      </c>
      <c r="C125" s="2" t="s">
        <v>10319</v>
      </c>
      <c r="D125" s="2" t="s">
        <v>10320</v>
      </c>
      <c r="E125" s="2"/>
      <c r="F125" s="2"/>
      <c r="G125" s="2" t="str">
        <f aca="false">LEFT(C125,3)</f>
        <v>233</v>
      </c>
      <c r="H125" s="16" t="n">
        <v>0.21</v>
      </c>
      <c r="I125" s="2" t="s">
        <v>10025</v>
      </c>
      <c r="J125" s="2" t="n">
        <f aca="false">IF(COUNTIFS($G$2:G125,G125,$A$2:A125,A125)=1,1,0)</f>
        <v>1</v>
      </c>
    </row>
    <row r="126" customFormat="false" ht="15" hidden="false" customHeight="false" outlineLevel="0" collapsed="false">
      <c r="A126" s="2" t="s">
        <v>10317</v>
      </c>
      <c r="B126" s="2" t="s">
        <v>10318</v>
      </c>
      <c r="C126" s="2" t="s">
        <v>10321</v>
      </c>
      <c r="D126" s="2" t="s">
        <v>10322</v>
      </c>
      <c r="E126" s="2"/>
      <c r="F126" s="2"/>
      <c r="G126" s="2" t="str">
        <f aca="false">LEFT(C126,3)</f>
        <v>332</v>
      </c>
      <c r="H126" s="16" t="n">
        <v>0.21</v>
      </c>
      <c r="I126" s="2" t="s">
        <v>10025</v>
      </c>
      <c r="J126" s="2" t="n">
        <f aca="false">IF(COUNTIFS($G$2:G126,G126,$A$2:A126,A126)=1,1,0)</f>
        <v>1</v>
      </c>
    </row>
    <row r="127" customFormat="false" ht="15" hidden="false" customHeight="false" outlineLevel="0" collapsed="false">
      <c r="A127" s="2" t="s">
        <v>10323</v>
      </c>
      <c r="B127" s="2" t="s">
        <v>10324</v>
      </c>
      <c r="C127" s="2" t="s">
        <v>10323</v>
      </c>
      <c r="D127" s="2" t="s">
        <v>10325</v>
      </c>
      <c r="E127" s="2"/>
      <c r="F127" s="2"/>
      <c r="G127" s="2" t="str">
        <f aca="false">LEFT(C127,3)</f>
        <v>235</v>
      </c>
      <c r="H127" s="16" t="n">
        <v>0.39</v>
      </c>
      <c r="I127" s="2" t="s">
        <v>10152</v>
      </c>
      <c r="J127" s="2" t="n">
        <f aca="false">IF(COUNTIFS($G$2:G127,G127,$A$2:A127,A127)=1,1,0)</f>
        <v>1</v>
      </c>
    </row>
    <row r="128" customFormat="false" ht="15" hidden="false" customHeight="false" outlineLevel="0" collapsed="false">
      <c r="A128" s="2" t="s">
        <v>10323</v>
      </c>
      <c r="B128" s="2" t="s">
        <v>10324</v>
      </c>
      <c r="C128" s="2" t="s">
        <v>10326</v>
      </c>
      <c r="D128" s="2" t="s">
        <v>10327</v>
      </c>
      <c r="E128" s="2"/>
      <c r="F128" s="2"/>
      <c r="G128" s="2" t="str">
        <f aca="false">LEFT(C128,3)</f>
        <v>235</v>
      </c>
      <c r="H128" s="16" t="n">
        <v>0.39</v>
      </c>
      <c r="I128" s="2" t="s">
        <v>10152</v>
      </c>
      <c r="J128" s="2" t="n">
        <f aca="false">IF(COUNTIFS($G$2:G128,G128,$A$2:A128,A128)=1,1,0)</f>
        <v>0</v>
      </c>
    </row>
    <row r="129" customFormat="false" ht="15" hidden="false" customHeight="false" outlineLevel="0" collapsed="false">
      <c r="A129" s="2" t="s">
        <v>10326</v>
      </c>
      <c r="B129" s="2" t="s">
        <v>10328</v>
      </c>
      <c r="C129" s="2" t="s">
        <v>10329</v>
      </c>
      <c r="D129" s="2" t="s">
        <v>10330</v>
      </c>
      <c r="E129" s="2"/>
      <c r="F129" s="2"/>
      <c r="G129" s="2" t="str">
        <f aca="false">LEFT(C129,3)</f>
        <v>234</v>
      </c>
      <c r="H129" s="16" t="n">
        <v>0.28</v>
      </c>
      <c r="I129" s="2" t="s">
        <v>10025</v>
      </c>
      <c r="J129" s="2" t="n">
        <f aca="false">IF(COUNTIFS($G$2:G129,G129,$A$2:A129,A129)=1,1,0)</f>
        <v>1</v>
      </c>
    </row>
    <row r="130" customFormat="false" ht="15" hidden="false" customHeight="false" outlineLevel="0" collapsed="false">
      <c r="A130" s="2" t="s">
        <v>10326</v>
      </c>
      <c r="B130" s="2" t="s">
        <v>10328</v>
      </c>
      <c r="C130" s="2" t="s">
        <v>10331</v>
      </c>
      <c r="D130" s="2" t="s">
        <v>10332</v>
      </c>
      <c r="E130" s="2"/>
      <c r="F130" s="2"/>
      <c r="G130" s="2" t="str">
        <f aca="false">LEFT(C130,3)</f>
        <v>333</v>
      </c>
      <c r="H130" s="16" t="n">
        <v>0.28</v>
      </c>
      <c r="I130" s="2" t="s">
        <v>10025</v>
      </c>
      <c r="J130" s="2" t="n">
        <f aca="false">IF(COUNTIFS($G$2:G130,G130,$A$2:A130,A130)=1,1,0)</f>
        <v>1</v>
      </c>
    </row>
    <row r="131" customFormat="false" ht="15" hidden="false" customHeight="false" outlineLevel="0" collapsed="false">
      <c r="A131" s="2" t="s">
        <v>10333</v>
      </c>
      <c r="B131" s="2" t="s">
        <v>10334</v>
      </c>
      <c r="C131" s="2" t="s">
        <v>10335</v>
      </c>
      <c r="D131" s="2" t="s">
        <v>10336</v>
      </c>
      <c r="E131" s="2" t="s">
        <v>10050</v>
      </c>
      <c r="F131" s="2"/>
      <c r="G131" s="2" t="str">
        <f aca="false">LEFT(C131,3)</f>
        <v>235</v>
      </c>
      <c r="H131" s="16" t="n">
        <v>0.34</v>
      </c>
      <c r="I131" s="2" t="s">
        <v>10030</v>
      </c>
      <c r="J131" s="2" t="n">
        <f aca="false">IF(COUNTIFS($G$2:G131,G131,$A$2:A131,A131)=1,1,0)</f>
        <v>1</v>
      </c>
    </row>
    <row r="132" customFormat="false" ht="15" hidden="false" customHeight="false" outlineLevel="0" collapsed="false">
      <c r="A132" s="2" t="s">
        <v>10333</v>
      </c>
      <c r="B132" s="2" t="s">
        <v>10334</v>
      </c>
      <c r="C132" s="2" t="s">
        <v>10337</v>
      </c>
      <c r="D132" s="2" t="s">
        <v>10338</v>
      </c>
      <c r="E132" s="2" t="s">
        <v>10050</v>
      </c>
      <c r="F132" s="2"/>
      <c r="G132" s="2" t="str">
        <f aca="false">LEFT(C132,3)</f>
        <v>334</v>
      </c>
      <c r="H132" s="16" t="n">
        <v>0.34</v>
      </c>
      <c r="I132" s="2" t="s">
        <v>10030</v>
      </c>
      <c r="J132" s="2" t="n">
        <f aca="false">IF(COUNTIFS($G$2:G132,G132,$A$2:A132,A132)=1,1,0)</f>
        <v>1</v>
      </c>
    </row>
    <row r="133" customFormat="false" ht="15" hidden="false" customHeight="false" outlineLevel="0" collapsed="false">
      <c r="A133" s="2" t="s">
        <v>10339</v>
      </c>
      <c r="B133" s="2" t="s">
        <v>10340</v>
      </c>
      <c r="C133" s="2" t="s">
        <v>10335</v>
      </c>
      <c r="D133" s="2" t="s">
        <v>10336</v>
      </c>
      <c r="E133" s="2" t="s">
        <v>10050</v>
      </c>
      <c r="F133" s="2"/>
      <c r="G133" s="2" t="str">
        <f aca="false">LEFT(C133,3)</f>
        <v>235</v>
      </c>
      <c r="H133" s="16" t="n">
        <v>0.35</v>
      </c>
      <c r="I133" s="2" t="s">
        <v>10030</v>
      </c>
      <c r="J133" s="2" t="n">
        <f aca="false">IF(COUNTIFS($G$2:G133,G133,$A$2:A133,A133)=1,1,0)</f>
        <v>1</v>
      </c>
    </row>
    <row r="134" customFormat="false" ht="15" hidden="false" customHeight="false" outlineLevel="0" collapsed="false">
      <c r="A134" s="2" t="s">
        <v>10341</v>
      </c>
      <c r="B134" s="2" t="s">
        <v>10342</v>
      </c>
      <c r="C134" s="2" t="s">
        <v>10335</v>
      </c>
      <c r="D134" s="2" t="s">
        <v>10336</v>
      </c>
      <c r="E134" s="2" t="s">
        <v>10050</v>
      </c>
      <c r="F134" s="2"/>
      <c r="G134" s="2" t="str">
        <f aca="false">LEFT(C134,3)</f>
        <v>235</v>
      </c>
      <c r="H134" s="16" t="n">
        <v>0.35</v>
      </c>
      <c r="I134" s="2" t="s">
        <v>10030</v>
      </c>
      <c r="J134" s="2" t="n">
        <f aca="false">IF(COUNTIFS($G$2:G134,G134,$A$2:A134,A134)=1,1,0)</f>
        <v>1</v>
      </c>
    </row>
    <row r="135" customFormat="false" ht="15" hidden="false" customHeight="false" outlineLevel="0" collapsed="false">
      <c r="A135" s="2" t="s">
        <v>10341</v>
      </c>
      <c r="B135" s="2" t="s">
        <v>10342</v>
      </c>
      <c r="C135" s="2" t="s">
        <v>10337</v>
      </c>
      <c r="D135" s="2" t="s">
        <v>10338</v>
      </c>
      <c r="E135" s="2" t="s">
        <v>10050</v>
      </c>
      <c r="F135" s="2"/>
      <c r="G135" s="2" t="str">
        <f aca="false">LEFT(C135,3)</f>
        <v>334</v>
      </c>
      <c r="H135" s="16" t="n">
        <v>0.35</v>
      </c>
      <c r="I135" s="2" t="s">
        <v>10030</v>
      </c>
      <c r="J135" s="2" t="n">
        <f aca="false">IF(COUNTIFS($G$2:G135,G135,$A$2:A135,A135)=1,1,0)</f>
        <v>1</v>
      </c>
    </row>
    <row r="136" customFormat="false" ht="15" hidden="false" customHeight="false" outlineLevel="0" collapsed="false">
      <c r="A136" s="2" t="s">
        <v>10343</v>
      </c>
      <c r="B136" s="2" t="s">
        <v>10344</v>
      </c>
      <c r="C136" s="2" t="s">
        <v>10335</v>
      </c>
      <c r="D136" s="2" t="s">
        <v>10336</v>
      </c>
      <c r="E136" s="2" t="s">
        <v>10050</v>
      </c>
      <c r="F136" s="2"/>
      <c r="G136" s="2" t="str">
        <f aca="false">LEFT(C136,3)</f>
        <v>235</v>
      </c>
      <c r="H136" s="16" t="n">
        <v>0.47</v>
      </c>
      <c r="I136" s="2" t="s">
        <v>10071</v>
      </c>
      <c r="J136" s="2" t="n">
        <f aca="false">IF(COUNTIFS($G$2:G136,G136,$A$2:A136,A136)=1,1,0)</f>
        <v>1</v>
      </c>
    </row>
    <row r="137" customFormat="false" ht="15" hidden="false" customHeight="false" outlineLevel="0" collapsed="false">
      <c r="A137" s="2" t="s">
        <v>10343</v>
      </c>
      <c r="B137" s="2" t="s">
        <v>10344</v>
      </c>
      <c r="C137" s="2" t="s">
        <v>10337</v>
      </c>
      <c r="D137" s="2" t="s">
        <v>10338</v>
      </c>
      <c r="E137" s="2" t="s">
        <v>10050</v>
      </c>
      <c r="F137" s="2"/>
      <c r="G137" s="2" t="str">
        <f aca="false">LEFT(C137,3)</f>
        <v>334</v>
      </c>
      <c r="H137" s="16" t="n">
        <v>0.47</v>
      </c>
      <c r="I137" s="2" t="s">
        <v>10071</v>
      </c>
      <c r="J137" s="2" t="n">
        <f aca="false">IF(COUNTIFS($G$2:G137,G137,$A$2:A137,A137)=1,1,0)</f>
        <v>1</v>
      </c>
    </row>
    <row r="138" customFormat="false" ht="15" hidden="false" customHeight="false" outlineLevel="0" collapsed="false">
      <c r="A138" s="2" t="s">
        <v>10335</v>
      </c>
      <c r="B138" s="2" t="s">
        <v>10345</v>
      </c>
      <c r="C138" s="2" t="s">
        <v>10335</v>
      </c>
      <c r="D138" s="2" t="s">
        <v>10336</v>
      </c>
      <c r="E138" s="2" t="s">
        <v>10050</v>
      </c>
      <c r="F138" s="2"/>
      <c r="G138" s="2" t="str">
        <f aca="false">LEFT(C138,3)</f>
        <v>235</v>
      </c>
      <c r="H138" s="16" t="n">
        <v>0.33</v>
      </c>
      <c r="I138" s="2" t="s">
        <v>10030</v>
      </c>
      <c r="J138" s="2" t="n">
        <f aca="false">IF(COUNTIFS($G$2:G138,G138,$A$2:A138,A138)=1,1,0)</f>
        <v>1</v>
      </c>
    </row>
    <row r="139" customFormat="false" ht="15" hidden="false" customHeight="false" outlineLevel="0" collapsed="false">
      <c r="A139" s="2" t="s">
        <v>10335</v>
      </c>
      <c r="B139" s="2" t="s">
        <v>10345</v>
      </c>
      <c r="C139" s="2" t="s">
        <v>10337</v>
      </c>
      <c r="D139" s="2" t="s">
        <v>10338</v>
      </c>
      <c r="E139" s="2" t="s">
        <v>10050</v>
      </c>
      <c r="F139" s="2"/>
      <c r="G139" s="2" t="str">
        <f aca="false">LEFT(C139,3)</f>
        <v>334</v>
      </c>
      <c r="H139" s="16" t="n">
        <v>0.33</v>
      </c>
      <c r="I139" s="2" t="s">
        <v>10030</v>
      </c>
      <c r="J139" s="2" t="n">
        <f aca="false">IF(COUNTIFS($G$2:G139,G139,$A$2:A139,A139)=1,1,0)</f>
        <v>1</v>
      </c>
    </row>
    <row r="140" customFormat="false" ht="15" hidden="false" customHeight="false" outlineLevel="0" collapsed="false">
      <c r="A140" s="2" t="s">
        <v>10346</v>
      </c>
      <c r="B140" s="2" t="s">
        <v>10347</v>
      </c>
      <c r="C140" s="2" t="s">
        <v>10346</v>
      </c>
      <c r="D140" s="2" t="s">
        <v>10347</v>
      </c>
      <c r="E140" s="2" t="s">
        <v>10050</v>
      </c>
      <c r="F140" s="2"/>
      <c r="G140" s="2" t="str">
        <f aca="false">LEFT(C140,3)</f>
        <v>241</v>
      </c>
      <c r="H140" s="16" t="n">
        <v>0.51</v>
      </c>
      <c r="I140" s="2" t="s">
        <v>10176</v>
      </c>
      <c r="J140" s="2" t="n">
        <f aca="false">IF(COUNTIFS($G$2:G140,G140,$A$2:A140,A140)=1,1,0)</f>
        <v>1</v>
      </c>
    </row>
    <row r="141" customFormat="false" ht="15" hidden="false" customHeight="false" outlineLevel="0" collapsed="false">
      <c r="A141" s="2" t="s">
        <v>10279</v>
      </c>
      <c r="B141" s="2" t="s">
        <v>10348</v>
      </c>
      <c r="C141" s="2" t="s">
        <v>10346</v>
      </c>
      <c r="D141" s="2" t="s">
        <v>10347</v>
      </c>
      <c r="E141" s="2" t="s">
        <v>10050</v>
      </c>
      <c r="F141" s="2"/>
      <c r="G141" s="2" t="str">
        <f aca="false">LEFT(C141,3)</f>
        <v>241</v>
      </c>
      <c r="H141" s="16" t="n">
        <v>0.57</v>
      </c>
      <c r="I141" s="2" t="s">
        <v>10176</v>
      </c>
      <c r="J141" s="2" t="n">
        <f aca="false">IF(COUNTIFS($G$2:G141,G141,$A$2:A141,A141)=1,1,0)</f>
        <v>1</v>
      </c>
    </row>
    <row r="142" customFormat="false" ht="15" hidden="false" customHeight="false" outlineLevel="0" collapsed="false">
      <c r="A142" s="2" t="s">
        <v>10279</v>
      </c>
      <c r="B142" s="2" t="s">
        <v>10348</v>
      </c>
      <c r="C142" s="2" t="s">
        <v>10349</v>
      </c>
      <c r="D142" s="2" t="s">
        <v>10350</v>
      </c>
      <c r="E142" s="2" t="s">
        <v>10050</v>
      </c>
      <c r="F142" s="2"/>
      <c r="G142" s="2" t="str">
        <f aca="false">LEFT(C142,3)</f>
        <v>241</v>
      </c>
      <c r="H142" s="16" t="n">
        <v>0.57</v>
      </c>
      <c r="I142" s="2" t="s">
        <v>10176</v>
      </c>
      <c r="J142" s="2" t="n">
        <f aca="false">IF(COUNTIFS($G$2:G142,G142,$A$2:A142,A142)=1,1,0)</f>
        <v>0</v>
      </c>
    </row>
    <row r="143" customFormat="false" ht="15" hidden="false" customHeight="false" outlineLevel="0" collapsed="false">
      <c r="A143" s="2" t="s">
        <v>10279</v>
      </c>
      <c r="B143" s="2" t="s">
        <v>10348</v>
      </c>
      <c r="C143" s="2" t="s">
        <v>10351</v>
      </c>
      <c r="D143" s="2" t="s">
        <v>10352</v>
      </c>
      <c r="E143" s="2" t="s">
        <v>10050</v>
      </c>
      <c r="F143" s="2"/>
      <c r="G143" s="2" t="str">
        <f aca="false">LEFT(C143,3)</f>
        <v>341</v>
      </c>
      <c r="H143" s="16" t="n">
        <v>0.57</v>
      </c>
      <c r="I143" s="2" t="s">
        <v>10176</v>
      </c>
      <c r="J143" s="2" t="n">
        <f aca="false">IF(COUNTIFS($G$2:G143,G143,$A$2:A143,A143)=1,1,0)</f>
        <v>1</v>
      </c>
    </row>
    <row r="144" customFormat="false" ht="15" hidden="false" customHeight="false" outlineLevel="0" collapsed="false">
      <c r="A144" s="2" t="s">
        <v>10353</v>
      </c>
      <c r="B144" s="2" t="s">
        <v>10354</v>
      </c>
      <c r="C144" s="2" t="s">
        <v>10349</v>
      </c>
      <c r="D144" s="2" t="s">
        <v>10350</v>
      </c>
      <c r="E144" s="2" t="s">
        <v>10050</v>
      </c>
      <c r="F144" s="2"/>
      <c r="G144" s="2" t="str">
        <f aca="false">LEFT(C144,3)</f>
        <v>241</v>
      </c>
      <c r="H144" s="16" t="n">
        <v>0.62</v>
      </c>
      <c r="I144" s="2" t="s">
        <v>10355</v>
      </c>
      <c r="J144" s="2" t="n">
        <f aca="false">IF(COUNTIFS($G$2:G144,G144,$A$2:A144,A144)=1,1,0)</f>
        <v>1</v>
      </c>
    </row>
    <row r="145" customFormat="false" ht="15" hidden="false" customHeight="false" outlineLevel="0" collapsed="false">
      <c r="A145" s="2" t="s">
        <v>10356</v>
      </c>
      <c r="B145" s="2" t="s">
        <v>10357</v>
      </c>
      <c r="C145" s="2" t="s">
        <v>10349</v>
      </c>
      <c r="D145" s="2" t="s">
        <v>10350</v>
      </c>
      <c r="E145" s="2" t="s">
        <v>10050</v>
      </c>
      <c r="F145" s="2"/>
      <c r="G145" s="2" t="str">
        <f aca="false">LEFT(C145,3)</f>
        <v>241</v>
      </c>
      <c r="H145" s="16" t="n">
        <v>0.46</v>
      </c>
      <c r="I145" s="2" t="s">
        <v>10071</v>
      </c>
      <c r="J145" s="2" t="n">
        <f aca="false">IF(COUNTIFS($G$2:G145,G145,$A$2:A145,A145)=1,1,0)</f>
        <v>1</v>
      </c>
    </row>
    <row r="146" customFormat="false" ht="15" hidden="false" customHeight="false" outlineLevel="0" collapsed="false">
      <c r="A146" s="2" t="s">
        <v>10358</v>
      </c>
      <c r="B146" s="2" t="s">
        <v>10359</v>
      </c>
      <c r="C146" s="2" t="s">
        <v>10349</v>
      </c>
      <c r="D146" s="2" t="s">
        <v>10350</v>
      </c>
      <c r="E146" s="2" t="s">
        <v>10050</v>
      </c>
      <c r="F146" s="2"/>
      <c r="G146" s="2" t="str">
        <f aca="false">LEFT(C146,3)</f>
        <v>241</v>
      </c>
      <c r="H146" s="16" t="n">
        <v>0.42</v>
      </c>
      <c r="I146" s="2" t="s">
        <v>10030</v>
      </c>
      <c r="J146" s="2" t="n">
        <f aca="false">IF(COUNTIFS($G$2:G146,G146,$A$2:A146,A146)=1,1,0)</f>
        <v>1</v>
      </c>
    </row>
    <row r="147" customFormat="false" ht="15" hidden="false" customHeight="false" outlineLevel="0" collapsed="false">
      <c r="A147" s="2" t="s">
        <v>10360</v>
      </c>
      <c r="B147" s="2" t="s">
        <v>10361</v>
      </c>
      <c r="C147" s="2" t="s">
        <v>10279</v>
      </c>
      <c r="D147" s="2" t="s">
        <v>10280</v>
      </c>
      <c r="E147" s="2" t="s">
        <v>10050</v>
      </c>
      <c r="F147" s="2"/>
      <c r="G147" s="2" t="str">
        <f aca="false">LEFT(C147,3)</f>
        <v>241</v>
      </c>
      <c r="H147" s="16" t="n">
        <v>0.45</v>
      </c>
      <c r="I147" s="2" t="s">
        <v>10071</v>
      </c>
      <c r="J147" s="2" t="n">
        <f aca="false">IF(COUNTIFS($G$2:G147,G147,$A$2:A147,A147)=1,1,0)</f>
        <v>1</v>
      </c>
    </row>
    <row r="148" customFormat="false" ht="15" hidden="false" customHeight="false" outlineLevel="0" collapsed="false">
      <c r="A148" s="2" t="s">
        <v>10362</v>
      </c>
      <c r="B148" s="2" t="s">
        <v>10363</v>
      </c>
      <c r="C148" s="2" t="s">
        <v>10279</v>
      </c>
      <c r="D148" s="2" t="s">
        <v>10280</v>
      </c>
      <c r="E148" s="2" t="s">
        <v>10050</v>
      </c>
      <c r="F148" s="2"/>
      <c r="G148" s="2" t="str">
        <f aca="false">LEFT(C148,3)</f>
        <v>241</v>
      </c>
      <c r="H148" s="16" t="n">
        <v>0.41</v>
      </c>
      <c r="I148" s="2" t="s">
        <v>10071</v>
      </c>
      <c r="J148" s="2" t="n">
        <f aca="false">IF(COUNTIFS($G$2:G148,G148,$A$2:A148,A148)=1,1,0)</f>
        <v>1</v>
      </c>
    </row>
    <row r="149" customFormat="false" ht="15" hidden="false" customHeight="false" outlineLevel="0" collapsed="false">
      <c r="A149" s="2" t="s">
        <v>10364</v>
      </c>
      <c r="B149" s="2" t="s">
        <v>10365</v>
      </c>
      <c r="C149" s="2" t="s">
        <v>10349</v>
      </c>
      <c r="D149" s="2" t="s">
        <v>10350</v>
      </c>
      <c r="E149" s="2" t="s">
        <v>10050</v>
      </c>
      <c r="F149" s="2"/>
      <c r="G149" s="2" t="str">
        <f aca="false">LEFT(C149,3)</f>
        <v>241</v>
      </c>
      <c r="H149" s="16" t="n">
        <v>0.55</v>
      </c>
      <c r="I149" s="2" t="s">
        <v>10176</v>
      </c>
      <c r="J149" s="2" t="n">
        <f aca="false">IF(COUNTIFS($G$2:G149,G149,$A$2:A149,A149)=1,1,0)</f>
        <v>1</v>
      </c>
    </row>
    <row r="150" customFormat="false" ht="15" hidden="false" customHeight="false" outlineLevel="0" collapsed="false">
      <c r="A150" s="2" t="s">
        <v>10366</v>
      </c>
      <c r="B150" s="2" t="s">
        <v>10367</v>
      </c>
      <c r="C150" s="2" t="s">
        <v>10349</v>
      </c>
      <c r="D150" s="2" t="s">
        <v>10350</v>
      </c>
      <c r="E150" s="2" t="s">
        <v>10050</v>
      </c>
      <c r="F150" s="2"/>
      <c r="G150" s="2" t="str">
        <f aca="false">LEFT(C150,3)</f>
        <v>241</v>
      </c>
      <c r="H150" s="16" t="n">
        <v>0.43</v>
      </c>
      <c r="I150" s="2" t="s">
        <v>10071</v>
      </c>
      <c r="J150" s="2" t="n">
        <f aca="false">IF(COUNTIFS($G$2:G150,G150,$A$2:A150,A150)=1,1,0)</f>
        <v>1</v>
      </c>
    </row>
    <row r="151" customFormat="false" ht="15" hidden="false" customHeight="false" outlineLevel="0" collapsed="false">
      <c r="A151" s="2" t="s">
        <v>10368</v>
      </c>
      <c r="B151" s="2" t="s">
        <v>10369</v>
      </c>
      <c r="C151" s="2" t="s">
        <v>10370</v>
      </c>
      <c r="D151" s="2" t="s">
        <v>10371</v>
      </c>
      <c r="E151" s="2" t="s">
        <v>10050</v>
      </c>
      <c r="F151" s="2"/>
      <c r="G151" s="2" t="str">
        <f aca="false">LEFT(C151,3)</f>
        <v>341</v>
      </c>
      <c r="H151" s="16" t="n">
        <v>0.5</v>
      </c>
      <c r="I151" s="2" t="s">
        <v>10176</v>
      </c>
      <c r="J151" s="2" t="n">
        <f aca="false">IF(COUNTIFS($G$2:G151,G151,$A$2:A151,A151)=1,1,0)</f>
        <v>1</v>
      </c>
    </row>
    <row r="152" customFormat="false" ht="15" hidden="false" customHeight="false" outlineLevel="0" collapsed="false">
      <c r="A152" s="2" t="s">
        <v>10372</v>
      </c>
      <c r="B152" s="2" t="s">
        <v>10373</v>
      </c>
      <c r="C152" s="2" t="s">
        <v>10370</v>
      </c>
      <c r="D152" s="2" t="s">
        <v>10371</v>
      </c>
      <c r="E152" s="2" t="s">
        <v>10050</v>
      </c>
      <c r="F152" s="2"/>
      <c r="G152" s="2" t="str">
        <f aca="false">LEFT(C152,3)</f>
        <v>341</v>
      </c>
      <c r="H152" s="16" t="n">
        <v>0.51</v>
      </c>
      <c r="I152" s="2" t="s">
        <v>10176</v>
      </c>
      <c r="J152" s="2" t="n">
        <f aca="false">IF(COUNTIFS($G$2:G152,G152,$A$2:A152,A152)=1,1,0)</f>
        <v>1</v>
      </c>
    </row>
    <row r="153" customFormat="false" ht="15" hidden="false" customHeight="false" outlineLevel="0" collapsed="false">
      <c r="A153" s="2" t="s">
        <v>10374</v>
      </c>
      <c r="B153" s="2" t="s">
        <v>10375</v>
      </c>
      <c r="C153" s="2" t="s">
        <v>10187</v>
      </c>
      <c r="D153" s="2" t="s">
        <v>10376</v>
      </c>
      <c r="E153" s="2" t="s">
        <v>10050</v>
      </c>
      <c r="F153" s="2"/>
      <c r="G153" s="2" t="str">
        <f aca="false">LEFT(C153,3)</f>
        <v>213</v>
      </c>
      <c r="H153" s="16" t="n">
        <v>0.49</v>
      </c>
      <c r="I153" s="2" t="s">
        <v>10071</v>
      </c>
      <c r="J153" s="2" t="n">
        <f aca="false">IF(COUNTIFS($G$2:G153,G153,$A$2:A153,A153)=1,1,0)</f>
        <v>1</v>
      </c>
    </row>
    <row r="154" customFormat="false" ht="15" hidden="false" customHeight="false" outlineLevel="0" collapsed="false">
      <c r="A154" s="2" t="s">
        <v>10377</v>
      </c>
      <c r="B154" s="2" t="s">
        <v>10378</v>
      </c>
      <c r="C154" s="2" t="s">
        <v>10187</v>
      </c>
      <c r="D154" s="2" t="s">
        <v>10376</v>
      </c>
      <c r="E154" s="2" t="s">
        <v>10050</v>
      </c>
      <c r="F154" s="2"/>
      <c r="G154" s="2" t="str">
        <f aca="false">LEFT(C154,3)</f>
        <v>213</v>
      </c>
      <c r="H154" s="16" t="n">
        <v>0.53</v>
      </c>
      <c r="I154" s="2" t="s">
        <v>10176</v>
      </c>
      <c r="J154" s="2" t="n">
        <f aca="false">IF(COUNTIFS($G$2:G154,G154,$A$2:A154,A154)=1,1,0)</f>
        <v>1</v>
      </c>
    </row>
    <row r="155" customFormat="false" ht="15" hidden="false" customHeight="false" outlineLevel="0" collapsed="false">
      <c r="A155" s="2" t="s">
        <v>10379</v>
      </c>
      <c r="B155" s="2" t="s">
        <v>10380</v>
      </c>
      <c r="C155" s="2" t="s">
        <v>10187</v>
      </c>
      <c r="D155" s="2" t="s">
        <v>10376</v>
      </c>
      <c r="E155" s="2" t="s">
        <v>10050</v>
      </c>
      <c r="F155" s="2"/>
      <c r="G155" s="2" t="str">
        <f aca="false">LEFT(C155,3)</f>
        <v>213</v>
      </c>
      <c r="H155" s="16" t="n">
        <v>0.6</v>
      </c>
      <c r="I155" s="2" t="s">
        <v>10355</v>
      </c>
      <c r="J155" s="2" t="n">
        <f aca="false">IF(COUNTIFS($G$2:G155,G155,$A$2:A155,A155)=1,1,0)</f>
        <v>1</v>
      </c>
    </row>
    <row r="156" customFormat="false" ht="15" hidden="false" customHeight="false" outlineLevel="0" collapsed="false">
      <c r="A156" s="2" t="s">
        <v>10379</v>
      </c>
      <c r="B156" s="2" t="s">
        <v>10380</v>
      </c>
      <c r="C156" s="2" t="s">
        <v>10194</v>
      </c>
      <c r="D156" s="2" t="s">
        <v>10381</v>
      </c>
      <c r="E156" s="2" t="s">
        <v>10050</v>
      </c>
      <c r="F156" s="2"/>
      <c r="G156" s="2" t="str">
        <f aca="false">LEFT(C156,3)</f>
        <v>213</v>
      </c>
      <c r="H156" s="16" t="n">
        <v>0.6</v>
      </c>
      <c r="I156" s="2" t="s">
        <v>10355</v>
      </c>
      <c r="J156" s="2" t="n">
        <f aca="false">IF(COUNTIFS($G$2:G156,G156,$A$2:A156,A156)=1,1,0)</f>
        <v>0</v>
      </c>
    </row>
    <row r="157" customFormat="false" ht="15" hidden="false" customHeight="false" outlineLevel="0" collapsed="false">
      <c r="A157" s="2" t="s">
        <v>10379</v>
      </c>
      <c r="B157" s="2" t="s">
        <v>10380</v>
      </c>
      <c r="C157" s="2" t="s">
        <v>10382</v>
      </c>
      <c r="D157" s="2" t="s">
        <v>10383</v>
      </c>
      <c r="E157" s="2" t="s">
        <v>10050</v>
      </c>
      <c r="F157" s="2"/>
      <c r="G157" s="2" t="str">
        <f aca="false">LEFT(C157,3)</f>
        <v>213</v>
      </c>
      <c r="H157" s="16" t="n">
        <v>0.6</v>
      </c>
      <c r="I157" s="2" t="s">
        <v>10355</v>
      </c>
      <c r="J157" s="2" t="n">
        <f aca="false">IF(COUNTIFS($G$2:G157,G157,$A$2:A157,A157)=1,1,0)</f>
        <v>0</v>
      </c>
    </row>
    <row r="158" customFormat="false" ht="15" hidden="false" customHeight="false" outlineLevel="0" collapsed="false">
      <c r="A158" s="2" t="s">
        <v>10384</v>
      </c>
      <c r="B158" s="2" t="s">
        <v>10385</v>
      </c>
      <c r="C158" s="2" t="s">
        <v>10194</v>
      </c>
      <c r="D158" s="2" t="s">
        <v>10381</v>
      </c>
      <c r="E158" s="2" t="s">
        <v>10050</v>
      </c>
      <c r="F158" s="2"/>
      <c r="G158" s="2" t="str">
        <f aca="false">LEFT(C158,3)</f>
        <v>213</v>
      </c>
      <c r="H158" s="16" t="n">
        <v>0.57</v>
      </c>
      <c r="I158" s="2" t="s">
        <v>10176</v>
      </c>
      <c r="J158" s="2" t="n">
        <f aca="false">IF(COUNTIFS($G$2:G158,G158,$A$2:A158,A158)=1,1,0)</f>
        <v>1</v>
      </c>
    </row>
    <row r="159" customFormat="false" ht="15" hidden="false" customHeight="false" outlineLevel="0" collapsed="false">
      <c r="A159" s="2" t="s">
        <v>10386</v>
      </c>
      <c r="B159" s="2" t="s">
        <v>10387</v>
      </c>
      <c r="C159" s="2" t="s">
        <v>10187</v>
      </c>
      <c r="D159" s="2" t="s">
        <v>10376</v>
      </c>
      <c r="E159" s="2" t="s">
        <v>10050</v>
      </c>
      <c r="F159" s="2"/>
      <c r="G159" s="2" t="str">
        <f aca="false">LEFT(C159,3)</f>
        <v>213</v>
      </c>
      <c r="H159" s="16" t="n">
        <v>0.55</v>
      </c>
      <c r="I159" s="2" t="s">
        <v>10176</v>
      </c>
      <c r="J159" s="2" t="n">
        <f aca="false">IF(COUNTIFS($G$2:G159,G159,$A$2:A159,A159)=1,1,0)</f>
        <v>1</v>
      </c>
    </row>
    <row r="160" customFormat="false" ht="15" hidden="false" customHeight="false" outlineLevel="0" collapsed="false">
      <c r="A160" s="2" t="s">
        <v>10386</v>
      </c>
      <c r="B160" s="2" t="s">
        <v>10387</v>
      </c>
      <c r="C160" s="2" t="s">
        <v>10194</v>
      </c>
      <c r="D160" s="2" t="s">
        <v>10381</v>
      </c>
      <c r="E160" s="2" t="s">
        <v>10050</v>
      </c>
      <c r="F160" s="2"/>
      <c r="G160" s="2" t="str">
        <f aca="false">LEFT(C160,3)</f>
        <v>213</v>
      </c>
      <c r="H160" s="16" t="n">
        <v>0.55</v>
      </c>
      <c r="I160" s="2" t="s">
        <v>10176</v>
      </c>
      <c r="J160" s="2" t="n">
        <f aca="false">IF(COUNTIFS($G$2:G160,G160,$A$2:A160,A160)=1,1,0)</f>
        <v>0</v>
      </c>
    </row>
    <row r="161" customFormat="false" ht="15" hidden="false" customHeight="false" outlineLevel="0" collapsed="false">
      <c r="A161" s="2" t="s">
        <v>10386</v>
      </c>
      <c r="B161" s="2" t="s">
        <v>10387</v>
      </c>
      <c r="C161" s="2" t="s">
        <v>10382</v>
      </c>
      <c r="D161" s="2" t="s">
        <v>10383</v>
      </c>
      <c r="E161" s="2" t="s">
        <v>10050</v>
      </c>
      <c r="F161" s="2"/>
      <c r="G161" s="2" t="str">
        <f aca="false">LEFT(C161,3)</f>
        <v>213</v>
      </c>
      <c r="H161" s="16" t="n">
        <v>0.55</v>
      </c>
      <c r="I161" s="2" t="s">
        <v>10176</v>
      </c>
      <c r="J161" s="2" t="n">
        <f aca="false">IF(COUNTIFS($G$2:G161,G161,$A$2:A161,A161)=1,1,0)</f>
        <v>0</v>
      </c>
    </row>
    <row r="162" customFormat="false" ht="15" hidden="false" customHeight="false" outlineLevel="0" collapsed="false">
      <c r="A162" s="2" t="s">
        <v>10388</v>
      </c>
      <c r="B162" s="2" t="s">
        <v>10389</v>
      </c>
      <c r="C162" s="2" t="s">
        <v>10187</v>
      </c>
      <c r="D162" s="2" t="s">
        <v>10376</v>
      </c>
      <c r="E162" s="2" t="s">
        <v>10050</v>
      </c>
      <c r="F162" s="2"/>
      <c r="G162" s="2" t="str">
        <f aca="false">LEFT(C162,3)</f>
        <v>213</v>
      </c>
      <c r="H162" s="16" t="n">
        <v>0.57</v>
      </c>
      <c r="I162" s="2" t="s">
        <v>10176</v>
      </c>
      <c r="J162" s="2" t="n">
        <f aca="false">IF(COUNTIFS($G$2:G162,G162,$A$2:A162,A162)=1,1,0)</f>
        <v>1</v>
      </c>
    </row>
    <row r="163" customFormat="false" ht="15" hidden="false" customHeight="false" outlineLevel="0" collapsed="false">
      <c r="A163" s="2" t="s">
        <v>10390</v>
      </c>
      <c r="B163" s="2" t="s">
        <v>10391</v>
      </c>
      <c r="C163" s="2" t="s">
        <v>10187</v>
      </c>
      <c r="D163" s="2" t="s">
        <v>10376</v>
      </c>
      <c r="E163" s="2" t="s">
        <v>10050</v>
      </c>
      <c r="F163" s="2"/>
      <c r="G163" s="2" t="str">
        <f aca="false">LEFT(C163,3)</f>
        <v>213</v>
      </c>
      <c r="H163" s="16" t="n">
        <v>0.57</v>
      </c>
      <c r="I163" s="2" t="s">
        <v>10176</v>
      </c>
      <c r="J163" s="2" t="n">
        <f aca="false">IF(COUNTIFS($G$2:G163,G163,$A$2:A163,A163)=1,1,0)</f>
        <v>1</v>
      </c>
    </row>
    <row r="164" customFormat="false" ht="15" hidden="false" customHeight="false" outlineLevel="0" collapsed="false">
      <c r="A164" s="2" t="s">
        <v>10392</v>
      </c>
      <c r="B164" s="2" t="s">
        <v>10393</v>
      </c>
      <c r="C164" s="2" t="s">
        <v>10187</v>
      </c>
      <c r="D164" s="2" t="s">
        <v>10376</v>
      </c>
      <c r="E164" s="2" t="s">
        <v>10050</v>
      </c>
      <c r="F164" s="2"/>
      <c r="G164" s="2" t="str">
        <f aca="false">LEFT(C164,3)</f>
        <v>213</v>
      </c>
      <c r="H164" s="16" t="n">
        <v>0.52</v>
      </c>
      <c r="I164" s="2" t="s">
        <v>10176</v>
      </c>
      <c r="J164" s="2" t="n">
        <f aca="false">IF(COUNTIFS($G$2:G164,G164,$A$2:A164,A164)=1,1,0)</f>
        <v>1</v>
      </c>
    </row>
    <row r="165" customFormat="false" ht="15" hidden="false" customHeight="false" outlineLevel="0" collapsed="false">
      <c r="A165" s="2" t="s">
        <v>10394</v>
      </c>
      <c r="B165" s="2" t="s">
        <v>10395</v>
      </c>
      <c r="C165" s="2" t="s">
        <v>10187</v>
      </c>
      <c r="D165" s="2" t="s">
        <v>10376</v>
      </c>
      <c r="E165" s="2" t="s">
        <v>10050</v>
      </c>
      <c r="F165" s="2"/>
      <c r="G165" s="2" t="str">
        <f aca="false">LEFT(C165,3)</f>
        <v>213</v>
      </c>
      <c r="H165" s="16" t="n">
        <v>0.49</v>
      </c>
      <c r="I165" s="2" t="s">
        <v>10071</v>
      </c>
      <c r="J165" s="2" t="n">
        <f aca="false">IF(COUNTIFS($G$2:G165,G165,$A$2:A165,A165)=1,1,0)</f>
        <v>1</v>
      </c>
    </row>
    <row r="166" customFormat="false" ht="15" hidden="false" customHeight="false" outlineLevel="0" collapsed="false">
      <c r="A166" s="2" t="s">
        <v>10394</v>
      </c>
      <c r="B166" s="2" t="s">
        <v>10395</v>
      </c>
      <c r="C166" s="2" t="s">
        <v>10194</v>
      </c>
      <c r="D166" s="2" t="s">
        <v>10381</v>
      </c>
      <c r="E166" s="2" t="s">
        <v>10050</v>
      </c>
      <c r="F166" s="2"/>
      <c r="G166" s="2" t="str">
        <f aca="false">LEFT(C166,3)</f>
        <v>213</v>
      </c>
      <c r="H166" s="16" t="n">
        <v>0.49</v>
      </c>
      <c r="I166" s="2" t="s">
        <v>10071</v>
      </c>
      <c r="J166" s="2" t="n">
        <f aca="false">IF(COUNTIFS($G$2:G166,G166,$A$2:A166,A166)=1,1,0)</f>
        <v>0</v>
      </c>
    </row>
    <row r="167" customFormat="false" ht="15" hidden="false" customHeight="false" outlineLevel="0" collapsed="false">
      <c r="A167" s="2" t="s">
        <v>10394</v>
      </c>
      <c r="B167" s="2" t="s">
        <v>10395</v>
      </c>
      <c r="C167" s="2" t="s">
        <v>10382</v>
      </c>
      <c r="D167" s="2" t="s">
        <v>10383</v>
      </c>
      <c r="E167" s="2" t="s">
        <v>10050</v>
      </c>
      <c r="F167" s="2"/>
      <c r="G167" s="2" t="str">
        <f aca="false">LEFT(C167,3)</f>
        <v>213</v>
      </c>
      <c r="H167" s="16" t="n">
        <v>0.49</v>
      </c>
      <c r="I167" s="2" t="s">
        <v>10071</v>
      </c>
      <c r="J167" s="2" t="n">
        <f aca="false">IF(COUNTIFS($G$2:G167,G167,$A$2:A167,A167)=1,1,0)</f>
        <v>0</v>
      </c>
    </row>
    <row r="168" customFormat="false" ht="15" hidden="false" customHeight="false" outlineLevel="0" collapsed="false">
      <c r="A168" s="2" t="s">
        <v>10396</v>
      </c>
      <c r="B168" s="2" t="s">
        <v>10397</v>
      </c>
      <c r="C168" s="2" t="s">
        <v>10356</v>
      </c>
      <c r="D168" s="2" t="s">
        <v>10397</v>
      </c>
      <c r="E168" s="2"/>
      <c r="F168" s="2"/>
      <c r="G168" s="2" t="str">
        <f aca="false">LEFT(C168,3)</f>
        <v>242</v>
      </c>
      <c r="H168" s="16" t="n">
        <v>0.36</v>
      </c>
      <c r="I168" s="2" t="s">
        <v>10030</v>
      </c>
      <c r="J168" s="2" t="n">
        <f aca="false">IF(COUNTIFS($G$2:G168,G168,$A$2:A168,A168)=1,1,0)</f>
        <v>1</v>
      </c>
    </row>
    <row r="169" customFormat="false" ht="15" hidden="false" customHeight="false" outlineLevel="0" collapsed="false">
      <c r="A169" s="2" t="s">
        <v>10398</v>
      </c>
      <c r="B169" s="2" t="s">
        <v>10399</v>
      </c>
      <c r="C169" s="2" t="s">
        <v>10358</v>
      </c>
      <c r="D169" s="2" t="s">
        <v>10399</v>
      </c>
      <c r="E169" s="2"/>
      <c r="F169" s="2"/>
      <c r="G169" s="2" t="str">
        <f aca="false">LEFT(C169,3)</f>
        <v>242</v>
      </c>
      <c r="H169" s="16" t="n">
        <v>0.31</v>
      </c>
      <c r="I169" s="2" t="s">
        <v>10025</v>
      </c>
      <c r="J169" s="2" t="n">
        <f aca="false">IF(COUNTIFS($G$2:G169,G169,$A$2:A169,A169)=1,1,0)</f>
        <v>1</v>
      </c>
    </row>
    <row r="170" customFormat="false" ht="15" hidden="false" customHeight="false" outlineLevel="0" collapsed="false">
      <c r="A170" s="2" t="s">
        <v>10400</v>
      </c>
      <c r="B170" s="2" t="s">
        <v>10401</v>
      </c>
      <c r="C170" s="2" t="s">
        <v>10402</v>
      </c>
      <c r="D170" s="2" t="s">
        <v>10403</v>
      </c>
      <c r="E170" s="2"/>
      <c r="F170" s="2"/>
      <c r="G170" s="2" t="str">
        <f aca="false">LEFT(C170,3)</f>
        <v>242</v>
      </c>
      <c r="H170" s="16" t="n">
        <v>0.37</v>
      </c>
      <c r="I170" s="2" t="s">
        <v>10030</v>
      </c>
      <c r="J170" s="2" t="n">
        <f aca="false">IF(COUNTIFS($G$2:G170,G170,$A$2:A170,A170)=1,1,0)</f>
        <v>1</v>
      </c>
    </row>
    <row r="171" customFormat="false" ht="15" hidden="false" customHeight="false" outlineLevel="0" collapsed="false">
      <c r="A171" s="2" t="s">
        <v>10404</v>
      </c>
      <c r="B171" s="2" t="s">
        <v>10405</v>
      </c>
      <c r="C171" s="2" t="s">
        <v>10364</v>
      </c>
      <c r="D171" s="2" t="s">
        <v>10406</v>
      </c>
      <c r="E171" s="2"/>
      <c r="F171" s="2"/>
      <c r="G171" s="2" t="str">
        <f aca="false">LEFT(C171,3)</f>
        <v>243</v>
      </c>
      <c r="H171" s="16" t="n">
        <v>0.47</v>
      </c>
      <c r="I171" s="2" t="s">
        <v>10071</v>
      </c>
      <c r="J171" s="2" t="n">
        <f aca="false">IF(COUNTIFS($G$2:G171,G171,$A$2:A171,A171)=1,1,0)</f>
        <v>1</v>
      </c>
    </row>
    <row r="172" customFormat="false" ht="15" hidden="false" customHeight="false" outlineLevel="0" collapsed="false">
      <c r="A172" s="2" t="s">
        <v>10407</v>
      </c>
      <c r="B172" s="2" t="s">
        <v>10408</v>
      </c>
      <c r="C172" s="2" t="s">
        <v>10366</v>
      </c>
      <c r="D172" s="2" t="s">
        <v>10409</v>
      </c>
      <c r="E172" s="2"/>
      <c r="F172" s="2"/>
      <c r="G172" s="2" t="str">
        <f aca="false">LEFT(C172,3)</f>
        <v>243</v>
      </c>
      <c r="H172" s="16" t="n">
        <v>0.55</v>
      </c>
      <c r="I172" s="2" t="s">
        <v>10176</v>
      </c>
      <c r="J172" s="2" t="n">
        <f aca="false">IF(COUNTIFS($G$2:G172,G172,$A$2:A172,A172)=1,1,0)</f>
        <v>1</v>
      </c>
    </row>
    <row r="173" customFormat="false" ht="15" hidden="false" customHeight="false" outlineLevel="0" collapsed="false">
      <c r="A173" s="2" t="s">
        <v>10410</v>
      </c>
      <c r="B173" s="2" t="s">
        <v>10411</v>
      </c>
      <c r="C173" s="2" t="s">
        <v>10412</v>
      </c>
      <c r="D173" s="2" t="s">
        <v>10411</v>
      </c>
      <c r="E173" s="2"/>
      <c r="F173" s="2"/>
      <c r="G173" s="2" t="str">
        <f aca="false">LEFT(C173,3)</f>
        <v>244</v>
      </c>
      <c r="H173" s="16" t="n">
        <v>0.55</v>
      </c>
      <c r="I173" s="2" t="s">
        <v>10176</v>
      </c>
      <c r="J173" s="2" t="n">
        <f aca="false">IF(COUNTIFS($G$2:G173,G173,$A$2:A173,A173)=1,1,0)</f>
        <v>1</v>
      </c>
    </row>
    <row r="174" customFormat="false" ht="15" hidden="false" customHeight="false" outlineLevel="0" collapsed="false">
      <c r="A174" s="2" t="s">
        <v>10413</v>
      </c>
      <c r="B174" s="2" t="s">
        <v>10414</v>
      </c>
      <c r="C174" s="2" t="s">
        <v>10415</v>
      </c>
      <c r="D174" s="2" t="s">
        <v>10416</v>
      </c>
      <c r="E174" s="2"/>
      <c r="F174" s="2"/>
      <c r="G174" s="2" t="str">
        <f aca="false">LEFT(C174,3)</f>
        <v>244</v>
      </c>
      <c r="H174" s="16" t="n">
        <v>0.48</v>
      </c>
      <c r="I174" s="2" t="s">
        <v>10071</v>
      </c>
      <c r="J174" s="2" t="n">
        <f aca="false">IF(COUNTIFS($G$2:G174,G174,$A$2:A174,A174)=1,1,0)</f>
        <v>1</v>
      </c>
    </row>
    <row r="175" customFormat="false" ht="15" hidden="false" customHeight="false" outlineLevel="0" collapsed="false">
      <c r="A175" s="2" t="s">
        <v>10417</v>
      </c>
      <c r="B175" s="2" t="s">
        <v>10418</v>
      </c>
      <c r="C175" s="2" t="s">
        <v>10419</v>
      </c>
      <c r="D175" s="2" t="s">
        <v>10420</v>
      </c>
      <c r="E175" s="2"/>
      <c r="F175" s="2"/>
      <c r="G175" s="2" t="str">
        <f aca="false">LEFT(C175,3)</f>
        <v>244</v>
      </c>
      <c r="H175" s="16" t="n">
        <v>0.47</v>
      </c>
      <c r="I175" s="2" t="s">
        <v>10071</v>
      </c>
      <c r="J175" s="2" t="n">
        <f aca="false">IF(COUNTIFS($G$2:G175,G175,$A$2:A175,A175)=1,1,0)</f>
        <v>1</v>
      </c>
    </row>
    <row r="176" customFormat="false" ht="15" hidden="false" customHeight="false" outlineLevel="0" collapsed="false">
      <c r="A176" s="2" t="s">
        <v>10421</v>
      </c>
      <c r="B176" s="2" t="s">
        <v>10422</v>
      </c>
      <c r="C176" s="2" t="s">
        <v>10423</v>
      </c>
      <c r="D176" s="2" t="s">
        <v>10422</v>
      </c>
      <c r="E176" s="2"/>
      <c r="F176" s="2"/>
      <c r="G176" s="2" t="str">
        <f aca="false">LEFT(C176,3)</f>
        <v>244</v>
      </c>
      <c r="H176" s="16" t="n">
        <v>0.39</v>
      </c>
      <c r="I176" s="2" t="s">
        <v>10152</v>
      </c>
      <c r="J176" s="2" t="n">
        <f aca="false">IF(COUNTIFS($G$2:G176,G176,$A$2:A176,A176)=1,1,0)</f>
        <v>1</v>
      </c>
    </row>
    <row r="177" customFormat="false" ht="15" hidden="false" customHeight="false" outlineLevel="0" collapsed="false">
      <c r="A177" s="2" t="s">
        <v>10424</v>
      </c>
      <c r="B177" s="2" t="s">
        <v>10425</v>
      </c>
      <c r="C177" s="2" t="s">
        <v>10426</v>
      </c>
      <c r="D177" s="2" t="s">
        <v>10427</v>
      </c>
      <c r="E177" s="2"/>
      <c r="F177" s="2"/>
      <c r="G177" s="2" t="str">
        <f aca="false">LEFT(C177,3)</f>
        <v>244</v>
      </c>
      <c r="H177" s="16" t="n">
        <v>0.28</v>
      </c>
      <c r="I177" s="2" t="s">
        <v>10025</v>
      </c>
      <c r="J177" s="2" t="n">
        <f aca="false">IF(COUNTIFS($G$2:G177,G177,$A$2:A177,A177)=1,1,0)</f>
        <v>1</v>
      </c>
    </row>
    <row r="178" customFormat="false" ht="15" hidden="false" customHeight="false" outlineLevel="0" collapsed="false">
      <c r="A178" s="2" t="s">
        <v>10428</v>
      </c>
      <c r="B178" s="2" t="s">
        <v>10429</v>
      </c>
      <c r="C178" s="2" t="s">
        <v>10430</v>
      </c>
      <c r="D178" s="2" t="s">
        <v>10431</v>
      </c>
      <c r="E178" s="2"/>
      <c r="F178" s="2"/>
      <c r="G178" s="2" t="str">
        <f aca="false">LEFT(C178,3)</f>
        <v>246</v>
      </c>
      <c r="H178" s="16" t="n">
        <v>0.17</v>
      </c>
      <c r="I178" s="2" t="s">
        <v>10025</v>
      </c>
      <c r="J178" s="2" t="n">
        <f aca="false">IF(COUNTIFS($G$2:G178,G178,$A$2:A178,A178)=1,1,0)</f>
        <v>1</v>
      </c>
    </row>
    <row r="179" customFormat="false" ht="15" hidden="false" customHeight="false" outlineLevel="0" collapsed="false">
      <c r="A179" s="2" t="s">
        <v>10432</v>
      </c>
      <c r="B179" s="2" t="s">
        <v>10433</v>
      </c>
      <c r="C179" s="2" t="s">
        <v>10434</v>
      </c>
      <c r="D179" s="2" t="s">
        <v>10435</v>
      </c>
      <c r="E179" s="2" t="s">
        <v>10050</v>
      </c>
      <c r="F179" s="2"/>
      <c r="G179" s="2" t="str">
        <f aca="false">LEFT(C179,3)</f>
        <v>245</v>
      </c>
      <c r="H179" s="16" t="n">
        <v>0.55</v>
      </c>
      <c r="I179" s="2" t="s">
        <v>10176</v>
      </c>
      <c r="J179" s="2" t="n">
        <f aca="false">IF(COUNTIFS($G$2:G179,G179,$A$2:A179,A179)=1,1,0)</f>
        <v>1</v>
      </c>
    </row>
    <row r="180" customFormat="false" ht="15" hidden="false" customHeight="false" outlineLevel="0" collapsed="false">
      <c r="A180" s="2" t="s">
        <v>10436</v>
      </c>
      <c r="B180" s="2" t="s">
        <v>10437</v>
      </c>
      <c r="C180" s="2" t="s">
        <v>10434</v>
      </c>
      <c r="D180" s="2" t="s">
        <v>10435</v>
      </c>
      <c r="E180" s="2" t="s">
        <v>10050</v>
      </c>
      <c r="F180" s="2"/>
      <c r="G180" s="2" t="str">
        <f aca="false">LEFT(C180,3)</f>
        <v>245</v>
      </c>
      <c r="H180" s="16" t="n">
        <v>0.54</v>
      </c>
      <c r="I180" s="2" t="s">
        <v>10176</v>
      </c>
      <c r="J180" s="2" t="n">
        <f aca="false">IF(COUNTIFS($G$2:G180,G180,$A$2:A180,A180)=1,1,0)</f>
        <v>1</v>
      </c>
    </row>
    <row r="181" customFormat="false" ht="15" hidden="false" customHeight="false" outlineLevel="0" collapsed="false">
      <c r="A181" s="2" t="s">
        <v>10436</v>
      </c>
      <c r="B181" s="2" t="s">
        <v>10437</v>
      </c>
      <c r="C181" s="2" t="s">
        <v>10438</v>
      </c>
      <c r="D181" s="2" t="s">
        <v>10439</v>
      </c>
      <c r="E181" s="2" t="s">
        <v>10050</v>
      </c>
      <c r="F181" s="2" t="s">
        <v>10440</v>
      </c>
      <c r="G181" s="2" t="str">
        <f aca="false">LEFT(C181,3)</f>
        <v>347</v>
      </c>
      <c r="H181" s="16" t="n">
        <v>0.54</v>
      </c>
      <c r="I181" s="2" t="s">
        <v>10176</v>
      </c>
      <c r="J181" s="2" t="n">
        <f aca="false">IF(COUNTIFS($G$2:G181,G181,$A$2:A181,A181)=1,1,0)</f>
        <v>1</v>
      </c>
    </row>
    <row r="182" customFormat="false" ht="15" hidden="false" customHeight="false" outlineLevel="0" collapsed="false">
      <c r="A182" s="2" t="s">
        <v>10441</v>
      </c>
      <c r="B182" s="2" t="s">
        <v>10442</v>
      </c>
      <c r="C182" s="2" t="s">
        <v>10443</v>
      </c>
      <c r="D182" s="2" t="s">
        <v>10444</v>
      </c>
      <c r="E182" s="2"/>
      <c r="F182" s="2"/>
      <c r="G182" s="2" t="str">
        <f aca="false">LEFT(C182,3)</f>
        <v>244</v>
      </c>
      <c r="H182" s="16" t="n">
        <v>0.59</v>
      </c>
      <c r="I182" s="2" t="s">
        <v>10176</v>
      </c>
      <c r="J182" s="2" t="n">
        <f aca="false">IF(COUNTIFS($G$2:G182,G182,$A$2:A182,A182)=1,1,0)</f>
        <v>1</v>
      </c>
    </row>
    <row r="183" customFormat="false" ht="15" hidden="false" customHeight="false" outlineLevel="0" collapsed="false">
      <c r="A183" s="2" t="s">
        <v>10445</v>
      </c>
      <c r="B183" s="2" t="s">
        <v>10446</v>
      </c>
      <c r="C183" s="2" t="s">
        <v>10447</v>
      </c>
      <c r="D183" s="2" t="s">
        <v>10448</v>
      </c>
      <c r="E183" s="2"/>
      <c r="F183" s="2"/>
      <c r="G183" s="2" t="str">
        <f aca="false">LEFT(C183,3)</f>
        <v>245</v>
      </c>
      <c r="H183" s="16" t="n">
        <v>0.21</v>
      </c>
      <c r="I183" s="2" t="s">
        <v>10025</v>
      </c>
      <c r="J183" s="2" t="n">
        <f aca="false">IF(COUNTIFS($G$2:G183,G183,$A$2:A183,A183)=1,1,0)</f>
        <v>1</v>
      </c>
    </row>
    <row r="184" customFormat="false" ht="15" hidden="false" customHeight="false" outlineLevel="0" collapsed="false">
      <c r="A184" s="2" t="s">
        <v>10449</v>
      </c>
      <c r="B184" s="2" t="s">
        <v>10450</v>
      </c>
      <c r="C184" s="2" t="s">
        <v>10451</v>
      </c>
      <c r="D184" s="2" t="s">
        <v>10452</v>
      </c>
      <c r="E184" s="2"/>
      <c r="F184" s="2"/>
      <c r="G184" s="2" t="str">
        <f aca="false">LEFT(C184,3)</f>
        <v>245</v>
      </c>
      <c r="H184" s="16" t="n">
        <v>0.28</v>
      </c>
      <c r="I184" s="2" t="s">
        <v>10025</v>
      </c>
      <c r="J184" s="2" t="n">
        <f aca="false">IF(COUNTIFS($G$2:G184,G184,$A$2:A184,A184)=1,1,0)</f>
        <v>1</v>
      </c>
    </row>
    <row r="185" customFormat="false" ht="15" hidden="false" customHeight="false" outlineLevel="0" collapsed="false">
      <c r="A185" s="2" t="s">
        <v>10449</v>
      </c>
      <c r="B185" s="2" t="s">
        <v>10450</v>
      </c>
      <c r="C185" s="2" t="s">
        <v>10453</v>
      </c>
      <c r="D185" s="2" t="s">
        <v>10454</v>
      </c>
      <c r="E185" s="2" t="s">
        <v>10050</v>
      </c>
      <c r="F185" s="2"/>
      <c r="G185" s="2" t="str">
        <f aca="false">LEFT(C185,3)</f>
        <v>347</v>
      </c>
      <c r="H185" s="16" t="n">
        <v>0.28</v>
      </c>
      <c r="I185" s="2" t="s">
        <v>10025</v>
      </c>
      <c r="J185" s="2" t="n">
        <f aca="false">IF(COUNTIFS($G$2:G185,G185,$A$2:A185,A185)=1,1,0)</f>
        <v>1</v>
      </c>
    </row>
    <row r="186" customFormat="false" ht="15" hidden="false" customHeight="false" outlineLevel="0" collapsed="false">
      <c r="A186" s="2" t="s">
        <v>10455</v>
      </c>
      <c r="B186" s="2" t="s">
        <v>10456</v>
      </c>
      <c r="C186" s="2" t="s">
        <v>10457</v>
      </c>
      <c r="D186" s="2" t="s">
        <v>10458</v>
      </c>
      <c r="E186" s="2"/>
      <c r="F186" s="2"/>
      <c r="G186" s="2" t="str">
        <f aca="false">LEFT(C186,3)</f>
        <v>245</v>
      </c>
      <c r="H186" s="16" t="n">
        <v>0.19</v>
      </c>
      <c r="I186" s="2" t="s">
        <v>10025</v>
      </c>
      <c r="J186" s="2" t="n">
        <f aca="false">IF(COUNTIFS($G$2:G186,G186,$A$2:A186,A186)=1,1,0)</f>
        <v>1</v>
      </c>
    </row>
    <row r="187" customFormat="false" ht="15" hidden="false" customHeight="false" outlineLevel="0" collapsed="false">
      <c r="A187" s="2" t="s">
        <v>10455</v>
      </c>
      <c r="B187" s="2" t="s">
        <v>10456</v>
      </c>
      <c r="C187" s="2" t="s">
        <v>10453</v>
      </c>
      <c r="D187" s="2" t="s">
        <v>10454</v>
      </c>
      <c r="E187" s="2" t="s">
        <v>10050</v>
      </c>
      <c r="F187" s="2"/>
      <c r="G187" s="2" t="str">
        <f aca="false">LEFT(C187,3)</f>
        <v>347</v>
      </c>
      <c r="H187" s="16" t="n">
        <v>0.19</v>
      </c>
      <c r="I187" s="2" t="s">
        <v>10025</v>
      </c>
      <c r="J187" s="2" t="n">
        <f aca="false">IF(COUNTIFS($G$2:G187,G187,$A$2:A187,A187)=1,1,0)</f>
        <v>1</v>
      </c>
    </row>
    <row r="188" customFormat="false" ht="15" hidden="false" customHeight="false" outlineLevel="0" collapsed="false">
      <c r="A188" s="2" t="s">
        <v>10459</v>
      </c>
      <c r="B188" s="2" t="s">
        <v>10460</v>
      </c>
      <c r="C188" s="2" t="s">
        <v>10061</v>
      </c>
      <c r="D188" s="2" t="s">
        <v>10062</v>
      </c>
      <c r="E188" s="2" t="s">
        <v>10050</v>
      </c>
      <c r="F188" s="2"/>
      <c r="G188" s="2" t="str">
        <f aca="false">LEFT(C188,3)</f>
        <v>122</v>
      </c>
      <c r="H188" s="16" t="n">
        <v>0.37</v>
      </c>
      <c r="I188" s="2" t="s">
        <v>10030</v>
      </c>
      <c r="J188" s="2" t="n">
        <f aca="false">IF(COUNTIFS($G$2:G188,G188,$A$2:A188,A188)=1,1,0)</f>
        <v>1</v>
      </c>
    </row>
    <row r="189" customFormat="false" ht="15" hidden="false" customHeight="false" outlineLevel="0" collapsed="false">
      <c r="A189" s="2" t="s">
        <v>10459</v>
      </c>
      <c r="B189" s="2" t="s">
        <v>10460</v>
      </c>
      <c r="C189" s="2" t="s">
        <v>10461</v>
      </c>
      <c r="D189" s="2" t="s">
        <v>10462</v>
      </c>
      <c r="E189" s="2" t="s">
        <v>10050</v>
      </c>
      <c r="F189" s="2"/>
      <c r="G189" s="2" t="str">
        <f aca="false">LEFT(C189,3)</f>
        <v>245</v>
      </c>
      <c r="H189" s="16" t="n">
        <v>0.37</v>
      </c>
      <c r="I189" s="2" t="s">
        <v>10030</v>
      </c>
      <c r="J189" s="2" t="n">
        <f aca="false">IF(COUNTIFS($G$2:G189,G189,$A$2:A189,A189)=1,1,0)</f>
        <v>1</v>
      </c>
    </row>
    <row r="190" customFormat="false" ht="15" hidden="false" customHeight="false" outlineLevel="0" collapsed="false">
      <c r="A190" s="2" t="s">
        <v>10463</v>
      </c>
      <c r="B190" s="2" t="s">
        <v>10464</v>
      </c>
      <c r="C190" s="2" t="s">
        <v>10461</v>
      </c>
      <c r="D190" s="2" t="s">
        <v>10462</v>
      </c>
      <c r="E190" s="2" t="s">
        <v>10050</v>
      </c>
      <c r="F190" s="2"/>
      <c r="G190" s="2" t="str">
        <f aca="false">LEFT(C190,3)</f>
        <v>245</v>
      </c>
      <c r="H190" s="16" t="n">
        <v>0.31</v>
      </c>
      <c r="I190" s="2" t="s">
        <v>10030</v>
      </c>
      <c r="J190" s="2" t="n">
        <f aca="false">IF(COUNTIFS($G$2:G190,G190,$A$2:A190,A190)=1,1,0)</f>
        <v>1</v>
      </c>
    </row>
    <row r="191" customFormat="false" ht="15" hidden="false" customHeight="false" outlineLevel="0" collapsed="false">
      <c r="A191" s="2" t="s">
        <v>10465</v>
      </c>
      <c r="B191" s="2" t="s">
        <v>10466</v>
      </c>
      <c r="C191" s="2" t="s">
        <v>10438</v>
      </c>
      <c r="D191" s="2" t="s">
        <v>10439</v>
      </c>
      <c r="E191" s="2" t="s">
        <v>10050</v>
      </c>
      <c r="F191" s="2"/>
      <c r="G191" s="2" t="str">
        <f aca="false">LEFT(C191,3)</f>
        <v>347</v>
      </c>
      <c r="H191" s="16" t="n">
        <v>0.47</v>
      </c>
      <c r="I191" s="2" t="s">
        <v>10071</v>
      </c>
      <c r="J191" s="2" t="n">
        <f aca="false">IF(COUNTIFS($G$2:G191,G191,$A$2:A191,A191)=1,1,0)</f>
        <v>1</v>
      </c>
    </row>
    <row r="192" customFormat="false" ht="15" hidden="false" customHeight="false" outlineLevel="0" collapsed="false">
      <c r="A192" s="2" t="s">
        <v>10467</v>
      </c>
      <c r="B192" s="2" t="s">
        <v>10468</v>
      </c>
      <c r="C192" s="2" t="s">
        <v>10469</v>
      </c>
      <c r="D192" s="2" t="s">
        <v>10470</v>
      </c>
      <c r="E192" s="2"/>
      <c r="F192" s="2"/>
      <c r="G192" s="2" t="str">
        <f aca="false">LEFT(C192,3)</f>
        <v>347</v>
      </c>
      <c r="H192" s="16" t="n">
        <v>0.13</v>
      </c>
      <c r="I192" s="2" t="s">
        <v>10025</v>
      </c>
      <c r="J192" s="2" t="n">
        <f aca="false">IF(COUNTIFS($G$2:G192,G192,$A$2:A192,A192)=1,1,0)</f>
        <v>1</v>
      </c>
    </row>
    <row r="193" customFormat="false" ht="15" hidden="false" customHeight="false" outlineLevel="0" collapsed="false">
      <c r="A193" s="2" t="s">
        <v>10471</v>
      </c>
      <c r="B193" s="2" t="s">
        <v>10472</v>
      </c>
      <c r="C193" s="2" t="s">
        <v>10471</v>
      </c>
      <c r="D193" s="2" t="s">
        <v>10473</v>
      </c>
      <c r="E193" s="2"/>
      <c r="F193" s="2"/>
      <c r="G193" s="2" t="str">
        <f aca="false">LEFT(C193,3)</f>
        <v>311</v>
      </c>
      <c r="H193" s="16" t="n">
        <v>0.26</v>
      </c>
      <c r="I193" s="2" t="s">
        <v>10025</v>
      </c>
      <c r="J193" s="2" t="n">
        <f aca="false">IF(COUNTIFS($G$2:G193,G193,$A$2:A193,A193)=1,1,0)</f>
        <v>1</v>
      </c>
    </row>
    <row r="194" customFormat="false" ht="15" hidden="false" customHeight="false" outlineLevel="0" collapsed="false">
      <c r="A194" s="2" t="s">
        <v>10474</v>
      </c>
      <c r="B194" s="2" t="s">
        <v>10475</v>
      </c>
      <c r="C194" s="2" t="s">
        <v>10474</v>
      </c>
      <c r="D194" s="2" t="s">
        <v>10476</v>
      </c>
      <c r="E194" s="2"/>
      <c r="F194" s="2"/>
      <c r="G194" s="2" t="str">
        <f aca="false">LEFT(C194,3)</f>
        <v>311</v>
      </c>
      <c r="H194" s="16" t="n">
        <v>0.28</v>
      </c>
      <c r="I194" s="2" t="s">
        <v>10025</v>
      </c>
      <c r="J194" s="2" t="n">
        <f aca="false">IF(COUNTIFS($G$2:G194,G194,$A$2:A194,A194)=1,1,0)</f>
        <v>1</v>
      </c>
    </row>
    <row r="195" customFormat="false" ht="15" hidden="false" customHeight="false" outlineLevel="0" collapsed="false">
      <c r="A195" s="2" t="s">
        <v>10474</v>
      </c>
      <c r="B195" s="2" t="s">
        <v>10475</v>
      </c>
      <c r="C195" s="2" t="s">
        <v>10477</v>
      </c>
      <c r="D195" s="2" t="s">
        <v>10478</v>
      </c>
      <c r="E195" s="2" t="s">
        <v>10050</v>
      </c>
      <c r="F195" s="2"/>
      <c r="G195" s="2" t="str">
        <f aca="false">LEFT(C195,3)</f>
        <v>315</v>
      </c>
      <c r="H195" s="16" t="n">
        <v>0.28</v>
      </c>
      <c r="I195" s="2" t="s">
        <v>10025</v>
      </c>
      <c r="J195" s="2" t="n">
        <f aca="false">IF(COUNTIFS($G$2:G195,G195,$A$2:A195,A195)=1,1,0)</f>
        <v>1</v>
      </c>
    </row>
    <row r="196" customFormat="false" ht="15" hidden="false" customHeight="false" outlineLevel="0" collapsed="false">
      <c r="A196" s="2" t="s">
        <v>10479</v>
      </c>
      <c r="B196" s="2" t="s">
        <v>10480</v>
      </c>
      <c r="C196" s="2" t="s">
        <v>10479</v>
      </c>
      <c r="D196" s="2" t="s">
        <v>10481</v>
      </c>
      <c r="E196" s="2"/>
      <c r="F196" s="2"/>
      <c r="G196" s="2" t="str">
        <f aca="false">LEFT(C196,3)</f>
        <v>311</v>
      </c>
      <c r="H196" s="16" t="n">
        <v>0.27</v>
      </c>
      <c r="I196" s="2" t="s">
        <v>10025</v>
      </c>
      <c r="J196" s="2" t="n">
        <f aca="false">IF(COUNTIFS($G$2:G196,G196,$A$2:A196,A196)=1,1,0)</f>
        <v>1</v>
      </c>
    </row>
    <row r="197" customFormat="false" ht="15" hidden="false" customHeight="false" outlineLevel="0" collapsed="false">
      <c r="A197" s="2" t="s">
        <v>10479</v>
      </c>
      <c r="B197" s="2" t="s">
        <v>10480</v>
      </c>
      <c r="C197" s="2" t="s">
        <v>10281</v>
      </c>
      <c r="D197" s="2" t="s">
        <v>10282</v>
      </c>
      <c r="E197" s="2" t="s">
        <v>10050</v>
      </c>
      <c r="F197" s="2" t="s">
        <v>10482</v>
      </c>
      <c r="G197" s="2" t="str">
        <f aca="false">LEFT(C197,3)</f>
        <v>315</v>
      </c>
      <c r="H197" s="16" t="n">
        <v>0.27</v>
      </c>
      <c r="I197" s="2" t="s">
        <v>10025</v>
      </c>
      <c r="J197" s="2" t="n">
        <f aca="false">IF(COUNTIFS($G$2:G197,G197,$A$2:A197,A197)=1,1,0)</f>
        <v>1</v>
      </c>
    </row>
    <row r="198" customFormat="false" ht="15" hidden="false" customHeight="false" outlineLevel="0" collapsed="false">
      <c r="A198" s="2" t="s">
        <v>10483</v>
      </c>
      <c r="B198" s="2" t="s">
        <v>10484</v>
      </c>
      <c r="C198" s="2" t="s">
        <v>10483</v>
      </c>
      <c r="D198" s="2" t="s">
        <v>10485</v>
      </c>
      <c r="E198" s="2" t="s">
        <v>10050</v>
      </c>
      <c r="F198" s="2"/>
      <c r="G198" s="2" t="str">
        <f aca="false">LEFT(C198,3)</f>
        <v>311</v>
      </c>
      <c r="H198" s="16" t="n">
        <v>0.38</v>
      </c>
      <c r="I198" s="2" t="s">
        <v>10030</v>
      </c>
      <c r="J198" s="2" t="n">
        <f aca="false">IF(COUNTIFS($G$2:G198,G198,$A$2:A198,A198)=1,1,0)</f>
        <v>1</v>
      </c>
    </row>
    <row r="199" customFormat="false" ht="15" hidden="false" customHeight="false" outlineLevel="0" collapsed="false">
      <c r="A199" s="2" t="s">
        <v>10483</v>
      </c>
      <c r="B199" s="2" t="s">
        <v>10484</v>
      </c>
      <c r="C199" s="2" t="s">
        <v>10281</v>
      </c>
      <c r="D199" s="2" t="s">
        <v>10282</v>
      </c>
      <c r="E199" s="2" t="s">
        <v>10050</v>
      </c>
      <c r="F199" s="2" t="s">
        <v>10486</v>
      </c>
      <c r="G199" s="2" t="str">
        <f aca="false">LEFT(C199,3)</f>
        <v>315</v>
      </c>
      <c r="H199" s="16" t="n">
        <v>0.38</v>
      </c>
      <c r="I199" s="2" t="s">
        <v>10030</v>
      </c>
      <c r="J199" s="2" t="n">
        <f aca="false">IF(COUNTIFS($G$2:G199,G199,$A$2:A199,A199)=1,1,0)</f>
        <v>1</v>
      </c>
    </row>
    <row r="200" customFormat="false" ht="15" hidden="false" customHeight="false" outlineLevel="0" collapsed="false">
      <c r="A200" s="2" t="s">
        <v>10487</v>
      </c>
      <c r="B200" s="2" t="s">
        <v>10488</v>
      </c>
      <c r="C200" s="2" t="s">
        <v>10487</v>
      </c>
      <c r="D200" s="2" t="s">
        <v>10489</v>
      </c>
      <c r="E200" s="2"/>
      <c r="F200" s="2"/>
      <c r="G200" s="2" t="str">
        <f aca="false">LEFT(C200,3)</f>
        <v>311</v>
      </c>
      <c r="H200" s="16" t="n">
        <v>0.26</v>
      </c>
      <c r="I200" s="2" t="s">
        <v>10025</v>
      </c>
      <c r="J200" s="2" t="n">
        <f aca="false">IF(COUNTIFS($G$2:G200,G200,$A$2:A200,A200)=1,1,0)</f>
        <v>1</v>
      </c>
    </row>
    <row r="201" customFormat="false" ht="15" hidden="false" customHeight="false" outlineLevel="0" collapsed="false">
      <c r="A201" s="2" t="s">
        <v>10487</v>
      </c>
      <c r="B201" s="2" t="s">
        <v>10488</v>
      </c>
      <c r="C201" s="2" t="s">
        <v>10281</v>
      </c>
      <c r="D201" s="2" t="s">
        <v>10282</v>
      </c>
      <c r="E201" s="2" t="s">
        <v>10050</v>
      </c>
      <c r="F201" s="2" t="s">
        <v>10490</v>
      </c>
      <c r="G201" s="2" t="str">
        <f aca="false">LEFT(C201,3)</f>
        <v>315</v>
      </c>
      <c r="H201" s="16" t="n">
        <v>0.26</v>
      </c>
      <c r="I201" s="2" t="s">
        <v>10025</v>
      </c>
      <c r="J201" s="2" t="n">
        <f aca="false">IF(COUNTIFS($G$2:G201,G201,$A$2:A201,A201)=1,1,0)</f>
        <v>1</v>
      </c>
    </row>
    <row r="202" customFormat="false" ht="15" hidden="false" customHeight="false" outlineLevel="0" collapsed="false">
      <c r="A202" s="2" t="s">
        <v>10491</v>
      </c>
      <c r="B202" s="2" t="s">
        <v>10492</v>
      </c>
      <c r="C202" s="2" t="s">
        <v>10491</v>
      </c>
      <c r="D202" s="2" t="s">
        <v>10493</v>
      </c>
      <c r="E202" s="2"/>
      <c r="F202" s="2"/>
      <c r="G202" s="2" t="str">
        <f aca="false">LEFT(C202,3)</f>
        <v>311</v>
      </c>
      <c r="H202" s="16" t="n">
        <v>0.32</v>
      </c>
      <c r="I202" s="2" t="s">
        <v>10025</v>
      </c>
      <c r="J202" s="2" t="n">
        <f aca="false">IF(COUNTIFS($G$2:G202,G202,$A$2:A202,A202)=1,1,0)</f>
        <v>1</v>
      </c>
    </row>
    <row r="203" customFormat="false" ht="15" hidden="false" customHeight="false" outlineLevel="0" collapsed="false">
      <c r="A203" s="2" t="s">
        <v>10494</v>
      </c>
      <c r="B203" s="2" t="s">
        <v>10495</v>
      </c>
      <c r="C203" s="2" t="s">
        <v>10494</v>
      </c>
      <c r="D203" s="2" t="s">
        <v>10495</v>
      </c>
      <c r="E203" s="2"/>
      <c r="F203" s="2"/>
      <c r="G203" s="2" t="str">
        <f aca="false">LEFT(C203,3)</f>
        <v>311</v>
      </c>
      <c r="H203" s="16" t="n">
        <v>0.28</v>
      </c>
      <c r="I203" s="2" t="s">
        <v>10025</v>
      </c>
      <c r="J203" s="2" t="n">
        <f aca="false">IF(COUNTIFS($G$2:G203,G203,$A$2:A203,A203)=1,1,0)</f>
        <v>1</v>
      </c>
    </row>
    <row r="204" customFormat="false" ht="15" hidden="false" customHeight="false" outlineLevel="0" collapsed="false">
      <c r="A204" s="2" t="s">
        <v>10494</v>
      </c>
      <c r="B204" s="2" t="s">
        <v>10495</v>
      </c>
      <c r="C204" s="2" t="s">
        <v>10281</v>
      </c>
      <c r="D204" s="2" t="s">
        <v>10282</v>
      </c>
      <c r="E204" s="2" t="s">
        <v>10050</v>
      </c>
      <c r="F204" s="2" t="s">
        <v>10496</v>
      </c>
      <c r="G204" s="2" t="str">
        <f aca="false">LEFT(C204,3)</f>
        <v>315</v>
      </c>
      <c r="H204" s="16" t="n">
        <v>0.28</v>
      </c>
      <c r="I204" s="2" t="s">
        <v>10025</v>
      </c>
      <c r="J204" s="2" t="n">
        <f aca="false">IF(COUNTIFS($G$2:G204,G204,$A$2:A204,A204)=1,1,0)</f>
        <v>1</v>
      </c>
    </row>
    <row r="205" customFormat="false" ht="15" hidden="false" customHeight="false" outlineLevel="0" collapsed="false">
      <c r="A205" s="2" t="s">
        <v>10497</v>
      </c>
      <c r="B205" s="2" t="s">
        <v>10498</v>
      </c>
      <c r="C205" s="2" t="s">
        <v>10497</v>
      </c>
      <c r="D205" s="2" t="s">
        <v>10498</v>
      </c>
      <c r="E205" s="2"/>
      <c r="F205" s="2"/>
      <c r="G205" s="2" t="str">
        <f aca="false">LEFT(C205,3)</f>
        <v>311</v>
      </c>
      <c r="H205" s="16" t="n">
        <v>0.35</v>
      </c>
      <c r="I205" s="2" t="s">
        <v>10030</v>
      </c>
      <c r="J205" s="2" t="n">
        <f aca="false">IF(COUNTIFS($G$2:G205,G205,$A$2:A205,A205)=1,1,0)</f>
        <v>1</v>
      </c>
    </row>
    <row r="206" customFormat="false" ht="15" hidden="false" customHeight="false" outlineLevel="0" collapsed="false">
      <c r="A206" s="2" t="s">
        <v>10499</v>
      </c>
      <c r="B206" s="2" t="s">
        <v>10500</v>
      </c>
      <c r="C206" s="2" t="s">
        <v>10499</v>
      </c>
      <c r="D206" s="2" t="s">
        <v>10501</v>
      </c>
      <c r="E206" s="2"/>
      <c r="F206" s="2"/>
      <c r="G206" s="2" t="str">
        <f aca="false">LEFT(C206,3)</f>
        <v>311</v>
      </c>
      <c r="H206" s="16" t="n">
        <v>0.26</v>
      </c>
      <c r="I206" s="2" t="s">
        <v>10025</v>
      </c>
      <c r="J206" s="2" t="n">
        <f aca="false">IF(COUNTIFS($G$2:G206,G206,$A$2:A206,A206)=1,1,0)</f>
        <v>1</v>
      </c>
    </row>
    <row r="207" customFormat="false" ht="15" hidden="false" customHeight="false" outlineLevel="0" collapsed="false">
      <c r="A207" s="2" t="s">
        <v>10502</v>
      </c>
      <c r="B207" s="2" t="s">
        <v>10503</v>
      </c>
      <c r="C207" s="2" t="s">
        <v>10504</v>
      </c>
      <c r="D207" s="2" t="s">
        <v>10505</v>
      </c>
      <c r="E207" s="2" t="s">
        <v>10050</v>
      </c>
      <c r="F207" s="2"/>
      <c r="G207" s="2" t="str">
        <f aca="false">LEFT(C207,3)</f>
        <v>711</v>
      </c>
      <c r="H207" s="16" t="n">
        <v>0.29</v>
      </c>
      <c r="I207" s="2" t="s">
        <v>10025</v>
      </c>
      <c r="J207" s="2" t="n">
        <f aca="false">IF(COUNTIFS($G$2:G207,G207,$A$2:A207,A207)=1,1,0)</f>
        <v>1</v>
      </c>
    </row>
    <row r="208" customFormat="false" ht="15" hidden="false" customHeight="false" outlineLevel="0" collapsed="false">
      <c r="A208" s="2" t="s">
        <v>10502</v>
      </c>
      <c r="B208" s="2" t="s">
        <v>10503</v>
      </c>
      <c r="C208" s="2" t="s">
        <v>10506</v>
      </c>
      <c r="D208" s="2" t="s">
        <v>10507</v>
      </c>
      <c r="E208" s="2" t="s">
        <v>10050</v>
      </c>
      <c r="F208" s="2"/>
      <c r="G208" s="2" t="str">
        <f aca="false">LEFT(C208,3)</f>
        <v>811</v>
      </c>
      <c r="H208" s="16" t="n">
        <v>0.29</v>
      </c>
      <c r="I208" s="2" t="s">
        <v>10025</v>
      </c>
      <c r="J208" s="2" t="n">
        <f aca="false">IF(COUNTIFS($G$2:G208,G208,$A$2:A208,A208)=1,1,0)</f>
        <v>1</v>
      </c>
    </row>
    <row r="209" customFormat="false" ht="15" hidden="false" customHeight="false" outlineLevel="0" collapsed="false">
      <c r="A209" s="2" t="s">
        <v>10508</v>
      </c>
      <c r="B209" s="2" t="s">
        <v>10509</v>
      </c>
      <c r="C209" s="2" t="s">
        <v>10510</v>
      </c>
      <c r="D209" s="2" t="s">
        <v>10511</v>
      </c>
      <c r="E209" s="2" t="s">
        <v>10050</v>
      </c>
      <c r="F209" s="2"/>
      <c r="G209" s="2" t="str">
        <f aca="false">LEFT(C209,3)</f>
        <v>817</v>
      </c>
      <c r="H209" s="16" t="n">
        <v>0.35</v>
      </c>
      <c r="I209" s="2" t="s">
        <v>10030</v>
      </c>
      <c r="J209" s="2" t="n">
        <f aca="false">IF(COUNTIFS($G$2:G209,G209,$A$2:A209,A209)=1,1,0)</f>
        <v>1</v>
      </c>
    </row>
    <row r="210" customFormat="false" ht="15" hidden="false" customHeight="false" outlineLevel="0" collapsed="false">
      <c r="A210" s="2" t="s">
        <v>10508</v>
      </c>
      <c r="B210" s="2" t="s">
        <v>10509</v>
      </c>
      <c r="C210" s="2" t="s">
        <v>10512</v>
      </c>
      <c r="D210" s="2" t="s">
        <v>10513</v>
      </c>
      <c r="E210" s="2" t="s">
        <v>10050</v>
      </c>
      <c r="F210" s="2" t="s">
        <v>10514</v>
      </c>
      <c r="G210" s="2" t="str">
        <f aca="false">LEFT(C210,3)</f>
        <v>817</v>
      </c>
      <c r="H210" s="16" t="n">
        <v>0.35</v>
      </c>
      <c r="I210" s="2" t="s">
        <v>10030</v>
      </c>
      <c r="J210" s="2" t="n">
        <f aca="false">IF(COUNTIFS($G$2:G210,G210,$A$2:A210,A210)=1,1,0)</f>
        <v>0</v>
      </c>
    </row>
    <row r="211" customFormat="false" ht="15" hidden="false" customHeight="false" outlineLevel="0" collapsed="false">
      <c r="A211" s="2" t="s">
        <v>10508</v>
      </c>
      <c r="B211" s="2" t="s">
        <v>10509</v>
      </c>
      <c r="C211" s="2" t="s">
        <v>10515</v>
      </c>
      <c r="D211" s="2" t="s">
        <v>10516</v>
      </c>
      <c r="E211" s="2" t="s">
        <v>10050</v>
      </c>
      <c r="F211" s="2" t="s">
        <v>10517</v>
      </c>
      <c r="G211" s="2" t="str">
        <f aca="false">LEFT(C211,3)</f>
        <v>821</v>
      </c>
      <c r="H211" s="16" t="n">
        <v>0.35</v>
      </c>
      <c r="I211" s="2" t="s">
        <v>10030</v>
      </c>
      <c r="J211" s="2" t="n">
        <f aca="false">IF(COUNTIFS($G$2:G211,G211,$A$2:A211,A211)=1,1,0)</f>
        <v>1</v>
      </c>
    </row>
    <row r="212" customFormat="false" ht="15" hidden="false" customHeight="false" outlineLevel="0" collapsed="false">
      <c r="A212" s="2" t="s">
        <v>10508</v>
      </c>
      <c r="B212" s="2" t="s">
        <v>10509</v>
      </c>
      <c r="C212" s="2" t="s">
        <v>10518</v>
      </c>
      <c r="D212" s="2" t="s">
        <v>10519</v>
      </c>
      <c r="E212" s="2" t="s">
        <v>10050</v>
      </c>
      <c r="F212" s="2"/>
      <c r="G212" s="2" t="str">
        <f aca="false">LEFT(C212,3)</f>
        <v>822</v>
      </c>
      <c r="H212" s="16" t="n">
        <v>0.35</v>
      </c>
      <c r="I212" s="2" t="s">
        <v>10030</v>
      </c>
      <c r="J212" s="2" t="n">
        <f aca="false">IF(COUNTIFS($G$2:G212,G212,$A$2:A212,A212)=1,1,0)</f>
        <v>1</v>
      </c>
    </row>
    <row r="213" customFormat="false" ht="15" hidden="false" customHeight="false" outlineLevel="0" collapsed="false">
      <c r="A213" s="2" t="s">
        <v>10508</v>
      </c>
      <c r="B213" s="2" t="s">
        <v>10509</v>
      </c>
      <c r="C213" s="2" t="s">
        <v>10520</v>
      </c>
      <c r="D213" s="2" t="s">
        <v>10521</v>
      </c>
      <c r="E213" s="2" t="s">
        <v>10050</v>
      </c>
      <c r="F213" s="2"/>
      <c r="G213" s="2" t="str">
        <f aca="false">LEFT(C213,3)</f>
        <v>822</v>
      </c>
      <c r="H213" s="16" t="n">
        <v>0.35</v>
      </c>
      <c r="I213" s="2" t="s">
        <v>10030</v>
      </c>
      <c r="J213" s="2" t="n">
        <f aca="false">IF(COUNTIFS($G$2:G213,G213,$A$2:A213,A213)=1,1,0)</f>
        <v>0</v>
      </c>
    </row>
    <row r="214" customFormat="false" ht="15" hidden="false" customHeight="false" outlineLevel="0" collapsed="false">
      <c r="A214" s="2" t="s">
        <v>10508</v>
      </c>
      <c r="B214" s="2" t="s">
        <v>10509</v>
      </c>
      <c r="C214" s="2" t="s">
        <v>10522</v>
      </c>
      <c r="D214" s="2" t="s">
        <v>10523</v>
      </c>
      <c r="E214" s="2" t="s">
        <v>10050</v>
      </c>
      <c r="F214" s="2"/>
      <c r="G214" s="2" t="str">
        <f aca="false">LEFT(C214,3)</f>
        <v>822</v>
      </c>
      <c r="H214" s="16" t="n">
        <v>0.35</v>
      </c>
      <c r="I214" s="2" t="s">
        <v>10030</v>
      </c>
      <c r="J214" s="2" t="n">
        <f aca="false">IF(COUNTIFS($G$2:G214,G214,$A$2:A214,A214)=1,1,0)</f>
        <v>0</v>
      </c>
    </row>
    <row r="215" customFormat="false" ht="15" hidden="false" customHeight="false" outlineLevel="0" collapsed="false">
      <c r="A215" s="2" t="s">
        <v>10508</v>
      </c>
      <c r="B215" s="2" t="s">
        <v>10509</v>
      </c>
      <c r="C215" s="2" t="s">
        <v>10524</v>
      </c>
      <c r="D215" s="2" t="s">
        <v>10525</v>
      </c>
      <c r="E215" s="2" t="s">
        <v>10050</v>
      </c>
      <c r="F215" s="2"/>
      <c r="G215" s="2" t="str">
        <f aca="false">LEFT(C215,3)</f>
        <v>822</v>
      </c>
      <c r="H215" s="16" t="n">
        <v>0.35</v>
      </c>
      <c r="I215" s="2" t="s">
        <v>10030</v>
      </c>
      <c r="J215" s="2" t="n">
        <f aca="false">IF(COUNTIFS($G$2:G215,G215,$A$2:A215,A215)=1,1,0)</f>
        <v>0</v>
      </c>
    </row>
    <row r="216" customFormat="false" ht="15" hidden="false" customHeight="false" outlineLevel="0" collapsed="false">
      <c r="A216" s="2" t="s">
        <v>10508</v>
      </c>
      <c r="B216" s="2" t="s">
        <v>10509</v>
      </c>
      <c r="C216" s="2" t="s">
        <v>10526</v>
      </c>
      <c r="D216" s="2" t="s">
        <v>10527</v>
      </c>
      <c r="E216" s="2" t="s">
        <v>10050</v>
      </c>
      <c r="F216" s="2"/>
      <c r="G216" s="2" t="str">
        <f aca="false">LEFT(C216,3)</f>
        <v>822</v>
      </c>
      <c r="H216" s="16" t="n">
        <v>0.35</v>
      </c>
      <c r="I216" s="2" t="s">
        <v>10030</v>
      </c>
      <c r="J216" s="2" t="n">
        <f aca="false">IF(COUNTIFS($G$2:G216,G216,$A$2:A216,A216)=1,1,0)</f>
        <v>0</v>
      </c>
    </row>
    <row r="217" customFormat="false" ht="15" hidden="false" customHeight="false" outlineLevel="0" collapsed="false">
      <c r="A217" s="2" t="s">
        <v>10508</v>
      </c>
      <c r="B217" s="2" t="s">
        <v>10509</v>
      </c>
      <c r="C217" s="2" t="s">
        <v>10528</v>
      </c>
      <c r="D217" s="2" t="s">
        <v>10529</v>
      </c>
      <c r="E217" s="2" t="s">
        <v>10050</v>
      </c>
      <c r="F217" s="2"/>
      <c r="G217" s="2" t="str">
        <f aca="false">LEFT(C217,3)</f>
        <v>823</v>
      </c>
      <c r="H217" s="16" t="n">
        <v>0.35</v>
      </c>
      <c r="I217" s="2" t="s">
        <v>10030</v>
      </c>
      <c r="J217" s="2" t="n">
        <f aca="false">IF(COUNTIFS($G$2:G217,G217,$A$2:A217,A217)=1,1,0)</f>
        <v>1</v>
      </c>
    </row>
    <row r="218" customFormat="false" ht="15" hidden="false" customHeight="false" outlineLevel="0" collapsed="false">
      <c r="A218" s="2" t="s">
        <v>10508</v>
      </c>
      <c r="B218" s="2" t="s">
        <v>10509</v>
      </c>
      <c r="C218" s="2" t="s">
        <v>10530</v>
      </c>
      <c r="D218" s="2" t="s">
        <v>10531</v>
      </c>
      <c r="E218" s="2" t="s">
        <v>10050</v>
      </c>
      <c r="F218" s="2"/>
      <c r="G218" s="2" t="str">
        <f aca="false">LEFT(C218,3)</f>
        <v>823</v>
      </c>
      <c r="H218" s="16" t="n">
        <v>0.35</v>
      </c>
      <c r="I218" s="2" t="s">
        <v>10030</v>
      </c>
      <c r="J218" s="2" t="n">
        <f aca="false">IF(COUNTIFS($G$2:G218,G218,$A$2:A218,A218)=1,1,0)</f>
        <v>0</v>
      </c>
    </row>
    <row r="219" customFormat="false" ht="15" hidden="false" customHeight="false" outlineLevel="0" collapsed="false">
      <c r="A219" s="2" t="s">
        <v>10508</v>
      </c>
      <c r="B219" s="2" t="s">
        <v>10509</v>
      </c>
      <c r="C219" s="2" t="s">
        <v>10530</v>
      </c>
      <c r="D219" s="2" t="s">
        <v>10531</v>
      </c>
      <c r="E219" s="2" t="s">
        <v>10050</v>
      </c>
      <c r="F219" s="2"/>
      <c r="G219" s="2" t="str">
        <f aca="false">LEFT(C219,3)</f>
        <v>823</v>
      </c>
      <c r="H219" s="16" t="n">
        <v>0.35</v>
      </c>
      <c r="I219" s="2" t="s">
        <v>10030</v>
      </c>
      <c r="J219" s="2" t="n">
        <f aca="false">IF(COUNTIFS($G$2:G219,G219,$A$2:A219,A219)=1,1,0)</f>
        <v>0</v>
      </c>
    </row>
    <row r="220" customFormat="false" ht="15" hidden="false" customHeight="false" outlineLevel="0" collapsed="false">
      <c r="A220" s="2" t="s">
        <v>10508</v>
      </c>
      <c r="B220" s="2" t="s">
        <v>10509</v>
      </c>
      <c r="C220" s="2" t="s">
        <v>10530</v>
      </c>
      <c r="D220" s="2" t="s">
        <v>10531</v>
      </c>
      <c r="E220" s="2" t="s">
        <v>10050</v>
      </c>
      <c r="F220" s="2"/>
      <c r="G220" s="2" t="str">
        <f aca="false">LEFT(C220,3)</f>
        <v>823</v>
      </c>
      <c r="H220" s="16" t="n">
        <v>0.35</v>
      </c>
      <c r="I220" s="2" t="s">
        <v>10030</v>
      </c>
      <c r="J220" s="2" t="n">
        <f aca="false">IF(COUNTIFS($G$2:G220,G220,$A$2:A220,A220)=1,1,0)</f>
        <v>0</v>
      </c>
    </row>
    <row r="221" customFormat="false" ht="15" hidden="false" customHeight="false" outlineLevel="0" collapsed="false">
      <c r="A221" s="2" t="s">
        <v>10508</v>
      </c>
      <c r="B221" s="2" t="s">
        <v>10509</v>
      </c>
      <c r="C221" s="2" t="s">
        <v>10532</v>
      </c>
      <c r="D221" s="2" t="s">
        <v>10533</v>
      </c>
      <c r="E221" s="2" t="s">
        <v>10050</v>
      </c>
      <c r="F221" s="2"/>
      <c r="G221" s="2" t="str">
        <f aca="false">LEFT(C221,3)</f>
        <v>824</v>
      </c>
      <c r="H221" s="16" t="n">
        <v>0.35</v>
      </c>
      <c r="I221" s="2" t="s">
        <v>10030</v>
      </c>
      <c r="J221" s="2" t="n">
        <f aca="false">IF(COUNTIFS($G$2:G221,G221,$A$2:A221,A221)=1,1,0)</f>
        <v>1</v>
      </c>
    </row>
    <row r="222" customFormat="false" ht="15" hidden="false" customHeight="false" outlineLevel="0" collapsed="false">
      <c r="A222" s="2" t="s">
        <v>10508</v>
      </c>
      <c r="B222" s="2" t="s">
        <v>10509</v>
      </c>
      <c r="C222" s="2" t="s">
        <v>10534</v>
      </c>
      <c r="D222" s="2" t="s">
        <v>10535</v>
      </c>
      <c r="E222" s="2" t="s">
        <v>10050</v>
      </c>
      <c r="F222" s="2"/>
      <c r="G222" s="2" t="str">
        <f aca="false">LEFT(C222,3)</f>
        <v>825</v>
      </c>
      <c r="H222" s="16" t="n">
        <v>0.35</v>
      </c>
      <c r="I222" s="2" t="s">
        <v>10030</v>
      </c>
      <c r="J222" s="2" t="n">
        <f aca="false">IF(COUNTIFS($G$2:G222,G222,$A$2:A222,A222)=1,1,0)</f>
        <v>1</v>
      </c>
    </row>
    <row r="223" customFormat="false" ht="15" hidden="false" customHeight="false" outlineLevel="0" collapsed="false">
      <c r="A223" s="2" t="s">
        <v>10508</v>
      </c>
      <c r="B223" s="2" t="s">
        <v>10509</v>
      </c>
      <c r="C223" s="2" t="s">
        <v>10536</v>
      </c>
      <c r="D223" s="2" t="s">
        <v>10537</v>
      </c>
      <c r="E223" s="2" t="s">
        <v>10050</v>
      </c>
      <c r="F223" s="2"/>
      <c r="G223" s="2" t="str">
        <f aca="false">LEFT(C223,3)</f>
        <v>825</v>
      </c>
      <c r="H223" s="16" t="n">
        <v>0.35</v>
      </c>
      <c r="I223" s="2" t="s">
        <v>10030</v>
      </c>
      <c r="J223" s="2" t="n">
        <f aca="false">IF(COUNTIFS($G$2:G223,G223,$A$2:A223,A223)=1,1,0)</f>
        <v>0</v>
      </c>
    </row>
    <row r="224" customFormat="false" ht="15" hidden="false" customHeight="false" outlineLevel="0" collapsed="false">
      <c r="A224" s="2" t="s">
        <v>10508</v>
      </c>
      <c r="B224" s="2" t="s">
        <v>10509</v>
      </c>
      <c r="C224" s="2" t="s">
        <v>10538</v>
      </c>
      <c r="D224" s="2" t="s">
        <v>10539</v>
      </c>
      <c r="E224" s="2" t="s">
        <v>10050</v>
      </c>
      <c r="F224" s="2"/>
      <c r="G224" s="2" t="str">
        <f aca="false">LEFT(C224,3)</f>
        <v>825</v>
      </c>
      <c r="H224" s="16" t="n">
        <v>0.35</v>
      </c>
      <c r="I224" s="2" t="s">
        <v>10030</v>
      </c>
      <c r="J224" s="2" t="n">
        <f aca="false">IF(COUNTIFS($G$2:G224,G224,$A$2:A224,A224)=1,1,0)</f>
        <v>0</v>
      </c>
    </row>
    <row r="225" customFormat="false" ht="15" hidden="false" customHeight="false" outlineLevel="0" collapsed="false">
      <c r="A225" s="2" t="s">
        <v>10508</v>
      </c>
      <c r="B225" s="2" t="s">
        <v>10509</v>
      </c>
      <c r="C225" s="2" t="s">
        <v>10540</v>
      </c>
      <c r="D225" s="2" t="s">
        <v>10541</v>
      </c>
      <c r="E225" s="2" t="s">
        <v>10050</v>
      </c>
      <c r="F225" s="2"/>
      <c r="G225" s="2" t="str">
        <f aca="false">LEFT(C225,3)</f>
        <v>826</v>
      </c>
      <c r="H225" s="16" t="n">
        <v>0.35</v>
      </c>
      <c r="I225" s="2" t="s">
        <v>10030</v>
      </c>
      <c r="J225" s="2" t="n">
        <f aca="false">IF(COUNTIFS($G$2:G225,G225,$A$2:A225,A225)=1,1,0)</f>
        <v>1</v>
      </c>
    </row>
    <row r="226" customFormat="false" ht="15" hidden="false" customHeight="false" outlineLevel="0" collapsed="false">
      <c r="A226" s="2" t="s">
        <v>10508</v>
      </c>
      <c r="B226" s="2" t="s">
        <v>10509</v>
      </c>
      <c r="C226" s="2" t="s">
        <v>10542</v>
      </c>
      <c r="D226" s="2" t="s">
        <v>10543</v>
      </c>
      <c r="E226" s="2" t="s">
        <v>10050</v>
      </c>
      <c r="F226" s="2"/>
      <c r="G226" s="2" t="str">
        <f aca="false">LEFT(C226,3)</f>
        <v>826</v>
      </c>
      <c r="H226" s="16" t="n">
        <v>0.35</v>
      </c>
      <c r="I226" s="2" t="s">
        <v>10030</v>
      </c>
      <c r="J226" s="2" t="n">
        <f aca="false">IF(COUNTIFS($G$2:G226,G226,$A$2:A226,A226)=1,1,0)</f>
        <v>0</v>
      </c>
    </row>
    <row r="227" customFormat="false" ht="15" hidden="false" customHeight="false" outlineLevel="0" collapsed="false">
      <c r="A227" s="2" t="s">
        <v>10508</v>
      </c>
      <c r="B227" s="2" t="s">
        <v>10509</v>
      </c>
      <c r="C227" s="2" t="s">
        <v>10544</v>
      </c>
      <c r="D227" s="2" t="s">
        <v>10545</v>
      </c>
      <c r="E227" s="2" t="s">
        <v>10050</v>
      </c>
      <c r="F227" s="2"/>
      <c r="G227" s="2" t="str">
        <f aca="false">LEFT(C227,3)</f>
        <v>826</v>
      </c>
      <c r="H227" s="16" t="n">
        <v>0.35</v>
      </c>
      <c r="I227" s="2" t="s">
        <v>10030</v>
      </c>
      <c r="J227" s="2" t="n">
        <f aca="false">IF(COUNTIFS($G$2:G227,G227,$A$2:A227,A227)=1,1,0)</f>
        <v>0</v>
      </c>
    </row>
    <row r="228" customFormat="false" ht="15" hidden="false" customHeight="false" outlineLevel="0" collapsed="false">
      <c r="A228" s="2" t="s">
        <v>10508</v>
      </c>
      <c r="B228" s="2" t="s">
        <v>10509</v>
      </c>
      <c r="C228" s="2" t="s">
        <v>10546</v>
      </c>
      <c r="D228" s="2" t="s">
        <v>10547</v>
      </c>
      <c r="E228" s="2" t="s">
        <v>10050</v>
      </c>
      <c r="F228" s="2"/>
      <c r="G228" s="2" t="str">
        <f aca="false">LEFT(C228,3)</f>
        <v>826</v>
      </c>
      <c r="H228" s="16" t="n">
        <v>0.35</v>
      </c>
      <c r="I228" s="2" t="s">
        <v>10030</v>
      </c>
      <c r="J228" s="2" t="n">
        <f aca="false">IF(COUNTIFS($G$2:G228,G228,$A$2:A228,A228)=1,1,0)</f>
        <v>0</v>
      </c>
    </row>
    <row r="229" customFormat="false" ht="15" hidden="false" customHeight="false" outlineLevel="0" collapsed="false">
      <c r="A229" s="2" t="s">
        <v>10508</v>
      </c>
      <c r="B229" s="2" t="s">
        <v>10509</v>
      </c>
      <c r="C229" s="2" t="s">
        <v>10548</v>
      </c>
      <c r="D229" s="2" t="s">
        <v>10549</v>
      </c>
      <c r="E229" s="2" t="s">
        <v>10050</v>
      </c>
      <c r="F229" s="2"/>
      <c r="G229" s="2" t="str">
        <f aca="false">LEFT(C229,3)</f>
        <v>826</v>
      </c>
      <c r="H229" s="16" t="n">
        <v>0.35</v>
      </c>
      <c r="I229" s="2" t="s">
        <v>10030</v>
      </c>
      <c r="J229" s="2" t="n">
        <f aca="false">IF(COUNTIFS($G$2:G229,G229,$A$2:A229,A229)=1,1,0)</f>
        <v>0</v>
      </c>
    </row>
    <row r="230" customFormat="false" ht="15" hidden="false" customHeight="false" outlineLevel="0" collapsed="false">
      <c r="A230" s="2" t="s">
        <v>10508</v>
      </c>
      <c r="B230" s="2" t="s">
        <v>10509</v>
      </c>
      <c r="C230" s="2" t="s">
        <v>10550</v>
      </c>
      <c r="D230" s="2" t="s">
        <v>10551</v>
      </c>
      <c r="E230" s="2" t="s">
        <v>10050</v>
      </c>
      <c r="F230" s="2"/>
      <c r="G230" s="2" t="str">
        <f aca="false">LEFT(C230,3)</f>
        <v>826</v>
      </c>
      <c r="H230" s="16" t="n">
        <v>0.35</v>
      </c>
      <c r="I230" s="2" t="s">
        <v>10030</v>
      </c>
      <c r="J230" s="2" t="n">
        <f aca="false">IF(COUNTIFS($G$2:G230,G230,$A$2:A230,A230)=1,1,0)</f>
        <v>0</v>
      </c>
    </row>
    <row r="231" customFormat="false" ht="15" hidden="false" customHeight="false" outlineLevel="0" collapsed="false">
      <c r="A231" s="2" t="s">
        <v>10508</v>
      </c>
      <c r="B231" s="2" t="s">
        <v>10509</v>
      </c>
      <c r="C231" s="2" t="s">
        <v>10552</v>
      </c>
      <c r="D231" s="2" t="s">
        <v>10553</v>
      </c>
      <c r="E231" s="2" t="s">
        <v>10050</v>
      </c>
      <c r="F231" s="2"/>
      <c r="G231" s="2" t="str">
        <f aca="false">LEFT(C231,3)</f>
        <v>826</v>
      </c>
      <c r="H231" s="16" t="n">
        <v>0.35</v>
      </c>
      <c r="I231" s="2" t="s">
        <v>10030</v>
      </c>
      <c r="J231" s="2" t="n">
        <f aca="false">IF(COUNTIFS($G$2:G231,G231,$A$2:A231,A231)=1,1,0)</f>
        <v>0</v>
      </c>
    </row>
    <row r="232" customFormat="false" ht="15" hidden="false" customHeight="false" outlineLevel="0" collapsed="false">
      <c r="A232" s="2" t="s">
        <v>10508</v>
      </c>
      <c r="B232" s="2" t="s">
        <v>10509</v>
      </c>
      <c r="C232" s="2" t="s">
        <v>10554</v>
      </c>
      <c r="D232" s="2" t="s">
        <v>10555</v>
      </c>
      <c r="E232" s="2" t="s">
        <v>10050</v>
      </c>
      <c r="F232" s="2"/>
      <c r="G232" s="2" t="str">
        <f aca="false">LEFT(C232,3)</f>
        <v>827</v>
      </c>
      <c r="H232" s="16" t="n">
        <v>0.35</v>
      </c>
      <c r="I232" s="2" t="s">
        <v>10030</v>
      </c>
      <c r="J232" s="2" t="n">
        <f aca="false">IF(COUNTIFS($G$2:G232,G232,$A$2:A232,A232)=1,1,0)</f>
        <v>1</v>
      </c>
    </row>
    <row r="233" customFormat="false" ht="15" hidden="false" customHeight="false" outlineLevel="0" collapsed="false">
      <c r="A233" s="2" t="s">
        <v>10508</v>
      </c>
      <c r="B233" s="2" t="s">
        <v>10509</v>
      </c>
      <c r="C233" s="2" t="s">
        <v>10556</v>
      </c>
      <c r="D233" s="2" t="s">
        <v>10557</v>
      </c>
      <c r="E233" s="2" t="s">
        <v>10050</v>
      </c>
      <c r="F233" s="2"/>
      <c r="G233" s="2" t="str">
        <f aca="false">LEFT(C233,3)</f>
        <v>827</v>
      </c>
      <c r="H233" s="16" t="n">
        <v>0.35</v>
      </c>
      <c r="I233" s="2" t="s">
        <v>10030</v>
      </c>
      <c r="J233" s="2" t="n">
        <f aca="false">IF(COUNTIFS($G$2:G233,G233,$A$2:A233,A233)=1,1,0)</f>
        <v>0</v>
      </c>
    </row>
    <row r="234" customFormat="false" ht="15" hidden="false" customHeight="false" outlineLevel="0" collapsed="false">
      <c r="A234" s="2" t="s">
        <v>10508</v>
      </c>
      <c r="B234" s="2" t="s">
        <v>10509</v>
      </c>
      <c r="C234" s="2" t="s">
        <v>10558</v>
      </c>
      <c r="D234" s="2" t="s">
        <v>10559</v>
      </c>
      <c r="E234" s="2" t="s">
        <v>10050</v>
      </c>
      <c r="F234" s="2"/>
      <c r="G234" s="2" t="str">
        <f aca="false">LEFT(C234,3)</f>
        <v>827</v>
      </c>
      <c r="H234" s="16" t="n">
        <v>0.35</v>
      </c>
      <c r="I234" s="2" t="s">
        <v>10030</v>
      </c>
      <c r="J234" s="2" t="n">
        <f aca="false">IF(COUNTIFS($G$2:G234,G234,$A$2:A234,A234)=1,1,0)</f>
        <v>0</v>
      </c>
    </row>
    <row r="235" customFormat="false" ht="15" hidden="false" customHeight="false" outlineLevel="0" collapsed="false">
      <c r="A235" s="2" t="s">
        <v>10508</v>
      </c>
      <c r="B235" s="2" t="s">
        <v>10509</v>
      </c>
      <c r="C235" s="2" t="s">
        <v>10560</v>
      </c>
      <c r="D235" s="2" t="s">
        <v>10561</v>
      </c>
      <c r="E235" s="2" t="s">
        <v>10050</v>
      </c>
      <c r="F235" s="2"/>
      <c r="G235" s="2" t="str">
        <f aca="false">LEFT(C235,3)</f>
        <v>827</v>
      </c>
      <c r="H235" s="16" t="n">
        <v>0.35</v>
      </c>
      <c r="I235" s="2" t="s">
        <v>10030</v>
      </c>
      <c r="J235" s="2" t="n">
        <f aca="false">IF(COUNTIFS($G$2:G235,G235,$A$2:A235,A235)=1,1,0)</f>
        <v>0</v>
      </c>
    </row>
    <row r="236" customFormat="false" ht="15" hidden="false" customHeight="false" outlineLevel="0" collapsed="false">
      <c r="A236" s="2" t="s">
        <v>10508</v>
      </c>
      <c r="B236" s="2" t="s">
        <v>10509</v>
      </c>
      <c r="C236" s="2" t="s">
        <v>10562</v>
      </c>
      <c r="D236" s="2" t="s">
        <v>10563</v>
      </c>
      <c r="E236" s="2" t="s">
        <v>10050</v>
      </c>
      <c r="F236" s="2"/>
      <c r="G236" s="2" t="str">
        <f aca="false">LEFT(C236,3)</f>
        <v>827</v>
      </c>
      <c r="H236" s="16" t="n">
        <v>0.35</v>
      </c>
      <c r="I236" s="2" t="s">
        <v>10030</v>
      </c>
      <c r="J236" s="2" t="n">
        <f aca="false">IF(COUNTIFS($G$2:G236,G236,$A$2:A236,A236)=1,1,0)</f>
        <v>0</v>
      </c>
    </row>
    <row r="237" customFormat="false" ht="15" hidden="false" customHeight="false" outlineLevel="0" collapsed="false">
      <c r="A237" s="2" t="s">
        <v>10508</v>
      </c>
      <c r="B237" s="2" t="s">
        <v>10509</v>
      </c>
      <c r="C237" s="2" t="s">
        <v>10564</v>
      </c>
      <c r="D237" s="2" t="s">
        <v>10565</v>
      </c>
      <c r="E237" s="2" t="s">
        <v>10050</v>
      </c>
      <c r="F237" s="2"/>
      <c r="G237" s="2" t="str">
        <f aca="false">LEFT(C237,3)</f>
        <v>827</v>
      </c>
      <c r="H237" s="16" t="n">
        <v>0.35</v>
      </c>
      <c r="I237" s="2" t="s">
        <v>10030</v>
      </c>
      <c r="J237" s="2" t="n">
        <f aca="false">IF(COUNTIFS($G$2:G237,G237,$A$2:A237,A237)=1,1,0)</f>
        <v>0</v>
      </c>
    </row>
    <row r="238" customFormat="false" ht="15" hidden="false" customHeight="false" outlineLevel="0" collapsed="false">
      <c r="A238" s="2" t="s">
        <v>10508</v>
      </c>
      <c r="B238" s="2" t="s">
        <v>10509</v>
      </c>
      <c r="C238" s="2" t="s">
        <v>10566</v>
      </c>
      <c r="D238" s="2" t="s">
        <v>10567</v>
      </c>
      <c r="E238" s="2" t="s">
        <v>10050</v>
      </c>
      <c r="F238" s="2"/>
      <c r="G238" s="2" t="str">
        <f aca="false">LEFT(C238,3)</f>
        <v>827</v>
      </c>
      <c r="H238" s="16" t="n">
        <v>0.35</v>
      </c>
      <c r="I238" s="2" t="s">
        <v>10030</v>
      </c>
      <c r="J238" s="2" t="n">
        <f aca="false">IF(COUNTIFS($G$2:G238,G238,$A$2:A238,A238)=1,1,0)</f>
        <v>0</v>
      </c>
    </row>
    <row r="239" customFormat="false" ht="15" hidden="false" customHeight="false" outlineLevel="0" collapsed="false">
      <c r="A239" s="2" t="s">
        <v>10508</v>
      </c>
      <c r="B239" s="2" t="s">
        <v>10509</v>
      </c>
      <c r="C239" s="2" t="s">
        <v>10568</v>
      </c>
      <c r="D239" s="2" t="s">
        <v>10569</v>
      </c>
      <c r="E239" s="2" t="s">
        <v>10050</v>
      </c>
      <c r="F239" s="2"/>
      <c r="G239" s="2" t="str">
        <f aca="false">LEFT(C239,3)</f>
        <v>827</v>
      </c>
      <c r="H239" s="16" t="n">
        <v>0.35</v>
      </c>
      <c r="I239" s="2" t="s">
        <v>10030</v>
      </c>
      <c r="J239" s="2" t="n">
        <f aca="false">IF(COUNTIFS($G$2:G239,G239,$A$2:A239,A239)=1,1,0)</f>
        <v>0</v>
      </c>
    </row>
    <row r="240" customFormat="false" ht="15" hidden="false" customHeight="false" outlineLevel="0" collapsed="false">
      <c r="A240" s="2" t="s">
        <v>10508</v>
      </c>
      <c r="B240" s="2" t="s">
        <v>10509</v>
      </c>
      <c r="C240" s="2" t="s">
        <v>10570</v>
      </c>
      <c r="D240" s="2" t="s">
        <v>10571</v>
      </c>
      <c r="E240" s="2" t="s">
        <v>10050</v>
      </c>
      <c r="F240" s="2"/>
      <c r="G240" s="2" t="str">
        <f aca="false">LEFT(C240,3)</f>
        <v>827</v>
      </c>
      <c r="H240" s="16" t="n">
        <v>0.35</v>
      </c>
      <c r="I240" s="2" t="s">
        <v>10030</v>
      </c>
      <c r="J240" s="2" t="n">
        <f aca="false">IF(COUNTIFS($G$2:G240,G240,$A$2:A240,A240)=1,1,0)</f>
        <v>0</v>
      </c>
    </row>
    <row r="241" customFormat="false" ht="15" hidden="false" customHeight="false" outlineLevel="0" collapsed="false">
      <c r="A241" s="2" t="s">
        <v>10508</v>
      </c>
      <c r="B241" s="2" t="s">
        <v>10509</v>
      </c>
      <c r="C241" s="2" t="s">
        <v>10572</v>
      </c>
      <c r="D241" s="2" t="s">
        <v>10573</v>
      </c>
      <c r="E241" s="2" t="s">
        <v>10050</v>
      </c>
      <c r="F241" s="2"/>
      <c r="G241" s="2" t="str">
        <f aca="false">LEFT(C241,3)</f>
        <v>828</v>
      </c>
      <c r="H241" s="16" t="n">
        <v>0.35</v>
      </c>
      <c r="I241" s="2" t="s">
        <v>10030</v>
      </c>
      <c r="J241" s="2" t="n">
        <f aca="false">IF(COUNTIFS($G$2:G241,G241,$A$2:A241,A241)=1,1,0)</f>
        <v>1</v>
      </c>
    </row>
    <row r="242" customFormat="false" ht="15" hidden="false" customHeight="false" outlineLevel="0" collapsed="false">
      <c r="A242" s="2" t="s">
        <v>10508</v>
      </c>
      <c r="B242" s="2" t="s">
        <v>10509</v>
      </c>
      <c r="C242" s="2" t="s">
        <v>10574</v>
      </c>
      <c r="D242" s="2" t="s">
        <v>10575</v>
      </c>
      <c r="E242" s="2" t="s">
        <v>10050</v>
      </c>
      <c r="F242" s="2"/>
      <c r="G242" s="2" t="str">
        <f aca="false">LEFT(C242,3)</f>
        <v>828</v>
      </c>
      <c r="H242" s="16" t="n">
        <v>0.35</v>
      </c>
      <c r="I242" s="2" t="s">
        <v>10030</v>
      </c>
      <c r="J242" s="2" t="n">
        <f aca="false">IF(COUNTIFS($G$2:G242,G242,$A$2:A242,A242)=1,1,0)</f>
        <v>0</v>
      </c>
    </row>
    <row r="243" customFormat="false" ht="15" hidden="false" customHeight="false" outlineLevel="0" collapsed="false">
      <c r="A243" s="2" t="s">
        <v>10508</v>
      </c>
      <c r="B243" s="2" t="s">
        <v>10509</v>
      </c>
      <c r="C243" s="2" t="s">
        <v>10576</v>
      </c>
      <c r="D243" s="2" t="s">
        <v>10577</v>
      </c>
      <c r="E243" s="2" t="s">
        <v>10050</v>
      </c>
      <c r="F243" s="2"/>
      <c r="G243" s="2" t="str">
        <f aca="false">LEFT(C243,3)</f>
        <v>828</v>
      </c>
      <c r="H243" s="16" t="n">
        <v>0.35</v>
      </c>
      <c r="I243" s="2" t="s">
        <v>10030</v>
      </c>
      <c r="J243" s="2" t="n">
        <f aca="false">IF(COUNTIFS($G$2:G243,G243,$A$2:A243,A243)=1,1,0)</f>
        <v>0</v>
      </c>
    </row>
    <row r="244" customFormat="false" ht="15" hidden="false" customHeight="false" outlineLevel="0" collapsed="false">
      <c r="A244" s="2" t="s">
        <v>10508</v>
      </c>
      <c r="B244" s="2" t="s">
        <v>10509</v>
      </c>
      <c r="C244" s="2" t="s">
        <v>10578</v>
      </c>
      <c r="D244" s="2" t="s">
        <v>10579</v>
      </c>
      <c r="E244" s="2" t="s">
        <v>10050</v>
      </c>
      <c r="F244" s="2"/>
      <c r="G244" s="2" t="str">
        <f aca="false">LEFT(C244,3)</f>
        <v>828</v>
      </c>
      <c r="H244" s="16" t="n">
        <v>0.35</v>
      </c>
      <c r="I244" s="2" t="s">
        <v>10030</v>
      </c>
      <c r="J244" s="2" t="n">
        <f aca="false">IF(COUNTIFS($G$2:G244,G244,$A$2:A244,A244)=1,1,0)</f>
        <v>0</v>
      </c>
    </row>
    <row r="245" customFormat="false" ht="15" hidden="false" customHeight="false" outlineLevel="0" collapsed="false">
      <c r="A245" s="2" t="s">
        <v>10508</v>
      </c>
      <c r="B245" s="2" t="s">
        <v>10509</v>
      </c>
      <c r="C245" s="2" t="s">
        <v>10580</v>
      </c>
      <c r="D245" s="2" t="s">
        <v>10581</v>
      </c>
      <c r="E245" s="2" t="s">
        <v>10050</v>
      </c>
      <c r="F245" s="2"/>
      <c r="G245" s="2" t="str">
        <f aca="false">LEFT(C245,3)</f>
        <v>828</v>
      </c>
      <c r="H245" s="16" t="n">
        <v>0.35</v>
      </c>
      <c r="I245" s="2" t="s">
        <v>10030</v>
      </c>
      <c r="J245" s="2" t="n">
        <f aca="false">IF(COUNTIFS($G$2:G245,G245,$A$2:A245,A245)=1,1,0)</f>
        <v>0</v>
      </c>
    </row>
    <row r="246" customFormat="false" ht="15" hidden="false" customHeight="false" outlineLevel="0" collapsed="false">
      <c r="A246" s="2" t="s">
        <v>10508</v>
      </c>
      <c r="B246" s="2" t="s">
        <v>10509</v>
      </c>
      <c r="C246" s="2" t="s">
        <v>10582</v>
      </c>
      <c r="D246" s="2" t="s">
        <v>10583</v>
      </c>
      <c r="E246" s="2" t="s">
        <v>10050</v>
      </c>
      <c r="F246" s="2"/>
      <c r="G246" s="2" t="str">
        <f aca="false">LEFT(C246,3)</f>
        <v>828</v>
      </c>
      <c r="H246" s="16" t="n">
        <v>0.35</v>
      </c>
      <c r="I246" s="2" t="s">
        <v>10030</v>
      </c>
      <c r="J246" s="2" t="n">
        <f aca="false">IF(COUNTIFS($G$2:G246,G246,$A$2:A246,A246)=1,1,0)</f>
        <v>0</v>
      </c>
    </row>
    <row r="247" customFormat="false" ht="15" hidden="false" customHeight="false" outlineLevel="0" collapsed="false">
      <c r="A247" s="2" t="s">
        <v>10508</v>
      </c>
      <c r="B247" s="2" t="s">
        <v>10509</v>
      </c>
      <c r="C247" s="2" t="s">
        <v>10584</v>
      </c>
      <c r="D247" s="2" t="s">
        <v>10585</v>
      </c>
      <c r="E247" s="2" t="s">
        <v>10050</v>
      </c>
      <c r="F247" s="2"/>
      <c r="G247" s="2" t="str">
        <f aca="false">LEFT(C247,3)</f>
        <v>829</v>
      </c>
      <c r="H247" s="16" t="n">
        <v>0.35</v>
      </c>
      <c r="I247" s="2" t="s">
        <v>10030</v>
      </c>
      <c r="J247" s="2" t="n">
        <f aca="false">IF(COUNTIFS($G$2:G247,G247,$A$2:A247,A247)=1,1,0)</f>
        <v>1</v>
      </c>
    </row>
    <row r="248" customFormat="false" ht="15" hidden="false" customHeight="false" outlineLevel="0" collapsed="false">
      <c r="A248" s="2" t="s">
        <v>10586</v>
      </c>
      <c r="B248" s="2" t="s">
        <v>10587</v>
      </c>
      <c r="C248" s="2" t="s">
        <v>10091</v>
      </c>
      <c r="D248" s="2" t="s">
        <v>10112</v>
      </c>
      <c r="E248" s="2" t="s">
        <v>10050</v>
      </c>
      <c r="F248" s="2"/>
      <c r="G248" s="2" t="str">
        <f aca="false">LEFT(C248,3)</f>
        <v>122</v>
      </c>
      <c r="H248" s="16" t="n">
        <v>0.28</v>
      </c>
      <c r="I248" s="2" t="s">
        <v>10025</v>
      </c>
      <c r="J248" s="2" t="n">
        <f aca="false">IF(COUNTIFS($G$2:G248,G248,$A$2:A248,A248)=1,1,0)</f>
        <v>1</v>
      </c>
    </row>
    <row r="249" customFormat="false" ht="15" hidden="false" customHeight="false" outlineLevel="0" collapsed="false">
      <c r="A249" s="2" t="s">
        <v>10586</v>
      </c>
      <c r="B249" s="2" t="s">
        <v>10587</v>
      </c>
      <c r="C249" s="2" t="s">
        <v>10588</v>
      </c>
      <c r="D249" s="2" t="s">
        <v>10589</v>
      </c>
      <c r="E249" s="2" t="s">
        <v>10050</v>
      </c>
      <c r="F249" s="2"/>
      <c r="G249" s="2" t="str">
        <f aca="false">LEFT(C249,3)</f>
        <v>712</v>
      </c>
      <c r="H249" s="16" t="n">
        <v>0.28</v>
      </c>
      <c r="I249" s="2" t="s">
        <v>10025</v>
      </c>
      <c r="J249" s="2" t="n">
        <f aca="false">IF(COUNTIFS($G$2:G249,G249,$A$2:A249,A249)=1,1,0)</f>
        <v>1</v>
      </c>
    </row>
    <row r="250" customFormat="false" ht="15" hidden="false" customHeight="false" outlineLevel="0" collapsed="false">
      <c r="A250" s="2" t="s">
        <v>10590</v>
      </c>
      <c r="B250" s="2" t="s">
        <v>10591</v>
      </c>
      <c r="C250" s="2" t="s">
        <v>10592</v>
      </c>
      <c r="D250" s="2" t="s">
        <v>10593</v>
      </c>
      <c r="E250" s="2"/>
      <c r="F250" s="2"/>
      <c r="G250" s="2" t="str">
        <f aca="false">LEFT(C250,3)</f>
        <v>816</v>
      </c>
      <c r="H250" s="16" t="n">
        <v>0.28</v>
      </c>
      <c r="I250" s="2" t="s">
        <v>10025</v>
      </c>
      <c r="J250" s="2" t="n">
        <f aca="false">IF(COUNTIFS($G$2:G250,G250,$A$2:A250,A250)=1,1,0)</f>
        <v>1</v>
      </c>
    </row>
    <row r="251" customFormat="false" ht="15" hidden="false" customHeight="false" outlineLevel="0" collapsed="false">
      <c r="A251" s="2" t="s">
        <v>10594</v>
      </c>
      <c r="B251" s="2" t="s">
        <v>10595</v>
      </c>
      <c r="C251" s="2" t="s">
        <v>10596</v>
      </c>
      <c r="D251" s="2" t="s">
        <v>10597</v>
      </c>
      <c r="E251" s="2"/>
      <c r="F251" s="2"/>
      <c r="G251" s="2" t="str">
        <f aca="false">LEFT(C251,3)</f>
        <v>816</v>
      </c>
      <c r="H251" s="16" t="n">
        <v>0.27</v>
      </c>
      <c r="I251" s="2" t="s">
        <v>10025</v>
      </c>
      <c r="J251" s="2" t="n">
        <f aca="false">IF(COUNTIFS($G$2:G251,G251,$A$2:A251,A251)=1,1,0)</f>
        <v>1</v>
      </c>
    </row>
    <row r="252" customFormat="false" ht="15" hidden="false" customHeight="false" outlineLevel="0" collapsed="false">
      <c r="A252" s="2" t="s">
        <v>10598</v>
      </c>
      <c r="B252" s="2" t="s">
        <v>10599</v>
      </c>
      <c r="C252" s="2" t="s">
        <v>10600</v>
      </c>
      <c r="D252" s="2" t="s">
        <v>10601</v>
      </c>
      <c r="E252" s="2" t="s">
        <v>10050</v>
      </c>
      <c r="F252" s="2"/>
      <c r="G252" s="2" t="str">
        <f aca="false">LEFT(C252,3)</f>
        <v>815</v>
      </c>
      <c r="H252" s="16" t="n">
        <v>0.29</v>
      </c>
      <c r="I252" s="2" t="s">
        <v>10025</v>
      </c>
      <c r="J252" s="2" t="n">
        <f aca="false">IF(COUNTIFS($G$2:G252,G252,$A$2:A252,A252)=1,1,0)</f>
        <v>1</v>
      </c>
    </row>
    <row r="253" customFormat="false" ht="15" hidden="false" customHeight="false" outlineLevel="0" collapsed="false">
      <c r="A253" s="2" t="s">
        <v>10598</v>
      </c>
      <c r="B253" s="2" t="s">
        <v>10599</v>
      </c>
      <c r="C253" s="2" t="s">
        <v>10602</v>
      </c>
      <c r="D253" s="2" t="s">
        <v>10603</v>
      </c>
      <c r="E253" s="2" t="s">
        <v>10050</v>
      </c>
      <c r="F253" s="2"/>
      <c r="G253" s="2" t="str">
        <f aca="false">LEFT(C253,3)</f>
        <v>815</v>
      </c>
      <c r="H253" s="16" t="n">
        <v>0.29</v>
      </c>
      <c r="I253" s="2" t="s">
        <v>10025</v>
      </c>
      <c r="J253" s="2" t="n">
        <f aca="false">IF(COUNTIFS($G$2:G253,G253,$A$2:A253,A253)=1,1,0)</f>
        <v>0</v>
      </c>
    </row>
    <row r="254" customFormat="false" ht="15" hidden="false" customHeight="false" outlineLevel="0" collapsed="false">
      <c r="A254" s="2" t="s">
        <v>10598</v>
      </c>
      <c r="B254" s="2" t="s">
        <v>10599</v>
      </c>
      <c r="C254" s="2" t="s">
        <v>10604</v>
      </c>
      <c r="D254" s="2" t="s">
        <v>10605</v>
      </c>
      <c r="E254" s="2" t="s">
        <v>10050</v>
      </c>
      <c r="F254" s="2"/>
      <c r="G254" s="2" t="str">
        <f aca="false">LEFT(C254,3)</f>
        <v>815</v>
      </c>
      <c r="H254" s="16" t="n">
        <v>0.29</v>
      </c>
      <c r="I254" s="2" t="s">
        <v>10025</v>
      </c>
      <c r="J254" s="2" t="n">
        <f aca="false">IF(COUNTIFS($G$2:G254,G254,$A$2:A254,A254)=1,1,0)</f>
        <v>0</v>
      </c>
    </row>
    <row r="255" customFormat="false" ht="15" hidden="false" customHeight="false" outlineLevel="0" collapsed="false">
      <c r="A255" s="2" t="s">
        <v>10598</v>
      </c>
      <c r="B255" s="2" t="s">
        <v>10599</v>
      </c>
      <c r="C255" s="2" t="s">
        <v>10606</v>
      </c>
      <c r="D255" s="2" t="s">
        <v>10607</v>
      </c>
      <c r="E255" s="2" t="s">
        <v>10050</v>
      </c>
      <c r="F255" s="2"/>
      <c r="G255" s="2" t="str">
        <f aca="false">LEFT(C255,3)</f>
        <v>815</v>
      </c>
      <c r="H255" s="16" t="n">
        <v>0.29</v>
      </c>
      <c r="I255" s="2" t="s">
        <v>10025</v>
      </c>
      <c r="J255" s="2" t="n">
        <f aca="false">IF(COUNTIFS($G$2:G255,G255,$A$2:A255,A255)=1,1,0)</f>
        <v>0</v>
      </c>
    </row>
    <row r="256" customFormat="false" ht="15" hidden="false" customHeight="false" outlineLevel="0" collapsed="false">
      <c r="A256" s="2" t="s">
        <v>10608</v>
      </c>
      <c r="B256" s="2" t="s">
        <v>10609</v>
      </c>
      <c r="C256" s="2" t="s">
        <v>10610</v>
      </c>
      <c r="D256" s="2" t="s">
        <v>10611</v>
      </c>
      <c r="E256" s="2" t="s">
        <v>10050</v>
      </c>
      <c r="F256" s="2"/>
      <c r="G256" s="2" t="str">
        <f aca="false">LEFT(C256,3)</f>
        <v>815</v>
      </c>
      <c r="H256" s="16" t="n">
        <v>0.29</v>
      </c>
      <c r="I256" s="2" t="s">
        <v>10025</v>
      </c>
      <c r="J256" s="2" t="n">
        <f aca="false">IF(COUNTIFS($G$2:G256,G256,$A$2:A256,A256)=1,1,0)</f>
        <v>1</v>
      </c>
    </row>
    <row r="257" customFormat="false" ht="15" hidden="false" customHeight="false" outlineLevel="0" collapsed="false">
      <c r="A257" s="2" t="s">
        <v>10612</v>
      </c>
      <c r="B257" s="2" t="s">
        <v>10613</v>
      </c>
      <c r="C257" s="2" t="s">
        <v>10614</v>
      </c>
      <c r="D257" s="2" t="s">
        <v>10615</v>
      </c>
      <c r="E257" s="2" t="s">
        <v>10050</v>
      </c>
      <c r="F257" s="2"/>
      <c r="G257" s="2" t="str">
        <f aca="false">LEFT(C257,3)</f>
        <v>812</v>
      </c>
      <c r="H257" s="16" t="n">
        <v>0.31</v>
      </c>
      <c r="I257" s="2" t="s">
        <v>10030</v>
      </c>
      <c r="J257" s="2" t="n">
        <f aca="false">IF(COUNTIFS($G$2:G257,G257,$A$2:A257,A257)=1,1,0)</f>
        <v>1</v>
      </c>
    </row>
    <row r="258" customFormat="false" ht="15" hidden="false" customHeight="false" outlineLevel="0" collapsed="false">
      <c r="A258" s="2" t="s">
        <v>10612</v>
      </c>
      <c r="B258" s="2" t="s">
        <v>10613</v>
      </c>
      <c r="C258" s="2" t="s">
        <v>10616</v>
      </c>
      <c r="D258" s="2" t="s">
        <v>10617</v>
      </c>
      <c r="E258" s="2" t="s">
        <v>10050</v>
      </c>
      <c r="F258" s="2"/>
      <c r="G258" s="2" t="str">
        <f aca="false">LEFT(C258,3)</f>
        <v>812</v>
      </c>
      <c r="H258" s="16" t="n">
        <v>0.31</v>
      </c>
      <c r="I258" s="2" t="s">
        <v>10030</v>
      </c>
      <c r="J258" s="2" t="n">
        <f aca="false">IF(COUNTIFS($G$2:G258,G258,$A$2:A258,A258)=1,1,0)</f>
        <v>0</v>
      </c>
    </row>
    <row r="259" customFormat="false" ht="15" hidden="false" customHeight="false" outlineLevel="0" collapsed="false">
      <c r="A259" s="2" t="s">
        <v>10612</v>
      </c>
      <c r="B259" s="2" t="s">
        <v>10613</v>
      </c>
      <c r="C259" s="2" t="s">
        <v>10618</v>
      </c>
      <c r="D259" s="2" t="s">
        <v>10619</v>
      </c>
      <c r="E259" s="2" t="s">
        <v>10050</v>
      </c>
      <c r="F259" s="2"/>
      <c r="G259" s="2" t="str">
        <f aca="false">LEFT(C259,3)</f>
        <v>812</v>
      </c>
      <c r="H259" s="16" t="n">
        <v>0.31</v>
      </c>
      <c r="I259" s="2" t="s">
        <v>10030</v>
      </c>
      <c r="J259" s="2" t="n">
        <f aca="false">IF(COUNTIFS($G$2:G259,G259,$A$2:A259,A259)=1,1,0)</f>
        <v>0</v>
      </c>
    </row>
    <row r="260" customFormat="false" ht="15" hidden="false" customHeight="false" outlineLevel="0" collapsed="false">
      <c r="A260" s="2" t="s">
        <v>10612</v>
      </c>
      <c r="B260" s="2" t="s">
        <v>10613</v>
      </c>
      <c r="C260" s="2" t="s">
        <v>10620</v>
      </c>
      <c r="D260" s="2" t="s">
        <v>10621</v>
      </c>
      <c r="E260" s="2" t="s">
        <v>10050</v>
      </c>
      <c r="F260" s="2"/>
      <c r="G260" s="2" t="str">
        <f aca="false">LEFT(C260,3)</f>
        <v>812</v>
      </c>
      <c r="H260" s="16" t="n">
        <v>0.31</v>
      </c>
      <c r="I260" s="2" t="s">
        <v>10030</v>
      </c>
      <c r="J260" s="2" t="n">
        <f aca="false">IF(COUNTIFS($G$2:G260,G260,$A$2:A260,A260)=1,1,0)</f>
        <v>0</v>
      </c>
    </row>
    <row r="261" customFormat="false" ht="15" hidden="false" customHeight="false" outlineLevel="0" collapsed="false">
      <c r="A261" s="2" t="s">
        <v>10622</v>
      </c>
      <c r="B261" s="2" t="s">
        <v>10623</v>
      </c>
      <c r="C261" s="2" t="s">
        <v>10586</v>
      </c>
      <c r="D261" s="2" t="s">
        <v>10624</v>
      </c>
      <c r="E261" s="2"/>
      <c r="F261" s="2"/>
      <c r="G261" s="2" t="str">
        <f aca="false">LEFT(C261,3)</f>
        <v>312</v>
      </c>
      <c r="H261" s="16"/>
      <c r="I261" s="2" t="s">
        <v>10169</v>
      </c>
      <c r="J261" s="2" t="n">
        <f aca="false">IF(COUNTIFS($G$2:G261,G261,$A$2:A261,A261)=1,1,0)</f>
        <v>1</v>
      </c>
    </row>
    <row r="262" customFormat="false" ht="15" hidden="false" customHeight="false" outlineLevel="0" collapsed="false">
      <c r="A262" s="2" t="s">
        <v>10622</v>
      </c>
      <c r="B262" s="2" t="s">
        <v>10623</v>
      </c>
      <c r="C262" s="2" t="s">
        <v>10625</v>
      </c>
      <c r="D262" s="2" t="s">
        <v>10626</v>
      </c>
      <c r="E262" s="2" t="s">
        <v>10050</v>
      </c>
      <c r="F262" s="2"/>
      <c r="G262" s="2" t="str">
        <f aca="false">LEFT(C262,3)</f>
        <v>814</v>
      </c>
      <c r="H262" s="16"/>
      <c r="I262" s="2" t="s">
        <v>10169</v>
      </c>
      <c r="J262" s="2" t="n">
        <f aca="false">IF(COUNTIFS($G$2:G262,G262,$A$2:A262,A262)=1,1,0)</f>
        <v>1</v>
      </c>
    </row>
    <row r="263" customFormat="false" ht="15" hidden="false" customHeight="false" outlineLevel="0" collapsed="false">
      <c r="A263" s="2" t="s">
        <v>10622</v>
      </c>
      <c r="B263" s="2" t="s">
        <v>10623</v>
      </c>
      <c r="C263" s="2" t="s">
        <v>10627</v>
      </c>
      <c r="D263" s="2" t="s">
        <v>10628</v>
      </c>
      <c r="E263" s="2" t="s">
        <v>10050</v>
      </c>
      <c r="F263" s="2"/>
      <c r="G263" s="2" t="str">
        <f aca="false">LEFT(C263,3)</f>
        <v>814</v>
      </c>
      <c r="H263" s="16"/>
      <c r="I263" s="2" t="s">
        <v>10169</v>
      </c>
      <c r="J263" s="2" t="n">
        <f aca="false">IF(COUNTIFS($G$2:G263,G263,$A$2:A263,A263)=1,1,0)</f>
        <v>0</v>
      </c>
    </row>
    <row r="264" customFormat="false" ht="15" hidden="false" customHeight="false" outlineLevel="0" collapsed="false">
      <c r="A264" s="2" t="s">
        <v>10622</v>
      </c>
      <c r="B264" s="2" t="s">
        <v>10623</v>
      </c>
      <c r="C264" s="2" t="s">
        <v>10510</v>
      </c>
      <c r="D264" s="2" t="s">
        <v>10511</v>
      </c>
      <c r="E264" s="2" t="s">
        <v>10050</v>
      </c>
      <c r="F264" s="2"/>
      <c r="G264" s="2" t="str">
        <f aca="false">LEFT(C264,3)</f>
        <v>817</v>
      </c>
      <c r="H264" s="16"/>
      <c r="I264" s="2" t="s">
        <v>10169</v>
      </c>
      <c r="J264" s="2" t="n">
        <f aca="false">IF(COUNTIFS($G$2:G264,G264,$A$2:A264,A264)=1,1,0)</f>
        <v>1</v>
      </c>
    </row>
    <row r="265" customFormat="false" ht="15" hidden="false" customHeight="false" outlineLevel="0" collapsed="false">
      <c r="A265" s="2" t="s">
        <v>10622</v>
      </c>
      <c r="B265" s="2" t="s">
        <v>10623</v>
      </c>
      <c r="C265" s="2" t="s">
        <v>10512</v>
      </c>
      <c r="D265" s="2" t="s">
        <v>10513</v>
      </c>
      <c r="E265" s="2" t="s">
        <v>10050</v>
      </c>
      <c r="F265" s="2"/>
      <c r="G265" s="2" t="str">
        <f aca="false">LEFT(C265,3)</f>
        <v>817</v>
      </c>
      <c r="H265" s="16"/>
      <c r="I265" s="2" t="s">
        <v>10169</v>
      </c>
      <c r="J265" s="2" t="n">
        <f aca="false">IF(COUNTIFS($G$2:G265,G265,$A$2:A265,A265)=1,1,0)</f>
        <v>0</v>
      </c>
    </row>
    <row r="266" customFormat="false" ht="15" hidden="false" customHeight="false" outlineLevel="0" collapsed="false">
      <c r="A266" s="2" t="s">
        <v>10629</v>
      </c>
      <c r="B266" s="2" t="s">
        <v>10630</v>
      </c>
      <c r="C266" s="2" t="s">
        <v>10631</v>
      </c>
      <c r="D266" s="2" t="s">
        <v>10632</v>
      </c>
      <c r="E266" s="2" t="s">
        <v>10050</v>
      </c>
      <c r="F266" s="2"/>
      <c r="G266" s="2" t="str">
        <f aca="false">LEFT(C266,3)</f>
        <v>321</v>
      </c>
      <c r="H266" s="16" t="n">
        <v>0.38</v>
      </c>
      <c r="I266" s="2" t="s">
        <v>10152</v>
      </c>
      <c r="J266" s="2" t="n">
        <f aca="false">IF(COUNTIFS($G$2:G266,G266,$A$2:A266,A266)=1,1,0)</f>
        <v>1</v>
      </c>
    </row>
    <row r="267" customFormat="false" ht="15" hidden="false" customHeight="false" outlineLevel="0" collapsed="false">
      <c r="A267" s="2" t="s">
        <v>10633</v>
      </c>
      <c r="B267" s="2" t="s">
        <v>10634</v>
      </c>
      <c r="C267" s="2" t="s">
        <v>10635</v>
      </c>
      <c r="D267" s="2" t="s">
        <v>10636</v>
      </c>
      <c r="E267" s="2" t="s">
        <v>10050</v>
      </c>
      <c r="F267" s="2"/>
      <c r="G267" s="2" t="str">
        <f aca="false">LEFT(C267,3)</f>
        <v>321</v>
      </c>
      <c r="H267" s="16" t="n">
        <v>0.26</v>
      </c>
      <c r="I267" s="2" t="s">
        <v>10025</v>
      </c>
      <c r="J267" s="2" t="n">
        <f aca="false">IF(COUNTIFS($G$2:G267,G267,$A$2:A267,A267)=1,1,0)</f>
        <v>1</v>
      </c>
    </row>
    <row r="268" customFormat="false" ht="15" hidden="false" customHeight="false" outlineLevel="0" collapsed="false">
      <c r="A268" s="2" t="s">
        <v>10637</v>
      </c>
      <c r="B268" s="2" t="s">
        <v>10638</v>
      </c>
      <c r="C268" s="2" t="s">
        <v>10635</v>
      </c>
      <c r="D268" s="2" t="s">
        <v>10636</v>
      </c>
      <c r="E268" s="2" t="s">
        <v>10050</v>
      </c>
      <c r="F268" s="2"/>
      <c r="G268" s="2" t="str">
        <f aca="false">LEFT(C268,3)</f>
        <v>321</v>
      </c>
      <c r="H268" s="16" t="n">
        <v>0.21</v>
      </c>
      <c r="I268" s="2" t="s">
        <v>10025</v>
      </c>
      <c r="J268" s="2" t="n">
        <f aca="false">IF(COUNTIFS($G$2:G268,G268,$A$2:A268,A268)=1,1,0)</f>
        <v>1</v>
      </c>
    </row>
    <row r="269" customFormat="false" ht="15" hidden="false" customHeight="false" outlineLevel="0" collapsed="false">
      <c r="A269" s="2" t="s">
        <v>10477</v>
      </c>
      <c r="B269" s="2" t="s">
        <v>10639</v>
      </c>
      <c r="C269" s="2" t="s">
        <v>10629</v>
      </c>
      <c r="D269" s="2" t="s">
        <v>10640</v>
      </c>
      <c r="E269" s="2"/>
      <c r="F269" s="2"/>
      <c r="G269" s="2" t="str">
        <f aca="false">LEFT(C269,3)</f>
        <v>314</v>
      </c>
      <c r="H269" s="16" t="n">
        <v>0.23</v>
      </c>
      <c r="I269" s="2" t="s">
        <v>10025</v>
      </c>
      <c r="J269" s="2" t="n">
        <f aca="false">IF(COUNTIFS($G$2:G269,G269,$A$2:A269,A269)=1,1,0)</f>
        <v>1</v>
      </c>
    </row>
    <row r="270" customFormat="false" ht="15" hidden="false" customHeight="false" outlineLevel="0" collapsed="false">
      <c r="A270" s="2" t="s">
        <v>10281</v>
      </c>
      <c r="B270" s="2" t="s">
        <v>10641</v>
      </c>
      <c r="C270" s="2" t="s">
        <v>10633</v>
      </c>
      <c r="D270" s="2" t="s">
        <v>10642</v>
      </c>
      <c r="E270" s="2"/>
      <c r="F270" s="2"/>
      <c r="G270" s="2" t="str">
        <f aca="false">LEFT(C270,3)</f>
        <v>314</v>
      </c>
      <c r="H270" s="16" t="n">
        <v>0.29</v>
      </c>
      <c r="I270" s="2" t="s">
        <v>10025</v>
      </c>
      <c r="J270" s="2" t="n">
        <f aca="false">IF(COUNTIFS($G$2:G270,G270,$A$2:A270,A270)=1,1,0)</f>
        <v>1</v>
      </c>
    </row>
    <row r="271" customFormat="false" ht="15" hidden="false" customHeight="false" outlineLevel="0" collapsed="false">
      <c r="A271" s="2" t="s">
        <v>10643</v>
      </c>
      <c r="B271" s="2" t="s">
        <v>10644</v>
      </c>
      <c r="C271" s="2" t="s">
        <v>10637</v>
      </c>
      <c r="D271" s="2" t="s">
        <v>10645</v>
      </c>
      <c r="E271" s="2"/>
      <c r="F271" s="2"/>
      <c r="G271" s="2" t="str">
        <f aca="false">LEFT(C271,3)</f>
        <v>314</v>
      </c>
      <c r="H271" s="16" t="n">
        <v>0.27</v>
      </c>
      <c r="I271" s="2" t="s">
        <v>10025</v>
      </c>
      <c r="J271" s="2" t="n">
        <f aca="false">IF(COUNTIFS($G$2:G271,G271,$A$2:A271,A271)=1,1,0)</f>
        <v>1</v>
      </c>
    </row>
    <row r="272" customFormat="false" ht="15" hidden="false" customHeight="false" outlineLevel="0" collapsed="false">
      <c r="A272" s="2" t="s">
        <v>10643</v>
      </c>
      <c r="B272" s="2" t="s">
        <v>10644</v>
      </c>
      <c r="C272" s="2" t="s">
        <v>10337</v>
      </c>
      <c r="D272" s="2" t="s">
        <v>10338</v>
      </c>
      <c r="E272" s="2" t="s">
        <v>10050</v>
      </c>
      <c r="F272" s="2" t="s">
        <v>10646</v>
      </c>
      <c r="G272" s="2" t="str">
        <f aca="false">LEFT(C272,3)</f>
        <v>334</v>
      </c>
      <c r="H272" s="16" t="n">
        <v>0.27</v>
      </c>
      <c r="I272" s="2" t="s">
        <v>10025</v>
      </c>
      <c r="J272" s="2" t="n">
        <f aca="false">IF(COUNTIFS($G$2:G272,G272,$A$2:A272,A272)=1,1,0)</f>
        <v>1</v>
      </c>
    </row>
    <row r="273" customFormat="false" ht="15" hidden="false" customHeight="false" outlineLevel="0" collapsed="false">
      <c r="A273" s="2" t="s">
        <v>10647</v>
      </c>
      <c r="B273" s="2" t="s">
        <v>10648</v>
      </c>
      <c r="C273" s="2" t="s">
        <v>10649</v>
      </c>
      <c r="D273" s="2" t="s">
        <v>10650</v>
      </c>
      <c r="E273" s="2"/>
      <c r="F273" s="2"/>
      <c r="G273" s="2" t="str">
        <f aca="false">LEFT(C273,3)</f>
        <v>314</v>
      </c>
      <c r="H273" s="16" t="n">
        <v>0.31</v>
      </c>
      <c r="I273" s="2" t="s">
        <v>10030</v>
      </c>
      <c r="J273" s="2" t="n">
        <f aca="false">IF(COUNTIFS($G$2:G273,G273,$A$2:A273,A273)=1,1,0)</f>
        <v>1</v>
      </c>
    </row>
    <row r="274" customFormat="false" ht="15" hidden="false" customHeight="false" outlineLevel="0" collapsed="false">
      <c r="A274" s="2" t="s">
        <v>10651</v>
      </c>
      <c r="B274" s="2" t="s">
        <v>10652</v>
      </c>
      <c r="C274" s="2" t="s">
        <v>10653</v>
      </c>
      <c r="D274" s="2" t="s">
        <v>10654</v>
      </c>
      <c r="E274" s="2"/>
      <c r="F274" s="2"/>
      <c r="G274" s="2" t="str">
        <f aca="false">LEFT(C274,3)</f>
        <v>314</v>
      </c>
      <c r="H274" s="16" t="n">
        <v>0.34</v>
      </c>
      <c r="I274" s="2" t="s">
        <v>10030</v>
      </c>
      <c r="J274" s="2" t="n">
        <f aca="false">IF(COUNTIFS($G$2:G274,G274,$A$2:A274,A274)=1,1,0)</f>
        <v>1</v>
      </c>
    </row>
    <row r="275" customFormat="false" ht="15" hidden="false" customHeight="false" outlineLevel="0" collapsed="false">
      <c r="A275" s="2" t="s">
        <v>10631</v>
      </c>
      <c r="B275" s="2" t="s">
        <v>10655</v>
      </c>
      <c r="C275" s="2" t="s">
        <v>10598</v>
      </c>
      <c r="D275" s="2" t="s">
        <v>10656</v>
      </c>
      <c r="E275" s="2"/>
      <c r="F275" s="2"/>
      <c r="G275" s="2" t="str">
        <f aca="false">LEFT(C275,3)</f>
        <v>313</v>
      </c>
      <c r="H275" s="16" t="n">
        <v>0.22</v>
      </c>
      <c r="I275" s="2" t="s">
        <v>10025</v>
      </c>
      <c r="J275" s="2" t="n">
        <f aca="false">IF(COUNTIFS($G$2:G275,G275,$A$2:A275,A275)=1,1,0)</f>
        <v>1</v>
      </c>
    </row>
    <row r="276" customFormat="false" ht="15" hidden="false" customHeight="false" outlineLevel="0" collapsed="false">
      <c r="A276" s="2" t="s">
        <v>10635</v>
      </c>
      <c r="B276" s="2" t="s">
        <v>10657</v>
      </c>
      <c r="C276" s="2" t="s">
        <v>10631</v>
      </c>
      <c r="D276" s="2" t="s">
        <v>10632</v>
      </c>
      <c r="E276" s="2" t="s">
        <v>10050</v>
      </c>
      <c r="F276" s="2"/>
      <c r="G276" s="2" t="str">
        <f aca="false">LEFT(C276,3)</f>
        <v>321</v>
      </c>
      <c r="H276" s="16" t="n">
        <v>0.31</v>
      </c>
      <c r="I276" s="2" t="s">
        <v>10030</v>
      </c>
      <c r="J276" s="2" t="n">
        <f aca="false">IF(COUNTIFS($G$2:G276,G276,$A$2:A276,A276)=1,1,0)</f>
        <v>1</v>
      </c>
    </row>
    <row r="277" customFormat="false" ht="15" hidden="false" customHeight="false" outlineLevel="0" collapsed="false">
      <c r="A277" s="2" t="s">
        <v>10198</v>
      </c>
      <c r="B277" s="2" t="s">
        <v>10658</v>
      </c>
      <c r="C277" s="2" t="s">
        <v>10659</v>
      </c>
      <c r="D277" s="2" t="s">
        <v>10660</v>
      </c>
      <c r="E277" s="2"/>
      <c r="F277" s="2"/>
      <c r="G277" s="2" t="str">
        <f aca="false">LEFT(C277,3)</f>
        <v>322</v>
      </c>
      <c r="H277" s="16" t="n">
        <v>0.3</v>
      </c>
      <c r="I277" s="2" t="s">
        <v>10030</v>
      </c>
      <c r="J277" s="2" t="n">
        <f aca="false">IF(COUNTIFS($G$2:G277,G277,$A$2:A277,A277)=1,1,0)</f>
        <v>1</v>
      </c>
    </row>
    <row r="278" customFormat="false" ht="15" hidden="false" customHeight="false" outlineLevel="0" collapsed="false">
      <c r="A278" s="2" t="s">
        <v>10661</v>
      </c>
      <c r="B278" s="2" t="s">
        <v>10662</v>
      </c>
      <c r="C278" s="2" t="s">
        <v>10663</v>
      </c>
      <c r="D278" s="2" t="s">
        <v>10664</v>
      </c>
      <c r="E278" s="2" t="s">
        <v>10050</v>
      </c>
      <c r="F278" s="2"/>
      <c r="G278" s="2" t="str">
        <f aca="false">LEFT(C278,3)</f>
        <v>731</v>
      </c>
      <c r="H278" s="16" t="n">
        <v>0.18</v>
      </c>
      <c r="I278" s="2" t="s">
        <v>10025</v>
      </c>
      <c r="J278" s="2" t="n">
        <f aca="false">IF(COUNTIFS($G$2:G278,G278,$A$2:A278,A278)=1,1,0)</f>
        <v>1</v>
      </c>
    </row>
    <row r="279" customFormat="false" ht="15" hidden="false" customHeight="false" outlineLevel="0" collapsed="false">
      <c r="A279" s="2" t="s">
        <v>10264</v>
      </c>
      <c r="B279" s="2" t="s">
        <v>10665</v>
      </c>
      <c r="C279" s="2" t="s">
        <v>10135</v>
      </c>
      <c r="D279" s="2" t="s">
        <v>86</v>
      </c>
      <c r="E279" s="2" t="s">
        <v>10050</v>
      </c>
      <c r="F279" s="2"/>
      <c r="G279" s="2" t="str">
        <f aca="false">LEFT(C279,3)</f>
        <v>223</v>
      </c>
      <c r="H279" s="16" t="n">
        <v>0.22</v>
      </c>
      <c r="I279" s="2" t="s">
        <v>10030</v>
      </c>
      <c r="J279" s="2" t="n">
        <f aca="false">IF(COUNTIFS($G$2:G279,G279,$A$2:A279,A279)=1,1,0)</f>
        <v>1</v>
      </c>
    </row>
    <row r="280" customFormat="false" ht="15" hidden="false" customHeight="false" outlineLevel="0" collapsed="false">
      <c r="A280" s="2" t="s">
        <v>10264</v>
      </c>
      <c r="B280" s="2" t="s">
        <v>10665</v>
      </c>
      <c r="C280" s="2" t="s">
        <v>10666</v>
      </c>
      <c r="D280" s="2" t="s">
        <v>10667</v>
      </c>
      <c r="E280" s="2"/>
      <c r="F280" s="2"/>
      <c r="G280" s="2" t="str">
        <f aca="false">LEFT(C280,3)</f>
        <v>323</v>
      </c>
      <c r="H280" s="16" t="n">
        <v>0.22</v>
      </c>
      <c r="I280" s="2" t="s">
        <v>10030</v>
      </c>
      <c r="J280" s="2" t="n">
        <f aca="false">IF(COUNTIFS($G$2:G280,G280,$A$2:A280,A280)=1,1,0)</f>
        <v>1</v>
      </c>
    </row>
    <row r="281" customFormat="false" ht="15" hidden="false" customHeight="false" outlineLevel="0" collapsed="false">
      <c r="A281" s="2" t="s">
        <v>10283</v>
      </c>
      <c r="B281" s="2" t="s">
        <v>10668</v>
      </c>
      <c r="C281" s="2" t="s">
        <v>10135</v>
      </c>
      <c r="D281" s="2" t="s">
        <v>86</v>
      </c>
      <c r="E281" s="2" t="s">
        <v>10050</v>
      </c>
      <c r="F281" s="2"/>
      <c r="G281" s="2" t="str">
        <f aca="false">LEFT(C281,3)</f>
        <v>223</v>
      </c>
      <c r="H281" s="16" t="n">
        <v>0.2</v>
      </c>
      <c r="I281" s="2" t="s">
        <v>10025</v>
      </c>
      <c r="J281" s="2" t="n">
        <f aca="false">IF(COUNTIFS($G$2:G281,G281,$A$2:A281,A281)=1,1,0)</f>
        <v>1</v>
      </c>
    </row>
    <row r="282" customFormat="false" ht="15" hidden="false" customHeight="false" outlineLevel="0" collapsed="false">
      <c r="A282" s="2" t="s">
        <v>10283</v>
      </c>
      <c r="B282" s="2" t="s">
        <v>10668</v>
      </c>
      <c r="C282" s="2" t="s">
        <v>10669</v>
      </c>
      <c r="D282" s="2" t="s">
        <v>10670</v>
      </c>
      <c r="E282" s="2"/>
      <c r="F282" s="2"/>
      <c r="G282" s="2" t="str">
        <f aca="false">LEFT(C282,3)</f>
        <v>323</v>
      </c>
      <c r="H282" s="16" t="n">
        <v>0.2</v>
      </c>
      <c r="I282" s="2" t="s">
        <v>10025</v>
      </c>
      <c r="J282" s="2" t="n">
        <f aca="false">IF(COUNTIFS($G$2:G282,G282,$A$2:A282,A282)=1,1,0)</f>
        <v>1</v>
      </c>
    </row>
    <row r="283" customFormat="false" ht="15" hidden="false" customHeight="false" outlineLevel="0" collapsed="false">
      <c r="A283" s="2" t="s">
        <v>10671</v>
      </c>
      <c r="B283" s="2" t="s">
        <v>10672</v>
      </c>
      <c r="C283" s="2" t="s">
        <v>10260</v>
      </c>
      <c r="D283" s="2" t="s">
        <v>10261</v>
      </c>
      <c r="E283" s="2" t="s">
        <v>10050</v>
      </c>
      <c r="F283" s="2"/>
      <c r="G283" s="2" t="str">
        <f aca="false">LEFT(C283,3)</f>
        <v>324</v>
      </c>
      <c r="H283" s="16" t="n">
        <v>0.19</v>
      </c>
      <c r="I283" s="2" t="s">
        <v>10025</v>
      </c>
      <c r="J283" s="2" t="n">
        <f aca="false">IF(COUNTIFS($G$2:G283,G283,$A$2:A283,A283)=1,1,0)</f>
        <v>1</v>
      </c>
    </row>
    <row r="284" customFormat="false" ht="15" hidden="false" customHeight="false" outlineLevel="0" collapsed="false">
      <c r="A284" s="2" t="s">
        <v>10673</v>
      </c>
      <c r="B284" s="2" t="s">
        <v>10674</v>
      </c>
      <c r="C284" s="2" t="s">
        <v>10675</v>
      </c>
      <c r="D284" s="2" t="s">
        <v>10676</v>
      </c>
      <c r="E284" s="2"/>
      <c r="F284" s="2"/>
      <c r="G284" s="2" t="str">
        <f aca="false">LEFT(C284,3)</f>
        <v>322</v>
      </c>
      <c r="H284" s="16" t="n">
        <v>0.14</v>
      </c>
      <c r="I284" s="2" t="s">
        <v>10025</v>
      </c>
      <c r="J284" s="2" t="n">
        <f aca="false">IF(COUNTIFS($G$2:G284,G284,$A$2:A284,A284)=1,1,0)</f>
        <v>1</v>
      </c>
    </row>
    <row r="285" customFormat="false" ht="15" hidden="false" customHeight="false" outlineLevel="0" collapsed="false">
      <c r="A285" s="2" t="s">
        <v>10677</v>
      </c>
      <c r="B285" s="2" t="s">
        <v>10678</v>
      </c>
      <c r="C285" s="2" t="s">
        <v>10679</v>
      </c>
      <c r="D285" s="2" t="s">
        <v>10680</v>
      </c>
      <c r="E285" s="2"/>
      <c r="F285" s="2"/>
      <c r="G285" s="2" t="str">
        <f aca="false">LEFT(C285,3)</f>
        <v>322</v>
      </c>
      <c r="H285" s="16" t="n">
        <v>0.16</v>
      </c>
      <c r="I285" s="2" t="s">
        <v>10025</v>
      </c>
      <c r="J285" s="2" t="n">
        <f aca="false">IF(COUNTIFS($G$2:G285,G285,$A$2:A285,A285)=1,1,0)</f>
        <v>1</v>
      </c>
    </row>
    <row r="286" customFormat="false" ht="15" hidden="false" customHeight="false" outlineLevel="0" collapsed="false">
      <c r="A286" s="2" t="s">
        <v>10681</v>
      </c>
      <c r="B286" s="2" t="s">
        <v>10682</v>
      </c>
      <c r="C286" s="2" t="s">
        <v>10683</v>
      </c>
      <c r="D286" s="2" t="s">
        <v>10684</v>
      </c>
      <c r="E286" s="2" t="s">
        <v>10050</v>
      </c>
      <c r="F286" s="2"/>
      <c r="G286" s="2" t="str">
        <f aca="false">LEFT(C286,3)</f>
        <v>414</v>
      </c>
      <c r="H286" s="16" t="n">
        <v>0.52</v>
      </c>
      <c r="I286" s="2" t="s">
        <v>10176</v>
      </c>
      <c r="J286" s="2" t="n">
        <f aca="false">IF(COUNTIFS($G$2:G286,G286,$A$2:A286,A286)=1,1,0)</f>
        <v>1</v>
      </c>
    </row>
    <row r="287" customFormat="false" ht="15" hidden="false" customHeight="false" outlineLevel="0" collapsed="false">
      <c r="A287" s="2" t="s">
        <v>10685</v>
      </c>
      <c r="B287" s="2" t="s">
        <v>10686</v>
      </c>
      <c r="C287" s="2" t="s">
        <v>10264</v>
      </c>
      <c r="D287" s="2" t="s">
        <v>10265</v>
      </c>
      <c r="E287" s="2" t="s">
        <v>10050</v>
      </c>
      <c r="F287" s="2"/>
      <c r="G287" s="2" t="str">
        <f aca="false">LEFT(C287,3)</f>
        <v>322</v>
      </c>
      <c r="H287" s="16" t="n">
        <v>0.22</v>
      </c>
      <c r="I287" s="2" t="s">
        <v>10025</v>
      </c>
      <c r="J287" s="2" t="n">
        <f aca="false">IF(COUNTIFS($G$2:G287,G287,$A$2:A287,A287)=1,1,0)</f>
        <v>1</v>
      </c>
    </row>
    <row r="288" customFormat="false" ht="15" hidden="false" customHeight="false" outlineLevel="0" collapsed="false">
      <c r="A288" s="2" t="s">
        <v>10687</v>
      </c>
      <c r="B288" s="2" t="s">
        <v>10688</v>
      </c>
      <c r="C288" s="2" t="s">
        <v>10297</v>
      </c>
      <c r="D288" s="2" t="s">
        <v>10298</v>
      </c>
      <c r="E288" s="2" t="s">
        <v>10050</v>
      </c>
      <c r="F288" s="2"/>
      <c r="G288" s="2" t="str">
        <f aca="false">LEFT(C288,3)</f>
        <v>322</v>
      </c>
      <c r="H288" s="16" t="n">
        <v>0.24</v>
      </c>
      <c r="I288" s="2" t="s">
        <v>10025</v>
      </c>
      <c r="J288" s="2" t="n">
        <f aca="false">IF(COUNTIFS($G$2:G288,G288,$A$2:A288,A288)=1,1,0)</f>
        <v>1</v>
      </c>
    </row>
    <row r="289" customFormat="false" ht="15" hidden="false" customHeight="false" outlineLevel="0" collapsed="false">
      <c r="A289" s="2" t="s">
        <v>10689</v>
      </c>
      <c r="B289" s="2" t="s">
        <v>10690</v>
      </c>
      <c r="C289" s="2" t="s">
        <v>10287</v>
      </c>
      <c r="D289" s="2" t="s">
        <v>10288</v>
      </c>
      <c r="E289" s="2" t="s">
        <v>10050</v>
      </c>
      <c r="F289" s="2"/>
      <c r="G289" s="2" t="str">
        <f aca="false">LEFT(C289,3)</f>
        <v>322</v>
      </c>
      <c r="H289" s="16" t="n">
        <v>0.17</v>
      </c>
      <c r="I289" s="2" t="s">
        <v>10025</v>
      </c>
      <c r="J289" s="2" t="n">
        <f aca="false">IF(COUNTIFS($G$2:G289,G289,$A$2:A289,A289)=1,1,0)</f>
        <v>1</v>
      </c>
    </row>
    <row r="290" customFormat="false" ht="15" hidden="false" customHeight="false" outlineLevel="0" collapsed="false">
      <c r="A290" s="2" t="s">
        <v>10691</v>
      </c>
      <c r="B290" s="2" t="s">
        <v>10692</v>
      </c>
      <c r="C290" s="2" t="s">
        <v>10264</v>
      </c>
      <c r="D290" s="2" t="s">
        <v>10265</v>
      </c>
      <c r="E290" s="2" t="s">
        <v>10050</v>
      </c>
      <c r="F290" s="2"/>
      <c r="G290" s="2" t="str">
        <f aca="false">LEFT(C290,3)</f>
        <v>322</v>
      </c>
      <c r="H290" s="16" t="n">
        <v>0.35</v>
      </c>
      <c r="I290" s="2" t="s">
        <v>10152</v>
      </c>
      <c r="J290" s="2" t="n">
        <f aca="false">IF(COUNTIFS($G$2:G290,G290,$A$2:A290,A290)=1,1,0)</f>
        <v>1</v>
      </c>
    </row>
    <row r="291" customFormat="false" ht="15" hidden="false" customHeight="false" outlineLevel="0" collapsed="false">
      <c r="A291" s="2" t="s">
        <v>10693</v>
      </c>
      <c r="B291" s="2" t="s">
        <v>10694</v>
      </c>
      <c r="C291" s="2" t="s">
        <v>10281</v>
      </c>
      <c r="D291" s="2" t="s">
        <v>10282</v>
      </c>
      <c r="E291" s="2" t="s">
        <v>10050</v>
      </c>
      <c r="F291" s="2"/>
      <c r="G291" s="2" t="str">
        <f aca="false">LEFT(C291,3)</f>
        <v>315</v>
      </c>
      <c r="H291" s="16" t="n">
        <v>0.24</v>
      </c>
      <c r="I291" s="2" t="s">
        <v>10025</v>
      </c>
      <c r="J291" s="2" t="n">
        <f aca="false">IF(COUNTIFS($G$2:G291,G291,$A$2:A291,A291)=1,1,0)</f>
        <v>1</v>
      </c>
    </row>
    <row r="292" customFormat="false" ht="15" hidden="false" customHeight="false" outlineLevel="0" collapsed="false">
      <c r="A292" s="2" t="s">
        <v>10693</v>
      </c>
      <c r="B292" s="2" t="s">
        <v>10694</v>
      </c>
      <c r="C292" s="2" t="s">
        <v>10283</v>
      </c>
      <c r="D292" s="2" t="s">
        <v>10284</v>
      </c>
      <c r="E292" s="2" t="s">
        <v>10050</v>
      </c>
      <c r="F292" s="2"/>
      <c r="G292" s="2" t="str">
        <f aca="false">LEFT(C292,3)</f>
        <v>322</v>
      </c>
      <c r="H292" s="16" t="n">
        <v>0.24</v>
      </c>
      <c r="I292" s="2" t="s">
        <v>10025</v>
      </c>
      <c r="J292" s="2" t="n">
        <f aca="false">IF(COUNTIFS($G$2:G292,G292,$A$2:A292,A292)=1,1,0)</f>
        <v>1</v>
      </c>
    </row>
    <row r="293" customFormat="false" ht="15" hidden="false" customHeight="false" outlineLevel="0" collapsed="false">
      <c r="A293" s="2" t="s">
        <v>10695</v>
      </c>
      <c r="B293" s="2" t="s">
        <v>10696</v>
      </c>
      <c r="C293" s="2" t="s">
        <v>10697</v>
      </c>
      <c r="D293" s="2" t="s">
        <v>10698</v>
      </c>
      <c r="E293" s="2" t="s">
        <v>10050</v>
      </c>
      <c r="F293" s="2"/>
      <c r="G293" s="2" t="str">
        <f aca="false">LEFT(C293,3)</f>
        <v>513</v>
      </c>
      <c r="H293" s="16" t="n">
        <v>0.22</v>
      </c>
      <c r="I293" s="2" t="s">
        <v>10025</v>
      </c>
      <c r="J293" s="2" t="n">
        <f aca="false">IF(COUNTIFS($G$2:G293,G293,$A$2:A293,A293)=1,1,0)</f>
        <v>1</v>
      </c>
    </row>
    <row r="294" customFormat="false" ht="15" hidden="false" customHeight="false" outlineLevel="0" collapsed="false">
      <c r="A294" s="2" t="s">
        <v>10699</v>
      </c>
      <c r="B294" s="2" t="s">
        <v>10700</v>
      </c>
      <c r="C294" s="2" t="s">
        <v>10287</v>
      </c>
      <c r="D294" s="2" t="s">
        <v>10288</v>
      </c>
      <c r="E294" s="2" t="s">
        <v>10050</v>
      </c>
      <c r="F294" s="2"/>
      <c r="G294" s="2" t="str">
        <f aca="false">LEFT(C294,3)</f>
        <v>322</v>
      </c>
      <c r="H294" s="16" t="n">
        <v>0.3</v>
      </c>
      <c r="I294" s="2" t="s">
        <v>10030</v>
      </c>
      <c r="J294" s="2" t="n">
        <f aca="false">IF(COUNTIFS($G$2:G294,G294,$A$2:A294,A294)=1,1,0)</f>
        <v>1</v>
      </c>
    </row>
    <row r="295" customFormat="false" ht="15" hidden="false" customHeight="false" outlineLevel="0" collapsed="false">
      <c r="A295" s="2" t="s">
        <v>10699</v>
      </c>
      <c r="B295" s="2" t="s">
        <v>10700</v>
      </c>
      <c r="C295" s="2" t="s">
        <v>10257</v>
      </c>
      <c r="D295" s="2" t="s">
        <v>10258</v>
      </c>
      <c r="E295" s="2" t="s">
        <v>10050</v>
      </c>
      <c r="F295" s="2"/>
      <c r="G295" s="2" t="str">
        <f aca="false">LEFT(C295,3)</f>
        <v>322</v>
      </c>
      <c r="H295" s="16" t="n">
        <v>0.3</v>
      </c>
      <c r="I295" s="2" t="s">
        <v>10030</v>
      </c>
      <c r="J295" s="2" t="n">
        <f aca="false">IF(COUNTIFS($G$2:G295,G295,$A$2:A295,A295)=1,1,0)</f>
        <v>0</v>
      </c>
    </row>
    <row r="296" customFormat="false" ht="15" hidden="false" customHeight="false" outlineLevel="0" collapsed="false">
      <c r="A296" s="2" t="s">
        <v>10701</v>
      </c>
      <c r="B296" s="2" t="s">
        <v>10702</v>
      </c>
      <c r="C296" s="2" t="s">
        <v>10351</v>
      </c>
      <c r="D296" s="2" t="s">
        <v>10352</v>
      </c>
      <c r="E296" s="2" t="s">
        <v>10050</v>
      </c>
      <c r="F296" s="2" t="s">
        <v>10703</v>
      </c>
      <c r="G296" s="2" t="str">
        <f aca="false">LEFT(C296,3)</f>
        <v>341</v>
      </c>
      <c r="H296" s="16" t="n">
        <v>0.63</v>
      </c>
      <c r="I296" s="2" t="s">
        <v>10355</v>
      </c>
      <c r="J296" s="2" t="n">
        <f aca="false">IF(COUNTIFS($G$2:G296,G296,$A$2:A296,A296)=1,1,0)</f>
        <v>1</v>
      </c>
    </row>
    <row r="297" customFormat="false" ht="15" hidden="false" customHeight="false" outlineLevel="0" collapsed="false">
      <c r="A297" s="2" t="s">
        <v>10704</v>
      </c>
      <c r="B297" s="2" t="s">
        <v>10705</v>
      </c>
      <c r="C297" s="2" t="s">
        <v>10706</v>
      </c>
      <c r="D297" s="2" t="s">
        <v>10707</v>
      </c>
      <c r="E297" s="2" t="s">
        <v>10050</v>
      </c>
      <c r="F297" s="2" t="s">
        <v>10708</v>
      </c>
      <c r="G297" s="2" t="str">
        <f aca="false">LEFT(C297,3)</f>
        <v>341</v>
      </c>
      <c r="H297" s="16" t="n">
        <v>0.6</v>
      </c>
      <c r="I297" s="2" t="s">
        <v>10355</v>
      </c>
      <c r="J297" s="2" t="n">
        <f aca="false">IF(COUNTIFS($G$2:G297,G297,$A$2:A297,A297)=1,1,0)</f>
        <v>1</v>
      </c>
    </row>
    <row r="298" customFormat="false" ht="15" hidden="false" customHeight="false" outlineLevel="0" collapsed="false">
      <c r="A298" s="2" t="s">
        <v>10709</v>
      </c>
      <c r="B298" s="2" t="s">
        <v>10710</v>
      </c>
      <c r="C298" s="2" t="s">
        <v>10711</v>
      </c>
      <c r="D298" s="2" t="s">
        <v>10712</v>
      </c>
      <c r="E298" s="2"/>
      <c r="F298" s="2"/>
      <c r="G298" s="2" t="str">
        <f aca="false">LEFT(C298,3)</f>
        <v>343</v>
      </c>
      <c r="H298" s="16" t="n">
        <v>0.49</v>
      </c>
      <c r="I298" s="2" t="s">
        <v>10071</v>
      </c>
      <c r="J298" s="2" t="n">
        <f aca="false">IF(COUNTIFS($G$2:G298,G298,$A$2:A298,A298)=1,1,0)</f>
        <v>1</v>
      </c>
    </row>
    <row r="299" customFormat="false" ht="15" hidden="false" customHeight="false" outlineLevel="0" collapsed="false">
      <c r="A299" s="2" t="s">
        <v>10709</v>
      </c>
      <c r="B299" s="2" t="s">
        <v>10710</v>
      </c>
      <c r="C299" s="2" t="s">
        <v>10713</v>
      </c>
      <c r="D299" s="2" t="s">
        <v>10714</v>
      </c>
      <c r="E299" s="2" t="s">
        <v>10050</v>
      </c>
      <c r="F299" s="2" t="s">
        <v>10715</v>
      </c>
      <c r="G299" s="2" t="str">
        <f aca="false">LEFT(C299,3)</f>
        <v>343</v>
      </c>
      <c r="H299" s="16" t="n">
        <v>0.49</v>
      </c>
      <c r="I299" s="2" t="s">
        <v>10071</v>
      </c>
      <c r="J299" s="2" t="n">
        <f aca="false">IF(COUNTIFS($G$2:G299,G299,$A$2:A299,A299)=1,1,0)</f>
        <v>0</v>
      </c>
    </row>
    <row r="300" customFormat="false" ht="15" hidden="false" customHeight="false" outlineLevel="0" collapsed="false">
      <c r="A300" s="2" t="s">
        <v>10716</v>
      </c>
      <c r="B300" s="2" t="s">
        <v>10717</v>
      </c>
      <c r="C300" s="2" t="s">
        <v>10713</v>
      </c>
      <c r="D300" s="2" t="s">
        <v>10714</v>
      </c>
      <c r="E300" s="2" t="s">
        <v>10050</v>
      </c>
      <c r="F300" s="2"/>
      <c r="G300" s="2" t="str">
        <f aca="false">LEFT(C300,3)</f>
        <v>343</v>
      </c>
      <c r="H300" s="16" t="n">
        <v>0.57</v>
      </c>
      <c r="I300" s="2" t="s">
        <v>10176</v>
      </c>
      <c r="J300" s="2" t="n">
        <f aca="false">IF(COUNTIFS($G$2:G300,G300,$A$2:A300,A300)=1,1,0)</f>
        <v>1</v>
      </c>
    </row>
    <row r="301" customFormat="false" ht="15" hidden="false" customHeight="false" outlineLevel="0" collapsed="false">
      <c r="A301" s="2" t="s">
        <v>10718</v>
      </c>
      <c r="B301" s="2" t="s">
        <v>10719</v>
      </c>
      <c r="C301" s="2" t="s">
        <v>10720</v>
      </c>
      <c r="D301" s="2" t="s">
        <v>10721</v>
      </c>
      <c r="E301" s="2" t="s">
        <v>10050</v>
      </c>
      <c r="F301" s="2"/>
      <c r="G301" s="2" t="str">
        <f aca="false">LEFT(C301,3)</f>
        <v>341</v>
      </c>
      <c r="H301" s="16" t="n">
        <v>0.45</v>
      </c>
      <c r="I301" s="2" t="s">
        <v>10071</v>
      </c>
      <c r="J301" s="2" t="n">
        <f aca="false">IF(COUNTIFS($G$2:G301,G301,$A$2:A301,A301)=1,1,0)</f>
        <v>1</v>
      </c>
    </row>
    <row r="302" customFormat="false" ht="15" hidden="false" customHeight="false" outlineLevel="0" collapsed="false">
      <c r="A302" s="2" t="s">
        <v>10722</v>
      </c>
      <c r="B302" s="2" t="s">
        <v>10723</v>
      </c>
      <c r="C302" s="2" t="s">
        <v>10724</v>
      </c>
      <c r="D302" s="2" t="s">
        <v>10725</v>
      </c>
      <c r="E302" s="2"/>
      <c r="F302" s="2"/>
      <c r="G302" s="2" t="str">
        <f aca="false">LEFT(C302,3)</f>
        <v>341</v>
      </c>
      <c r="H302" s="16" t="n">
        <v>0.53</v>
      </c>
      <c r="I302" s="2" t="s">
        <v>10176</v>
      </c>
      <c r="J302" s="2" t="n">
        <f aca="false">IF(COUNTIFS($G$2:G302,G302,$A$2:A302,A302)=1,1,0)</f>
        <v>1</v>
      </c>
    </row>
    <row r="303" customFormat="false" ht="15" hidden="false" customHeight="false" outlineLevel="0" collapsed="false">
      <c r="A303" s="2" t="s">
        <v>10726</v>
      </c>
      <c r="B303" s="2" t="s">
        <v>10727</v>
      </c>
      <c r="C303" s="2" t="s">
        <v>10370</v>
      </c>
      <c r="D303" s="2" t="s">
        <v>10371</v>
      </c>
      <c r="E303" s="2" t="s">
        <v>10050</v>
      </c>
      <c r="F303" s="2"/>
      <c r="G303" s="2" t="str">
        <f aca="false">LEFT(C303,3)</f>
        <v>341</v>
      </c>
      <c r="H303" s="16" t="n">
        <v>0.49</v>
      </c>
      <c r="I303" s="2" t="s">
        <v>10071</v>
      </c>
      <c r="J303" s="2" t="n">
        <f aca="false">IF(COUNTIFS($G$2:G303,G303,$A$2:A303,A303)=1,1,0)</f>
        <v>1</v>
      </c>
    </row>
    <row r="304" customFormat="false" ht="15" hidden="false" customHeight="false" outlineLevel="0" collapsed="false">
      <c r="A304" s="2" t="s">
        <v>10728</v>
      </c>
      <c r="B304" s="2" t="s">
        <v>10729</v>
      </c>
      <c r="C304" s="2" t="s">
        <v>10730</v>
      </c>
      <c r="D304" s="2" t="s">
        <v>10729</v>
      </c>
      <c r="E304" s="2"/>
      <c r="F304" s="2"/>
      <c r="G304" s="2" t="str">
        <f aca="false">LEFT(C304,3)</f>
        <v>341</v>
      </c>
      <c r="H304" s="16" t="n">
        <v>0.39</v>
      </c>
      <c r="I304" s="2" t="s">
        <v>10030</v>
      </c>
      <c r="J304" s="2" t="n">
        <f aca="false">IF(COUNTIFS($G$2:G304,G304,$A$2:A304,A304)=1,1,0)</f>
        <v>1</v>
      </c>
    </row>
    <row r="305" customFormat="false" ht="15" hidden="false" customHeight="false" outlineLevel="0" collapsed="false">
      <c r="A305" s="2" t="s">
        <v>10731</v>
      </c>
      <c r="B305" s="2" t="s">
        <v>10732</v>
      </c>
      <c r="C305" s="2" t="s">
        <v>10733</v>
      </c>
      <c r="D305" s="2" t="s">
        <v>10734</v>
      </c>
      <c r="E305" s="2"/>
      <c r="F305" s="2"/>
      <c r="G305" s="2" t="str">
        <f aca="false">LEFT(C305,3)</f>
        <v>342</v>
      </c>
      <c r="H305" s="16" t="n">
        <v>0.44</v>
      </c>
      <c r="I305" s="2" t="s">
        <v>10071</v>
      </c>
      <c r="J305" s="2" t="n">
        <f aca="false">IF(COUNTIFS($G$2:G305,G305,$A$2:A305,A305)=1,1,0)</f>
        <v>1</v>
      </c>
    </row>
    <row r="306" customFormat="false" ht="15" hidden="false" customHeight="false" outlineLevel="0" collapsed="false">
      <c r="A306" s="2" t="s">
        <v>10735</v>
      </c>
      <c r="B306" s="2" t="s">
        <v>10736</v>
      </c>
      <c r="C306" s="2" t="s">
        <v>10737</v>
      </c>
      <c r="D306" s="2" t="s">
        <v>10738</v>
      </c>
      <c r="E306" s="2"/>
      <c r="F306" s="2"/>
      <c r="G306" s="2" t="str">
        <f aca="false">LEFT(C306,3)</f>
        <v>342</v>
      </c>
      <c r="H306" s="16" t="n">
        <v>0.57</v>
      </c>
      <c r="I306" s="2" t="s">
        <v>10176</v>
      </c>
      <c r="J306" s="2" t="n">
        <f aca="false">IF(COUNTIFS($G$2:G306,G306,$A$2:A306,A306)=1,1,0)</f>
        <v>1</v>
      </c>
    </row>
    <row r="307" customFormat="false" ht="15" hidden="false" customHeight="false" outlineLevel="0" collapsed="false">
      <c r="A307" s="2" t="s">
        <v>10739</v>
      </c>
      <c r="B307" s="2" t="s">
        <v>10740</v>
      </c>
      <c r="C307" s="2" t="s">
        <v>10741</v>
      </c>
      <c r="D307" s="2" t="s">
        <v>10742</v>
      </c>
      <c r="E307" s="2" t="s">
        <v>10050</v>
      </c>
      <c r="F307" s="2" t="s">
        <v>10743</v>
      </c>
      <c r="G307" s="2" t="str">
        <f aca="false">LEFT(C307,3)</f>
        <v>341</v>
      </c>
      <c r="H307" s="16" t="n">
        <v>0.48</v>
      </c>
      <c r="I307" s="2" t="s">
        <v>10071</v>
      </c>
      <c r="J307" s="2" t="n">
        <f aca="false">IF(COUNTIFS($G$2:G307,G307,$A$2:A307,A307)=1,1,0)</f>
        <v>1</v>
      </c>
    </row>
    <row r="308" customFormat="false" ht="15" hidden="false" customHeight="false" outlineLevel="0" collapsed="false">
      <c r="A308" s="2" t="s">
        <v>10739</v>
      </c>
      <c r="B308" s="2" t="s">
        <v>10740</v>
      </c>
      <c r="C308" s="2" t="s">
        <v>10744</v>
      </c>
      <c r="D308" s="2" t="s">
        <v>10745</v>
      </c>
      <c r="E308" s="2" t="s">
        <v>10050</v>
      </c>
      <c r="F308" s="2"/>
      <c r="G308" s="2" t="str">
        <f aca="false">LEFT(C308,3)</f>
        <v>343</v>
      </c>
      <c r="H308" s="16" t="n">
        <v>0.48</v>
      </c>
      <c r="I308" s="2" t="s">
        <v>10071</v>
      </c>
      <c r="J308" s="2" t="n">
        <f aca="false">IF(COUNTIFS($G$2:G308,G308,$A$2:A308,A308)=1,1,0)</f>
        <v>1</v>
      </c>
    </row>
    <row r="309" customFormat="false" ht="15" hidden="false" customHeight="false" outlineLevel="0" collapsed="false">
      <c r="A309" s="2" t="s">
        <v>10746</v>
      </c>
      <c r="B309" s="2" t="s">
        <v>10747</v>
      </c>
      <c r="C309" s="2" t="s">
        <v>10748</v>
      </c>
      <c r="D309" s="2" t="s">
        <v>10749</v>
      </c>
      <c r="E309" s="2"/>
      <c r="F309" s="2"/>
      <c r="G309" s="2" t="str">
        <f aca="false">LEFT(C309,3)</f>
        <v>342</v>
      </c>
      <c r="H309" s="16" t="n">
        <v>0.39</v>
      </c>
      <c r="I309" s="2" t="s">
        <v>10030</v>
      </c>
      <c r="J309" s="2" t="n">
        <f aca="false">IF(COUNTIFS($G$2:G309,G309,$A$2:A309,A309)=1,1,0)</f>
        <v>1</v>
      </c>
    </row>
    <row r="310" customFormat="false" ht="15" hidden="false" customHeight="false" outlineLevel="0" collapsed="false">
      <c r="A310" s="2" t="s">
        <v>10750</v>
      </c>
      <c r="B310" s="2" t="s">
        <v>10751</v>
      </c>
      <c r="C310" s="2" t="s">
        <v>10752</v>
      </c>
      <c r="D310" s="2" t="s">
        <v>10753</v>
      </c>
      <c r="E310" s="2"/>
      <c r="F310" s="2"/>
      <c r="G310" s="2" t="str">
        <f aca="false">LEFT(C310,3)</f>
        <v>341</v>
      </c>
      <c r="H310" s="16" t="n">
        <v>0.35</v>
      </c>
      <c r="I310" s="2" t="s">
        <v>10030</v>
      </c>
      <c r="J310" s="2" t="n">
        <f aca="false">IF(COUNTIFS($G$2:G310,G310,$A$2:A310,A310)=1,1,0)</f>
        <v>1</v>
      </c>
    </row>
    <row r="311" customFormat="false" ht="15" hidden="false" customHeight="false" outlineLevel="0" collapsed="false">
      <c r="A311" s="2" t="s">
        <v>10754</v>
      </c>
      <c r="B311" s="2" t="s">
        <v>10755</v>
      </c>
      <c r="C311" s="2" t="s">
        <v>10349</v>
      </c>
      <c r="D311" s="2" t="s">
        <v>10350</v>
      </c>
      <c r="E311" s="2" t="s">
        <v>10050</v>
      </c>
      <c r="F311" s="2" t="s">
        <v>10756</v>
      </c>
      <c r="G311" s="2" t="str">
        <f aca="false">LEFT(C311,3)</f>
        <v>241</v>
      </c>
      <c r="H311" s="16" t="n">
        <v>0.44</v>
      </c>
      <c r="I311" s="2" t="s">
        <v>10071</v>
      </c>
      <c r="J311" s="2" t="n">
        <f aca="false">IF(COUNTIFS($G$2:G311,G311,$A$2:A311,A311)=1,1,0)</f>
        <v>1</v>
      </c>
    </row>
    <row r="312" customFormat="false" ht="15" hidden="false" customHeight="false" outlineLevel="0" collapsed="false">
      <c r="A312" s="2" t="s">
        <v>10754</v>
      </c>
      <c r="B312" s="2" t="s">
        <v>10755</v>
      </c>
      <c r="C312" s="2" t="s">
        <v>10741</v>
      </c>
      <c r="D312" s="2" t="s">
        <v>10742</v>
      </c>
      <c r="E312" s="2" t="s">
        <v>10050</v>
      </c>
      <c r="F312" s="2" t="s">
        <v>10743</v>
      </c>
      <c r="G312" s="2" t="str">
        <f aca="false">LEFT(C312,3)</f>
        <v>341</v>
      </c>
      <c r="H312" s="16" t="n">
        <v>0.44</v>
      </c>
      <c r="I312" s="2" t="s">
        <v>10071</v>
      </c>
      <c r="J312" s="2" t="n">
        <f aca="false">IF(COUNTIFS($G$2:G312,G312,$A$2:A312,A312)=1,1,0)</f>
        <v>1</v>
      </c>
    </row>
    <row r="313" customFormat="false" ht="15" hidden="false" customHeight="false" outlineLevel="0" collapsed="false">
      <c r="A313" s="2" t="s">
        <v>10754</v>
      </c>
      <c r="B313" s="2" t="s">
        <v>10755</v>
      </c>
      <c r="C313" s="2" t="s">
        <v>10720</v>
      </c>
      <c r="D313" s="2" t="s">
        <v>10721</v>
      </c>
      <c r="E313" s="2" t="s">
        <v>10050</v>
      </c>
      <c r="F313" s="2" t="s">
        <v>10757</v>
      </c>
      <c r="G313" s="2" t="str">
        <f aca="false">LEFT(C313,3)</f>
        <v>341</v>
      </c>
      <c r="H313" s="16" t="n">
        <v>0.44</v>
      </c>
      <c r="I313" s="2" t="s">
        <v>10071</v>
      </c>
      <c r="J313" s="2" t="n">
        <f aca="false">IF(COUNTIFS($G$2:G313,G313,$A$2:A313,A313)=1,1,0)</f>
        <v>0</v>
      </c>
    </row>
    <row r="314" customFormat="false" ht="15" hidden="false" customHeight="false" outlineLevel="0" collapsed="false">
      <c r="A314" s="2" t="s">
        <v>10754</v>
      </c>
      <c r="B314" s="2" t="s">
        <v>10755</v>
      </c>
      <c r="C314" s="2" t="s">
        <v>10758</v>
      </c>
      <c r="D314" s="2" t="s">
        <v>10759</v>
      </c>
      <c r="E314" s="2" t="s">
        <v>10050</v>
      </c>
      <c r="F314" s="2" t="s">
        <v>10760</v>
      </c>
      <c r="G314" s="2" t="str">
        <f aca="false">LEFT(C314,3)</f>
        <v>342</v>
      </c>
      <c r="H314" s="16" t="n">
        <v>0.44</v>
      </c>
      <c r="I314" s="2" t="s">
        <v>10071</v>
      </c>
      <c r="J314" s="2" t="n">
        <f aca="false">IF(COUNTIFS($G$2:G314,G314,$A$2:A314,A314)=1,1,0)</f>
        <v>1</v>
      </c>
    </row>
    <row r="315" customFormat="false" ht="15" hidden="false" customHeight="false" outlineLevel="0" collapsed="false">
      <c r="A315" s="2" t="s">
        <v>10761</v>
      </c>
      <c r="B315" s="2" t="s">
        <v>10762</v>
      </c>
      <c r="C315" s="2" t="s">
        <v>10763</v>
      </c>
      <c r="D315" s="2" t="s">
        <v>10764</v>
      </c>
      <c r="E315" s="2" t="s">
        <v>10050</v>
      </c>
      <c r="F315" s="2"/>
      <c r="G315" s="2" t="str">
        <f aca="false">LEFT(C315,3)</f>
        <v>343</v>
      </c>
      <c r="H315" s="16" t="n">
        <v>0.43</v>
      </c>
      <c r="I315" s="2" t="s">
        <v>10071</v>
      </c>
      <c r="J315" s="2" t="n">
        <f aca="false">IF(COUNTIFS($G$2:G315,G315,$A$2:A315,A315)=1,1,0)</f>
        <v>1</v>
      </c>
    </row>
    <row r="316" customFormat="false" ht="15" hidden="false" customHeight="false" outlineLevel="0" collapsed="false">
      <c r="A316" s="2" t="s">
        <v>10761</v>
      </c>
      <c r="B316" s="2" t="s">
        <v>10762</v>
      </c>
      <c r="C316" s="2" t="s">
        <v>10765</v>
      </c>
      <c r="D316" s="2" t="s">
        <v>10766</v>
      </c>
      <c r="E316" s="2" t="s">
        <v>10050</v>
      </c>
      <c r="F316" s="2"/>
      <c r="G316" s="2" t="str">
        <f aca="false">LEFT(C316,3)</f>
        <v>411</v>
      </c>
      <c r="H316" s="16" t="n">
        <v>0.43</v>
      </c>
      <c r="I316" s="2" t="s">
        <v>10071</v>
      </c>
      <c r="J316" s="2" t="n">
        <f aca="false">IF(COUNTIFS($G$2:G316,G316,$A$2:A316,A316)=1,1,0)</f>
        <v>1</v>
      </c>
    </row>
    <row r="317" customFormat="false" ht="15" hidden="false" customHeight="false" outlineLevel="0" collapsed="false">
      <c r="A317" s="2" t="s">
        <v>10761</v>
      </c>
      <c r="B317" s="2" t="s">
        <v>10762</v>
      </c>
      <c r="C317" s="2" t="s">
        <v>10767</v>
      </c>
      <c r="D317" s="2" t="s">
        <v>10768</v>
      </c>
      <c r="E317" s="2" t="s">
        <v>10050</v>
      </c>
      <c r="F317" s="2"/>
      <c r="G317" s="2" t="str">
        <f aca="false">LEFT(C317,3)</f>
        <v>411</v>
      </c>
      <c r="H317" s="16" t="n">
        <v>0.43</v>
      </c>
      <c r="I317" s="2" t="s">
        <v>10071</v>
      </c>
      <c r="J317" s="2" t="n">
        <f aca="false">IF(COUNTIFS($G$2:G317,G317,$A$2:A317,A317)=1,1,0)</f>
        <v>0</v>
      </c>
    </row>
    <row r="318" customFormat="false" ht="15" hidden="false" customHeight="false" outlineLevel="0" collapsed="false">
      <c r="A318" s="2" t="s">
        <v>10761</v>
      </c>
      <c r="B318" s="2" t="s">
        <v>10762</v>
      </c>
      <c r="C318" s="2" t="s">
        <v>10769</v>
      </c>
      <c r="D318" s="2" t="s">
        <v>10770</v>
      </c>
      <c r="E318" s="2" t="s">
        <v>10050</v>
      </c>
      <c r="F318" s="2"/>
      <c r="G318" s="2" t="str">
        <f aca="false">LEFT(C318,3)</f>
        <v>411</v>
      </c>
      <c r="H318" s="16" t="n">
        <v>0.43</v>
      </c>
      <c r="I318" s="2" t="s">
        <v>10071</v>
      </c>
      <c r="J318" s="2" t="n">
        <f aca="false">IF(COUNTIFS($G$2:G318,G318,$A$2:A318,A318)=1,1,0)</f>
        <v>0</v>
      </c>
    </row>
    <row r="319" customFormat="false" ht="15" hidden="false" customHeight="false" outlineLevel="0" collapsed="false">
      <c r="A319" s="2" t="s">
        <v>10761</v>
      </c>
      <c r="B319" s="2" t="s">
        <v>10762</v>
      </c>
      <c r="C319" s="2" t="s">
        <v>10771</v>
      </c>
      <c r="D319" s="2" t="s">
        <v>10772</v>
      </c>
      <c r="E319" s="2" t="s">
        <v>10050</v>
      </c>
      <c r="F319" s="2"/>
      <c r="G319" s="2" t="str">
        <f aca="false">LEFT(C319,3)</f>
        <v>411</v>
      </c>
      <c r="H319" s="16" t="n">
        <v>0.43</v>
      </c>
      <c r="I319" s="2" t="s">
        <v>10071</v>
      </c>
      <c r="J319" s="2" t="n">
        <f aca="false">IF(COUNTIFS($G$2:G319,G319,$A$2:A319,A319)=1,1,0)</f>
        <v>0</v>
      </c>
    </row>
    <row r="320" customFormat="false" ht="15" hidden="false" customHeight="false" outlineLevel="0" collapsed="false">
      <c r="A320" s="2" t="s">
        <v>10761</v>
      </c>
      <c r="B320" s="2" t="s">
        <v>10762</v>
      </c>
      <c r="C320" s="2" t="s">
        <v>10771</v>
      </c>
      <c r="D320" s="2" t="s">
        <v>10772</v>
      </c>
      <c r="E320" s="2" t="s">
        <v>10050</v>
      </c>
      <c r="F320" s="2"/>
      <c r="G320" s="2" t="str">
        <f aca="false">LEFT(C320,3)</f>
        <v>411</v>
      </c>
      <c r="H320" s="16" t="n">
        <v>0.43</v>
      </c>
      <c r="I320" s="2" t="s">
        <v>10071</v>
      </c>
      <c r="J320" s="2" t="n">
        <f aca="false">IF(COUNTIFS($G$2:G320,G320,$A$2:A320,A320)=1,1,0)</f>
        <v>0</v>
      </c>
    </row>
    <row r="321" customFormat="false" ht="15" hidden="false" customHeight="false" outlineLevel="0" collapsed="false">
      <c r="A321" s="2" t="s">
        <v>10761</v>
      </c>
      <c r="B321" s="2" t="s">
        <v>10762</v>
      </c>
      <c r="C321" s="2" t="s">
        <v>10773</v>
      </c>
      <c r="D321" s="2" t="s">
        <v>10774</v>
      </c>
      <c r="E321" s="2" t="s">
        <v>10050</v>
      </c>
      <c r="F321" s="2"/>
      <c r="G321" s="2" t="str">
        <f aca="false">LEFT(C321,3)</f>
        <v>412</v>
      </c>
      <c r="H321" s="16" t="n">
        <v>0.43</v>
      </c>
      <c r="I321" s="2" t="s">
        <v>10071</v>
      </c>
      <c r="J321" s="2" t="n">
        <f aca="false">IF(COUNTIFS($G$2:G321,G321,$A$2:A321,A321)=1,1,0)</f>
        <v>1</v>
      </c>
    </row>
    <row r="322" customFormat="false" ht="15" hidden="false" customHeight="false" outlineLevel="0" collapsed="false">
      <c r="A322" s="2" t="s">
        <v>10761</v>
      </c>
      <c r="B322" s="2" t="s">
        <v>10762</v>
      </c>
      <c r="C322" s="2" t="s">
        <v>10775</v>
      </c>
      <c r="D322" s="2" t="s">
        <v>10776</v>
      </c>
      <c r="E322" s="2" t="s">
        <v>10050</v>
      </c>
      <c r="F322" s="2"/>
      <c r="G322" s="2" t="str">
        <f aca="false">LEFT(C322,3)</f>
        <v>412</v>
      </c>
      <c r="H322" s="16" t="n">
        <v>0.43</v>
      </c>
      <c r="I322" s="2" t="s">
        <v>10071</v>
      </c>
      <c r="J322" s="2" t="n">
        <f aca="false">IF(COUNTIFS($G$2:G322,G322,$A$2:A322,A322)=1,1,0)</f>
        <v>0</v>
      </c>
    </row>
    <row r="323" customFormat="false" ht="15" hidden="false" customHeight="false" outlineLevel="0" collapsed="false">
      <c r="A323" s="2" t="s">
        <v>10761</v>
      </c>
      <c r="B323" s="2" t="s">
        <v>10762</v>
      </c>
      <c r="C323" s="2" t="s">
        <v>10777</v>
      </c>
      <c r="D323" s="2" t="s">
        <v>10778</v>
      </c>
      <c r="E323" s="2" t="s">
        <v>10050</v>
      </c>
      <c r="F323" s="2"/>
      <c r="G323" s="2" t="str">
        <f aca="false">LEFT(C323,3)</f>
        <v>413</v>
      </c>
      <c r="H323" s="16" t="n">
        <v>0.43</v>
      </c>
      <c r="I323" s="2" t="s">
        <v>10071</v>
      </c>
      <c r="J323" s="2" t="n">
        <f aca="false">IF(COUNTIFS($G$2:G323,G323,$A$2:A323,A323)=1,1,0)</f>
        <v>1</v>
      </c>
    </row>
    <row r="324" customFormat="false" ht="15" hidden="false" customHeight="false" outlineLevel="0" collapsed="false">
      <c r="A324" s="2" t="s">
        <v>10761</v>
      </c>
      <c r="B324" s="2" t="s">
        <v>10762</v>
      </c>
      <c r="C324" s="2" t="s">
        <v>10779</v>
      </c>
      <c r="D324" s="2" t="s">
        <v>10780</v>
      </c>
      <c r="E324" s="2" t="s">
        <v>10050</v>
      </c>
      <c r="F324" s="2"/>
      <c r="G324" s="2" t="str">
        <f aca="false">LEFT(C324,3)</f>
        <v>413</v>
      </c>
      <c r="H324" s="16" t="n">
        <v>0.43</v>
      </c>
      <c r="I324" s="2" t="s">
        <v>10071</v>
      </c>
      <c r="J324" s="2" t="n">
        <f aca="false">IF(COUNTIFS($G$2:G324,G324,$A$2:A324,A324)=1,1,0)</f>
        <v>0</v>
      </c>
    </row>
    <row r="325" customFormat="false" ht="15" hidden="false" customHeight="false" outlineLevel="0" collapsed="false">
      <c r="A325" s="2" t="s">
        <v>10761</v>
      </c>
      <c r="B325" s="2" t="s">
        <v>10762</v>
      </c>
      <c r="C325" s="2" t="s">
        <v>10781</v>
      </c>
      <c r="D325" s="2" t="s">
        <v>10782</v>
      </c>
      <c r="E325" s="2" t="s">
        <v>10050</v>
      </c>
      <c r="F325" s="2"/>
      <c r="G325" s="2" t="str">
        <f aca="false">LEFT(C325,3)</f>
        <v>413</v>
      </c>
      <c r="H325" s="16" t="n">
        <v>0.43</v>
      </c>
      <c r="I325" s="2" t="s">
        <v>10071</v>
      </c>
      <c r="J325" s="2" t="n">
        <f aca="false">IF(COUNTIFS($G$2:G325,G325,$A$2:A325,A325)=1,1,0)</f>
        <v>0</v>
      </c>
    </row>
    <row r="326" customFormat="false" ht="15" hidden="false" customHeight="false" outlineLevel="0" collapsed="false">
      <c r="A326" s="2" t="s">
        <v>10761</v>
      </c>
      <c r="B326" s="2" t="s">
        <v>10762</v>
      </c>
      <c r="C326" s="2" t="s">
        <v>10783</v>
      </c>
      <c r="D326" s="2" t="s">
        <v>10784</v>
      </c>
      <c r="E326" s="2" t="s">
        <v>10050</v>
      </c>
      <c r="F326" s="2"/>
      <c r="G326" s="2" t="str">
        <f aca="false">LEFT(C326,3)</f>
        <v>414</v>
      </c>
      <c r="H326" s="16" t="n">
        <v>0.43</v>
      </c>
      <c r="I326" s="2" t="s">
        <v>10071</v>
      </c>
      <c r="J326" s="2" t="n">
        <f aca="false">IF(COUNTIFS($G$2:G326,G326,$A$2:A326,A326)=1,1,0)</f>
        <v>1</v>
      </c>
    </row>
    <row r="327" customFormat="false" ht="15" hidden="false" customHeight="false" outlineLevel="0" collapsed="false">
      <c r="A327" s="2" t="s">
        <v>10761</v>
      </c>
      <c r="B327" s="2" t="s">
        <v>10762</v>
      </c>
      <c r="C327" s="2" t="s">
        <v>10785</v>
      </c>
      <c r="D327" s="2" t="s">
        <v>10786</v>
      </c>
      <c r="E327" s="2" t="s">
        <v>10050</v>
      </c>
      <c r="F327" s="2"/>
      <c r="G327" s="2" t="str">
        <f aca="false">LEFT(C327,3)</f>
        <v>414</v>
      </c>
      <c r="H327" s="16" t="n">
        <v>0.43</v>
      </c>
      <c r="I327" s="2" t="s">
        <v>10071</v>
      </c>
      <c r="J327" s="2" t="n">
        <f aca="false">IF(COUNTIFS($G$2:G327,G327,$A$2:A327,A327)=1,1,0)</f>
        <v>0</v>
      </c>
    </row>
    <row r="328" customFormat="false" ht="15" hidden="false" customHeight="false" outlineLevel="0" collapsed="false">
      <c r="A328" s="2" t="s">
        <v>10761</v>
      </c>
      <c r="B328" s="2" t="s">
        <v>10762</v>
      </c>
      <c r="C328" s="2" t="s">
        <v>10683</v>
      </c>
      <c r="D328" s="2" t="s">
        <v>10684</v>
      </c>
      <c r="E328" s="2" t="s">
        <v>10050</v>
      </c>
      <c r="F328" s="2"/>
      <c r="G328" s="2" t="str">
        <f aca="false">LEFT(C328,3)</f>
        <v>414</v>
      </c>
      <c r="H328" s="16" t="n">
        <v>0.43</v>
      </c>
      <c r="I328" s="2" t="s">
        <v>10071</v>
      </c>
      <c r="J328" s="2" t="n">
        <f aca="false">IF(COUNTIFS($G$2:G328,G328,$A$2:A328,A328)=1,1,0)</f>
        <v>0</v>
      </c>
    </row>
    <row r="329" customFormat="false" ht="15" hidden="false" customHeight="false" outlineLevel="0" collapsed="false">
      <c r="A329" s="2" t="s">
        <v>10761</v>
      </c>
      <c r="B329" s="2" t="s">
        <v>10762</v>
      </c>
      <c r="C329" s="2" t="s">
        <v>10787</v>
      </c>
      <c r="D329" s="2" t="s">
        <v>10788</v>
      </c>
      <c r="E329" s="2" t="s">
        <v>10050</v>
      </c>
      <c r="F329" s="2"/>
      <c r="G329" s="2" t="str">
        <f aca="false">LEFT(C329,3)</f>
        <v>414</v>
      </c>
      <c r="H329" s="16" t="n">
        <v>0.43</v>
      </c>
      <c r="I329" s="2" t="s">
        <v>10071</v>
      </c>
      <c r="J329" s="2" t="n">
        <f aca="false">IF(COUNTIFS($G$2:G329,G329,$A$2:A329,A329)=1,1,0)</f>
        <v>0</v>
      </c>
    </row>
    <row r="330" customFormat="false" ht="15" hidden="false" customHeight="false" outlineLevel="0" collapsed="false">
      <c r="A330" s="2" t="s">
        <v>10761</v>
      </c>
      <c r="B330" s="2" t="s">
        <v>10762</v>
      </c>
      <c r="C330" s="2" t="s">
        <v>10789</v>
      </c>
      <c r="D330" s="2" t="s">
        <v>10790</v>
      </c>
      <c r="E330" s="2" t="s">
        <v>10050</v>
      </c>
      <c r="F330" s="2"/>
      <c r="G330" s="2" t="str">
        <f aca="false">LEFT(C330,3)</f>
        <v>419</v>
      </c>
      <c r="H330" s="16" t="n">
        <v>0.43</v>
      </c>
      <c r="I330" s="2" t="s">
        <v>10071</v>
      </c>
      <c r="J330" s="2" t="n">
        <f aca="false">IF(COUNTIFS($G$2:G330,G330,$A$2:A330,A330)=1,1,0)</f>
        <v>1</v>
      </c>
    </row>
    <row r="331" customFormat="false" ht="15" hidden="false" customHeight="false" outlineLevel="0" collapsed="false">
      <c r="A331" s="2" t="s">
        <v>10761</v>
      </c>
      <c r="B331" s="2" t="s">
        <v>10762</v>
      </c>
      <c r="C331" s="2" t="s">
        <v>10791</v>
      </c>
      <c r="D331" s="2" t="s">
        <v>10792</v>
      </c>
      <c r="E331" s="2" t="s">
        <v>10050</v>
      </c>
      <c r="F331" s="2"/>
      <c r="G331" s="2" t="str">
        <f aca="false">LEFT(C331,3)</f>
        <v>422</v>
      </c>
      <c r="H331" s="16" t="n">
        <v>0.43</v>
      </c>
      <c r="I331" s="2" t="s">
        <v>10071</v>
      </c>
      <c r="J331" s="2" t="n">
        <f aca="false">IF(COUNTIFS($G$2:G331,G331,$A$2:A331,A331)=1,1,0)</f>
        <v>1</v>
      </c>
    </row>
    <row r="332" customFormat="false" ht="15" hidden="false" customHeight="false" outlineLevel="0" collapsed="false">
      <c r="A332" s="2" t="s">
        <v>10761</v>
      </c>
      <c r="B332" s="2" t="s">
        <v>10762</v>
      </c>
      <c r="C332" s="2" t="s">
        <v>10793</v>
      </c>
      <c r="D332" s="2" t="s">
        <v>10794</v>
      </c>
      <c r="E332" s="2" t="s">
        <v>10050</v>
      </c>
      <c r="F332" s="2"/>
      <c r="G332" s="2" t="str">
        <f aca="false">LEFT(C332,3)</f>
        <v>422</v>
      </c>
      <c r="H332" s="16" t="n">
        <v>0.43</v>
      </c>
      <c r="I332" s="2" t="s">
        <v>10071</v>
      </c>
      <c r="J332" s="2" t="n">
        <f aca="false">IF(COUNTIFS($G$2:G332,G332,$A$2:A332,A332)=1,1,0)</f>
        <v>0</v>
      </c>
    </row>
    <row r="333" customFormat="false" ht="15" hidden="false" customHeight="false" outlineLevel="0" collapsed="false">
      <c r="A333" s="2" t="s">
        <v>10795</v>
      </c>
      <c r="B333" s="2" t="s">
        <v>10796</v>
      </c>
      <c r="C333" s="2" t="s">
        <v>10763</v>
      </c>
      <c r="D333" s="2" t="s">
        <v>10764</v>
      </c>
      <c r="E333" s="2" t="s">
        <v>10050</v>
      </c>
      <c r="F333" s="2"/>
      <c r="G333" s="2" t="str">
        <f aca="false">LEFT(C333,3)</f>
        <v>343</v>
      </c>
      <c r="H333" s="16" t="n">
        <v>0.55</v>
      </c>
      <c r="I333" s="2" t="s">
        <v>10176</v>
      </c>
      <c r="J333" s="2" t="n">
        <f aca="false">IF(COUNTIFS($G$2:G333,G333,$A$2:A333,A333)=1,1,0)</f>
        <v>1</v>
      </c>
    </row>
    <row r="334" customFormat="false" ht="15" hidden="false" customHeight="false" outlineLevel="0" collapsed="false">
      <c r="A334" s="2" t="s">
        <v>10795</v>
      </c>
      <c r="B334" s="2" t="s">
        <v>10796</v>
      </c>
      <c r="C334" s="2" t="s">
        <v>10771</v>
      </c>
      <c r="D334" s="2" t="s">
        <v>10772</v>
      </c>
      <c r="E334" s="2" t="s">
        <v>10050</v>
      </c>
      <c r="F334" s="2"/>
      <c r="G334" s="2" t="str">
        <f aca="false">LEFT(C334,3)</f>
        <v>411</v>
      </c>
      <c r="H334" s="16" t="n">
        <v>0.55</v>
      </c>
      <c r="I334" s="2" t="s">
        <v>10176</v>
      </c>
      <c r="J334" s="2" t="n">
        <f aca="false">IF(COUNTIFS($G$2:G334,G334,$A$2:A334,A334)=1,1,0)</f>
        <v>1</v>
      </c>
    </row>
    <row r="335" customFormat="false" ht="15" hidden="false" customHeight="false" outlineLevel="0" collapsed="false">
      <c r="A335" s="2" t="s">
        <v>10797</v>
      </c>
      <c r="B335" s="2" t="s">
        <v>10798</v>
      </c>
      <c r="C335" s="2" t="s">
        <v>10763</v>
      </c>
      <c r="D335" s="2" t="s">
        <v>10764</v>
      </c>
      <c r="E335" s="2" t="s">
        <v>10050</v>
      </c>
      <c r="F335" s="2" t="s">
        <v>10799</v>
      </c>
      <c r="G335" s="2" t="str">
        <f aca="false">LEFT(C335,3)</f>
        <v>343</v>
      </c>
      <c r="H335" s="16" t="n">
        <v>0.54</v>
      </c>
      <c r="I335" s="2" t="s">
        <v>10176</v>
      </c>
      <c r="J335" s="2" t="n">
        <f aca="false">IF(COUNTIFS($G$2:G335,G335,$A$2:A335,A335)=1,1,0)</f>
        <v>1</v>
      </c>
    </row>
    <row r="336" customFormat="false" ht="15" hidden="false" customHeight="false" outlineLevel="0" collapsed="false">
      <c r="A336" s="2" t="s">
        <v>10797</v>
      </c>
      <c r="B336" s="2" t="s">
        <v>10798</v>
      </c>
      <c r="C336" s="2" t="s">
        <v>10744</v>
      </c>
      <c r="D336" s="2" t="s">
        <v>10745</v>
      </c>
      <c r="E336" s="2" t="s">
        <v>10050</v>
      </c>
      <c r="F336" s="2" t="s">
        <v>10800</v>
      </c>
      <c r="G336" s="2" t="str">
        <f aca="false">LEFT(C336,3)</f>
        <v>343</v>
      </c>
      <c r="H336" s="16" t="n">
        <v>0.54</v>
      </c>
      <c r="I336" s="2" t="s">
        <v>10176</v>
      </c>
      <c r="J336" s="2" t="n">
        <f aca="false">IF(COUNTIFS($G$2:G336,G336,$A$2:A336,A336)=1,1,0)</f>
        <v>0</v>
      </c>
    </row>
    <row r="337" customFormat="false" ht="15" hidden="false" customHeight="false" outlineLevel="0" collapsed="false">
      <c r="A337" s="2" t="s">
        <v>10801</v>
      </c>
      <c r="B337" s="2" t="s">
        <v>10802</v>
      </c>
      <c r="C337" s="2" t="s">
        <v>10763</v>
      </c>
      <c r="D337" s="2" t="s">
        <v>10764</v>
      </c>
      <c r="E337" s="2" t="s">
        <v>10050</v>
      </c>
      <c r="F337" s="2"/>
      <c r="G337" s="2" t="str">
        <f aca="false">LEFT(C337,3)</f>
        <v>343</v>
      </c>
      <c r="H337" s="16" t="n">
        <v>0.53</v>
      </c>
      <c r="I337" s="2" t="s">
        <v>10176</v>
      </c>
      <c r="J337" s="2" t="n">
        <f aca="false">IF(COUNTIFS($G$2:G337,G337,$A$2:A337,A337)=1,1,0)</f>
        <v>1</v>
      </c>
    </row>
    <row r="338" customFormat="false" ht="15" hidden="false" customHeight="false" outlineLevel="0" collapsed="false">
      <c r="A338" s="2" t="s">
        <v>10801</v>
      </c>
      <c r="B338" s="2" t="s">
        <v>10802</v>
      </c>
      <c r="C338" s="2" t="s">
        <v>10771</v>
      </c>
      <c r="D338" s="2" t="s">
        <v>10772</v>
      </c>
      <c r="E338" s="2" t="s">
        <v>10050</v>
      </c>
      <c r="F338" s="2"/>
      <c r="G338" s="2" t="str">
        <f aca="false">LEFT(C338,3)</f>
        <v>411</v>
      </c>
      <c r="H338" s="16" t="n">
        <v>0.53</v>
      </c>
      <c r="I338" s="2" t="s">
        <v>10176</v>
      </c>
      <c r="J338" s="2" t="n">
        <f aca="false">IF(COUNTIFS($G$2:G338,G338,$A$2:A338,A338)=1,1,0)</f>
        <v>1</v>
      </c>
    </row>
    <row r="339" customFormat="false" ht="15" hidden="false" customHeight="false" outlineLevel="0" collapsed="false">
      <c r="A339" s="2" t="s">
        <v>10803</v>
      </c>
      <c r="B339" s="2" t="s">
        <v>10804</v>
      </c>
      <c r="C339" s="2" t="s">
        <v>10805</v>
      </c>
      <c r="D339" s="2" t="s">
        <v>10806</v>
      </c>
      <c r="E339" s="2"/>
      <c r="F339" s="2"/>
      <c r="G339" s="2" t="str">
        <f aca="false">LEFT(C339,3)</f>
        <v>344</v>
      </c>
      <c r="H339" s="16" t="n">
        <v>0.32</v>
      </c>
      <c r="I339" s="2" t="s">
        <v>10030</v>
      </c>
      <c r="J339" s="2" t="n">
        <f aca="false">IF(COUNTIFS($G$2:G339,G339,$A$2:A339,A339)=1,1,0)</f>
        <v>1</v>
      </c>
    </row>
    <row r="340" customFormat="false" ht="15" hidden="false" customHeight="false" outlineLevel="0" collapsed="false">
      <c r="A340" s="2" t="s">
        <v>10807</v>
      </c>
      <c r="B340" s="2" t="s">
        <v>10808</v>
      </c>
      <c r="C340" s="2" t="s">
        <v>10809</v>
      </c>
      <c r="D340" s="2" t="s">
        <v>10810</v>
      </c>
      <c r="E340" s="2"/>
      <c r="F340" s="2"/>
      <c r="G340" s="2" t="str">
        <f aca="false">LEFT(C340,3)</f>
        <v>344</v>
      </c>
      <c r="H340" s="16" t="n">
        <v>0.49</v>
      </c>
      <c r="I340" s="2" t="s">
        <v>10071</v>
      </c>
      <c r="J340" s="2" t="n">
        <f aca="false">IF(COUNTIFS($G$2:G340,G340,$A$2:A340,A340)=1,1,0)</f>
        <v>1</v>
      </c>
    </row>
    <row r="341" customFormat="false" ht="15" hidden="false" customHeight="false" outlineLevel="0" collapsed="false">
      <c r="A341" s="2" t="s">
        <v>10811</v>
      </c>
      <c r="B341" s="2" t="s">
        <v>10812</v>
      </c>
      <c r="C341" s="2" t="s">
        <v>10813</v>
      </c>
      <c r="D341" s="2" t="s">
        <v>10814</v>
      </c>
      <c r="E341" s="2"/>
      <c r="F341" s="2"/>
      <c r="G341" s="2" t="str">
        <f aca="false">LEFT(C341,3)</f>
        <v>344</v>
      </c>
      <c r="H341" s="16" t="n">
        <v>0.45</v>
      </c>
      <c r="I341" s="2" t="s">
        <v>10071</v>
      </c>
      <c r="J341" s="2" t="n">
        <f aca="false">IF(COUNTIFS($G$2:G341,G341,$A$2:A341,A341)=1,1,0)</f>
        <v>1</v>
      </c>
    </row>
    <row r="342" customFormat="false" ht="15" hidden="false" customHeight="false" outlineLevel="0" collapsed="false">
      <c r="A342" s="2" t="s">
        <v>10815</v>
      </c>
      <c r="B342" s="2" t="s">
        <v>10816</v>
      </c>
      <c r="C342" s="2" t="s">
        <v>10817</v>
      </c>
      <c r="D342" s="2" t="s">
        <v>10818</v>
      </c>
      <c r="E342" s="2"/>
      <c r="F342" s="2"/>
      <c r="G342" s="2" t="str">
        <f aca="false">LEFT(C342,3)</f>
        <v>344</v>
      </c>
      <c r="H342" s="16" t="n">
        <v>0.43</v>
      </c>
      <c r="I342" s="2" t="s">
        <v>10071</v>
      </c>
      <c r="J342" s="2" t="n">
        <f aca="false">IF(COUNTIFS($G$2:G342,G342,$A$2:A342,A342)=1,1,0)</f>
        <v>1</v>
      </c>
    </row>
    <row r="343" customFormat="false" ht="15" hidden="false" customHeight="false" outlineLevel="0" collapsed="false">
      <c r="A343" s="2" t="s">
        <v>10819</v>
      </c>
      <c r="B343" s="2" t="s">
        <v>10820</v>
      </c>
      <c r="C343" s="2" t="s">
        <v>10821</v>
      </c>
      <c r="D343" s="2" t="s">
        <v>10822</v>
      </c>
      <c r="E343" s="2" t="s">
        <v>10050</v>
      </c>
      <c r="F343" s="2"/>
      <c r="G343" s="2" t="str">
        <f aca="false">LEFT(C343,3)</f>
        <v>345</v>
      </c>
      <c r="H343" s="16" t="n">
        <v>0.23</v>
      </c>
      <c r="I343" s="2" t="s">
        <v>10025</v>
      </c>
      <c r="J343" s="2" t="n">
        <f aca="false">IF(COUNTIFS($G$2:G343,G343,$A$2:A343,A343)=1,1,0)</f>
        <v>1</v>
      </c>
    </row>
    <row r="344" customFormat="false" ht="15" hidden="false" customHeight="false" outlineLevel="0" collapsed="false">
      <c r="A344" s="2" t="s">
        <v>10823</v>
      </c>
      <c r="B344" s="2" t="s">
        <v>10824</v>
      </c>
      <c r="C344" s="2" t="s">
        <v>10477</v>
      </c>
      <c r="D344" s="2" t="s">
        <v>10478</v>
      </c>
      <c r="E344" s="2" t="s">
        <v>10050</v>
      </c>
      <c r="F344" s="2" t="s">
        <v>10825</v>
      </c>
      <c r="G344" s="2" t="str">
        <f aca="false">LEFT(C344,3)</f>
        <v>315</v>
      </c>
      <c r="H344" s="16" t="n">
        <v>0.36</v>
      </c>
      <c r="I344" s="2" t="s">
        <v>10030</v>
      </c>
      <c r="J344" s="2" t="n">
        <f aca="false">IF(COUNTIFS($G$2:G344,G344,$A$2:A344,A344)=1,1,0)</f>
        <v>1</v>
      </c>
    </row>
    <row r="345" customFormat="false" ht="15" hidden="false" customHeight="false" outlineLevel="0" collapsed="false">
      <c r="A345" s="2" t="s">
        <v>10823</v>
      </c>
      <c r="B345" s="2" t="s">
        <v>10824</v>
      </c>
      <c r="C345" s="2" t="s">
        <v>10744</v>
      </c>
      <c r="D345" s="2" t="s">
        <v>10745</v>
      </c>
      <c r="E345" s="2" t="s">
        <v>10050</v>
      </c>
      <c r="F345" s="2" t="s">
        <v>10826</v>
      </c>
      <c r="G345" s="2" t="str">
        <f aca="false">LEFT(C345,3)</f>
        <v>343</v>
      </c>
      <c r="H345" s="16" t="n">
        <v>0.36</v>
      </c>
      <c r="I345" s="2" t="s">
        <v>10030</v>
      </c>
      <c r="J345" s="2" t="n">
        <f aca="false">IF(COUNTIFS($G$2:G345,G345,$A$2:A345,A345)=1,1,0)</f>
        <v>1</v>
      </c>
    </row>
    <row r="346" customFormat="false" ht="15" hidden="false" customHeight="false" outlineLevel="0" collapsed="false">
      <c r="A346" s="2" t="s">
        <v>10823</v>
      </c>
      <c r="B346" s="2" t="s">
        <v>10824</v>
      </c>
      <c r="C346" s="2" t="s">
        <v>10827</v>
      </c>
      <c r="D346" s="2" t="s">
        <v>10828</v>
      </c>
      <c r="E346" s="2"/>
      <c r="F346" s="2"/>
      <c r="G346" s="2" t="str">
        <f aca="false">LEFT(C346,3)</f>
        <v>344</v>
      </c>
      <c r="H346" s="16" t="n">
        <v>0.36</v>
      </c>
      <c r="I346" s="2" t="s">
        <v>10030</v>
      </c>
      <c r="J346" s="2" t="n">
        <f aca="false">IF(COUNTIFS($G$2:G346,G346,$A$2:A346,A346)=1,1,0)</f>
        <v>1</v>
      </c>
    </row>
    <row r="347" customFormat="false" ht="15" hidden="false" customHeight="false" outlineLevel="0" collapsed="false">
      <c r="A347" s="2" t="s">
        <v>10351</v>
      </c>
      <c r="B347" s="2" t="s">
        <v>10829</v>
      </c>
      <c r="C347" s="2" t="s">
        <v>10830</v>
      </c>
      <c r="D347" s="2" t="s">
        <v>10831</v>
      </c>
      <c r="E347" s="2"/>
      <c r="F347" s="2"/>
      <c r="G347" s="2" t="str">
        <f aca="false">LEFT(C347,3)</f>
        <v>343</v>
      </c>
      <c r="H347" s="16" t="n">
        <v>0.39</v>
      </c>
      <c r="I347" s="2" t="s">
        <v>10152</v>
      </c>
      <c r="J347" s="2" t="n">
        <f aca="false">IF(COUNTIFS($G$2:G347,G347,$A$2:A347,A347)=1,1,0)</f>
        <v>1</v>
      </c>
    </row>
    <row r="348" customFormat="false" ht="15" hidden="false" customHeight="false" outlineLevel="0" collapsed="false">
      <c r="A348" s="2" t="s">
        <v>10351</v>
      </c>
      <c r="B348" s="2" t="s">
        <v>10829</v>
      </c>
      <c r="C348" s="2" t="s">
        <v>10821</v>
      </c>
      <c r="D348" s="2" t="s">
        <v>10822</v>
      </c>
      <c r="E348" s="2" t="s">
        <v>10050</v>
      </c>
      <c r="F348" s="2" t="s">
        <v>10832</v>
      </c>
      <c r="G348" s="2" t="str">
        <f aca="false">LEFT(C348,3)</f>
        <v>345</v>
      </c>
      <c r="H348" s="16" t="n">
        <v>0.39</v>
      </c>
      <c r="I348" s="2" t="s">
        <v>10152</v>
      </c>
      <c r="J348" s="2" t="n">
        <f aca="false">IF(COUNTIFS($G$2:G348,G348,$A$2:A348,A348)=1,1,0)</f>
        <v>1</v>
      </c>
    </row>
    <row r="349" customFormat="false" ht="15" hidden="false" customHeight="false" outlineLevel="0" collapsed="false">
      <c r="A349" s="2" t="s">
        <v>10724</v>
      </c>
      <c r="B349" s="2" t="s">
        <v>8707</v>
      </c>
      <c r="C349" s="2" t="s">
        <v>10833</v>
      </c>
      <c r="D349" s="2" t="s">
        <v>10834</v>
      </c>
      <c r="E349" s="2"/>
      <c r="F349" s="2"/>
      <c r="G349" s="2" t="str">
        <f aca="false">LEFT(C349,3)</f>
        <v>346</v>
      </c>
      <c r="H349" s="16" t="n">
        <v>0.33</v>
      </c>
      <c r="I349" s="2" t="s">
        <v>10030</v>
      </c>
      <c r="J349" s="2" t="n">
        <f aca="false">IF(COUNTIFS($G$2:G349,G349,$A$2:A349,A349)=1,1,0)</f>
        <v>1</v>
      </c>
    </row>
    <row r="350" customFormat="false" ht="15" hidden="false" customHeight="false" outlineLevel="0" collapsed="false">
      <c r="A350" s="2" t="s">
        <v>10752</v>
      </c>
      <c r="B350" s="2" t="s">
        <v>10835</v>
      </c>
      <c r="C350" s="2" t="s">
        <v>10836</v>
      </c>
      <c r="D350" s="2" t="s">
        <v>10837</v>
      </c>
      <c r="E350" s="2"/>
      <c r="F350" s="2"/>
      <c r="G350" s="2" t="str">
        <f aca="false">LEFT(C350,3)</f>
        <v>348</v>
      </c>
      <c r="H350" s="16" t="n">
        <v>0.12</v>
      </c>
      <c r="I350" s="2" t="s">
        <v>10025</v>
      </c>
      <c r="J350" s="2" t="n">
        <f aca="false">IF(COUNTIFS($G$2:G350,G350,$A$2:A350,A350)=1,1,0)</f>
        <v>1</v>
      </c>
    </row>
    <row r="351" customFormat="false" ht="15" hidden="false" customHeight="false" outlineLevel="0" collapsed="false">
      <c r="A351" s="2" t="s">
        <v>10733</v>
      </c>
      <c r="B351" s="2" t="s">
        <v>10838</v>
      </c>
      <c r="C351" s="2" t="s">
        <v>10839</v>
      </c>
      <c r="D351" s="2" t="s">
        <v>10840</v>
      </c>
      <c r="E351" s="2" t="s">
        <v>10050</v>
      </c>
      <c r="F351" s="2"/>
      <c r="G351" s="2" t="str">
        <f aca="false">LEFT(C351,3)</f>
        <v>347</v>
      </c>
      <c r="H351" s="16" t="n">
        <v>0.23</v>
      </c>
      <c r="I351" s="2" t="s">
        <v>10025</v>
      </c>
      <c r="J351" s="2" t="n">
        <f aca="false">IF(COUNTIFS($G$2:G351,G351,$A$2:A351,A351)=1,1,0)</f>
        <v>1</v>
      </c>
    </row>
    <row r="352" customFormat="false" ht="15" hidden="false" customHeight="false" outlineLevel="0" collapsed="false">
      <c r="A352" s="2" t="s">
        <v>10737</v>
      </c>
      <c r="B352" s="2" t="s">
        <v>10841</v>
      </c>
      <c r="C352" s="2" t="s">
        <v>10839</v>
      </c>
      <c r="D352" s="2" t="s">
        <v>10840</v>
      </c>
      <c r="E352" s="2" t="s">
        <v>10050</v>
      </c>
      <c r="F352" s="2"/>
      <c r="G352" s="2" t="str">
        <f aca="false">LEFT(C352,3)</f>
        <v>347</v>
      </c>
      <c r="H352" s="16" t="n">
        <v>0.37</v>
      </c>
      <c r="I352" s="2" t="s">
        <v>10030</v>
      </c>
      <c r="J352" s="2" t="n">
        <f aca="false">IF(COUNTIFS($G$2:G352,G352,$A$2:A352,A352)=1,1,0)</f>
        <v>1</v>
      </c>
    </row>
    <row r="353" customFormat="false" ht="15" hidden="false" customHeight="false" outlineLevel="0" collapsed="false">
      <c r="A353" s="2" t="s">
        <v>10748</v>
      </c>
      <c r="B353" s="2" t="s">
        <v>3428</v>
      </c>
      <c r="C353" s="2" t="s">
        <v>10337</v>
      </c>
      <c r="D353" s="2" t="s">
        <v>10338</v>
      </c>
      <c r="E353" s="2" t="s">
        <v>10050</v>
      </c>
      <c r="F353" s="2" t="s">
        <v>10842</v>
      </c>
      <c r="G353" s="2" t="str">
        <f aca="false">LEFT(C353,3)</f>
        <v>334</v>
      </c>
      <c r="H353" s="16" t="n">
        <v>0.25</v>
      </c>
      <c r="I353" s="2" t="s">
        <v>10025</v>
      </c>
      <c r="J353" s="2" t="n">
        <f aca="false">IF(COUNTIFS($G$2:G353,G353,$A$2:A353,A353)=1,1,0)</f>
        <v>1</v>
      </c>
    </row>
    <row r="354" customFormat="false" ht="15" hidden="false" customHeight="false" outlineLevel="0" collapsed="false">
      <c r="A354" s="2" t="s">
        <v>10748</v>
      </c>
      <c r="B354" s="2" t="s">
        <v>3428</v>
      </c>
      <c r="C354" s="2" t="s">
        <v>10839</v>
      </c>
      <c r="D354" s="2" t="s">
        <v>10840</v>
      </c>
      <c r="E354" s="2" t="s">
        <v>10050</v>
      </c>
      <c r="F354" s="2"/>
      <c r="G354" s="2" t="str">
        <f aca="false">LEFT(C354,3)</f>
        <v>347</v>
      </c>
      <c r="H354" s="16" t="n">
        <v>0.25</v>
      </c>
      <c r="I354" s="2" t="s">
        <v>10025</v>
      </c>
      <c r="J354" s="2" t="n">
        <f aca="false">IF(COUNTIFS($G$2:G354,G354,$A$2:A354,A354)=1,1,0)</f>
        <v>1</v>
      </c>
    </row>
    <row r="355" customFormat="false" ht="15" hidden="false" customHeight="false" outlineLevel="0" collapsed="false">
      <c r="A355" s="2" t="s">
        <v>10763</v>
      </c>
      <c r="B355" s="2" t="s">
        <v>10843</v>
      </c>
      <c r="C355" s="2" t="s">
        <v>10590</v>
      </c>
      <c r="D355" s="2" t="s">
        <v>10844</v>
      </c>
      <c r="E355" s="2" t="s">
        <v>10050</v>
      </c>
      <c r="F355" s="2"/>
      <c r="G355" s="2" t="str">
        <f aca="false">LEFT(C355,3)</f>
        <v>313</v>
      </c>
      <c r="H355" s="16" t="n">
        <v>0.39</v>
      </c>
      <c r="I355" s="2" t="s">
        <v>10152</v>
      </c>
      <c r="J355" s="2" t="n">
        <f aca="false">IF(COUNTIFS($G$2:G355,G355,$A$2:A355,A355)=1,1,0)</f>
        <v>1</v>
      </c>
    </row>
    <row r="356" customFormat="false" ht="15" hidden="false" customHeight="false" outlineLevel="0" collapsed="false">
      <c r="A356" s="2" t="s">
        <v>10830</v>
      </c>
      <c r="B356" s="2" t="s">
        <v>10845</v>
      </c>
      <c r="C356" s="2" t="s">
        <v>10237</v>
      </c>
      <c r="D356" s="2" t="s">
        <v>10238</v>
      </c>
      <c r="E356" s="2" t="s">
        <v>10050</v>
      </c>
      <c r="F356" s="2"/>
      <c r="G356" s="2" t="str">
        <f aca="false">LEFT(C356,3)</f>
        <v>347</v>
      </c>
      <c r="H356" s="16" t="n">
        <v>0.37</v>
      </c>
      <c r="I356" s="2" t="s">
        <v>10030</v>
      </c>
      <c r="J356" s="2" t="n">
        <f aca="false">IF(COUNTIFS($G$2:G356,G356,$A$2:A356,A356)=1,1,0)</f>
        <v>1</v>
      </c>
    </row>
    <row r="357" customFormat="false" ht="15" hidden="false" customHeight="false" outlineLevel="0" collapsed="false">
      <c r="A357" s="2" t="s">
        <v>10711</v>
      </c>
      <c r="B357" s="2" t="s">
        <v>10846</v>
      </c>
      <c r="C357" s="2" t="s">
        <v>10744</v>
      </c>
      <c r="D357" s="2" t="s">
        <v>10745</v>
      </c>
      <c r="E357" s="2" t="s">
        <v>10050</v>
      </c>
      <c r="F357" s="2" t="s">
        <v>10847</v>
      </c>
      <c r="G357" s="2" t="str">
        <f aca="false">LEFT(C357,3)</f>
        <v>343</v>
      </c>
      <c r="H357" s="16" t="n">
        <v>0.37</v>
      </c>
      <c r="I357" s="2" t="s">
        <v>10152</v>
      </c>
      <c r="J357" s="2" t="n">
        <f aca="false">IF(COUNTIFS($G$2:G357,G357,$A$2:A357,A357)=1,1,0)</f>
        <v>1</v>
      </c>
    </row>
    <row r="358" customFormat="false" ht="15" hidden="false" customHeight="false" outlineLevel="0" collapsed="false">
      <c r="A358" s="2" t="s">
        <v>10711</v>
      </c>
      <c r="B358" s="2" t="s">
        <v>10846</v>
      </c>
      <c r="C358" s="2" t="s">
        <v>10237</v>
      </c>
      <c r="D358" s="2" t="s">
        <v>10238</v>
      </c>
      <c r="E358" s="2" t="s">
        <v>10050</v>
      </c>
      <c r="F358" s="2"/>
      <c r="G358" s="2" t="str">
        <f aca="false">LEFT(C358,3)</f>
        <v>347</v>
      </c>
      <c r="H358" s="16" t="n">
        <v>0.37</v>
      </c>
      <c r="I358" s="2" t="s">
        <v>10152</v>
      </c>
      <c r="J358" s="2" t="n">
        <f aca="false">IF(COUNTIFS($G$2:G358,G358,$A$2:A358,A358)=1,1,0)</f>
        <v>1</v>
      </c>
    </row>
    <row r="359" customFormat="false" ht="15" hidden="false" customHeight="false" outlineLevel="0" collapsed="false">
      <c r="A359" s="2" t="s">
        <v>10713</v>
      </c>
      <c r="B359" s="2" t="s">
        <v>10848</v>
      </c>
      <c r="C359" s="2" t="s">
        <v>10849</v>
      </c>
      <c r="D359" s="2" t="s">
        <v>443</v>
      </c>
      <c r="E359" s="2" t="s">
        <v>10050</v>
      </c>
      <c r="F359" s="2"/>
      <c r="G359" s="2" t="str">
        <f aca="false">LEFT(C359,3)</f>
        <v>512</v>
      </c>
      <c r="H359" s="16" t="n">
        <v>0.25</v>
      </c>
      <c r="I359" s="2" t="s">
        <v>10025</v>
      </c>
      <c r="J359" s="2" t="n">
        <f aca="false">IF(COUNTIFS($G$2:G359,G359,$A$2:A359,A359)=1,1,0)</f>
        <v>1</v>
      </c>
    </row>
    <row r="360" customFormat="false" ht="15" hidden="false" customHeight="false" outlineLevel="0" collapsed="false">
      <c r="A360" s="2" t="s">
        <v>10850</v>
      </c>
      <c r="B360" s="2" t="s">
        <v>10851</v>
      </c>
      <c r="C360" s="2" t="s">
        <v>10337</v>
      </c>
      <c r="D360" s="2" t="s">
        <v>10338</v>
      </c>
      <c r="E360" s="2" t="s">
        <v>10050</v>
      </c>
      <c r="F360" s="2"/>
      <c r="G360" s="2" t="str">
        <f aca="false">LEFT(C360,3)</f>
        <v>334</v>
      </c>
      <c r="H360" s="16"/>
      <c r="I360" s="2" t="s">
        <v>10169</v>
      </c>
      <c r="J360" s="2" t="n">
        <f aca="false">IF(COUNTIFS($G$2:G360,G360,$A$2:A360,A360)=1,1,0)</f>
        <v>1</v>
      </c>
    </row>
    <row r="361" customFormat="false" ht="15" hidden="false" customHeight="false" outlineLevel="0" collapsed="false">
      <c r="A361" s="2" t="s">
        <v>10852</v>
      </c>
      <c r="B361" s="2" t="s">
        <v>10853</v>
      </c>
      <c r="C361" s="2" t="s">
        <v>10508</v>
      </c>
      <c r="D361" s="2" t="s">
        <v>10854</v>
      </c>
      <c r="E361" s="2" t="s">
        <v>10050</v>
      </c>
      <c r="F361" s="2"/>
      <c r="G361" s="2" t="str">
        <f aca="false">LEFT(C361,3)</f>
        <v>312</v>
      </c>
      <c r="H361" s="16" t="n">
        <v>0.43</v>
      </c>
      <c r="I361" s="2" t="s">
        <v>10071</v>
      </c>
      <c r="J361" s="2" t="n">
        <f aca="false">IF(COUNTIFS($G$2:G361,G361,$A$2:A361,A361)=1,1,0)</f>
        <v>1</v>
      </c>
    </row>
    <row r="362" customFormat="false" ht="15" hidden="false" customHeight="false" outlineLevel="0" collapsed="false">
      <c r="A362" s="2" t="s">
        <v>10855</v>
      </c>
      <c r="B362" s="2" t="s">
        <v>10856</v>
      </c>
      <c r="C362" s="2" t="s">
        <v>10502</v>
      </c>
      <c r="D362" s="2" t="s">
        <v>10857</v>
      </c>
      <c r="E362" s="2" t="s">
        <v>10050</v>
      </c>
      <c r="F362" s="2"/>
      <c r="G362" s="2" t="str">
        <f aca="false">LEFT(C362,3)</f>
        <v>312</v>
      </c>
      <c r="H362" s="16" t="n">
        <v>0.47</v>
      </c>
      <c r="I362" s="2" t="s">
        <v>10071</v>
      </c>
      <c r="J362" s="2" t="n">
        <f aca="false">IF(COUNTIFS($G$2:G362,G362,$A$2:A362,A362)=1,1,0)</f>
        <v>1</v>
      </c>
    </row>
    <row r="363" customFormat="false" ht="15" hidden="false" customHeight="false" outlineLevel="0" collapsed="false">
      <c r="A363" s="2" t="s">
        <v>10858</v>
      </c>
      <c r="B363" s="2" t="s">
        <v>10859</v>
      </c>
      <c r="C363" s="2" t="s">
        <v>10382</v>
      </c>
      <c r="D363" s="2" t="s">
        <v>10383</v>
      </c>
      <c r="E363" s="2" t="s">
        <v>10050</v>
      </c>
      <c r="F363" s="2"/>
      <c r="G363" s="2" t="str">
        <f aca="false">LEFT(C363,3)</f>
        <v>213</v>
      </c>
      <c r="H363" s="16" t="n">
        <v>0.43</v>
      </c>
      <c r="I363" s="2" t="s">
        <v>10071</v>
      </c>
      <c r="J363" s="2" t="n">
        <f aca="false">IF(COUNTIFS($G$2:G363,G363,$A$2:A363,A363)=1,1,0)</f>
        <v>1</v>
      </c>
    </row>
    <row r="364" customFormat="false" ht="15" hidden="false" customHeight="false" outlineLevel="0" collapsed="false">
      <c r="A364" s="2" t="s">
        <v>10858</v>
      </c>
      <c r="B364" s="2" t="s">
        <v>10859</v>
      </c>
      <c r="C364" s="2" t="s">
        <v>10502</v>
      </c>
      <c r="D364" s="2" t="s">
        <v>10857</v>
      </c>
      <c r="E364" s="2" t="s">
        <v>10050</v>
      </c>
      <c r="F364" s="2"/>
      <c r="G364" s="2" t="str">
        <f aca="false">LEFT(C364,3)</f>
        <v>312</v>
      </c>
      <c r="H364" s="16" t="n">
        <v>0.43</v>
      </c>
      <c r="I364" s="2" t="s">
        <v>10071</v>
      </c>
      <c r="J364" s="2" t="n">
        <f aca="false">IF(COUNTIFS($G$2:G364,G364,$A$2:A364,A364)=1,1,0)</f>
        <v>1</v>
      </c>
    </row>
    <row r="365" customFormat="false" ht="15" hidden="false" customHeight="false" outlineLevel="0" collapsed="false">
      <c r="A365" s="2" t="s">
        <v>10860</v>
      </c>
      <c r="B365" s="2" t="s">
        <v>10861</v>
      </c>
      <c r="C365" s="2" t="s">
        <v>10502</v>
      </c>
      <c r="D365" s="2" t="s">
        <v>10857</v>
      </c>
      <c r="E365" s="2" t="s">
        <v>10050</v>
      </c>
      <c r="F365" s="2"/>
      <c r="G365" s="2" t="str">
        <f aca="false">LEFT(C365,3)</f>
        <v>312</v>
      </c>
      <c r="H365" s="16" t="n">
        <v>0.53</v>
      </c>
      <c r="I365" s="2" t="s">
        <v>10176</v>
      </c>
      <c r="J365" s="2" t="n">
        <f aca="false">IF(COUNTIFS($G$2:G365,G365,$A$2:A365,A365)=1,1,0)</f>
        <v>1</v>
      </c>
    </row>
    <row r="366" customFormat="false" ht="15" hidden="false" customHeight="false" outlineLevel="0" collapsed="false">
      <c r="A366" s="2" t="s">
        <v>10860</v>
      </c>
      <c r="B366" s="2" t="s">
        <v>10861</v>
      </c>
      <c r="C366" s="2" t="s">
        <v>10508</v>
      </c>
      <c r="D366" s="2" t="s">
        <v>10854</v>
      </c>
      <c r="E366" s="2" t="s">
        <v>10050</v>
      </c>
      <c r="F366" s="2"/>
      <c r="G366" s="2" t="str">
        <f aca="false">LEFT(C366,3)</f>
        <v>312</v>
      </c>
      <c r="H366" s="16" t="n">
        <v>0.53</v>
      </c>
      <c r="I366" s="2" t="s">
        <v>10176</v>
      </c>
      <c r="J366" s="2" t="n">
        <f aca="false">IF(COUNTIFS($G$2:G366,G366,$A$2:A366,A366)=1,1,0)</f>
        <v>0</v>
      </c>
    </row>
    <row r="367" customFormat="false" ht="15" hidden="false" customHeight="false" outlineLevel="0" collapsed="false">
      <c r="A367" s="2" t="s">
        <v>10862</v>
      </c>
      <c r="B367" s="2" t="s">
        <v>10863</v>
      </c>
      <c r="C367" s="2" t="s">
        <v>10590</v>
      </c>
      <c r="D367" s="2" t="s">
        <v>10844</v>
      </c>
      <c r="E367" s="2" t="s">
        <v>10050</v>
      </c>
      <c r="F367" s="2"/>
      <c r="G367" s="2" t="str">
        <f aca="false">LEFT(C367,3)</f>
        <v>313</v>
      </c>
      <c r="H367" s="16" t="n">
        <v>0.35</v>
      </c>
      <c r="I367" s="2" t="s">
        <v>10030</v>
      </c>
      <c r="J367" s="2" t="n">
        <f aca="false">IF(COUNTIFS($G$2:G367,G367,$A$2:A367,A367)=1,1,0)</f>
        <v>1</v>
      </c>
    </row>
    <row r="368" customFormat="false" ht="15" hidden="false" customHeight="false" outlineLevel="0" collapsed="false">
      <c r="A368" s="2" t="s">
        <v>10862</v>
      </c>
      <c r="B368" s="2" t="s">
        <v>10863</v>
      </c>
      <c r="C368" s="2" t="s">
        <v>10594</v>
      </c>
      <c r="D368" s="2" t="s">
        <v>10864</v>
      </c>
      <c r="E368" s="2" t="s">
        <v>10050</v>
      </c>
      <c r="F368" s="2"/>
      <c r="G368" s="2" t="str">
        <f aca="false">LEFT(C368,3)</f>
        <v>313</v>
      </c>
      <c r="H368" s="16" t="n">
        <v>0.35</v>
      </c>
      <c r="I368" s="2" t="s">
        <v>10030</v>
      </c>
      <c r="J368" s="2" t="n">
        <f aca="false">IF(COUNTIFS($G$2:G368,G368,$A$2:A368,A368)=1,1,0)</f>
        <v>0</v>
      </c>
    </row>
    <row r="369" customFormat="false" ht="15" hidden="false" customHeight="false" outlineLevel="0" collapsed="false">
      <c r="A369" s="2" t="s">
        <v>10865</v>
      </c>
      <c r="B369" s="2" t="s">
        <v>10866</v>
      </c>
      <c r="C369" s="2" t="s">
        <v>10483</v>
      </c>
      <c r="D369" s="2" t="s">
        <v>10485</v>
      </c>
      <c r="E369" s="2" t="s">
        <v>10050</v>
      </c>
      <c r="F369" s="2"/>
      <c r="G369" s="2" t="str">
        <f aca="false">LEFT(C369,3)</f>
        <v>311</v>
      </c>
      <c r="H369" s="16" t="n">
        <v>0.45</v>
      </c>
      <c r="I369" s="2" t="s">
        <v>10030</v>
      </c>
      <c r="J369" s="2" t="n">
        <f aca="false">IF(COUNTIFS($G$2:G369,G369,$A$2:A369,A369)=1,1,0)</f>
        <v>1</v>
      </c>
    </row>
    <row r="370" customFormat="false" ht="15" hidden="false" customHeight="false" outlineLevel="0" collapsed="false">
      <c r="A370" s="2" t="s">
        <v>10865</v>
      </c>
      <c r="B370" s="2" t="s">
        <v>10866</v>
      </c>
      <c r="C370" s="2" t="s">
        <v>10594</v>
      </c>
      <c r="D370" s="2" t="s">
        <v>10864</v>
      </c>
      <c r="E370" s="2" t="s">
        <v>10050</v>
      </c>
      <c r="F370" s="2" t="s">
        <v>10867</v>
      </c>
      <c r="G370" s="2" t="str">
        <f aca="false">LEFT(C370,3)</f>
        <v>313</v>
      </c>
      <c r="H370" s="16" t="n">
        <v>0.45</v>
      </c>
      <c r="I370" s="2" t="s">
        <v>10030</v>
      </c>
      <c r="J370" s="2" t="n">
        <f aca="false">IF(COUNTIFS($G$2:G370,G370,$A$2:A370,A370)=1,1,0)</f>
        <v>1</v>
      </c>
    </row>
    <row r="371" customFormat="false" ht="15" hidden="false" customHeight="false" outlineLevel="0" collapsed="false">
      <c r="A371" s="2" t="s">
        <v>10868</v>
      </c>
      <c r="B371" s="2" t="s">
        <v>10869</v>
      </c>
      <c r="C371" s="2" t="s">
        <v>10789</v>
      </c>
      <c r="D371" s="2" t="s">
        <v>10790</v>
      </c>
      <c r="E371" s="2" t="s">
        <v>10050</v>
      </c>
      <c r="F371" s="2"/>
      <c r="G371" s="2" t="str">
        <f aca="false">LEFT(C371,3)</f>
        <v>419</v>
      </c>
      <c r="H371" s="16" t="n">
        <v>0.6</v>
      </c>
      <c r="I371" s="2" t="s">
        <v>10355</v>
      </c>
      <c r="J371" s="2" t="n">
        <f aca="false">IF(COUNTIFS($G$2:G371,G371,$A$2:A371,A371)=1,1,0)</f>
        <v>1</v>
      </c>
    </row>
    <row r="372" customFormat="false" ht="15" hidden="false" customHeight="false" outlineLevel="0" collapsed="false">
      <c r="A372" s="2" t="s">
        <v>10870</v>
      </c>
      <c r="B372" s="2" t="s">
        <v>442</v>
      </c>
      <c r="C372" s="2" t="s">
        <v>10771</v>
      </c>
      <c r="D372" s="2" t="s">
        <v>10772</v>
      </c>
      <c r="E372" s="2" t="s">
        <v>10050</v>
      </c>
      <c r="F372" s="2"/>
      <c r="G372" s="2" t="str">
        <f aca="false">LEFT(C372,3)</f>
        <v>411</v>
      </c>
      <c r="H372" s="16" t="n">
        <v>0.58</v>
      </c>
      <c r="I372" s="2" t="s">
        <v>10176</v>
      </c>
      <c r="J372" s="2" t="n">
        <f aca="false">IF(COUNTIFS($G$2:G372,G372,$A$2:A372,A372)=1,1,0)</f>
        <v>1</v>
      </c>
    </row>
    <row r="373" customFormat="false" ht="15" hidden="false" customHeight="false" outlineLevel="0" collapsed="false">
      <c r="A373" s="2" t="s">
        <v>10777</v>
      </c>
      <c r="B373" s="2" t="s">
        <v>10871</v>
      </c>
      <c r="C373" s="2" t="s">
        <v>10765</v>
      </c>
      <c r="D373" s="2" t="s">
        <v>10766</v>
      </c>
      <c r="E373" s="2" t="s">
        <v>10050</v>
      </c>
      <c r="F373" s="2"/>
      <c r="G373" s="2" t="str">
        <f aca="false">LEFT(C373,3)</f>
        <v>411</v>
      </c>
      <c r="H373" s="16" t="n">
        <v>0.65</v>
      </c>
      <c r="I373" s="2" t="s">
        <v>10355</v>
      </c>
      <c r="J373" s="2" t="n">
        <f aca="false">IF(COUNTIFS($G$2:G373,G373,$A$2:A373,A373)=1,1,0)</f>
        <v>1</v>
      </c>
    </row>
    <row r="374" customFormat="false" ht="15" hidden="false" customHeight="false" outlineLevel="0" collapsed="false">
      <c r="A374" s="2" t="s">
        <v>10777</v>
      </c>
      <c r="B374" s="2" t="s">
        <v>10871</v>
      </c>
      <c r="C374" s="2" t="s">
        <v>10767</v>
      </c>
      <c r="D374" s="2" t="s">
        <v>10768</v>
      </c>
      <c r="E374" s="2" t="s">
        <v>10050</v>
      </c>
      <c r="F374" s="2"/>
      <c r="G374" s="2" t="str">
        <f aca="false">LEFT(C374,3)</f>
        <v>411</v>
      </c>
      <c r="H374" s="16" t="n">
        <v>0.65</v>
      </c>
      <c r="I374" s="2" t="s">
        <v>10355</v>
      </c>
      <c r="J374" s="2" t="n">
        <f aca="false">IF(COUNTIFS($G$2:G374,G374,$A$2:A374,A374)=1,1,0)</f>
        <v>0</v>
      </c>
    </row>
    <row r="375" customFormat="false" ht="15" hidden="false" customHeight="false" outlineLevel="0" collapsed="false">
      <c r="A375" s="2" t="s">
        <v>10779</v>
      </c>
      <c r="B375" s="2" t="s">
        <v>10872</v>
      </c>
      <c r="C375" s="2" t="s">
        <v>10873</v>
      </c>
      <c r="D375" s="2" t="s">
        <v>10874</v>
      </c>
      <c r="E375" s="2"/>
      <c r="F375" s="2"/>
      <c r="G375" s="2" t="str">
        <f aca="false">LEFT(C375,3)</f>
        <v>411</v>
      </c>
      <c r="H375" s="16" t="n">
        <v>0.7</v>
      </c>
      <c r="I375" s="2" t="s">
        <v>10355</v>
      </c>
      <c r="J375" s="2" t="n">
        <f aca="false">IF(COUNTIFS($G$2:G375,G375,$A$2:A375,A375)=1,1,0)</f>
        <v>1</v>
      </c>
    </row>
    <row r="376" customFormat="false" ht="15" hidden="false" customHeight="false" outlineLevel="0" collapsed="false">
      <c r="A376" s="2" t="s">
        <v>10779</v>
      </c>
      <c r="B376" s="2" t="s">
        <v>10872</v>
      </c>
      <c r="C376" s="2" t="s">
        <v>10769</v>
      </c>
      <c r="D376" s="2" t="s">
        <v>10770</v>
      </c>
      <c r="E376" s="2" t="s">
        <v>10050</v>
      </c>
      <c r="F376" s="2"/>
      <c r="G376" s="2" t="str">
        <f aca="false">LEFT(C376,3)</f>
        <v>411</v>
      </c>
      <c r="H376" s="16" t="n">
        <v>0.7</v>
      </c>
      <c r="I376" s="2" t="s">
        <v>10355</v>
      </c>
      <c r="J376" s="2" t="n">
        <f aca="false">IF(COUNTIFS($G$2:G376,G376,$A$2:A376,A376)=1,1,0)</f>
        <v>0</v>
      </c>
    </row>
    <row r="377" customFormat="false" ht="15" hidden="false" customHeight="false" outlineLevel="0" collapsed="false">
      <c r="A377" s="2" t="s">
        <v>10875</v>
      </c>
      <c r="B377" s="2" t="s">
        <v>10876</v>
      </c>
      <c r="C377" s="2" t="s">
        <v>10875</v>
      </c>
      <c r="D377" s="2" t="s">
        <v>446</v>
      </c>
      <c r="E377" s="2" t="s">
        <v>10050</v>
      </c>
      <c r="F377" s="2" t="s">
        <v>10877</v>
      </c>
      <c r="G377" s="2" t="str">
        <f aca="false">LEFT(C377,3)</f>
        <v>421</v>
      </c>
      <c r="H377" s="16" t="n">
        <v>0.58</v>
      </c>
      <c r="I377" s="2" t="s">
        <v>10176</v>
      </c>
      <c r="J377" s="2" t="n">
        <f aca="false">IF(COUNTIFS($G$2:G377,G377,$A$2:A377,A377)=1,1,0)</f>
        <v>1</v>
      </c>
    </row>
    <row r="378" customFormat="false" ht="15" hidden="false" customHeight="false" outlineLevel="0" collapsed="false">
      <c r="A378" s="2" t="s">
        <v>10875</v>
      </c>
      <c r="B378" s="2" t="s">
        <v>10876</v>
      </c>
      <c r="C378" s="2" t="s">
        <v>10878</v>
      </c>
      <c r="D378" s="2" t="s">
        <v>10879</v>
      </c>
      <c r="E378" s="2"/>
      <c r="F378" s="2"/>
      <c r="G378" s="2" t="str">
        <f aca="false">LEFT(C378,3)</f>
        <v>421</v>
      </c>
      <c r="H378" s="16" t="n">
        <v>0.58</v>
      </c>
      <c r="I378" s="2" t="s">
        <v>10176</v>
      </c>
      <c r="J378" s="2" t="n">
        <f aca="false">IF(COUNTIFS($G$2:G378,G378,$A$2:A378,A378)=1,1,0)</f>
        <v>0</v>
      </c>
    </row>
    <row r="379" customFormat="false" ht="15" hidden="false" customHeight="false" outlineLevel="0" collapsed="false">
      <c r="A379" s="2" t="s">
        <v>10878</v>
      </c>
      <c r="B379" s="2" t="s">
        <v>10880</v>
      </c>
      <c r="C379" s="2" t="s">
        <v>10875</v>
      </c>
      <c r="D379" s="2" t="s">
        <v>446</v>
      </c>
      <c r="E379" s="2" t="s">
        <v>10050</v>
      </c>
      <c r="F379" s="2" t="s">
        <v>10881</v>
      </c>
      <c r="G379" s="2" t="str">
        <f aca="false">LEFT(C379,3)</f>
        <v>421</v>
      </c>
      <c r="H379" s="16" t="n">
        <v>0.45</v>
      </c>
      <c r="I379" s="2" t="s">
        <v>10071</v>
      </c>
      <c r="J379" s="2" t="n">
        <f aca="false">IF(COUNTIFS($G$2:G379,G379,$A$2:A379,A379)=1,1,0)</f>
        <v>1</v>
      </c>
    </row>
    <row r="380" customFormat="false" ht="15" hidden="false" customHeight="false" outlineLevel="0" collapsed="false">
      <c r="A380" s="2" t="s">
        <v>10878</v>
      </c>
      <c r="B380" s="2" t="s">
        <v>10880</v>
      </c>
      <c r="C380" s="2" t="s">
        <v>10882</v>
      </c>
      <c r="D380" s="2" t="s">
        <v>10883</v>
      </c>
      <c r="E380" s="2"/>
      <c r="F380" s="2"/>
      <c r="G380" s="2" t="str">
        <f aca="false">LEFT(C380,3)</f>
        <v>421</v>
      </c>
      <c r="H380" s="16" t="n">
        <v>0.45</v>
      </c>
      <c r="I380" s="2" t="s">
        <v>10071</v>
      </c>
      <c r="J380" s="2" t="n">
        <f aca="false">IF(COUNTIFS($G$2:G380,G380,$A$2:A380,A380)=1,1,0)</f>
        <v>0</v>
      </c>
    </row>
    <row r="381" customFormat="false" ht="15" hidden="false" customHeight="false" outlineLevel="0" collapsed="false">
      <c r="A381" s="2" t="s">
        <v>10882</v>
      </c>
      <c r="B381" s="2" t="s">
        <v>10884</v>
      </c>
      <c r="C381" s="2" t="s">
        <v>10885</v>
      </c>
      <c r="D381" s="2" t="s">
        <v>10886</v>
      </c>
      <c r="E381" s="2"/>
      <c r="F381" s="2"/>
      <c r="G381" s="2" t="str">
        <f aca="false">LEFT(C381,3)</f>
        <v>421</v>
      </c>
      <c r="H381" s="16" t="n">
        <v>0.48</v>
      </c>
      <c r="I381" s="2" t="s">
        <v>10071</v>
      </c>
      <c r="J381" s="2" t="n">
        <f aca="false">IF(COUNTIFS($G$2:G381,G381,$A$2:A381,A381)=1,1,0)</f>
        <v>1</v>
      </c>
    </row>
    <row r="382" customFormat="false" ht="15" hidden="false" customHeight="false" outlineLevel="0" collapsed="false">
      <c r="A382" s="2" t="s">
        <v>10885</v>
      </c>
      <c r="B382" s="2" t="s">
        <v>10887</v>
      </c>
      <c r="C382" s="2" t="s">
        <v>10888</v>
      </c>
      <c r="D382" s="2" t="s">
        <v>10889</v>
      </c>
      <c r="E382" s="2"/>
      <c r="F382" s="2" t="s">
        <v>10890</v>
      </c>
      <c r="G382" s="2" t="str">
        <f aca="false">LEFT(C382,3)</f>
        <v>421</v>
      </c>
      <c r="H382" s="16" t="n">
        <v>0.43</v>
      </c>
      <c r="I382" s="2" t="s">
        <v>10071</v>
      </c>
      <c r="J382" s="2" t="n">
        <f aca="false">IF(COUNTIFS($G$2:G382,G382,$A$2:A382,A382)=1,1,0)</f>
        <v>1</v>
      </c>
    </row>
    <row r="383" customFormat="false" ht="15" hidden="false" customHeight="false" outlineLevel="0" collapsed="false">
      <c r="A383" s="2" t="s">
        <v>10891</v>
      </c>
      <c r="B383" s="2" t="s">
        <v>10892</v>
      </c>
      <c r="C383" s="2" t="s">
        <v>10741</v>
      </c>
      <c r="D383" s="2" t="s">
        <v>10742</v>
      </c>
      <c r="E383" s="2" t="s">
        <v>10893</v>
      </c>
      <c r="F383" s="2" t="s">
        <v>10894</v>
      </c>
      <c r="G383" s="2" t="str">
        <f aca="false">LEFT(C383,3)</f>
        <v>341</v>
      </c>
      <c r="H383" s="16" t="n">
        <v>0.56</v>
      </c>
      <c r="I383" s="2" t="s">
        <v>10176</v>
      </c>
      <c r="J383" s="2" t="n">
        <f aca="false">IF(COUNTIFS($G$2:G383,G383,$A$2:A383,A383)=1,1,0)</f>
        <v>1</v>
      </c>
    </row>
    <row r="384" customFormat="false" ht="15" hidden="false" customHeight="false" outlineLevel="0" collapsed="false">
      <c r="A384" s="2" t="s">
        <v>10891</v>
      </c>
      <c r="B384" s="2" t="s">
        <v>10892</v>
      </c>
      <c r="C384" s="2" t="s">
        <v>10891</v>
      </c>
      <c r="D384" s="2" t="s">
        <v>10895</v>
      </c>
      <c r="E384" s="2"/>
      <c r="F384" s="2"/>
      <c r="G384" s="2" t="str">
        <f aca="false">LEFT(C384,3)</f>
        <v>422</v>
      </c>
      <c r="H384" s="16" t="n">
        <v>0.56</v>
      </c>
      <c r="I384" s="2" t="s">
        <v>10176</v>
      </c>
      <c r="J384" s="2" t="n">
        <f aca="false">IF(COUNTIFS($G$2:G384,G384,$A$2:A384,A384)=1,1,0)</f>
        <v>1</v>
      </c>
    </row>
    <row r="385" customFormat="false" ht="15" hidden="false" customHeight="false" outlineLevel="0" collapsed="false">
      <c r="A385" s="2" t="s">
        <v>10791</v>
      </c>
      <c r="B385" s="2" t="s">
        <v>10896</v>
      </c>
      <c r="C385" s="2" t="s">
        <v>10791</v>
      </c>
      <c r="D385" s="2" t="s">
        <v>10792</v>
      </c>
      <c r="E385" s="2" t="s">
        <v>10050</v>
      </c>
      <c r="F385" s="2"/>
      <c r="G385" s="2" t="str">
        <f aca="false">LEFT(C385,3)</f>
        <v>422</v>
      </c>
      <c r="H385" s="16" t="n">
        <v>0.58</v>
      </c>
      <c r="I385" s="2" t="s">
        <v>10176</v>
      </c>
      <c r="J385" s="2" t="n">
        <f aca="false">IF(COUNTIFS($G$2:G385,G385,$A$2:A385,A385)=1,1,0)</f>
        <v>1</v>
      </c>
    </row>
    <row r="386" customFormat="false" ht="15" hidden="false" customHeight="false" outlineLevel="0" collapsed="false">
      <c r="A386" s="2" t="s">
        <v>10793</v>
      </c>
      <c r="B386" s="2" t="s">
        <v>10897</v>
      </c>
      <c r="C386" s="2" t="s">
        <v>10793</v>
      </c>
      <c r="D386" s="2" t="s">
        <v>10794</v>
      </c>
      <c r="E386" s="2" t="s">
        <v>10050</v>
      </c>
      <c r="F386" s="2"/>
      <c r="G386" s="2" t="str">
        <f aca="false">LEFT(C386,3)</f>
        <v>422</v>
      </c>
      <c r="H386" s="16" t="n">
        <v>0.54</v>
      </c>
      <c r="I386" s="2" t="s">
        <v>10176</v>
      </c>
      <c r="J386" s="2" t="n">
        <f aca="false">IF(COUNTIFS($G$2:G386,G386,$A$2:A386,A386)=1,1,0)</f>
        <v>1</v>
      </c>
    </row>
    <row r="387" customFormat="false" ht="15" hidden="false" customHeight="false" outlineLevel="0" collapsed="false">
      <c r="A387" s="2" t="s">
        <v>10898</v>
      </c>
      <c r="B387" s="2" t="s">
        <v>10899</v>
      </c>
      <c r="C387" s="2" t="s">
        <v>10791</v>
      </c>
      <c r="D387" s="2" t="s">
        <v>10792</v>
      </c>
      <c r="E387" s="2" t="s">
        <v>10050</v>
      </c>
      <c r="F387" s="2"/>
      <c r="G387" s="2" t="str">
        <f aca="false">LEFT(C387,3)</f>
        <v>422</v>
      </c>
      <c r="H387" s="16" t="n">
        <v>0.51</v>
      </c>
      <c r="I387" s="2" t="s">
        <v>10176</v>
      </c>
      <c r="J387" s="2" t="n">
        <f aca="false">IF(COUNTIFS($G$2:G387,G387,$A$2:A387,A387)=1,1,0)</f>
        <v>1</v>
      </c>
    </row>
    <row r="388" customFormat="false" ht="15" hidden="false" customHeight="false" outlineLevel="0" collapsed="false">
      <c r="A388" s="2" t="s">
        <v>10900</v>
      </c>
      <c r="B388" s="2" t="s">
        <v>10901</v>
      </c>
      <c r="C388" s="2" t="s">
        <v>10791</v>
      </c>
      <c r="D388" s="2" t="s">
        <v>10792</v>
      </c>
      <c r="E388" s="2" t="s">
        <v>10050</v>
      </c>
      <c r="F388" s="2"/>
      <c r="G388" s="2" t="str">
        <f aca="false">LEFT(C388,3)</f>
        <v>422</v>
      </c>
      <c r="H388" s="16" t="n">
        <v>0.57</v>
      </c>
      <c r="I388" s="2" t="s">
        <v>10176</v>
      </c>
      <c r="J388" s="2" t="n">
        <f aca="false">IF(COUNTIFS($G$2:G388,G388,$A$2:A388,A388)=1,1,0)</f>
        <v>1</v>
      </c>
    </row>
    <row r="389" customFormat="false" ht="15" hidden="false" customHeight="false" outlineLevel="0" collapsed="false">
      <c r="A389" s="2" t="s">
        <v>10902</v>
      </c>
      <c r="B389" s="2" t="s">
        <v>10903</v>
      </c>
      <c r="C389" s="2" t="s">
        <v>10791</v>
      </c>
      <c r="D389" s="2" t="s">
        <v>10792</v>
      </c>
      <c r="E389" s="2" t="s">
        <v>10050</v>
      </c>
      <c r="F389" s="2"/>
      <c r="G389" s="2" t="str">
        <f aca="false">LEFT(C389,3)</f>
        <v>422</v>
      </c>
      <c r="H389" s="16" t="n">
        <v>0.57</v>
      </c>
      <c r="I389" s="2" t="s">
        <v>10176</v>
      </c>
      <c r="J389" s="2" t="n">
        <f aca="false">IF(COUNTIFS($G$2:G389,G389,$A$2:A389,A389)=1,1,0)</f>
        <v>1</v>
      </c>
    </row>
    <row r="390" customFormat="false" ht="15" hidden="false" customHeight="false" outlineLevel="0" collapsed="false">
      <c r="A390" s="2" t="s">
        <v>10904</v>
      </c>
      <c r="B390" s="2" t="s">
        <v>10905</v>
      </c>
      <c r="C390" s="2" t="s">
        <v>10789</v>
      </c>
      <c r="D390" s="2" t="s">
        <v>10790</v>
      </c>
      <c r="E390" s="2" t="s">
        <v>10050</v>
      </c>
      <c r="F390" s="2" t="s">
        <v>10906</v>
      </c>
      <c r="G390" s="2" t="str">
        <f aca="false">LEFT(C390,3)</f>
        <v>419</v>
      </c>
      <c r="H390" s="16" t="n">
        <v>0.55</v>
      </c>
      <c r="I390" s="2" t="s">
        <v>10176</v>
      </c>
      <c r="J390" s="2" t="n">
        <f aca="false">IF(COUNTIFS($G$2:G390,G390,$A$2:A390,A390)=1,1,0)</f>
        <v>1</v>
      </c>
    </row>
    <row r="391" customFormat="false" ht="15" hidden="false" customHeight="false" outlineLevel="0" collapsed="false">
      <c r="A391" s="2" t="s">
        <v>10907</v>
      </c>
      <c r="B391" s="2" t="s">
        <v>10908</v>
      </c>
      <c r="C391" s="2" t="s">
        <v>10791</v>
      </c>
      <c r="D391" s="2" t="s">
        <v>10792</v>
      </c>
      <c r="E391" s="2" t="s">
        <v>10050</v>
      </c>
      <c r="F391" s="2"/>
      <c r="G391" s="2" t="str">
        <f aca="false">LEFT(C391,3)</f>
        <v>422</v>
      </c>
      <c r="H391" s="16" t="n">
        <v>0.42</v>
      </c>
      <c r="I391" s="2" t="s">
        <v>10071</v>
      </c>
      <c r="J391" s="2" t="n">
        <f aca="false">IF(COUNTIFS($G$2:G391,G391,$A$2:A391,A391)=1,1,0)</f>
        <v>1</v>
      </c>
    </row>
    <row r="392" customFormat="false" ht="15" hidden="false" customHeight="false" outlineLevel="0" collapsed="false">
      <c r="A392" s="2" t="s">
        <v>10909</v>
      </c>
      <c r="B392" s="2" t="s">
        <v>10910</v>
      </c>
      <c r="C392" s="2" t="s">
        <v>10773</v>
      </c>
      <c r="D392" s="2" t="s">
        <v>10774</v>
      </c>
      <c r="E392" s="2" t="s">
        <v>10050</v>
      </c>
      <c r="F392" s="2" t="s">
        <v>10911</v>
      </c>
      <c r="G392" s="2" t="str">
        <f aca="false">LEFT(C392,3)</f>
        <v>412</v>
      </c>
      <c r="H392" s="16" t="n">
        <v>0.64</v>
      </c>
      <c r="I392" s="2" t="s">
        <v>10355</v>
      </c>
      <c r="J392" s="2" t="n">
        <f aca="false">IF(COUNTIFS($G$2:G392,G392,$A$2:A392,A392)=1,1,0)</f>
        <v>1</v>
      </c>
    </row>
    <row r="393" customFormat="false" ht="15" hidden="false" customHeight="false" outlineLevel="0" collapsed="false">
      <c r="A393" s="2" t="s">
        <v>10912</v>
      </c>
      <c r="B393" s="2" t="s">
        <v>10913</v>
      </c>
      <c r="C393" s="2" t="s">
        <v>10775</v>
      </c>
      <c r="D393" s="2" t="s">
        <v>10776</v>
      </c>
      <c r="E393" s="2" t="s">
        <v>10050</v>
      </c>
      <c r="F393" s="2" t="s">
        <v>10914</v>
      </c>
      <c r="G393" s="2" t="str">
        <f aca="false">LEFT(C393,3)</f>
        <v>412</v>
      </c>
      <c r="H393" s="16" t="n">
        <v>0.64</v>
      </c>
      <c r="I393" s="2" t="s">
        <v>10355</v>
      </c>
      <c r="J393" s="2" t="n">
        <f aca="false">IF(COUNTIFS($G$2:G393,G393,$A$2:A393,A393)=1,1,0)</f>
        <v>1</v>
      </c>
    </row>
    <row r="394" customFormat="false" ht="15" hidden="false" customHeight="false" outlineLevel="0" collapsed="false">
      <c r="A394" s="2" t="s">
        <v>10915</v>
      </c>
      <c r="B394" s="2" t="s">
        <v>10916</v>
      </c>
      <c r="C394" s="2" t="s">
        <v>10773</v>
      </c>
      <c r="D394" s="2" t="s">
        <v>10774</v>
      </c>
      <c r="E394" s="2" t="s">
        <v>10050</v>
      </c>
      <c r="F394" s="2"/>
      <c r="G394" s="2" t="str">
        <f aca="false">LEFT(C394,3)</f>
        <v>412</v>
      </c>
      <c r="H394" s="16" t="n">
        <v>0.61</v>
      </c>
      <c r="I394" s="2" t="s">
        <v>10355</v>
      </c>
      <c r="J394" s="2" t="n">
        <f aca="false">IF(COUNTIFS($G$2:G394,G394,$A$2:A394,A394)=1,1,0)</f>
        <v>1</v>
      </c>
    </row>
    <row r="395" customFormat="false" ht="15" hidden="false" customHeight="false" outlineLevel="0" collapsed="false">
      <c r="A395" s="2" t="s">
        <v>10917</v>
      </c>
      <c r="B395" s="2" t="s">
        <v>10918</v>
      </c>
      <c r="C395" s="2" t="s">
        <v>10777</v>
      </c>
      <c r="D395" s="2" t="s">
        <v>10778</v>
      </c>
      <c r="E395" s="2" t="s">
        <v>10050</v>
      </c>
      <c r="F395" s="2"/>
      <c r="G395" s="2" t="str">
        <f aca="false">LEFT(C395,3)</f>
        <v>413</v>
      </c>
      <c r="H395" s="16" t="n">
        <v>0.37</v>
      </c>
      <c r="I395" s="2" t="s">
        <v>10030</v>
      </c>
      <c r="J395" s="2" t="n">
        <f aca="false">IF(COUNTIFS($G$2:G395,G395,$A$2:A395,A395)=1,1,0)</f>
        <v>1</v>
      </c>
    </row>
    <row r="396" customFormat="false" ht="15" hidden="false" customHeight="false" outlineLevel="0" collapsed="false">
      <c r="A396" s="2" t="s">
        <v>10919</v>
      </c>
      <c r="B396" s="2" t="s">
        <v>10920</v>
      </c>
      <c r="C396" s="2" t="s">
        <v>10779</v>
      </c>
      <c r="D396" s="2" t="s">
        <v>10780</v>
      </c>
      <c r="E396" s="2" t="s">
        <v>10050</v>
      </c>
      <c r="F396" s="2"/>
      <c r="G396" s="2" t="str">
        <f aca="false">LEFT(C396,3)</f>
        <v>413</v>
      </c>
      <c r="H396" s="16" t="n">
        <v>0.44</v>
      </c>
      <c r="I396" s="2" t="s">
        <v>10071</v>
      </c>
      <c r="J396" s="2" t="n">
        <f aca="false">IF(COUNTIFS($G$2:G396,G396,$A$2:A396,A396)=1,1,0)</f>
        <v>1</v>
      </c>
    </row>
    <row r="397" customFormat="false" ht="15" hidden="false" customHeight="false" outlineLevel="0" collapsed="false">
      <c r="A397" s="2" t="s">
        <v>10921</v>
      </c>
      <c r="B397" s="2" t="s">
        <v>10922</v>
      </c>
      <c r="C397" s="2" t="s">
        <v>10781</v>
      </c>
      <c r="D397" s="2" t="s">
        <v>10782</v>
      </c>
      <c r="E397" s="2" t="s">
        <v>10050</v>
      </c>
      <c r="F397" s="2"/>
      <c r="G397" s="2" t="str">
        <f aca="false">LEFT(C397,3)</f>
        <v>413</v>
      </c>
      <c r="H397" s="16" t="n">
        <v>0.5</v>
      </c>
      <c r="I397" s="2" t="s">
        <v>10176</v>
      </c>
      <c r="J397" s="2" t="n">
        <f aca="false">IF(COUNTIFS($G$2:G397,G397,$A$2:A397,A397)=1,1,0)</f>
        <v>1</v>
      </c>
    </row>
    <row r="398" customFormat="false" ht="15" hidden="false" customHeight="false" outlineLevel="0" collapsed="false">
      <c r="A398" s="2" t="s">
        <v>10923</v>
      </c>
      <c r="B398" s="2" t="s">
        <v>10924</v>
      </c>
      <c r="C398" s="2" t="s">
        <v>10783</v>
      </c>
      <c r="D398" s="2" t="s">
        <v>10784</v>
      </c>
      <c r="E398" s="2" t="s">
        <v>10050</v>
      </c>
      <c r="F398" s="2"/>
      <c r="G398" s="2" t="str">
        <f aca="false">LEFT(C398,3)</f>
        <v>414</v>
      </c>
      <c r="H398" s="16" t="n">
        <v>0.46</v>
      </c>
      <c r="I398" s="2" t="s">
        <v>10071</v>
      </c>
      <c r="J398" s="2" t="n">
        <f aca="false">IF(COUNTIFS($G$2:G398,G398,$A$2:A398,A398)=1,1,0)</f>
        <v>1</v>
      </c>
    </row>
    <row r="399" customFormat="false" ht="15" hidden="false" customHeight="false" outlineLevel="0" collapsed="false">
      <c r="A399" s="2" t="s">
        <v>10925</v>
      </c>
      <c r="B399" s="2" t="s">
        <v>10926</v>
      </c>
      <c r="C399" s="2" t="s">
        <v>10785</v>
      </c>
      <c r="D399" s="2" t="s">
        <v>10786</v>
      </c>
      <c r="E399" s="2" t="s">
        <v>10050</v>
      </c>
      <c r="F399" s="2"/>
      <c r="G399" s="2" t="str">
        <f aca="false">LEFT(C399,3)</f>
        <v>414</v>
      </c>
      <c r="H399" s="16" t="n">
        <v>0.41</v>
      </c>
      <c r="I399" s="2" t="s">
        <v>10071</v>
      </c>
      <c r="J399" s="2" t="n">
        <f aca="false">IF(COUNTIFS($G$2:G399,G399,$A$2:A399,A399)=1,1,0)</f>
        <v>1</v>
      </c>
    </row>
    <row r="400" customFormat="false" ht="15" hidden="false" customHeight="false" outlineLevel="0" collapsed="false">
      <c r="A400" s="2" t="s">
        <v>10927</v>
      </c>
      <c r="B400" s="2" t="s">
        <v>10928</v>
      </c>
      <c r="C400" s="2" t="s">
        <v>10683</v>
      </c>
      <c r="D400" s="2" t="s">
        <v>10684</v>
      </c>
      <c r="E400" s="2" t="s">
        <v>10050</v>
      </c>
      <c r="F400" s="2"/>
      <c r="G400" s="2" t="str">
        <f aca="false">LEFT(C400,3)</f>
        <v>414</v>
      </c>
      <c r="H400" s="16" t="n">
        <v>0.51</v>
      </c>
      <c r="I400" s="2" t="s">
        <v>10176</v>
      </c>
      <c r="J400" s="2" t="n">
        <f aca="false">IF(COUNTIFS($G$2:G400,G400,$A$2:A400,A400)=1,1,0)</f>
        <v>1</v>
      </c>
    </row>
    <row r="401" customFormat="false" ht="15" hidden="false" customHeight="false" outlineLevel="0" collapsed="false">
      <c r="A401" s="2" t="s">
        <v>10929</v>
      </c>
      <c r="B401" s="2" t="s">
        <v>10930</v>
      </c>
      <c r="C401" s="2" t="s">
        <v>10787</v>
      </c>
      <c r="D401" s="2" t="s">
        <v>10788</v>
      </c>
      <c r="E401" s="2" t="s">
        <v>10050</v>
      </c>
      <c r="F401" s="2"/>
      <c r="G401" s="2" t="str">
        <f aca="false">LEFT(C401,3)</f>
        <v>414</v>
      </c>
      <c r="H401" s="16" t="n">
        <v>0.58</v>
      </c>
      <c r="I401" s="2" t="s">
        <v>10176</v>
      </c>
      <c r="J401" s="2" t="n">
        <f aca="false">IF(COUNTIFS($G$2:G401,G401,$A$2:A401,A401)=1,1,0)</f>
        <v>1</v>
      </c>
    </row>
    <row r="402" customFormat="false" ht="15" hidden="false" customHeight="false" outlineLevel="0" collapsed="false">
      <c r="A402" s="2" t="s">
        <v>10931</v>
      </c>
      <c r="B402" s="2" t="s">
        <v>10932</v>
      </c>
      <c r="C402" s="2" t="s">
        <v>10783</v>
      </c>
      <c r="D402" s="2" t="s">
        <v>10784</v>
      </c>
      <c r="E402" s="2" t="s">
        <v>10050</v>
      </c>
      <c r="F402" s="2"/>
      <c r="G402" s="2" t="str">
        <f aca="false">LEFT(C402,3)</f>
        <v>414</v>
      </c>
      <c r="H402" s="16" t="n">
        <v>0.37</v>
      </c>
      <c r="I402" s="2" t="s">
        <v>10152</v>
      </c>
      <c r="J402" s="2" t="n">
        <f aca="false">IF(COUNTIFS($G$2:G402,G402,$A$2:A402,A402)=1,1,0)</f>
        <v>1</v>
      </c>
    </row>
    <row r="403" customFormat="false" ht="15" hidden="false" customHeight="false" outlineLevel="0" collapsed="false">
      <c r="A403" s="2" t="s">
        <v>10933</v>
      </c>
      <c r="B403" s="2" t="s">
        <v>10934</v>
      </c>
      <c r="C403" s="2" t="s">
        <v>10789</v>
      </c>
      <c r="D403" s="2" t="s">
        <v>10790</v>
      </c>
      <c r="E403" s="2" t="s">
        <v>10050</v>
      </c>
      <c r="F403" s="2"/>
      <c r="G403" s="2" t="str">
        <f aca="false">LEFT(C403,3)</f>
        <v>419</v>
      </c>
      <c r="H403" s="16" t="n">
        <v>0.6</v>
      </c>
      <c r="I403" s="2" t="s">
        <v>10355</v>
      </c>
      <c r="J403" s="2" t="n">
        <f aca="false">IF(COUNTIFS($G$2:G403,G403,$A$2:A403,A403)=1,1,0)</f>
        <v>1</v>
      </c>
    </row>
    <row r="404" customFormat="false" ht="15" hidden="false" customHeight="false" outlineLevel="0" collapsed="false">
      <c r="A404" s="2" t="s">
        <v>10935</v>
      </c>
      <c r="B404" s="2" t="s">
        <v>10936</v>
      </c>
      <c r="C404" s="2" t="s">
        <v>10789</v>
      </c>
      <c r="D404" s="2" t="s">
        <v>10790</v>
      </c>
      <c r="E404" s="2" t="s">
        <v>10050</v>
      </c>
      <c r="F404" s="2"/>
      <c r="G404" s="2" t="str">
        <f aca="false">LEFT(C404,3)</f>
        <v>419</v>
      </c>
      <c r="H404" s="16" t="n">
        <v>0.63</v>
      </c>
      <c r="I404" s="2" t="s">
        <v>10355</v>
      </c>
      <c r="J404" s="2" t="n">
        <f aca="false">IF(COUNTIFS($G$2:G404,G404,$A$2:A404,A404)=1,1,0)</f>
        <v>1</v>
      </c>
    </row>
    <row r="405" customFormat="false" ht="15" hidden="false" customHeight="false" outlineLevel="0" collapsed="false">
      <c r="A405" s="2" t="s">
        <v>10937</v>
      </c>
      <c r="B405" s="2" t="s">
        <v>10938</v>
      </c>
      <c r="C405" s="2" t="s">
        <v>10937</v>
      </c>
      <c r="D405" s="2" t="s">
        <v>10939</v>
      </c>
      <c r="E405" s="2"/>
      <c r="F405" s="2"/>
      <c r="G405" s="2" t="str">
        <f aca="false">LEFT(C405,3)</f>
        <v>511</v>
      </c>
      <c r="H405" s="16" t="n">
        <v>0.22</v>
      </c>
      <c r="I405" s="2" t="s">
        <v>10025</v>
      </c>
      <c r="J405" s="2" t="n">
        <f aca="false">IF(COUNTIFS($G$2:G405,G405,$A$2:A405,A405)=1,1,0)</f>
        <v>1</v>
      </c>
    </row>
    <row r="406" customFormat="false" ht="15" hidden="false" customHeight="false" outlineLevel="0" collapsed="false">
      <c r="A406" s="2" t="s">
        <v>10940</v>
      </c>
      <c r="B406" s="2" t="s">
        <v>10941</v>
      </c>
      <c r="C406" s="2" t="s">
        <v>10940</v>
      </c>
      <c r="D406" s="2" t="s">
        <v>10942</v>
      </c>
      <c r="E406" s="2"/>
      <c r="F406" s="2"/>
      <c r="G406" s="2" t="str">
        <f aca="false">LEFT(C406,3)</f>
        <v>511</v>
      </c>
      <c r="H406" s="16" t="n">
        <v>0.25</v>
      </c>
      <c r="I406" s="2" t="s">
        <v>10030</v>
      </c>
      <c r="J406" s="2" t="n">
        <f aca="false">IF(COUNTIFS($G$2:G406,G406,$A$2:A406,A406)=1,1,0)</f>
        <v>1</v>
      </c>
    </row>
    <row r="407" customFormat="false" ht="15" hidden="false" customHeight="false" outlineLevel="0" collapsed="false">
      <c r="A407" s="2" t="s">
        <v>10943</v>
      </c>
      <c r="B407" s="2" t="s">
        <v>10944</v>
      </c>
      <c r="C407" s="2" t="s">
        <v>10943</v>
      </c>
      <c r="D407" s="2" t="s">
        <v>10945</v>
      </c>
      <c r="E407" s="2"/>
      <c r="F407" s="2"/>
      <c r="G407" s="2" t="str">
        <f aca="false">LEFT(C407,3)</f>
        <v>511</v>
      </c>
      <c r="H407" s="16" t="n">
        <v>0.32</v>
      </c>
      <c r="I407" s="2" t="s">
        <v>10030</v>
      </c>
      <c r="J407" s="2" t="n">
        <f aca="false">IF(COUNTIFS($G$2:G407,G407,$A$2:A407,A407)=1,1,0)</f>
        <v>1</v>
      </c>
    </row>
    <row r="408" customFormat="false" ht="15" hidden="false" customHeight="false" outlineLevel="0" collapsed="false">
      <c r="A408" s="2" t="s">
        <v>10946</v>
      </c>
      <c r="B408" s="2" t="s">
        <v>443</v>
      </c>
      <c r="C408" s="2" t="s">
        <v>10849</v>
      </c>
      <c r="D408" s="2" t="s">
        <v>443</v>
      </c>
      <c r="E408" s="2" t="s">
        <v>10050</v>
      </c>
      <c r="F408" s="2"/>
      <c r="G408" s="2" t="str">
        <f aca="false">LEFT(C408,3)</f>
        <v>512</v>
      </c>
      <c r="H408" s="16" t="n">
        <v>0.18</v>
      </c>
      <c r="I408" s="2" t="s">
        <v>10025</v>
      </c>
      <c r="J408" s="2" t="n">
        <f aca="false">IF(COUNTIFS($G$2:G408,G408,$A$2:A408,A408)=1,1,0)</f>
        <v>1</v>
      </c>
    </row>
    <row r="409" customFormat="false" ht="15" hidden="false" customHeight="false" outlineLevel="0" collapsed="false">
      <c r="A409" s="2" t="s">
        <v>10947</v>
      </c>
      <c r="B409" s="2" t="s">
        <v>10948</v>
      </c>
      <c r="C409" s="2" t="s">
        <v>10949</v>
      </c>
      <c r="D409" s="2" t="s">
        <v>10950</v>
      </c>
      <c r="E409" s="2" t="s">
        <v>10050</v>
      </c>
      <c r="F409" s="2"/>
      <c r="G409" s="2" t="str">
        <f aca="false">LEFT(C409,3)</f>
        <v>512</v>
      </c>
      <c r="H409" s="16" t="n">
        <v>0.28</v>
      </c>
      <c r="I409" s="2" t="s">
        <v>10030</v>
      </c>
      <c r="J409" s="2" t="n">
        <f aca="false">IF(COUNTIFS($G$2:G409,G409,$A$2:A409,A409)=1,1,0)</f>
        <v>1</v>
      </c>
    </row>
    <row r="410" customFormat="false" ht="15" hidden="false" customHeight="false" outlineLevel="0" collapsed="false">
      <c r="A410" s="2" t="s">
        <v>10697</v>
      </c>
      <c r="B410" s="2" t="s">
        <v>10951</v>
      </c>
      <c r="C410" s="2" t="s">
        <v>10949</v>
      </c>
      <c r="D410" s="2" t="s">
        <v>10950</v>
      </c>
      <c r="E410" s="2" t="s">
        <v>10050</v>
      </c>
      <c r="F410" s="2"/>
      <c r="G410" s="2" t="str">
        <f aca="false">LEFT(C410,3)</f>
        <v>512</v>
      </c>
      <c r="H410" s="16" t="n">
        <v>0.26</v>
      </c>
      <c r="I410" s="2" t="s">
        <v>10025</v>
      </c>
      <c r="J410" s="2" t="n">
        <f aca="false">IF(COUNTIFS($G$2:G410,G410,$A$2:A410,A410)=1,1,0)</f>
        <v>1</v>
      </c>
    </row>
    <row r="411" customFormat="false" ht="15" hidden="false" customHeight="false" outlineLevel="0" collapsed="false">
      <c r="A411" s="2" t="s">
        <v>10952</v>
      </c>
      <c r="B411" s="2" t="s">
        <v>10953</v>
      </c>
      <c r="C411" s="2" t="s">
        <v>10952</v>
      </c>
      <c r="D411" s="2" t="s">
        <v>10954</v>
      </c>
      <c r="E411" s="2" t="s">
        <v>10050</v>
      </c>
      <c r="F411" s="2"/>
      <c r="G411" s="2" t="str">
        <f aca="false">LEFT(C411,3)</f>
        <v>514</v>
      </c>
      <c r="H411" s="16" t="n">
        <v>0.17</v>
      </c>
      <c r="I411" s="2" t="s">
        <v>10025</v>
      </c>
      <c r="J411" s="2" t="n">
        <f aca="false">IF(COUNTIFS($G$2:G411,G411,$A$2:A411,A411)=1,1,0)</f>
        <v>1</v>
      </c>
    </row>
    <row r="412" customFormat="false" ht="15" hidden="false" customHeight="false" outlineLevel="0" collapsed="false">
      <c r="A412" s="2" t="s">
        <v>10955</v>
      </c>
      <c r="B412" s="2" t="s">
        <v>10956</v>
      </c>
      <c r="C412" s="2" t="s">
        <v>10952</v>
      </c>
      <c r="D412" s="2" t="s">
        <v>10954</v>
      </c>
      <c r="E412" s="2" t="s">
        <v>10050</v>
      </c>
      <c r="F412" s="2"/>
      <c r="G412" s="2" t="str">
        <f aca="false">LEFT(C412,3)</f>
        <v>514</v>
      </c>
      <c r="H412" s="16" t="n">
        <v>0.18</v>
      </c>
      <c r="I412" s="2" t="s">
        <v>10025</v>
      </c>
      <c r="J412" s="2" t="n">
        <f aca="false">IF(COUNTIFS($G$2:G412,G412,$A$2:A412,A412)=1,1,0)</f>
        <v>1</v>
      </c>
    </row>
    <row r="413" customFormat="false" ht="15" hidden="false" customHeight="false" outlineLevel="0" collapsed="false">
      <c r="A413" s="2" t="s">
        <v>10957</v>
      </c>
      <c r="B413" s="2" t="s">
        <v>10958</v>
      </c>
      <c r="C413" s="2" t="s">
        <v>10959</v>
      </c>
      <c r="D413" s="2" t="s">
        <v>10960</v>
      </c>
      <c r="E413" s="2" t="s">
        <v>10050</v>
      </c>
      <c r="F413" s="2"/>
      <c r="G413" s="2" t="str">
        <f aca="false">LEFT(C413,3)</f>
        <v>512</v>
      </c>
      <c r="H413" s="16" t="n">
        <v>0.22</v>
      </c>
      <c r="I413" s="2" t="s">
        <v>10025</v>
      </c>
      <c r="J413" s="2" t="n">
        <f aca="false">IF(COUNTIFS($G$2:G413,G413,$A$2:A413,A413)=1,1,0)</f>
        <v>1</v>
      </c>
    </row>
    <row r="414" customFormat="false" ht="15" hidden="false" customHeight="false" outlineLevel="0" collapsed="false">
      <c r="A414" s="2" t="s">
        <v>10961</v>
      </c>
      <c r="B414" s="2" t="s">
        <v>10962</v>
      </c>
      <c r="C414" s="2" t="s">
        <v>10959</v>
      </c>
      <c r="D414" s="2" t="s">
        <v>10960</v>
      </c>
      <c r="E414" s="2" t="s">
        <v>10050</v>
      </c>
      <c r="F414" s="2"/>
      <c r="G414" s="2" t="str">
        <f aca="false">LEFT(C414,3)</f>
        <v>512</v>
      </c>
      <c r="H414" s="16" t="n">
        <v>0.2</v>
      </c>
      <c r="I414" s="2" t="s">
        <v>10025</v>
      </c>
      <c r="J414" s="2" t="n">
        <f aca="false">IF(COUNTIFS($G$2:G414,G414,$A$2:A414,A414)=1,1,0)</f>
        <v>1</v>
      </c>
    </row>
    <row r="415" customFormat="false" ht="15" hidden="false" customHeight="false" outlineLevel="0" collapsed="false">
      <c r="A415" s="2" t="s">
        <v>10963</v>
      </c>
      <c r="B415" s="2" t="s">
        <v>10964</v>
      </c>
      <c r="C415" s="2" t="s">
        <v>10965</v>
      </c>
      <c r="D415" s="2" t="s">
        <v>10966</v>
      </c>
      <c r="E415" s="2"/>
      <c r="F415" s="2"/>
      <c r="G415" s="2" t="str">
        <f aca="false">LEFT(C415,3)</f>
        <v>914</v>
      </c>
      <c r="H415" s="16" t="n">
        <v>0.27</v>
      </c>
      <c r="I415" s="2" t="s">
        <v>10030</v>
      </c>
      <c r="J415" s="2" t="n">
        <f aca="false">IF(COUNTIFS($G$2:G415,G415,$A$2:A415,A415)=1,1,0)</f>
        <v>1</v>
      </c>
    </row>
    <row r="416" customFormat="false" ht="15" hidden="false" customHeight="false" outlineLevel="0" collapsed="false">
      <c r="A416" s="2" t="s">
        <v>10967</v>
      </c>
      <c r="B416" s="2" t="s">
        <v>10968</v>
      </c>
      <c r="C416" s="2" t="s">
        <v>10957</v>
      </c>
      <c r="D416" s="2" t="s">
        <v>10969</v>
      </c>
      <c r="E416" s="2"/>
      <c r="F416" s="2"/>
      <c r="G416" s="2" t="str">
        <f aca="false">LEFT(C416,3)</f>
        <v>515</v>
      </c>
      <c r="H416" s="16" t="n">
        <v>0.3</v>
      </c>
      <c r="I416" s="2" t="s">
        <v>10030</v>
      </c>
      <c r="J416" s="2" t="n">
        <f aca="false">IF(COUNTIFS($G$2:G416,G416,$A$2:A416,A416)=1,1,0)</f>
        <v>1</v>
      </c>
    </row>
    <row r="417" customFormat="false" ht="15" hidden="false" customHeight="false" outlineLevel="0" collapsed="false">
      <c r="A417" s="2" t="s">
        <v>10967</v>
      </c>
      <c r="B417" s="2" t="s">
        <v>10968</v>
      </c>
      <c r="C417" s="2" t="s">
        <v>10961</v>
      </c>
      <c r="D417" s="2" t="s">
        <v>10970</v>
      </c>
      <c r="E417" s="2"/>
      <c r="F417" s="2"/>
      <c r="G417" s="2" t="str">
        <f aca="false">LEFT(C417,3)</f>
        <v>515</v>
      </c>
      <c r="H417" s="16" t="n">
        <v>0.3</v>
      </c>
      <c r="I417" s="2" t="s">
        <v>10030</v>
      </c>
      <c r="J417" s="2" t="n">
        <f aca="false">IF(COUNTIFS($G$2:G417,G417,$A$2:A417,A417)=1,1,0)</f>
        <v>0</v>
      </c>
    </row>
    <row r="418" customFormat="false" ht="15" hidden="false" customHeight="false" outlineLevel="0" collapsed="false">
      <c r="A418" s="2" t="s">
        <v>10971</v>
      </c>
      <c r="B418" s="2" t="s">
        <v>10972</v>
      </c>
      <c r="C418" s="2" t="s">
        <v>10955</v>
      </c>
      <c r="D418" s="2" t="s">
        <v>10973</v>
      </c>
      <c r="E418" s="2"/>
      <c r="F418" s="2"/>
      <c r="G418" s="2" t="str">
        <f aca="false">LEFT(C418,3)</f>
        <v>514</v>
      </c>
      <c r="H418" s="16" t="n">
        <v>0.22</v>
      </c>
      <c r="I418" s="2" t="s">
        <v>10025</v>
      </c>
      <c r="J418" s="2" t="n">
        <f aca="false">IF(COUNTIFS($G$2:G418,G418,$A$2:A418,A418)=1,1,0)</f>
        <v>1</v>
      </c>
    </row>
    <row r="419" customFormat="false" ht="15" hidden="false" customHeight="false" outlineLevel="0" collapsed="false">
      <c r="A419" s="2" t="s">
        <v>10974</v>
      </c>
      <c r="B419" s="2" t="s">
        <v>10975</v>
      </c>
      <c r="C419" s="2" t="s">
        <v>10976</v>
      </c>
      <c r="D419" s="2" t="s">
        <v>10977</v>
      </c>
      <c r="E419" s="2"/>
      <c r="F419" s="2"/>
      <c r="G419" s="2" t="str">
        <f aca="false">LEFT(C419,3)</f>
        <v>514</v>
      </c>
      <c r="H419" s="16" t="n">
        <v>0.17</v>
      </c>
      <c r="I419" s="2" t="s">
        <v>10025</v>
      </c>
      <c r="J419" s="2" t="n">
        <f aca="false">IF(COUNTIFS($G$2:G419,G419,$A$2:A419,A419)=1,1,0)</f>
        <v>1</v>
      </c>
    </row>
    <row r="420" customFormat="false" ht="15" hidden="false" customHeight="false" outlineLevel="0" collapsed="false">
      <c r="A420" s="2" t="s">
        <v>10978</v>
      </c>
      <c r="B420" s="2" t="s">
        <v>10979</v>
      </c>
      <c r="C420" s="2" t="s">
        <v>10980</v>
      </c>
      <c r="D420" s="2" t="s">
        <v>10981</v>
      </c>
      <c r="E420" s="2" t="s">
        <v>10050</v>
      </c>
      <c r="F420" s="2" t="s">
        <v>10982</v>
      </c>
      <c r="G420" s="2" t="str">
        <f aca="false">LEFT(C420,3)</f>
        <v>513</v>
      </c>
      <c r="H420" s="16" t="n">
        <v>0.14</v>
      </c>
      <c r="I420" s="2" t="s">
        <v>10025</v>
      </c>
      <c r="J420" s="2" t="n">
        <f aca="false">IF(COUNTIFS($G$2:G420,G420,$A$2:A420,A420)=1,1,0)</f>
        <v>1</v>
      </c>
    </row>
    <row r="421" customFormat="false" ht="15" hidden="false" customHeight="false" outlineLevel="0" collapsed="false">
      <c r="A421" s="2" t="s">
        <v>10978</v>
      </c>
      <c r="B421" s="2" t="s">
        <v>10979</v>
      </c>
      <c r="C421" s="2" t="s">
        <v>10983</v>
      </c>
      <c r="D421" s="2" t="s">
        <v>10984</v>
      </c>
      <c r="E421" s="2" t="s">
        <v>10050</v>
      </c>
      <c r="F421" s="2"/>
      <c r="G421" s="2" t="str">
        <f aca="false">LEFT(C421,3)</f>
        <v>612</v>
      </c>
      <c r="H421" s="16" t="n">
        <v>0.14</v>
      </c>
      <c r="I421" s="2" t="s">
        <v>10025</v>
      </c>
      <c r="J421" s="2" t="n">
        <f aca="false">IF(COUNTIFS($G$2:G421,G421,$A$2:A421,A421)=1,1,0)</f>
        <v>1</v>
      </c>
    </row>
    <row r="422" customFormat="false" ht="15" hidden="false" customHeight="false" outlineLevel="0" collapsed="false">
      <c r="A422" s="2" t="s">
        <v>10985</v>
      </c>
      <c r="B422" s="2" t="s">
        <v>10986</v>
      </c>
      <c r="C422" s="2" t="s">
        <v>10337</v>
      </c>
      <c r="D422" s="2" t="s">
        <v>10338</v>
      </c>
      <c r="E422" s="2" t="s">
        <v>10050</v>
      </c>
      <c r="F422" s="2"/>
      <c r="G422" s="2" t="str">
        <f aca="false">LEFT(C422,3)</f>
        <v>334</v>
      </c>
      <c r="H422" s="16" t="n">
        <v>0.2</v>
      </c>
      <c r="I422" s="2" t="s">
        <v>10025</v>
      </c>
      <c r="J422" s="2" t="n">
        <f aca="false">IF(COUNTIFS($G$2:G422,G422,$A$2:A422,A422)=1,1,0)</f>
        <v>1</v>
      </c>
    </row>
    <row r="423" customFormat="false" ht="15" hidden="false" customHeight="false" outlineLevel="0" collapsed="false">
      <c r="A423" s="2" t="s">
        <v>10987</v>
      </c>
      <c r="B423" s="2" t="s">
        <v>10988</v>
      </c>
      <c r="C423" s="2" t="s">
        <v>10989</v>
      </c>
      <c r="D423" s="2" t="s">
        <v>10990</v>
      </c>
      <c r="E423" s="2"/>
      <c r="F423" s="2"/>
      <c r="G423" s="2" t="str">
        <f aca="false">LEFT(C423,3)</f>
        <v>514</v>
      </c>
      <c r="H423" s="16" t="n">
        <v>0.21</v>
      </c>
      <c r="I423" s="2" t="s">
        <v>10025</v>
      </c>
      <c r="J423" s="2" t="n">
        <f aca="false">IF(COUNTIFS($G$2:G423,G423,$A$2:A423,A423)=1,1,0)</f>
        <v>1</v>
      </c>
    </row>
    <row r="424" customFormat="false" ht="15" hidden="false" customHeight="false" outlineLevel="0" collapsed="false">
      <c r="A424" s="2" t="s">
        <v>10987</v>
      </c>
      <c r="B424" s="2" t="s">
        <v>10988</v>
      </c>
      <c r="C424" s="2" t="s">
        <v>10991</v>
      </c>
      <c r="D424" s="2" t="s">
        <v>10992</v>
      </c>
      <c r="E424" s="2"/>
      <c r="F424" s="2"/>
      <c r="G424" s="2" t="str">
        <f aca="false">LEFT(C424,3)</f>
        <v>324</v>
      </c>
      <c r="H424" s="16" t="n">
        <v>0.21</v>
      </c>
      <c r="I424" s="2" t="s">
        <v>10025</v>
      </c>
      <c r="J424" s="2" t="n">
        <f aca="false">IF(COUNTIFS($G$2:G424,G424,$A$2:A424,A424)=1,1,0)</f>
        <v>1</v>
      </c>
    </row>
    <row r="425" customFormat="false" ht="15" hidden="false" customHeight="false" outlineLevel="0" collapsed="false">
      <c r="A425" s="2" t="s">
        <v>10993</v>
      </c>
      <c r="B425" s="2" t="s">
        <v>10994</v>
      </c>
      <c r="C425" s="2" t="s">
        <v>10995</v>
      </c>
      <c r="D425" s="2" t="s">
        <v>10996</v>
      </c>
      <c r="E425" s="2" t="s">
        <v>10050</v>
      </c>
      <c r="F425" s="2"/>
      <c r="G425" s="2" t="str">
        <f aca="false">LEFT(C425,3)</f>
        <v>523</v>
      </c>
      <c r="H425" s="16" t="n">
        <v>0.35</v>
      </c>
      <c r="I425" s="2" t="s">
        <v>10152</v>
      </c>
      <c r="J425" s="2" t="n">
        <f aca="false">IF(COUNTIFS($G$2:G425,G425,$A$2:A425,A425)=1,1,0)</f>
        <v>1</v>
      </c>
    </row>
    <row r="426" customFormat="false" ht="15" hidden="false" customHeight="false" outlineLevel="0" collapsed="false">
      <c r="A426" s="2" t="s">
        <v>10997</v>
      </c>
      <c r="B426" s="2" t="s">
        <v>10998</v>
      </c>
      <c r="C426" s="2" t="s">
        <v>10999</v>
      </c>
      <c r="D426" s="2" t="s">
        <v>11000</v>
      </c>
      <c r="E426" s="2"/>
      <c r="F426" s="2"/>
      <c r="G426" s="2" t="str">
        <f aca="false">LEFT(C426,3)</f>
        <v>911</v>
      </c>
      <c r="H426" s="16" t="n">
        <v>0.22</v>
      </c>
      <c r="I426" s="2" t="s">
        <v>10025</v>
      </c>
      <c r="J426" s="2" t="n">
        <f aca="false">IF(COUNTIFS($G$2:G426,G426,$A$2:A426,A426)=1,1,0)</f>
        <v>1</v>
      </c>
    </row>
    <row r="427" customFormat="false" ht="15" hidden="false" customHeight="false" outlineLevel="0" collapsed="false">
      <c r="A427" s="2" t="s">
        <v>11001</v>
      </c>
      <c r="B427" s="2" t="s">
        <v>11002</v>
      </c>
      <c r="C427" s="2" t="s">
        <v>10163</v>
      </c>
      <c r="D427" s="2" t="s">
        <v>10164</v>
      </c>
      <c r="E427" s="2" t="s">
        <v>10050</v>
      </c>
      <c r="F427" s="2"/>
      <c r="G427" s="2" t="str">
        <f aca="false">LEFT(C427,3)</f>
        <v>131</v>
      </c>
      <c r="H427" s="16" t="n">
        <v>0.43</v>
      </c>
      <c r="I427" s="2" t="s">
        <v>10071</v>
      </c>
      <c r="J427" s="2" t="n">
        <f aca="false">IF(COUNTIFS($G$2:G427,G427,$A$2:A427,A427)=1,1,0)</f>
        <v>1</v>
      </c>
    </row>
    <row r="428" customFormat="false" ht="15" hidden="false" customHeight="false" outlineLevel="0" collapsed="false">
      <c r="A428" s="2" t="s">
        <v>11003</v>
      </c>
      <c r="B428" s="2" t="s">
        <v>11004</v>
      </c>
      <c r="C428" s="2" t="s">
        <v>11005</v>
      </c>
      <c r="D428" s="2" t="s">
        <v>11006</v>
      </c>
      <c r="E428" s="2" t="s">
        <v>10050</v>
      </c>
      <c r="F428" s="2"/>
      <c r="G428" s="2" t="str">
        <f aca="false">LEFT(C428,3)</f>
        <v>522</v>
      </c>
      <c r="H428" s="16" t="n">
        <v>0.36</v>
      </c>
      <c r="I428" s="2" t="s">
        <v>10030</v>
      </c>
      <c r="J428" s="2" t="n">
        <f aca="false">IF(COUNTIFS($G$2:G428,G428,$A$2:A428,A428)=1,1,0)</f>
        <v>1</v>
      </c>
    </row>
    <row r="429" customFormat="false" ht="15" hidden="false" customHeight="false" outlineLevel="0" collapsed="false">
      <c r="A429" s="2" t="s">
        <v>11007</v>
      </c>
      <c r="B429" s="2" t="s">
        <v>11008</v>
      </c>
      <c r="C429" s="2" t="s">
        <v>11005</v>
      </c>
      <c r="D429" s="2" t="s">
        <v>11006</v>
      </c>
      <c r="E429" s="2" t="s">
        <v>10050</v>
      </c>
      <c r="F429" s="2"/>
      <c r="G429" s="2" t="str">
        <f aca="false">LEFT(C429,3)</f>
        <v>522</v>
      </c>
      <c r="H429" s="16" t="n">
        <v>0.38</v>
      </c>
      <c r="I429" s="2" t="s">
        <v>10152</v>
      </c>
      <c r="J429" s="2" t="n">
        <f aca="false">IF(COUNTIFS($G$2:G429,G429,$A$2:A429,A429)=1,1,0)</f>
        <v>1</v>
      </c>
    </row>
    <row r="430" customFormat="false" ht="15" hidden="false" customHeight="false" outlineLevel="0" collapsed="false">
      <c r="A430" s="2" t="s">
        <v>10995</v>
      </c>
      <c r="B430" s="2" t="s">
        <v>11009</v>
      </c>
      <c r="C430" s="2" t="s">
        <v>10875</v>
      </c>
      <c r="D430" s="2" t="s">
        <v>446</v>
      </c>
      <c r="E430" s="2" t="s">
        <v>10050</v>
      </c>
      <c r="F430" s="2"/>
      <c r="G430" s="2" t="str">
        <f aca="false">LEFT(C430,3)</f>
        <v>421</v>
      </c>
      <c r="H430" s="16" t="n">
        <v>0.39</v>
      </c>
      <c r="I430" s="2" t="s">
        <v>10152</v>
      </c>
      <c r="J430" s="2" t="n">
        <f aca="false">IF(COUNTIFS($G$2:G430,G430,$A$2:A430,A430)=1,1,0)</f>
        <v>1</v>
      </c>
    </row>
    <row r="431" customFormat="false" ht="15" hidden="false" customHeight="false" outlineLevel="0" collapsed="false">
      <c r="A431" s="2" t="s">
        <v>11010</v>
      </c>
      <c r="B431" s="2" t="s">
        <v>11011</v>
      </c>
      <c r="C431" s="2" t="s">
        <v>11012</v>
      </c>
      <c r="D431" s="2" t="s">
        <v>11013</v>
      </c>
      <c r="E431" s="2"/>
      <c r="F431" s="2"/>
      <c r="G431" s="2" t="str">
        <f aca="false">LEFT(C431,3)</f>
        <v>521</v>
      </c>
      <c r="H431" s="16" t="n">
        <v>0.25</v>
      </c>
      <c r="I431" s="2" t="s">
        <v>10025</v>
      </c>
      <c r="J431" s="2" t="n">
        <f aca="false">IF(COUNTIFS($G$2:G431,G431,$A$2:A431,A431)=1,1,0)</f>
        <v>1</v>
      </c>
    </row>
    <row r="432" customFormat="false" ht="15" hidden="false" customHeight="false" outlineLevel="0" collapsed="false">
      <c r="A432" s="2" t="s">
        <v>11014</v>
      </c>
      <c r="B432" s="2" t="s">
        <v>11015</v>
      </c>
      <c r="C432" s="2" t="s">
        <v>11005</v>
      </c>
      <c r="D432" s="2" t="s">
        <v>11006</v>
      </c>
      <c r="E432" s="2" t="s">
        <v>10050</v>
      </c>
      <c r="F432" s="2"/>
      <c r="G432" s="2" t="str">
        <f aca="false">LEFT(C432,3)</f>
        <v>522</v>
      </c>
      <c r="H432" s="16" t="n">
        <v>0.42</v>
      </c>
      <c r="I432" s="2" t="s">
        <v>10071</v>
      </c>
      <c r="J432" s="2" t="n">
        <f aca="false">IF(COUNTIFS($G$2:G432,G432,$A$2:A432,A432)=1,1,0)</f>
        <v>1</v>
      </c>
    </row>
    <row r="433" customFormat="false" ht="15" hidden="false" customHeight="false" outlineLevel="0" collapsed="false">
      <c r="A433" s="2" t="s">
        <v>11016</v>
      </c>
      <c r="B433" s="2" t="s">
        <v>11017</v>
      </c>
      <c r="C433" s="2" t="s">
        <v>11018</v>
      </c>
      <c r="D433" s="2" t="s">
        <v>11019</v>
      </c>
      <c r="E433" s="2" t="s">
        <v>10050</v>
      </c>
      <c r="F433" s="2"/>
      <c r="G433" s="2" t="str">
        <f aca="false">LEFT(C433,3)</f>
        <v>911</v>
      </c>
      <c r="H433" s="16" t="n">
        <v>0.46</v>
      </c>
      <c r="I433" s="2" t="s">
        <v>10071</v>
      </c>
      <c r="J433" s="2" t="n">
        <f aca="false">IF(COUNTIFS($G$2:G433,G433,$A$2:A433,A433)=1,1,0)</f>
        <v>1</v>
      </c>
    </row>
    <row r="434" customFormat="false" ht="15" hidden="false" customHeight="false" outlineLevel="0" collapsed="false">
      <c r="A434" s="2" t="s">
        <v>11020</v>
      </c>
      <c r="B434" s="2" t="s">
        <v>11021</v>
      </c>
      <c r="C434" s="2" t="s">
        <v>11018</v>
      </c>
      <c r="D434" s="2" t="s">
        <v>11019</v>
      </c>
      <c r="E434" s="2" t="s">
        <v>10050</v>
      </c>
      <c r="F434" s="2"/>
      <c r="G434" s="2" t="str">
        <f aca="false">LEFT(C434,3)</f>
        <v>911</v>
      </c>
      <c r="H434" s="16" t="n">
        <v>0.61</v>
      </c>
      <c r="I434" s="2" t="s">
        <v>10355</v>
      </c>
      <c r="J434" s="2" t="n">
        <f aca="false">IF(COUNTIFS($G$2:G434,G434,$A$2:A434,A434)=1,1,0)</f>
        <v>1</v>
      </c>
    </row>
    <row r="435" customFormat="false" ht="15" hidden="false" customHeight="false" outlineLevel="0" collapsed="false">
      <c r="A435" s="2" t="s">
        <v>11022</v>
      </c>
      <c r="B435" s="2" t="s">
        <v>11023</v>
      </c>
      <c r="C435" s="2" t="s">
        <v>11005</v>
      </c>
      <c r="D435" s="2" t="s">
        <v>11006</v>
      </c>
      <c r="E435" s="2" t="s">
        <v>10050</v>
      </c>
      <c r="F435" s="2"/>
      <c r="G435" s="2" t="str">
        <f aca="false">LEFT(C435,3)</f>
        <v>522</v>
      </c>
      <c r="H435" s="16" t="n">
        <v>0.24</v>
      </c>
      <c r="I435" s="2" t="s">
        <v>10030</v>
      </c>
      <c r="J435" s="2" t="n">
        <f aca="false">IF(COUNTIFS($G$2:G435,G435,$A$2:A435,A435)=1,1,0)</f>
        <v>1</v>
      </c>
    </row>
    <row r="436" customFormat="false" ht="15" hidden="false" customHeight="false" outlineLevel="0" collapsed="false">
      <c r="A436" s="2" t="s">
        <v>11024</v>
      </c>
      <c r="B436" s="2" t="s">
        <v>11025</v>
      </c>
      <c r="C436" s="2" t="s">
        <v>11005</v>
      </c>
      <c r="D436" s="2" t="s">
        <v>11006</v>
      </c>
      <c r="E436" s="2" t="s">
        <v>10050</v>
      </c>
      <c r="F436" s="2"/>
      <c r="G436" s="2" t="str">
        <f aca="false">LEFT(C436,3)</f>
        <v>522</v>
      </c>
      <c r="H436" s="16" t="n">
        <v>0.24</v>
      </c>
      <c r="I436" s="2" t="s">
        <v>10025</v>
      </c>
      <c r="J436" s="2" t="n">
        <f aca="false">IF(COUNTIFS($G$2:G436,G436,$A$2:A436,A436)=1,1,0)</f>
        <v>1</v>
      </c>
    </row>
    <row r="437" customFormat="false" ht="15" hidden="false" customHeight="false" outlineLevel="0" collapsed="false">
      <c r="A437" s="2" t="s">
        <v>11024</v>
      </c>
      <c r="B437" s="2" t="s">
        <v>11025</v>
      </c>
      <c r="C437" s="2" t="s">
        <v>10995</v>
      </c>
      <c r="D437" s="2" t="s">
        <v>10996</v>
      </c>
      <c r="E437" s="2" t="s">
        <v>10050</v>
      </c>
      <c r="F437" s="2"/>
      <c r="G437" s="2" t="str">
        <f aca="false">LEFT(C437,3)</f>
        <v>523</v>
      </c>
      <c r="H437" s="16" t="n">
        <v>0.24</v>
      </c>
      <c r="I437" s="2" t="s">
        <v>10025</v>
      </c>
      <c r="J437" s="2" t="n">
        <f aca="false">IF(COUNTIFS($G$2:G437,G437,$A$2:A437,A437)=1,1,0)</f>
        <v>1</v>
      </c>
    </row>
    <row r="438" customFormat="false" ht="15" hidden="false" customHeight="false" outlineLevel="0" collapsed="false">
      <c r="A438" s="2" t="s">
        <v>11026</v>
      </c>
      <c r="B438" s="2" t="s">
        <v>11027</v>
      </c>
      <c r="C438" s="2" t="s">
        <v>11005</v>
      </c>
      <c r="D438" s="2" t="s">
        <v>11006</v>
      </c>
      <c r="E438" s="2" t="s">
        <v>10050</v>
      </c>
      <c r="F438" s="2" t="s">
        <v>11028</v>
      </c>
      <c r="G438" s="2" t="str">
        <f aca="false">LEFT(C438,3)</f>
        <v>522</v>
      </c>
      <c r="H438" s="16"/>
      <c r="I438" s="2" t="s">
        <v>10169</v>
      </c>
      <c r="J438" s="2" t="n">
        <f aca="false">IF(COUNTIFS($G$2:G438,G438,$A$2:A438,A438)=1,1,0)</f>
        <v>1</v>
      </c>
    </row>
    <row r="439" customFormat="false" ht="15" hidden="false" customHeight="false" outlineLevel="0" collapsed="false">
      <c r="A439" s="2" t="s">
        <v>11029</v>
      </c>
      <c r="B439" s="2" t="s">
        <v>11030</v>
      </c>
      <c r="C439" s="2" t="s">
        <v>10947</v>
      </c>
      <c r="D439" s="2" t="s">
        <v>11031</v>
      </c>
      <c r="E439" s="2" t="s">
        <v>10050</v>
      </c>
      <c r="F439" s="2"/>
      <c r="G439" s="2" t="str">
        <f aca="false">LEFT(C439,3)</f>
        <v>513</v>
      </c>
      <c r="H439" s="16" t="n">
        <v>0.19</v>
      </c>
      <c r="I439" s="2" t="s">
        <v>10025</v>
      </c>
      <c r="J439" s="2" t="n">
        <f aca="false">IF(COUNTIFS($G$2:G439,G439,$A$2:A439,A439)=1,1,0)</f>
        <v>1</v>
      </c>
    </row>
    <row r="440" customFormat="false" ht="15" hidden="false" customHeight="false" outlineLevel="0" collapsed="false">
      <c r="A440" s="2" t="s">
        <v>11032</v>
      </c>
      <c r="B440" s="2" t="s">
        <v>11033</v>
      </c>
      <c r="C440" s="2" t="s">
        <v>10947</v>
      </c>
      <c r="D440" s="2" t="s">
        <v>11031</v>
      </c>
      <c r="E440" s="2" t="s">
        <v>10050</v>
      </c>
      <c r="F440" s="2"/>
      <c r="G440" s="2" t="str">
        <f aca="false">LEFT(C440,3)</f>
        <v>513</v>
      </c>
      <c r="H440" s="16" t="n">
        <v>0.24</v>
      </c>
      <c r="I440" s="2" t="s">
        <v>10025</v>
      </c>
      <c r="J440" s="2" t="n">
        <f aca="false">IF(COUNTIFS($G$2:G440,G440,$A$2:A440,A440)=1,1,0)</f>
        <v>1</v>
      </c>
    </row>
    <row r="441" customFormat="false" ht="15" hidden="false" customHeight="false" outlineLevel="0" collapsed="false">
      <c r="A441" s="2" t="s">
        <v>11034</v>
      </c>
      <c r="B441" s="2" t="s">
        <v>11035</v>
      </c>
      <c r="C441" s="2" t="s">
        <v>10697</v>
      </c>
      <c r="D441" s="2" t="s">
        <v>10698</v>
      </c>
      <c r="E441" s="2" t="s">
        <v>10050</v>
      </c>
      <c r="F441" s="2"/>
      <c r="G441" s="2" t="str">
        <f aca="false">LEFT(C441,3)</f>
        <v>513</v>
      </c>
      <c r="H441" s="16" t="n">
        <v>0.14</v>
      </c>
      <c r="I441" s="2" t="s">
        <v>10025</v>
      </c>
      <c r="J441" s="2" t="n">
        <f aca="false">IF(COUNTIFS($G$2:G441,G441,$A$2:A441,A441)=1,1,0)</f>
        <v>1</v>
      </c>
    </row>
    <row r="442" customFormat="false" ht="15" hidden="false" customHeight="false" outlineLevel="0" collapsed="false">
      <c r="A442" s="2" t="s">
        <v>11036</v>
      </c>
      <c r="B442" s="2" t="s">
        <v>11037</v>
      </c>
      <c r="C442" s="2" t="s">
        <v>11038</v>
      </c>
      <c r="D442" s="2" t="s">
        <v>11039</v>
      </c>
      <c r="E442" s="2"/>
      <c r="F442" s="2" t="s">
        <v>11040</v>
      </c>
      <c r="G442" s="2" t="str">
        <f aca="false">LEFT(C442,3)</f>
        <v>513</v>
      </c>
      <c r="H442" s="16" t="n">
        <v>0.25</v>
      </c>
      <c r="I442" s="2" t="s">
        <v>10030</v>
      </c>
      <c r="J442" s="2" t="n">
        <f aca="false">IF(COUNTIFS($G$2:G442,G442,$A$2:A442,A442)=1,1,0)</f>
        <v>1</v>
      </c>
    </row>
    <row r="443" customFormat="false" ht="15" hidden="false" customHeight="false" outlineLevel="0" collapsed="false">
      <c r="A443" s="2" t="s">
        <v>11041</v>
      </c>
      <c r="B443" s="2" t="s">
        <v>11042</v>
      </c>
      <c r="C443" s="2" t="s">
        <v>10697</v>
      </c>
      <c r="D443" s="2" t="s">
        <v>10698</v>
      </c>
      <c r="E443" s="2" t="s">
        <v>10050</v>
      </c>
      <c r="F443" s="2" t="s">
        <v>11043</v>
      </c>
      <c r="G443" s="2" t="str">
        <f aca="false">LEFT(C443,3)</f>
        <v>513</v>
      </c>
      <c r="H443" s="16" t="n">
        <v>0.15</v>
      </c>
      <c r="I443" s="2" t="s">
        <v>10025</v>
      </c>
      <c r="J443" s="2" t="n">
        <f aca="false">IF(COUNTIFS($G$2:G443,G443,$A$2:A443,A443)=1,1,0)</f>
        <v>1</v>
      </c>
    </row>
    <row r="444" customFormat="false" ht="15" hidden="false" customHeight="false" outlineLevel="0" collapsed="false">
      <c r="A444" s="2" t="s">
        <v>11041</v>
      </c>
      <c r="B444" s="2" t="s">
        <v>11042</v>
      </c>
      <c r="C444" s="2" t="s">
        <v>10980</v>
      </c>
      <c r="D444" s="2" t="s">
        <v>10981</v>
      </c>
      <c r="E444" s="2" t="s">
        <v>10050</v>
      </c>
      <c r="F444" s="2"/>
      <c r="G444" s="2" t="str">
        <f aca="false">LEFT(C444,3)</f>
        <v>513</v>
      </c>
      <c r="H444" s="16" t="n">
        <v>0.15</v>
      </c>
      <c r="I444" s="2" t="s">
        <v>10025</v>
      </c>
      <c r="J444" s="2" t="n">
        <f aca="false">IF(COUNTIFS($G$2:G444,G444,$A$2:A444,A444)=1,1,0)</f>
        <v>0</v>
      </c>
    </row>
    <row r="445" customFormat="false" ht="15" hidden="false" customHeight="false" outlineLevel="0" collapsed="false">
      <c r="A445" s="2" t="s">
        <v>11044</v>
      </c>
      <c r="B445" s="2" t="s">
        <v>11045</v>
      </c>
      <c r="C445" s="2" t="s">
        <v>10967</v>
      </c>
      <c r="D445" s="2" t="s">
        <v>11046</v>
      </c>
      <c r="E445" s="2"/>
      <c r="F445" s="2"/>
      <c r="G445" s="2" t="str">
        <f aca="false">LEFT(C445,3)</f>
        <v>516</v>
      </c>
      <c r="H445" s="16" t="n">
        <v>0.18</v>
      </c>
      <c r="I445" s="2" t="s">
        <v>10025</v>
      </c>
      <c r="J445" s="2" t="n">
        <f aca="false">IF(COUNTIFS($G$2:G445,G445,$A$2:A445,A445)=1,1,0)</f>
        <v>1</v>
      </c>
    </row>
    <row r="446" customFormat="false" ht="15" hidden="false" customHeight="false" outlineLevel="0" collapsed="false">
      <c r="A446" s="2" t="s">
        <v>11047</v>
      </c>
      <c r="B446" s="2" t="s">
        <v>11048</v>
      </c>
      <c r="C446" s="2" t="s">
        <v>10971</v>
      </c>
      <c r="D446" s="2" t="s">
        <v>11049</v>
      </c>
      <c r="E446" s="2"/>
      <c r="F446" s="2"/>
      <c r="G446" s="2" t="str">
        <f aca="false">LEFT(C446,3)</f>
        <v>516</v>
      </c>
      <c r="H446" s="16" t="n">
        <v>0.14</v>
      </c>
      <c r="I446" s="2" t="s">
        <v>10025</v>
      </c>
      <c r="J446" s="2" t="n">
        <f aca="false">IF(COUNTIFS($G$2:G446,G446,$A$2:A446,A446)=1,1,0)</f>
        <v>1</v>
      </c>
    </row>
    <row r="447" customFormat="false" ht="15" hidden="false" customHeight="false" outlineLevel="0" collapsed="false">
      <c r="A447" s="2" t="s">
        <v>11050</v>
      </c>
      <c r="B447" s="2" t="s">
        <v>11051</v>
      </c>
      <c r="C447" s="2" t="s">
        <v>10974</v>
      </c>
      <c r="D447" s="2" t="s">
        <v>11052</v>
      </c>
      <c r="E447" s="2"/>
      <c r="F447" s="2"/>
      <c r="G447" s="2" t="str">
        <f aca="false">LEFT(C447,3)</f>
        <v>516</v>
      </c>
      <c r="H447" s="16" t="n">
        <v>0.14</v>
      </c>
      <c r="I447" s="2" t="s">
        <v>10025</v>
      </c>
      <c r="J447" s="2" t="n">
        <f aca="false">IF(COUNTIFS($G$2:G447,G447,$A$2:A447,A447)=1,1,0)</f>
        <v>1</v>
      </c>
    </row>
    <row r="448" customFormat="false" ht="15" hidden="false" customHeight="false" outlineLevel="0" collapsed="false">
      <c r="A448" s="2" t="s">
        <v>11053</v>
      </c>
      <c r="B448" s="2" t="s">
        <v>11054</v>
      </c>
      <c r="C448" s="2" t="s">
        <v>10987</v>
      </c>
      <c r="D448" s="2" t="s">
        <v>11055</v>
      </c>
      <c r="E448" s="2" t="s">
        <v>10050</v>
      </c>
      <c r="F448" s="2"/>
      <c r="G448" s="2" t="str">
        <f aca="false">LEFT(C448,3)</f>
        <v>516</v>
      </c>
      <c r="H448" s="16" t="n">
        <v>0.2</v>
      </c>
      <c r="I448" s="2" t="s">
        <v>10025</v>
      </c>
      <c r="J448" s="2" t="n">
        <f aca="false">IF(COUNTIFS($G$2:G448,G448,$A$2:A448,A448)=1,1,0)</f>
        <v>1</v>
      </c>
    </row>
    <row r="449" customFormat="false" ht="15" hidden="false" customHeight="false" outlineLevel="0" collapsed="false">
      <c r="A449" s="2" t="s">
        <v>11053</v>
      </c>
      <c r="B449" s="2" t="s">
        <v>11054</v>
      </c>
      <c r="C449" s="2" t="s">
        <v>11056</v>
      </c>
      <c r="D449" s="2" t="s">
        <v>11057</v>
      </c>
      <c r="E449" s="2" t="s">
        <v>10050</v>
      </c>
      <c r="F449" s="2"/>
      <c r="G449" s="2" t="str">
        <f aca="false">LEFT(C449,3)</f>
        <v>915</v>
      </c>
      <c r="H449" s="16" t="n">
        <v>0.2</v>
      </c>
      <c r="I449" s="2" t="s">
        <v>10025</v>
      </c>
      <c r="J449" s="2" t="n">
        <f aca="false">IF(COUNTIFS($G$2:G449,G449,$A$2:A449,A449)=1,1,0)</f>
        <v>1</v>
      </c>
    </row>
    <row r="450" customFormat="false" ht="15" hidden="false" customHeight="false" outlineLevel="0" collapsed="false">
      <c r="A450" s="2" t="s">
        <v>11058</v>
      </c>
      <c r="B450" s="2" t="s">
        <v>11059</v>
      </c>
      <c r="C450" s="2" t="s">
        <v>10987</v>
      </c>
      <c r="D450" s="2" t="s">
        <v>11055</v>
      </c>
      <c r="E450" s="2" t="s">
        <v>10050</v>
      </c>
      <c r="F450" s="2"/>
      <c r="G450" s="2" t="str">
        <f aca="false">LEFT(C450,3)</f>
        <v>516</v>
      </c>
      <c r="H450" s="16" t="n">
        <v>0.2</v>
      </c>
      <c r="I450" s="2" t="s">
        <v>10025</v>
      </c>
      <c r="J450" s="2" t="n">
        <f aca="false">IF(COUNTIFS($G$2:G450,G450,$A$2:A450,A450)=1,1,0)</f>
        <v>1</v>
      </c>
    </row>
    <row r="451" customFormat="false" ht="15" hidden="false" customHeight="false" outlineLevel="0" collapsed="false">
      <c r="A451" s="2" t="s">
        <v>11060</v>
      </c>
      <c r="B451" s="2" t="s">
        <v>11061</v>
      </c>
      <c r="C451" s="2" t="s">
        <v>10098</v>
      </c>
      <c r="D451" s="2" t="s">
        <v>11062</v>
      </c>
      <c r="E451" s="2" t="s">
        <v>10050</v>
      </c>
      <c r="F451" s="2"/>
      <c r="G451" s="2" t="str">
        <f aca="false">LEFT(C451,3)</f>
        <v>131</v>
      </c>
      <c r="H451" s="16" t="n">
        <v>0.18</v>
      </c>
      <c r="I451" s="2" t="s">
        <v>10025</v>
      </c>
      <c r="J451" s="2" t="n">
        <f aca="false">IF(COUNTIFS($G$2:G451,G451,$A$2:A451,A451)=1,1,0)</f>
        <v>1</v>
      </c>
    </row>
    <row r="452" customFormat="false" ht="15" hidden="false" customHeight="false" outlineLevel="0" collapsed="false">
      <c r="A452" s="2" t="s">
        <v>11060</v>
      </c>
      <c r="B452" s="2" t="s">
        <v>11061</v>
      </c>
      <c r="C452" s="2" t="s">
        <v>11060</v>
      </c>
      <c r="D452" s="2" t="s">
        <v>11063</v>
      </c>
      <c r="E452" s="2"/>
      <c r="F452" s="2"/>
      <c r="G452" s="2" t="str">
        <f aca="false">LEFT(C452,3)</f>
        <v>611</v>
      </c>
      <c r="H452" s="16" t="n">
        <v>0.18</v>
      </c>
      <c r="I452" s="2" t="s">
        <v>10025</v>
      </c>
      <c r="J452" s="2" t="n">
        <f aca="false">IF(COUNTIFS($G$2:G452,G452,$A$2:A452,A452)=1,1,0)</f>
        <v>1</v>
      </c>
    </row>
    <row r="453" customFormat="false" ht="15" hidden="false" customHeight="false" outlineLevel="0" collapsed="false">
      <c r="A453" s="2" t="s">
        <v>11064</v>
      </c>
      <c r="B453" s="2" t="s">
        <v>11065</v>
      </c>
      <c r="C453" s="2" t="s">
        <v>10098</v>
      </c>
      <c r="D453" s="2" t="s">
        <v>11062</v>
      </c>
      <c r="E453" s="2" t="s">
        <v>10050</v>
      </c>
      <c r="F453" s="2"/>
      <c r="G453" s="2" t="str">
        <f aca="false">LEFT(C453,3)</f>
        <v>131</v>
      </c>
      <c r="H453" s="16" t="n">
        <v>0.17</v>
      </c>
      <c r="I453" s="2" t="s">
        <v>10025</v>
      </c>
      <c r="J453" s="2" t="n">
        <f aca="false">IF(COUNTIFS($G$2:G453,G453,$A$2:A453,A453)=1,1,0)</f>
        <v>1</v>
      </c>
    </row>
    <row r="454" customFormat="false" ht="15" hidden="false" customHeight="false" outlineLevel="0" collapsed="false">
      <c r="A454" s="2" t="s">
        <v>11064</v>
      </c>
      <c r="B454" s="2" t="s">
        <v>11065</v>
      </c>
      <c r="C454" s="2" t="s">
        <v>11064</v>
      </c>
      <c r="D454" s="2" t="s">
        <v>11066</v>
      </c>
      <c r="E454" s="2"/>
      <c r="F454" s="2"/>
      <c r="G454" s="2" t="str">
        <f aca="false">LEFT(C454,3)</f>
        <v>611</v>
      </c>
      <c r="H454" s="16" t="n">
        <v>0.17</v>
      </c>
      <c r="I454" s="2" t="s">
        <v>10025</v>
      </c>
      <c r="J454" s="2" t="n">
        <f aca="false">IF(COUNTIFS($G$2:G454,G454,$A$2:A454,A454)=1,1,0)</f>
        <v>1</v>
      </c>
    </row>
    <row r="455" customFormat="false" ht="15" hidden="false" customHeight="false" outlineLevel="0" collapsed="false">
      <c r="A455" s="2" t="s">
        <v>11067</v>
      </c>
      <c r="B455" s="2" t="s">
        <v>11068</v>
      </c>
      <c r="C455" s="2" t="s">
        <v>10098</v>
      </c>
      <c r="D455" s="2" t="s">
        <v>11062</v>
      </c>
      <c r="E455" s="2" t="s">
        <v>10050</v>
      </c>
      <c r="F455" s="2"/>
      <c r="G455" s="2" t="str">
        <f aca="false">LEFT(C455,3)</f>
        <v>131</v>
      </c>
      <c r="H455" s="16" t="n">
        <v>0.18</v>
      </c>
      <c r="I455" s="2" t="s">
        <v>10025</v>
      </c>
      <c r="J455" s="2" t="n">
        <f aca="false">IF(COUNTIFS($G$2:G455,G455,$A$2:A455,A455)=1,1,0)</f>
        <v>1</v>
      </c>
    </row>
    <row r="456" customFormat="false" ht="15" hidden="false" customHeight="false" outlineLevel="0" collapsed="false">
      <c r="A456" s="2" t="s">
        <v>11067</v>
      </c>
      <c r="B456" s="2" t="s">
        <v>11068</v>
      </c>
      <c r="C456" s="2" t="s">
        <v>11067</v>
      </c>
      <c r="D456" s="2" t="s">
        <v>11069</v>
      </c>
      <c r="E456" s="2" t="s">
        <v>10050</v>
      </c>
      <c r="F456" s="2"/>
      <c r="G456" s="2" t="str">
        <f aca="false">LEFT(C456,3)</f>
        <v>611</v>
      </c>
      <c r="H456" s="16" t="n">
        <v>0.18</v>
      </c>
      <c r="I456" s="2" t="s">
        <v>10025</v>
      </c>
      <c r="J456" s="2" t="n">
        <f aca="false">IF(COUNTIFS($G$2:G456,G456,$A$2:A456,A456)=1,1,0)</f>
        <v>1</v>
      </c>
    </row>
    <row r="457" customFormat="false" ht="15" hidden="false" customHeight="false" outlineLevel="0" collapsed="false">
      <c r="A457" s="2" t="s">
        <v>11070</v>
      </c>
      <c r="B457" s="2" t="s">
        <v>11071</v>
      </c>
      <c r="C457" s="2" t="s">
        <v>10098</v>
      </c>
      <c r="D457" s="2" t="s">
        <v>11062</v>
      </c>
      <c r="E457" s="2" t="s">
        <v>10050</v>
      </c>
      <c r="F457" s="2"/>
      <c r="G457" s="2" t="str">
        <f aca="false">LEFT(C457,3)</f>
        <v>131</v>
      </c>
      <c r="H457" s="16" t="n">
        <v>0.17</v>
      </c>
      <c r="I457" s="2" t="s">
        <v>10025</v>
      </c>
      <c r="J457" s="2" t="n">
        <f aca="false">IF(COUNTIFS($G$2:G457,G457,$A$2:A457,A457)=1,1,0)</f>
        <v>1</v>
      </c>
    </row>
    <row r="458" customFormat="false" ht="15" hidden="false" customHeight="false" outlineLevel="0" collapsed="false">
      <c r="A458" s="2" t="s">
        <v>11070</v>
      </c>
      <c r="B458" s="2" t="s">
        <v>11071</v>
      </c>
      <c r="C458" s="2" t="s">
        <v>11070</v>
      </c>
      <c r="D458" s="2" t="s">
        <v>11072</v>
      </c>
      <c r="E458" s="2"/>
      <c r="F458" s="2"/>
      <c r="G458" s="2" t="str">
        <f aca="false">LEFT(C458,3)</f>
        <v>611</v>
      </c>
      <c r="H458" s="16" t="n">
        <v>0.17</v>
      </c>
      <c r="I458" s="2" t="s">
        <v>10025</v>
      </c>
      <c r="J458" s="2" t="n">
        <f aca="false">IF(COUNTIFS($G$2:G458,G458,$A$2:A458,A458)=1,1,0)</f>
        <v>1</v>
      </c>
    </row>
    <row r="459" customFormat="false" ht="15" hidden="false" customHeight="false" outlineLevel="0" collapsed="false">
      <c r="A459" s="2" t="s">
        <v>11073</v>
      </c>
      <c r="B459" s="2" t="s">
        <v>11074</v>
      </c>
      <c r="C459" s="2" t="s">
        <v>10098</v>
      </c>
      <c r="D459" s="2" t="s">
        <v>11062</v>
      </c>
      <c r="E459" s="2" t="s">
        <v>10050</v>
      </c>
      <c r="F459" s="2"/>
      <c r="G459" s="2" t="str">
        <f aca="false">LEFT(C459,3)</f>
        <v>131</v>
      </c>
      <c r="H459" s="16" t="n">
        <v>0.17</v>
      </c>
      <c r="I459" s="2" t="s">
        <v>10025</v>
      </c>
      <c r="J459" s="2" t="n">
        <f aca="false">IF(COUNTIFS($G$2:G459,G459,$A$2:A459,A459)=1,1,0)</f>
        <v>1</v>
      </c>
    </row>
    <row r="460" customFormat="false" ht="15" hidden="false" customHeight="false" outlineLevel="0" collapsed="false">
      <c r="A460" s="2" t="s">
        <v>11073</v>
      </c>
      <c r="B460" s="2" t="s">
        <v>11074</v>
      </c>
      <c r="C460" s="2" t="s">
        <v>11073</v>
      </c>
      <c r="D460" s="2" t="s">
        <v>11075</v>
      </c>
      <c r="E460" s="2"/>
      <c r="F460" s="2"/>
      <c r="G460" s="2" t="str">
        <f aca="false">LEFT(C460,3)</f>
        <v>612</v>
      </c>
      <c r="H460" s="16" t="n">
        <v>0.17</v>
      </c>
      <c r="I460" s="2" t="s">
        <v>10025</v>
      </c>
      <c r="J460" s="2" t="n">
        <f aca="false">IF(COUNTIFS($G$2:G460,G460,$A$2:A460,A460)=1,1,0)</f>
        <v>1</v>
      </c>
    </row>
    <row r="461" customFormat="false" ht="15" hidden="false" customHeight="false" outlineLevel="0" collapsed="false">
      <c r="A461" s="2" t="s">
        <v>11073</v>
      </c>
      <c r="B461" s="2" t="s">
        <v>11074</v>
      </c>
      <c r="C461" s="2" t="s">
        <v>11076</v>
      </c>
      <c r="D461" s="2" t="s">
        <v>11077</v>
      </c>
      <c r="E461" s="2" t="s">
        <v>10050</v>
      </c>
      <c r="F461" s="2"/>
      <c r="G461" s="2" t="str">
        <f aca="false">LEFT(C461,3)</f>
        <v>612</v>
      </c>
      <c r="H461" s="16" t="n">
        <v>0.17</v>
      </c>
      <c r="I461" s="2" t="s">
        <v>10025</v>
      </c>
      <c r="J461" s="2" t="n">
        <f aca="false">IF(COUNTIFS($G$2:G461,G461,$A$2:A461,A461)=1,1,0)</f>
        <v>0</v>
      </c>
    </row>
    <row r="462" customFormat="false" ht="15" hidden="false" customHeight="false" outlineLevel="0" collapsed="false">
      <c r="A462" s="2" t="s">
        <v>11078</v>
      </c>
      <c r="B462" s="2" t="s">
        <v>11079</v>
      </c>
      <c r="C462" s="2" t="s">
        <v>10098</v>
      </c>
      <c r="D462" s="2" t="s">
        <v>11062</v>
      </c>
      <c r="E462" s="2" t="s">
        <v>10050</v>
      </c>
      <c r="F462" s="2"/>
      <c r="G462" s="2" t="str">
        <f aca="false">LEFT(C462,3)</f>
        <v>131</v>
      </c>
      <c r="H462" s="16" t="n">
        <v>0.19</v>
      </c>
      <c r="I462" s="2" t="s">
        <v>10025</v>
      </c>
      <c r="J462" s="2" t="n">
        <f aca="false">IF(COUNTIFS($G$2:G462,G462,$A$2:A462,A462)=1,1,0)</f>
        <v>1</v>
      </c>
    </row>
    <row r="463" customFormat="false" ht="15" hidden="false" customHeight="false" outlineLevel="0" collapsed="false">
      <c r="A463" s="2" t="s">
        <v>11078</v>
      </c>
      <c r="B463" s="2" t="s">
        <v>11079</v>
      </c>
      <c r="C463" s="2" t="s">
        <v>11078</v>
      </c>
      <c r="D463" s="2" t="s">
        <v>11080</v>
      </c>
      <c r="E463" s="2"/>
      <c r="F463" s="2"/>
      <c r="G463" s="2" t="str">
        <f aca="false">LEFT(C463,3)</f>
        <v>612</v>
      </c>
      <c r="H463" s="16" t="n">
        <v>0.19</v>
      </c>
      <c r="I463" s="2" t="s">
        <v>10025</v>
      </c>
      <c r="J463" s="2" t="n">
        <f aca="false">IF(COUNTIFS($G$2:G463,G463,$A$2:A463,A463)=1,1,0)</f>
        <v>1</v>
      </c>
    </row>
    <row r="464" customFormat="false" ht="15" hidden="false" customHeight="false" outlineLevel="0" collapsed="false">
      <c r="A464" s="2" t="s">
        <v>11078</v>
      </c>
      <c r="B464" s="2" t="s">
        <v>11079</v>
      </c>
      <c r="C464" s="2" t="s">
        <v>11076</v>
      </c>
      <c r="D464" s="2" t="s">
        <v>11077</v>
      </c>
      <c r="E464" s="2" t="s">
        <v>10050</v>
      </c>
      <c r="F464" s="2"/>
      <c r="G464" s="2" t="str">
        <f aca="false">LEFT(C464,3)</f>
        <v>612</v>
      </c>
      <c r="H464" s="16" t="n">
        <v>0.19</v>
      </c>
      <c r="I464" s="2" t="s">
        <v>10025</v>
      </c>
      <c r="J464" s="2" t="n">
        <f aca="false">IF(COUNTIFS($G$2:G464,G464,$A$2:A464,A464)=1,1,0)</f>
        <v>0</v>
      </c>
    </row>
    <row r="465" customFormat="false" ht="15" hidden="false" customHeight="false" outlineLevel="0" collapsed="false">
      <c r="A465" s="2" t="s">
        <v>11081</v>
      </c>
      <c r="B465" s="2" t="s">
        <v>11082</v>
      </c>
      <c r="C465" s="2" t="s">
        <v>11081</v>
      </c>
      <c r="D465" s="2" t="s">
        <v>11083</v>
      </c>
      <c r="E465" s="2"/>
      <c r="F465" s="2"/>
      <c r="G465" s="2" t="str">
        <f aca="false">LEFT(C465,3)</f>
        <v>612</v>
      </c>
      <c r="H465" s="16" t="n">
        <v>0.22</v>
      </c>
      <c r="I465" s="2" t="s">
        <v>10025</v>
      </c>
      <c r="J465" s="2" t="n">
        <f aca="false">IF(COUNTIFS($G$2:G465,G465,$A$2:A465,A465)=1,1,0)</f>
        <v>1</v>
      </c>
    </row>
    <row r="466" customFormat="false" ht="15" hidden="false" customHeight="false" outlineLevel="0" collapsed="false">
      <c r="A466" s="2" t="s">
        <v>11081</v>
      </c>
      <c r="B466" s="2" t="s">
        <v>11082</v>
      </c>
      <c r="C466" s="2" t="s">
        <v>11076</v>
      </c>
      <c r="D466" s="2" t="s">
        <v>11077</v>
      </c>
      <c r="E466" s="2" t="s">
        <v>10050</v>
      </c>
      <c r="F466" s="2"/>
      <c r="G466" s="2" t="str">
        <f aca="false">LEFT(C466,3)</f>
        <v>612</v>
      </c>
      <c r="H466" s="16" t="n">
        <v>0.22</v>
      </c>
      <c r="I466" s="2" t="s">
        <v>10025</v>
      </c>
      <c r="J466" s="2" t="n">
        <f aca="false">IF(COUNTIFS($G$2:G466,G466,$A$2:A466,A466)=1,1,0)</f>
        <v>0</v>
      </c>
    </row>
    <row r="467" customFormat="false" ht="15" hidden="false" customHeight="false" outlineLevel="0" collapsed="false">
      <c r="A467" s="2" t="s">
        <v>10983</v>
      </c>
      <c r="B467" s="2" t="s">
        <v>11084</v>
      </c>
      <c r="C467" s="2" t="s">
        <v>10983</v>
      </c>
      <c r="D467" s="2" t="s">
        <v>10984</v>
      </c>
      <c r="E467" s="2" t="s">
        <v>10050</v>
      </c>
      <c r="F467" s="2"/>
      <c r="G467" s="2" t="str">
        <f aca="false">LEFT(C467,3)</f>
        <v>612</v>
      </c>
      <c r="H467" s="16" t="n">
        <v>0.2</v>
      </c>
      <c r="I467" s="2" t="s">
        <v>10025</v>
      </c>
      <c r="J467" s="2" t="n">
        <f aca="false">IF(COUNTIFS($G$2:G467,G467,$A$2:A467,A467)=1,1,0)</f>
        <v>1</v>
      </c>
    </row>
    <row r="468" customFormat="false" ht="15" hidden="false" customHeight="false" outlineLevel="0" collapsed="false">
      <c r="A468" s="2" t="s">
        <v>11085</v>
      </c>
      <c r="B468" s="2" t="s">
        <v>11086</v>
      </c>
      <c r="C468" s="2" t="s">
        <v>10098</v>
      </c>
      <c r="D468" s="2" t="s">
        <v>11062</v>
      </c>
      <c r="E468" s="2" t="s">
        <v>10050</v>
      </c>
      <c r="F468" s="2"/>
      <c r="G468" s="2" t="str">
        <f aca="false">LEFT(C468,3)</f>
        <v>131</v>
      </c>
      <c r="H468" s="16" t="n">
        <v>0.19</v>
      </c>
      <c r="I468" s="2" t="s">
        <v>10025</v>
      </c>
      <c r="J468" s="2" t="n">
        <f aca="false">IF(COUNTIFS($G$2:G468,G468,$A$2:A468,A468)=1,1,0)</f>
        <v>1</v>
      </c>
    </row>
    <row r="469" customFormat="false" ht="15" hidden="false" customHeight="false" outlineLevel="0" collapsed="false">
      <c r="A469" s="2" t="s">
        <v>11085</v>
      </c>
      <c r="B469" s="2" t="s">
        <v>11086</v>
      </c>
      <c r="C469" s="2" t="s">
        <v>11085</v>
      </c>
      <c r="D469" s="2" t="s">
        <v>11087</v>
      </c>
      <c r="E469" s="2"/>
      <c r="F469" s="2"/>
      <c r="G469" s="2" t="str">
        <f aca="false">LEFT(C469,3)</f>
        <v>613</v>
      </c>
      <c r="H469" s="16" t="n">
        <v>0.19</v>
      </c>
      <c r="I469" s="2" t="s">
        <v>10025</v>
      </c>
      <c r="J469" s="2" t="n">
        <f aca="false">IF(COUNTIFS($G$2:G469,G469,$A$2:A469,A469)=1,1,0)</f>
        <v>1</v>
      </c>
    </row>
    <row r="470" customFormat="false" ht="15" hidden="false" customHeight="false" outlineLevel="0" collapsed="false">
      <c r="A470" s="2" t="s">
        <v>11088</v>
      </c>
      <c r="B470" s="2" t="s">
        <v>11089</v>
      </c>
      <c r="C470" s="2" t="s">
        <v>11090</v>
      </c>
      <c r="D470" s="2" t="s">
        <v>11091</v>
      </c>
      <c r="E470" s="2"/>
      <c r="F470" s="2"/>
      <c r="G470" s="2" t="str">
        <f aca="false">LEFT(C470,3)</f>
        <v>614</v>
      </c>
      <c r="H470" s="16" t="n">
        <v>0.12</v>
      </c>
      <c r="I470" s="2" t="s">
        <v>10025</v>
      </c>
      <c r="J470" s="2" t="n">
        <f aca="false">IF(COUNTIFS($G$2:G470,G470,$A$2:A470,A470)=1,1,0)</f>
        <v>1</v>
      </c>
    </row>
    <row r="471" customFormat="false" ht="15" hidden="false" customHeight="false" outlineLevel="0" collapsed="false">
      <c r="A471" s="2" t="s">
        <v>11088</v>
      </c>
      <c r="B471" s="2" t="s">
        <v>11089</v>
      </c>
      <c r="C471" s="2" t="s">
        <v>11092</v>
      </c>
      <c r="D471" s="2" t="s">
        <v>11093</v>
      </c>
      <c r="E471" s="2"/>
      <c r="F471" s="2"/>
      <c r="G471" s="2" t="str">
        <f aca="false">LEFT(C471,3)</f>
        <v>614</v>
      </c>
      <c r="H471" s="16" t="n">
        <v>0.12</v>
      </c>
      <c r="I471" s="2" t="s">
        <v>10025</v>
      </c>
      <c r="J471" s="2" t="n">
        <f aca="false">IF(COUNTIFS($G$2:G471,G471,$A$2:A471,A471)=1,1,0)</f>
        <v>0</v>
      </c>
    </row>
    <row r="472" customFormat="false" ht="15" hidden="false" customHeight="false" outlineLevel="0" collapsed="false">
      <c r="A472" s="2" t="s">
        <v>11094</v>
      </c>
      <c r="B472" s="2" t="s">
        <v>11095</v>
      </c>
      <c r="C472" s="2" t="s">
        <v>11096</v>
      </c>
      <c r="D472" s="2" t="s">
        <v>11097</v>
      </c>
      <c r="E472" s="2"/>
      <c r="F472" s="2"/>
      <c r="G472" s="2" t="str">
        <f aca="false">LEFT(C472,3)</f>
        <v>615</v>
      </c>
      <c r="H472" s="16" t="n">
        <v>0.22</v>
      </c>
      <c r="I472" s="2" t="s">
        <v>10025</v>
      </c>
      <c r="J472" s="2" t="n">
        <f aca="false">IF(COUNTIFS($G$2:G472,G472,$A$2:A472,A472)=1,1,0)</f>
        <v>1</v>
      </c>
    </row>
    <row r="473" customFormat="false" ht="15" hidden="false" customHeight="false" outlineLevel="0" collapsed="false">
      <c r="A473" s="2" t="s">
        <v>11098</v>
      </c>
      <c r="B473" s="2" t="s">
        <v>11099</v>
      </c>
      <c r="C473" s="2" t="s">
        <v>11100</v>
      </c>
      <c r="D473" s="2" t="s">
        <v>11101</v>
      </c>
      <c r="E473" s="2" t="s">
        <v>10050</v>
      </c>
      <c r="F473" s="2"/>
      <c r="G473" s="2" t="str">
        <f aca="false">LEFT(C473,3)</f>
        <v>615</v>
      </c>
      <c r="H473" s="16" t="n">
        <v>0.17</v>
      </c>
      <c r="I473" s="2" t="s">
        <v>10025</v>
      </c>
      <c r="J473" s="2" t="n">
        <f aca="false">IF(COUNTIFS($G$2:G473,G473,$A$2:A473,A473)=1,1,0)</f>
        <v>1</v>
      </c>
    </row>
    <row r="474" customFormat="false" ht="15" hidden="false" customHeight="false" outlineLevel="0" collapsed="false">
      <c r="A474" s="2" t="s">
        <v>11102</v>
      </c>
      <c r="B474" s="2" t="s">
        <v>11103</v>
      </c>
      <c r="C474" s="2" t="s">
        <v>11104</v>
      </c>
      <c r="D474" s="2" t="s">
        <v>11105</v>
      </c>
      <c r="E474" s="2"/>
      <c r="F474" s="2"/>
      <c r="G474" s="2" t="str">
        <f aca="false">LEFT(C474,3)</f>
        <v>615</v>
      </c>
      <c r="H474" s="16" t="n">
        <v>0.18</v>
      </c>
      <c r="I474" s="2" t="s">
        <v>10025</v>
      </c>
      <c r="J474" s="2" t="n">
        <f aca="false">IF(COUNTIFS($G$2:G474,G474,$A$2:A474,A474)=1,1,0)</f>
        <v>1</v>
      </c>
    </row>
    <row r="475" customFormat="false" ht="15" hidden="false" customHeight="false" outlineLevel="0" collapsed="false">
      <c r="A475" s="2" t="s">
        <v>11106</v>
      </c>
      <c r="B475" s="2" t="s">
        <v>11107</v>
      </c>
      <c r="C475" s="2" t="s">
        <v>11108</v>
      </c>
      <c r="D475" s="2" t="s">
        <v>11109</v>
      </c>
      <c r="E475" s="2"/>
      <c r="F475" s="2"/>
      <c r="G475" s="2" t="str">
        <f aca="false">LEFT(C475,3)</f>
        <v>615</v>
      </c>
      <c r="H475" s="16" t="n">
        <v>0.09</v>
      </c>
      <c r="I475" s="2" t="s">
        <v>10025</v>
      </c>
      <c r="J475" s="2" t="n">
        <f aca="false">IF(COUNTIFS($G$2:G475,G475,$A$2:A475,A475)=1,1,0)</f>
        <v>1</v>
      </c>
    </row>
    <row r="476" customFormat="false" ht="15" hidden="false" customHeight="false" outlineLevel="0" collapsed="false">
      <c r="A476" s="2" t="s">
        <v>11110</v>
      </c>
      <c r="B476" s="2" t="s">
        <v>11111</v>
      </c>
      <c r="C476" s="2" t="s">
        <v>11088</v>
      </c>
      <c r="D476" s="2" t="s">
        <v>11112</v>
      </c>
      <c r="E476" s="2" t="s">
        <v>10050</v>
      </c>
      <c r="F476" s="2"/>
      <c r="G476" s="2" t="str">
        <f aca="false">LEFT(C476,3)</f>
        <v>621</v>
      </c>
      <c r="H476" s="16" t="n">
        <v>0.13</v>
      </c>
      <c r="I476" s="2" t="s">
        <v>10025</v>
      </c>
      <c r="J476" s="2" t="n">
        <f aca="false">IF(COUNTIFS($G$2:G476,G476,$A$2:A476,A476)=1,1,0)</f>
        <v>1</v>
      </c>
    </row>
    <row r="477" customFormat="false" ht="15" hidden="false" customHeight="false" outlineLevel="0" collapsed="false">
      <c r="A477" s="2" t="s">
        <v>11113</v>
      </c>
      <c r="B477" s="2" t="s">
        <v>11114</v>
      </c>
      <c r="C477" s="2" t="s">
        <v>11088</v>
      </c>
      <c r="D477" s="2" t="s">
        <v>11112</v>
      </c>
      <c r="E477" s="2" t="s">
        <v>10050</v>
      </c>
      <c r="F477" s="2"/>
      <c r="G477" s="2" t="str">
        <f aca="false">LEFT(C477,3)</f>
        <v>621</v>
      </c>
      <c r="H477" s="16" t="n">
        <v>0.13</v>
      </c>
      <c r="I477" s="2" t="s">
        <v>10025</v>
      </c>
      <c r="J477" s="2" t="n">
        <f aca="false">IF(COUNTIFS($G$2:G477,G477,$A$2:A477,A477)=1,1,0)</f>
        <v>1</v>
      </c>
    </row>
    <row r="478" customFormat="false" ht="15" hidden="false" customHeight="false" outlineLevel="0" collapsed="false">
      <c r="A478" s="2" t="s">
        <v>11115</v>
      </c>
      <c r="B478" s="2" t="s">
        <v>11116</v>
      </c>
      <c r="C478" s="2" t="s">
        <v>11088</v>
      </c>
      <c r="D478" s="2" t="s">
        <v>11112</v>
      </c>
      <c r="E478" s="2" t="s">
        <v>10050</v>
      </c>
      <c r="F478" s="2"/>
      <c r="G478" s="2" t="str">
        <f aca="false">LEFT(C478,3)</f>
        <v>621</v>
      </c>
      <c r="H478" s="16" t="n">
        <v>0.12</v>
      </c>
      <c r="I478" s="2" t="s">
        <v>10025</v>
      </c>
      <c r="J478" s="2" t="n">
        <f aca="false">IF(COUNTIFS($G$2:G478,G478,$A$2:A478,A478)=1,1,0)</f>
        <v>1</v>
      </c>
    </row>
    <row r="479" customFormat="false" ht="15" hidden="false" customHeight="false" outlineLevel="0" collapsed="false">
      <c r="A479" s="2" t="s">
        <v>11117</v>
      </c>
      <c r="B479" s="2" t="s">
        <v>11118</v>
      </c>
      <c r="C479" s="2" t="s">
        <v>11088</v>
      </c>
      <c r="D479" s="2" t="s">
        <v>11112</v>
      </c>
      <c r="E479" s="2" t="s">
        <v>10050</v>
      </c>
      <c r="F479" s="2"/>
      <c r="G479" s="2" t="str">
        <f aca="false">LEFT(C479,3)</f>
        <v>621</v>
      </c>
      <c r="H479" s="16" t="n">
        <v>0.12</v>
      </c>
      <c r="I479" s="2" t="s">
        <v>10025</v>
      </c>
      <c r="J479" s="2" t="n">
        <f aca="false">IF(COUNTIFS($G$2:G479,G479,$A$2:A479,A479)=1,1,0)</f>
        <v>1</v>
      </c>
    </row>
    <row r="480" customFormat="false" ht="15" hidden="false" customHeight="false" outlineLevel="0" collapsed="false">
      <c r="A480" s="2" t="s">
        <v>10504</v>
      </c>
      <c r="B480" s="2" t="s">
        <v>11119</v>
      </c>
      <c r="C480" s="2" t="s">
        <v>11120</v>
      </c>
      <c r="D480" s="2" t="s">
        <v>11121</v>
      </c>
      <c r="E480" s="2"/>
      <c r="F480" s="2" t="s">
        <v>11122</v>
      </c>
      <c r="G480" s="2" t="str">
        <f aca="false">LEFT(C480,3)</f>
        <v>712</v>
      </c>
      <c r="H480" s="16" t="n">
        <v>0.14</v>
      </c>
      <c r="I480" s="2" t="s">
        <v>10025</v>
      </c>
      <c r="J480" s="2" t="n">
        <f aca="false">IF(COUNTIFS($G$2:G480,G480,$A$2:A480,A480)=1,1,0)</f>
        <v>1</v>
      </c>
    </row>
    <row r="481" customFormat="false" ht="15" hidden="false" customHeight="false" outlineLevel="0" collapsed="false">
      <c r="A481" s="2" t="s">
        <v>10504</v>
      </c>
      <c r="B481" s="2" t="s">
        <v>11119</v>
      </c>
      <c r="C481" s="2" t="s">
        <v>10588</v>
      </c>
      <c r="D481" s="2" t="s">
        <v>10589</v>
      </c>
      <c r="E481" s="2" t="s">
        <v>10050</v>
      </c>
      <c r="F481" s="2" t="s">
        <v>11123</v>
      </c>
      <c r="G481" s="2" t="str">
        <f aca="false">LEFT(C481,3)</f>
        <v>712</v>
      </c>
      <c r="H481" s="16" t="n">
        <v>0.14</v>
      </c>
      <c r="I481" s="2" t="s">
        <v>10025</v>
      </c>
      <c r="J481" s="2" t="n">
        <f aca="false">IF(COUNTIFS($G$2:G481,G481,$A$2:A481,A481)=1,1,0)</f>
        <v>0</v>
      </c>
    </row>
    <row r="482" customFormat="false" ht="15" hidden="false" customHeight="false" outlineLevel="0" collapsed="false">
      <c r="A482" s="2" t="s">
        <v>11124</v>
      </c>
      <c r="B482" s="2" t="s">
        <v>11125</v>
      </c>
      <c r="C482" s="2" t="s">
        <v>11126</v>
      </c>
      <c r="D482" s="2" t="s">
        <v>11127</v>
      </c>
      <c r="E482" s="2" t="s">
        <v>10050</v>
      </c>
      <c r="F482" s="2"/>
      <c r="G482" s="2" t="str">
        <f aca="false">LEFT(C482,3)</f>
        <v>712</v>
      </c>
      <c r="H482" s="16" t="n">
        <v>0.09</v>
      </c>
      <c r="I482" s="2" t="s">
        <v>10025</v>
      </c>
      <c r="J482" s="2" t="n">
        <f aca="false">IF(COUNTIFS($G$2:G482,G482,$A$2:A482,A482)=1,1,0)</f>
        <v>1</v>
      </c>
    </row>
    <row r="483" customFormat="false" ht="15" hidden="false" customHeight="false" outlineLevel="0" collapsed="false">
      <c r="A483" s="2" t="s">
        <v>11128</v>
      </c>
      <c r="B483" s="2" t="s">
        <v>11129</v>
      </c>
      <c r="C483" s="2" t="s">
        <v>11128</v>
      </c>
      <c r="D483" s="2" t="s">
        <v>11130</v>
      </c>
      <c r="E483" s="2"/>
      <c r="F483" s="2"/>
      <c r="G483" s="2" t="str">
        <f aca="false">LEFT(C483,3)</f>
        <v>711</v>
      </c>
      <c r="H483" s="16" t="n">
        <v>0.11</v>
      </c>
      <c r="I483" s="2" t="s">
        <v>10025</v>
      </c>
      <c r="J483" s="2" t="n">
        <f aca="false">IF(COUNTIFS($G$2:G483,G483,$A$2:A483,A483)=1,1,0)</f>
        <v>1</v>
      </c>
    </row>
    <row r="484" customFormat="false" ht="15" hidden="false" customHeight="false" outlineLevel="0" collapsed="false">
      <c r="A484" s="2" t="s">
        <v>11128</v>
      </c>
      <c r="B484" s="2" t="s">
        <v>11129</v>
      </c>
      <c r="C484" s="2" t="s">
        <v>11126</v>
      </c>
      <c r="D484" s="2" t="s">
        <v>11127</v>
      </c>
      <c r="E484" s="2" t="s">
        <v>10050</v>
      </c>
      <c r="F484" s="2"/>
      <c r="G484" s="2" t="str">
        <f aca="false">LEFT(C484,3)</f>
        <v>712</v>
      </c>
      <c r="H484" s="16" t="n">
        <v>0.11</v>
      </c>
      <c r="I484" s="2" t="s">
        <v>10025</v>
      </c>
      <c r="J484" s="2" t="n">
        <f aca="false">IF(COUNTIFS($G$2:G484,G484,$A$2:A484,A484)=1,1,0)</f>
        <v>1</v>
      </c>
    </row>
    <row r="485" customFormat="false" ht="15" hidden="false" customHeight="false" outlineLevel="0" collapsed="false">
      <c r="A485" s="2" t="s">
        <v>11131</v>
      </c>
      <c r="B485" s="2" t="s">
        <v>11132</v>
      </c>
      <c r="C485" s="2" t="s">
        <v>11133</v>
      </c>
      <c r="D485" s="2" t="s">
        <v>11134</v>
      </c>
      <c r="E485" s="2"/>
      <c r="F485" s="2"/>
      <c r="G485" s="2" t="str">
        <f aca="false">LEFT(C485,3)</f>
        <v>712</v>
      </c>
      <c r="H485" s="16" t="n">
        <v>0.1</v>
      </c>
      <c r="I485" s="2" t="s">
        <v>10025</v>
      </c>
      <c r="J485" s="2" t="n">
        <f aca="false">IF(COUNTIFS($G$2:G485,G485,$A$2:A485,A485)=1,1,0)</f>
        <v>1</v>
      </c>
    </row>
    <row r="486" customFormat="false" ht="15" hidden="false" customHeight="false" outlineLevel="0" collapsed="false">
      <c r="A486" s="2" t="s">
        <v>11135</v>
      </c>
      <c r="B486" s="2" t="s">
        <v>11136</v>
      </c>
      <c r="C486" s="2" t="s">
        <v>11137</v>
      </c>
      <c r="D486" s="2" t="s">
        <v>11138</v>
      </c>
      <c r="E486" s="2"/>
      <c r="F486" s="2"/>
      <c r="G486" s="2" t="str">
        <f aca="false">LEFT(C486,3)</f>
        <v>712</v>
      </c>
      <c r="H486" s="16" t="n">
        <v>0.13</v>
      </c>
      <c r="I486" s="2" t="s">
        <v>10025</v>
      </c>
      <c r="J486" s="2" t="n">
        <f aca="false">IF(COUNTIFS($G$2:G486,G486,$A$2:A486,A486)=1,1,0)</f>
        <v>1</v>
      </c>
    </row>
    <row r="487" customFormat="false" ht="15" hidden="false" customHeight="false" outlineLevel="0" collapsed="false">
      <c r="A487" s="2" t="s">
        <v>11139</v>
      </c>
      <c r="B487" s="2" t="s">
        <v>11140</v>
      </c>
      <c r="C487" s="2" t="s">
        <v>10588</v>
      </c>
      <c r="D487" s="2" t="s">
        <v>10589</v>
      </c>
      <c r="E487" s="2" t="s">
        <v>10050</v>
      </c>
      <c r="F487" s="2"/>
      <c r="G487" s="2" t="str">
        <f aca="false">LEFT(C487,3)</f>
        <v>712</v>
      </c>
      <c r="H487" s="16" t="n">
        <v>0.09</v>
      </c>
      <c r="I487" s="2" t="s">
        <v>10025</v>
      </c>
      <c r="J487" s="2" t="n">
        <f aca="false">IF(COUNTIFS($G$2:G487,G487,$A$2:A487,A487)=1,1,0)</f>
        <v>1</v>
      </c>
    </row>
    <row r="488" customFormat="false" ht="15" hidden="false" customHeight="false" outlineLevel="0" collapsed="false">
      <c r="A488" s="2" t="s">
        <v>11120</v>
      </c>
      <c r="B488" s="2" t="s">
        <v>11141</v>
      </c>
      <c r="C488" s="2" t="s">
        <v>11142</v>
      </c>
      <c r="D488" s="2" t="s">
        <v>11141</v>
      </c>
      <c r="E488" s="2"/>
      <c r="F488" s="2"/>
      <c r="G488" s="2" t="str">
        <f aca="false">LEFT(C488,3)</f>
        <v>713</v>
      </c>
      <c r="H488" s="16" t="n">
        <v>0.13</v>
      </c>
      <c r="I488" s="2" t="s">
        <v>10025</v>
      </c>
      <c r="J488" s="2" t="n">
        <f aca="false">IF(COUNTIFS($G$2:G488,G488,$A$2:A488,A488)=1,1,0)</f>
        <v>1</v>
      </c>
    </row>
    <row r="489" customFormat="false" ht="15" hidden="false" customHeight="false" outlineLevel="0" collapsed="false">
      <c r="A489" s="2" t="s">
        <v>11126</v>
      </c>
      <c r="B489" s="2" t="s">
        <v>11143</v>
      </c>
      <c r="C489" s="2" t="s">
        <v>11144</v>
      </c>
      <c r="D489" s="2" t="s">
        <v>11145</v>
      </c>
      <c r="E489" s="2"/>
      <c r="F489" s="2"/>
      <c r="G489" s="2" t="str">
        <f aca="false">LEFT(C489,3)</f>
        <v>713</v>
      </c>
      <c r="H489" s="16" t="n">
        <v>0.1</v>
      </c>
      <c r="I489" s="2" t="s">
        <v>10025</v>
      </c>
      <c r="J489" s="2" t="n">
        <f aca="false">IF(COUNTIFS($G$2:G489,G489,$A$2:A489,A489)=1,1,0)</f>
        <v>1</v>
      </c>
    </row>
    <row r="490" customFormat="false" ht="15" hidden="false" customHeight="false" outlineLevel="0" collapsed="false">
      <c r="A490" s="2" t="s">
        <v>11133</v>
      </c>
      <c r="B490" s="2" t="s">
        <v>11146</v>
      </c>
      <c r="C490" s="2" t="s">
        <v>11147</v>
      </c>
      <c r="D490" s="2" t="s">
        <v>11146</v>
      </c>
      <c r="E490" s="2"/>
      <c r="F490" s="2"/>
      <c r="G490" s="2" t="str">
        <f aca="false">LEFT(C490,3)</f>
        <v>713</v>
      </c>
      <c r="H490" s="16" t="n">
        <v>0.11</v>
      </c>
      <c r="I490" s="2" t="s">
        <v>10025</v>
      </c>
      <c r="J490" s="2" t="n">
        <f aca="false">IF(COUNTIFS($G$2:G490,G490,$A$2:A490,A490)=1,1,0)</f>
        <v>1</v>
      </c>
    </row>
    <row r="491" customFormat="false" ht="15" hidden="false" customHeight="false" outlineLevel="0" collapsed="false">
      <c r="A491" s="2" t="s">
        <v>11137</v>
      </c>
      <c r="B491" s="2" t="s">
        <v>11148</v>
      </c>
      <c r="C491" s="2" t="s">
        <v>11149</v>
      </c>
      <c r="D491" s="2" t="s">
        <v>11150</v>
      </c>
      <c r="E491" s="2"/>
      <c r="F491" s="2"/>
      <c r="G491" s="2" t="str">
        <f aca="false">LEFT(C491,3)</f>
        <v>713</v>
      </c>
      <c r="H491" s="16" t="n">
        <v>0.13</v>
      </c>
      <c r="I491" s="2" t="s">
        <v>10025</v>
      </c>
      <c r="J491" s="2" t="n">
        <f aca="false">IF(COUNTIFS($G$2:G491,G491,$A$2:A491,A491)=1,1,0)</f>
        <v>1</v>
      </c>
    </row>
    <row r="492" customFormat="false" ht="15" hidden="false" customHeight="false" outlineLevel="0" collapsed="false">
      <c r="A492" s="2" t="s">
        <v>11151</v>
      </c>
      <c r="B492" s="2" t="s">
        <v>11152</v>
      </c>
      <c r="C492" s="2" t="s">
        <v>11153</v>
      </c>
      <c r="D492" s="2" t="s">
        <v>11152</v>
      </c>
      <c r="E492" s="2"/>
      <c r="F492" s="2"/>
      <c r="G492" s="2" t="str">
        <f aca="false">LEFT(C492,3)</f>
        <v>713</v>
      </c>
      <c r="H492" s="16" t="n">
        <v>0.14</v>
      </c>
      <c r="I492" s="2" t="s">
        <v>10025</v>
      </c>
      <c r="J492" s="2" t="n">
        <f aca="false">IF(COUNTIFS($G$2:G492,G492,$A$2:A492,A492)=1,1,0)</f>
        <v>1</v>
      </c>
    </row>
    <row r="493" customFormat="false" ht="15" hidden="false" customHeight="false" outlineLevel="0" collapsed="false">
      <c r="A493" s="2" t="s">
        <v>11154</v>
      </c>
      <c r="B493" s="2" t="s">
        <v>11155</v>
      </c>
      <c r="C493" s="2" t="s">
        <v>11156</v>
      </c>
      <c r="D493" s="2" t="s">
        <v>11157</v>
      </c>
      <c r="E493" s="2" t="s">
        <v>10050</v>
      </c>
      <c r="F493" s="2"/>
      <c r="G493" s="2" t="str">
        <f aca="false">LEFT(C493,3)</f>
        <v>713</v>
      </c>
      <c r="H493" s="16" t="n">
        <v>0.18</v>
      </c>
      <c r="I493" s="2" t="s">
        <v>10025</v>
      </c>
      <c r="J493" s="2" t="n">
        <f aca="false">IF(COUNTIFS($G$2:G493,G493,$A$2:A493,A493)=1,1,0)</f>
        <v>1</v>
      </c>
    </row>
    <row r="494" customFormat="false" ht="15" hidden="false" customHeight="false" outlineLevel="0" collapsed="false">
      <c r="A494" s="2" t="s">
        <v>11158</v>
      </c>
      <c r="B494" s="2" t="s">
        <v>11159</v>
      </c>
      <c r="C494" s="2" t="s">
        <v>11156</v>
      </c>
      <c r="D494" s="2" t="s">
        <v>11157</v>
      </c>
      <c r="E494" s="2" t="s">
        <v>10050</v>
      </c>
      <c r="F494" s="2" t="s">
        <v>11160</v>
      </c>
      <c r="G494" s="2" t="str">
        <f aca="false">LEFT(C494,3)</f>
        <v>713</v>
      </c>
      <c r="H494" s="16" t="n">
        <v>0.21</v>
      </c>
      <c r="I494" s="2" t="s">
        <v>10025</v>
      </c>
      <c r="J494" s="2" t="n">
        <f aca="false">IF(COUNTIFS($G$2:G494,G494,$A$2:A494,A494)=1,1,0)</f>
        <v>1</v>
      </c>
    </row>
    <row r="495" customFormat="false" ht="15" hidden="false" customHeight="false" outlineLevel="0" collapsed="false">
      <c r="A495" s="2" t="s">
        <v>11158</v>
      </c>
      <c r="B495" s="2" t="s">
        <v>11159</v>
      </c>
      <c r="C495" s="2" t="s">
        <v>11161</v>
      </c>
      <c r="D495" s="2" t="s">
        <v>11162</v>
      </c>
      <c r="E495" s="2" t="s">
        <v>10050</v>
      </c>
      <c r="F495" s="2"/>
      <c r="G495" s="2" t="str">
        <f aca="false">LEFT(C495,3)</f>
        <v>723</v>
      </c>
      <c r="H495" s="16" t="n">
        <v>0.21</v>
      </c>
      <c r="I495" s="2" t="s">
        <v>10025</v>
      </c>
      <c r="J495" s="2" t="n">
        <f aca="false">IF(COUNTIFS($G$2:G495,G495,$A$2:A495,A495)=1,1,0)</f>
        <v>1</v>
      </c>
    </row>
    <row r="496" customFormat="false" ht="15" hidden="false" customHeight="false" outlineLevel="0" collapsed="false">
      <c r="A496" s="2" t="s">
        <v>11142</v>
      </c>
      <c r="B496" s="2" t="s">
        <v>11163</v>
      </c>
      <c r="C496" s="2" t="s">
        <v>11164</v>
      </c>
      <c r="D496" s="2" t="s">
        <v>11165</v>
      </c>
      <c r="E496" s="2"/>
      <c r="F496" s="2"/>
      <c r="G496" s="2" t="str">
        <f aca="false">LEFT(C496,3)</f>
        <v>714</v>
      </c>
      <c r="H496" s="16" t="n">
        <v>0.13</v>
      </c>
      <c r="I496" s="2" t="s">
        <v>10025</v>
      </c>
      <c r="J496" s="2" t="n">
        <f aca="false">IF(COUNTIFS($G$2:G496,G496,$A$2:A496,A496)=1,1,0)</f>
        <v>1</v>
      </c>
    </row>
    <row r="497" customFormat="false" ht="15" hidden="false" customHeight="false" outlineLevel="0" collapsed="false">
      <c r="A497" s="2" t="s">
        <v>11144</v>
      </c>
      <c r="B497" s="2" t="s">
        <v>11166</v>
      </c>
      <c r="C497" s="2" t="s">
        <v>11167</v>
      </c>
      <c r="D497" s="2" t="s">
        <v>11168</v>
      </c>
      <c r="E497" s="2"/>
      <c r="F497" s="2"/>
      <c r="G497" s="2" t="str">
        <f aca="false">LEFT(C497,3)</f>
        <v>714</v>
      </c>
      <c r="H497" s="16" t="n">
        <v>0.12</v>
      </c>
      <c r="I497" s="2" t="s">
        <v>10025</v>
      </c>
      <c r="J497" s="2" t="n">
        <f aca="false">IF(COUNTIFS($G$2:G497,G497,$A$2:A497,A497)=1,1,0)</f>
        <v>1</v>
      </c>
    </row>
    <row r="498" customFormat="false" ht="15" hidden="false" customHeight="false" outlineLevel="0" collapsed="false">
      <c r="A498" s="2" t="s">
        <v>11147</v>
      </c>
      <c r="B498" s="2" t="s">
        <v>11169</v>
      </c>
      <c r="C498" s="2" t="s">
        <v>11170</v>
      </c>
      <c r="D498" s="2" t="s">
        <v>11171</v>
      </c>
      <c r="E498" s="2" t="s">
        <v>10050</v>
      </c>
      <c r="F498" s="2"/>
      <c r="G498" s="2" t="str">
        <f aca="false">LEFT(C498,3)</f>
        <v>714</v>
      </c>
      <c r="H498" s="16" t="n">
        <v>0.09</v>
      </c>
      <c r="I498" s="2" t="s">
        <v>10025</v>
      </c>
      <c r="J498" s="2" t="n">
        <f aca="false">IF(COUNTIFS($G$2:G498,G498,$A$2:A498,A498)=1,1,0)</f>
        <v>1</v>
      </c>
    </row>
    <row r="499" customFormat="false" ht="15" hidden="false" customHeight="false" outlineLevel="0" collapsed="false">
      <c r="A499" s="2" t="s">
        <v>11172</v>
      </c>
      <c r="B499" s="2" t="s">
        <v>11173</v>
      </c>
      <c r="C499" s="2" t="s">
        <v>11172</v>
      </c>
      <c r="D499" s="2" t="s">
        <v>11174</v>
      </c>
      <c r="E499" s="2"/>
      <c r="F499" s="2"/>
      <c r="G499" s="2" t="str">
        <f aca="false">LEFT(C499,3)</f>
        <v>721</v>
      </c>
      <c r="H499" s="16" t="n">
        <v>0.13</v>
      </c>
      <c r="I499" s="2" t="s">
        <v>10025</v>
      </c>
      <c r="J499" s="2" t="n">
        <f aca="false">IF(COUNTIFS($G$2:G499,G499,$A$2:A499,A499)=1,1,0)</f>
        <v>1</v>
      </c>
    </row>
    <row r="500" customFormat="false" ht="15" hidden="false" customHeight="false" outlineLevel="0" collapsed="false">
      <c r="A500" s="2" t="s">
        <v>11175</v>
      </c>
      <c r="B500" s="2" t="s">
        <v>11176</v>
      </c>
      <c r="C500" s="2" t="s">
        <v>11175</v>
      </c>
      <c r="D500" s="2" t="s">
        <v>11177</v>
      </c>
      <c r="E500" s="2"/>
      <c r="F500" s="2"/>
      <c r="G500" s="2" t="str">
        <f aca="false">LEFT(C500,3)</f>
        <v>721</v>
      </c>
      <c r="H500" s="16" t="n">
        <v>0.13</v>
      </c>
      <c r="I500" s="2" t="s">
        <v>10025</v>
      </c>
      <c r="J500" s="2" t="n">
        <f aca="false">IF(COUNTIFS($G$2:G500,G500,$A$2:A500,A500)=1,1,0)</f>
        <v>1</v>
      </c>
    </row>
    <row r="501" customFormat="false" ht="15" hidden="false" customHeight="false" outlineLevel="0" collapsed="false">
      <c r="A501" s="2" t="s">
        <v>11178</v>
      </c>
      <c r="B501" s="2" t="s">
        <v>11179</v>
      </c>
      <c r="C501" s="2" t="s">
        <v>11178</v>
      </c>
      <c r="D501" s="2" t="s">
        <v>11180</v>
      </c>
      <c r="E501" s="2"/>
      <c r="F501" s="2"/>
      <c r="G501" s="2" t="str">
        <f aca="false">LEFT(C501,3)</f>
        <v>721</v>
      </c>
      <c r="H501" s="16" t="n">
        <v>0.21</v>
      </c>
      <c r="I501" s="2" t="s">
        <v>10025</v>
      </c>
      <c r="J501" s="2" t="n">
        <f aca="false">IF(COUNTIFS($G$2:G501,G501,$A$2:A501,A501)=1,1,0)</f>
        <v>1</v>
      </c>
    </row>
    <row r="502" customFormat="false" ht="15" hidden="false" customHeight="false" outlineLevel="0" collapsed="false">
      <c r="A502" s="2" t="s">
        <v>11181</v>
      </c>
      <c r="B502" s="2" t="s">
        <v>11182</v>
      </c>
      <c r="C502" s="2" t="s">
        <v>11181</v>
      </c>
      <c r="D502" s="2" t="s">
        <v>11183</v>
      </c>
      <c r="E502" s="2"/>
      <c r="F502" s="2"/>
      <c r="G502" s="2" t="str">
        <f aca="false">LEFT(C502,3)</f>
        <v>721</v>
      </c>
      <c r="H502" s="16" t="n">
        <v>0.11</v>
      </c>
      <c r="I502" s="2" t="s">
        <v>10025</v>
      </c>
      <c r="J502" s="2" t="n">
        <f aca="false">IF(COUNTIFS($G$2:G502,G502,$A$2:A502,A502)=1,1,0)</f>
        <v>1</v>
      </c>
    </row>
    <row r="503" customFormat="false" ht="15" hidden="false" customHeight="false" outlineLevel="0" collapsed="false">
      <c r="A503" s="2" t="s">
        <v>11184</v>
      </c>
      <c r="B503" s="2" t="s">
        <v>11185</v>
      </c>
      <c r="C503" s="2" t="s">
        <v>11184</v>
      </c>
      <c r="D503" s="2" t="s">
        <v>11186</v>
      </c>
      <c r="E503" s="2"/>
      <c r="F503" s="2"/>
      <c r="G503" s="2" t="str">
        <f aca="false">LEFT(C503,3)</f>
        <v>721</v>
      </c>
      <c r="H503" s="16" t="n">
        <v>0.13</v>
      </c>
      <c r="I503" s="2" t="s">
        <v>10025</v>
      </c>
      <c r="J503" s="2" t="n">
        <f aca="false">IF(COUNTIFS($G$2:G503,G503,$A$2:A503,A503)=1,1,0)</f>
        <v>1</v>
      </c>
    </row>
    <row r="504" customFormat="false" ht="15" hidden="false" customHeight="false" outlineLevel="0" collapsed="false">
      <c r="A504" s="2" t="s">
        <v>11187</v>
      </c>
      <c r="B504" s="2" t="s">
        <v>11188</v>
      </c>
      <c r="C504" s="2" t="s">
        <v>11187</v>
      </c>
      <c r="D504" s="2" t="s">
        <v>11189</v>
      </c>
      <c r="E504" s="2"/>
      <c r="F504" s="2"/>
      <c r="G504" s="2" t="str">
        <f aca="false">LEFT(C504,3)</f>
        <v>722</v>
      </c>
      <c r="H504" s="16" t="n">
        <v>0.17</v>
      </c>
      <c r="I504" s="2" t="s">
        <v>10025</v>
      </c>
      <c r="J504" s="2" t="n">
        <f aca="false">IF(COUNTIFS($G$2:G504,G504,$A$2:A504,A504)=1,1,0)</f>
        <v>1</v>
      </c>
    </row>
    <row r="505" customFormat="false" ht="15" hidden="false" customHeight="false" outlineLevel="0" collapsed="false">
      <c r="A505" s="2" t="s">
        <v>11190</v>
      </c>
      <c r="B505" s="2" t="s">
        <v>11191</v>
      </c>
      <c r="C505" s="2" t="s">
        <v>11190</v>
      </c>
      <c r="D505" s="2" t="s">
        <v>11192</v>
      </c>
      <c r="E505" s="2"/>
      <c r="F505" s="2"/>
      <c r="G505" s="2" t="str">
        <f aca="false">LEFT(C505,3)</f>
        <v>722</v>
      </c>
      <c r="H505" s="16" t="n">
        <v>0.2</v>
      </c>
      <c r="I505" s="2" t="s">
        <v>10025</v>
      </c>
      <c r="J505" s="2" t="n">
        <f aca="false">IF(COUNTIFS($G$2:G505,G505,$A$2:A505,A505)=1,1,0)</f>
        <v>1</v>
      </c>
    </row>
    <row r="506" customFormat="false" ht="15" hidden="false" customHeight="false" outlineLevel="0" collapsed="false">
      <c r="A506" s="2" t="s">
        <v>11193</v>
      </c>
      <c r="B506" s="2" t="s">
        <v>11194</v>
      </c>
      <c r="C506" s="2" t="s">
        <v>11193</v>
      </c>
      <c r="D506" s="2" t="s">
        <v>11195</v>
      </c>
      <c r="E506" s="2" t="s">
        <v>10050</v>
      </c>
      <c r="F506" s="2"/>
      <c r="G506" s="2" t="str">
        <f aca="false">LEFT(C506,3)</f>
        <v>722</v>
      </c>
      <c r="H506" s="16" t="n">
        <v>0.18</v>
      </c>
      <c r="I506" s="2" t="s">
        <v>10025</v>
      </c>
      <c r="J506" s="2" t="n">
        <f aca="false">IF(COUNTIFS($G$2:G506,G506,$A$2:A506,A506)=1,1,0)</f>
        <v>1</v>
      </c>
    </row>
    <row r="507" customFormat="false" ht="15" hidden="false" customHeight="false" outlineLevel="0" collapsed="false">
      <c r="A507" s="2" t="s">
        <v>11193</v>
      </c>
      <c r="B507" s="2" t="s">
        <v>11194</v>
      </c>
      <c r="C507" s="2" t="s">
        <v>10515</v>
      </c>
      <c r="D507" s="2" t="s">
        <v>10516</v>
      </c>
      <c r="E507" s="2" t="s">
        <v>10050</v>
      </c>
      <c r="F507" s="2"/>
      <c r="G507" s="2" t="str">
        <f aca="false">LEFT(C507,3)</f>
        <v>821</v>
      </c>
      <c r="H507" s="16" t="n">
        <v>0.18</v>
      </c>
      <c r="I507" s="2" t="s">
        <v>10025</v>
      </c>
      <c r="J507" s="2" t="n">
        <f aca="false">IF(COUNTIFS($G$2:G507,G507,$A$2:A507,A507)=1,1,0)</f>
        <v>1</v>
      </c>
    </row>
    <row r="508" customFormat="false" ht="15" hidden="false" customHeight="false" outlineLevel="0" collapsed="false">
      <c r="A508" s="2" t="s">
        <v>11196</v>
      </c>
      <c r="B508" s="2" t="s">
        <v>11197</v>
      </c>
      <c r="C508" s="2" t="s">
        <v>11196</v>
      </c>
      <c r="D508" s="2" t="s">
        <v>11198</v>
      </c>
      <c r="E508" s="2"/>
      <c r="F508" s="2"/>
      <c r="G508" s="2" t="str">
        <f aca="false">LEFT(C508,3)</f>
        <v>722</v>
      </c>
      <c r="H508" s="16" t="n">
        <v>0.17</v>
      </c>
      <c r="I508" s="2" t="s">
        <v>10025</v>
      </c>
      <c r="J508" s="2" t="n">
        <f aca="false">IF(COUNTIFS($G$2:G508,G508,$A$2:A508,A508)=1,1,0)</f>
        <v>1</v>
      </c>
    </row>
    <row r="509" customFormat="false" ht="15" hidden="false" customHeight="false" outlineLevel="0" collapsed="false">
      <c r="A509" s="2" t="s">
        <v>11199</v>
      </c>
      <c r="B509" s="2" t="s">
        <v>11200</v>
      </c>
      <c r="C509" s="2" t="s">
        <v>11199</v>
      </c>
      <c r="D509" s="2" t="s">
        <v>11201</v>
      </c>
      <c r="E509" s="2" t="s">
        <v>10050</v>
      </c>
      <c r="F509" s="2"/>
      <c r="G509" s="2" t="str">
        <f aca="false">LEFT(C509,3)</f>
        <v>723</v>
      </c>
      <c r="H509" s="16" t="n">
        <v>0.18</v>
      </c>
      <c r="I509" s="2" t="s">
        <v>10025</v>
      </c>
      <c r="J509" s="2" t="n">
        <f aca="false">IF(COUNTIFS($G$2:G509,G509,$A$2:A509,A509)=1,1,0)</f>
        <v>1</v>
      </c>
    </row>
    <row r="510" customFormat="false" ht="15" hidden="false" customHeight="false" outlineLevel="0" collapsed="false">
      <c r="A510" s="2" t="s">
        <v>11202</v>
      </c>
      <c r="B510" s="2" t="s">
        <v>11203</v>
      </c>
      <c r="C510" s="2" t="s">
        <v>11202</v>
      </c>
      <c r="D510" s="2" t="s">
        <v>11204</v>
      </c>
      <c r="E510" s="2"/>
      <c r="F510" s="2"/>
      <c r="G510" s="2" t="str">
        <f aca="false">LEFT(C510,3)</f>
        <v>723</v>
      </c>
      <c r="H510" s="16" t="n">
        <v>0.19</v>
      </c>
      <c r="I510" s="2" t="s">
        <v>10025</v>
      </c>
      <c r="J510" s="2" t="n">
        <f aca="false">IF(COUNTIFS($G$2:G510,G510,$A$2:A510,A510)=1,1,0)</f>
        <v>1</v>
      </c>
    </row>
    <row r="511" customFormat="false" ht="15" hidden="false" customHeight="false" outlineLevel="0" collapsed="false">
      <c r="A511" s="2" t="s">
        <v>11161</v>
      </c>
      <c r="B511" s="2" t="s">
        <v>11205</v>
      </c>
      <c r="C511" s="2" t="s">
        <v>11161</v>
      </c>
      <c r="D511" s="2" t="s">
        <v>11162</v>
      </c>
      <c r="E511" s="2" t="s">
        <v>10050</v>
      </c>
      <c r="F511" s="2"/>
      <c r="G511" s="2" t="str">
        <f aca="false">LEFT(C511,3)</f>
        <v>723</v>
      </c>
      <c r="H511" s="16" t="n">
        <v>0.17</v>
      </c>
      <c r="I511" s="2" t="s">
        <v>10025</v>
      </c>
      <c r="J511" s="2" t="n">
        <f aca="false">IF(COUNTIFS($G$2:G511,G511,$A$2:A511,A511)=1,1,0)</f>
        <v>1</v>
      </c>
    </row>
    <row r="512" customFormat="false" ht="15" hidden="false" customHeight="false" outlineLevel="0" collapsed="false">
      <c r="A512" s="2" t="s">
        <v>11206</v>
      </c>
      <c r="B512" s="2" t="s">
        <v>11207</v>
      </c>
      <c r="C512" s="2" t="s">
        <v>11199</v>
      </c>
      <c r="D512" s="2" t="s">
        <v>11201</v>
      </c>
      <c r="E512" s="2" t="s">
        <v>10050</v>
      </c>
      <c r="F512" s="2"/>
      <c r="G512" s="2" t="str">
        <f aca="false">LEFT(C512,3)</f>
        <v>723</v>
      </c>
      <c r="H512" s="16" t="n">
        <v>0.13</v>
      </c>
      <c r="I512" s="2" t="s">
        <v>10025</v>
      </c>
      <c r="J512" s="2" t="n">
        <f aca="false">IF(COUNTIFS($G$2:G512,G512,$A$2:A512,A512)=1,1,0)</f>
        <v>1</v>
      </c>
    </row>
    <row r="513" customFormat="false" ht="15" hidden="false" customHeight="false" outlineLevel="0" collapsed="false">
      <c r="A513" s="2" t="s">
        <v>10663</v>
      </c>
      <c r="B513" s="2" t="s">
        <v>11208</v>
      </c>
      <c r="C513" s="2" t="s">
        <v>10663</v>
      </c>
      <c r="D513" s="2" t="s">
        <v>10664</v>
      </c>
      <c r="E513" s="2" t="s">
        <v>10050</v>
      </c>
      <c r="F513" s="2"/>
      <c r="G513" s="2" t="str">
        <f aca="false">LEFT(C513,3)</f>
        <v>731</v>
      </c>
      <c r="H513" s="16" t="n">
        <v>0.21</v>
      </c>
      <c r="I513" s="2" t="s">
        <v>10025</v>
      </c>
      <c r="J513" s="2" t="n">
        <f aca="false">IF(COUNTIFS($G$2:G513,G513,$A$2:A513,A513)=1,1,0)</f>
        <v>1</v>
      </c>
    </row>
    <row r="514" customFormat="false" ht="15" hidden="false" customHeight="false" outlineLevel="0" collapsed="false">
      <c r="A514" s="2" t="s">
        <v>11209</v>
      </c>
      <c r="B514" s="2" t="s">
        <v>11210</v>
      </c>
      <c r="C514" s="2" t="s">
        <v>11209</v>
      </c>
      <c r="D514" s="2" t="s">
        <v>11211</v>
      </c>
      <c r="E514" s="2"/>
      <c r="F514" s="2"/>
      <c r="G514" s="2" t="str">
        <f aca="false">LEFT(C514,3)</f>
        <v>731</v>
      </c>
      <c r="H514" s="16" t="n">
        <v>0.14</v>
      </c>
      <c r="I514" s="2" t="s">
        <v>10025</v>
      </c>
      <c r="J514" s="2" t="n">
        <f aca="false">IF(COUNTIFS($G$2:G514,G514,$A$2:A514,A514)=1,1,0)</f>
        <v>1</v>
      </c>
    </row>
    <row r="515" customFormat="false" ht="15" hidden="false" customHeight="false" outlineLevel="0" collapsed="false">
      <c r="A515" s="2" t="s">
        <v>11212</v>
      </c>
      <c r="B515" s="2" t="s">
        <v>11213</v>
      </c>
      <c r="C515" s="2" t="s">
        <v>11212</v>
      </c>
      <c r="D515" s="2" t="s">
        <v>11214</v>
      </c>
      <c r="E515" s="2"/>
      <c r="F515" s="2"/>
      <c r="G515" s="2" t="str">
        <f aca="false">LEFT(C515,3)</f>
        <v>731</v>
      </c>
      <c r="H515" s="16" t="n">
        <v>0.18</v>
      </c>
      <c r="I515" s="2" t="s">
        <v>10025</v>
      </c>
      <c r="J515" s="2" t="n">
        <f aca="false">IF(COUNTIFS($G$2:G515,G515,$A$2:A515,A515)=1,1,0)</f>
        <v>1</v>
      </c>
    </row>
    <row r="516" customFormat="false" ht="15" hidden="false" customHeight="false" outlineLevel="0" collapsed="false">
      <c r="A516" s="2" t="s">
        <v>11215</v>
      </c>
      <c r="B516" s="2" t="s">
        <v>11216</v>
      </c>
      <c r="C516" s="2" t="s">
        <v>11217</v>
      </c>
      <c r="D516" s="2" t="s">
        <v>11218</v>
      </c>
      <c r="E516" s="2"/>
      <c r="F516" s="2"/>
      <c r="G516" s="2" t="str">
        <f aca="false">LEFT(C516,3)</f>
        <v>732</v>
      </c>
      <c r="H516" s="16" t="n">
        <v>0.18</v>
      </c>
      <c r="I516" s="2" t="s">
        <v>10025</v>
      </c>
      <c r="J516" s="2" t="n">
        <f aca="false">IF(COUNTIFS($G$2:G516,G516,$A$2:A516,A516)=1,1,0)</f>
        <v>1</v>
      </c>
    </row>
    <row r="517" customFormat="false" ht="15" hidden="false" customHeight="false" outlineLevel="0" collapsed="false">
      <c r="A517" s="2" t="s">
        <v>11219</v>
      </c>
      <c r="B517" s="2" t="s">
        <v>11220</v>
      </c>
      <c r="C517" s="2" t="s">
        <v>11221</v>
      </c>
      <c r="D517" s="2" t="s">
        <v>11222</v>
      </c>
      <c r="E517" s="2" t="s">
        <v>10050</v>
      </c>
      <c r="F517" s="2"/>
      <c r="G517" s="2" t="str">
        <f aca="false">LEFT(C517,3)</f>
        <v>732</v>
      </c>
      <c r="H517" s="16" t="n">
        <v>0.19</v>
      </c>
      <c r="I517" s="2" t="s">
        <v>10025</v>
      </c>
      <c r="J517" s="2" t="n">
        <f aca="false">IF(COUNTIFS($G$2:G517,G517,$A$2:A517,A517)=1,1,0)</f>
        <v>1</v>
      </c>
    </row>
    <row r="518" customFormat="false" ht="15" hidden="false" customHeight="false" outlineLevel="0" collapsed="false">
      <c r="A518" s="2" t="s">
        <v>11223</v>
      </c>
      <c r="B518" s="2" t="s">
        <v>11224</v>
      </c>
      <c r="C518" s="2" t="s">
        <v>10237</v>
      </c>
      <c r="D518" s="2" t="s">
        <v>10238</v>
      </c>
      <c r="E518" s="2" t="s">
        <v>10050</v>
      </c>
      <c r="F518" s="2" t="s">
        <v>11225</v>
      </c>
      <c r="G518" s="2" t="str">
        <f aca="false">LEFT(C518,3)</f>
        <v>347</v>
      </c>
      <c r="H518" s="16" t="n">
        <v>0.18</v>
      </c>
      <c r="I518" s="2" t="s">
        <v>10025</v>
      </c>
      <c r="J518" s="2" t="n">
        <f aca="false">IF(COUNTIFS($G$2:G518,G518,$A$2:A518,A518)=1,1,0)</f>
        <v>1</v>
      </c>
    </row>
    <row r="519" customFormat="false" ht="15" hidden="false" customHeight="false" outlineLevel="0" collapsed="false">
      <c r="A519" s="2" t="s">
        <v>11223</v>
      </c>
      <c r="B519" s="2" t="s">
        <v>11224</v>
      </c>
      <c r="C519" s="2" t="s">
        <v>11226</v>
      </c>
      <c r="D519" s="2" t="s">
        <v>11227</v>
      </c>
      <c r="E519" s="2"/>
      <c r="F519" s="2"/>
      <c r="G519" s="2" t="str">
        <f aca="false">LEFT(C519,3)</f>
        <v>732</v>
      </c>
      <c r="H519" s="16" t="n">
        <v>0.18</v>
      </c>
      <c r="I519" s="2" t="s">
        <v>10025</v>
      </c>
      <c r="J519" s="2" t="n">
        <f aca="false">IF(COUNTIFS($G$2:G519,G519,$A$2:A519,A519)=1,1,0)</f>
        <v>1</v>
      </c>
    </row>
    <row r="520" customFormat="false" ht="15" hidden="false" customHeight="false" outlineLevel="0" collapsed="false">
      <c r="A520" s="2" t="s">
        <v>11223</v>
      </c>
      <c r="B520" s="2" t="s">
        <v>11224</v>
      </c>
      <c r="C520" s="2" t="s">
        <v>11228</v>
      </c>
      <c r="D520" s="2" t="s">
        <v>11229</v>
      </c>
      <c r="E520" s="2"/>
      <c r="F520" s="2"/>
      <c r="G520" s="2" t="str">
        <f aca="false">LEFT(C520,3)</f>
        <v>732</v>
      </c>
      <c r="H520" s="16" t="n">
        <v>0.18</v>
      </c>
      <c r="I520" s="2" t="s">
        <v>10025</v>
      </c>
      <c r="J520" s="2" t="n">
        <f aca="false">IF(COUNTIFS($G$2:G520,G520,$A$2:A520,A520)=1,1,0)</f>
        <v>0</v>
      </c>
    </row>
    <row r="521" customFormat="false" ht="15" hidden="false" customHeight="false" outlineLevel="0" collapsed="false">
      <c r="A521" s="2" t="s">
        <v>11230</v>
      </c>
      <c r="B521" s="2" t="s">
        <v>11231</v>
      </c>
      <c r="C521" s="2" t="s">
        <v>11232</v>
      </c>
      <c r="D521" s="2" t="s">
        <v>11233</v>
      </c>
      <c r="E521" s="2" t="s">
        <v>10050</v>
      </c>
      <c r="F521" s="2"/>
      <c r="G521" s="2" t="str">
        <f aca="false">LEFT(C521,3)</f>
        <v>733</v>
      </c>
      <c r="H521" s="16" t="n">
        <v>0.14</v>
      </c>
      <c r="I521" s="2" t="s">
        <v>10025</v>
      </c>
      <c r="J521" s="2" t="n">
        <f aca="false">IF(COUNTIFS($G$2:G521,G521,$A$2:A521,A521)=1,1,0)</f>
        <v>1</v>
      </c>
    </row>
    <row r="522" customFormat="false" ht="15" hidden="false" customHeight="false" outlineLevel="0" collapsed="false">
      <c r="A522" s="2" t="s">
        <v>11230</v>
      </c>
      <c r="B522" s="2" t="s">
        <v>11231</v>
      </c>
      <c r="C522" s="2" t="s">
        <v>11234</v>
      </c>
      <c r="D522" s="2" t="s">
        <v>11235</v>
      </c>
      <c r="E522" s="2"/>
      <c r="F522" s="2"/>
      <c r="G522" s="2" t="str">
        <f aca="false">LEFT(C522,3)</f>
        <v>742</v>
      </c>
      <c r="H522" s="16" t="n">
        <v>0.14</v>
      </c>
      <c r="I522" s="2" t="s">
        <v>10025</v>
      </c>
      <c r="J522" s="2" t="n">
        <f aca="false">IF(COUNTIFS($G$2:G522,G522,$A$2:A522,A522)=1,1,0)</f>
        <v>1</v>
      </c>
    </row>
    <row r="523" customFormat="false" ht="15" hidden="false" customHeight="false" outlineLevel="0" collapsed="false">
      <c r="A523" s="2" t="s">
        <v>11236</v>
      </c>
      <c r="B523" s="2" t="s">
        <v>11237</v>
      </c>
      <c r="C523" s="2" t="s">
        <v>11238</v>
      </c>
      <c r="D523" s="2" t="s">
        <v>11239</v>
      </c>
      <c r="E523" s="2"/>
      <c r="F523" s="2"/>
      <c r="G523" s="2" t="str">
        <f aca="false">LEFT(C523,3)</f>
        <v>733</v>
      </c>
      <c r="H523" s="16" t="n">
        <v>0.13</v>
      </c>
      <c r="I523" s="2" t="s">
        <v>10025</v>
      </c>
      <c r="J523" s="2" t="n">
        <f aca="false">IF(COUNTIFS($G$2:G523,G523,$A$2:A523,A523)=1,1,0)</f>
        <v>1</v>
      </c>
    </row>
    <row r="524" customFormat="false" ht="15" hidden="false" customHeight="false" outlineLevel="0" collapsed="false">
      <c r="A524" s="2" t="s">
        <v>11236</v>
      </c>
      <c r="B524" s="2" t="s">
        <v>11237</v>
      </c>
      <c r="C524" s="2" t="s">
        <v>11240</v>
      </c>
      <c r="D524" s="2" t="s">
        <v>11241</v>
      </c>
      <c r="E524" s="2"/>
      <c r="F524" s="2"/>
      <c r="G524" s="2" t="str">
        <f aca="false">LEFT(C524,3)</f>
        <v>743</v>
      </c>
      <c r="H524" s="16" t="n">
        <v>0.13</v>
      </c>
      <c r="I524" s="2" t="s">
        <v>10025</v>
      </c>
      <c r="J524" s="2" t="n">
        <f aca="false">IF(COUNTIFS($G$2:G524,G524,$A$2:A524,A524)=1,1,0)</f>
        <v>1</v>
      </c>
    </row>
    <row r="525" customFormat="false" ht="15" hidden="false" customHeight="false" outlineLevel="0" collapsed="false">
      <c r="A525" s="2" t="s">
        <v>11236</v>
      </c>
      <c r="B525" s="2" t="s">
        <v>11237</v>
      </c>
      <c r="C525" s="2" t="s">
        <v>11242</v>
      </c>
      <c r="D525" s="2" t="s">
        <v>11243</v>
      </c>
      <c r="E525" s="2" t="s">
        <v>10050</v>
      </c>
      <c r="F525" s="2"/>
      <c r="G525" s="2" t="str">
        <f aca="false">LEFT(C525,3)</f>
        <v>743</v>
      </c>
      <c r="H525" s="16" t="n">
        <v>0.13</v>
      </c>
      <c r="I525" s="2" t="s">
        <v>10025</v>
      </c>
      <c r="J525" s="2" t="n">
        <f aca="false">IF(COUNTIFS($G$2:G525,G525,$A$2:A525,A525)=1,1,0)</f>
        <v>0</v>
      </c>
    </row>
    <row r="526" customFormat="false" ht="15" hidden="false" customHeight="false" outlineLevel="0" collapsed="false">
      <c r="A526" s="2" t="s">
        <v>11244</v>
      </c>
      <c r="B526" s="2" t="s">
        <v>11245</v>
      </c>
      <c r="C526" s="2" t="s">
        <v>11232</v>
      </c>
      <c r="D526" s="2" t="s">
        <v>11233</v>
      </c>
      <c r="E526" s="2" t="s">
        <v>10050</v>
      </c>
      <c r="F526" s="2"/>
      <c r="G526" s="2" t="str">
        <f aca="false">LEFT(C526,3)</f>
        <v>733</v>
      </c>
      <c r="H526" s="16"/>
      <c r="I526" s="2" t="s">
        <v>10169</v>
      </c>
      <c r="J526" s="2" t="n">
        <f aca="false">IF(COUNTIFS($G$2:G526,G526,$A$2:A526,A526)=1,1,0)</f>
        <v>1</v>
      </c>
    </row>
    <row r="527" customFormat="false" ht="15" hidden="false" customHeight="false" outlineLevel="0" collapsed="false">
      <c r="A527" s="2" t="s">
        <v>11217</v>
      </c>
      <c r="B527" s="2" t="s">
        <v>11246</v>
      </c>
      <c r="C527" s="2" t="s">
        <v>11247</v>
      </c>
      <c r="D527" s="2" t="s">
        <v>11248</v>
      </c>
      <c r="E527" s="2" t="s">
        <v>10050</v>
      </c>
      <c r="F527" s="2"/>
      <c r="G527" s="2" t="str">
        <f aca="false">LEFT(C527,3)</f>
        <v>734</v>
      </c>
      <c r="H527" s="16" t="n">
        <v>0.38</v>
      </c>
      <c r="I527" s="2" t="s">
        <v>10152</v>
      </c>
      <c r="J527" s="2" t="n">
        <f aca="false">IF(COUNTIFS($G$2:G527,G527,$A$2:A527,A527)=1,1,0)</f>
        <v>1</v>
      </c>
    </row>
    <row r="528" customFormat="false" ht="15" hidden="false" customHeight="false" outlineLevel="0" collapsed="false">
      <c r="A528" s="2" t="s">
        <v>11217</v>
      </c>
      <c r="B528" s="2" t="s">
        <v>11246</v>
      </c>
      <c r="C528" s="2" t="s">
        <v>11249</v>
      </c>
      <c r="D528" s="2" t="s">
        <v>11250</v>
      </c>
      <c r="E528" s="2"/>
      <c r="F528" s="2"/>
      <c r="G528" s="2" t="str">
        <f aca="false">LEFT(C528,3)</f>
        <v>734</v>
      </c>
      <c r="H528" s="16" t="n">
        <v>0.38</v>
      </c>
      <c r="I528" s="2" t="s">
        <v>10152</v>
      </c>
      <c r="J528" s="2" t="n">
        <f aca="false">IF(COUNTIFS($G$2:G528,G528,$A$2:A528,A528)=1,1,0)</f>
        <v>0</v>
      </c>
    </row>
    <row r="529" customFormat="false" ht="15" hidden="false" customHeight="false" outlineLevel="0" collapsed="false">
      <c r="A529" s="2" t="s">
        <v>11217</v>
      </c>
      <c r="B529" s="2" t="s">
        <v>11246</v>
      </c>
      <c r="C529" s="2" t="s">
        <v>11251</v>
      </c>
      <c r="D529" s="2" t="s">
        <v>11252</v>
      </c>
      <c r="E529" s="2"/>
      <c r="F529" s="2"/>
      <c r="G529" s="2" t="str">
        <f aca="false">LEFT(C529,3)</f>
        <v>734</v>
      </c>
      <c r="H529" s="16" t="n">
        <v>0.38</v>
      </c>
      <c r="I529" s="2" t="s">
        <v>10152</v>
      </c>
      <c r="J529" s="2" t="n">
        <f aca="false">IF(COUNTIFS($G$2:G529,G529,$A$2:A529,A529)=1,1,0)</f>
        <v>0</v>
      </c>
    </row>
    <row r="530" customFormat="false" ht="15" hidden="false" customHeight="false" outlineLevel="0" collapsed="false">
      <c r="A530" s="2" t="s">
        <v>11221</v>
      </c>
      <c r="B530" s="2" t="s">
        <v>11253</v>
      </c>
      <c r="C530" s="2" t="s">
        <v>11247</v>
      </c>
      <c r="D530" s="2" t="s">
        <v>11248</v>
      </c>
      <c r="E530" s="2" t="s">
        <v>10050</v>
      </c>
      <c r="F530" s="2" t="s">
        <v>11254</v>
      </c>
      <c r="G530" s="2" t="str">
        <f aca="false">LEFT(C530,3)</f>
        <v>734</v>
      </c>
      <c r="H530" s="16" t="n">
        <v>0.25</v>
      </c>
      <c r="I530" s="2" t="s">
        <v>10025</v>
      </c>
      <c r="J530" s="2" t="n">
        <f aca="false">IF(COUNTIFS($G$2:G530,G530,$A$2:A530,A530)=1,1,0)</f>
        <v>1</v>
      </c>
    </row>
    <row r="531" customFormat="false" ht="15" hidden="false" customHeight="false" outlineLevel="0" collapsed="false">
      <c r="A531" s="2" t="s">
        <v>11221</v>
      </c>
      <c r="B531" s="2" t="s">
        <v>11253</v>
      </c>
      <c r="C531" s="2" t="s">
        <v>11255</v>
      </c>
      <c r="D531" s="2" t="s">
        <v>11256</v>
      </c>
      <c r="E531" s="2"/>
      <c r="F531" s="2"/>
      <c r="G531" s="2" t="str">
        <f aca="false">LEFT(C531,3)</f>
        <v>734</v>
      </c>
      <c r="H531" s="16" t="n">
        <v>0.25</v>
      </c>
      <c r="I531" s="2" t="s">
        <v>10025</v>
      </c>
      <c r="J531" s="2" t="n">
        <f aca="false">IF(COUNTIFS($G$2:G531,G531,$A$2:A531,A531)=1,1,0)</f>
        <v>0</v>
      </c>
    </row>
    <row r="532" customFormat="false" ht="15" hidden="false" customHeight="false" outlineLevel="0" collapsed="false">
      <c r="A532" s="2" t="s">
        <v>11221</v>
      </c>
      <c r="B532" s="2" t="s">
        <v>11253</v>
      </c>
      <c r="C532" s="2" t="s">
        <v>10534</v>
      </c>
      <c r="D532" s="2" t="s">
        <v>10535</v>
      </c>
      <c r="E532" s="2" t="s">
        <v>10050</v>
      </c>
      <c r="F532" s="2"/>
      <c r="G532" s="2" t="str">
        <f aca="false">LEFT(C532,3)</f>
        <v>825</v>
      </c>
      <c r="H532" s="16" t="n">
        <v>0.25</v>
      </c>
      <c r="I532" s="2" t="s">
        <v>10025</v>
      </c>
      <c r="J532" s="2" t="n">
        <f aca="false">IF(COUNTIFS($G$2:G532,G532,$A$2:A532,A532)=1,1,0)</f>
        <v>1</v>
      </c>
    </row>
    <row r="533" customFormat="false" ht="15" hidden="false" customHeight="false" outlineLevel="0" collapsed="false">
      <c r="A533" s="2" t="s">
        <v>11226</v>
      </c>
      <c r="B533" s="2" t="s">
        <v>11257</v>
      </c>
      <c r="C533" s="2" t="s">
        <v>11258</v>
      </c>
      <c r="D533" s="2" t="s">
        <v>11259</v>
      </c>
      <c r="E533" s="2"/>
      <c r="F533" s="2"/>
      <c r="G533" s="2" t="str">
        <f aca="false">LEFT(C533,3)</f>
        <v>734</v>
      </c>
      <c r="H533" s="16" t="n">
        <v>0.22</v>
      </c>
      <c r="I533" s="2" t="s">
        <v>10025</v>
      </c>
      <c r="J533" s="2" t="n">
        <f aca="false">IF(COUNTIFS($G$2:G533,G533,$A$2:A533,A533)=1,1,0)</f>
        <v>1</v>
      </c>
    </row>
    <row r="534" customFormat="false" ht="15" hidden="false" customHeight="false" outlineLevel="0" collapsed="false">
      <c r="A534" s="2" t="s">
        <v>11226</v>
      </c>
      <c r="B534" s="2" t="s">
        <v>11257</v>
      </c>
      <c r="C534" s="2" t="s">
        <v>10536</v>
      </c>
      <c r="D534" s="2" t="s">
        <v>10537</v>
      </c>
      <c r="E534" s="2" t="s">
        <v>10050</v>
      </c>
      <c r="F534" s="2"/>
      <c r="G534" s="2" t="str">
        <f aca="false">LEFT(C534,3)</f>
        <v>825</v>
      </c>
      <c r="H534" s="16" t="n">
        <v>0.22</v>
      </c>
      <c r="I534" s="2" t="s">
        <v>10025</v>
      </c>
      <c r="J534" s="2" t="n">
        <f aca="false">IF(COUNTIFS($G$2:G534,G534,$A$2:A534,A534)=1,1,0)</f>
        <v>1</v>
      </c>
    </row>
    <row r="535" customFormat="false" ht="15" hidden="false" customHeight="false" outlineLevel="0" collapsed="false">
      <c r="A535" s="2" t="s">
        <v>11260</v>
      </c>
      <c r="B535" s="2" t="s">
        <v>11261</v>
      </c>
      <c r="C535" s="2" t="s">
        <v>11262</v>
      </c>
      <c r="D535" s="2" t="s">
        <v>11263</v>
      </c>
      <c r="E535" s="2"/>
      <c r="F535" s="2"/>
      <c r="G535" s="2" t="str">
        <f aca="false">LEFT(C535,3)</f>
        <v>713</v>
      </c>
      <c r="H535" s="16" t="n">
        <v>0.19</v>
      </c>
      <c r="I535" s="2" t="s">
        <v>10025</v>
      </c>
      <c r="J535" s="2" t="n">
        <f aca="false">IF(COUNTIFS($G$2:G535,G535,$A$2:A535,A535)=1,1,0)</f>
        <v>1</v>
      </c>
    </row>
    <row r="536" customFormat="false" ht="15" hidden="false" customHeight="false" outlineLevel="0" collapsed="false">
      <c r="A536" s="2" t="s">
        <v>11264</v>
      </c>
      <c r="B536" s="2" t="s">
        <v>11265</v>
      </c>
      <c r="C536" s="2" t="s">
        <v>11266</v>
      </c>
      <c r="D536" s="2" t="s">
        <v>11267</v>
      </c>
      <c r="E536" s="2"/>
      <c r="F536" s="2"/>
      <c r="G536" s="2" t="str">
        <f aca="false">LEFT(C536,3)</f>
        <v>724</v>
      </c>
      <c r="H536" s="16" t="n">
        <v>0.17</v>
      </c>
      <c r="I536" s="2" t="s">
        <v>10025</v>
      </c>
      <c r="J536" s="2" t="n">
        <f aca="false">IF(COUNTIFS($G$2:G536,G536,$A$2:A536,A536)=1,1,0)</f>
        <v>1</v>
      </c>
    </row>
    <row r="537" customFormat="false" ht="15" hidden="false" customHeight="false" outlineLevel="0" collapsed="false">
      <c r="A537" s="2" t="s">
        <v>11268</v>
      </c>
      <c r="B537" s="2" t="s">
        <v>11269</v>
      </c>
      <c r="C537" s="2" t="s">
        <v>11270</v>
      </c>
      <c r="D537" s="2" t="s">
        <v>11271</v>
      </c>
      <c r="E537" s="2" t="s">
        <v>10050</v>
      </c>
      <c r="F537" s="2"/>
      <c r="G537" s="2" t="str">
        <f aca="false">LEFT(C537,3)</f>
        <v>724</v>
      </c>
      <c r="H537" s="16" t="n">
        <v>0.15</v>
      </c>
      <c r="I537" s="2" t="s">
        <v>10025</v>
      </c>
      <c r="J537" s="2" t="n">
        <f aca="false">IF(COUNTIFS($G$2:G537,G537,$A$2:A537,A537)=1,1,0)</f>
        <v>1</v>
      </c>
    </row>
    <row r="538" customFormat="false" ht="15" hidden="false" customHeight="false" outlineLevel="0" collapsed="false">
      <c r="A538" s="2" t="s">
        <v>11272</v>
      </c>
      <c r="B538" s="2" t="s">
        <v>11273</v>
      </c>
      <c r="C538" s="2" t="s">
        <v>11274</v>
      </c>
      <c r="D538" s="2" t="s">
        <v>11275</v>
      </c>
      <c r="E538" s="2" t="s">
        <v>10050</v>
      </c>
      <c r="F538" s="2"/>
      <c r="G538" s="2" t="str">
        <f aca="false">LEFT(C538,3)</f>
        <v>724</v>
      </c>
      <c r="H538" s="16" t="n">
        <v>0.25</v>
      </c>
      <c r="I538" s="2" t="s">
        <v>10025</v>
      </c>
      <c r="J538" s="2" t="n">
        <f aca="false">IF(COUNTIFS($G$2:G538,G538,$A$2:A538,A538)=1,1,0)</f>
        <v>1</v>
      </c>
    </row>
    <row r="539" customFormat="false" ht="15" hidden="false" customHeight="false" outlineLevel="0" collapsed="false">
      <c r="A539" s="2" t="s">
        <v>11272</v>
      </c>
      <c r="B539" s="2" t="s">
        <v>11273</v>
      </c>
      <c r="C539" s="2" t="s">
        <v>11276</v>
      </c>
      <c r="D539" s="2" t="s">
        <v>11277</v>
      </c>
      <c r="E539" s="2" t="s">
        <v>10050</v>
      </c>
      <c r="F539" s="2"/>
      <c r="G539" s="2" t="str">
        <f aca="false">LEFT(C539,3)</f>
        <v>724</v>
      </c>
      <c r="H539" s="16" t="n">
        <v>0.25</v>
      </c>
      <c r="I539" s="2" t="s">
        <v>10025</v>
      </c>
      <c r="J539" s="2" t="n">
        <f aca="false">IF(COUNTIFS($G$2:G539,G539,$A$2:A539,A539)=1,1,0)</f>
        <v>0</v>
      </c>
    </row>
    <row r="540" customFormat="false" ht="15" hidden="false" customHeight="false" outlineLevel="0" collapsed="false">
      <c r="A540" s="2" t="s">
        <v>11278</v>
      </c>
      <c r="B540" s="2" t="s">
        <v>11279</v>
      </c>
      <c r="C540" s="2" t="s">
        <v>11274</v>
      </c>
      <c r="D540" s="2" t="s">
        <v>11275</v>
      </c>
      <c r="E540" s="2" t="s">
        <v>10050</v>
      </c>
      <c r="F540" s="2"/>
      <c r="G540" s="2" t="str">
        <f aca="false">LEFT(C540,3)</f>
        <v>724</v>
      </c>
      <c r="H540" s="16" t="n">
        <v>0.24</v>
      </c>
      <c r="I540" s="2" t="s">
        <v>10025</v>
      </c>
      <c r="J540" s="2" t="n">
        <f aca="false">IF(COUNTIFS($G$2:G540,G540,$A$2:A540,A540)=1,1,0)</f>
        <v>1</v>
      </c>
    </row>
    <row r="541" customFormat="false" ht="15" hidden="false" customHeight="false" outlineLevel="0" collapsed="false">
      <c r="A541" s="2" t="s">
        <v>11278</v>
      </c>
      <c r="B541" s="2" t="s">
        <v>11279</v>
      </c>
      <c r="C541" s="2" t="s">
        <v>11276</v>
      </c>
      <c r="D541" s="2" t="s">
        <v>11277</v>
      </c>
      <c r="E541" s="2" t="s">
        <v>10050</v>
      </c>
      <c r="F541" s="2"/>
      <c r="G541" s="2" t="str">
        <f aca="false">LEFT(C541,3)</f>
        <v>724</v>
      </c>
      <c r="H541" s="16" t="n">
        <v>0.24</v>
      </c>
      <c r="I541" s="2" t="s">
        <v>10025</v>
      </c>
      <c r="J541" s="2" t="n">
        <f aca="false">IF(COUNTIFS($G$2:G541,G541,$A$2:A541,A541)=1,1,0)</f>
        <v>0</v>
      </c>
    </row>
    <row r="542" customFormat="false" ht="15" hidden="false" customHeight="false" outlineLevel="0" collapsed="false">
      <c r="A542" s="2" t="s">
        <v>11278</v>
      </c>
      <c r="B542" s="2" t="s">
        <v>11279</v>
      </c>
      <c r="C542" s="2" t="s">
        <v>11280</v>
      </c>
      <c r="D542" s="2" t="s">
        <v>11281</v>
      </c>
      <c r="E542" s="2"/>
      <c r="F542" s="2"/>
      <c r="G542" s="2" t="str">
        <f aca="false">LEFT(C542,3)</f>
        <v>724</v>
      </c>
      <c r="H542" s="16" t="n">
        <v>0.24</v>
      </c>
      <c r="I542" s="2" t="s">
        <v>10025</v>
      </c>
      <c r="J542" s="2" t="n">
        <f aca="false">IF(COUNTIFS($G$2:G542,G542,$A$2:A542,A542)=1,1,0)</f>
        <v>0</v>
      </c>
    </row>
    <row r="543" customFormat="false" ht="15" hidden="false" customHeight="false" outlineLevel="0" collapsed="false">
      <c r="A543" s="2" t="s">
        <v>11278</v>
      </c>
      <c r="B543" s="2" t="s">
        <v>11279</v>
      </c>
      <c r="C543" s="2" t="s">
        <v>11270</v>
      </c>
      <c r="D543" s="2" t="s">
        <v>11271</v>
      </c>
      <c r="E543" s="2" t="s">
        <v>10050</v>
      </c>
      <c r="F543" s="2"/>
      <c r="G543" s="2" t="str">
        <f aca="false">LEFT(C543,3)</f>
        <v>724</v>
      </c>
      <c r="H543" s="16" t="n">
        <v>0.24</v>
      </c>
      <c r="I543" s="2" t="s">
        <v>10025</v>
      </c>
      <c r="J543" s="2" t="n">
        <f aca="false">IF(COUNTIFS($G$2:G543,G543,$A$2:A543,A543)=1,1,0)</f>
        <v>0</v>
      </c>
    </row>
    <row r="544" customFormat="false" ht="15" hidden="false" customHeight="false" outlineLevel="0" collapsed="false">
      <c r="A544" s="2" t="s">
        <v>11282</v>
      </c>
      <c r="B544" s="2" t="s">
        <v>11283</v>
      </c>
      <c r="C544" s="2" t="s">
        <v>11260</v>
      </c>
      <c r="D544" s="2" t="s">
        <v>11284</v>
      </c>
      <c r="E544" s="2"/>
      <c r="F544" s="2"/>
      <c r="G544" s="2" t="str">
        <f aca="false">LEFT(C544,3)</f>
        <v>741</v>
      </c>
      <c r="H544" s="16" t="n">
        <v>0.13</v>
      </c>
      <c r="I544" s="2" t="s">
        <v>10025</v>
      </c>
      <c r="J544" s="2" t="n">
        <f aca="false">IF(COUNTIFS($G$2:G544,G544,$A$2:A544,A544)=1,1,0)</f>
        <v>1</v>
      </c>
    </row>
    <row r="545" customFormat="false" ht="15" hidden="false" customHeight="false" outlineLevel="0" collapsed="false">
      <c r="A545" s="2" t="s">
        <v>11285</v>
      </c>
      <c r="B545" s="2" t="s">
        <v>11286</v>
      </c>
      <c r="C545" s="2" t="s">
        <v>11264</v>
      </c>
      <c r="D545" s="2" t="s">
        <v>11287</v>
      </c>
      <c r="E545" s="2"/>
      <c r="F545" s="2"/>
      <c r="G545" s="2" t="str">
        <f aca="false">LEFT(C545,3)</f>
        <v>741</v>
      </c>
      <c r="H545" s="16" t="n">
        <v>0.17</v>
      </c>
      <c r="I545" s="2" t="s">
        <v>10025</v>
      </c>
      <c r="J545" s="2" t="n">
        <f aca="false">IF(COUNTIFS($G$2:G545,G545,$A$2:A545,A545)=1,1,0)</f>
        <v>1</v>
      </c>
    </row>
    <row r="546" customFormat="false" ht="15" hidden="false" customHeight="false" outlineLevel="0" collapsed="false">
      <c r="A546" s="2" t="s">
        <v>11288</v>
      </c>
      <c r="B546" s="2" t="s">
        <v>11289</v>
      </c>
      <c r="C546" s="2" t="s">
        <v>11268</v>
      </c>
      <c r="D546" s="2" t="s">
        <v>11290</v>
      </c>
      <c r="E546" s="2"/>
      <c r="F546" s="2"/>
      <c r="G546" s="2" t="str">
        <f aca="false">LEFT(C546,3)</f>
        <v>741</v>
      </c>
      <c r="H546" s="16" t="n">
        <v>0.22</v>
      </c>
      <c r="I546" s="2" t="s">
        <v>10025</v>
      </c>
      <c r="J546" s="2" t="n">
        <f aca="false">IF(COUNTIFS($G$2:G546,G546,$A$2:A546,A546)=1,1,0)</f>
        <v>1</v>
      </c>
    </row>
    <row r="547" customFormat="false" ht="15" hidden="false" customHeight="false" outlineLevel="0" collapsed="false">
      <c r="A547" s="2" t="s">
        <v>11291</v>
      </c>
      <c r="B547" s="2" t="s">
        <v>11292</v>
      </c>
      <c r="C547" s="2" t="s">
        <v>11293</v>
      </c>
      <c r="D547" s="2" t="s">
        <v>11294</v>
      </c>
      <c r="E547" s="2"/>
      <c r="F547" s="2"/>
      <c r="G547" s="2" t="str">
        <f aca="false">LEFT(C547,3)</f>
        <v>741</v>
      </c>
      <c r="H547" s="16" t="n">
        <v>0.15</v>
      </c>
      <c r="I547" s="2" t="s">
        <v>10025</v>
      </c>
      <c r="J547" s="2" t="n">
        <f aca="false">IF(COUNTIFS($G$2:G547,G547,$A$2:A547,A547)=1,1,0)</f>
        <v>1</v>
      </c>
    </row>
    <row r="548" customFormat="false" ht="15" hidden="false" customHeight="false" outlineLevel="0" collapsed="false">
      <c r="A548" s="2" t="s">
        <v>11295</v>
      </c>
      <c r="B548" s="2" t="s">
        <v>11296</v>
      </c>
      <c r="C548" s="2" t="s">
        <v>11297</v>
      </c>
      <c r="D548" s="2" t="s">
        <v>11298</v>
      </c>
      <c r="E548" s="2"/>
      <c r="F548" s="2"/>
      <c r="G548" s="2" t="str">
        <f aca="false">LEFT(C548,3)</f>
        <v>741</v>
      </c>
      <c r="H548" s="16" t="n">
        <v>0.31</v>
      </c>
      <c r="I548" s="2" t="s">
        <v>10030</v>
      </c>
      <c r="J548" s="2" t="n">
        <f aca="false">IF(COUNTIFS($G$2:G548,G548,$A$2:A548,A548)=1,1,0)</f>
        <v>1</v>
      </c>
    </row>
    <row r="549" customFormat="false" ht="15" hidden="false" customHeight="false" outlineLevel="0" collapsed="false">
      <c r="A549" s="2" t="s">
        <v>11299</v>
      </c>
      <c r="B549" s="2" t="s">
        <v>11300</v>
      </c>
      <c r="C549" s="2" t="s">
        <v>11301</v>
      </c>
      <c r="D549" s="2" t="s">
        <v>11302</v>
      </c>
      <c r="E549" s="2"/>
      <c r="F549" s="2"/>
      <c r="G549" s="2" t="str">
        <f aca="false">LEFT(C549,3)</f>
        <v>741</v>
      </c>
      <c r="H549" s="16" t="n">
        <v>0.14</v>
      </c>
      <c r="I549" s="2" t="s">
        <v>10025</v>
      </c>
      <c r="J549" s="2" t="n">
        <f aca="false">IF(COUNTIFS($G$2:G549,G549,$A$2:A549,A549)=1,1,0)</f>
        <v>1</v>
      </c>
    </row>
    <row r="550" customFormat="false" ht="15" hidden="false" customHeight="false" outlineLevel="0" collapsed="false">
      <c r="A550" s="2" t="s">
        <v>11303</v>
      </c>
      <c r="B550" s="2" t="s">
        <v>11304</v>
      </c>
      <c r="C550" s="2" t="s">
        <v>11272</v>
      </c>
      <c r="D550" s="2" t="s">
        <v>11305</v>
      </c>
      <c r="E550" s="2"/>
      <c r="F550" s="2"/>
      <c r="G550" s="2" t="str">
        <f aca="false">LEFT(C550,3)</f>
        <v>742</v>
      </c>
      <c r="H550" s="16" t="n">
        <v>0.22</v>
      </c>
      <c r="I550" s="2" t="s">
        <v>10025</v>
      </c>
      <c r="J550" s="2" t="n">
        <f aca="false">IF(COUNTIFS($G$2:G550,G550,$A$2:A550,A550)=1,1,0)</f>
        <v>1</v>
      </c>
    </row>
    <row r="551" customFormat="false" ht="15" hidden="false" customHeight="false" outlineLevel="0" collapsed="false">
      <c r="A551" s="2" t="s">
        <v>11306</v>
      </c>
      <c r="B551" s="2" t="s">
        <v>11307</v>
      </c>
      <c r="C551" s="2" t="s">
        <v>11278</v>
      </c>
      <c r="D551" s="2" t="s">
        <v>11308</v>
      </c>
      <c r="E551" s="2"/>
      <c r="F551" s="2"/>
      <c r="G551" s="2" t="str">
        <f aca="false">LEFT(C551,3)</f>
        <v>742</v>
      </c>
      <c r="H551" s="16" t="n">
        <v>0.16</v>
      </c>
      <c r="I551" s="2" t="s">
        <v>10025</v>
      </c>
      <c r="J551" s="2" t="n">
        <f aca="false">IF(COUNTIFS($G$2:G551,G551,$A$2:A551,A551)=1,1,0)</f>
        <v>1</v>
      </c>
    </row>
    <row r="552" customFormat="false" ht="15" hidden="false" customHeight="false" outlineLevel="0" collapsed="false">
      <c r="A552" s="2" t="s">
        <v>11309</v>
      </c>
      <c r="B552" s="2" t="s">
        <v>11310</v>
      </c>
      <c r="C552" s="2" t="s">
        <v>11311</v>
      </c>
      <c r="D552" s="2" t="s">
        <v>11312</v>
      </c>
      <c r="E552" s="2"/>
      <c r="F552" s="2"/>
      <c r="G552" s="2" t="str">
        <f aca="false">LEFT(C552,3)</f>
        <v>742</v>
      </c>
      <c r="H552" s="16" t="n">
        <v>0.22</v>
      </c>
      <c r="I552" s="2" t="s">
        <v>10025</v>
      </c>
      <c r="J552" s="2" t="n">
        <f aca="false">IF(COUNTIFS($G$2:G552,G552,$A$2:A552,A552)=1,1,0)</f>
        <v>1</v>
      </c>
    </row>
    <row r="553" customFormat="false" ht="15" hidden="false" customHeight="false" outlineLevel="0" collapsed="false">
      <c r="A553" s="2" t="s">
        <v>11309</v>
      </c>
      <c r="B553" s="2" t="s">
        <v>11310</v>
      </c>
      <c r="C553" s="2" t="s">
        <v>10532</v>
      </c>
      <c r="D553" s="2" t="s">
        <v>10533</v>
      </c>
      <c r="E553" s="2" t="s">
        <v>10050</v>
      </c>
      <c r="F553" s="2"/>
      <c r="G553" s="2" t="str">
        <f aca="false">LEFT(C553,3)</f>
        <v>824</v>
      </c>
      <c r="H553" s="16" t="n">
        <v>0.22</v>
      </c>
      <c r="I553" s="2" t="s">
        <v>10025</v>
      </c>
      <c r="J553" s="2" t="n">
        <f aca="false">IF(COUNTIFS($G$2:G553,G553,$A$2:A553,A553)=1,1,0)</f>
        <v>1</v>
      </c>
    </row>
    <row r="554" customFormat="false" ht="15" hidden="false" customHeight="false" outlineLevel="0" collapsed="false">
      <c r="A554" s="2" t="s">
        <v>11313</v>
      </c>
      <c r="B554" s="2" t="s">
        <v>11314</v>
      </c>
      <c r="C554" s="2" t="s">
        <v>11315</v>
      </c>
      <c r="D554" s="2" t="s">
        <v>11316</v>
      </c>
      <c r="E554" s="2"/>
      <c r="F554" s="2"/>
      <c r="G554" s="2" t="str">
        <f aca="false">LEFT(C554,3)</f>
        <v>743</v>
      </c>
      <c r="H554" s="16" t="n">
        <v>0.15</v>
      </c>
      <c r="I554" s="2" t="s">
        <v>10025</v>
      </c>
      <c r="J554" s="2" t="n">
        <f aca="false">IF(COUNTIFS($G$2:G554,G554,$A$2:A554,A554)=1,1,0)</f>
        <v>1</v>
      </c>
    </row>
    <row r="555" customFormat="false" ht="15" hidden="false" customHeight="false" outlineLevel="0" collapsed="false">
      <c r="A555" s="2" t="s">
        <v>11313</v>
      </c>
      <c r="B555" s="2" t="s">
        <v>11314</v>
      </c>
      <c r="C555" s="2" t="s">
        <v>11317</v>
      </c>
      <c r="D555" s="2" t="s">
        <v>11318</v>
      </c>
      <c r="E555" s="2"/>
      <c r="F555" s="2"/>
      <c r="G555" s="2" t="str">
        <f aca="false">LEFT(C555,3)</f>
        <v>743</v>
      </c>
      <c r="H555" s="16" t="n">
        <v>0.15</v>
      </c>
      <c r="I555" s="2" t="s">
        <v>10025</v>
      </c>
      <c r="J555" s="2" t="n">
        <f aca="false">IF(COUNTIFS($G$2:G555,G555,$A$2:A555,A555)=1,1,0)</f>
        <v>0</v>
      </c>
    </row>
    <row r="556" customFormat="false" ht="15" hidden="false" customHeight="false" outlineLevel="0" collapsed="false">
      <c r="A556" s="2" t="s">
        <v>11319</v>
      </c>
      <c r="B556" s="2" t="s">
        <v>11320</v>
      </c>
      <c r="C556" s="2" t="s">
        <v>11321</v>
      </c>
      <c r="D556" s="2" t="s">
        <v>11322</v>
      </c>
      <c r="E556" s="2"/>
      <c r="F556" s="2"/>
      <c r="G556" s="2" t="str">
        <f aca="false">LEFT(C556,3)</f>
        <v>743</v>
      </c>
      <c r="H556" s="16" t="n">
        <v>0.17</v>
      </c>
      <c r="I556" s="2" t="s">
        <v>10025</v>
      </c>
      <c r="J556" s="2" t="n">
        <f aca="false">IF(COUNTIFS($G$2:G556,G556,$A$2:A556,A556)=1,1,0)</f>
        <v>1</v>
      </c>
    </row>
    <row r="557" customFormat="false" ht="15" hidden="false" customHeight="false" outlineLevel="0" collapsed="false">
      <c r="A557" s="2" t="s">
        <v>11323</v>
      </c>
      <c r="B557" s="2" t="s">
        <v>11324</v>
      </c>
      <c r="C557" s="2" t="s">
        <v>11325</v>
      </c>
      <c r="D557" s="2" t="s">
        <v>11326</v>
      </c>
      <c r="E557" s="2"/>
      <c r="F557" s="2"/>
      <c r="G557" s="2" t="str">
        <f aca="false">LEFT(C557,3)</f>
        <v>743</v>
      </c>
      <c r="H557" s="16" t="n">
        <v>0.12</v>
      </c>
      <c r="I557" s="2" t="s">
        <v>10025</v>
      </c>
      <c r="J557" s="2" t="n">
        <f aca="false">IF(COUNTIFS($G$2:G557,G557,$A$2:A557,A557)=1,1,0)</f>
        <v>1</v>
      </c>
    </row>
    <row r="558" customFormat="false" ht="15" hidden="false" customHeight="false" outlineLevel="0" collapsed="false">
      <c r="A558" s="2" t="s">
        <v>11327</v>
      </c>
      <c r="B558" s="2" t="s">
        <v>11328</v>
      </c>
      <c r="C558" s="2" t="s">
        <v>11329</v>
      </c>
      <c r="D558" s="2" t="s">
        <v>11330</v>
      </c>
      <c r="E558" s="2"/>
      <c r="F558" s="2"/>
      <c r="G558" s="2" t="str">
        <f aca="false">LEFT(C558,3)</f>
        <v>743</v>
      </c>
      <c r="H558" s="16" t="n">
        <v>0.18</v>
      </c>
      <c r="I558" s="2" t="s">
        <v>10025</v>
      </c>
      <c r="J558" s="2" t="n">
        <f aca="false">IF(COUNTIFS($G$2:G558,G558,$A$2:A558,A558)=1,1,0)</f>
        <v>1</v>
      </c>
    </row>
    <row r="559" customFormat="false" ht="15" hidden="false" customHeight="false" outlineLevel="0" collapsed="false">
      <c r="A559" s="2" t="s">
        <v>11331</v>
      </c>
      <c r="B559" s="2" t="s">
        <v>11332</v>
      </c>
      <c r="C559" s="2" t="s">
        <v>11333</v>
      </c>
      <c r="D559" s="2" t="s">
        <v>11334</v>
      </c>
      <c r="E559" s="2"/>
      <c r="F559" s="2"/>
      <c r="G559" s="2" t="str">
        <f aca="false">LEFT(C559,3)</f>
        <v>744</v>
      </c>
      <c r="H559" s="16" t="n">
        <v>0.11</v>
      </c>
      <c r="I559" s="2" t="s">
        <v>10025</v>
      </c>
      <c r="J559" s="2" t="n">
        <f aca="false">IF(COUNTIFS($G$2:G559,G559,$A$2:A559,A559)=1,1,0)</f>
        <v>1</v>
      </c>
    </row>
    <row r="560" customFormat="false" ht="15" hidden="false" customHeight="false" outlineLevel="0" collapsed="false">
      <c r="A560" s="2" t="s">
        <v>11335</v>
      </c>
      <c r="B560" s="2" t="s">
        <v>11336</v>
      </c>
      <c r="C560" s="2" t="s">
        <v>11337</v>
      </c>
      <c r="D560" s="2" t="s">
        <v>11338</v>
      </c>
      <c r="E560" s="2"/>
      <c r="F560" s="2"/>
      <c r="G560" s="2" t="str">
        <f aca="false">LEFT(C560,3)</f>
        <v>744</v>
      </c>
      <c r="H560" s="16" t="n">
        <v>0.17</v>
      </c>
      <c r="I560" s="2" t="s">
        <v>10025</v>
      </c>
      <c r="J560" s="2" t="n">
        <f aca="false">IF(COUNTIFS($G$2:G560,G560,$A$2:A560,A560)=1,1,0)</f>
        <v>1</v>
      </c>
    </row>
    <row r="561" customFormat="false" ht="15" hidden="false" customHeight="false" outlineLevel="0" collapsed="false">
      <c r="A561" s="2" t="s">
        <v>11339</v>
      </c>
      <c r="B561" s="2" t="s">
        <v>11340</v>
      </c>
      <c r="C561" s="2" t="s">
        <v>11100</v>
      </c>
      <c r="D561" s="2" t="s">
        <v>11101</v>
      </c>
      <c r="E561" s="2" t="s">
        <v>10050</v>
      </c>
      <c r="F561" s="2" t="s">
        <v>11341</v>
      </c>
      <c r="G561" s="2" t="str">
        <f aca="false">LEFT(C561,3)</f>
        <v>615</v>
      </c>
      <c r="H561" s="16" t="n">
        <v>0.16</v>
      </c>
      <c r="I561" s="2" t="s">
        <v>10025</v>
      </c>
      <c r="J561" s="2" t="n">
        <f aca="false">IF(COUNTIFS($G$2:G561,G561,$A$2:A561,A561)=1,1,0)</f>
        <v>1</v>
      </c>
    </row>
    <row r="562" customFormat="false" ht="15" hidden="false" customHeight="false" outlineLevel="0" collapsed="false">
      <c r="A562" s="2" t="s">
        <v>11339</v>
      </c>
      <c r="B562" s="2" t="s">
        <v>11340</v>
      </c>
      <c r="C562" s="2" t="s">
        <v>11342</v>
      </c>
      <c r="D562" s="2" t="s">
        <v>11343</v>
      </c>
      <c r="E562" s="2"/>
      <c r="F562" s="2"/>
      <c r="G562" s="2" t="str">
        <f aca="false">LEFT(C562,3)</f>
        <v>721</v>
      </c>
      <c r="H562" s="16" t="n">
        <v>0.16</v>
      </c>
      <c r="I562" s="2" t="s">
        <v>10025</v>
      </c>
      <c r="J562" s="2" t="n">
        <f aca="false">IF(COUNTIFS($G$2:G562,G562,$A$2:A562,A562)=1,1,0)</f>
        <v>1</v>
      </c>
    </row>
    <row r="563" customFormat="false" ht="15" hidden="false" customHeight="false" outlineLevel="0" collapsed="false">
      <c r="A563" s="2" t="s">
        <v>11344</v>
      </c>
      <c r="B563" s="2" t="s">
        <v>11345</v>
      </c>
      <c r="C563" s="2" t="s">
        <v>11124</v>
      </c>
      <c r="D563" s="2" t="s">
        <v>11346</v>
      </c>
      <c r="E563" s="2"/>
      <c r="F563" s="2" t="s">
        <v>11347</v>
      </c>
      <c r="G563" s="2" t="str">
        <f aca="false">LEFT(C563,3)</f>
        <v>711</v>
      </c>
      <c r="H563" s="16" t="n">
        <v>0.12</v>
      </c>
      <c r="I563" s="2" t="s">
        <v>10025</v>
      </c>
      <c r="J563" s="2" t="n">
        <f aca="false">IF(COUNTIFS($G$2:G563,G563,$A$2:A563,A563)=1,1,0)</f>
        <v>1</v>
      </c>
    </row>
    <row r="564" customFormat="false" ht="15" hidden="false" customHeight="false" outlineLevel="0" collapsed="false">
      <c r="A564" s="2" t="s">
        <v>11348</v>
      </c>
      <c r="B564" s="2" t="s">
        <v>11349</v>
      </c>
      <c r="C564" s="2" t="s">
        <v>10281</v>
      </c>
      <c r="D564" s="2" t="s">
        <v>10282</v>
      </c>
      <c r="E564" s="2" t="s">
        <v>10050</v>
      </c>
      <c r="F564" s="2" t="s">
        <v>11350</v>
      </c>
      <c r="G564" s="2" t="str">
        <f aca="false">LEFT(C564,3)</f>
        <v>315</v>
      </c>
      <c r="H564" s="16" t="n">
        <v>0.31</v>
      </c>
      <c r="I564" s="2" t="s">
        <v>10030</v>
      </c>
      <c r="J564" s="2" t="n">
        <f aca="false">IF(COUNTIFS($G$2:G564,G564,$A$2:A564,A564)=1,1,0)</f>
        <v>1</v>
      </c>
    </row>
    <row r="565" customFormat="false" ht="15" hidden="false" customHeight="false" outlineLevel="0" collapsed="false">
      <c r="A565" s="2" t="s">
        <v>11351</v>
      </c>
      <c r="B565" s="2" t="s">
        <v>11352</v>
      </c>
      <c r="C565" s="2" t="s">
        <v>11170</v>
      </c>
      <c r="D565" s="2" t="s">
        <v>11171</v>
      </c>
      <c r="E565" s="2" t="s">
        <v>10050</v>
      </c>
      <c r="F565" s="2" t="s">
        <v>11353</v>
      </c>
      <c r="G565" s="2" t="str">
        <f aca="false">LEFT(C565,3)</f>
        <v>714</v>
      </c>
      <c r="H565" s="16" t="n">
        <v>0.13</v>
      </c>
      <c r="I565" s="2" t="s">
        <v>10025</v>
      </c>
      <c r="J565" s="2" t="n">
        <f aca="false">IF(COUNTIFS($G$2:G565,G565,$A$2:A565,A565)=1,1,0)</f>
        <v>1</v>
      </c>
    </row>
    <row r="566" customFormat="false" ht="15" hidden="false" customHeight="false" outlineLevel="0" collapsed="false">
      <c r="A566" s="2" t="s">
        <v>11354</v>
      </c>
      <c r="B566" s="2" t="s">
        <v>11355</v>
      </c>
      <c r="C566" s="2" t="s">
        <v>11221</v>
      </c>
      <c r="D566" s="2" t="s">
        <v>11222</v>
      </c>
      <c r="E566" s="2" t="s">
        <v>10050</v>
      </c>
      <c r="F566" s="2" t="s">
        <v>11356</v>
      </c>
      <c r="G566" s="2" t="str">
        <f aca="false">LEFT(C566,3)</f>
        <v>732</v>
      </c>
      <c r="H566" s="16" t="n">
        <v>0.14</v>
      </c>
      <c r="I566" s="2" t="s">
        <v>10025</v>
      </c>
      <c r="J566" s="2" t="n">
        <f aca="false">IF(COUNTIFS($G$2:G566,G566,$A$2:A566,A566)=1,1,0)</f>
        <v>1</v>
      </c>
    </row>
    <row r="567" customFormat="false" ht="15" hidden="false" customHeight="false" outlineLevel="0" collapsed="false">
      <c r="A567" s="2" t="s">
        <v>10506</v>
      </c>
      <c r="B567" s="2" t="s">
        <v>11357</v>
      </c>
      <c r="C567" s="2" t="s">
        <v>10504</v>
      </c>
      <c r="D567" s="2" t="s">
        <v>10505</v>
      </c>
      <c r="E567" s="2" t="s">
        <v>10050</v>
      </c>
      <c r="F567" s="2"/>
      <c r="G567" s="2" t="str">
        <f aca="false">LEFT(C567,3)</f>
        <v>711</v>
      </c>
      <c r="H567" s="16" t="n">
        <v>0.17</v>
      </c>
      <c r="I567" s="2" t="s">
        <v>10025</v>
      </c>
      <c r="J567" s="2" t="n">
        <f aca="false">IF(COUNTIFS($G$2:G567,G567,$A$2:A567,A567)=1,1,0)</f>
        <v>1</v>
      </c>
    </row>
    <row r="568" customFormat="false" ht="15" hidden="false" customHeight="false" outlineLevel="0" collapsed="false">
      <c r="A568" s="2" t="s">
        <v>10506</v>
      </c>
      <c r="B568" s="2" t="s">
        <v>11357</v>
      </c>
      <c r="C568" s="2" t="s">
        <v>10506</v>
      </c>
      <c r="D568" s="2" t="s">
        <v>10507</v>
      </c>
      <c r="E568" s="2" t="s">
        <v>10050</v>
      </c>
      <c r="F568" s="2"/>
      <c r="G568" s="2" t="str">
        <f aca="false">LEFT(C568,3)</f>
        <v>811</v>
      </c>
      <c r="H568" s="16" t="n">
        <v>0.17</v>
      </c>
      <c r="I568" s="2" t="s">
        <v>10025</v>
      </c>
      <c r="J568" s="2" t="n">
        <f aca="false">IF(COUNTIFS($G$2:G568,G568,$A$2:A568,A568)=1,1,0)</f>
        <v>1</v>
      </c>
    </row>
    <row r="569" customFormat="false" ht="15" hidden="false" customHeight="false" outlineLevel="0" collapsed="false">
      <c r="A569" s="2" t="s">
        <v>11358</v>
      </c>
      <c r="B569" s="2" t="s">
        <v>6587</v>
      </c>
      <c r="C569" s="2" t="s">
        <v>11358</v>
      </c>
      <c r="D569" s="2" t="s">
        <v>11359</v>
      </c>
      <c r="E569" s="2"/>
      <c r="F569" s="2"/>
      <c r="G569" s="2" t="str">
        <f aca="false">LEFT(C569,3)</f>
        <v>811</v>
      </c>
      <c r="H569" s="16" t="n">
        <v>0.21</v>
      </c>
      <c r="I569" s="2" t="s">
        <v>10025</v>
      </c>
      <c r="J569" s="2" t="n">
        <f aca="false">IF(COUNTIFS($G$2:G569,G569,$A$2:A569,A569)=1,1,0)</f>
        <v>1</v>
      </c>
    </row>
    <row r="570" customFormat="false" ht="15" hidden="false" customHeight="false" outlineLevel="0" collapsed="false">
      <c r="A570" s="2" t="s">
        <v>11360</v>
      </c>
      <c r="B570" s="2" t="s">
        <v>11361</v>
      </c>
      <c r="C570" s="2" t="s">
        <v>11360</v>
      </c>
      <c r="D570" s="2" t="s">
        <v>11362</v>
      </c>
      <c r="E570" s="2"/>
      <c r="F570" s="2"/>
      <c r="G570" s="2" t="str">
        <f aca="false">LEFT(C570,3)</f>
        <v>811</v>
      </c>
      <c r="H570" s="16" t="n">
        <v>0.19</v>
      </c>
      <c r="I570" s="2" t="s">
        <v>10025</v>
      </c>
      <c r="J570" s="2" t="n">
        <f aca="false">IF(COUNTIFS($G$2:G570,G570,$A$2:A570,A570)=1,1,0)</f>
        <v>1</v>
      </c>
    </row>
    <row r="571" customFormat="false" ht="15" hidden="false" customHeight="false" outlineLevel="0" collapsed="false">
      <c r="A571" s="2" t="s">
        <v>11363</v>
      </c>
      <c r="B571" s="2" t="s">
        <v>11364</v>
      </c>
      <c r="C571" s="2" t="s">
        <v>11365</v>
      </c>
      <c r="D571" s="2" t="s">
        <v>11366</v>
      </c>
      <c r="E571" s="2"/>
      <c r="F571" s="2"/>
      <c r="G571" s="2" t="str">
        <f aca="false">LEFT(C571,3)</f>
        <v>821</v>
      </c>
      <c r="H571" s="16" t="n">
        <v>0.23</v>
      </c>
      <c r="I571" s="2" t="s">
        <v>10025</v>
      </c>
      <c r="J571" s="2" t="n">
        <f aca="false">IF(COUNTIFS($G$2:G571,G571,$A$2:A571,A571)=1,1,0)</f>
        <v>1</v>
      </c>
    </row>
    <row r="572" customFormat="false" ht="15" hidden="false" customHeight="false" outlineLevel="0" collapsed="false">
      <c r="A572" s="2" t="s">
        <v>10614</v>
      </c>
      <c r="B572" s="2" t="s">
        <v>11367</v>
      </c>
      <c r="C572" s="2" t="s">
        <v>10614</v>
      </c>
      <c r="D572" s="2" t="s">
        <v>10615</v>
      </c>
      <c r="E572" s="2" t="s">
        <v>10050</v>
      </c>
      <c r="F572" s="2"/>
      <c r="G572" s="2" t="str">
        <f aca="false">LEFT(C572,3)</f>
        <v>812</v>
      </c>
      <c r="H572" s="16" t="n">
        <v>0.26</v>
      </c>
      <c r="I572" s="2" t="s">
        <v>10025</v>
      </c>
      <c r="J572" s="2" t="n">
        <f aca="false">IF(COUNTIFS($G$2:G572,G572,$A$2:A572,A572)=1,1,0)</f>
        <v>1</v>
      </c>
    </row>
    <row r="573" customFormat="false" ht="15" hidden="false" customHeight="false" outlineLevel="0" collapsed="false">
      <c r="A573" s="2" t="s">
        <v>10614</v>
      </c>
      <c r="B573" s="2" t="s">
        <v>11367</v>
      </c>
      <c r="C573" s="2" t="s">
        <v>10616</v>
      </c>
      <c r="D573" s="2" t="s">
        <v>10617</v>
      </c>
      <c r="E573" s="2" t="s">
        <v>10050</v>
      </c>
      <c r="F573" s="2"/>
      <c r="G573" s="2" t="str">
        <f aca="false">LEFT(C573,3)</f>
        <v>812</v>
      </c>
      <c r="H573" s="16" t="n">
        <v>0.26</v>
      </c>
      <c r="I573" s="2" t="s">
        <v>10025</v>
      </c>
      <c r="J573" s="2" t="n">
        <f aca="false">IF(COUNTIFS($G$2:G573,G573,$A$2:A573,A573)=1,1,0)</f>
        <v>0</v>
      </c>
    </row>
    <row r="574" customFormat="false" ht="15" hidden="false" customHeight="false" outlineLevel="0" collapsed="false">
      <c r="A574" s="2" t="s">
        <v>10614</v>
      </c>
      <c r="B574" s="2" t="s">
        <v>11367</v>
      </c>
      <c r="C574" s="2" t="s">
        <v>10618</v>
      </c>
      <c r="D574" s="2" t="s">
        <v>10619</v>
      </c>
      <c r="E574" s="2" t="s">
        <v>10050</v>
      </c>
      <c r="F574" s="2"/>
      <c r="G574" s="2" t="str">
        <f aca="false">LEFT(C574,3)</f>
        <v>812</v>
      </c>
      <c r="H574" s="16" t="n">
        <v>0.26</v>
      </c>
      <c r="I574" s="2" t="s">
        <v>10025</v>
      </c>
      <c r="J574" s="2" t="n">
        <f aca="false">IF(COUNTIFS($G$2:G574,G574,$A$2:A574,A574)=1,1,0)</f>
        <v>0</v>
      </c>
    </row>
    <row r="575" customFormat="false" ht="15" hidden="false" customHeight="false" outlineLevel="0" collapsed="false">
      <c r="A575" s="2" t="s">
        <v>10614</v>
      </c>
      <c r="B575" s="2" t="s">
        <v>11367</v>
      </c>
      <c r="C575" s="2" t="s">
        <v>10620</v>
      </c>
      <c r="D575" s="2" t="s">
        <v>10621</v>
      </c>
      <c r="E575" s="2" t="s">
        <v>10050</v>
      </c>
      <c r="F575" s="2"/>
      <c r="G575" s="2" t="str">
        <f aca="false">LEFT(C575,3)</f>
        <v>812</v>
      </c>
      <c r="H575" s="16" t="n">
        <v>0.26</v>
      </c>
      <c r="I575" s="2" t="s">
        <v>10025</v>
      </c>
      <c r="J575" s="2" t="n">
        <f aca="false">IF(COUNTIFS($G$2:G575,G575,$A$2:A575,A575)=1,1,0)</f>
        <v>0</v>
      </c>
    </row>
    <row r="576" customFormat="false" ht="15" hidden="false" customHeight="false" outlineLevel="0" collapsed="false">
      <c r="A576" s="2" t="s">
        <v>10616</v>
      </c>
      <c r="B576" s="2" t="s">
        <v>11368</v>
      </c>
      <c r="C576" s="2" t="s">
        <v>10522</v>
      </c>
      <c r="D576" s="2" t="s">
        <v>10523</v>
      </c>
      <c r="E576" s="2" t="s">
        <v>10050</v>
      </c>
      <c r="F576" s="2"/>
      <c r="G576" s="2" t="str">
        <f aca="false">LEFT(C576,3)</f>
        <v>822</v>
      </c>
      <c r="H576" s="16" t="n">
        <v>0.2</v>
      </c>
      <c r="I576" s="2" t="s">
        <v>10025</v>
      </c>
      <c r="J576" s="2" t="n">
        <f aca="false">IF(COUNTIFS($G$2:G576,G576,$A$2:A576,A576)=1,1,0)</f>
        <v>1</v>
      </c>
    </row>
    <row r="577" customFormat="false" ht="15" hidden="false" customHeight="false" outlineLevel="0" collapsed="false">
      <c r="A577" s="2" t="s">
        <v>11369</v>
      </c>
      <c r="B577" s="2" t="s">
        <v>11370</v>
      </c>
      <c r="C577" s="2" t="s">
        <v>11371</v>
      </c>
      <c r="D577" s="2" t="s">
        <v>11372</v>
      </c>
      <c r="E577" s="2"/>
      <c r="F577" s="2"/>
      <c r="G577" s="2" t="str">
        <f aca="false">LEFT(C577,3)</f>
        <v>815</v>
      </c>
      <c r="H577" s="16" t="n">
        <v>0.24</v>
      </c>
      <c r="I577" s="2" t="s">
        <v>10025</v>
      </c>
      <c r="J577" s="2" t="n">
        <f aca="false">IF(COUNTIFS($G$2:G577,G577,$A$2:A577,A577)=1,1,0)</f>
        <v>1</v>
      </c>
    </row>
    <row r="578" customFormat="false" ht="15" hidden="false" customHeight="false" outlineLevel="0" collapsed="false">
      <c r="A578" s="2" t="s">
        <v>11369</v>
      </c>
      <c r="B578" s="2" t="s">
        <v>11370</v>
      </c>
      <c r="C578" s="2" t="s">
        <v>10600</v>
      </c>
      <c r="D578" s="2" t="s">
        <v>10601</v>
      </c>
      <c r="E578" s="2" t="s">
        <v>10050</v>
      </c>
      <c r="F578" s="2"/>
      <c r="G578" s="2" t="str">
        <f aca="false">LEFT(C578,3)</f>
        <v>815</v>
      </c>
      <c r="H578" s="16" t="n">
        <v>0.24</v>
      </c>
      <c r="I578" s="2" t="s">
        <v>10025</v>
      </c>
      <c r="J578" s="2" t="n">
        <f aca="false">IF(COUNTIFS($G$2:G578,G578,$A$2:A578,A578)=1,1,0)</f>
        <v>0</v>
      </c>
    </row>
    <row r="579" customFormat="false" ht="15" hidden="false" customHeight="false" outlineLevel="0" collapsed="false">
      <c r="A579" s="2" t="s">
        <v>11369</v>
      </c>
      <c r="B579" s="2" t="s">
        <v>11370</v>
      </c>
      <c r="C579" s="2" t="s">
        <v>10602</v>
      </c>
      <c r="D579" s="2" t="s">
        <v>10603</v>
      </c>
      <c r="E579" s="2" t="s">
        <v>10050</v>
      </c>
      <c r="F579" s="2"/>
      <c r="G579" s="2" t="str">
        <f aca="false">LEFT(C579,3)</f>
        <v>815</v>
      </c>
      <c r="H579" s="16" t="n">
        <v>0.24</v>
      </c>
      <c r="I579" s="2" t="s">
        <v>10025</v>
      </c>
      <c r="J579" s="2" t="n">
        <f aca="false">IF(COUNTIFS($G$2:G579,G579,$A$2:A579,A579)=1,1,0)</f>
        <v>0</v>
      </c>
    </row>
    <row r="580" customFormat="false" ht="15" hidden="false" customHeight="false" outlineLevel="0" collapsed="false">
      <c r="A580" s="2" t="s">
        <v>11369</v>
      </c>
      <c r="B580" s="2" t="s">
        <v>11370</v>
      </c>
      <c r="C580" s="2" t="s">
        <v>10604</v>
      </c>
      <c r="D580" s="2" t="s">
        <v>10605</v>
      </c>
      <c r="E580" s="2" t="s">
        <v>10050</v>
      </c>
      <c r="F580" s="2"/>
      <c r="G580" s="2" t="str">
        <f aca="false">LEFT(C580,3)</f>
        <v>815</v>
      </c>
      <c r="H580" s="16" t="n">
        <v>0.24</v>
      </c>
      <c r="I580" s="2" t="s">
        <v>10025</v>
      </c>
      <c r="J580" s="2" t="n">
        <f aca="false">IF(COUNTIFS($G$2:G580,G580,$A$2:A580,A580)=1,1,0)</f>
        <v>0</v>
      </c>
    </row>
    <row r="581" customFormat="false" ht="15" hidden="false" customHeight="false" outlineLevel="0" collapsed="false">
      <c r="A581" s="2" t="s">
        <v>11369</v>
      </c>
      <c r="B581" s="2" t="s">
        <v>11370</v>
      </c>
      <c r="C581" s="2" t="s">
        <v>10610</v>
      </c>
      <c r="D581" s="2" t="s">
        <v>10611</v>
      </c>
      <c r="E581" s="2" t="s">
        <v>10050</v>
      </c>
      <c r="F581" s="2" t="s">
        <v>11373</v>
      </c>
      <c r="G581" s="2" t="str">
        <f aca="false">LEFT(C581,3)</f>
        <v>815</v>
      </c>
      <c r="H581" s="16" t="n">
        <v>0.24</v>
      </c>
      <c r="I581" s="2" t="s">
        <v>10025</v>
      </c>
      <c r="J581" s="2" t="n">
        <f aca="false">IF(COUNTIFS($G$2:G581,G581,$A$2:A581,A581)=1,1,0)</f>
        <v>0</v>
      </c>
    </row>
    <row r="582" customFormat="false" ht="15" hidden="false" customHeight="false" outlineLevel="0" collapsed="false">
      <c r="A582" s="2" t="s">
        <v>11369</v>
      </c>
      <c r="B582" s="2" t="s">
        <v>11370</v>
      </c>
      <c r="C582" s="2" t="s">
        <v>10606</v>
      </c>
      <c r="D582" s="2" t="s">
        <v>10607</v>
      </c>
      <c r="E582" s="2" t="s">
        <v>10050</v>
      </c>
      <c r="F582" s="2"/>
      <c r="G582" s="2" t="str">
        <f aca="false">LEFT(C582,3)</f>
        <v>815</v>
      </c>
      <c r="H582" s="16" t="n">
        <v>0.24</v>
      </c>
      <c r="I582" s="2" t="s">
        <v>10025</v>
      </c>
      <c r="J582" s="2" t="n">
        <f aca="false">IF(COUNTIFS($G$2:G582,G582,$A$2:A582,A582)=1,1,0)</f>
        <v>0</v>
      </c>
    </row>
    <row r="583" customFormat="false" ht="15" hidden="false" customHeight="false" outlineLevel="0" collapsed="false">
      <c r="A583" s="2" t="s">
        <v>11369</v>
      </c>
      <c r="B583" s="2" t="s">
        <v>11370</v>
      </c>
      <c r="C583" s="2" t="s">
        <v>10518</v>
      </c>
      <c r="D583" s="2" t="s">
        <v>10519</v>
      </c>
      <c r="E583" s="2" t="s">
        <v>10050</v>
      </c>
      <c r="F583" s="2"/>
      <c r="G583" s="2" t="str">
        <f aca="false">LEFT(C583,3)</f>
        <v>822</v>
      </c>
      <c r="H583" s="16" t="n">
        <v>0.24</v>
      </c>
      <c r="I583" s="2" t="s">
        <v>10025</v>
      </c>
      <c r="J583" s="2" t="n">
        <f aca="false">IF(COUNTIFS($G$2:G583,G583,$A$2:A583,A583)=1,1,0)</f>
        <v>1</v>
      </c>
    </row>
    <row r="584" customFormat="false" ht="15" hidden="false" customHeight="false" outlineLevel="0" collapsed="false">
      <c r="A584" s="2" t="s">
        <v>11369</v>
      </c>
      <c r="B584" s="2" t="s">
        <v>11370</v>
      </c>
      <c r="C584" s="2" t="s">
        <v>10520</v>
      </c>
      <c r="D584" s="2" t="s">
        <v>10521</v>
      </c>
      <c r="E584" s="2" t="s">
        <v>10050</v>
      </c>
      <c r="F584" s="2"/>
      <c r="G584" s="2" t="str">
        <f aca="false">LEFT(C584,3)</f>
        <v>822</v>
      </c>
      <c r="H584" s="16" t="n">
        <v>0.24</v>
      </c>
      <c r="I584" s="2" t="s">
        <v>10025</v>
      </c>
      <c r="J584" s="2" t="n">
        <f aca="false">IF(COUNTIFS($G$2:G584,G584,$A$2:A584,A584)=1,1,0)</f>
        <v>0</v>
      </c>
    </row>
    <row r="585" customFormat="false" ht="15" hidden="false" customHeight="false" outlineLevel="0" collapsed="false">
      <c r="A585" s="2" t="s">
        <v>11369</v>
      </c>
      <c r="B585" s="2" t="s">
        <v>11370</v>
      </c>
      <c r="C585" s="2" t="s">
        <v>10526</v>
      </c>
      <c r="D585" s="2" t="s">
        <v>10527</v>
      </c>
      <c r="E585" s="2" t="s">
        <v>10050</v>
      </c>
      <c r="F585" s="2"/>
      <c r="G585" s="2" t="str">
        <f aca="false">LEFT(C585,3)</f>
        <v>822</v>
      </c>
      <c r="H585" s="16" t="n">
        <v>0.24</v>
      </c>
      <c r="I585" s="2" t="s">
        <v>10025</v>
      </c>
      <c r="J585" s="2" t="n">
        <f aca="false">IF(COUNTIFS($G$2:G585,G585,$A$2:A585,A585)=1,1,0)</f>
        <v>0</v>
      </c>
    </row>
    <row r="586" customFormat="false" ht="15" hidden="false" customHeight="false" outlineLevel="0" collapsed="false">
      <c r="A586" s="2" t="s">
        <v>11374</v>
      </c>
      <c r="B586" s="2" t="s">
        <v>11375</v>
      </c>
      <c r="C586" s="2" t="s">
        <v>11376</v>
      </c>
      <c r="D586" s="2" t="s">
        <v>11377</v>
      </c>
      <c r="E586" s="2"/>
      <c r="F586" s="2"/>
      <c r="G586" s="2" t="str">
        <f aca="false">LEFT(C586,3)</f>
        <v>734</v>
      </c>
      <c r="H586" s="16" t="n">
        <v>0.27</v>
      </c>
      <c r="I586" s="2" t="s">
        <v>10025</v>
      </c>
      <c r="J586" s="2" t="n">
        <f aca="false">IF(COUNTIFS($G$2:G586,G586,$A$2:A586,A586)=1,1,0)</f>
        <v>1</v>
      </c>
    </row>
    <row r="587" customFormat="false" ht="15" hidden="false" customHeight="false" outlineLevel="0" collapsed="false">
      <c r="A587" s="2" t="s">
        <v>11374</v>
      </c>
      <c r="B587" s="2" t="s">
        <v>11375</v>
      </c>
      <c r="C587" s="2" t="s">
        <v>10524</v>
      </c>
      <c r="D587" s="2" t="s">
        <v>10525</v>
      </c>
      <c r="E587" s="2" t="s">
        <v>10050</v>
      </c>
      <c r="F587" s="2"/>
      <c r="G587" s="2" t="str">
        <f aca="false">LEFT(C587,3)</f>
        <v>822</v>
      </c>
      <c r="H587" s="16" t="n">
        <v>0.27</v>
      </c>
      <c r="I587" s="2" t="s">
        <v>10025</v>
      </c>
      <c r="J587" s="2" t="n">
        <f aca="false">IF(COUNTIFS($G$2:G587,G587,$A$2:A587,A587)=1,1,0)</f>
        <v>1</v>
      </c>
    </row>
    <row r="588" customFormat="false" ht="15" hidden="false" customHeight="false" outlineLevel="0" collapsed="false">
      <c r="A588" s="2" t="s">
        <v>11378</v>
      </c>
      <c r="B588" s="2" t="s">
        <v>11379</v>
      </c>
      <c r="C588" s="2" t="s">
        <v>10528</v>
      </c>
      <c r="D588" s="2" t="s">
        <v>10529</v>
      </c>
      <c r="E588" s="2" t="s">
        <v>10050</v>
      </c>
      <c r="F588" s="2"/>
      <c r="G588" s="2" t="str">
        <f aca="false">LEFT(C588,3)</f>
        <v>823</v>
      </c>
      <c r="H588" s="16" t="n">
        <v>0.18</v>
      </c>
      <c r="I588" s="2" t="s">
        <v>10025</v>
      </c>
      <c r="J588" s="2" t="n">
        <f aca="false">IF(COUNTIFS($G$2:G588,G588,$A$2:A588,A588)=1,1,0)</f>
        <v>1</v>
      </c>
    </row>
    <row r="589" customFormat="false" ht="15" hidden="false" customHeight="false" outlineLevel="0" collapsed="false">
      <c r="A589" s="2" t="s">
        <v>10625</v>
      </c>
      <c r="B589" s="2" t="s">
        <v>11380</v>
      </c>
      <c r="C589" s="2" t="s">
        <v>10530</v>
      </c>
      <c r="D589" s="2" t="s">
        <v>10531</v>
      </c>
      <c r="E589" s="2" t="s">
        <v>10050</v>
      </c>
      <c r="F589" s="2"/>
      <c r="G589" s="2" t="str">
        <f aca="false">LEFT(C589,3)</f>
        <v>823</v>
      </c>
      <c r="H589" s="16" t="n">
        <v>0.17</v>
      </c>
      <c r="I589" s="2" t="s">
        <v>10025</v>
      </c>
      <c r="J589" s="2" t="n">
        <f aca="false">IF(COUNTIFS($G$2:G589,G589,$A$2:A589,A589)=1,1,0)</f>
        <v>1</v>
      </c>
    </row>
    <row r="590" customFormat="false" ht="15" hidden="false" customHeight="false" outlineLevel="0" collapsed="false">
      <c r="A590" s="2" t="s">
        <v>10627</v>
      </c>
      <c r="B590" s="2" t="s">
        <v>11381</v>
      </c>
      <c r="C590" s="2" t="s">
        <v>10538</v>
      </c>
      <c r="D590" s="2" t="s">
        <v>10539</v>
      </c>
      <c r="E590" s="2" t="s">
        <v>10050</v>
      </c>
      <c r="F590" s="2"/>
      <c r="G590" s="2" t="str">
        <f aca="false">LEFT(C590,3)</f>
        <v>825</v>
      </c>
      <c r="H590" s="16" t="n">
        <v>0.18</v>
      </c>
      <c r="I590" s="2" t="s">
        <v>10025</v>
      </c>
      <c r="J590" s="2" t="n">
        <f aca="false">IF(COUNTIFS($G$2:G590,G590,$A$2:A590,A590)=1,1,0)</f>
        <v>1</v>
      </c>
    </row>
    <row r="591" customFormat="false" ht="15" hidden="false" customHeight="false" outlineLevel="0" collapsed="false">
      <c r="A591" s="2" t="s">
        <v>11371</v>
      </c>
      <c r="B591" s="2" t="s">
        <v>11382</v>
      </c>
      <c r="C591" s="2" t="s">
        <v>10540</v>
      </c>
      <c r="D591" s="2" t="s">
        <v>10541</v>
      </c>
      <c r="E591" s="2" t="s">
        <v>10050</v>
      </c>
      <c r="F591" s="2"/>
      <c r="G591" s="2" t="str">
        <f aca="false">LEFT(C591,3)</f>
        <v>826</v>
      </c>
      <c r="H591" s="16" t="n">
        <v>0.15</v>
      </c>
      <c r="I591" s="2" t="s">
        <v>10025</v>
      </c>
      <c r="J591" s="2" t="n">
        <f aca="false">IF(COUNTIFS($G$2:G591,G591,$A$2:A591,A591)=1,1,0)</f>
        <v>1</v>
      </c>
    </row>
    <row r="592" customFormat="false" ht="15" hidden="false" customHeight="false" outlineLevel="0" collapsed="false">
      <c r="A592" s="2" t="s">
        <v>10600</v>
      </c>
      <c r="B592" s="2" t="s">
        <v>11383</v>
      </c>
      <c r="C592" s="2" t="s">
        <v>11242</v>
      </c>
      <c r="D592" s="2" t="s">
        <v>11243</v>
      </c>
      <c r="E592" s="2" t="s">
        <v>10050</v>
      </c>
      <c r="F592" s="2" t="s">
        <v>11384</v>
      </c>
      <c r="G592" s="2" t="str">
        <f aca="false">LEFT(C592,3)</f>
        <v>743</v>
      </c>
      <c r="H592" s="16" t="n">
        <v>0.16</v>
      </c>
      <c r="I592" s="2" t="s">
        <v>10025</v>
      </c>
      <c r="J592" s="2" t="n">
        <f aca="false">IF(COUNTIFS($G$2:G592,G592,$A$2:A592,A592)=1,1,0)</f>
        <v>1</v>
      </c>
    </row>
    <row r="593" customFormat="false" ht="15" hidden="false" customHeight="false" outlineLevel="0" collapsed="false">
      <c r="A593" s="2" t="s">
        <v>10600</v>
      </c>
      <c r="B593" s="2" t="s">
        <v>11383</v>
      </c>
      <c r="C593" s="2" t="s">
        <v>10542</v>
      </c>
      <c r="D593" s="2" t="s">
        <v>10543</v>
      </c>
      <c r="E593" s="2" t="s">
        <v>10050</v>
      </c>
      <c r="F593" s="2"/>
      <c r="G593" s="2" t="str">
        <f aca="false">LEFT(C593,3)</f>
        <v>826</v>
      </c>
      <c r="H593" s="16" t="n">
        <v>0.16</v>
      </c>
      <c r="I593" s="2" t="s">
        <v>10025</v>
      </c>
      <c r="J593" s="2" t="n">
        <f aca="false">IF(COUNTIFS($G$2:G593,G593,$A$2:A593,A593)=1,1,0)</f>
        <v>1</v>
      </c>
    </row>
    <row r="594" customFormat="false" ht="15" hidden="false" customHeight="false" outlineLevel="0" collapsed="false">
      <c r="A594" s="2" t="s">
        <v>10602</v>
      </c>
      <c r="B594" s="2" t="s">
        <v>11385</v>
      </c>
      <c r="C594" s="2" t="s">
        <v>10544</v>
      </c>
      <c r="D594" s="2" t="s">
        <v>10545</v>
      </c>
      <c r="E594" s="2" t="s">
        <v>10050</v>
      </c>
      <c r="F594" s="2"/>
      <c r="G594" s="2" t="str">
        <f aca="false">LEFT(C594,3)</f>
        <v>826</v>
      </c>
      <c r="H594" s="16" t="n">
        <v>0.15</v>
      </c>
      <c r="I594" s="2" t="s">
        <v>10025</v>
      </c>
      <c r="J594" s="2" t="n">
        <f aca="false">IF(COUNTIFS($G$2:G594,G594,$A$2:A594,A594)=1,1,0)</f>
        <v>1</v>
      </c>
    </row>
    <row r="595" customFormat="false" ht="15" hidden="false" customHeight="false" outlineLevel="0" collapsed="false">
      <c r="A595" s="2" t="s">
        <v>10604</v>
      </c>
      <c r="B595" s="2" t="s">
        <v>11386</v>
      </c>
      <c r="C595" s="2" t="s">
        <v>10546</v>
      </c>
      <c r="D595" s="2" t="s">
        <v>10547</v>
      </c>
      <c r="E595" s="2" t="s">
        <v>10050</v>
      </c>
      <c r="F595" s="2"/>
      <c r="G595" s="2" t="str">
        <f aca="false">LEFT(C595,3)</f>
        <v>826</v>
      </c>
      <c r="H595" s="16" t="n">
        <v>0.21</v>
      </c>
      <c r="I595" s="2" t="s">
        <v>10025</v>
      </c>
      <c r="J595" s="2" t="n">
        <f aca="false">IF(COUNTIFS($G$2:G595,G595,$A$2:A595,A595)=1,1,0)</f>
        <v>1</v>
      </c>
    </row>
    <row r="596" customFormat="false" ht="15" hidden="false" customHeight="false" outlineLevel="0" collapsed="false">
      <c r="A596" s="2" t="s">
        <v>10610</v>
      </c>
      <c r="B596" s="2" t="s">
        <v>11387</v>
      </c>
      <c r="C596" s="2" t="s">
        <v>10548</v>
      </c>
      <c r="D596" s="2" t="s">
        <v>10549</v>
      </c>
      <c r="E596" s="2" t="s">
        <v>10050</v>
      </c>
      <c r="F596" s="2"/>
      <c r="G596" s="2" t="str">
        <f aca="false">LEFT(C596,3)</f>
        <v>826</v>
      </c>
      <c r="H596" s="16" t="n">
        <v>0.15</v>
      </c>
      <c r="I596" s="2" t="s">
        <v>10025</v>
      </c>
      <c r="J596" s="2" t="n">
        <f aca="false">IF(COUNTIFS($G$2:G596,G596,$A$2:A596,A596)=1,1,0)</f>
        <v>1</v>
      </c>
    </row>
    <row r="597" customFormat="false" ht="15" hidden="false" customHeight="false" outlineLevel="0" collapsed="false">
      <c r="A597" s="2" t="s">
        <v>11388</v>
      </c>
      <c r="B597" s="2" t="s">
        <v>11389</v>
      </c>
      <c r="C597" s="2" t="s">
        <v>10550</v>
      </c>
      <c r="D597" s="2" t="s">
        <v>10551</v>
      </c>
      <c r="E597" s="2" t="s">
        <v>10050</v>
      </c>
      <c r="F597" s="2"/>
      <c r="G597" s="2" t="str">
        <f aca="false">LEFT(C597,3)</f>
        <v>826</v>
      </c>
      <c r="H597" s="16" t="n">
        <v>0.16</v>
      </c>
      <c r="I597" s="2" t="s">
        <v>10025</v>
      </c>
      <c r="J597" s="2" t="n">
        <f aca="false">IF(COUNTIFS($G$2:G597,G597,$A$2:A597,A597)=1,1,0)</f>
        <v>1</v>
      </c>
    </row>
    <row r="598" customFormat="false" ht="15" hidden="false" customHeight="false" outlineLevel="0" collapsed="false">
      <c r="A598" s="2" t="s">
        <v>11390</v>
      </c>
      <c r="B598" s="2" t="s">
        <v>11391</v>
      </c>
      <c r="C598" s="2" t="s">
        <v>10546</v>
      </c>
      <c r="D598" s="2" t="s">
        <v>10547</v>
      </c>
      <c r="E598" s="2" t="s">
        <v>10050</v>
      </c>
      <c r="F598" s="2"/>
      <c r="G598" s="2" t="str">
        <f aca="false">LEFT(C598,3)</f>
        <v>826</v>
      </c>
      <c r="H598" s="16" t="n">
        <v>0.16</v>
      </c>
      <c r="I598" s="2" t="s">
        <v>10025</v>
      </c>
      <c r="J598" s="2" t="n">
        <f aca="false">IF(COUNTIFS($G$2:G598,G598,$A$2:A598,A598)=1,1,0)</f>
        <v>1</v>
      </c>
    </row>
    <row r="599" customFormat="false" ht="15" hidden="false" customHeight="false" outlineLevel="0" collapsed="false">
      <c r="A599" s="2" t="s">
        <v>10606</v>
      </c>
      <c r="B599" s="2" t="s">
        <v>11392</v>
      </c>
      <c r="C599" s="2" t="s">
        <v>10552</v>
      </c>
      <c r="D599" s="2" t="s">
        <v>10553</v>
      </c>
      <c r="E599" s="2" t="s">
        <v>10050</v>
      </c>
      <c r="F599" s="2"/>
      <c r="G599" s="2" t="str">
        <f aca="false">LEFT(C599,3)</f>
        <v>826</v>
      </c>
      <c r="H599" s="16" t="n">
        <v>0.16</v>
      </c>
      <c r="I599" s="2" t="s">
        <v>10025</v>
      </c>
      <c r="J599" s="2" t="n">
        <f aca="false">IF(COUNTIFS($G$2:G599,G599,$A$2:A599,A599)=1,1,0)</f>
        <v>1</v>
      </c>
    </row>
    <row r="600" customFormat="false" ht="15" hidden="false" customHeight="false" outlineLevel="0" collapsed="false">
      <c r="A600" s="2" t="s">
        <v>11393</v>
      </c>
      <c r="B600" s="2" t="s">
        <v>3706</v>
      </c>
      <c r="C600" s="2" t="s">
        <v>10554</v>
      </c>
      <c r="D600" s="2" t="s">
        <v>10555</v>
      </c>
      <c r="E600" s="2" t="s">
        <v>10050</v>
      </c>
      <c r="F600" s="2"/>
      <c r="G600" s="2" t="str">
        <f aca="false">LEFT(C600,3)</f>
        <v>827</v>
      </c>
      <c r="H600" s="16" t="n">
        <v>0.15</v>
      </c>
      <c r="I600" s="2" t="s">
        <v>10025</v>
      </c>
      <c r="J600" s="2" t="n">
        <f aca="false">IF(COUNTIFS($G$2:G600,G600,$A$2:A600,A600)=1,1,0)</f>
        <v>1</v>
      </c>
    </row>
    <row r="601" customFormat="false" ht="15" hidden="false" customHeight="false" outlineLevel="0" collapsed="false">
      <c r="A601" s="2" t="s">
        <v>11393</v>
      </c>
      <c r="B601" s="2" t="s">
        <v>3706</v>
      </c>
      <c r="C601" s="2" t="s">
        <v>10556</v>
      </c>
      <c r="D601" s="2" t="s">
        <v>10557</v>
      </c>
      <c r="E601" s="2" t="s">
        <v>10050</v>
      </c>
      <c r="F601" s="2"/>
      <c r="G601" s="2" t="str">
        <f aca="false">LEFT(C601,3)</f>
        <v>827</v>
      </c>
      <c r="H601" s="16" t="n">
        <v>0.15</v>
      </c>
      <c r="I601" s="2" t="s">
        <v>10025</v>
      </c>
      <c r="J601" s="2" t="n">
        <f aca="false">IF(COUNTIFS($G$2:G601,G601,$A$2:A601,A601)=1,1,0)</f>
        <v>0</v>
      </c>
    </row>
    <row r="602" customFormat="false" ht="15" hidden="false" customHeight="false" outlineLevel="0" collapsed="false">
      <c r="A602" s="2" t="s">
        <v>11393</v>
      </c>
      <c r="B602" s="2" t="s">
        <v>3706</v>
      </c>
      <c r="C602" s="2" t="s">
        <v>10558</v>
      </c>
      <c r="D602" s="2" t="s">
        <v>10559</v>
      </c>
      <c r="E602" s="2" t="s">
        <v>10050</v>
      </c>
      <c r="F602" s="2"/>
      <c r="G602" s="2" t="str">
        <f aca="false">LEFT(C602,3)</f>
        <v>827</v>
      </c>
      <c r="H602" s="16" t="n">
        <v>0.15</v>
      </c>
      <c r="I602" s="2" t="s">
        <v>10025</v>
      </c>
      <c r="J602" s="2" t="n">
        <f aca="false">IF(COUNTIFS($G$2:G602,G602,$A$2:A602,A602)=1,1,0)</f>
        <v>0</v>
      </c>
    </row>
    <row r="603" customFormat="false" ht="15" hidden="false" customHeight="false" outlineLevel="0" collapsed="false">
      <c r="A603" s="2" t="s">
        <v>11393</v>
      </c>
      <c r="B603" s="2" t="s">
        <v>3706</v>
      </c>
      <c r="C603" s="2" t="s">
        <v>10560</v>
      </c>
      <c r="D603" s="2" t="s">
        <v>10561</v>
      </c>
      <c r="E603" s="2" t="s">
        <v>10050</v>
      </c>
      <c r="F603" s="2"/>
      <c r="G603" s="2" t="str">
        <f aca="false">LEFT(C603,3)</f>
        <v>827</v>
      </c>
      <c r="H603" s="16" t="n">
        <v>0.15</v>
      </c>
      <c r="I603" s="2" t="s">
        <v>10025</v>
      </c>
      <c r="J603" s="2" t="n">
        <f aca="false">IF(COUNTIFS($G$2:G603,G603,$A$2:A603,A603)=1,1,0)</f>
        <v>0</v>
      </c>
    </row>
    <row r="604" customFormat="false" ht="15" hidden="false" customHeight="false" outlineLevel="0" collapsed="false">
      <c r="A604" s="2" t="s">
        <v>11393</v>
      </c>
      <c r="B604" s="2" t="s">
        <v>3706</v>
      </c>
      <c r="C604" s="2" t="s">
        <v>10562</v>
      </c>
      <c r="D604" s="2" t="s">
        <v>10563</v>
      </c>
      <c r="E604" s="2" t="s">
        <v>10050</v>
      </c>
      <c r="F604" s="2"/>
      <c r="G604" s="2" t="str">
        <f aca="false">LEFT(C604,3)</f>
        <v>827</v>
      </c>
      <c r="H604" s="16" t="n">
        <v>0.15</v>
      </c>
      <c r="I604" s="2" t="s">
        <v>10025</v>
      </c>
      <c r="J604" s="2" t="n">
        <f aca="false">IF(COUNTIFS($G$2:G604,G604,$A$2:A604,A604)=1,1,0)</f>
        <v>0</v>
      </c>
    </row>
    <row r="605" customFormat="false" ht="15" hidden="false" customHeight="false" outlineLevel="0" collapsed="false">
      <c r="A605" s="2" t="s">
        <v>11393</v>
      </c>
      <c r="B605" s="2" t="s">
        <v>3706</v>
      </c>
      <c r="C605" s="2" t="s">
        <v>10564</v>
      </c>
      <c r="D605" s="2" t="s">
        <v>10565</v>
      </c>
      <c r="E605" s="2" t="s">
        <v>10050</v>
      </c>
      <c r="F605" s="2"/>
      <c r="G605" s="2" t="str">
        <f aca="false">LEFT(C605,3)</f>
        <v>827</v>
      </c>
      <c r="H605" s="16" t="n">
        <v>0.15</v>
      </c>
      <c r="I605" s="2" t="s">
        <v>10025</v>
      </c>
      <c r="J605" s="2" t="n">
        <f aca="false">IF(COUNTIFS($G$2:G605,G605,$A$2:A605,A605)=1,1,0)</f>
        <v>0</v>
      </c>
    </row>
    <row r="606" customFormat="false" ht="15" hidden="false" customHeight="false" outlineLevel="0" collapsed="false">
      <c r="A606" s="2" t="s">
        <v>11393</v>
      </c>
      <c r="B606" s="2" t="s">
        <v>3706</v>
      </c>
      <c r="C606" s="2" t="s">
        <v>10566</v>
      </c>
      <c r="D606" s="2" t="s">
        <v>10567</v>
      </c>
      <c r="E606" s="2" t="s">
        <v>10050</v>
      </c>
      <c r="F606" s="2"/>
      <c r="G606" s="2" t="str">
        <f aca="false">LEFT(C606,3)</f>
        <v>827</v>
      </c>
      <c r="H606" s="16" t="n">
        <v>0.15</v>
      </c>
      <c r="I606" s="2" t="s">
        <v>10025</v>
      </c>
      <c r="J606" s="2" t="n">
        <f aca="false">IF(COUNTIFS($G$2:G606,G606,$A$2:A606,A606)=1,1,0)</f>
        <v>0</v>
      </c>
    </row>
    <row r="607" customFormat="false" ht="15" hidden="false" customHeight="false" outlineLevel="0" collapsed="false">
      <c r="A607" s="2" t="s">
        <v>11393</v>
      </c>
      <c r="B607" s="2" t="s">
        <v>3706</v>
      </c>
      <c r="C607" s="2" t="s">
        <v>10568</v>
      </c>
      <c r="D607" s="2" t="s">
        <v>10569</v>
      </c>
      <c r="E607" s="2" t="s">
        <v>10050</v>
      </c>
      <c r="F607" s="2"/>
      <c r="G607" s="2" t="str">
        <f aca="false">LEFT(C607,3)</f>
        <v>827</v>
      </c>
      <c r="H607" s="16" t="n">
        <v>0.15</v>
      </c>
      <c r="I607" s="2" t="s">
        <v>10025</v>
      </c>
      <c r="J607" s="2" t="n">
        <f aca="false">IF(COUNTIFS($G$2:G607,G607,$A$2:A607,A607)=1,1,0)</f>
        <v>0</v>
      </c>
    </row>
    <row r="608" customFormat="false" ht="15" hidden="false" customHeight="false" outlineLevel="0" collapsed="false">
      <c r="A608" s="2" t="s">
        <v>11393</v>
      </c>
      <c r="B608" s="2" t="s">
        <v>3706</v>
      </c>
      <c r="C608" s="2" t="s">
        <v>10570</v>
      </c>
      <c r="D608" s="2" t="s">
        <v>10571</v>
      </c>
      <c r="E608" s="2" t="s">
        <v>10050</v>
      </c>
      <c r="F608" s="2"/>
      <c r="G608" s="2" t="str">
        <f aca="false">LEFT(C608,3)</f>
        <v>827</v>
      </c>
      <c r="H608" s="16" t="n">
        <v>0.15</v>
      </c>
      <c r="I608" s="2" t="s">
        <v>10025</v>
      </c>
      <c r="J608" s="2" t="n">
        <f aca="false">IF(COUNTIFS($G$2:G608,G608,$A$2:A608,A608)=1,1,0)</f>
        <v>0</v>
      </c>
    </row>
    <row r="609" customFormat="false" ht="15" hidden="false" customHeight="false" outlineLevel="0" collapsed="false">
      <c r="A609" s="2" t="s">
        <v>10510</v>
      </c>
      <c r="B609" s="2" t="s">
        <v>11394</v>
      </c>
      <c r="C609" s="2" t="s">
        <v>10625</v>
      </c>
      <c r="D609" s="2" t="s">
        <v>10626</v>
      </c>
      <c r="E609" s="2" t="s">
        <v>10050</v>
      </c>
      <c r="F609" s="2"/>
      <c r="G609" s="2" t="str">
        <f aca="false">LEFT(C609,3)</f>
        <v>814</v>
      </c>
      <c r="H609" s="16" t="n">
        <v>0.28</v>
      </c>
      <c r="I609" s="2" t="s">
        <v>10030</v>
      </c>
      <c r="J609" s="2" t="n">
        <f aca="false">IF(COUNTIFS($G$2:G609,G609,$A$2:A609,A609)=1,1,0)</f>
        <v>1</v>
      </c>
    </row>
    <row r="610" customFormat="false" ht="15" hidden="false" customHeight="false" outlineLevel="0" collapsed="false">
      <c r="A610" s="2" t="s">
        <v>10510</v>
      </c>
      <c r="B610" s="2" t="s">
        <v>11394</v>
      </c>
      <c r="C610" s="2" t="s">
        <v>10627</v>
      </c>
      <c r="D610" s="2" t="s">
        <v>10628</v>
      </c>
      <c r="E610" s="2" t="s">
        <v>10050</v>
      </c>
      <c r="F610" s="2"/>
      <c r="G610" s="2" t="str">
        <f aca="false">LEFT(C610,3)</f>
        <v>814</v>
      </c>
      <c r="H610" s="16" t="n">
        <v>0.28</v>
      </c>
      <c r="I610" s="2" t="s">
        <v>10030</v>
      </c>
      <c r="J610" s="2" t="n">
        <f aca="false">IF(COUNTIFS($G$2:G610,G610,$A$2:A610,A610)=1,1,0)</f>
        <v>0</v>
      </c>
    </row>
    <row r="611" customFormat="false" ht="15" hidden="false" customHeight="false" outlineLevel="0" collapsed="false">
      <c r="A611" s="2" t="s">
        <v>10512</v>
      </c>
      <c r="B611" s="2" t="s">
        <v>11395</v>
      </c>
      <c r="C611" s="2" t="s">
        <v>11378</v>
      </c>
      <c r="D611" s="2" t="s">
        <v>11396</v>
      </c>
      <c r="E611" s="2"/>
      <c r="F611" s="2"/>
      <c r="G611" s="2" t="str">
        <f aca="false">LEFT(C611,3)</f>
        <v>814</v>
      </c>
      <c r="H611" s="16" t="n">
        <v>0.14</v>
      </c>
      <c r="I611" s="2" t="s">
        <v>10025</v>
      </c>
      <c r="J611" s="2" t="n">
        <f aca="false">IF(COUNTIFS($G$2:G611,G611,$A$2:A611,A611)=1,1,0)</f>
        <v>1</v>
      </c>
    </row>
    <row r="612" customFormat="false" ht="15" hidden="false" customHeight="false" outlineLevel="0" collapsed="false">
      <c r="A612" s="2" t="s">
        <v>11397</v>
      </c>
      <c r="B612" s="2" t="s">
        <v>11398</v>
      </c>
      <c r="C612" s="2" t="s">
        <v>11369</v>
      </c>
      <c r="D612" s="2" t="s">
        <v>11399</v>
      </c>
      <c r="E612" s="2"/>
      <c r="F612" s="2"/>
      <c r="G612" s="2" t="str">
        <f aca="false">LEFT(C612,3)</f>
        <v>813</v>
      </c>
      <c r="H612" s="16" t="n">
        <v>0.17</v>
      </c>
      <c r="I612" s="2" t="s">
        <v>10025</v>
      </c>
      <c r="J612" s="2" t="n">
        <f aca="false">IF(COUNTIFS($G$2:G612,G612,$A$2:A612,A612)=1,1,0)</f>
        <v>1</v>
      </c>
    </row>
    <row r="613" customFormat="false" ht="15" hidden="false" customHeight="false" outlineLevel="0" collapsed="false">
      <c r="A613" s="2" t="s">
        <v>11397</v>
      </c>
      <c r="B613" s="2" t="s">
        <v>11398</v>
      </c>
      <c r="C613" s="2" t="s">
        <v>11400</v>
      </c>
      <c r="D613" s="2" t="s">
        <v>11401</v>
      </c>
      <c r="E613" s="2"/>
      <c r="F613" s="2"/>
      <c r="G613" s="2" t="str">
        <f aca="false">LEFT(C613,3)</f>
        <v>813</v>
      </c>
      <c r="H613" s="16" t="n">
        <v>0.17</v>
      </c>
      <c r="I613" s="2" t="s">
        <v>10025</v>
      </c>
      <c r="J613" s="2" t="n">
        <f aca="false">IF(COUNTIFS($G$2:G613,G613,$A$2:A613,A613)=1,1,0)</f>
        <v>0</v>
      </c>
    </row>
    <row r="614" customFormat="false" ht="15" hidden="false" customHeight="false" outlineLevel="0" collapsed="false">
      <c r="A614" s="2" t="s">
        <v>11402</v>
      </c>
      <c r="B614" s="2" t="s">
        <v>11403</v>
      </c>
      <c r="C614" s="2" t="s">
        <v>11404</v>
      </c>
      <c r="D614" s="2" t="s">
        <v>11405</v>
      </c>
      <c r="E614" s="2"/>
      <c r="F614" s="2"/>
      <c r="G614" s="2" t="str">
        <f aca="false">LEFT(C614,3)</f>
        <v>816</v>
      </c>
      <c r="H614" s="16" t="n">
        <v>0.2</v>
      </c>
      <c r="I614" s="2" t="s">
        <v>10025</v>
      </c>
      <c r="J614" s="2" t="n">
        <f aca="false">IF(COUNTIFS($G$2:G614,G614,$A$2:A614,A614)=1,1,0)</f>
        <v>1</v>
      </c>
    </row>
    <row r="615" customFormat="false" ht="15" hidden="false" customHeight="false" outlineLevel="0" collapsed="false">
      <c r="A615" s="2" t="s">
        <v>11406</v>
      </c>
      <c r="B615" s="2" t="s">
        <v>11407</v>
      </c>
      <c r="C615" s="2" t="s">
        <v>10584</v>
      </c>
      <c r="D615" s="2" t="s">
        <v>10585</v>
      </c>
      <c r="E615" s="2" t="s">
        <v>10050</v>
      </c>
      <c r="F615" s="2"/>
      <c r="G615" s="2" t="str">
        <f aca="false">LEFT(C615,3)</f>
        <v>829</v>
      </c>
      <c r="H615" s="16" t="n">
        <v>0.22</v>
      </c>
      <c r="I615" s="2" t="s">
        <v>10025</v>
      </c>
      <c r="J615" s="2" t="n">
        <f aca="false">IF(COUNTIFS($G$2:G615,G615,$A$2:A615,A615)=1,1,0)</f>
        <v>1</v>
      </c>
    </row>
    <row r="616" customFormat="false" ht="15" hidden="false" customHeight="false" outlineLevel="0" collapsed="false">
      <c r="A616" s="2" t="s">
        <v>11408</v>
      </c>
      <c r="B616" s="2" t="s">
        <v>11409</v>
      </c>
      <c r="C616" s="2" t="s">
        <v>10584</v>
      </c>
      <c r="D616" s="2" t="s">
        <v>10585</v>
      </c>
      <c r="E616" s="2" t="s">
        <v>10050</v>
      </c>
      <c r="F616" s="2"/>
      <c r="G616" s="2" t="str">
        <f aca="false">LEFT(C616,3)</f>
        <v>829</v>
      </c>
      <c r="H616" s="16"/>
      <c r="I616" s="2" t="s">
        <v>10169</v>
      </c>
      <c r="J616" s="2" t="n">
        <f aca="false">IF(COUNTIFS($G$2:G616,G616,$A$2:A616,A616)=1,1,0)</f>
        <v>1</v>
      </c>
    </row>
    <row r="617" customFormat="false" ht="15" hidden="false" customHeight="false" outlineLevel="0" collapsed="false">
      <c r="A617" s="2" t="s">
        <v>10515</v>
      </c>
      <c r="B617" s="2" t="s">
        <v>11410</v>
      </c>
      <c r="C617" s="2" t="s">
        <v>10572</v>
      </c>
      <c r="D617" s="2" t="s">
        <v>10573</v>
      </c>
      <c r="E617" s="2" t="s">
        <v>10050</v>
      </c>
      <c r="F617" s="2"/>
      <c r="G617" s="2" t="str">
        <f aca="false">LEFT(C617,3)</f>
        <v>828</v>
      </c>
      <c r="H617" s="16" t="n">
        <v>0.27</v>
      </c>
      <c r="I617" s="2" t="s">
        <v>10030</v>
      </c>
      <c r="J617" s="2" t="n">
        <f aca="false">IF(COUNTIFS($G$2:G617,G617,$A$2:A617,A617)=1,1,0)</f>
        <v>1</v>
      </c>
    </row>
    <row r="618" customFormat="false" ht="15" hidden="false" customHeight="false" outlineLevel="0" collapsed="false">
      <c r="A618" s="2" t="s">
        <v>11365</v>
      </c>
      <c r="B618" s="2" t="s">
        <v>11411</v>
      </c>
      <c r="C618" s="2" t="s">
        <v>10574</v>
      </c>
      <c r="D618" s="2" t="s">
        <v>10575</v>
      </c>
      <c r="E618" s="2" t="s">
        <v>10050</v>
      </c>
      <c r="F618" s="2"/>
      <c r="G618" s="2" t="str">
        <f aca="false">LEFT(C618,3)</f>
        <v>828</v>
      </c>
      <c r="H618" s="16" t="n">
        <v>0.28</v>
      </c>
      <c r="I618" s="2" t="s">
        <v>10030</v>
      </c>
      <c r="J618" s="2" t="n">
        <f aca="false">IF(COUNTIFS($G$2:G618,G618,$A$2:A618,A618)=1,1,0)</f>
        <v>1</v>
      </c>
    </row>
    <row r="619" customFormat="false" ht="15" hidden="false" customHeight="false" outlineLevel="0" collapsed="false">
      <c r="A619" s="2" t="s">
        <v>11365</v>
      </c>
      <c r="B619" s="2" t="s">
        <v>11411</v>
      </c>
      <c r="C619" s="2" t="s">
        <v>10576</v>
      </c>
      <c r="D619" s="2" t="s">
        <v>10577</v>
      </c>
      <c r="E619" s="2" t="s">
        <v>10050</v>
      </c>
      <c r="F619" s="2"/>
      <c r="G619" s="2" t="str">
        <f aca="false">LEFT(C619,3)</f>
        <v>828</v>
      </c>
      <c r="H619" s="16" t="n">
        <v>0.28</v>
      </c>
      <c r="I619" s="2" t="s">
        <v>10030</v>
      </c>
      <c r="J619" s="2" t="n">
        <f aca="false">IF(COUNTIFS($G$2:G619,G619,$A$2:A619,A619)=1,1,0)</f>
        <v>0</v>
      </c>
    </row>
    <row r="620" customFormat="false" ht="15" hidden="false" customHeight="false" outlineLevel="0" collapsed="false">
      <c r="A620" s="2" t="s">
        <v>11412</v>
      </c>
      <c r="B620" s="2" t="s">
        <v>11413</v>
      </c>
      <c r="C620" s="2" t="s">
        <v>10578</v>
      </c>
      <c r="D620" s="2" t="s">
        <v>10579</v>
      </c>
      <c r="E620" s="2" t="s">
        <v>10050</v>
      </c>
      <c r="F620" s="2"/>
      <c r="G620" s="2" t="str">
        <f aca="false">LEFT(C620,3)</f>
        <v>828</v>
      </c>
      <c r="H620" s="16" t="n">
        <v>0.32</v>
      </c>
      <c r="I620" s="2" t="s">
        <v>10030</v>
      </c>
      <c r="J620" s="2" t="n">
        <f aca="false">IF(COUNTIFS($G$2:G620,G620,$A$2:A620,A620)=1,1,0)</f>
        <v>1</v>
      </c>
    </row>
    <row r="621" customFormat="false" ht="15" hidden="false" customHeight="false" outlineLevel="0" collapsed="false">
      <c r="A621" s="2" t="s">
        <v>11412</v>
      </c>
      <c r="B621" s="2" t="s">
        <v>11413</v>
      </c>
      <c r="C621" s="2" t="s">
        <v>10580</v>
      </c>
      <c r="D621" s="2" t="s">
        <v>10581</v>
      </c>
      <c r="E621" s="2" t="s">
        <v>10050</v>
      </c>
      <c r="F621" s="2"/>
      <c r="G621" s="2" t="str">
        <f aca="false">LEFT(C621,3)</f>
        <v>828</v>
      </c>
      <c r="H621" s="16" t="n">
        <v>0.32</v>
      </c>
      <c r="I621" s="2" t="s">
        <v>10030</v>
      </c>
      <c r="J621" s="2" t="n">
        <f aca="false">IF(COUNTIFS($G$2:G621,G621,$A$2:A621,A621)=1,1,0)</f>
        <v>0</v>
      </c>
    </row>
    <row r="622" customFormat="false" ht="15" hidden="false" customHeight="false" outlineLevel="0" collapsed="false">
      <c r="A622" s="2" t="s">
        <v>11412</v>
      </c>
      <c r="B622" s="2" t="s">
        <v>11413</v>
      </c>
      <c r="C622" s="2" t="s">
        <v>10582</v>
      </c>
      <c r="D622" s="2" t="s">
        <v>10583</v>
      </c>
      <c r="E622" s="2" t="s">
        <v>10050</v>
      </c>
      <c r="F622" s="2"/>
      <c r="G622" s="2" t="str">
        <f aca="false">LEFT(C622,3)</f>
        <v>828</v>
      </c>
      <c r="H622" s="16" t="n">
        <v>0.32</v>
      </c>
      <c r="I622" s="2" t="s">
        <v>10030</v>
      </c>
      <c r="J622" s="2" t="n">
        <f aca="false">IF(COUNTIFS($G$2:G622,G622,$A$2:A622,A622)=1,1,0)</f>
        <v>0</v>
      </c>
    </row>
    <row r="623" customFormat="false" ht="15" hidden="false" customHeight="false" outlineLevel="0" collapsed="false">
      <c r="A623" s="2" t="s">
        <v>11412</v>
      </c>
      <c r="B623" s="2" t="s">
        <v>11413</v>
      </c>
      <c r="C623" s="2" t="s">
        <v>10584</v>
      </c>
      <c r="D623" s="2" t="s">
        <v>10585</v>
      </c>
      <c r="E623" s="2" t="s">
        <v>10050</v>
      </c>
      <c r="F623" s="2"/>
      <c r="G623" s="2" t="str">
        <f aca="false">LEFT(C623,3)</f>
        <v>829</v>
      </c>
      <c r="H623" s="16" t="n">
        <v>0.32</v>
      </c>
      <c r="I623" s="2" t="s">
        <v>10030</v>
      </c>
      <c r="J623" s="2" t="n">
        <f aca="false">IF(COUNTIFS($G$2:G623,G623,$A$2:A623,A623)=1,1,0)</f>
        <v>1</v>
      </c>
    </row>
    <row r="624" customFormat="false" ht="15" hidden="false" customHeight="false" outlineLevel="0" collapsed="false">
      <c r="A624" s="2" t="s">
        <v>11414</v>
      </c>
      <c r="B624" s="2" t="s">
        <v>11415</v>
      </c>
      <c r="C624" s="2" t="s">
        <v>11414</v>
      </c>
      <c r="D624" s="2" t="s">
        <v>11416</v>
      </c>
      <c r="E624" s="2"/>
      <c r="F624" s="2"/>
      <c r="G624" s="2" t="str">
        <f aca="false">LEFT(C624,3)</f>
        <v>831</v>
      </c>
      <c r="H624" s="16" t="n">
        <v>0.2</v>
      </c>
      <c r="I624" s="2" t="s">
        <v>10025</v>
      </c>
      <c r="J624" s="2" t="n">
        <f aca="false">IF(COUNTIFS($G$2:G624,G624,$A$2:A624,A624)=1,1,0)</f>
        <v>1</v>
      </c>
    </row>
    <row r="625" customFormat="false" ht="15" hidden="false" customHeight="false" outlineLevel="0" collapsed="false">
      <c r="A625" s="2" t="s">
        <v>11417</v>
      </c>
      <c r="B625" s="2" t="s">
        <v>11418</v>
      </c>
      <c r="C625" s="2" t="s">
        <v>11417</v>
      </c>
      <c r="D625" s="2" t="s">
        <v>11419</v>
      </c>
      <c r="E625" s="2"/>
      <c r="F625" s="2"/>
      <c r="G625" s="2" t="str">
        <f aca="false">LEFT(C625,3)</f>
        <v>831</v>
      </c>
      <c r="H625" s="16" t="n">
        <v>0.17</v>
      </c>
      <c r="I625" s="2" t="s">
        <v>10025</v>
      </c>
      <c r="J625" s="2" t="n">
        <f aca="false">IF(COUNTIFS($G$2:G625,G625,$A$2:A625,A625)=1,1,0)</f>
        <v>1</v>
      </c>
    </row>
    <row r="626" customFormat="false" ht="15" hidden="false" customHeight="false" outlineLevel="0" collapsed="false">
      <c r="A626" s="2" t="s">
        <v>11420</v>
      </c>
      <c r="B626" s="2" t="s">
        <v>11421</v>
      </c>
      <c r="C626" s="2" t="s">
        <v>11420</v>
      </c>
      <c r="D626" s="2" t="s">
        <v>11422</v>
      </c>
      <c r="E626" s="2"/>
      <c r="F626" s="2"/>
      <c r="G626" s="2" t="str">
        <f aca="false">LEFT(C626,3)</f>
        <v>832</v>
      </c>
      <c r="H626" s="16" t="n">
        <v>0.25</v>
      </c>
      <c r="I626" s="2" t="s">
        <v>10030</v>
      </c>
      <c r="J626" s="2" t="n">
        <f aca="false">IF(COUNTIFS($G$2:G626,G626,$A$2:A626,A626)=1,1,0)</f>
        <v>1</v>
      </c>
    </row>
    <row r="627" customFormat="false" ht="15" hidden="false" customHeight="false" outlineLevel="0" collapsed="false">
      <c r="A627" s="2" t="s">
        <v>11423</v>
      </c>
      <c r="B627" s="2" t="s">
        <v>11424</v>
      </c>
      <c r="C627" s="2" t="s">
        <v>11423</v>
      </c>
      <c r="D627" s="2" t="s">
        <v>11425</v>
      </c>
      <c r="E627" s="2"/>
      <c r="F627" s="2"/>
      <c r="G627" s="2" t="str">
        <f aca="false">LEFT(C627,3)</f>
        <v>832</v>
      </c>
      <c r="H627" s="16" t="n">
        <v>0.28</v>
      </c>
      <c r="I627" s="2" t="s">
        <v>10152</v>
      </c>
      <c r="J627" s="2" t="n">
        <f aca="false">IF(COUNTIFS($G$2:G627,G627,$A$2:A627,A627)=1,1,0)</f>
        <v>1</v>
      </c>
    </row>
    <row r="628" customFormat="false" ht="15" hidden="false" customHeight="false" outlineLevel="0" collapsed="false">
      <c r="A628" s="2" t="s">
        <v>11426</v>
      </c>
      <c r="B628" s="2" t="s">
        <v>11427</v>
      </c>
      <c r="C628" s="2" t="s">
        <v>11428</v>
      </c>
      <c r="D628" s="2" t="s">
        <v>11429</v>
      </c>
      <c r="E628" s="2"/>
      <c r="F628" s="2"/>
      <c r="G628" s="2" t="str">
        <f aca="false">LEFT(C628,3)</f>
        <v>832</v>
      </c>
      <c r="H628" s="16" t="n">
        <v>0.18</v>
      </c>
      <c r="I628" s="2" t="s">
        <v>10025</v>
      </c>
      <c r="J628" s="2" t="n">
        <f aca="false">IF(COUNTIFS($G$2:G628,G628,$A$2:A628,A628)=1,1,0)</f>
        <v>1</v>
      </c>
    </row>
    <row r="629" customFormat="false" ht="15" hidden="false" customHeight="false" outlineLevel="0" collapsed="false">
      <c r="A629" s="2" t="s">
        <v>11430</v>
      </c>
      <c r="B629" s="2" t="s">
        <v>11431</v>
      </c>
      <c r="C629" s="2" t="s">
        <v>11432</v>
      </c>
      <c r="D629" s="2" t="s">
        <v>11433</v>
      </c>
      <c r="E629" s="2"/>
      <c r="F629" s="2"/>
      <c r="G629" s="2" t="str">
        <f aca="false">LEFT(C629,3)</f>
        <v>832</v>
      </c>
      <c r="H629" s="16" t="n">
        <v>0.24</v>
      </c>
      <c r="I629" s="2" t="s">
        <v>10030</v>
      </c>
      <c r="J629" s="2" t="n">
        <f aca="false">IF(COUNTIFS($G$2:G629,G629,$A$2:A629,A629)=1,1,0)</f>
        <v>1</v>
      </c>
    </row>
    <row r="630" customFormat="false" ht="15" hidden="false" customHeight="false" outlineLevel="0" collapsed="false">
      <c r="A630" s="2" t="s">
        <v>11434</v>
      </c>
      <c r="B630" s="2" t="s">
        <v>11435</v>
      </c>
      <c r="C630" s="2" t="s">
        <v>11426</v>
      </c>
      <c r="D630" s="2" t="s">
        <v>11436</v>
      </c>
      <c r="E630" s="2"/>
      <c r="F630" s="2"/>
      <c r="G630" s="2" t="str">
        <f aca="false">LEFT(C630,3)</f>
        <v>833</v>
      </c>
      <c r="H630" s="16" t="n">
        <v>0.12</v>
      </c>
      <c r="I630" s="2" t="s">
        <v>10025</v>
      </c>
      <c r="J630" s="2" t="n">
        <f aca="false">IF(COUNTIFS($G$2:G630,G630,$A$2:A630,A630)=1,1,0)</f>
        <v>1</v>
      </c>
    </row>
    <row r="631" customFormat="false" ht="15" hidden="false" customHeight="false" outlineLevel="0" collapsed="false">
      <c r="A631" s="2" t="s">
        <v>11437</v>
      </c>
      <c r="B631" s="2" t="s">
        <v>11438</v>
      </c>
      <c r="C631" s="2" t="s">
        <v>11430</v>
      </c>
      <c r="D631" s="2" t="s">
        <v>11439</v>
      </c>
      <c r="E631" s="2"/>
      <c r="F631" s="2"/>
      <c r="G631" s="2" t="str">
        <f aca="false">LEFT(C631,3)</f>
        <v>833</v>
      </c>
      <c r="H631" s="16" t="n">
        <v>0.13</v>
      </c>
      <c r="I631" s="2" t="s">
        <v>10025</v>
      </c>
      <c r="J631" s="2" t="n">
        <f aca="false">IF(COUNTIFS($G$2:G631,G631,$A$2:A631,A631)=1,1,0)</f>
        <v>1</v>
      </c>
    </row>
    <row r="632" customFormat="false" ht="15" hidden="false" customHeight="false" outlineLevel="0" collapsed="false">
      <c r="A632" s="2" t="s">
        <v>11440</v>
      </c>
      <c r="B632" s="2" t="s">
        <v>11441</v>
      </c>
      <c r="C632" s="2" t="s">
        <v>11442</v>
      </c>
      <c r="D632" s="2" t="s">
        <v>11441</v>
      </c>
      <c r="E632" s="2"/>
      <c r="F632" s="2"/>
      <c r="G632" s="2" t="str">
        <f aca="false">LEFT(C632,3)</f>
        <v>833</v>
      </c>
      <c r="H632" s="16" t="n">
        <v>0.18</v>
      </c>
      <c r="I632" s="2" t="s">
        <v>10025</v>
      </c>
      <c r="J632" s="2" t="n">
        <f aca="false">IF(COUNTIFS($G$2:G632,G632,$A$2:A632,A632)=1,1,0)</f>
        <v>1</v>
      </c>
    </row>
    <row r="633" customFormat="false" ht="15" hidden="false" customHeight="false" outlineLevel="0" collapsed="false">
      <c r="A633" s="2" t="s">
        <v>11443</v>
      </c>
      <c r="B633" s="2" t="s">
        <v>11444</v>
      </c>
      <c r="C633" s="2" t="s">
        <v>11445</v>
      </c>
      <c r="D633" s="2" t="s">
        <v>11446</v>
      </c>
      <c r="E633" s="2"/>
      <c r="F633" s="2"/>
      <c r="G633" s="2" t="str">
        <f aca="false">LEFT(C633,3)</f>
        <v>833</v>
      </c>
      <c r="H633" s="16" t="n">
        <v>0.2</v>
      </c>
      <c r="I633" s="2" t="s">
        <v>10025</v>
      </c>
      <c r="J633" s="2" t="n">
        <f aca="false">IF(COUNTIFS($G$2:G633,G633,$A$2:A633,A633)=1,1,0)</f>
        <v>1</v>
      </c>
    </row>
    <row r="634" customFormat="false" ht="15" hidden="false" customHeight="false" outlineLevel="0" collapsed="false">
      <c r="A634" s="2" t="s">
        <v>11447</v>
      </c>
      <c r="B634" s="2" t="s">
        <v>11448</v>
      </c>
      <c r="C634" s="2" t="s">
        <v>11449</v>
      </c>
      <c r="D634" s="2" t="s">
        <v>11450</v>
      </c>
      <c r="E634" s="2"/>
      <c r="F634" s="2"/>
      <c r="G634" s="2" t="str">
        <f aca="false">LEFT(C634,3)</f>
        <v>834</v>
      </c>
      <c r="H634" s="16" t="n">
        <v>0.14</v>
      </c>
      <c r="I634" s="2" t="s">
        <v>10025</v>
      </c>
      <c r="J634" s="2" t="n">
        <f aca="false">IF(COUNTIFS($G$2:G634,G634,$A$2:A634,A634)=1,1,0)</f>
        <v>1</v>
      </c>
    </row>
    <row r="635" customFormat="false" ht="15" hidden="false" customHeight="false" outlineLevel="0" collapsed="false">
      <c r="A635" s="2" t="s">
        <v>10999</v>
      </c>
      <c r="B635" s="2" t="s">
        <v>11451</v>
      </c>
      <c r="C635" s="2" t="s">
        <v>11452</v>
      </c>
      <c r="D635" s="2" t="s">
        <v>11453</v>
      </c>
      <c r="E635" s="2"/>
      <c r="F635" s="2"/>
      <c r="G635" s="2" t="str">
        <f aca="false">LEFT(C635,3)</f>
        <v>913</v>
      </c>
      <c r="H635" s="16" t="n">
        <v>0.14</v>
      </c>
      <c r="I635" s="2" t="s">
        <v>10025</v>
      </c>
      <c r="J635" s="2" t="n">
        <f aca="false">IF(COUNTIFS($G$2:G635,G635,$A$2:A635,A635)=1,1,0)</f>
        <v>1</v>
      </c>
    </row>
    <row r="636" customFormat="false" ht="15" hidden="false" customHeight="false" outlineLevel="0" collapsed="false">
      <c r="A636" s="2" t="s">
        <v>11454</v>
      </c>
      <c r="B636" s="2" t="s">
        <v>11455</v>
      </c>
      <c r="C636" s="2" t="s">
        <v>11456</v>
      </c>
      <c r="D636" s="2" t="s">
        <v>11457</v>
      </c>
      <c r="E636" s="2" t="s">
        <v>10050</v>
      </c>
      <c r="F636" s="2"/>
      <c r="G636" s="2" t="str">
        <f aca="false">LEFT(C636,3)</f>
        <v>913</v>
      </c>
      <c r="H636" s="16" t="n">
        <v>0.12</v>
      </c>
      <c r="I636" s="2" t="s">
        <v>10025</v>
      </c>
      <c r="J636" s="2" t="n">
        <f aca="false">IF(COUNTIFS($G$2:G636,G636,$A$2:A636,A636)=1,1,0)</f>
        <v>1</v>
      </c>
    </row>
    <row r="637" customFormat="false" ht="15" hidden="false" customHeight="false" outlineLevel="0" collapsed="false">
      <c r="A637" s="2" t="s">
        <v>11458</v>
      </c>
      <c r="B637" s="2" t="s">
        <v>11459</v>
      </c>
      <c r="C637" s="2" t="s">
        <v>11460</v>
      </c>
      <c r="D637" s="2" t="s">
        <v>11461</v>
      </c>
      <c r="E637" s="2"/>
      <c r="F637" s="2"/>
      <c r="G637" s="2" t="str">
        <f aca="false">LEFT(C637,3)</f>
        <v>913</v>
      </c>
      <c r="H637" s="16" t="n">
        <v>0.14</v>
      </c>
      <c r="I637" s="2" t="s">
        <v>10025</v>
      </c>
      <c r="J637" s="2" t="n">
        <f aca="false">IF(COUNTIFS($G$2:G637,G637,$A$2:A637,A637)=1,1,0)</f>
        <v>1</v>
      </c>
    </row>
    <row r="638" customFormat="false" ht="15" hidden="false" customHeight="false" outlineLevel="0" collapsed="false">
      <c r="A638" s="2" t="s">
        <v>11462</v>
      </c>
      <c r="B638" s="2" t="s">
        <v>11463</v>
      </c>
      <c r="C638" s="2" t="s">
        <v>11464</v>
      </c>
      <c r="D638" s="2" t="s">
        <v>11465</v>
      </c>
      <c r="E638" s="2" t="s">
        <v>10050</v>
      </c>
      <c r="F638" s="2"/>
      <c r="G638" s="2" t="str">
        <f aca="false">LEFT(C638,3)</f>
        <v>914</v>
      </c>
      <c r="H638" s="16" t="n">
        <v>0.09</v>
      </c>
      <c r="I638" s="2" t="s">
        <v>10025</v>
      </c>
      <c r="J638" s="2" t="n">
        <f aca="false">IF(COUNTIFS($G$2:G638,G638,$A$2:A638,A638)=1,1,0)</f>
        <v>1</v>
      </c>
    </row>
    <row r="639" customFormat="false" ht="15" hidden="false" customHeight="false" outlineLevel="0" collapsed="false">
      <c r="A639" s="2" t="s">
        <v>11466</v>
      </c>
      <c r="B639" s="2" t="s">
        <v>11467</v>
      </c>
      <c r="C639" s="2" t="s">
        <v>11464</v>
      </c>
      <c r="D639" s="2" t="s">
        <v>11465</v>
      </c>
      <c r="E639" s="2" t="s">
        <v>10050</v>
      </c>
      <c r="F639" s="2"/>
      <c r="G639" s="2" t="str">
        <f aca="false">LEFT(C639,3)</f>
        <v>914</v>
      </c>
      <c r="H639" s="16" t="n">
        <v>0.11</v>
      </c>
      <c r="I639" s="2" t="s">
        <v>10025</v>
      </c>
      <c r="J639" s="2" t="n">
        <f aca="false">IF(COUNTIFS($G$2:G639,G639,$A$2:A639,A639)=1,1,0)</f>
        <v>1</v>
      </c>
    </row>
    <row r="640" customFormat="false" ht="15" hidden="false" customHeight="false" outlineLevel="0" collapsed="false">
      <c r="A640" s="2" t="s">
        <v>11468</v>
      </c>
      <c r="B640" s="2" t="s">
        <v>11469</v>
      </c>
      <c r="C640" s="2" t="s">
        <v>11464</v>
      </c>
      <c r="D640" s="2" t="s">
        <v>11465</v>
      </c>
      <c r="E640" s="2" t="s">
        <v>10050</v>
      </c>
      <c r="F640" s="2"/>
      <c r="G640" s="2" t="str">
        <f aca="false">LEFT(C640,3)</f>
        <v>914</v>
      </c>
      <c r="H640" s="16" t="n">
        <v>0.1</v>
      </c>
      <c r="I640" s="2" t="s">
        <v>10025</v>
      </c>
      <c r="J640" s="2" t="n">
        <f aca="false">IF(COUNTIFS($G$2:G640,G640,$A$2:A640,A640)=1,1,0)</f>
        <v>1</v>
      </c>
    </row>
    <row r="641" customFormat="false" ht="15" hidden="false" customHeight="false" outlineLevel="0" collapsed="false">
      <c r="A641" s="2" t="s">
        <v>11470</v>
      </c>
      <c r="B641" s="2" t="s">
        <v>11471</v>
      </c>
      <c r="C641" s="2" t="s">
        <v>11470</v>
      </c>
      <c r="D641" s="2" t="s">
        <v>11472</v>
      </c>
      <c r="E641" s="2" t="s">
        <v>10050</v>
      </c>
      <c r="F641" s="2"/>
      <c r="G641" s="2" t="str">
        <f aca="false">LEFT(C641,3)</f>
        <v>921</v>
      </c>
      <c r="H641" s="16" t="n">
        <v>0.09</v>
      </c>
      <c r="I641" s="2" t="s">
        <v>10025</v>
      </c>
      <c r="J641" s="2" t="n">
        <f aca="false">IF(COUNTIFS($G$2:G641,G641,$A$2:A641,A641)=1,1,0)</f>
        <v>1</v>
      </c>
    </row>
    <row r="642" customFormat="false" ht="15" hidden="false" customHeight="false" outlineLevel="0" collapsed="false">
      <c r="A642" s="2" t="s">
        <v>11473</v>
      </c>
      <c r="B642" s="2" t="s">
        <v>11474</v>
      </c>
      <c r="C642" s="2" t="s">
        <v>11470</v>
      </c>
      <c r="D642" s="2" t="s">
        <v>11472</v>
      </c>
      <c r="E642" s="2" t="s">
        <v>10050</v>
      </c>
      <c r="F642" s="2"/>
      <c r="G642" s="2" t="str">
        <f aca="false">LEFT(C642,3)</f>
        <v>921</v>
      </c>
      <c r="H642" s="16" t="n">
        <v>0.12</v>
      </c>
      <c r="I642" s="2" t="s">
        <v>10025</v>
      </c>
      <c r="J642" s="2" t="n">
        <f aca="false">IF(COUNTIFS($G$2:G642,G642,$A$2:A642,A642)=1,1,0)</f>
        <v>1</v>
      </c>
    </row>
    <row r="643" customFormat="false" ht="15" hidden="false" customHeight="false" outlineLevel="0" collapsed="false">
      <c r="A643" s="2" t="s">
        <v>11475</v>
      </c>
      <c r="B643" s="2" t="s">
        <v>11476</v>
      </c>
      <c r="C643" s="2" t="s">
        <v>11470</v>
      </c>
      <c r="D643" s="2" t="s">
        <v>11472</v>
      </c>
      <c r="E643" s="2" t="s">
        <v>10050</v>
      </c>
      <c r="F643" s="2"/>
      <c r="G643" s="2" t="str">
        <f aca="false">LEFT(C643,3)</f>
        <v>921</v>
      </c>
      <c r="H643" s="16" t="n">
        <v>0.11</v>
      </c>
      <c r="I643" s="2" t="s">
        <v>10025</v>
      </c>
      <c r="J643" s="2" t="n">
        <f aca="false">IF(COUNTIFS($G$2:G643,G643,$A$2:A643,A643)=1,1,0)</f>
        <v>1</v>
      </c>
    </row>
    <row r="644" customFormat="false" ht="15" hidden="false" customHeight="false" outlineLevel="0" collapsed="false">
      <c r="A644" s="2" t="s">
        <v>11477</v>
      </c>
      <c r="B644" s="2" t="s">
        <v>11478</v>
      </c>
      <c r="C644" s="2" t="s">
        <v>11067</v>
      </c>
      <c r="D644" s="2" t="s">
        <v>11069</v>
      </c>
      <c r="E644" s="2" t="s">
        <v>10050</v>
      </c>
      <c r="F644" s="2" t="s">
        <v>11479</v>
      </c>
      <c r="G644" s="2" t="str">
        <f aca="false">LEFT(C644,3)</f>
        <v>611</v>
      </c>
      <c r="H644" s="16" t="n">
        <v>0.12</v>
      </c>
      <c r="I644" s="2" t="s">
        <v>10025</v>
      </c>
      <c r="J644" s="2" t="n">
        <f aca="false">IF(COUNTIFS($G$2:G644,G644,$A$2:A644,A644)=1,1,0)</f>
        <v>1</v>
      </c>
    </row>
    <row r="645" customFormat="false" ht="15" hidden="false" customHeight="false" outlineLevel="0" collapsed="false">
      <c r="A645" s="2" t="s">
        <v>11477</v>
      </c>
      <c r="B645" s="2" t="s">
        <v>11478</v>
      </c>
      <c r="C645" s="2" t="s">
        <v>11470</v>
      </c>
      <c r="D645" s="2" t="s">
        <v>11472</v>
      </c>
      <c r="E645" s="2" t="s">
        <v>10050</v>
      </c>
      <c r="F645" s="2"/>
      <c r="G645" s="2" t="str">
        <f aca="false">LEFT(C645,3)</f>
        <v>921</v>
      </c>
      <c r="H645" s="16" t="n">
        <v>0.12</v>
      </c>
      <c r="I645" s="2" t="s">
        <v>10025</v>
      </c>
      <c r="J645" s="2" t="n">
        <f aca="false">IF(COUNTIFS($G$2:G645,G645,$A$2:A645,A645)=1,1,0)</f>
        <v>1</v>
      </c>
    </row>
    <row r="646" customFormat="false" ht="15" hidden="false" customHeight="false" outlineLevel="0" collapsed="false">
      <c r="A646" s="2" t="s">
        <v>11480</v>
      </c>
      <c r="B646" s="2" t="s">
        <v>11481</v>
      </c>
      <c r="C646" s="2" t="s">
        <v>11473</v>
      </c>
      <c r="D646" s="2" t="s">
        <v>11482</v>
      </c>
      <c r="E646" s="2"/>
      <c r="F646" s="2"/>
      <c r="G646" s="2" t="str">
        <f aca="false">LEFT(C646,3)</f>
        <v>921</v>
      </c>
      <c r="H646" s="16" t="n">
        <v>0.09</v>
      </c>
      <c r="I646" s="2" t="s">
        <v>10025</v>
      </c>
      <c r="J646" s="2" t="n">
        <f aca="false">IF(COUNTIFS($G$2:G646,G646,$A$2:A646,A646)=1,1,0)</f>
        <v>1</v>
      </c>
    </row>
    <row r="647" customFormat="false" ht="15" hidden="false" customHeight="false" outlineLevel="0" collapsed="false">
      <c r="A647" s="2" t="s">
        <v>11483</v>
      </c>
      <c r="B647" s="2" t="s">
        <v>11484</v>
      </c>
      <c r="C647" s="2" t="s">
        <v>11475</v>
      </c>
      <c r="D647" s="2" t="s">
        <v>11485</v>
      </c>
      <c r="E647" s="2"/>
      <c r="F647" s="2"/>
      <c r="G647" s="2" t="str">
        <f aca="false">LEFT(C647,3)</f>
        <v>921</v>
      </c>
      <c r="H647" s="16" t="n">
        <v>0.11</v>
      </c>
      <c r="I647" s="2" t="s">
        <v>10025</v>
      </c>
      <c r="J647" s="2" t="n">
        <f aca="false">IF(COUNTIFS($G$2:G647,G647,$A$2:A647,A647)=1,1,0)</f>
        <v>1</v>
      </c>
    </row>
    <row r="648" customFormat="false" ht="15" hidden="false" customHeight="false" outlineLevel="0" collapsed="false">
      <c r="A648" s="2" t="s">
        <v>11486</v>
      </c>
      <c r="B648" s="2" t="s">
        <v>11487</v>
      </c>
      <c r="C648" s="2" t="s">
        <v>11486</v>
      </c>
      <c r="D648" s="2" t="s">
        <v>11488</v>
      </c>
      <c r="E648" s="2"/>
      <c r="F648" s="2"/>
      <c r="G648" s="2" t="str">
        <f aca="false">LEFT(C648,3)</f>
        <v>931</v>
      </c>
      <c r="H648" s="16" t="n">
        <v>0.11</v>
      </c>
      <c r="I648" s="2" t="s">
        <v>10025</v>
      </c>
      <c r="J648" s="2" t="n">
        <f aca="false">IF(COUNTIFS($G$2:G648,G648,$A$2:A648,A648)=1,1,0)</f>
        <v>1</v>
      </c>
    </row>
    <row r="649" customFormat="false" ht="15" hidden="false" customHeight="false" outlineLevel="0" collapsed="false">
      <c r="A649" s="2" t="s">
        <v>11489</v>
      </c>
      <c r="B649" s="2" t="s">
        <v>11490</v>
      </c>
      <c r="C649" s="2" t="s">
        <v>11489</v>
      </c>
      <c r="D649" s="2" t="s">
        <v>11491</v>
      </c>
      <c r="E649" s="2"/>
      <c r="F649" s="2"/>
      <c r="G649" s="2" t="str">
        <f aca="false">LEFT(C649,3)</f>
        <v>931</v>
      </c>
      <c r="H649" s="16" t="n">
        <v>0.09</v>
      </c>
      <c r="I649" s="2" t="s">
        <v>10025</v>
      </c>
      <c r="J649" s="2" t="n">
        <f aca="false">IF(COUNTIFS($G$2:G649,G649,$A$2:A649,A649)=1,1,0)</f>
        <v>1</v>
      </c>
    </row>
    <row r="650" customFormat="false" ht="15" hidden="false" customHeight="false" outlineLevel="0" collapsed="false">
      <c r="A650" s="2" t="s">
        <v>11492</v>
      </c>
      <c r="B650" s="2" t="s">
        <v>11493</v>
      </c>
      <c r="C650" s="2" t="s">
        <v>11492</v>
      </c>
      <c r="D650" s="2" t="s">
        <v>11494</v>
      </c>
      <c r="E650" s="2"/>
      <c r="F650" s="2"/>
      <c r="G650" s="2" t="str">
        <f aca="false">LEFT(C650,3)</f>
        <v>931</v>
      </c>
      <c r="H650" s="16" t="n">
        <v>0.09</v>
      </c>
      <c r="I650" s="2" t="s">
        <v>10025</v>
      </c>
      <c r="J650" s="2" t="n">
        <f aca="false">IF(COUNTIFS($G$2:G650,G650,$A$2:A650,A650)=1,1,0)</f>
        <v>1</v>
      </c>
    </row>
    <row r="651" customFormat="false" ht="15" hidden="false" customHeight="false" outlineLevel="0" collapsed="false">
      <c r="A651" s="2" t="s">
        <v>11495</v>
      </c>
      <c r="B651" s="2" t="s">
        <v>11496</v>
      </c>
      <c r="C651" s="2" t="s">
        <v>11497</v>
      </c>
      <c r="D651" s="2" t="s">
        <v>11498</v>
      </c>
      <c r="E651" s="2" t="s">
        <v>10050</v>
      </c>
      <c r="F651" s="2"/>
      <c r="G651" s="2" t="str">
        <f aca="false">LEFT(C651,3)</f>
        <v>932</v>
      </c>
      <c r="H651" s="16" t="n">
        <v>0.2</v>
      </c>
      <c r="I651" s="2" t="s">
        <v>10025</v>
      </c>
      <c r="J651" s="2" t="n">
        <f aca="false">IF(COUNTIFS($G$2:G651,G651,$A$2:A651,A651)=1,1,0)</f>
        <v>1</v>
      </c>
    </row>
    <row r="652" customFormat="false" ht="15" hidden="false" customHeight="false" outlineLevel="0" collapsed="false">
      <c r="A652" s="2" t="s">
        <v>11499</v>
      </c>
      <c r="B652" s="2" t="s">
        <v>11500</v>
      </c>
      <c r="C652" s="2" t="s">
        <v>11495</v>
      </c>
      <c r="D652" s="2" t="s">
        <v>11501</v>
      </c>
      <c r="E652" s="2" t="s">
        <v>10050</v>
      </c>
      <c r="F652" s="2"/>
      <c r="G652" s="2" t="str">
        <f aca="false">LEFT(C652,3)</f>
        <v>932</v>
      </c>
      <c r="H652" s="16" t="n">
        <v>0.12</v>
      </c>
      <c r="I652" s="2" t="s">
        <v>10025</v>
      </c>
      <c r="J652" s="2" t="n">
        <f aca="false">IF(COUNTIFS($G$2:G652,G652,$A$2:A652,A652)=1,1,0)</f>
        <v>1</v>
      </c>
    </row>
    <row r="653" customFormat="false" ht="15" hidden="false" customHeight="false" outlineLevel="0" collapsed="false">
      <c r="A653" s="2" t="s">
        <v>11499</v>
      </c>
      <c r="B653" s="2" t="s">
        <v>11500</v>
      </c>
      <c r="C653" s="2" t="s">
        <v>11497</v>
      </c>
      <c r="D653" s="2" t="s">
        <v>11498</v>
      </c>
      <c r="E653" s="2" t="s">
        <v>10050</v>
      </c>
      <c r="F653" s="2"/>
      <c r="G653" s="2" t="str">
        <f aca="false">LEFT(C653,3)</f>
        <v>932</v>
      </c>
      <c r="H653" s="16" t="n">
        <v>0.12</v>
      </c>
      <c r="I653" s="2" t="s">
        <v>10025</v>
      </c>
      <c r="J653" s="2" t="n">
        <f aca="false">IF(COUNTIFS($G$2:G653,G653,$A$2:A653,A653)=1,1,0)</f>
        <v>0</v>
      </c>
    </row>
    <row r="654" customFormat="false" ht="15" hidden="false" customHeight="false" outlineLevel="0" collapsed="false">
      <c r="A654" s="2" t="s">
        <v>11502</v>
      </c>
      <c r="B654" s="2" t="s">
        <v>11503</v>
      </c>
      <c r="C654" s="2" t="s">
        <v>11502</v>
      </c>
      <c r="D654" s="2" t="s">
        <v>11504</v>
      </c>
      <c r="E654" s="2"/>
      <c r="F654" s="2"/>
      <c r="G654" s="2" t="str">
        <f aca="false">LEFT(C654,3)</f>
        <v>933</v>
      </c>
      <c r="H654" s="16" t="n">
        <v>0.21</v>
      </c>
      <c r="I654" s="2" t="s">
        <v>10025</v>
      </c>
      <c r="J654" s="2" t="n">
        <f aca="false">IF(COUNTIFS($G$2:G654,G654,$A$2:A654,A654)=1,1,0)</f>
        <v>1</v>
      </c>
    </row>
    <row r="655" customFormat="false" ht="15" hidden="false" customHeight="false" outlineLevel="0" collapsed="false">
      <c r="A655" s="2" t="s">
        <v>11505</v>
      </c>
      <c r="B655" s="2" t="s">
        <v>11506</v>
      </c>
      <c r="C655" s="2" t="s">
        <v>11505</v>
      </c>
      <c r="D655" s="2" t="s">
        <v>11507</v>
      </c>
      <c r="E655" s="2"/>
      <c r="F655" s="2"/>
      <c r="G655" s="2" t="str">
        <f aca="false">LEFT(C655,3)</f>
        <v>933</v>
      </c>
      <c r="H655" s="16" t="n">
        <v>0.13</v>
      </c>
      <c r="I655" s="2" t="s">
        <v>10025</v>
      </c>
      <c r="J655" s="2" t="n">
        <f aca="false">IF(COUNTIFS($G$2:G655,G655,$A$2:A655,A655)=1,1,0)</f>
        <v>1</v>
      </c>
    </row>
    <row r="656" customFormat="false" ht="15" hidden="false" customHeight="false" outlineLevel="0" collapsed="false">
      <c r="A656" s="2" t="s">
        <v>11508</v>
      </c>
      <c r="B656" s="2" t="s">
        <v>11509</v>
      </c>
      <c r="C656" s="2" t="s">
        <v>11508</v>
      </c>
      <c r="D656" s="2" t="s">
        <v>11510</v>
      </c>
      <c r="E656" s="2" t="s">
        <v>10050</v>
      </c>
      <c r="F656" s="2"/>
      <c r="G656" s="2" t="str">
        <f aca="false">LEFT(C656,3)</f>
        <v>933</v>
      </c>
      <c r="H656" s="16" t="n">
        <v>0.14</v>
      </c>
      <c r="I656" s="2" t="s">
        <v>10025</v>
      </c>
      <c r="J656" s="2" t="n">
        <f aca="false">IF(COUNTIFS($G$2:G656,G656,$A$2:A656,A656)=1,1,0)</f>
        <v>1</v>
      </c>
    </row>
    <row r="657" customFormat="false" ht="15" hidden="false" customHeight="false" outlineLevel="0" collapsed="false">
      <c r="A657" s="2" t="s">
        <v>11511</v>
      </c>
      <c r="B657" s="2" t="s">
        <v>11512</v>
      </c>
      <c r="C657" s="2" t="s">
        <v>11508</v>
      </c>
      <c r="D657" s="2" t="s">
        <v>11510</v>
      </c>
      <c r="E657" s="2" t="s">
        <v>10050</v>
      </c>
      <c r="F657" s="2"/>
      <c r="G657" s="2" t="str">
        <f aca="false">LEFT(C657,3)</f>
        <v>933</v>
      </c>
      <c r="H657" s="16" t="n">
        <v>0.2</v>
      </c>
      <c r="I657" s="2" t="s">
        <v>10025</v>
      </c>
      <c r="J657" s="2" t="n">
        <f aca="false">IF(COUNTIFS($G$2:G657,G657,$A$2:A657,A657)=1,1,0)</f>
        <v>1</v>
      </c>
    </row>
    <row r="658" customFormat="false" ht="15" hidden="false" customHeight="false" outlineLevel="0" collapsed="false">
      <c r="A658" s="2" t="s">
        <v>11513</v>
      </c>
      <c r="B658" s="2" t="s">
        <v>11514</v>
      </c>
      <c r="C658" s="2" t="s">
        <v>10849</v>
      </c>
      <c r="D658" s="2" t="s">
        <v>443</v>
      </c>
      <c r="E658" s="2" t="s">
        <v>10050</v>
      </c>
      <c r="F658" s="2"/>
      <c r="G658" s="2" t="str">
        <f aca="false">LEFT(C658,3)</f>
        <v>512</v>
      </c>
      <c r="H658" s="16" t="n">
        <v>0.18</v>
      </c>
      <c r="I658" s="2" t="s">
        <v>10025</v>
      </c>
      <c r="J658" s="2" t="n">
        <f aca="false">IF(COUNTIFS($G$2:G658,G658,$A$2:A658,A658)=1,1,0)</f>
        <v>1</v>
      </c>
    </row>
    <row r="659" customFormat="false" ht="15" hidden="false" customHeight="false" outlineLevel="0" collapsed="false">
      <c r="A659" s="2" t="s">
        <v>11515</v>
      </c>
      <c r="B659" s="2" t="s">
        <v>11516</v>
      </c>
      <c r="C659" s="2" t="s">
        <v>11456</v>
      </c>
      <c r="D659" s="2" t="s">
        <v>11457</v>
      </c>
      <c r="E659" s="2" t="s">
        <v>10050</v>
      </c>
      <c r="F659" s="2"/>
      <c r="G659" s="2" t="str">
        <f aca="false">LEFT(C659,3)</f>
        <v>913</v>
      </c>
      <c r="H659" s="16" t="n">
        <v>0.13</v>
      </c>
      <c r="I659" s="2" t="s">
        <v>10025</v>
      </c>
      <c r="J659" s="2" t="n">
        <f aca="false">IF(COUNTIFS($G$2:G659,G659,$A$2:A659,A659)=1,1,0)</f>
        <v>1</v>
      </c>
    </row>
    <row r="660" customFormat="false" ht="15" hidden="false" customHeight="false" outlineLevel="0" collapsed="false">
      <c r="A660" s="2" t="s">
        <v>11517</v>
      </c>
      <c r="B660" s="2" t="s">
        <v>11518</v>
      </c>
      <c r="C660" s="2" t="s">
        <v>11519</v>
      </c>
      <c r="D660" s="2" t="s">
        <v>11520</v>
      </c>
      <c r="E660" s="2"/>
      <c r="F660" s="2"/>
      <c r="G660" s="2" t="str">
        <f aca="false">LEFT(C660,3)</f>
        <v>912</v>
      </c>
      <c r="H660" s="16" t="n">
        <v>0.18</v>
      </c>
      <c r="I660" s="2" t="s">
        <v>10025</v>
      </c>
      <c r="J660" s="2" t="n">
        <f aca="false">IF(COUNTIFS($G$2:G660,G660,$A$2:A660,A660)=1,1,0)</f>
        <v>1</v>
      </c>
    </row>
    <row r="661" customFormat="false" ht="15" hidden="false" customHeight="false" outlineLevel="0" collapsed="false">
      <c r="A661" s="2" t="s">
        <v>11521</v>
      </c>
      <c r="B661" s="2" t="s">
        <v>11522</v>
      </c>
      <c r="C661" s="2" t="s">
        <v>11454</v>
      </c>
      <c r="D661" s="2" t="s">
        <v>11523</v>
      </c>
      <c r="E661" s="2"/>
      <c r="F661" s="2"/>
      <c r="G661" s="2" t="str">
        <f aca="false">LEFT(C661,3)</f>
        <v>911</v>
      </c>
      <c r="H661" s="16" t="n">
        <v>0.2</v>
      </c>
      <c r="I661" s="2" t="s">
        <v>10025</v>
      </c>
      <c r="J661" s="2" t="n">
        <f aca="false">IF(COUNTIFS($G$2:G661,G661,$A$2:A661,A661)=1,1,0)</f>
        <v>1</v>
      </c>
    </row>
    <row r="662" customFormat="false" ht="15" hidden="false" customHeight="false" outlineLevel="0" collapsed="false">
      <c r="A662" s="2" t="s">
        <v>11524</v>
      </c>
      <c r="B662" s="2" t="s">
        <v>11525</v>
      </c>
      <c r="C662" s="2" t="s">
        <v>11526</v>
      </c>
      <c r="D662" s="2" t="s">
        <v>11527</v>
      </c>
      <c r="E662" s="2" t="s">
        <v>10050</v>
      </c>
      <c r="F662" s="2"/>
      <c r="G662" s="2" t="str">
        <f aca="false">LEFT(C662,3)</f>
        <v>916</v>
      </c>
      <c r="H662" s="16" t="n">
        <v>0.09</v>
      </c>
      <c r="I662" s="2" t="s">
        <v>10025</v>
      </c>
      <c r="J662" s="2" t="n">
        <f aca="false">IF(COUNTIFS($G$2:G662,G662,$A$2:A662,A662)=1,1,0)</f>
        <v>1</v>
      </c>
    </row>
    <row r="663" customFormat="false" ht="15" hidden="false" customHeight="false" outlineLevel="0" collapsed="false">
      <c r="A663" s="2" t="s">
        <v>11528</v>
      </c>
      <c r="B663" s="2" t="s">
        <v>11529</v>
      </c>
      <c r="C663" s="2" t="s">
        <v>11526</v>
      </c>
      <c r="D663" s="2" t="s">
        <v>11527</v>
      </c>
      <c r="E663" s="2" t="s">
        <v>10050</v>
      </c>
      <c r="F663" s="2"/>
      <c r="G663" s="2" t="str">
        <f aca="false">LEFT(C663,3)</f>
        <v>916</v>
      </c>
      <c r="H663" s="16" t="n">
        <v>0.18</v>
      </c>
      <c r="I663" s="2" t="s">
        <v>10025</v>
      </c>
      <c r="J663" s="2" t="n">
        <f aca="false">IF(COUNTIFS($G$2:G663,G663,$A$2:A663,A663)=1,1,0)</f>
        <v>1</v>
      </c>
    </row>
    <row r="664" customFormat="false" ht="15" hidden="false" customHeight="false" outlineLevel="0" collapsed="false">
      <c r="A664" s="2" t="s">
        <v>11528</v>
      </c>
      <c r="B664" s="2" t="s">
        <v>11529</v>
      </c>
      <c r="C664" s="2" t="s">
        <v>11495</v>
      </c>
      <c r="D664" s="2" t="s">
        <v>11501</v>
      </c>
      <c r="E664" s="2" t="s">
        <v>10050</v>
      </c>
      <c r="F664" s="2" t="s">
        <v>11530</v>
      </c>
      <c r="G664" s="2" t="str">
        <f aca="false">LEFT(C664,3)</f>
        <v>932</v>
      </c>
      <c r="H664" s="16" t="n">
        <v>0.18</v>
      </c>
      <c r="I664" s="2" t="s">
        <v>10025</v>
      </c>
      <c r="J664" s="2" t="n">
        <f aca="false">IF(COUNTIFS($G$2:G664,G664,$A$2:A664,A664)=1,1,0)</f>
        <v>1</v>
      </c>
    </row>
    <row r="665" customFormat="false" ht="15" hidden="false" customHeight="false" outlineLevel="0" collapsed="false">
      <c r="A665" s="2" t="s">
        <v>11531</v>
      </c>
      <c r="B665" s="2" t="s">
        <v>11532</v>
      </c>
      <c r="C665" s="2" t="s">
        <v>11533</v>
      </c>
      <c r="D665" s="2" t="s">
        <v>11534</v>
      </c>
      <c r="E665" s="2" t="s">
        <v>10050</v>
      </c>
      <c r="F665" s="2"/>
      <c r="G665" s="2" t="str">
        <f aca="false">LEFT(C665,3)</f>
        <v>916</v>
      </c>
      <c r="H665" s="16" t="n">
        <v>0.09</v>
      </c>
      <c r="I665" s="2" t="s">
        <v>10025</v>
      </c>
      <c r="J665" s="2" t="n">
        <f aca="false">IF(COUNTIFS($G$2:G665,G665,$A$2:A665,A665)=1,1,0)</f>
        <v>1</v>
      </c>
    </row>
    <row r="666" customFormat="false" ht="15" hidden="false" customHeight="false" outlineLevel="0" collapsed="false">
      <c r="A666" s="2" t="s">
        <v>11535</v>
      </c>
      <c r="B666" s="2" t="s">
        <v>11536</v>
      </c>
      <c r="C666" s="2" t="s">
        <v>11537</v>
      </c>
      <c r="D666" s="2" t="s">
        <v>11538</v>
      </c>
      <c r="E666" s="2"/>
      <c r="F666" s="2"/>
      <c r="G666" s="2" t="str">
        <f aca="false">LEFT(C666,3)</f>
        <v>915</v>
      </c>
      <c r="H666" s="16" t="n">
        <v>0.37</v>
      </c>
      <c r="I666" s="2" t="s">
        <v>10152</v>
      </c>
      <c r="J666" s="2" t="n">
        <f aca="false">IF(COUNTIFS($G$2:G666,G666,$A$2:A666,A666)=1,1,0)</f>
        <v>1</v>
      </c>
    </row>
    <row r="667" customFormat="false" ht="15" hidden="false" customHeight="false" outlineLevel="0" collapsed="false">
      <c r="A667" s="2" t="s">
        <v>11535</v>
      </c>
      <c r="B667" s="2" t="s">
        <v>11536</v>
      </c>
      <c r="C667" s="2" t="s">
        <v>11056</v>
      </c>
      <c r="D667" s="2" t="s">
        <v>11057</v>
      </c>
      <c r="E667" s="2" t="s">
        <v>10050</v>
      </c>
      <c r="F667" s="2" t="s">
        <v>11539</v>
      </c>
      <c r="G667" s="2" t="str">
        <f aca="false">LEFT(C667,3)</f>
        <v>915</v>
      </c>
      <c r="H667" s="16" t="n">
        <v>0.37</v>
      </c>
      <c r="I667" s="2" t="s">
        <v>10152</v>
      </c>
      <c r="J667" s="2" t="n">
        <f aca="false">IF(COUNTIFS($G$2:G667,G667,$A$2:A667,A667)=1,1,0)</f>
        <v>0</v>
      </c>
    </row>
    <row r="668" customFormat="false" ht="15" hidden="false" customHeight="false" outlineLevel="0" collapsed="false">
      <c r="A668" s="2" t="s">
        <v>11540</v>
      </c>
      <c r="B668" s="2" t="s">
        <v>11541</v>
      </c>
      <c r="C668" s="2" t="s">
        <v>11533</v>
      </c>
      <c r="D668" s="2" t="s">
        <v>11534</v>
      </c>
      <c r="E668" s="2" t="s">
        <v>10050</v>
      </c>
      <c r="F668" s="2"/>
      <c r="G668" s="2" t="str">
        <f aca="false">LEFT(C668,3)</f>
        <v>916</v>
      </c>
      <c r="H668" s="16" t="n">
        <v>0.11</v>
      </c>
      <c r="I668" s="2" t="s">
        <v>10025</v>
      </c>
      <c r="J668" s="2" t="n">
        <f aca="false">IF(COUNTIFS($G$2:G668,G668,$A$2:A668,A668)=1,1,0)</f>
        <v>1</v>
      </c>
    </row>
    <row r="669" customFormat="false" ht="15" hidden="false" customHeight="false" outlineLevel="0" collapsed="false">
      <c r="A669" s="2" t="s">
        <v>11542</v>
      </c>
      <c r="B669" s="2" t="s">
        <v>11543</v>
      </c>
      <c r="C669" s="2" t="s">
        <v>11544</v>
      </c>
      <c r="D669" s="2" t="s">
        <v>11545</v>
      </c>
      <c r="E669" s="2"/>
      <c r="F669" s="2"/>
      <c r="G669" s="2" t="str">
        <f aca="false">LEFT(C669,3)</f>
        <v>915</v>
      </c>
      <c r="H669" s="16" t="n">
        <v>0.38</v>
      </c>
      <c r="I669" s="2" t="s">
        <v>10152</v>
      </c>
      <c r="J669" s="2" t="n">
        <f aca="false">IF(COUNTIFS($G$2:G669,G669,$A$2:A669,A669)=1,1,0)</f>
        <v>1</v>
      </c>
    </row>
    <row r="670" customFormat="false" ht="15" hidden="false" customHeight="false" outlineLevel="0" collapsed="false">
      <c r="A670" s="2" t="s">
        <v>11546</v>
      </c>
      <c r="B670" s="2" t="s">
        <v>11547</v>
      </c>
      <c r="C670" s="2" t="s">
        <v>11533</v>
      </c>
      <c r="D670" s="2" t="s">
        <v>11534</v>
      </c>
      <c r="E670" s="2" t="s">
        <v>10050</v>
      </c>
      <c r="F670" s="2"/>
      <c r="G670" s="2" t="str">
        <f aca="false">LEFT(C670,3)</f>
        <v>916</v>
      </c>
      <c r="H670" s="16" t="n">
        <v>0.09</v>
      </c>
      <c r="I670" s="2" t="s">
        <v>10025</v>
      </c>
      <c r="J670" s="2" t="n">
        <f aca="false">IF(COUNTIFS($G$2:G670,G670,$A$2:A670,A670)=1,1,0)</f>
        <v>1</v>
      </c>
    </row>
    <row r="671" customFormat="false" ht="15" hidden="false" customHeight="false" outlineLevel="0" collapsed="false">
      <c r="A671" s="2" t="s">
        <v>11548</v>
      </c>
      <c r="B671" s="2" t="s">
        <v>11549</v>
      </c>
      <c r="C671" s="2" t="s">
        <v>11056</v>
      </c>
      <c r="D671" s="2" t="s">
        <v>11057</v>
      </c>
      <c r="E671" s="2" t="s">
        <v>10050</v>
      </c>
      <c r="F671" s="2"/>
      <c r="G671" s="2" t="str">
        <f aca="false">LEFT(C671,3)</f>
        <v>915</v>
      </c>
      <c r="H671" s="16" t="n">
        <v>0.29</v>
      </c>
      <c r="I671" s="2" t="s">
        <v>10030</v>
      </c>
      <c r="J671" s="2" t="n">
        <f aca="false">IF(COUNTIFS($G$2:G671,G671,$A$2:A671,A671)=1,1,0)</f>
        <v>1</v>
      </c>
    </row>
    <row r="672" customFormat="false" ht="15" hidden="false" customHeight="false" outlineLevel="0" collapsed="false">
      <c r="A672" s="2" t="s">
        <v>11550</v>
      </c>
      <c r="B672" s="2" t="s">
        <v>402</v>
      </c>
      <c r="C672" s="2" t="s">
        <v>11550</v>
      </c>
      <c r="D672" s="2" t="s">
        <v>11551</v>
      </c>
      <c r="E672" s="2" t="s">
        <v>10050</v>
      </c>
      <c r="F672" s="2"/>
      <c r="G672" s="2" t="str">
        <f aca="false">LEFT(C672,3)</f>
        <v>011</v>
      </c>
      <c r="H672" s="16"/>
      <c r="I672" s="2" t="s">
        <v>10169</v>
      </c>
      <c r="J672" s="2" t="n">
        <f aca="false">IF(COUNTIFS($G$2:G672,G672,$A$2:A672,A672)=1,1,0)</f>
        <v>1</v>
      </c>
    </row>
    <row r="673" customFormat="false" ht="15" hidden="false" customHeight="false" outlineLevel="0" collapsed="false">
      <c r="A673" s="2" t="s">
        <v>11552</v>
      </c>
      <c r="B673" s="2" t="s">
        <v>404</v>
      </c>
      <c r="C673" s="2" t="s">
        <v>11550</v>
      </c>
      <c r="D673" s="2" t="s">
        <v>11551</v>
      </c>
      <c r="E673" s="2" t="s">
        <v>10050</v>
      </c>
      <c r="F673" s="2"/>
      <c r="G673" s="2" t="str">
        <f aca="false">LEFT(C673,3)</f>
        <v>011</v>
      </c>
      <c r="H673" s="16"/>
      <c r="I673" s="2" t="s">
        <v>10169</v>
      </c>
      <c r="J673" s="2" t="n">
        <f aca="false">IF(COUNTIFS($G$2:G673,G673,$A$2:A673,A673)=1,1,0)</f>
        <v>1</v>
      </c>
    </row>
    <row r="674" customFormat="false" ht="15" hidden="false" customHeight="false" outlineLevel="0" collapsed="false">
      <c r="A674" s="2" t="s">
        <v>11553</v>
      </c>
      <c r="B674" s="2" t="s">
        <v>406</v>
      </c>
      <c r="C674" s="2" t="s">
        <v>11550</v>
      </c>
      <c r="D674" s="2" t="s">
        <v>11551</v>
      </c>
      <c r="E674" s="2" t="s">
        <v>10050</v>
      </c>
      <c r="F674" s="2"/>
      <c r="G674" s="2" t="str">
        <f aca="false">LEFT(C674,3)</f>
        <v>011</v>
      </c>
      <c r="H674" s="16"/>
      <c r="I674" s="2" t="s">
        <v>10169</v>
      </c>
      <c r="J674" s="2" t="n">
        <f aca="false">IF(COUNTIFS($G$2:G674,G674,$A$2:A674,A674)=1,1,0)</f>
        <v>1</v>
      </c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customFormat="false" ht="15" hidden="false" customHeight="false" outlineLevel="0" collapsed="false">
      <c r="A676" s="15" t="s">
        <v>11554</v>
      </c>
      <c r="B676" s="2"/>
      <c r="C676" s="2"/>
      <c r="D676" s="2"/>
      <c r="E676" s="2"/>
      <c r="F676" s="2"/>
      <c r="G676" s="2"/>
      <c r="H676" s="2"/>
      <c r="I676" s="2"/>
      <c r="J676" s="2"/>
    </row>
  </sheetData>
  <autoFilter ref="A1:J6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2026-10-13T21:51:57Z</dcterms:created>
  <dc:creator>openpyxl</dc:creator>
  <dc:description/>
  <dc:language>en-US</dc:language>
  <cp:lastModifiedBy/>
  <dcterms:modified xsi:type="dcterms:W3CDTF">2026-10-13T21:52:00Z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